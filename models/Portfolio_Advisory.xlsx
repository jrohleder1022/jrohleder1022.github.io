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dvisory" sheetId="1" state="visible" r:id="rId3"/>
    <sheet name="Diagnosi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<sst xmlns="http://schemas.openxmlformats.org/spreadsheetml/2006/main" count="71" uniqueCount="69">
  <si>
    <t xml:space="preserve">PORTFOLIO ADVISORY — ROTH IRA  ·  5-YEAR SCENARIO REVIEW &amp; ACTION CALLS  (July 24, 2026)</t>
  </si>
  <si>
    <t xml:space="preserve">Prices 7/22-24/26. 5-yr targets are scenario illustrations (grounded in this session's DCFs), NOT predictions. Blue = editable inputs. Educational, not personalized investment advice.</t>
  </si>
  <si>
    <t xml:space="preserve">Ticker</t>
  </si>
  <si>
    <t xml:space="preserve">Shares</t>
  </si>
  <si>
    <t xml:space="preserve">Price</t>
  </si>
  <si>
    <t xml:space="preserve">Value</t>
  </si>
  <si>
    <t xml:space="preserve">Weight</t>
  </si>
  <si>
    <t xml:space="preserve">5yr BEAR</t>
  </si>
  <si>
    <t xml:space="preserve">5yr BASE</t>
  </si>
  <si>
    <t xml:space="preserve">5yr BULL</t>
  </si>
  <si>
    <t xml:space="preserve">Base 5yr return</t>
  </si>
  <si>
    <t xml:space="preserve">Action</t>
  </si>
  <si>
    <t xml:space="preserve">NVDA</t>
  </si>
  <si>
    <t xml:space="preserve">HOLD / trim &gt;30%</t>
  </si>
  <si>
    <t xml:space="preserve">GOOGL</t>
  </si>
  <si>
    <t xml:space="preserve">NOW</t>
  </si>
  <si>
    <t xml:space="preserve">HOLD → trim +25%</t>
  </si>
  <si>
    <t xml:space="preserve">SNPS</t>
  </si>
  <si>
    <t xml:space="preserve">BUY MORE</t>
  </si>
  <si>
    <t xml:space="preserve">META</t>
  </si>
  <si>
    <t xml:space="preserve">HOLD</t>
  </si>
  <si>
    <t xml:space="preserve">VST</t>
  </si>
  <si>
    <t xml:space="preserve">HOLD / add dips</t>
  </si>
  <si>
    <t xml:space="preserve">SPAXX</t>
  </si>
  <si>
    <t xml:space="preserve">DEPLOY (SpaceX/diversify)</t>
  </si>
  <si>
    <t xml:space="preserve">TOTAL</t>
  </si>
  <si>
    <t xml:space="preserve">5yr portfolio value (current holdings only, NO new contributions):</t>
  </si>
  <si>
    <t xml:space="preserve">  vs. today — % change</t>
  </si>
  <si>
    <t xml:space="preserve">Two-stock block (NVDA+GOOGL)</t>
  </si>
  <si>
    <t xml:space="preserve">AI-correlated equity (all ex-VST, ex-cash)</t>
  </si>
  <si>
    <t xml:space="preserve">Adding your ~$100/wk (~$5,200/yr) contributions layers ~$26-30K on top of these 5yr figures — see Portfolio_Projection.xlsx. This sheet isolates the STOCK views by holding contributions out.</t>
  </si>
  <si>
    <t xml:space="preserve">DIAGNOSIS — WHAT'S WRONG, WHAT'S RIGHT, AND THE PLAN</t>
  </si>
  <si>
    <t xml:space="preserve">⚠  FLAGS (in priority order)</t>
  </si>
  <si>
    <t xml:space="preserve">1. Concentration — NVDA+GOOGL ≈ 53%</t>
  </si>
  <si>
    <t xml:space="preserve">Half the account in two stocks. Both near the 30% single-name tripwire. A bad year in either is a bad year for the whole portfolio. This is your #1 risk.</t>
  </si>
  <si>
    <t xml:space="preserve">2. ~95% AI-correlated</t>
  </si>
  <si>
    <t xml:space="preserve">NVDA, GOOGL, NOW, SNPS, META all move on the same AI-capex/adoption factor — they fall together (you saw GOOGL −7% and NOW −6% on the same tape). Only VST diversifies, and even it has AI-demand exposure. You have one bet, held seven ways.</t>
  </si>
  <si>
    <t xml:space="preserve">3. No ballast</t>
  </si>
  <si>
    <t xml:space="preserve">100% single stocks; no index, no bonds, essentially no non-tech. Maximum idiosyncratic + factor risk. Defensible at 22 — but it must be a choice, not an accident.</t>
  </si>
  <si>
    <t xml:space="preserve">4. NOW at 15.5% carries structural risk</t>
  </si>
  <si>
    <t xml:space="preserve">Its bear case (agentic AI eroding seat-based SaaS) is the one holding where 'cheap' could mean 'broken', not just 'out of favor'. Big weight on an open question.</t>
  </si>
  <si>
    <t xml:space="preserve">5. Minor — idle cash</t>
  </si>
  <si>
    <t xml:space="preserve">~$839 in SPAXX is fine as earmarked SpaceX powder, but don't let it drift as permanent drag.</t>
  </si>
  <si>
    <t xml:space="preserve">✓  WHAT'S RIGHT (don't lose these)</t>
  </si>
  <si>
    <t xml:space="preserve">Roth wrapper</t>
  </si>
  <si>
    <t xml:space="preserve">40 years of tax-free compounding on your highest-growth assets. The single biggest edge you have — bigger than any pick.</t>
  </si>
  <si>
    <t xml:space="preserve">Automated weekly DCA</t>
  </si>
  <si>
    <t xml:space="preserve">You buy through fear automatically (you were buying SNPS as it hit lows). This is how retail actually wins.</t>
  </si>
  <si>
    <t xml:space="preserve">All quality businesses</t>
  </si>
  <si>
    <t xml:space="preserve">No junk, no meme stocks. Every holding is a real franchise — even the speculative sleeve (SYM/QNT-scale) is capped small.</t>
  </si>
  <si>
    <t xml:space="preserve">Recent adds at discounts</t>
  </si>
  <si>
    <t xml:space="preserve">You added SNPS near its 52-wk low and trimmed winners tax-free. That's disciplined, contrarian buying.</t>
  </si>
  <si>
    <t xml:space="preserve">Rules written down</t>
  </si>
  <si>
    <t xml:space="preserve">Block &gt;30% → trim; NOW +25% → trim $500; annual rebalance. Pre-committing while calm is what separates good investors from emotional ones.</t>
  </si>
  <si>
    <t xml:space="preserve">Age + horizon</t>
  </si>
  <si>
    <t xml:space="preserve">22 with decades and steady contributions = maximum risk capacity. Your ability to hold through a 40% drawdown is your superpower — use it.</t>
  </si>
  <si>
    <t xml:space="preserve">ACTION PLAN</t>
  </si>
  <si>
    <t xml:space="preserve">BUY</t>
  </si>
  <si>
    <t xml:space="preserve">SNPS — your one strong add; DCA already funds it. Front-load into weakness.</t>
  </si>
  <si>
    <t xml:space="preserve">GOOGL, NVDA, META, VST — all defensible; no seller here. Add to VST only on dips.</t>
  </si>
  <si>
    <t xml:space="preserve">TRIM (on strength, not now)</t>
  </si>
  <si>
    <t xml:space="preserve">NVDA/GOOGL if either tops 30%; NOW $500 at +25% (~$127). Route proceeds to diversifiers or SpaceX powder. Tax-free in the Roth.</t>
  </si>
  <si>
    <t xml:space="preserve">EXIT</t>
  </si>
  <si>
    <t xml:space="preserve">None. No position warrants a full sale — every holding is a real business at a defensible price.</t>
  </si>
  <si>
    <t xml:space="preserve">DIVERSIFY (new money)</t>
  </si>
  <si>
    <t xml:space="preserve">The real move: point new dollars at a non-AI growth market — healthcare/GLP-1 (LLY), grid-electrification (GE Vernova/Eaton), or your V idea. This fixes flags #1-3 at once.</t>
  </si>
  <si>
    <t xml:space="preserve">MAX THE ROTH WHILE EMPLOYED</t>
  </si>
  <si>
    <t xml:space="preserve">Contributions require earned income — fill the ~$7k while you have a job; you can't backfill it later.</t>
  </si>
  <si>
    <t xml:space="preserve">BOTTOM LINE: A high-quality, well-structured, disciplined portfolio with ONE dominant risk — it's a concentrated bet on AI. That's an acceptable bet at 22 IF you (a) keep it conscious, (b) hold the trim rules, and (c) aim new money at diversification. You don't need to fix it overnight; your contributions dilute the concentration on autopilot. Grade: strong process, over-concentrated allocation.</t>
  </si>
</sst>
</file>

<file path=xl/styles.xml><?xml version="1.0" encoding="utf-8"?>
<styleSheet xmlns="http://schemas.openxmlformats.org/spreadsheetml/2006/main">
  <numFmts count="6">
    <numFmt numFmtId="164" formatCode="General"/>
    <numFmt numFmtId="165" formatCode="#,##0.000"/>
    <numFmt numFmtId="166" formatCode="\$#,##0.00"/>
    <numFmt numFmtId="167" formatCode="\$#,##0;&quot;($&quot;#,##0\);\-"/>
    <numFmt numFmtId="168" formatCode="0.0%;\(0.0%\);\-"/>
    <numFmt numFmtId="169" formatCode="0%"/>
  </numFmts>
  <fonts count="2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8"/>
      <color rgb="FF595959"/>
      <name val="Arial"/>
      <family val="0"/>
      <charset val="1"/>
    </font>
    <font>
      <b val="true"/>
      <sz val="10"/>
      <color rgb="FF000000"/>
      <name val="Arial"/>
      <family val="0"/>
      <charset val="1"/>
    </font>
    <font>
      <sz val="10"/>
      <color rgb="FF0000FF"/>
      <name val="Arial"/>
      <family val="0"/>
      <charset val="1"/>
    </font>
    <font>
      <sz val="10"/>
      <color rgb="FF000000"/>
      <name val="Arial"/>
      <family val="0"/>
      <charset val="1"/>
    </font>
    <font>
      <b val="true"/>
      <sz val="9"/>
      <color rgb="FFBF8F00"/>
      <name val="Arial"/>
      <family val="0"/>
      <charset val="1"/>
    </font>
    <font>
      <b val="true"/>
      <sz val="9"/>
      <color rgb="FF2E7D32"/>
      <name val="Arial"/>
      <family val="0"/>
      <charset val="1"/>
    </font>
    <font>
      <b val="true"/>
      <sz val="9"/>
      <color rgb="FF1F3864"/>
      <name val="Arial"/>
      <family val="0"/>
      <charset val="1"/>
    </font>
    <font>
      <b val="true"/>
      <sz val="9"/>
      <color rgb="FF808080"/>
      <name val="Arial"/>
      <family val="0"/>
      <charset val="1"/>
    </font>
    <font>
      <i val="true"/>
      <sz val="9"/>
      <color rgb="FF000000"/>
      <name val="Arial"/>
      <family val="0"/>
      <charset val="1"/>
    </font>
    <font>
      <i val="true"/>
      <sz val="10"/>
      <color rgb="FF000000"/>
      <name val="Arial"/>
      <family val="0"/>
      <charset val="1"/>
    </font>
    <font>
      <b val="true"/>
      <sz val="10"/>
      <color rgb="FFC00000"/>
      <name val="Arial"/>
      <family val="0"/>
      <charset val="1"/>
    </font>
    <font>
      <i val="true"/>
      <sz val="8"/>
      <color rgb="FF808080"/>
      <name val="Arial"/>
      <family val="0"/>
      <charset val="1"/>
    </font>
    <font>
      <b val="true"/>
      <sz val="18"/>
      <color rgb="FF000000"/>
      <name val="Calibri"/>
      <family val="2"/>
    </font>
    <font>
      <sz val="10"/>
      <color rgb="FF000000"/>
      <name val="Calibri"/>
      <family val="2"/>
    </font>
    <font>
      <b val="true"/>
      <sz val="11"/>
      <color rgb="FF1F3864"/>
      <name val="Arial"/>
      <family val="0"/>
      <charset val="1"/>
    </font>
    <font>
      <sz val="9"/>
      <color rgb="FF000000"/>
      <name val="Arial"/>
      <family val="0"/>
      <charset val="1"/>
    </font>
    <font>
      <b val="true"/>
      <sz val="10"/>
      <color rgb="FF2E7D32"/>
      <name val="Arial"/>
      <family val="0"/>
      <charset val="1"/>
    </font>
    <font>
      <b val="true"/>
      <sz val="10"/>
      <color rgb="FF1F3864"/>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D9E2F2"/>
        <bgColor rgb="FFD9D9D9"/>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7" fontId="6" fillId="4"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8" fontId="14" fillId="0" borderId="0" xfId="0" applyFont="true" applyBorder="false" applyAlignment="false" applyProtection="false">
      <alignment horizontal="general" vertical="bottom" textRotation="0" wrapText="fals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A6A6A6"/>
      <rgbColor rgb="FF808080"/>
      <rgbColor rgb="FF9999FF"/>
      <rgbColor rgb="FF993366"/>
      <rgbColor rgb="FFFFFFCC"/>
      <rgbColor rgb="FFD9E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BF8F00"/>
      <rgbColor rgb="FFFF6600"/>
      <rgbColor rgb="FF595959"/>
      <rgbColor rgb="FF878787"/>
      <rgbColor rgb="FF1F3864"/>
      <rgbColor rgb="FF2E7D32"/>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Base-case 5-year annualized return by position</a:t>
            </a:r>
          </a:p>
        </c:rich>
      </c:tx>
      <c:overlay val="0"/>
      <c:spPr>
        <a:noFill/>
        <a:ln w="0">
          <a:noFill/>
        </a:ln>
      </c:spPr>
    </c:title>
    <c:autoTitleDeleted val="0"/>
    <c:plotArea>
      <c:barChart>
        <c:barDir val="col"/>
        <c:grouping val="clustered"/>
        <c:varyColors val="0"/>
        <c:ser>
          <c:idx val="0"/>
          <c:order val="0"/>
          <c:tx>
            <c:strRef>
              <c:f>"ret"</c:f>
              <c:strCache>
                <c:ptCount val="1"/>
                <c:pt idx="0">
                  <c:v>ret</c:v>
                </c:pt>
              </c:strCache>
            </c:strRef>
          </c:tx>
          <c:spPr>
            <a:solidFill>
              <a:srgbClr val="a6a6a6"/>
            </a:solidFill>
            <a:ln w="0">
              <a:noFill/>
            </a:ln>
          </c:spPr>
          <c:invertIfNegative val="0"/>
          <c:dPt>
            <c:idx val="3"/>
            <c:invertIfNegative val="0"/>
            <c:spPr>
              <a:solidFill>
                <a:srgbClr val="2e7d32"/>
              </a:solidFill>
              <a:ln w="0">
                <a:noFill/>
              </a:ln>
            </c:spPr>
          </c:dPt>
          <c:dLbls>
            <c:dLbl>
              <c:idx val="3"/>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Advisory!$A$5:$A$10</c:f>
              <c:strCache>
                <c:ptCount val="6"/>
                <c:pt idx="0">
                  <c:v>NVDA</c:v>
                </c:pt>
                <c:pt idx="1">
                  <c:v>GOOGL</c:v>
                </c:pt>
                <c:pt idx="2">
                  <c:v>NOW</c:v>
                </c:pt>
                <c:pt idx="3">
                  <c:v>SNPS</c:v>
                </c:pt>
                <c:pt idx="4">
                  <c:v>META</c:v>
                </c:pt>
                <c:pt idx="5">
                  <c:v>VST</c:v>
                </c:pt>
              </c:strCache>
            </c:strRef>
          </c:cat>
          <c:val>
            <c:numRef>
              <c:f>Advisory!$I$5:$I$10</c:f>
              <c:numCache>
                <c:formatCode>0.0%;\(0.0%\);\-</c:formatCode>
                <c:ptCount val="6"/>
                <c:pt idx="0">
                  <c:v>0.0527937430762915</c:v>
                </c:pt>
                <c:pt idx="1">
                  <c:v>0.0516841146395948</c:v>
                </c:pt>
                <c:pt idx="2">
                  <c:v>0.0795961350870664</c:v>
                </c:pt>
                <c:pt idx="3">
                  <c:v>0.0687133415628598</c:v>
                </c:pt>
                <c:pt idx="4">
                  <c:v>0.0292268342894328</c:v>
                </c:pt>
                <c:pt idx="5">
                  <c:v>0.0377065768222187</c:v>
                </c:pt>
              </c:numCache>
            </c:numRef>
          </c:val>
        </c:ser>
        <c:gapWidth val="40"/>
        <c:overlap val="0"/>
        <c:axId val="50363687"/>
        <c:axId val="86130747"/>
      </c:barChart>
      <c:catAx>
        <c:axId val="5036368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130747"/>
        <c:crosses val="autoZero"/>
        <c:auto val="1"/>
        <c:lblAlgn val="ctr"/>
        <c:lblOffset val="100"/>
        <c:noMultiLvlLbl val="0"/>
      </c:catAx>
      <c:valAx>
        <c:axId val="86130747"/>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36368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20</xdr:row>
      <xdr:rowOff>160920</xdr:rowOff>
    </xdr:from>
    <xdr:to>
      <xdr:col>6</xdr:col>
      <xdr:colOff>785520</xdr:colOff>
      <xdr:row>37</xdr:row>
      <xdr:rowOff>162000</xdr:rowOff>
    </xdr:to>
    <xdr:graphicFrame>
      <xdr:nvGraphicFramePr>
        <xdr:cNvPr id="0" name="Chart 1"/>
        <xdr:cNvGraphicFramePr/>
      </xdr:nvGraphicFramePr>
      <xdr:xfrm>
        <a:off x="0" y="4000680"/>
        <a:ext cx="61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3" min="2" style="0" width="10"/>
    <col collapsed="false" customWidth="true" hidden="false" outlineLevel="0" max="4" min="4" style="0" width="12"/>
    <col collapsed="false" customWidth="true" hidden="false" outlineLevel="0" max="5" min="5" style="0" width="9"/>
    <col collapsed="false" customWidth="true" hidden="false" outlineLevel="0" max="8" min="6" style="0" width="10"/>
    <col collapsed="false" customWidth="true" hidden="false" outlineLevel="0" max="9" min="9" style="0" width="13"/>
    <col collapsed="false" customWidth="true" hidden="false" outlineLevel="0" max="10" min="10" style="0" width="26"/>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c r="E4" s="3" t="s">
        <v>6</v>
      </c>
      <c r="F4" s="3" t="s">
        <v>7</v>
      </c>
      <c r="G4" s="3" t="s">
        <v>8</v>
      </c>
      <c r="H4" s="3" t="s">
        <v>9</v>
      </c>
      <c r="I4" s="3" t="s">
        <v>10</v>
      </c>
      <c r="J4" s="3" t="s">
        <v>11</v>
      </c>
    </row>
    <row r="5" customFormat="false" ht="15" hidden="false" customHeight="false" outlineLevel="0" collapsed="false">
      <c r="A5" s="4" t="s">
        <v>12</v>
      </c>
      <c r="B5" s="5" t="n">
        <v>23.957</v>
      </c>
      <c r="C5" s="6" t="n">
        <v>208.76</v>
      </c>
      <c r="D5" s="7" t="n">
        <f aca="false">B5*C5</f>
        <v>5001.26332</v>
      </c>
      <c r="E5" s="8" t="n">
        <f aca="false">D5/$D$12</f>
        <v>0.269893354889559</v>
      </c>
      <c r="F5" s="6" t="n">
        <v>110</v>
      </c>
      <c r="G5" s="6" t="n">
        <v>270</v>
      </c>
      <c r="H5" s="6" t="n">
        <v>380</v>
      </c>
      <c r="I5" s="8" t="n">
        <f aca="false">IF(C5=1,0,(G5/C5)^(1/5)-1)</f>
        <v>0.0527937430762915</v>
      </c>
      <c r="J5" s="9" t="s">
        <v>13</v>
      </c>
    </row>
    <row r="6" customFormat="false" ht="15" hidden="false" customHeight="false" outlineLevel="0" collapsed="false">
      <c r="A6" s="4" t="s">
        <v>14</v>
      </c>
      <c r="B6" s="5" t="n">
        <v>14.257</v>
      </c>
      <c r="C6" s="6" t="n">
        <v>342</v>
      </c>
      <c r="D6" s="7" t="n">
        <f aca="false">B6*C6</f>
        <v>4875.894</v>
      </c>
      <c r="E6" s="8" t="n">
        <f aca="false">D6/$D$12</f>
        <v>0.263127795027971</v>
      </c>
      <c r="F6" s="6" t="n">
        <v>250</v>
      </c>
      <c r="G6" s="6" t="n">
        <v>440</v>
      </c>
      <c r="H6" s="6" t="n">
        <v>520</v>
      </c>
      <c r="I6" s="8" t="n">
        <f aca="false">IF(C6=1,0,(G6/C6)^(1/5)-1)</f>
        <v>0.0516841146395948</v>
      </c>
      <c r="J6" s="9" t="s">
        <v>13</v>
      </c>
    </row>
    <row r="7" customFormat="false" ht="15" hidden="false" customHeight="false" outlineLevel="0" collapsed="false">
      <c r="A7" s="4" t="s">
        <v>15</v>
      </c>
      <c r="B7" s="5" t="n">
        <v>30.067</v>
      </c>
      <c r="C7" s="6" t="n">
        <v>95.46</v>
      </c>
      <c r="D7" s="7" t="n">
        <f aca="false">B7*C7</f>
        <v>2870.19582</v>
      </c>
      <c r="E7" s="8" t="n">
        <f aca="false">D7/$D$12</f>
        <v>0.154890220627253</v>
      </c>
      <c r="F7" s="6" t="n">
        <v>60</v>
      </c>
      <c r="G7" s="6" t="n">
        <v>140</v>
      </c>
      <c r="H7" s="6" t="n">
        <v>180</v>
      </c>
      <c r="I7" s="8" t="n">
        <f aca="false">IF(C7=1,0,(G7/C7)^(1/5)-1)</f>
        <v>0.0795961350870664</v>
      </c>
      <c r="J7" s="9" t="s">
        <v>16</v>
      </c>
    </row>
    <row r="8" customFormat="false" ht="15" hidden="false" customHeight="false" outlineLevel="0" collapsed="false">
      <c r="A8" s="4" t="s">
        <v>17</v>
      </c>
      <c r="B8" s="5" t="n">
        <v>5.446</v>
      </c>
      <c r="C8" s="6" t="n">
        <v>372.99</v>
      </c>
      <c r="D8" s="7" t="n">
        <f aca="false">B8*C8</f>
        <v>2031.30354</v>
      </c>
      <c r="E8" s="8" t="n">
        <f aca="false">D8/$D$12</f>
        <v>0.109619368573786</v>
      </c>
      <c r="F8" s="6" t="n">
        <v>280</v>
      </c>
      <c r="G8" s="6" t="n">
        <v>520</v>
      </c>
      <c r="H8" s="6" t="n">
        <v>700</v>
      </c>
      <c r="I8" s="8" t="n">
        <f aca="false">IF(C8=1,0,(G8/C8)^(1/5)-1)</f>
        <v>0.0687133415628598</v>
      </c>
      <c r="J8" s="10" t="s">
        <v>18</v>
      </c>
    </row>
    <row r="9" customFormat="false" ht="15" hidden="false" customHeight="false" outlineLevel="0" collapsed="false">
      <c r="A9" s="4" t="s">
        <v>19</v>
      </c>
      <c r="B9" s="5" t="n">
        <v>2.567</v>
      </c>
      <c r="C9" s="6" t="n">
        <v>710</v>
      </c>
      <c r="D9" s="7" t="n">
        <f aca="false">B9*C9</f>
        <v>1822.57</v>
      </c>
      <c r="E9" s="8" t="n">
        <f aca="false">D9/$D$12</f>
        <v>0.098355055582449</v>
      </c>
      <c r="F9" s="6" t="n">
        <v>450</v>
      </c>
      <c r="G9" s="6" t="n">
        <v>820</v>
      </c>
      <c r="H9" s="6" t="n">
        <v>1050</v>
      </c>
      <c r="I9" s="8" t="n">
        <f aca="false">IF(C9=1,0,(G9/C9)^(1/5)-1)</f>
        <v>0.0292268342894328</v>
      </c>
      <c r="J9" s="11" t="s">
        <v>20</v>
      </c>
    </row>
    <row r="10" customFormat="false" ht="15" hidden="false" customHeight="false" outlineLevel="0" collapsed="false">
      <c r="A10" s="4" t="s">
        <v>21</v>
      </c>
      <c r="B10" s="5" t="n">
        <v>6.562</v>
      </c>
      <c r="C10" s="6" t="n">
        <v>166.21</v>
      </c>
      <c r="D10" s="7" t="n">
        <f aca="false">B10*C10</f>
        <v>1090.67002</v>
      </c>
      <c r="E10" s="8" t="n">
        <f aca="false">D10/$D$12</f>
        <v>0.0588580468455043</v>
      </c>
      <c r="F10" s="6" t="n">
        <v>110</v>
      </c>
      <c r="G10" s="6" t="n">
        <v>200</v>
      </c>
      <c r="H10" s="6" t="n">
        <v>260</v>
      </c>
      <c r="I10" s="8" t="n">
        <f aca="false">IF(C10=1,0,(G10/C10)^(1/5)-1)</f>
        <v>0.0377065768222187</v>
      </c>
      <c r="J10" s="11" t="s">
        <v>22</v>
      </c>
    </row>
    <row r="11" customFormat="false" ht="15" hidden="false" customHeight="false" outlineLevel="0" collapsed="false">
      <c r="A11" s="4" t="s">
        <v>23</v>
      </c>
      <c r="B11" s="5" t="n">
        <v>838.62</v>
      </c>
      <c r="C11" s="6" t="n">
        <v>1</v>
      </c>
      <c r="D11" s="7" t="n">
        <f aca="false">B11*C11</f>
        <v>838.62</v>
      </c>
      <c r="E11" s="8" t="n">
        <f aca="false">D11/$D$12</f>
        <v>0.0452561584534769</v>
      </c>
      <c r="F11" s="6" t="n">
        <v>1</v>
      </c>
      <c r="G11" s="6" t="n">
        <v>1</v>
      </c>
      <c r="H11" s="6" t="n">
        <v>1</v>
      </c>
      <c r="I11" s="8" t="n">
        <f aca="false">IF(C11=1,0,(G11/C11)^(1/5)-1)</f>
        <v>0</v>
      </c>
      <c r="J11" s="12" t="s">
        <v>24</v>
      </c>
    </row>
    <row r="12" customFormat="false" ht="15" hidden="false" customHeight="false" outlineLevel="0" collapsed="false">
      <c r="A12" s="4" t="s">
        <v>25</v>
      </c>
      <c r="D12" s="7" t="n">
        <f aca="false">SUM(D5:D11)</f>
        <v>18530.5167</v>
      </c>
      <c r="E12" s="13" t="n">
        <f aca="false">SUM(E5:E11)</f>
        <v>1</v>
      </c>
      <c r="F12" s="14" t="n">
        <f aca="false">SUMPRODUCT($B5:$B11,F5:F11)</f>
        <v>12244.01</v>
      </c>
      <c r="G12" s="14" t="n">
        <f aca="false">SUMPRODUCT($B5:$B11,G5:G11)</f>
        <v>24038.73</v>
      </c>
      <c r="H12" s="14" t="n">
        <f aca="false">SUMPRODUCT($B5:$B11,H5:H11)</f>
        <v>30981.65</v>
      </c>
    </row>
    <row r="13" customFormat="false" ht="15" hidden="false" customHeight="false" outlineLevel="0" collapsed="false">
      <c r="A13" s="15" t="s">
        <v>26</v>
      </c>
    </row>
    <row r="14" customFormat="false" ht="15" hidden="false" customHeight="false" outlineLevel="0" collapsed="false">
      <c r="A14" s="15" t="s">
        <v>27</v>
      </c>
      <c r="F14" s="16" t="n">
        <f aca="false">F12/$D$12-1</f>
        <v>-0.339251560103556</v>
      </c>
      <c r="G14" s="16" t="n">
        <f aca="false">G12/$D$12-1</f>
        <v>0.297250928788186</v>
      </c>
      <c r="H14" s="16" t="n">
        <f aca="false">H12/$D$12-1</f>
        <v>0.671925856228283</v>
      </c>
    </row>
    <row r="16" customFormat="false" ht="15" hidden="false" customHeight="false" outlineLevel="0" collapsed="false">
      <c r="A16" s="4" t="s">
        <v>28</v>
      </c>
      <c r="D16" s="7" t="n">
        <f aca="false">D5+D6</f>
        <v>9877.15732</v>
      </c>
      <c r="E16" s="17" t="n">
        <f aca="false">E5+E6</f>
        <v>0.53302114991753</v>
      </c>
    </row>
    <row r="17" customFormat="false" ht="15" hidden="false" customHeight="false" outlineLevel="0" collapsed="false">
      <c r="A17" s="4" t="s">
        <v>29</v>
      </c>
      <c r="E17" s="17" t="n">
        <f aca="false">E5+E6+E7+E8+E9</f>
        <v>0.895885794701019</v>
      </c>
    </row>
    <row r="19" customFormat="false" ht="15" hidden="false" customHeight="false" outlineLevel="0" collapsed="false">
      <c r="A19" s="18"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35"/>
  </cols>
  <sheetData>
    <row r="1" customFormat="false" ht="17.35" hidden="false" customHeight="false" outlineLevel="0" collapsed="false">
      <c r="A1" s="1" t="s">
        <v>31</v>
      </c>
    </row>
    <row r="4" customFormat="false" ht="15" hidden="false" customHeight="false" outlineLevel="0" collapsed="false">
      <c r="A4" s="19" t="s">
        <v>32</v>
      </c>
    </row>
    <row r="5" customFormat="false" ht="15" hidden="false" customHeight="false" outlineLevel="0" collapsed="false">
      <c r="A5" s="20" t="s">
        <v>33</v>
      </c>
    </row>
    <row r="6" customFormat="false" ht="42" hidden="false" customHeight="true" outlineLevel="0" collapsed="false">
      <c r="A6" s="21" t="s">
        <v>34</v>
      </c>
    </row>
    <row r="7" customFormat="false" ht="15" hidden="false" customHeight="false" outlineLevel="0" collapsed="false">
      <c r="A7" s="20" t="s">
        <v>35</v>
      </c>
    </row>
    <row r="8" customFormat="false" ht="42" hidden="false" customHeight="true" outlineLevel="0" collapsed="false">
      <c r="A8" s="21" t="s">
        <v>36</v>
      </c>
    </row>
    <row r="9" customFormat="false" ht="15" hidden="false" customHeight="false" outlineLevel="0" collapsed="false">
      <c r="A9" s="20" t="s">
        <v>37</v>
      </c>
    </row>
    <row r="10" customFormat="false" ht="42" hidden="false" customHeight="true" outlineLevel="0" collapsed="false">
      <c r="A10" s="21" t="s">
        <v>38</v>
      </c>
    </row>
    <row r="11" customFormat="false" ht="15" hidden="false" customHeight="false" outlineLevel="0" collapsed="false">
      <c r="A11" s="20" t="s">
        <v>39</v>
      </c>
    </row>
    <row r="12" customFormat="false" ht="42" hidden="false" customHeight="true" outlineLevel="0" collapsed="false">
      <c r="A12" s="21" t="s">
        <v>40</v>
      </c>
    </row>
    <row r="13" customFormat="false" ht="15" hidden="false" customHeight="false" outlineLevel="0" collapsed="false">
      <c r="A13" s="20" t="s">
        <v>41</v>
      </c>
    </row>
    <row r="14" customFormat="false" ht="42" hidden="false" customHeight="true" outlineLevel="0" collapsed="false">
      <c r="A14" s="21" t="s">
        <v>42</v>
      </c>
    </row>
    <row r="16" customFormat="false" ht="15" hidden="false" customHeight="false" outlineLevel="0" collapsed="false">
      <c r="A16" s="19" t="s">
        <v>43</v>
      </c>
    </row>
    <row r="17" customFormat="false" ht="15" hidden="false" customHeight="false" outlineLevel="0" collapsed="false">
      <c r="A17" s="22" t="s">
        <v>44</v>
      </c>
    </row>
    <row r="18" customFormat="false" ht="30" hidden="false" customHeight="true" outlineLevel="0" collapsed="false">
      <c r="A18" s="21" t="s">
        <v>45</v>
      </c>
    </row>
    <row r="19" customFormat="false" ht="15" hidden="false" customHeight="false" outlineLevel="0" collapsed="false">
      <c r="A19" s="22" t="s">
        <v>46</v>
      </c>
    </row>
    <row r="20" customFormat="false" ht="30" hidden="false" customHeight="true" outlineLevel="0" collapsed="false">
      <c r="A20" s="21" t="s">
        <v>47</v>
      </c>
    </row>
    <row r="21" customFormat="false" ht="15" hidden="false" customHeight="false" outlineLevel="0" collapsed="false">
      <c r="A21" s="22" t="s">
        <v>48</v>
      </c>
    </row>
    <row r="22" customFormat="false" ht="30" hidden="false" customHeight="true" outlineLevel="0" collapsed="false">
      <c r="A22" s="21" t="s">
        <v>49</v>
      </c>
    </row>
    <row r="23" customFormat="false" ht="15" hidden="false" customHeight="false" outlineLevel="0" collapsed="false">
      <c r="A23" s="22" t="s">
        <v>50</v>
      </c>
    </row>
    <row r="24" customFormat="false" ht="30" hidden="false" customHeight="true" outlineLevel="0" collapsed="false">
      <c r="A24" s="21" t="s">
        <v>51</v>
      </c>
    </row>
    <row r="25" customFormat="false" ht="15" hidden="false" customHeight="false" outlineLevel="0" collapsed="false">
      <c r="A25" s="22" t="s">
        <v>52</v>
      </c>
    </row>
    <row r="26" customFormat="false" ht="30" hidden="false" customHeight="true" outlineLevel="0" collapsed="false">
      <c r="A26" s="21" t="s">
        <v>53</v>
      </c>
    </row>
    <row r="27" customFormat="false" ht="15" hidden="false" customHeight="false" outlineLevel="0" collapsed="false">
      <c r="A27" s="22" t="s">
        <v>54</v>
      </c>
    </row>
    <row r="28" customFormat="false" ht="30" hidden="false" customHeight="true" outlineLevel="0" collapsed="false">
      <c r="A28" s="21" t="s">
        <v>55</v>
      </c>
    </row>
    <row r="30" customFormat="false" ht="15" hidden="false" customHeight="false" outlineLevel="0" collapsed="false">
      <c r="A30" s="19" t="s">
        <v>56</v>
      </c>
    </row>
    <row r="31" customFormat="false" ht="15" hidden="false" customHeight="false" outlineLevel="0" collapsed="false">
      <c r="A31" s="23" t="s">
        <v>57</v>
      </c>
    </row>
    <row r="32" customFormat="false" ht="30" hidden="false" customHeight="true" outlineLevel="0" collapsed="false">
      <c r="A32" s="21" t="s">
        <v>58</v>
      </c>
    </row>
    <row r="33" customFormat="false" ht="15" hidden="false" customHeight="false" outlineLevel="0" collapsed="false">
      <c r="A33" s="23" t="s">
        <v>20</v>
      </c>
    </row>
    <row r="34" customFormat="false" ht="30" hidden="false" customHeight="true" outlineLevel="0" collapsed="false">
      <c r="A34" s="21" t="s">
        <v>59</v>
      </c>
    </row>
    <row r="35" customFormat="false" ht="15" hidden="false" customHeight="false" outlineLevel="0" collapsed="false">
      <c r="A35" s="23" t="s">
        <v>60</v>
      </c>
    </row>
    <row r="36" customFormat="false" ht="30" hidden="false" customHeight="true" outlineLevel="0" collapsed="false">
      <c r="A36" s="21" t="s">
        <v>61</v>
      </c>
    </row>
    <row r="37" customFormat="false" ht="15" hidden="false" customHeight="false" outlineLevel="0" collapsed="false">
      <c r="A37" s="23" t="s">
        <v>62</v>
      </c>
    </row>
    <row r="38" customFormat="false" ht="30" hidden="false" customHeight="true" outlineLevel="0" collapsed="false">
      <c r="A38" s="21" t="s">
        <v>63</v>
      </c>
    </row>
    <row r="39" customFormat="false" ht="15" hidden="false" customHeight="false" outlineLevel="0" collapsed="false">
      <c r="A39" s="23" t="s">
        <v>64</v>
      </c>
    </row>
    <row r="40" customFormat="false" ht="30" hidden="false" customHeight="true" outlineLevel="0" collapsed="false">
      <c r="A40" s="21" t="s">
        <v>65</v>
      </c>
    </row>
    <row r="41" customFormat="false" ht="15" hidden="false" customHeight="false" outlineLevel="0" collapsed="false">
      <c r="A41" s="23" t="s">
        <v>66</v>
      </c>
    </row>
    <row r="42" customFormat="false" ht="30" hidden="false" customHeight="true" outlineLevel="0" collapsed="false">
      <c r="A42" s="21" t="s">
        <v>67</v>
      </c>
    </row>
    <row r="44" customFormat="false" ht="60" hidden="false" customHeight="true" outlineLevel="0" collapsed="false">
      <c r="A44" s="24" t="s">
        <v>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2026-07-28T04:05:22Z</dcterms:created>
  <dc:creator>openpyxl</dc:creator>
  <dc:description/>
  <dc:language>en-US</dc:language>
  <cp:lastModifiedBy/>
  <dcterms:modified xsi:type="dcterms:W3CDTF">2026-07-28T04:05:34Z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