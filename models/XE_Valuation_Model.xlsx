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Historicals" sheetId="3" state="visible" r:id="rId5"/>
    <sheet name="Model_3S" sheetId="4" state="visible" r:id="rId6"/>
    <sheet name="WACC" sheetId="5" state="visible" r:id="rId7"/>
    <sheet name="DCF" sheetId="6" state="visible" r:id="rId8"/>
    <sheet name="Comps" sheetId="7" state="visible" r:id="rId9"/>
    <sheet name="Precedents" sheetId="8" state="visible" r:id="rId10"/>
    <sheet name="LBO" sheetId="9" state="visible" r:id="rId11"/>
    <sheet name="Monte_Carlo" sheetId="10" state="visible" r:id="rId12"/>
    <sheet name="Football_Field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<sst xmlns="http://schemas.openxmlformats.org/spreadsheetml/2006/main" count="480" uniqueCount="434">
  <si>
    <t xml:space="preserve">X-ENERGY, INC. (NASDAQ: XE) — DCF VALUATION &amp; 3-STATEMENT OPERATING MODEL</t>
  </si>
  <si>
    <t xml:space="preserve">Prepared July 20, 2026 · $ millions except per-share · Calendar fiscal year · IPO'd April 24, 2026 at $23.00</t>
  </si>
  <si>
    <t xml:space="preserve">READ THIS FIRST</t>
  </si>
  <si>
    <t xml:space="preserve">X-Energy is a PRE-COMMERCIAL small-modular-reactor (SMR) and TRISO fuel company. Today's revenue is mostly DOE ARDP cost-share; first fuel plant (TX-1) targets H1-2028 operations and first Xe-100 reactors (Dow Seadrift, Amazon Cascade) target ~2030. A DCF here is a scenario framework, not a point estimate: nearly all value sits in the terminal value, the Gordon-growth method is structurally punitive inside a 10-year window (FY2035 is still reinvesting), and ranges are extremely wide. Treat the exit-multiple DCF, comps and Monte Carlo bands together.</t>
  </si>
  <si>
    <t xml:space="preserve">CONTENTS</t>
  </si>
  <si>
    <t xml:space="preserve">Assumptions</t>
  </si>
  <si>
    <t xml:space="preserve">Scenario switch &amp; levers (edit yellow cells)</t>
  </si>
  <si>
    <t xml:space="preserve">Historicals</t>
  </si>
  <si>
    <t xml:space="preserve">FY2024–FY2025 actuals, Q1-2026, FY2026E build</t>
  </si>
  <si>
    <t xml:space="preserve">Model_3S</t>
  </si>
  <si>
    <t xml:space="preserve">Linked IS/BS/CF FY2026E–FY2035E; fixed+variable opex, capex program, revolver, working capital</t>
  </si>
  <si>
    <t xml:space="preserve">WACC</t>
  </si>
  <si>
    <t xml:space="preserve">CAPM; beta proxied from SMR peer group (no trading history)</t>
  </si>
  <si>
    <t xml:space="preserve">DCF</t>
  </si>
  <si>
    <t xml:space="preserve">Unlevered FCF, Gordon + exit-multiple TV, sensitivities</t>
  </si>
  <si>
    <t xml:space="preserve">Comps</t>
  </si>
  <si>
    <t xml:space="preserve">SMR peer benchmarks (OKLO, NuScale) — EV per pipeline GW and market-cap comparison</t>
  </si>
  <si>
    <t xml:space="preserve">Precedents</t>
  </si>
  <si>
    <t xml:space="preserve">Nuclear-sector precedent transactions (limited applicability — flagged)</t>
  </si>
  <si>
    <t xml:space="preserve">LBO</t>
  </si>
  <si>
    <t xml:space="preserve">All-equity growth take-private; exit on EV/Revenue; IRR thresholds</t>
  </si>
  <si>
    <t xml:space="preserve">Monte_Carlo</t>
  </si>
  <si>
    <t xml:space="preserve">500 live trials + scenario probability weights</t>
  </si>
  <si>
    <t xml:space="preserve">Football_Field</t>
  </si>
  <si>
    <t xml:space="preserve">Valuation summary chart vs. current price</t>
  </si>
  <si>
    <t xml:space="preserve">LEGEND</t>
  </si>
  <si>
    <t xml:space="preserve">Blue font / yellow fill</t>
  </si>
  <si>
    <t xml:space="preserve">Hardcoded input or scenario lever — edit these</t>
  </si>
  <si>
    <t xml:space="preserve">Black font</t>
  </si>
  <si>
    <t xml:space="preserve">Formula — do not overwrite</t>
  </si>
  <si>
    <t xml:space="preserve">Green font</t>
  </si>
  <si>
    <t xml:space="preserve">Link to another sheet</t>
  </si>
  <si>
    <t xml:space="preserve">'e'</t>
  </si>
  <si>
    <t xml:space="preserve">Estimated figure — see cell notes</t>
  </si>
  <si>
    <t xml:space="preserve">KEY SOURCES</t>
  </si>
  <si>
    <t xml:space="preserve">Q1-2026 results (8-K/10-Q, June 4, 2026)</t>
  </si>
  <si>
    <t xml:space="preserve">https://www.sec.gov/Archives/edgar/data/0002088896/000119312526256369/xe-ex99_1.htm ; globenewswire.com/news-release/2026/06/04/3306595</t>
  </si>
  <si>
    <t xml:space="preserve">IPO pricing ($23, upsized, ~$1.02B gross)</t>
  </si>
  <si>
    <t xml:space="preserve">businesswire.com/news/home/20260423988681 ; iposcoop.com</t>
  </si>
  <si>
    <t xml:space="preserve">FY2024/FY2025 (S-1 / 10-K summaries)</t>
  </si>
  <si>
    <t xml:space="preserve">tradingview.com &amp; stocktitan.net 10-Q/10-K summaries: FY25 rev+grants $109.1mm, net loss $389.8mm; FY24 $120.2mm / $126.0mm</t>
  </si>
  <si>
    <t xml:space="preserve">Price, range, analyst targets</t>
  </si>
  <si>
    <t xml:space="preserve">stockanalysis.com/stocks/xe, marketbeat, benzinga (avg target ~$39.9; range $28 Jefferies – $57 Guggenheim; 8 analysts)</t>
  </si>
  <si>
    <t xml:space="preserve">Peers</t>
  </si>
  <si>
    <t xml:space="preserve">OKLO mkt cap ~$8.0B (companiesmarketcap), NuScale ~$3.1B (yahoo), July 2026</t>
  </si>
  <si>
    <t xml:space="preserve">10Y UST 4.55% (7/17/2026)</t>
  </si>
  <si>
    <t xml:space="preserve">tradingeconomics.com / FRED DGS10</t>
  </si>
  <si>
    <t xml:space="preserve">DISCLAIMER</t>
  </si>
  <si>
    <t xml:space="preserve">Educational model, not investment advice. Pre-commercial-stage projections are inherently speculative; verify everything against X-Energy's filings.</t>
  </si>
  <si>
    <t xml:space="preserve">ASSUMPTIONS &amp; SCENARIO LEVERS — X-ENERGY</t>
  </si>
  <si>
    <t xml:space="preserve">Edit yellow cells. Switch drives Model_3S, DCF, LBO, Monte Carlo.</t>
  </si>
  <si>
    <t xml:space="preserve">SCENARIO SWITCH  (1 = Base, 2 = Bull, 3 = Bear)</t>
  </si>
  <si>
    <t xml:space="preserve">Scenario probability weights</t>
  </si>
  <si>
    <t xml:space="preserve">Base</t>
  </si>
  <si>
    <t xml:space="preserve">Bull</t>
  </si>
  <si>
    <t xml:space="preserve">Bear</t>
  </si>
  <si>
    <t xml:space="preserve">Total</t>
  </si>
  <si>
    <t xml:space="preserve">Probability</t>
  </si>
  <si>
    <t xml:space="preserve">Higher bear weight than a commercial-stage company — licensing/execution risk</t>
  </si>
  <si>
    <t xml:space="preserve">Revenue growth — decays linearly FY2027 → FY2035 (drivers: ARDP services → TRISO fuel from 2028 → Xe-100 deployments from ~2030)</t>
  </si>
  <si>
    <t xml:space="preserve">Selected</t>
  </si>
  <si>
    <t xml:space="preserve">FY2027 revenue growth</t>
  </si>
  <si>
    <t xml:space="preserve">FY2035 revenue growth (terminal-year)</t>
  </si>
  <si>
    <t xml:space="preserve">Implied FY2035 revenue: Base ~$3.6B (~8-10 Xe-100 deliveries/yr + fuel), Bull ~$7.3B (Amazon 5 GWe on schedule + fleet orders), Bear ~$0.3B (TRISO fuel franchise only). FY2026E revenue $180mm (Q1 annualized, ARDP ramp).</t>
  </si>
  <si>
    <t xml:space="preserve">Operating drivers — FY2026 start ramps linearly to FY2035 target</t>
  </si>
  <si>
    <t xml:space="preserve">Driver</t>
  </si>
  <si>
    <t xml:space="preserve">FY26 start</t>
  </si>
  <si>
    <t xml:space="preserve">Base target</t>
  </si>
  <si>
    <t xml:space="preserve">Bull target</t>
  </si>
  <si>
    <t xml:space="preserve">Bear target</t>
  </si>
  <si>
    <t xml:space="preserve">Gross margin (services / fuel / reactor blend)</t>
  </si>
  <si>
    <t xml:space="preserve">Variable opex (% revenue)</t>
  </si>
  <si>
    <t xml:space="preserve">Stock-based compensation (% revenue)</t>
  </si>
  <si>
    <t xml:space="preserve">Cash tax rate (large NOLs)</t>
  </si>
  <si>
    <t xml:space="preserve">Customer deposits / deferred revenue (% revenue)</t>
  </si>
  <si>
    <t xml:space="preserve">Fixed cost &amp; capex programs (scenario growth rates)</t>
  </si>
  <si>
    <t xml:space="preserve">Fixed cash opex growth %/yr (R&amp;D, licensing, G&amp;A)</t>
  </si>
  <si>
    <t xml:space="preserve">Capex growth %/yr (TX-1/TX-2 fuel plants, engineering)</t>
  </si>
  <si>
    <t xml:space="preserve">Xe-100 plants are owned and largely funded by customers (Dow, Amazon) — X-Energy's capex is fuel fabrication capacity and engineering, not power plants.</t>
  </si>
  <si>
    <t xml:space="preserve">Other inputs</t>
  </si>
  <si>
    <t xml:space="preserve">Fixed cash opex, FY2026 ($mm)</t>
  </si>
  <si>
    <t xml:space="preserve">Capex, FY2026 ($mm)</t>
  </si>
  <si>
    <t xml:space="preserve">D&amp;A rate (% of beginning PP&amp;E)</t>
  </si>
  <si>
    <t xml:space="preserve">Days sales outstanding (DSO)</t>
  </si>
  <si>
    <t xml:space="preserve">Days inventory (DIO, on COGS)</t>
  </si>
  <si>
    <t xml:space="preserve">Days payable (DPO, on COGS + cash opex)</t>
  </si>
  <si>
    <t xml:space="preserve">Other current assets (% revenue)</t>
  </si>
  <si>
    <t xml:space="preserve">Interest earned on cash</t>
  </si>
  <si>
    <t xml:space="preserve">Revolver interest rate</t>
  </si>
  <si>
    <t xml:space="preserve">Minimum cash balance ($mm)</t>
  </si>
  <si>
    <t xml:space="preserve">Diluted shares outstanding (mm)</t>
  </si>
  <si>
    <t xml:space="preserve">~406mm total shares implied by $5.7-5.9B market cap at ~$14; includes Class B. Warrants excluded (liability-classified; MTM excluded from model)</t>
  </si>
  <si>
    <t xml:space="preserve">Marginal tax rate (valuation)</t>
  </si>
  <si>
    <t xml:space="preserve">IPO net proceeds received FY2026 ($mm)</t>
  </si>
  <si>
    <t xml:space="preserve">Terminal value &amp; market inputs</t>
  </si>
  <si>
    <t xml:space="preserve">Terminal (perpetuity) growth rate g</t>
  </si>
  <si>
    <t xml:space="preserve">Exit EV / Adj. EBITDA multiple (FY2035)</t>
  </si>
  <si>
    <t xml:space="preserve">Current share price (7/17/2026)</t>
  </si>
  <si>
    <t xml:space="preserve">FY2035 is still a growth year for XE, so Gordon growth on FY35 FCF is structurally conservative; the exit multiple (15x a ~25%-growth EBITDA stream) is the more meaningful anchor. Both shown.</t>
  </si>
  <si>
    <t xml:space="preserve">HISTORICAL FINANCIALS  ($mm)</t>
  </si>
  <si>
    <t xml:space="preserve">FY2024A</t>
  </si>
  <si>
    <t xml:space="preserve">FY2025A</t>
  </si>
  <si>
    <t xml:space="preserve">Q1-25A</t>
  </si>
  <si>
    <t xml:space="preserve">Q1-26A</t>
  </si>
  <si>
    <t xml:space="preserve">FY2026E</t>
  </si>
  <si>
    <t xml:space="preserve">Revenue + grant income</t>
  </si>
  <si>
    <t xml:space="preserve">FY2026E: Q1 $43.4mm annualized with continued ARDP ramp (e)</t>
  </si>
  <si>
    <t xml:space="preserve">Net loss (GAAP)</t>
  </si>
  <si>
    <t xml:space="preserve">Net loss ex-warrant MTM (e)</t>
  </si>
  <si>
    <t xml:space="preserve">Operating cash flow</t>
  </si>
  <si>
    <t xml:space="preserve">Cash + investments (period end)</t>
  </si>
  <si>
    <t xml:space="preserve">Post-IPO liquidity (~April 2026)</t>
  </si>
  <si>
    <t xml:space="preserve">$944mm at 3/31/26 + ~$1.1B IPO net proceeds (IPO closed after Q1 end); company cites ~$2B liquidity</t>
  </si>
  <si>
    <t xml:space="preserve">Key commercial facts</t>
  </si>
  <si>
    <t xml:space="preserve">IPO: April 24, 2026 at $23.00 (upsized; ~$1.02B gross); first-day close $29.20; price 7/17/26: $14.02</t>
  </si>
  <si>
    <t xml:space="preserve">Pipeline: &gt;11 GWe / ~144 reactors — Dow (Seadrift TX, industrial heat), Amazon (data centers, 5+ GWe option incl. Cascade WA), Centrica (Hartlepool UK)</t>
  </si>
  <si>
    <t xml:space="preserve">TRISO-X TX-1 fuel facility: license received, construction underway, operations targeted H1-2028, initial capacity to fuel ~11 reactors</t>
  </si>
  <si>
    <t xml:space="preserve">Q1-26 net loss includes $108.9mm non-cash warrant mark-to-market — excluded from the operating model</t>
  </si>
  <si>
    <t xml:space="preserve">Zero debt; revenue today is predominantly DOE ARDP cost-share services + grants</t>
  </si>
  <si>
    <t xml:space="preserve">Opening balance sheet, 12/31/2025 (estimated — S-1 detail not fully retrievable):</t>
  </si>
  <si>
    <t xml:space="preserve">  Cash + investments e</t>
  </si>
  <si>
    <t xml:space="preserve">  Receivables e</t>
  </si>
  <si>
    <t xml:space="preserve">  Inventory e</t>
  </si>
  <si>
    <t xml:space="preserve">  Other current assets e</t>
  </si>
  <si>
    <t xml:space="preserve">  PP&amp;E net (incl. TX-1 construction) e</t>
  </si>
  <si>
    <t xml:space="preserve">  Other LT assets e</t>
  </si>
  <si>
    <t xml:space="preserve">  Accounts payable + accrued e</t>
  </si>
  <si>
    <t xml:space="preserve">  Customer deposits / deferred revenue e</t>
  </si>
  <si>
    <t xml:space="preserve">  Warrant + other LT liabilities e</t>
  </si>
  <si>
    <t xml:space="preserve">  Total equity (plug)</t>
  </si>
  <si>
    <t xml:space="preserve">Sources: Q1-26 8-K/press release (globenewswire 6/4/26), 10-Q summaries (tradingview/stocktitan), IPO releases (businesswire). Full URLs on Cover.</t>
  </si>
  <si>
    <t xml:space="preserve">3-STATEMENT OPERATING MODEL — FY2026E–FY2035E  ($mm; warrant MTM excluded)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</si>
  <si>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</si>
  <si>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</si>
  <si>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</si>
  <si>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</si>
  <si>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</si>
  <si>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</si>
  <si>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FY2033E</t>
  </si>
  <si>
    <t xml:space="preserve">FY2034E</t>
  </si>
  <si>
    <t xml:space="preserve">FY2035E</t>
  </si>
  <si>
    <t xml:space="preserve">DRIVERS</t>
  </si>
  <si>
    <t xml:space="preserve">Revenue growth %</t>
  </si>
  <si>
    <t xml:space="preserve">Gross margin %</t>
  </si>
  <si>
    <t xml:space="preserve">Variable opex % rev</t>
  </si>
  <si>
    <t xml:space="preserve">SBC % rev</t>
  </si>
  <si>
    <t xml:space="preserve">Cash tax rate %</t>
  </si>
  <si>
    <t xml:space="preserve">Deposits % rev</t>
  </si>
  <si>
    <t xml:space="preserve">INCOME STATEMENT</t>
  </si>
  <si>
    <t xml:space="preserve">Cost of revenue (excl. D&amp;A)</t>
  </si>
  <si>
    <t xml:space="preserve">Gross profit</t>
  </si>
  <si>
    <t xml:space="preserve">Fixed cash opex (R&amp;D, licensing, G&amp;A)</t>
  </si>
  <si>
    <t xml:space="preserve">Variable opex</t>
  </si>
  <si>
    <t xml:space="preserve">Adjusted EBITDA</t>
  </si>
  <si>
    <t xml:space="preserve">Stock-based compensation</t>
  </si>
  <si>
    <t xml:space="preserve">D&amp;A (% of beginning PP&amp;E)</t>
  </si>
  <si>
    <t xml:space="preserve">EBIT</t>
  </si>
  <si>
    <t xml:space="preserve">Interest income (on beginning cash)</t>
  </si>
  <si>
    <t xml:space="preserve">Interest expense (revolver)</t>
  </si>
  <si>
    <t xml:space="preserve">Pre-tax income</t>
  </si>
  <si>
    <t xml:space="preserve">Taxes (NOL-shielded early years)</t>
  </si>
  <si>
    <t xml:space="preserve">Net income (ex-warrant MTM)</t>
  </si>
  <si>
    <t xml:space="preserve">  Adj. EBITDA margin %</t>
  </si>
  <si>
    <t xml:space="preserve">WORKING CAPITAL</t>
  </si>
  <si>
    <t xml:space="preserve">Accounts receivable</t>
  </si>
  <si>
    <t xml:space="preserve">Inventory</t>
  </si>
  <si>
    <t xml:space="preserve">Other current assets</t>
  </si>
  <si>
    <t xml:space="preserve">Accounts payable + accrued</t>
  </si>
  <si>
    <t xml:space="preserve">Customer deposits / deferred revenue</t>
  </si>
  <si>
    <t xml:space="preserve">Net working capital</t>
  </si>
  <si>
    <t xml:space="preserve">(Increase) / decrease in NWC — cash impact</t>
  </si>
  <si>
    <t xml:space="preserve">CAPEX &amp; PP&amp;E (fuel fabrication capacity + engineering)</t>
  </si>
  <si>
    <t xml:space="preserve">Capex (program, scenario growth)</t>
  </si>
  <si>
    <t xml:space="preserve">PP&amp;E, net</t>
  </si>
  <si>
    <t xml:space="preserve">DEBT SCHEDULE (currently debt-free; revolver models any funding gap)</t>
  </si>
  <si>
    <t xml:space="preserve">Revolver — beginning</t>
  </si>
  <si>
    <t xml:space="preserve">  Draw (if cash &lt; minimum)</t>
  </si>
  <si>
    <t xml:space="preserve">Draws indicate an external funding need (equity raise in practice) — watch this row in the Bear case</t>
  </si>
  <si>
    <t xml:space="preserve">  (Repayment)</t>
  </si>
  <si>
    <t xml:space="preserve">Revolver — ending</t>
  </si>
  <si>
    <t xml:space="preserve">Total debt — ending</t>
  </si>
  <si>
    <t xml:space="preserve">CASH FLOW STATEMENT</t>
  </si>
  <si>
    <t xml:space="preserve">Net income</t>
  </si>
  <si>
    <t xml:space="preserve">+ D&amp;A</t>
  </si>
  <si>
    <t xml:space="preserve">+ Stock-based compensation</t>
  </si>
  <si>
    <t xml:space="preserve">+/- Change in NWC</t>
  </si>
  <si>
    <t xml:space="preserve">Cash from operations</t>
  </si>
  <si>
    <t xml:space="preserve">- Capex</t>
  </si>
  <si>
    <t xml:space="preserve">Free cash flow</t>
  </si>
  <si>
    <t xml:space="preserve">+ Equity issuance (IPO net, FY2026)</t>
  </si>
  <si>
    <t xml:space="preserve">+ Revolver draws / (repayments)</t>
  </si>
  <si>
    <t xml:space="preserve">Net change in cash</t>
  </si>
  <si>
    <t xml:space="preserve">Cash — beginning</t>
  </si>
  <si>
    <t xml:space="preserve">Cash + investments — ending</t>
  </si>
  <si>
    <t xml:space="preserve">BALANCE SHEET</t>
  </si>
  <si>
    <t xml:space="preserve">Cash + investments</t>
  </si>
  <si>
    <t xml:space="preserve">Other long-term assets</t>
  </si>
  <si>
    <t xml:space="preserve">TOTAL ASSETS</t>
  </si>
  <si>
    <t xml:space="preserve">Revolver</t>
  </si>
  <si>
    <t xml:space="preserve">Warrant + other LT liabilities</t>
  </si>
  <si>
    <t xml:space="preserve">TOTAL LIABILITIES</t>
  </si>
  <si>
    <t xml:space="preserve">Total equity (opening = plug; rolls with NI + SBC + issuance)</t>
  </si>
  <si>
    <t xml:space="preserve">TOTAL LIABILITIES + EQUITY</t>
  </si>
  <si>
    <t xml:space="preserve">Balance check (must be 0)</t>
  </si>
  <si>
    <t xml:space="preserve">WEIGHTED AVERAGE COST OF CAPITAL — CURRENT MARKET DATA (JULY 2026)</t>
  </si>
  <si>
    <t xml:space="preserve">COST OF EQUITY (CAPM)</t>
  </si>
  <si>
    <t xml:space="preserve">Risk-free rate — 10Y UST, 7/17/2026</t>
  </si>
  <si>
    <t xml:space="preserve">Levered beta (proxy)</t>
  </si>
  <si>
    <t xml:space="preserve">XE listed &lt;3 months — proxied from SMR peers (OKLO/NuScale betas ~2.0-3.0); e</t>
  </si>
  <si>
    <t xml:space="preserve">Equity risk premium</t>
  </si>
  <si>
    <t xml:space="preserve">Damodaran implied ERP, mid-2026</t>
  </si>
  <si>
    <t xml:space="preserve">Company-specific premium</t>
  </si>
  <si>
    <t xml:space="preserve">Licensing/execution risk arguably merits +1-2%; left at 0, beta already high</t>
  </si>
  <si>
    <t xml:space="preserve">Cost of equity</t>
  </si>
  <si>
    <t xml:space="preserve">COST OF DEBT</t>
  </si>
  <si>
    <t xml:space="preserve">Pre-tax cost of debt (hypothetical)</t>
  </si>
  <si>
    <t xml:space="preserve">XE has no debt; HY-style rate if it issued</t>
  </si>
  <si>
    <t xml:space="preserve">Tax rate</t>
  </si>
  <si>
    <t xml:space="preserve">After-tax cost of debt</t>
  </si>
  <si>
    <t xml:space="preserve">CAPITAL STRUCTURE</t>
  </si>
  <si>
    <t xml:space="preserve">Debt / total capital</t>
  </si>
  <si>
    <t xml:space="preserve">All-equity</t>
  </si>
  <si>
    <t xml:space="preserve">Equity / total capital</t>
  </si>
  <si>
    <t xml:space="preserve">WACC ≈ 14.0%. Sensitivity range in DCF tables: 12% – 16%. For a pre-commercial company the discount rate is the single most contestable input.</t>
  </si>
  <si>
    <t xml:space="preserve">DISCOUNTED CASH FLOW — UNLEVERED FCF  ($mm; valuation as of FY2026 year-end, mid-year convention)</t>
  </si>
  <si>
    <t xml:space="preserve">Cash taxes on EBIT</t>
  </si>
  <si>
    <t xml:space="preserve">− Capex</t>
  </si>
  <si>
    <t xml:space="preserve">+/− Change in NWC</t>
  </si>
  <si>
    <t xml:space="preserve">Unlevered free cash flow</t>
  </si>
  <si>
    <t xml:space="preserve">Discount period (mid-year)</t>
  </si>
  <si>
    <t xml:space="preserve">Discount factor @ WACC</t>
  </si>
  <si>
    <t xml:space="preserve">PV of FCF</t>
  </si>
  <si>
    <t xml:space="preserve">Explicit-window FCF is NEGATIVE until ~FY2033 (development burn) — the sum of PV of FCF is a cost, and value is carried by the terminal value. This is the honest shape of a pre-commercial DCF.</t>
  </si>
  <si>
    <t xml:space="preserve">Sum of PV of explicit FCF (FY27–35)</t>
  </si>
  <si>
    <t xml:space="preserve">TERMINAL VALUE — METHOD 1: GORDON GROWTH  (structurally conservative here — FY35 FCF is still depressed by reinvestment)</t>
  </si>
  <si>
    <t xml:space="preserve">Terminal growth g</t>
  </si>
  <si>
    <t xml:space="preserve">Terminal value = FCF35 × (1+g) / (WACC − g)</t>
  </si>
  <si>
    <t xml:space="preserve">PV of terminal value (9.0 yrs)</t>
  </si>
  <si>
    <t xml:space="preserve">  Implied exit EV/EBITDA on FY35 Adj. EBITDA</t>
  </si>
  <si>
    <t xml:space="preserve">TERMINAL VALUE — METHOD 2: EXIT MULTIPLE  (primary anchor)</t>
  </si>
  <si>
    <t xml:space="preserve">Exit EV/Adj. EBITDA multiple</t>
  </si>
  <si>
    <t xml:space="preserve">Terminal value = multiple × FY35 Adj. EBITDA</t>
  </si>
  <si>
    <t xml:space="preserve">PV of terminal value</t>
  </si>
  <si>
    <t xml:space="preserve">  Implied perpetuity growth from exit TV</t>
  </si>
  <si>
    <t xml:space="preserve">ENTERPRISE → EQUITY VALUE BRIDGE</t>
  </si>
  <si>
    <t xml:space="preserve">Net cash, FY2026E year-end</t>
  </si>
  <si>
    <t xml:space="preserve">Diluted shares (mm)</t>
  </si>
  <si>
    <t xml:space="preserve">Gordon growth</t>
  </si>
  <si>
    <t xml:space="preserve">Exit multiple</t>
  </si>
  <si>
    <t xml:space="preserve">Average</t>
  </si>
  <si>
    <t xml:space="preserve">Enterprise value</t>
  </si>
  <si>
    <t xml:space="preserve">+ Net cash</t>
  </si>
  <si>
    <t xml:space="preserve">Equity value</t>
  </si>
  <si>
    <t xml:space="preserve">Implied value per share</t>
  </si>
  <si>
    <t xml:space="preserve">Upside / (downside) vs current price</t>
  </si>
  <si>
    <t xml:space="preserve">At a 14% WACC the 10-year Base DCF lands below the market price: the market is paying for the 2036+ fleet ramp (Amazon 5 GWe by 2039, 11.5 GWe pipeline) that sits beyond the explicit window. The Bull toggle and exit-multiple sensitivities show what has to be true to justify $14+.</t>
  </si>
  <si>
    <t xml:space="preserve">SENSITIVITY — VALUE PER SHARE: WACC × TERMINAL GROWTH (Gordon)</t>
  </si>
  <si>
    <t xml:space="preserve">WACC \ g</t>
  </si>
  <si>
    <t xml:space="preserve">SENSITIVITY — VALUE PER SHARE: WACC × EXIT EV/EBITDA MULTIPLE</t>
  </si>
  <si>
    <t xml:space="preserve">WACC \ x</t>
  </si>
  <si>
    <t xml:space="preserve">SENSITIVITY — VALUE PER SHARE: FY2027 GROWTH × TERMINAL GROSS MARGIN  (compact approximation, exit-multiple TV)</t>
  </si>
  <si>
    <t xml:space="preserve">Rev35 ≈ FY26E rev × (1+avg(g1, FY35 g))^9; EBITDA35 = Rev35 × (GM − variable opex) − fixed opex FY35; interim-FCF PV scaled by revenue ratio. Exact at base point.</t>
  </si>
  <si>
    <t xml:space="preserve">FY27 g \ GM</t>
  </si>
  <si>
    <t xml:space="preserve">PEER BENCHMARKS — SMR / ADVANCED NUCLEAR  (July 2026; conventional multiples don't exist pre-revenue)</t>
  </si>
  <si>
    <t xml:space="preserve">Company</t>
  </si>
  <si>
    <t xml:space="preserve">Ticker</t>
  </si>
  <si>
    <t xml:space="preserve">Mkt cap ($B)</t>
  </si>
  <si>
    <t xml:space="preserve">Pipeline (GWe) e</t>
  </si>
  <si>
    <t xml:space="preserve">EV / pipeline GW ($B) e</t>
  </si>
  <si>
    <t xml:space="preserve">Note</t>
  </si>
  <si>
    <t xml:space="preserve">Oklo</t>
  </si>
  <si>
    <t xml:space="preserve">OKLO</t>
  </si>
  <si>
    <t xml:space="preserve">Aurora fast reactors; pre-revenue; mkt cap per companiesmarketcap 7/2026</t>
  </si>
  <si>
    <t xml:space="preserve">NuScale Power</t>
  </si>
  <si>
    <t xml:space="preserve">SMR</t>
  </si>
  <si>
    <t xml:space="preserve">Only NRC-certified design; ~$38mm LTM revenue</t>
  </si>
  <si>
    <t xml:space="preserve">X-Energy (self)</t>
  </si>
  <si>
    <t xml:space="preserve">XE</t>
  </si>
  <si>
    <t xml:space="preserve">~406mm shares × $14.02; ~$2.0B net cash</t>
  </si>
  <si>
    <t xml:space="preserve">EV = mkt cap − est. net cash (XE ~$2.0B; peers ~$0.5B each, e). Pipeline GWe are company-disclosed targets, not contracted backlog — treat as soft.</t>
  </si>
  <si>
    <t xml:space="preserve">IMPLIED VALUE PER SHARE</t>
  </si>
  <si>
    <t xml:space="preserve">Method</t>
  </si>
  <si>
    <t xml:space="preserve">Low</t>
  </si>
  <si>
    <t xml:space="preserve">High</t>
  </si>
  <si>
    <t xml:space="preserve">Metric</t>
  </si>
  <si>
    <t xml:space="preserve">$/sh low</t>
  </si>
  <si>
    <t xml:space="preserve">$/sh high</t>
  </si>
  <si>
    <t xml:space="preserve">EV per pipeline GW ($B/GW) × 11.5 GWe</t>
  </si>
  <si>
    <t xml:space="preserve">EV / FY2030E revenue (×), discounted 4 yrs @ WACC</t>
  </si>
  <si>
    <t xml:space="preserve">Band spans NuScale-like (~$0.4B/GW) to Oklo-like (~$0.55-0.7B/GW) per-pipeline-GW valuations. Both methods are rough by nature — the market prices these stocks on narrative, funding and milestones.</t>
  </si>
  <si>
    <t xml:space="preserve">PRECEDENT TRANSACTIONS — NUCLEAR TECHNOLOGY  (limited applicability to a pre-commercial SMR developer)</t>
  </si>
  <si>
    <t xml:space="preserve">Date</t>
  </si>
  <si>
    <t xml:space="preserve">Acquirer</t>
  </si>
  <si>
    <t xml:space="preserve">Target</t>
  </si>
  <si>
    <t xml:space="preserve">EV ($mm)</t>
  </si>
  <si>
    <t xml:space="preserve">Basis</t>
  </si>
  <si>
    <t xml:space="preserve">Oct-2022</t>
  </si>
  <si>
    <t xml:space="preserve">Cameco / Brookfield</t>
  </si>
  <si>
    <t xml:space="preserve">Westinghouse (49%/51%)</t>
  </si>
  <si>
    <t xml:space="preserve">~10x EBITDA e</t>
  </si>
  <si>
    <t xml:space="preserve">Mature nuclear services/fuel franchise</t>
  </si>
  <si>
    <t xml:space="preserve">Jan-2018</t>
  </si>
  <si>
    <t xml:space="preserve">Brookfield</t>
  </si>
  <si>
    <t xml:space="preserve">Westinghouse (from Toshiba bankruptcy)</t>
  </si>
  <si>
    <t xml:space="preserve">~8x EBITDA e</t>
  </si>
  <si>
    <t xml:space="preserve">Distressed</t>
  </si>
  <si>
    <t xml:space="preserve">2021-24</t>
  </si>
  <si>
    <t xml:space="preserve">Various SPACs</t>
  </si>
  <si>
    <t xml:space="preserve">Oklo, NuScale, TerraPower (private rounds)</t>
  </si>
  <si>
    <t xml:space="preserve">$1-4B pre-revenue e</t>
  </si>
  <si>
    <t xml:space="preserve">Financing marks, not M&amp;A</t>
  </si>
  <si>
    <t xml:space="preserve">Nov-2023</t>
  </si>
  <si>
    <t xml:space="preserve">(failed) Ares SPAC</t>
  </si>
  <si>
    <t xml:space="preserve">X-Energy itself</t>
  </si>
  <si>
    <t xml:space="preserve">pre-revenue e</t>
  </si>
  <si>
    <t xml:space="preserve">Terminated SPAC valued XE ~$1.8B in 2023; IPO 2026 at ~$8B</t>
  </si>
  <si>
    <t xml:space="preserve">There is no true M&amp;A market for SMR developers yet — control transactions have only happened for mature nuclear franchises (Westinghouse) or as financing events. The applied range below borrows the comps' EV-per-pipeline-GW framework at an M&amp;A (no-hype) discount.</t>
  </si>
  <si>
    <t xml:space="preserve">APPLIED RANGE</t>
  </si>
  <si>
    <t xml:space="preserve">EV per pipeline GW ($B/GW) — strategic acquirer</t>
  </si>
  <si>
    <t xml:space="preserve">Implied EV ($mm, × 11.5 GWe)</t>
  </si>
  <si>
    <t xml:space="preserve">GROWTH TAKE-PRIVATE ANALYSIS — 5-YEAR HOLD (ENTRY END-FY2026, EXIT END-FY2031)  ($mm)</t>
  </si>
  <si>
    <t xml:space="preserve">A conventional LBO is impossible: EBITDA is negative, so debt capacity is zero. This is an ALL-EQUITY take-private (growth buyout): the sponsor buys the equity, inherits ~$2B cash, funds the remaining burn, and exits on an EV/Revenue multiple.</t>
  </si>
  <si>
    <t xml:space="preserve">ENTRY</t>
  </si>
  <si>
    <t xml:space="preserve">Entry premium to current price</t>
  </si>
  <si>
    <t xml:space="preserve">Entry price per share</t>
  </si>
  <si>
    <t xml:space="preserve">Equity purchase price</t>
  </si>
  <si>
    <t xml:space="preserve">Net cash acquired (FY2026E year-end)</t>
  </si>
  <si>
    <t xml:space="preserve">Debt capacity (EBITDA-based)</t>
  </si>
  <si>
    <t xml:space="preserve">4.5x leverage × max(0, FY26E EBITDA) — zero while EBITDA is negative</t>
  </si>
  <si>
    <t xml:space="preserve">HOLD-PERIOD FUNDING (FY2027–FY2031)</t>
  </si>
  <si>
    <t xml:space="preserve">Cumulative negative unlevered FCF (burn)</t>
  </si>
  <si>
    <t xml:space="preserve">Funded by acquired cash</t>
  </si>
  <si>
    <t xml:space="preserve">Additional sponsor funding required</t>
  </si>
  <si>
    <t xml:space="preserve">Residual cash at exit (if burn &lt; acquired cash)</t>
  </si>
  <si>
    <t xml:space="preserve">Total sponsor commitment</t>
  </si>
  <si>
    <t xml:space="preserve">EXIT &amp; RETURNS</t>
  </si>
  <si>
    <t xml:space="preserve">FY2031E revenue</t>
  </si>
  <si>
    <t xml:space="preserve">Exit EV / Revenue multiple</t>
  </si>
  <si>
    <t xml:space="preserve">SMR-sector scale-up multiple; sensitive input — flex it</t>
  </si>
  <si>
    <t xml:space="preserve">Exit enterprise value</t>
  </si>
  <si>
    <t xml:space="preserve">Plus: residual cash</t>
  </si>
  <si>
    <t xml:space="preserve">Exit equity value</t>
  </si>
  <si>
    <t xml:space="preserve">MOIC (on total commitment)</t>
  </si>
  <si>
    <t xml:space="preserve">IRR (5-yr, commitment treated as upfront — conservative)</t>
  </si>
  <si>
    <t xml:space="preserve">MAXIMUM ENTRY PRICE AT TARGET IRR THRESHOLDS</t>
  </si>
  <si>
    <t xml:space="preserve">Target IRR</t>
  </si>
  <si>
    <t xml:space="preserve">Max total commitment</t>
  </si>
  <si>
    <t xml:space="preserve">Max equity purchase</t>
  </si>
  <si>
    <t xml:space="preserve">Implied price/share</t>
  </si>
  <si>
    <t xml:space="preserve">Prem/(disc) to market</t>
  </si>
  <si>
    <t xml:space="preserve">Exit equity held constant across the table (burn and exit revenue don't depend on entry price). Read: the price a financial buyer could pay at each hurdle, exiting at the assumed EV/Revenue multiple.</t>
  </si>
  <si>
    <t xml:space="preserve">MONTE CARLO SIMULATION — 500 LIVE TRIALS  (press F9 / recalc to refresh)</t>
  </si>
  <si>
    <t xml:space="preserve">Wide σ by design — pre-commercial outcomes are close to binary. EBITDA35 = Rev35 × (GM − var. opex) − fixed opex; PV of interim burn scales with revenue.</t>
  </si>
  <si>
    <t xml:space="preserve">Distribution parameters — Normal(mean, σ)</t>
  </si>
  <si>
    <t xml:space="preserve">Variable</t>
  </si>
  <si>
    <t xml:space="preserve">Mean (linked)</t>
  </si>
  <si>
    <t xml:space="preserve">σ (input)</t>
  </si>
  <si>
    <t xml:space="preserve">Terminal gross margin (FY35)</t>
  </si>
  <si>
    <t xml:space="preserve">Exit EV/EBITDA multiple</t>
  </si>
  <si>
    <t xml:space="preserve">Calibration statics (linked)</t>
  </si>
  <si>
    <t xml:space="preserve">Base FY2035 Adj. EBITDA</t>
  </si>
  <si>
    <t xml:space="preserve">Base PV of explicit FCF (negative = burn)</t>
  </si>
  <si>
    <t xml:space="preserve">Net cash FY2026E</t>
  </si>
  <si>
    <t xml:space="preserve">Current share price</t>
  </si>
  <si>
    <t xml:space="preserve">FY2035 growth (selected)</t>
  </si>
  <si>
    <t xml:space="preserve">FY2026E revenue</t>
  </si>
  <si>
    <t xml:space="preserve">Base FY2035 revenue</t>
  </si>
  <si>
    <t xml:space="preserve">FY2035 fixed opex (negative)</t>
  </si>
  <si>
    <t xml:space="preserve">Simulation results ($/share)</t>
  </si>
  <si>
    <t xml:space="preserve">Mean</t>
  </si>
  <si>
    <t xml:space="preserve">Median</t>
  </si>
  <si>
    <t xml:space="preserve">Standard deviation</t>
  </si>
  <si>
    <t xml:space="preserve">5th percentile</t>
  </si>
  <si>
    <t xml:space="preserve">25th percentile</t>
  </si>
  <si>
    <t xml:space="preserve">75th percentile</t>
  </si>
  <si>
    <t xml:space="preserve">95th percentile</t>
  </si>
  <si>
    <t xml:space="preserve">P(value &gt; current price)</t>
  </si>
  <si>
    <t xml:space="preserve">Scenario probability-weighted value (compact DCF per scenario)</t>
  </si>
  <si>
    <t xml:space="preserve">Scenario</t>
  </si>
  <si>
    <t xml:space="preserve">Value / share</t>
  </si>
  <si>
    <t xml:space="preserve">Probability-weighted value</t>
  </si>
  <si>
    <t xml:space="preserve">Bear value ≈ net cash less remaining burn — the downside anchor. Compact approximation, most accurate with switch = 1/Base.</t>
  </si>
  <si>
    <t xml:space="preserve">TRIALS</t>
  </si>
  <si>
    <t xml:space="preserve">#</t>
  </si>
  <si>
    <t xml:space="preserve">g FY27</t>
  </si>
  <si>
    <t xml:space="preserve">Term GM</t>
  </si>
  <si>
    <t xml:space="preserve">Exit x</t>
  </si>
  <si>
    <t xml:space="preserve">Rev FY35</t>
  </si>
  <si>
    <t xml:space="preserve">EBITDA FY35</t>
  </si>
  <si>
    <t xml:space="preserve">PV(TV)</t>
  </si>
  <si>
    <t xml:space="preserve">PV(FCF)</t>
  </si>
  <si>
    <t xml:space="preserve">Equity</t>
  </si>
  <si>
    <t xml:space="preserve">$ / share</t>
  </si>
  <si>
    <t xml:space="preserve">Bin ($/sh)</t>
  </si>
  <si>
    <t xml:space="preserve">low</t>
  </si>
  <si>
    <t xml:space="preserve">high</t>
  </si>
  <si>
    <t xml:space="preserve">Count</t>
  </si>
  <si>
    <t xml:space="preserve">&lt;-2.5</t>
  </si>
  <si>
    <t xml:space="preserve">-2.5-0</t>
  </si>
  <si>
    <t xml:space="preserve">0-2.5</t>
  </si>
  <si>
    <t xml:space="preserve">2.5-5</t>
  </si>
  <si>
    <t xml:space="preserve">5-7.5</t>
  </si>
  <si>
    <t xml:space="preserve">7.5-10</t>
  </si>
  <si>
    <t xml:space="preserve">10-12.5</t>
  </si>
  <si>
    <t xml:space="preserve">12.5-15</t>
  </si>
  <si>
    <t xml:space="preserve">15-17.5</t>
  </si>
  <si>
    <t xml:space="preserve">17.5-20</t>
  </si>
  <si>
    <t xml:space="preserve">20-22.5</t>
  </si>
  <si>
    <t xml:space="preserve">22.5-25</t>
  </si>
  <si>
    <t xml:space="preserve">25-27.5</t>
  </si>
  <si>
    <t xml:space="preserve">27.5-30</t>
  </si>
  <si>
    <t xml:space="preserve">30-32.5</t>
  </si>
  <si>
    <t xml:space="preserve">32.5-35</t>
  </si>
  <si>
    <t xml:space="preserve">35-37.5</t>
  </si>
  <si>
    <t xml:space="preserve">37.5-40</t>
  </si>
  <si>
    <t xml:space="preserve">40-42.5</t>
  </si>
  <si>
    <t xml:space="preserve">42.5-45</t>
  </si>
  <si>
    <t xml:space="preserve">45+</t>
  </si>
  <si>
    <t xml:space="preserve">FOOTBALL FIELD — VALUATION SUMMARY  ($ per share)</t>
  </si>
  <si>
    <t xml:space="preserve">Methodology</t>
  </si>
  <si>
    <t xml:space="preserve">(base)</t>
  </si>
  <si>
    <t xml:space="preserve">(span)</t>
  </si>
  <si>
    <t xml:space="preserve">Midpoint</t>
  </si>
  <si>
    <t xml:space="preserve">Trading range since 4/24/26 IPO (e)</t>
  </si>
  <si>
    <t xml:space="preserve">Analyst targets (avg ~$40, n=8)</t>
  </si>
  <si>
    <t xml:space="preserve">DCF — Gordon growth (WACC ±1.5%, g 3.0–4.0%)</t>
  </si>
  <si>
    <t xml:space="preserve">DCF — exit multiple (12.5–17.5x, WACC ±1.5%)</t>
  </si>
  <si>
    <t xml:space="preserve">Comps — EV per pipeline GW ($0.35–0.70B)</t>
  </si>
  <si>
    <t xml:space="preserve">Comps — EV/FY2030E revenue (4–8x, disc.)</t>
  </si>
  <si>
    <t xml:space="preserve">Precedent framework ($0.25–0.55B per GW)</t>
  </si>
  <si>
    <t xml:space="preserve">Take-private capacity (25% → 15% IRR)</t>
  </si>
  <si>
    <t xml:space="preserve">Monte Carlo P25–P75 (live)</t>
  </si>
  <si>
    <t xml:space="preserve">Current price (marker)</t>
  </si>
  <si>
    <t xml:space="preserve">Since-IPO range estimated from IPO-day high ~$30.70 and recent low ~$13.20 (stock listed 4/24/26 — no 52-week history yet). Analyst range: Jefferies $28 to Guggenheim $57. Intrinsic (DCF) ranges sit below market and analyst views because most SMR value lies beyond a 10-year window.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</si>
</sst>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;\(#,##0\);\-"/>
    <numFmt numFmtId="166" formatCode="0.0%;\(0.0%\);\-"/>
    <numFmt numFmtId="167" formatCode="\$#,##0;&quot;($&quot;#,##0\);\-"/>
    <numFmt numFmtId="168" formatCode="0.0\x"/>
    <numFmt numFmtId="169" formatCode="\$#,##0.00"/>
    <numFmt numFmtId="170" formatCode="0.00%;\(0.00%\);\-"/>
    <numFmt numFmtId="171" formatCode="0.00"/>
    <numFmt numFmtId="172" formatCode="0.000"/>
    <numFmt numFmtId="173" formatCode="\$#,##0.0"/>
    <numFmt numFmtId="174" formatCode="0.0"/>
    <numFmt numFmtId="175" formatCode="\$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2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of simulated value per share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"Trials"</c:f>
              <c:strCache>
                <c:ptCount val="1"/>
                <c:pt idx="0">
                  <c:v>Trials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Monte_Carlo!$N$41:$N$61</c:f>
              <c:strCache>
                <c:ptCount val="21"/>
                <c:pt idx="0">
                  <c:v>&lt;-2.5</c:v>
                </c:pt>
                <c:pt idx="1">
                  <c:v>-2.5-0</c:v>
                </c:pt>
                <c:pt idx="2">
                  <c:v>0-2.5</c:v>
                </c:pt>
                <c:pt idx="3">
                  <c:v>2.5-5</c:v>
                </c:pt>
                <c:pt idx="4">
                  <c:v>5-7.5</c:v>
                </c:pt>
                <c:pt idx="5">
                  <c:v>7.5-10</c:v>
                </c:pt>
                <c:pt idx="6">
                  <c:v>10-12.5</c:v>
                </c:pt>
                <c:pt idx="7">
                  <c:v>12.5-15</c:v>
                </c:pt>
                <c:pt idx="8">
                  <c:v>15-17.5</c:v>
                </c:pt>
                <c:pt idx="9">
                  <c:v>17.5-20</c:v>
                </c:pt>
                <c:pt idx="10">
                  <c:v>20-22.5</c:v>
                </c:pt>
                <c:pt idx="11">
                  <c:v>22.5-25</c:v>
                </c:pt>
                <c:pt idx="12">
                  <c:v>25-27.5</c:v>
                </c:pt>
                <c:pt idx="13">
                  <c:v>27.5-30</c:v>
                </c:pt>
                <c:pt idx="14">
                  <c:v>30-32.5</c:v>
                </c:pt>
                <c:pt idx="15">
                  <c:v>32.5-35</c:v>
                </c:pt>
                <c:pt idx="16">
                  <c:v>35-37.5</c:v>
                </c:pt>
                <c:pt idx="17">
                  <c:v>37.5-40</c:v>
                </c:pt>
                <c:pt idx="18">
                  <c:v>40-42.5</c:v>
                </c:pt>
                <c:pt idx="19">
                  <c:v>42.5-45</c:v>
                </c:pt>
                <c:pt idx="20">
                  <c:v>45+</c:v>
                </c:pt>
              </c:strCache>
            </c:strRef>
          </c:cat>
          <c:val>
            <c:numRef>
              <c:f>Monte_Carlo!$Q$41:$Q$61</c:f>
              <c:numCache>
                <c:formatCode>#,##0;\(#,##0\);\-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100</c:v>
                </c:pt>
                <c:pt idx="4">
                  <c:v>169</c:v>
                </c:pt>
                <c:pt idx="5">
                  <c:v>115</c:v>
                </c:pt>
                <c:pt idx="6">
                  <c:v>53</c:v>
                </c:pt>
                <c:pt idx="7">
                  <c:v>24</c:v>
                </c:pt>
                <c:pt idx="8">
                  <c:v>15</c:v>
                </c:pt>
                <c:pt idx="9">
                  <c:v>8</c:v>
                </c:pt>
                <c:pt idx="10">
                  <c:v>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gapWidth val="20"/>
        <c:overlap val="0"/>
        <c:axId val="60793042"/>
        <c:axId val="46553252"/>
      </c:barChart>
      <c:catAx>
        <c:axId val="607930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553252"/>
        <c:crosses val="autoZero"/>
        <c:auto val="1"/>
        <c:lblAlgn val="ctr"/>
        <c:lblOffset val="100"/>
        <c:noMultiLvlLbl val="0"/>
      </c:catAx>
      <c:valAx>
        <c:axId val="465532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Trials (of 500)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7930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XE valuation ranges ($/share) — red = current price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"base"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Football_Field!$A$5:$A$14</c:f>
              <c:strCache>
                <c:ptCount val="10"/>
                <c:pt idx="0">
                  <c:v>Trading range since 4/24/26 IPO (e)</c:v>
                </c:pt>
                <c:pt idx="1">
                  <c:v>Analyst targets (avg ~$40, n=8)</c:v>
                </c:pt>
                <c:pt idx="2">
                  <c:v>DCF — Gordon growth (WACC ±1.5%, g 3.0–4.0%)</c:v>
                </c:pt>
                <c:pt idx="3">
                  <c:v>DCF — exit multiple (12.5–17.5x, WACC ±1.5%)</c:v>
                </c:pt>
                <c:pt idx="4">
                  <c:v>Comps — EV per pipeline GW ($0.35–0.70B)</c:v>
                </c:pt>
                <c:pt idx="5">
                  <c:v>Comps — EV/FY2030E revenue (4–8x, disc.)</c:v>
                </c:pt>
                <c:pt idx="6">
                  <c:v>Precedent framework ($0.25–0.55B per GW)</c:v>
                </c:pt>
                <c:pt idx="7">
                  <c:v>Take-private capacity (25% → 15% IRR)</c:v>
                </c:pt>
                <c:pt idx="8">
                  <c:v>Monte Carlo P25–P75 (live)</c:v>
                </c:pt>
                <c:pt idx="9">
                  <c:v>Current price (marker)</c:v>
                </c:pt>
              </c:strCache>
            </c:strRef>
          </c:cat>
          <c:val>
            <c:numRef>
              <c:f>Football_Field!$D$5:$D$14</c:f>
              <c:numCache>
                <c:formatCode>\$#,##0.00</c:formatCode>
                <c:ptCount val="10"/>
                <c:pt idx="0">
                  <c:v>13.2</c:v>
                </c:pt>
                <c:pt idx="1">
                  <c:v>28</c:v>
                </c:pt>
                <c:pt idx="2">
                  <c:v>1.45578493540695</c:v>
                </c:pt>
                <c:pt idx="3">
                  <c:v>5.50708931783845</c:v>
                </c:pt>
                <c:pt idx="4">
                  <c:v>14.2615223699305</c:v>
                </c:pt>
                <c:pt idx="5">
                  <c:v>9.55790365335774</c:v>
                </c:pt>
                <c:pt idx="6">
                  <c:v>11.4290100546596</c:v>
                </c:pt>
                <c:pt idx="7">
                  <c:v>3.88022442724951</c:v>
                </c:pt>
                <c:pt idx="8">
                  <c:v>5.2382987621299</c:v>
                </c:pt>
                <c:pt idx="9">
                  <c:v>13.67</c:v>
                </c:pt>
              </c:numCache>
            </c:numRef>
          </c:val>
        </c:ser>
        <c:ser>
          <c:idx val="1"/>
          <c:order val="1"/>
          <c:tx>
            <c:strRef>
              <c:f>"range"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Pt>
            <c:idx val="9"/>
            <c:invertIfNegative val="0"/>
            <c:spPr>
              <a:solidFill>
                <a:srgbClr val="c00000"/>
              </a:solidFill>
              <a:ln w="0">
                <a:noFill/>
              </a:ln>
            </c:spPr>
          </c:dPt>
          <c:dLbls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Football_Field!$A$5:$A$14</c:f>
              <c:strCache>
                <c:ptCount val="10"/>
                <c:pt idx="0">
                  <c:v>Trading range since 4/24/26 IPO (e)</c:v>
                </c:pt>
                <c:pt idx="1">
                  <c:v>Analyst targets (avg ~$40, n=8)</c:v>
                </c:pt>
                <c:pt idx="2">
                  <c:v>DCF — Gordon growth (WACC ±1.5%, g 3.0–4.0%)</c:v>
                </c:pt>
                <c:pt idx="3">
                  <c:v>DCF — exit multiple (12.5–17.5x, WACC ±1.5%)</c:v>
                </c:pt>
                <c:pt idx="4">
                  <c:v>Comps — EV per pipeline GW ($0.35–0.70B)</c:v>
                </c:pt>
                <c:pt idx="5">
                  <c:v>Comps — EV/FY2030E revenue (4–8x, disc.)</c:v>
                </c:pt>
                <c:pt idx="6">
                  <c:v>Precedent framework ($0.25–0.55B per GW)</c:v>
                </c:pt>
                <c:pt idx="7">
                  <c:v>Take-private capacity (25% → 15% IRR)</c:v>
                </c:pt>
                <c:pt idx="8">
                  <c:v>Monte Carlo P25–P75 (live)</c:v>
                </c:pt>
                <c:pt idx="9">
                  <c:v>Current price (marker)</c:v>
                </c:pt>
              </c:strCache>
            </c:strRef>
          </c:cat>
          <c:val>
            <c:numRef>
              <c:f>Football_Field!$E$5:$E$14</c:f>
              <c:numCache>
                <c:formatCode>\$#,##0.00</c:formatCode>
                <c:ptCount val="10"/>
                <c:pt idx="0">
                  <c:v>17.5</c:v>
                </c:pt>
                <c:pt idx="1">
                  <c:v>29</c:v>
                </c:pt>
                <c:pt idx="2">
                  <c:v>0.919345808354354</c:v>
                </c:pt>
                <c:pt idx="3">
                  <c:v>3.91691908285476</c:v>
                </c:pt>
                <c:pt idx="4">
                  <c:v>9.91379310344828</c:v>
                </c:pt>
                <c:pt idx="5">
                  <c:v>5.21017438687552</c:v>
                </c:pt>
                <c:pt idx="6">
                  <c:v>8.49753694581281</c:v>
                </c:pt>
                <c:pt idx="7">
                  <c:v>2.61476585040772</c:v>
                </c:pt>
                <c:pt idx="8">
                  <c:v>4.12089319002587</c:v>
                </c:pt>
                <c:pt idx="9">
                  <c:v>0.699999999999999</c:v>
                </c:pt>
              </c:numCache>
            </c:numRef>
          </c:val>
        </c:ser>
        <c:gapWidth val="60"/>
        <c:overlap val="100"/>
        <c:axId val="48765895"/>
        <c:axId val="67501611"/>
      </c:barChart>
      <c:catAx>
        <c:axId val="48765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01611"/>
        <c:crosses val="autoZero"/>
        <c:auto val="1"/>
        <c:lblAlgn val="ctr"/>
        <c:lblOffset val="100"/>
        <c:noMultiLvlLbl val="0"/>
      </c:catAx>
      <c:valAx>
        <c:axId val="675016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658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160920</xdr:rowOff>
    </xdr:from>
    <xdr:to>
      <xdr:col>21</xdr:col>
      <xdr:colOff>239760</xdr:colOff>
      <xdr:row>21</xdr:row>
      <xdr:rowOff>141120</xdr:rowOff>
    </xdr:to>
    <xdr:graphicFrame>
      <xdr:nvGraphicFramePr>
        <xdr:cNvPr id="0" name="Chart 1"/>
        <xdr:cNvGraphicFramePr/>
      </xdr:nvGraphicFramePr>
      <xdr:xfrm>
        <a:off x="14271480" y="5716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160560</xdr:rowOff>
    </xdr:from>
    <xdr:to>
      <xdr:col>6</xdr:col>
      <xdr:colOff>105120</xdr:colOff>
      <xdr:row>41</xdr:row>
      <xdr:rowOff>77760</xdr:rowOff>
    </xdr:to>
    <xdr:graphicFrame>
      <xdr:nvGraphicFramePr>
        <xdr:cNvPr id="1" name="Chart 1"/>
        <xdr:cNvGraphicFramePr/>
      </xdr:nvGraphicFramePr>
      <xdr:xfrm>
        <a:off x="0" y="3238560"/>
        <a:ext cx="86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C3" s="4"/>
    </row>
    <row r="4" customFormat="false" ht="15" hidden="false" customHeight="false" outlineLevel="0" collapsed="false">
      <c r="A4" s="5" t="s">
        <v>2</v>
      </c>
      <c r="C4" s="4"/>
    </row>
    <row r="5" customFormat="false" ht="60" hidden="false" customHeight="true" outlineLevel="0" collapsed="false">
      <c r="A5" s="3"/>
      <c r="C5" s="6" t="s">
        <v>3</v>
      </c>
    </row>
    <row r="6" customFormat="false" ht="15" hidden="false" customHeight="false" outlineLevel="0" collapsed="false">
      <c r="A6" s="3"/>
      <c r="C6" s="4"/>
    </row>
    <row r="7" customFormat="false" ht="15" hidden="false" customHeight="false" outlineLevel="0" collapsed="false">
      <c r="A7" s="7" t="s">
        <v>4</v>
      </c>
      <c r="C7" s="4"/>
    </row>
    <row r="8" customFormat="false" ht="15" hidden="false" customHeight="false" outlineLevel="0" collapsed="false">
      <c r="A8" s="3" t="s">
        <v>5</v>
      </c>
      <c r="C8" s="4" t="s">
        <v>6</v>
      </c>
    </row>
    <row r="9" customFormat="false" ht="15" hidden="false" customHeight="false" outlineLevel="0" collapsed="false">
      <c r="A9" s="3" t="s">
        <v>7</v>
      </c>
      <c r="C9" s="4" t="s">
        <v>8</v>
      </c>
    </row>
    <row r="10" customFormat="false" ht="15" hidden="false" customHeight="false" outlineLevel="0" collapsed="false">
      <c r="A10" s="3" t="s">
        <v>9</v>
      </c>
      <c r="C10" s="4" t="s">
        <v>10</v>
      </c>
    </row>
    <row r="11" customFormat="false" ht="15" hidden="false" customHeight="false" outlineLevel="0" collapsed="false">
      <c r="A11" s="3" t="s">
        <v>11</v>
      </c>
      <c r="C11" s="4" t="s">
        <v>12</v>
      </c>
    </row>
    <row r="12" customFormat="false" ht="15" hidden="false" customHeight="false" outlineLevel="0" collapsed="false">
      <c r="A12" s="3" t="s">
        <v>13</v>
      </c>
      <c r="C12" s="4" t="s">
        <v>14</v>
      </c>
    </row>
    <row r="13" customFormat="false" ht="15" hidden="false" customHeight="false" outlineLevel="0" collapsed="false">
      <c r="A13" s="3" t="s">
        <v>15</v>
      </c>
      <c r="C13" s="4" t="s">
        <v>16</v>
      </c>
    </row>
    <row r="14" customFormat="false" ht="15" hidden="false" customHeight="false" outlineLevel="0" collapsed="false">
      <c r="A14" s="3" t="s">
        <v>17</v>
      </c>
      <c r="C14" s="4" t="s">
        <v>18</v>
      </c>
    </row>
    <row r="15" customFormat="false" ht="15" hidden="false" customHeight="false" outlineLevel="0" collapsed="false">
      <c r="A15" s="3" t="s">
        <v>19</v>
      </c>
      <c r="C15" s="4" t="s">
        <v>20</v>
      </c>
    </row>
    <row r="16" customFormat="false" ht="15" hidden="false" customHeight="false" outlineLevel="0" collapsed="false">
      <c r="A16" s="3" t="s">
        <v>21</v>
      </c>
      <c r="C16" s="4" t="s">
        <v>22</v>
      </c>
    </row>
    <row r="17" customFormat="false" ht="15" hidden="false" customHeight="false" outlineLevel="0" collapsed="false">
      <c r="A17" s="3" t="s">
        <v>23</v>
      </c>
      <c r="C17" s="4" t="s">
        <v>24</v>
      </c>
    </row>
    <row r="18" customFormat="false" ht="15" hidden="false" customHeight="false" outlineLevel="0" collapsed="false">
      <c r="A18" s="3"/>
      <c r="C18" s="4"/>
    </row>
    <row r="19" customFormat="false" ht="15" hidden="false" customHeight="false" outlineLevel="0" collapsed="false">
      <c r="A19" s="7" t="s">
        <v>25</v>
      </c>
      <c r="C19" s="4"/>
    </row>
    <row r="20" customFormat="false" ht="15" hidden="false" customHeight="false" outlineLevel="0" collapsed="false">
      <c r="A20" s="8" t="s">
        <v>26</v>
      </c>
      <c r="C20" s="4" t="s">
        <v>27</v>
      </c>
    </row>
    <row r="21" customFormat="false" ht="15" hidden="false" customHeight="false" outlineLevel="0" collapsed="false">
      <c r="A21" s="3" t="s">
        <v>28</v>
      </c>
      <c r="C21" s="4" t="s">
        <v>29</v>
      </c>
    </row>
    <row r="22" customFormat="false" ht="15" hidden="false" customHeight="false" outlineLevel="0" collapsed="false">
      <c r="A22" s="3" t="s">
        <v>30</v>
      </c>
      <c r="C22" s="4" t="s">
        <v>31</v>
      </c>
    </row>
    <row r="23" customFormat="false" ht="15" hidden="false" customHeight="false" outlineLevel="0" collapsed="false">
      <c r="A23" s="3" t="s">
        <v>32</v>
      </c>
      <c r="C23" s="4" t="s">
        <v>33</v>
      </c>
    </row>
    <row r="24" customFormat="false" ht="15" hidden="false" customHeight="false" outlineLevel="0" collapsed="false">
      <c r="A24" s="3"/>
      <c r="C24" s="4"/>
    </row>
    <row r="25" customFormat="false" ht="15" hidden="false" customHeight="false" outlineLevel="0" collapsed="false">
      <c r="A25" s="7" t="s">
        <v>34</v>
      </c>
      <c r="C25" s="4"/>
    </row>
    <row r="26" customFormat="false" ht="60" hidden="false" customHeight="true" outlineLevel="0" collapsed="false">
      <c r="A26" s="3" t="s">
        <v>35</v>
      </c>
      <c r="C26" s="4" t="s">
        <v>36</v>
      </c>
    </row>
    <row r="27" customFormat="false" ht="15" hidden="false" customHeight="false" outlineLevel="0" collapsed="false">
      <c r="A27" s="3" t="s">
        <v>37</v>
      </c>
      <c r="C27" s="4" t="s">
        <v>38</v>
      </c>
    </row>
    <row r="28" customFormat="false" ht="60" hidden="false" customHeight="true" outlineLevel="0" collapsed="false">
      <c r="A28" s="3" t="s">
        <v>39</v>
      </c>
      <c r="C28" s="4" t="s">
        <v>40</v>
      </c>
    </row>
    <row r="29" customFormat="false" ht="15" hidden="false" customHeight="false" outlineLevel="0" collapsed="false">
      <c r="A29" s="3" t="s">
        <v>41</v>
      </c>
      <c r="C29" s="4" t="s">
        <v>42</v>
      </c>
    </row>
    <row r="30" customFormat="false" ht="15" hidden="false" customHeight="false" outlineLevel="0" collapsed="false">
      <c r="A30" s="3" t="s">
        <v>43</v>
      </c>
      <c r="C30" s="4" t="s">
        <v>44</v>
      </c>
    </row>
    <row r="31" customFormat="false" ht="15" hidden="false" customHeight="false" outlineLevel="0" collapsed="false">
      <c r="A31" s="3" t="s">
        <v>45</v>
      </c>
      <c r="C31" s="4" t="s">
        <v>46</v>
      </c>
    </row>
    <row r="32" customFormat="false" ht="15" hidden="false" customHeight="false" outlineLevel="0" collapsed="false">
      <c r="A32" s="3"/>
      <c r="C32" s="4"/>
    </row>
    <row r="33" customFormat="false" ht="60" hidden="false" customHeight="true" outlineLevel="0" collapsed="false">
      <c r="A33" s="7" t="s">
        <v>47</v>
      </c>
      <c r="C33" s="6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15" hidden="false" customHeight="false" outlineLevel="0" collapsed="false">
      <c r="A4" s="9" t="s">
        <v>51</v>
      </c>
      <c r="B4" s="10" t="n">
        <v>1</v>
      </c>
      <c r="C4" s="11" t="str">
        <f aca="false">CHOOSE($B$4,"BASE — pipeline converts on schedule","BULL — Amazon 5 GWe accelerates + fleet orders","BEAR — deployment slips, fuel-only business")</f>
        <v>BASE — pipeline converts on schedule</v>
      </c>
    </row>
    <row r="6" customFormat="false" ht="15" hidden="false" customHeight="false" outlineLevel="0" collapsed="false">
      <c r="A6" s="7" t="s">
        <v>52</v>
      </c>
    </row>
    <row r="7" customFormat="false" ht="15" hidden="false" customHeight="false" outlineLevel="0" collapsed="false">
      <c r="A7" s="12"/>
      <c r="B7" s="12" t="s">
        <v>53</v>
      </c>
      <c r="C7" s="12" t="s">
        <v>54</v>
      </c>
      <c r="D7" s="12" t="s">
        <v>55</v>
      </c>
      <c r="E7" s="12" t="s">
        <v>56</v>
      </c>
    </row>
    <row r="8" customFormat="false" ht="15" hidden="false" customHeight="false" outlineLevel="0" collapsed="false">
      <c r="A8" s="3" t="s">
        <v>57</v>
      </c>
      <c r="B8" s="13" t="n">
        <v>0.45</v>
      </c>
      <c r="C8" s="13" t="n">
        <v>0.25</v>
      </c>
      <c r="D8" s="13" t="n">
        <v>0.3</v>
      </c>
      <c r="E8" s="14" t="n">
        <f aca="false">SUM(B8:D8)</f>
        <v>1</v>
      </c>
      <c r="F8" s="15" t="s">
        <v>58</v>
      </c>
    </row>
    <row r="10" customFormat="false" ht="15" hidden="false" customHeight="false" outlineLevel="0" collapsed="false">
      <c r="A10" s="7" t="s">
        <v>59</v>
      </c>
    </row>
    <row r="11" customFormat="false" ht="15" hidden="false" customHeight="false" outlineLevel="0" collapsed="false">
      <c r="A11" s="12"/>
      <c r="B11" s="12" t="s">
        <v>53</v>
      </c>
      <c r="C11" s="12" t="s">
        <v>54</v>
      </c>
      <c r="D11" s="12" t="s">
        <v>55</v>
      </c>
      <c r="E11" s="12" t="s">
        <v>60</v>
      </c>
    </row>
    <row r="12" customFormat="false" ht="15" hidden="false" customHeight="false" outlineLevel="0" collapsed="false">
      <c r="A12" s="3" t="s">
        <v>61</v>
      </c>
      <c r="B12" s="13" t="n">
        <v>0.55</v>
      </c>
      <c r="C12" s="13" t="n">
        <v>0.7</v>
      </c>
      <c r="D12" s="13" t="n">
        <v>0.15</v>
      </c>
      <c r="E12" s="14" t="n">
        <f aca="false">CHOOSE($B$4,B12,C12,D12)</f>
        <v>0.55</v>
      </c>
    </row>
    <row r="13" customFormat="false" ht="15" hidden="false" customHeight="false" outlineLevel="0" collapsed="false">
      <c r="A13" s="3" t="s">
        <v>62</v>
      </c>
      <c r="B13" s="13" t="n">
        <v>0.25</v>
      </c>
      <c r="C13" s="13" t="n">
        <v>0.33</v>
      </c>
      <c r="D13" s="13" t="n">
        <v>0</v>
      </c>
      <c r="E13" s="14" t="n">
        <f aca="false">CHOOSE($B$4,B13,C13,D13)</f>
        <v>0.25</v>
      </c>
    </row>
    <row r="14" customFormat="false" ht="15" hidden="false" customHeight="false" outlineLevel="0" collapsed="false">
      <c r="A14" s="15" t="s">
        <v>63</v>
      </c>
    </row>
    <row r="15" customFormat="false" ht="15" hidden="false" customHeight="false" outlineLevel="0" collapsed="false">
      <c r="A15" s="7" t="s">
        <v>64</v>
      </c>
    </row>
    <row r="16" customFormat="false" ht="15" hidden="false" customHeight="false" outlineLevel="0" collapsed="false">
      <c r="A16" s="12" t="s">
        <v>65</v>
      </c>
      <c r="B16" s="12" t="s">
        <v>66</v>
      </c>
      <c r="C16" s="12" t="s">
        <v>67</v>
      </c>
      <c r="D16" s="12" t="s">
        <v>68</v>
      </c>
      <c r="E16" s="12" t="s">
        <v>69</v>
      </c>
      <c r="F16" s="12" t="s">
        <v>60</v>
      </c>
    </row>
    <row r="17" customFormat="false" ht="15" hidden="false" customHeight="false" outlineLevel="0" collapsed="false">
      <c r="A17" s="3" t="s">
        <v>70</v>
      </c>
      <c r="B17" s="13" t="n">
        <v>0.05</v>
      </c>
      <c r="C17" s="13" t="n">
        <v>0.3</v>
      </c>
      <c r="D17" s="13" t="n">
        <v>0.35</v>
      </c>
      <c r="E17" s="13" t="n">
        <v>0.15</v>
      </c>
      <c r="F17" s="14" t="n">
        <f aca="false">CHOOSE($B$4,C17,D17,E17)</f>
        <v>0.3</v>
      </c>
    </row>
    <row r="18" customFormat="false" ht="15" hidden="false" customHeight="false" outlineLevel="0" collapsed="false">
      <c r="A18" s="3" t="s">
        <v>71</v>
      </c>
      <c r="B18" s="13" t="n">
        <v>0.05</v>
      </c>
      <c r="C18" s="13" t="n">
        <v>0.04</v>
      </c>
      <c r="D18" s="13" t="n">
        <v>0.04</v>
      </c>
      <c r="E18" s="13" t="n">
        <v>0.06</v>
      </c>
      <c r="F18" s="14" t="n">
        <f aca="false">CHOOSE($B$4,C18,D18,E18)</f>
        <v>0.04</v>
      </c>
    </row>
    <row r="19" customFormat="false" ht="15" hidden="false" customHeight="false" outlineLevel="0" collapsed="false">
      <c r="A19" s="3" t="s">
        <v>72</v>
      </c>
      <c r="B19" s="13" t="n">
        <v>0.03</v>
      </c>
      <c r="C19" s="13" t="n">
        <v>0.02</v>
      </c>
      <c r="D19" s="13" t="n">
        <v>0.02</v>
      </c>
      <c r="E19" s="13" t="n">
        <v>0.03</v>
      </c>
      <c r="F19" s="14" t="n">
        <f aca="false">CHOOSE($B$4,C19,D19,E19)</f>
        <v>0.02</v>
      </c>
    </row>
    <row r="20" customFormat="false" ht="15" hidden="false" customHeight="false" outlineLevel="0" collapsed="false">
      <c r="A20" s="3" t="s">
        <v>73</v>
      </c>
      <c r="B20" s="13" t="n">
        <v>0</v>
      </c>
      <c r="C20" s="13" t="n">
        <v>0.15</v>
      </c>
      <c r="D20" s="13" t="n">
        <v>0.15</v>
      </c>
      <c r="E20" s="13" t="n">
        <v>0</v>
      </c>
      <c r="F20" s="14" t="n">
        <f aca="false">CHOOSE($B$4,C20,D20,E20)</f>
        <v>0.15</v>
      </c>
    </row>
    <row r="21" customFormat="false" ht="15" hidden="false" customHeight="false" outlineLevel="0" collapsed="false">
      <c r="A21" s="3" t="s">
        <v>74</v>
      </c>
      <c r="B21" s="13" t="n">
        <v>0.3</v>
      </c>
      <c r="C21" s="13" t="n">
        <v>0.2</v>
      </c>
      <c r="D21" s="13" t="n">
        <v>0.25</v>
      </c>
      <c r="E21" s="13" t="n">
        <v>0.15</v>
      </c>
      <c r="F21" s="14" t="n">
        <f aca="false">CHOOSE($B$4,C21,D21,E21)</f>
        <v>0.2</v>
      </c>
    </row>
    <row r="23" customFormat="false" ht="15" hidden="false" customHeight="false" outlineLevel="0" collapsed="false">
      <c r="A23" s="7" t="s">
        <v>75</v>
      </c>
    </row>
    <row r="24" customFormat="false" ht="15" hidden="false" customHeight="false" outlineLevel="0" collapsed="false">
      <c r="A24" s="12"/>
      <c r="B24" s="12" t="s">
        <v>53</v>
      </c>
      <c r="C24" s="12" t="s">
        <v>54</v>
      </c>
      <c r="D24" s="12" t="s">
        <v>55</v>
      </c>
      <c r="E24" s="12" t="s">
        <v>60</v>
      </c>
    </row>
    <row r="25" customFormat="false" ht="15" hidden="false" customHeight="false" outlineLevel="0" collapsed="false">
      <c r="A25" s="3" t="s">
        <v>76</v>
      </c>
      <c r="B25" s="13" t="n">
        <v>0.02</v>
      </c>
      <c r="C25" s="13" t="n">
        <v>0.04</v>
      </c>
      <c r="D25" s="13" t="n">
        <v>-0.03</v>
      </c>
      <c r="E25" s="14" t="n">
        <f aca="false">CHOOSE($B$4,B25,C25,D25)</f>
        <v>0.02</v>
      </c>
    </row>
    <row r="26" customFormat="false" ht="15" hidden="false" customHeight="false" outlineLevel="0" collapsed="false">
      <c r="A26" s="3" t="s">
        <v>77</v>
      </c>
      <c r="B26" s="13" t="n">
        <v>0</v>
      </c>
      <c r="C26" s="13" t="n">
        <v>0.08</v>
      </c>
      <c r="D26" s="13" t="n">
        <v>-0.15</v>
      </c>
      <c r="E26" s="14" t="n">
        <f aca="false">CHOOSE($B$4,B26,C26,D26)</f>
        <v>0</v>
      </c>
    </row>
    <row r="27" customFormat="false" ht="15" hidden="false" customHeight="false" outlineLevel="0" collapsed="false">
      <c r="A27" s="15" t="s">
        <v>78</v>
      </c>
    </row>
    <row r="28" customFormat="false" ht="15" hidden="false" customHeight="false" outlineLevel="0" collapsed="false">
      <c r="A28" s="7" t="s">
        <v>79</v>
      </c>
    </row>
    <row r="29" customFormat="false" ht="15" hidden="false" customHeight="false" outlineLevel="0" collapsed="false">
      <c r="A29" s="3" t="s">
        <v>80</v>
      </c>
      <c r="B29" s="16" t="n">
        <v>255</v>
      </c>
    </row>
    <row r="30" customFormat="false" ht="15" hidden="false" customHeight="false" outlineLevel="0" collapsed="false">
      <c r="A30" s="3" t="s">
        <v>81</v>
      </c>
      <c r="B30" s="16" t="n">
        <v>250</v>
      </c>
    </row>
    <row r="31" customFormat="false" ht="15" hidden="false" customHeight="false" outlineLevel="0" collapsed="false">
      <c r="A31" s="3" t="s">
        <v>82</v>
      </c>
      <c r="B31" s="13" t="n">
        <v>0.08</v>
      </c>
    </row>
    <row r="32" customFormat="false" ht="15" hidden="false" customHeight="false" outlineLevel="0" collapsed="false">
      <c r="A32" s="3" t="s">
        <v>83</v>
      </c>
      <c r="B32" s="17" t="n">
        <v>60</v>
      </c>
    </row>
    <row r="33" customFormat="false" ht="15" hidden="false" customHeight="false" outlineLevel="0" collapsed="false">
      <c r="A33" s="3" t="s">
        <v>84</v>
      </c>
      <c r="B33" s="17" t="n">
        <v>40</v>
      </c>
    </row>
    <row r="34" customFormat="false" ht="15" hidden="false" customHeight="false" outlineLevel="0" collapsed="false">
      <c r="A34" s="3" t="s">
        <v>85</v>
      </c>
      <c r="B34" s="17" t="n">
        <v>60</v>
      </c>
    </row>
    <row r="35" customFormat="false" ht="15" hidden="false" customHeight="false" outlineLevel="0" collapsed="false">
      <c r="A35" s="3" t="s">
        <v>86</v>
      </c>
      <c r="B35" s="13" t="n">
        <v>0.05</v>
      </c>
    </row>
    <row r="36" customFormat="false" ht="15" hidden="false" customHeight="false" outlineLevel="0" collapsed="false">
      <c r="A36" s="3" t="s">
        <v>87</v>
      </c>
      <c r="B36" s="13" t="n">
        <v>0.04</v>
      </c>
    </row>
    <row r="37" customFormat="false" ht="15" hidden="false" customHeight="false" outlineLevel="0" collapsed="false">
      <c r="A37" s="3" t="s">
        <v>88</v>
      </c>
      <c r="B37" s="13" t="n">
        <v>0.075</v>
      </c>
    </row>
    <row r="38" customFormat="false" ht="15" hidden="false" customHeight="false" outlineLevel="0" collapsed="false">
      <c r="A38" s="3" t="s">
        <v>89</v>
      </c>
      <c r="B38" s="16" t="n">
        <v>150</v>
      </c>
    </row>
    <row r="39" customFormat="false" ht="15" hidden="false" customHeight="false" outlineLevel="0" collapsed="false">
      <c r="A39" s="3" t="s">
        <v>90</v>
      </c>
      <c r="B39" s="17" t="n">
        <v>406</v>
      </c>
      <c r="C39" s="15" t="s">
        <v>91</v>
      </c>
    </row>
    <row r="40" customFormat="false" ht="15" hidden="false" customHeight="false" outlineLevel="0" collapsed="false">
      <c r="A40" s="3" t="s">
        <v>92</v>
      </c>
      <c r="B40" s="13" t="n">
        <v>0.25</v>
      </c>
    </row>
    <row r="41" customFormat="false" ht="15" hidden="false" customHeight="false" outlineLevel="0" collapsed="false">
      <c r="A41" s="3" t="s">
        <v>93</v>
      </c>
      <c r="B41" s="16" t="n">
        <v>1100</v>
      </c>
    </row>
    <row r="43" customFormat="false" ht="15" hidden="false" customHeight="false" outlineLevel="0" collapsed="false">
      <c r="A43" s="7" t="s">
        <v>94</v>
      </c>
    </row>
    <row r="44" customFormat="false" ht="15" hidden="false" customHeight="false" outlineLevel="0" collapsed="false">
      <c r="A44" s="3" t="s">
        <v>95</v>
      </c>
      <c r="B44" s="13" t="n">
        <v>0.035</v>
      </c>
    </row>
    <row r="45" customFormat="false" ht="15" hidden="false" customHeight="false" outlineLevel="0" collapsed="false">
      <c r="A45" s="3" t="s">
        <v>96</v>
      </c>
      <c r="B45" s="18" t="n">
        <v>15</v>
      </c>
    </row>
    <row r="46" customFormat="false" ht="15" hidden="false" customHeight="false" outlineLevel="0" collapsed="false">
      <c r="A46" s="3" t="s">
        <v>97</v>
      </c>
      <c r="B46" s="19" t="n">
        <v>14.02</v>
      </c>
    </row>
    <row r="48" customFormat="false" ht="15" hidden="false" customHeight="false" outlineLevel="0" collapsed="false">
      <c r="A48" s="15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1"/>
    <col collapsed="false" customWidth="true" hidden="false" outlineLevel="0" max="7" min="7" style="0" width="55"/>
  </cols>
  <sheetData>
    <row r="1" customFormat="false" ht="17.35" hidden="false" customHeight="false" outlineLevel="0" collapsed="false">
      <c r="A1" s="1" t="s">
        <v>99</v>
      </c>
    </row>
    <row r="4" customFormat="false" ht="15" hidden="false" customHeight="false" outlineLevel="0" collapsed="false">
      <c r="A4" s="12"/>
      <c r="B4" s="12" t="s">
        <v>100</v>
      </c>
      <c r="C4" s="12" t="s">
        <v>101</v>
      </c>
      <c r="D4" s="12" t="s">
        <v>102</v>
      </c>
      <c r="E4" s="12" t="s">
        <v>103</v>
      </c>
      <c r="F4" s="12" t="s">
        <v>104</v>
      </c>
    </row>
    <row r="5" customFormat="false" ht="15" hidden="false" customHeight="false" outlineLevel="0" collapsed="false">
      <c r="A5" s="9" t="s">
        <v>105</v>
      </c>
      <c r="B5" s="20" t="n">
        <v>120.2</v>
      </c>
      <c r="C5" s="20" t="n">
        <v>109.1</v>
      </c>
      <c r="D5" s="20" t="n">
        <v>20.8</v>
      </c>
      <c r="E5" s="20" t="n">
        <v>43.4</v>
      </c>
      <c r="F5" s="16" t="n">
        <v>180</v>
      </c>
      <c r="G5" s="15" t="s">
        <v>106</v>
      </c>
    </row>
    <row r="6" customFormat="false" ht="15" hidden="false" customHeight="false" outlineLevel="0" collapsed="false">
      <c r="A6" s="3" t="s">
        <v>107</v>
      </c>
      <c r="B6" s="20" t="n">
        <v>-126</v>
      </c>
      <c r="C6" s="20" t="n">
        <v>-389.8</v>
      </c>
      <c r="D6" s="20" t="n">
        <v>-10.2</v>
      </c>
      <c r="E6" s="20" t="n">
        <v>-166.2</v>
      </c>
    </row>
    <row r="7" customFormat="false" ht="15" hidden="false" customHeight="false" outlineLevel="0" collapsed="false">
      <c r="A7" s="3" t="s">
        <v>108</v>
      </c>
      <c r="E7" s="20" t="n">
        <v>-57.3</v>
      </c>
    </row>
    <row r="8" customFormat="false" ht="15" hidden="false" customHeight="false" outlineLevel="0" collapsed="false">
      <c r="A8" s="3" t="s">
        <v>109</v>
      </c>
      <c r="E8" s="20" t="n">
        <v>-67.3</v>
      </c>
    </row>
    <row r="9" customFormat="false" ht="15" hidden="false" customHeight="false" outlineLevel="0" collapsed="false">
      <c r="A9" s="3" t="s">
        <v>110</v>
      </c>
      <c r="E9" s="20" t="n">
        <v>944</v>
      </c>
    </row>
    <row r="11" customFormat="false" ht="15" hidden="false" customHeight="false" outlineLevel="0" collapsed="false">
      <c r="A11" s="9" t="s">
        <v>111</v>
      </c>
      <c r="B11" s="20" t="n">
        <v>2000</v>
      </c>
      <c r="C11" s="15" t="s">
        <v>112</v>
      </c>
    </row>
    <row r="13" customFormat="false" ht="15" hidden="false" customHeight="false" outlineLevel="0" collapsed="false">
      <c r="A13" s="9" t="s">
        <v>113</v>
      </c>
    </row>
    <row r="14" customFormat="false" ht="15" hidden="false" customHeight="false" outlineLevel="0" collapsed="false">
      <c r="A14" s="15" t="s">
        <v>114</v>
      </c>
    </row>
    <row r="15" customFormat="false" ht="15" hidden="false" customHeight="false" outlineLevel="0" collapsed="false">
      <c r="A15" s="15" t="s">
        <v>115</v>
      </c>
    </row>
    <row r="16" customFormat="false" ht="15" hidden="false" customHeight="false" outlineLevel="0" collapsed="false">
      <c r="A16" s="15" t="s">
        <v>116</v>
      </c>
    </row>
    <row r="17" customFormat="false" ht="15" hidden="false" customHeight="false" outlineLevel="0" collapsed="false">
      <c r="A17" s="15" t="s">
        <v>117</v>
      </c>
    </row>
    <row r="18" customFormat="false" ht="15" hidden="false" customHeight="false" outlineLevel="0" collapsed="false">
      <c r="A18" s="15" t="s">
        <v>118</v>
      </c>
    </row>
    <row r="20" customFormat="false" ht="15" hidden="false" customHeight="false" outlineLevel="0" collapsed="false">
      <c r="A20" s="9" t="s">
        <v>119</v>
      </c>
    </row>
    <row r="21" customFormat="false" ht="15" hidden="false" customHeight="false" outlineLevel="0" collapsed="false">
      <c r="A21" s="3" t="s">
        <v>120</v>
      </c>
      <c r="B21" s="20" t="n">
        <v>1175</v>
      </c>
    </row>
    <row r="22" customFormat="false" ht="15" hidden="false" customHeight="false" outlineLevel="0" collapsed="false">
      <c r="A22" s="3" t="s">
        <v>121</v>
      </c>
      <c r="B22" s="20" t="n">
        <v>30</v>
      </c>
    </row>
    <row r="23" customFormat="false" ht="15" hidden="false" customHeight="false" outlineLevel="0" collapsed="false">
      <c r="A23" s="3" t="s">
        <v>122</v>
      </c>
      <c r="B23" s="20" t="n">
        <v>20</v>
      </c>
    </row>
    <row r="24" customFormat="false" ht="15" hidden="false" customHeight="false" outlineLevel="0" collapsed="false">
      <c r="A24" s="3" t="s">
        <v>123</v>
      </c>
      <c r="B24" s="20" t="n">
        <v>40</v>
      </c>
    </row>
    <row r="25" customFormat="false" ht="15" hidden="false" customHeight="false" outlineLevel="0" collapsed="false">
      <c r="A25" s="3" t="s">
        <v>124</v>
      </c>
      <c r="B25" s="20" t="n">
        <v>350</v>
      </c>
    </row>
    <row r="26" customFormat="false" ht="15" hidden="false" customHeight="false" outlineLevel="0" collapsed="false">
      <c r="A26" s="3" t="s">
        <v>125</v>
      </c>
      <c r="B26" s="20" t="n">
        <v>60</v>
      </c>
    </row>
    <row r="27" customFormat="false" ht="15" hidden="false" customHeight="false" outlineLevel="0" collapsed="false">
      <c r="A27" s="3" t="s">
        <v>126</v>
      </c>
      <c r="B27" s="20" t="n">
        <v>60</v>
      </c>
    </row>
    <row r="28" customFormat="false" ht="15" hidden="false" customHeight="false" outlineLevel="0" collapsed="false">
      <c r="A28" s="3" t="s">
        <v>127</v>
      </c>
      <c r="B28" s="20" t="n">
        <v>150</v>
      </c>
    </row>
    <row r="29" customFormat="false" ht="15" hidden="false" customHeight="false" outlineLevel="0" collapsed="false">
      <c r="A29" s="3" t="s">
        <v>128</v>
      </c>
      <c r="B29" s="20" t="n">
        <v>300</v>
      </c>
    </row>
    <row r="30" customFormat="false" ht="15" hidden="false" customHeight="false" outlineLevel="0" collapsed="false">
      <c r="A30" s="3" t="s">
        <v>129</v>
      </c>
    </row>
    <row r="32" customFormat="false" ht="15" hidden="false" customHeight="false" outlineLevel="0" collapsed="false">
      <c r="A32" s="15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12" min="2" style="0" width="11"/>
    <col collapsed="false" customWidth="true" hidden="false" outlineLevel="0" max="13" min="13" style="0" width="45"/>
  </cols>
  <sheetData>
    <row r="1" customFormat="false" ht="17.3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11" t="str">
        <f aca="false">CONCATENATE("Active scenario: ",CHOOSE(Assumptions!$B$4,"BASE","BULL","BEAR"))</f>
        <v>Active scenario: BASE</v>
      </c>
    </row>
    <row r="4" customFormat="false" ht="15" hidden="false" customHeight="false" outlineLevel="0" collapsed="false">
      <c r="A4" s="12"/>
      <c r="B4" s="12" t="s">
        <v>101</v>
      </c>
      <c r="C4" s="12" t="s">
        <v>104</v>
      </c>
      <c r="D4" s="12" t="s">
        <v>132</v>
      </c>
      <c r="E4" s="12" t="s">
        <v>133</v>
      </c>
      <c r="F4" s="12" t="s">
        <v>134</v>
      </c>
      <c r="G4" s="12" t="s">
        <v>135</v>
      </c>
      <c r="H4" s="12" t="s">
        <v>136</v>
      </c>
      <c r="I4" s="12" t="s">
        <v>137</v>
      </c>
      <c r="J4" s="12" t="s">
        <v>138</v>
      </c>
      <c r="K4" s="12" t="s">
        <v>139</v>
      </c>
      <c r="L4" s="12" t="s">
        <v>140</v>
      </c>
    </row>
    <row r="6" customFormat="false" ht="15" hidden="false" customHeight="false" outlineLevel="0" collapsed="false">
      <c r="A6" s="7" t="s">
        <v>141</v>
      </c>
    </row>
    <row r="7" customFormat="false" ht="15" hidden="false" customHeight="false" outlineLevel="0" collapsed="false">
      <c r="A7" s="3" t="s">
        <v>142</v>
      </c>
      <c r="C7" s="21" t="n">
        <f aca="false">C15/B15-1</f>
        <v>0.649862511457379</v>
      </c>
      <c r="D7" s="22" t="n">
        <f aca="false">Assumptions!$E$12+(Assumptions!$E$13-Assumptions!$E$12)*0/8</f>
        <v>0.55</v>
      </c>
      <c r="E7" s="22" t="n">
        <f aca="false">Assumptions!$E$12+(Assumptions!$E$13-Assumptions!$E$12)*1/8</f>
        <v>0.5125</v>
      </c>
      <c r="F7" s="22" t="n">
        <f aca="false">Assumptions!$E$12+(Assumptions!$E$13-Assumptions!$E$12)*2/8</f>
        <v>0.475</v>
      </c>
      <c r="G7" s="22" t="n">
        <f aca="false">Assumptions!$E$12+(Assumptions!$E$13-Assumptions!$E$12)*3/8</f>
        <v>0.4375</v>
      </c>
      <c r="H7" s="22" t="n">
        <f aca="false">Assumptions!$E$12+(Assumptions!$E$13-Assumptions!$E$12)*4/8</f>
        <v>0.4</v>
      </c>
      <c r="I7" s="22" t="n">
        <f aca="false">Assumptions!$E$12+(Assumptions!$E$13-Assumptions!$E$12)*5/8</f>
        <v>0.3625</v>
      </c>
      <c r="J7" s="22" t="n">
        <f aca="false">Assumptions!$E$12+(Assumptions!$E$13-Assumptions!$E$12)*6/8</f>
        <v>0.325</v>
      </c>
      <c r="K7" s="22" t="n">
        <f aca="false">Assumptions!$E$12+(Assumptions!$E$13-Assumptions!$E$12)*7/8</f>
        <v>0.2875</v>
      </c>
      <c r="L7" s="22" t="n">
        <f aca="false">Assumptions!$E$12+(Assumptions!$E$13-Assumptions!$E$12)*8/8</f>
        <v>0.25</v>
      </c>
    </row>
    <row r="8" customFormat="false" ht="15" hidden="false" customHeight="false" outlineLevel="0" collapsed="false">
      <c r="A8" s="3" t="s">
        <v>143</v>
      </c>
      <c r="C8" s="22" t="n">
        <f aca="false">Assumptions!$B$17</f>
        <v>0.05</v>
      </c>
      <c r="D8" s="22" t="n">
        <f aca="false">Assumptions!$B$17+(Assumptions!$F$17-Assumptions!$B$17)*1/9</f>
        <v>0.0777777777777778</v>
      </c>
      <c r="E8" s="22" t="n">
        <f aca="false">Assumptions!$B$17+(Assumptions!$F$17-Assumptions!$B$17)*2/9</f>
        <v>0.105555555555556</v>
      </c>
      <c r="F8" s="22" t="n">
        <f aca="false">Assumptions!$B$17+(Assumptions!$F$17-Assumptions!$B$17)*3/9</f>
        <v>0.133333333333333</v>
      </c>
      <c r="G8" s="22" t="n">
        <f aca="false">Assumptions!$B$17+(Assumptions!$F$17-Assumptions!$B$17)*4/9</f>
        <v>0.161111111111111</v>
      </c>
      <c r="H8" s="22" t="n">
        <f aca="false">Assumptions!$B$17+(Assumptions!$F$17-Assumptions!$B$17)*5/9</f>
        <v>0.188888888888889</v>
      </c>
      <c r="I8" s="22" t="n">
        <f aca="false">Assumptions!$B$17+(Assumptions!$F$17-Assumptions!$B$17)*6/9</f>
        <v>0.216666666666667</v>
      </c>
      <c r="J8" s="22" t="n">
        <f aca="false">Assumptions!$B$17+(Assumptions!$F$17-Assumptions!$B$17)*7/9</f>
        <v>0.244444444444444</v>
      </c>
      <c r="K8" s="22" t="n">
        <f aca="false">Assumptions!$B$17+(Assumptions!$F$17-Assumptions!$B$17)*8/9</f>
        <v>0.272222222222222</v>
      </c>
      <c r="L8" s="22" t="n">
        <f aca="false">Assumptions!$B$17+(Assumptions!$F$17-Assumptions!$B$17)*9/9</f>
        <v>0.3</v>
      </c>
    </row>
    <row r="9" customFormat="false" ht="15" hidden="false" customHeight="false" outlineLevel="0" collapsed="false">
      <c r="A9" s="3" t="s">
        <v>144</v>
      </c>
      <c r="C9" s="22" t="n">
        <f aca="false">Assumptions!$B$18</f>
        <v>0.05</v>
      </c>
      <c r="D9" s="22" t="n">
        <f aca="false">Assumptions!$B$18+(Assumptions!$F$18-Assumptions!$B$18)*1/9</f>
        <v>0.0488888888888889</v>
      </c>
      <c r="E9" s="22" t="n">
        <f aca="false">Assumptions!$B$18+(Assumptions!$F$18-Assumptions!$B$18)*2/9</f>
        <v>0.0477777777777778</v>
      </c>
      <c r="F9" s="22" t="n">
        <f aca="false">Assumptions!$B$18+(Assumptions!$F$18-Assumptions!$B$18)*3/9</f>
        <v>0.0466666666666667</v>
      </c>
      <c r="G9" s="22" t="n">
        <f aca="false">Assumptions!$B$18+(Assumptions!$F$18-Assumptions!$B$18)*4/9</f>
        <v>0.0455555555555556</v>
      </c>
      <c r="H9" s="22" t="n">
        <f aca="false">Assumptions!$B$18+(Assumptions!$F$18-Assumptions!$B$18)*5/9</f>
        <v>0.0444444444444444</v>
      </c>
      <c r="I9" s="22" t="n">
        <f aca="false">Assumptions!$B$18+(Assumptions!$F$18-Assumptions!$B$18)*6/9</f>
        <v>0.0433333333333333</v>
      </c>
      <c r="J9" s="22" t="n">
        <f aca="false">Assumptions!$B$18+(Assumptions!$F$18-Assumptions!$B$18)*7/9</f>
        <v>0.0422222222222222</v>
      </c>
      <c r="K9" s="22" t="n">
        <f aca="false">Assumptions!$B$18+(Assumptions!$F$18-Assumptions!$B$18)*8/9</f>
        <v>0.0411111111111111</v>
      </c>
      <c r="L9" s="22" t="n">
        <f aca="false">Assumptions!$B$18+(Assumptions!$F$18-Assumptions!$B$18)*9/9</f>
        <v>0.04</v>
      </c>
    </row>
    <row r="10" customFormat="false" ht="15" hidden="false" customHeight="false" outlineLevel="0" collapsed="false">
      <c r="A10" s="3" t="s">
        <v>145</v>
      </c>
      <c r="C10" s="22" t="n">
        <f aca="false">Assumptions!$B$19</f>
        <v>0.03</v>
      </c>
      <c r="D10" s="22" t="n">
        <f aca="false">Assumptions!$B$19+(Assumptions!$F$19-Assumptions!$B$19)*1/9</f>
        <v>0.0288888888888889</v>
      </c>
      <c r="E10" s="22" t="n">
        <f aca="false">Assumptions!$B$19+(Assumptions!$F$19-Assumptions!$B$19)*2/9</f>
        <v>0.0277777777777778</v>
      </c>
      <c r="F10" s="22" t="n">
        <f aca="false">Assumptions!$B$19+(Assumptions!$F$19-Assumptions!$B$19)*3/9</f>
        <v>0.0266666666666667</v>
      </c>
      <c r="G10" s="22" t="n">
        <f aca="false">Assumptions!$B$19+(Assumptions!$F$19-Assumptions!$B$19)*4/9</f>
        <v>0.0255555555555556</v>
      </c>
      <c r="H10" s="22" t="n">
        <f aca="false">Assumptions!$B$19+(Assumptions!$F$19-Assumptions!$B$19)*5/9</f>
        <v>0.0244444444444444</v>
      </c>
      <c r="I10" s="22" t="n">
        <f aca="false">Assumptions!$B$19+(Assumptions!$F$19-Assumptions!$B$19)*6/9</f>
        <v>0.0233333333333333</v>
      </c>
      <c r="J10" s="22" t="n">
        <f aca="false">Assumptions!$B$19+(Assumptions!$F$19-Assumptions!$B$19)*7/9</f>
        <v>0.0222222222222222</v>
      </c>
      <c r="K10" s="22" t="n">
        <f aca="false">Assumptions!$B$19+(Assumptions!$F$19-Assumptions!$B$19)*8/9</f>
        <v>0.0211111111111111</v>
      </c>
      <c r="L10" s="22" t="n">
        <f aca="false">Assumptions!$B$19+(Assumptions!$F$19-Assumptions!$B$19)*9/9</f>
        <v>0.02</v>
      </c>
    </row>
    <row r="11" customFormat="false" ht="15" hidden="false" customHeight="false" outlineLevel="0" collapsed="false">
      <c r="A11" s="3" t="s">
        <v>146</v>
      </c>
      <c r="C11" s="22" t="n">
        <f aca="false">Assumptions!$B$20</f>
        <v>0</v>
      </c>
      <c r="D11" s="22" t="n">
        <f aca="false">Assumptions!$B$20+(Assumptions!$F$20-Assumptions!$B$20)*1/9</f>
        <v>0.0166666666666667</v>
      </c>
      <c r="E11" s="22" t="n">
        <f aca="false">Assumptions!$B$20+(Assumptions!$F$20-Assumptions!$B$20)*2/9</f>
        <v>0.0333333333333333</v>
      </c>
      <c r="F11" s="22" t="n">
        <f aca="false">Assumptions!$B$20+(Assumptions!$F$20-Assumptions!$B$20)*3/9</f>
        <v>0.05</v>
      </c>
      <c r="G11" s="22" t="n">
        <f aca="false">Assumptions!$B$20+(Assumptions!$F$20-Assumptions!$B$20)*4/9</f>
        <v>0.0666666666666667</v>
      </c>
      <c r="H11" s="22" t="n">
        <f aca="false">Assumptions!$B$20+(Assumptions!$F$20-Assumptions!$B$20)*5/9</f>
        <v>0.0833333333333333</v>
      </c>
      <c r="I11" s="22" t="n">
        <f aca="false">Assumptions!$B$20+(Assumptions!$F$20-Assumptions!$B$20)*6/9</f>
        <v>0.1</v>
      </c>
      <c r="J11" s="22" t="n">
        <f aca="false">Assumptions!$B$20+(Assumptions!$F$20-Assumptions!$B$20)*7/9</f>
        <v>0.116666666666667</v>
      </c>
      <c r="K11" s="22" t="n">
        <f aca="false">Assumptions!$B$20+(Assumptions!$F$20-Assumptions!$B$20)*8/9</f>
        <v>0.133333333333333</v>
      </c>
      <c r="L11" s="22" t="n">
        <f aca="false">Assumptions!$B$20+(Assumptions!$F$20-Assumptions!$B$20)*9/9</f>
        <v>0.15</v>
      </c>
    </row>
    <row r="12" customFormat="false" ht="15" hidden="false" customHeight="false" outlineLevel="0" collapsed="false">
      <c r="A12" s="3" t="s">
        <v>147</v>
      </c>
      <c r="C12" s="22" t="n">
        <f aca="false">Assumptions!$B$21</f>
        <v>0.3</v>
      </c>
      <c r="D12" s="22" t="n">
        <f aca="false">Assumptions!$B$21+(Assumptions!$F$21-Assumptions!$B$21)*1/9</f>
        <v>0.288888888888889</v>
      </c>
      <c r="E12" s="22" t="n">
        <f aca="false">Assumptions!$B$21+(Assumptions!$F$21-Assumptions!$B$21)*2/9</f>
        <v>0.277777777777778</v>
      </c>
      <c r="F12" s="22" t="n">
        <f aca="false">Assumptions!$B$21+(Assumptions!$F$21-Assumptions!$B$21)*3/9</f>
        <v>0.266666666666667</v>
      </c>
      <c r="G12" s="22" t="n">
        <f aca="false">Assumptions!$B$21+(Assumptions!$F$21-Assumptions!$B$21)*4/9</f>
        <v>0.255555555555556</v>
      </c>
      <c r="H12" s="22" t="n">
        <f aca="false">Assumptions!$B$21+(Assumptions!$F$21-Assumptions!$B$21)*5/9</f>
        <v>0.244444444444444</v>
      </c>
      <c r="I12" s="22" t="n">
        <f aca="false">Assumptions!$B$21+(Assumptions!$F$21-Assumptions!$B$21)*6/9</f>
        <v>0.233333333333333</v>
      </c>
      <c r="J12" s="22" t="n">
        <f aca="false">Assumptions!$B$21+(Assumptions!$F$21-Assumptions!$B$21)*7/9</f>
        <v>0.222222222222222</v>
      </c>
      <c r="K12" s="22" t="n">
        <f aca="false">Assumptions!$B$21+(Assumptions!$F$21-Assumptions!$B$21)*8/9</f>
        <v>0.211111111111111</v>
      </c>
      <c r="L12" s="22" t="n">
        <f aca="false">Assumptions!$B$21+(Assumptions!$F$21-Assumptions!$B$21)*9/9</f>
        <v>0.2</v>
      </c>
    </row>
    <row r="14" customFormat="false" ht="15" hidden="false" customHeight="false" outlineLevel="0" collapsed="false">
      <c r="A14" s="7" t="s">
        <v>148</v>
      </c>
    </row>
    <row r="15" customFormat="false" ht="15" hidden="false" customHeight="false" outlineLevel="0" collapsed="false">
      <c r="A15" s="9" t="s">
        <v>105</v>
      </c>
      <c r="B15" s="23" t="n">
        <f aca="false">Historicals!C5</f>
        <v>109.1</v>
      </c>
      <c r="C15" s="24" t="n">
        <f aca="false">Historicals!F5</f>
        <v>180</v>
      </c>
      <c r="D15" s="25" t="n">
        <f aca="false">C15*(1+D7)</f>
        <v>279</v>
      </c>
      <c r="E15" s="25" t="n">
        <f aca="false">D15*(1+E7)</f>
        <v>421.9875</v>
      </c>
      <c r="F15" s="25" t="n">
        <f aca="false">E15*(1+F7)</f>
        <v>622.4315625</v>
      </c>
      <c r="G15" s="25" t="n">
        <f aca="false">F15*(1+G7)</f>
        <v>894.74537109375</v>
      </c>
      <c r="H15" s="25" t="n">
        <f aca="false">G15*(1+H7)</f>
        <v>1252.64351953125</v>
      </c>
      <c r="I15" s="25" t="n">
        <f aca="false">H15*(1+I7)</f>
        <v>1706.72679536133</v>
      </c>
      <c r="J15" s="25" t="n">
        <f aca="false">I15*(1+J7)</f>
        <v>2261.41300385376</v>
      </c>
      <c r="K15" s="25" t="n">
        <f aca="false">J15*(1+K7)</f>
        <v>2911.56924246172</v>
      </c>
      <c r="L15" s="25" t="n">
        <f aca="false">K15*(1+L7)</f>
        <v>3639.46155307715</v>
      </c>
    </row>
    <row r="16" customFormat="false" ht="15" hidden="false" customHeight="false" outlineLevel="0" collapsed="false">
      <c r="A16" s="3" t="s">
        <v>149</v>
      </c>
      <c r="C16" s="26" t="n">
        <f aca="false">-C15*(1-C8)</f>
        <v>-171</v>
      </c>
      <c r="D16" s="26" t="n">
        <f aca="false">-D15*(1-D8)</f>
        <v>-257.3</v>
      </c>
      <c r="E16" s="26" t="n">
        <f aca="false">-E15*(1-E8)</f>
        <v>-377.444375</v>
      </c>
      <c r="F16" s="26" t="n">
        <f aca="false">-F15*(1-F8)</f>
        <v>-539.4406875</v>
      </c>
      <c r="G16" s="26" t="n">
        <f aca="false">-G15*(1-G8)</f>
        <v>-750.591950195313</v>
      </c>
      <c r="H16" s="26" t="n">
        <f aca="false">-H15*(1-H8)</f>
        <v>-1016.03307695313</v>
      </c>
      <c r="I16" s="26" t="n">
        <f aca="false">-I15*(1-I8)</f>
        <v>-1336.93598969971</v>
      </c>
      <c r="J16" s="26" t="n">
        <f aca="false">-J15*(1-J8)</f>
        <v>-1708.62315846729</v>
      </c>
      <c r="K16" s="26" t="n">
        <f aca="false">-K15*(1-K8)</f>
        <v>-2118.97539312492</v>
      </c>
      <c r="L16" s="26" t="n">
        <f aca="false">-L15*(1-L8)</f>
        <v>-2547.623087154</v>
      </c>
    </row>
    <row r="17" customFormat="false" ht="15" hidden="false" customHeight="false" outlineLevel="0" collapsed="false">
      <c r="A17" s="9" t="s">
        <v>150</v>
      </c>
      <c r="C17" s="25" t="n">
        <f aca="false">C15+C16</f>
        <v>9</v>
      </c>
      <c r="D17" s="25" t="n">
        <f aca="false">D15+D16</f>
        <v>21.7</v>
      </c>
      <c r="E17" s="25" t="n">
        <f aca="false">E15+E16</f>
        <v>44.543125</v>
      </c>
      <c r="F17" s="25" t="n">
        <f aca="false">F15+F16</f>
        <v>82.990875</v>
      </c>
      <c r="G17" s="25" t="n">
        <f aca="false">G15+G16</f>
        <v>144.153420898438</v>
      </c>
      <c r="H17" s="25" t="n">
        <f aca="false">H15+H16</f>
        <v>236.610442578125</v>
      </c>
      <c r="I17" s="25" t="n">
        <f aca="false">I15+I16</f>
        <v>369.790805661621</v>
      </c>
      <c r="J17" s="25" t="n">
        <f aca="false">J15+J16</f>
        <v>552.789845386475</v>
      </c>
      <c r="K17" s="25" t="n">
        <f aca="false">K15+K16</f>
        <v>792.5938493368</v>
      </c>
      <c r="L17" s="25" t="n">
        <f aca="false">L15+L16</f>
        <v>1091.83846592314</v>
      </c>
    </row>
    <row r="18" customFormat="false" ht="15" hidden="false" customHeight="false" outlineLevel="0" collapsed="false">
      <c r="A18" s="3" t="s">
        <v>151</v>
      </c>
      <c r="C18" s="23" t="n">
        <f aca="false">-Assumptions!$B$29*(1+Assumptions!$E$25)^0</f>
        <v>-255</v>
      </c>
      <c r="D18" s="23" t="n">
        <f aca="false">-Assumptions!$B$29*(1+Assumptions!$E$25)^1</f>
        <v>-260.1</v>
      </c>
      <c r="E18" s="23" t="n">
        <f aca="false">-Assumptions!$B$29*(1+Assumptions!$E$25)^2</f>
        <v>-265.302</v>
      </c>
      <c r="F18" s="23" t="n">
        <f aca="false">-Assumptions!$B$29*(1+Assumptions!$E$25)^3</f>
        <v>-270.60804</v>
      </c>
      <c r="G18" s="23" t="n">
        <f aca="false">-Assumptions!$B$29*(1+Assumptions!$E$25)^4</f>
        <v>-276.0202008</v>
      </c>
      <c r="H18" s="23" t="n">
        <f aca="false">-Assumptions!$B$29*(1+Assumptions!$E$25)^5</f>
        <v>-281.540604816</v>
      </c>
      <c r="I18" s="23" t="n">
        <f aca="false">-Assumptions!$B$29*(1+Assumptions!$E$25)^6</f>
        <v>-287.17141691232</v>
      </c>
      <c r="J18" s="23" t="n">
        <f aca="false">-Assumptions!$B$29*(1+Assumptions!$E$25)^7</f>
        <v>-292.914845250566</v>
      </c>
      <c r="K18" s="23" t="n">
        <f aca="false">-Assumptions!$B$29*(1+Assumptions!$E$25)^8</f>
        <v>-298.773142155578</v>
      </c>
      <c r="L18" s="23" t="n">
        <f aca="false">-Assumptions!$B$29*(1+Assumptions!$E$25)^9</f>
        <v>-304.748604998689</v>
      </c>
    </row>
    <row r="19" customFormat="false" ht="15" hidden="false" customHeight="false" outlineLevel="0" collapsed="false">
      <c r="A19" s="3" t="s">
        <v>152</v>
      </c>
      <c r="C19" s="26" t="n">
        <f aca="false">-C15*C9</f>
        <v>-9</v>
      </c>
      <c r="D19" s="26" t="n">
        <f aca="false">-D15*D9</f>
        <v>-13.64</v>
      </c>
      <c r="E19" s="26" t="n">
        <f aca="false">-E15*E9</f>
        <v>-20.161625</v>
      </c>
      <c r="F19" s="26" t="n">
        <f aca="false">-F15*F9</f>
        <v>-29.04680625</v>
      </c>
      <c r="G19" s="26" t="n">
        <f aca="false">-G15*G9</f>
        <v>-40.7606224609375</v>
      </c>
      <c r="H19" s="26" t="n">
        <f aca="false">-H15*H9</f>
        <v>-55.6730453125</v>
      </c>
      <c r="I19" s="26" t="n">
        <f aca="false">-I15*I9</f>
        <v>-73.9581611323242</v>
      </c>
      <c r="J19" s="26" t="n">
        <f aca="false">-J15*J9</f>
        <v>-95.4818823849365</v>
      </c>
      <c r="K19" s="26" t="n">
        <f aca="false">-K15*K9</f>
        <v>-119.697846634537</v>
      </c>
      <c r="L19" s="26" t="n">
        <f aca="false">-L15*L9</f>
        <v>-145.578462123086</v>
      </c>
    </row>
    <row r="20" customFormat="false" ht="15" hidden="false" customHeight="false" outlineLevel="0" collapsed="false">
      <c r="A20" s="9" t="s">
        <v>153</v>
      </c>
      <c r="C20" s="25" t="n">
        <f aca="false">C17+C18+C19</f>
        <v>-255</v>
      </c>
      <c r="D20" s="25" t="n">
        <f aca="false">D17+D18+D19</f>
        <v>-252.04</v>
      </c>
      <c r="E20" s="25" t="n">
        <f aca="false">E17+E18+E19</f>
        <v>-240.9205</v>
      </c>
      <c r="F20" s="25" t="n">
        <f aca="false">F17+F18+F19</f>
        <v>-216.66397125</v>
      </c>
      <c r="G20" s="25" t="n">
        <f aca="false">G17+G18+G19</f>
        <v>-172.6274023625</v>
      </c>
      <c r="H20" s="25" t="n">
        <f aca="false">H17+H18+H19</f>
        <v>-100.603207550375</v>
      </c>
      <c r="I20" s="25" t="n">
        <f aca="false">I17+I18+I19</f>
        <v>8.66122761697686</v>
      </c>
      <c r="J20" s="25" t="n">
        <f aca="false">J17+J18+J19</f>
        <v>164.393117750972</v>
      </c>
      <c r="K20" s="25" t="n">
        <f aca="false">K17+K18+K19</f>
        <v>374.122860546685</v>
      </c>
      <c r="L20" s="25" t="n">
        <f aca="false">L17+L18+L19</f>
        <v>641.511398801369</v>
      </c>
    </row>
    <row r="21" customFormat="false" ht="15" hidden="false" customHeight="false" outlineLevel="0" collapsed="false">
      <c r="A21" s="3" t="s">
        <v>154</v>
      </c>
      <c r="C21" s="26" t="n">
        <f aca="false">-C15*C10</f>
        <v>-5.4</v>
      </c>
      <c r="D21" s="26" t="n">
        <f aca="false">-D15*D10</f>
        <v>-8.06</v>
      </c>
      <c r="E21" s="26" t="n">
        <f aca="false">-E15*E10</f>
        <v>-11.721875</v>
      </c>
      <c r="F21" s="26" t="n">
        <f aca="false">-F15*F10</f>
        <v>-16.598175</v>
      </c>
      <c r="G21" s="26" t="n">
        <f aca="false">-G15*G10</f>
        <v>-22.8657150390625</v>
      </c>
      <c r="H21" s="26" t="n">
        <f aca="false">-H15*H10</f>
        <v>-30.620174921875</v>
      </c>
      <c r="I21" s="26" t="n">
        <f aca="false">-I15*I10</f>
        <v>-39.8236252250977</v>
      </c>
      <c r="J21" s="26" t="n">
        <f aca="false">-J15*J10</f>
        <v>-50.2536223078613</v>
      </c>
      <c r="K21" s="26" t="n">
        <f aca="false">-K15*K10</f>
        <v>-61.4664617853029</v>
      </c>
      <c r="L21" s="26" t="n">
        <f aca="false">-L15*L10</f>
        <v>-72.7892310615429</v>
      </c>
    </row>
    <row r="22" customFormat="false" ht="15" hidden="false" customHeight="false" outlineLevel="0" collapsed="false">
      <c r="A22" s="3" t="s">
        <v>155</v>
      </c>
      <c r="C22" s="26" t="n">
        <f aca="false">-B42*Assumptions!$B$31</f>
        <v>-28</v>
      </c>
      <c r="D22" s="26" t="n">
        <f aca="false">-C42*Assumptions!$B$31</f>
        <v>-45.76</v>
      </c>
      <c r="E22" s="26" t="n">
        <f aca="false">-D42*Assumptions!$B$31</f>
        <v>-62.0992</v>
      </c>
      <c r="F22" s="26" t="n">
        <f aca="false">-E42*Assumptions!$B$31</f>
        <v>-77.131264</v>
      </c>
      <c r="G22" s="26" t="n">
        <f aca="false">-F42*Assumptions!$B$31</f>
        <v>-90.96076288</v>
      </c>
      <c r="H22" s="26" t="n">
        <f aca="false">-G42*Assumptions!$B$31</f>
        <v>-103.6839018496</v>
      </c>
      <c r="I22" s="26" t="n">
        <f aca="false">-H42*Assumptions!$B$31</f>
        <v>-115.389189701632</v>
      </c>
      <c r="J22" s="26" t="n">
        <f aca="false">-I42*Assumptions!$B$31</f>
        <v>-126.158054525501</v>
      </c>
      <c r="K22" s="26" t="n">
        <f aca="false">-J42*Assumptions!$B$31</f>
        <v>-136.065410163461</v>
      </c>
      <c r="L22" s="26" t="n">
        <f aca="false">-K42*Assumptions!$B$31</f>
        <v>-145.180177350384</v>
      </c>
    </row>
    <row r="23" customFormat="false" ht="15" hidden="false" customHeight="false" outlineLevel="0" collapsed="false">
      <c r="A23" s="9" t="s">
        <v>156</v>
      </c>
      <c r="C23" s="25" t="n">
        <f aca="false">C20+C21+C22</f>
        <v>-288.4</v>
      </c>
      <c r="D23" s="25" t="n">
        <f aca="false">D20+D21+D22</f>
        <v>-305.86</v>
      </c>
      <c r="E23" s="25" t="n">
        <f aca="false">E20+E21+E22</f>
        <v>-314.741575</v>
      </c>
      <c r="F23" s="25" t="n">
        <f aca="false">F20+F21+F22</f>
        <v>-310.39341025</v>
      </c>
      <c r="G23" s="25" t="n">
        <f aca="false">G20+G21+G22</f>
        <v>-286.453880281563</v>
      </c>
      <c r="H23" s="25" t="n">
        <f aca="false">H20+H21+H22</f>
        <v>-234.90728432185</v>
      </c>
      <c r="I23" s="25" t="n">
        <f aca="false">I20+I21+I22</f>
        <v>-146.551587309753</v>
      </c>
      <c r="J23" s="25" t="n">
        <f aca="false">J20+J21+J22</f>
        <v>-12.018559082391</v>
      </c>
      <c r="K23" s="25" t="n">
        <f aca="false">K20+K21+K22</f>
        <v>176.590988597921</v>
      </c>
      <c r="L23" s="25" t="n">
        <f aca="false">L20+L21+L22</f>
        <v>423.541990389441</v>
      </c>
    </row>
    <row r="24" customFormat="false" ht="15" hidden="false" customHeight="false" outlineLevel="0" collapsed="false">
      <c r="A24" s="3" t="s">
        <v>157</v>
      </c>
      <c r="C24" s="26" t="n">
        <f aca="false">B63*Assumptions!$B$36</f>
        <v>47</v>
      </c>
      <c r="D24" s="26" t="n">
        <f aca="false">C63*Assumptions!$B$36</f>
        <v>70.6071232876712</v>
      </c>
      <c r="E24" s="26" t="n">
        <f aca="false">D63*Assumptions!$B$36</f>
        <v>53.8180438356164</v>
      </c>
      <c r="F24" s="26" t="n">
        <f aca="false">E63*Assumptions!$B$36</f>
        <v>36.9129457945206</v>
      </c>
      <c r="G24" s="26" t="n">
        <f aca="false">F63*Assumptions!$B$36</f>
        <v>20.4029208458219</v>
      </c>
      <c r="H24" s="26" t="n">
        <f aca="false">G63*Assumptions!$B$36</f>
        <v>6</v>
      </c>
      <c r="I24" s="26" t="n">
        <f aca="false">H63*Assumptions!$B$36</f>
        <v>6</v>
      </c>
      <c r="J24" s="26" t="n">
        <f aca="false">I63*Assumptions!$B$36</f>
        <v>6</v>
      </c>
      <c r="K24" s="26" t="n">
        <f aca="false">J63*Assumptions!$B$36</f>
        <v>6</v>
      </c>
      <c r="L24" s="26" t="n">
        <f aca="false">K63*Assumptions!$B$36</f>
        <v>6</v>
      </c>
    </row>
    <row r="25" customFormat="false" ht="15" hidden="false" customHeight="false" outlineLevel="0" collapsed="false">
      <c r="A25" s="3" t="s">
        <v>158</v>
      </c>
      <c r="C25" s="26" t="n">
        <f aca="false">-B48*Assumptions!$B$37</f>
        <v>-0</v>
      </c>
      <c r="D25" s="26" t="n">
        <f aca="false">-C48*Assumptions!$B$37</f>
        <v>-0</v>
      </c>
      <c r="E25" s="26" t="n">
        <f aca="false">-D48*Assumptions!$B$37</f>
        <v>-0</v>
      </c>
      <c r="F25" s="26" t="n">
        <f aca="false">-E48*Assumptions!$B$37</f>
        <v>-0</v>
      </c>
      <c r="G25" s="26" t="n">
        <f aca="false">-F48*Assumptions!$B$37</f>
        <v>-0</v>
      </c>
      <c r="H25" s="26" t="n">
        <f aca="false">-G48*Assumptions!$B$37</f>
        <v>-1.76028771385947</v>
      </c>
      <c r="I25" s="26" t="n">
        <f aca="false">-H48*Assumptions!$B$37</f>
        <v>-26.3335004194494</v>
      </c>
      <c r="J25" s="26" t="n">
        <f aca="false">-I48*Assumptions!$B$37</f>
        <v>-44.7437993995747</v>
      </c>
      <c r="K25" s="26" t="n">
        <f aca="false">-J48*Assumptions!$B$37</f>
        <v>-53.3026212310916</v>
      </c>
      <c r="L25" s="26" t="n">
        <f aca="false">-K48*Assumptions!$B$37</f>
        <v>-48.8209104936208</v>
      </c>
    </row>
    <row r="26" customFormat="false" ht="15" hidden="false" customHeight="false" outlineLevel="0" collapsed="false">
      <c r="A26" s="3" t="s">
        <v>159</v>
      </c>
      <c r="C26" s="26" t="n">
        <f aca="false">C23+C24+C25</f>
        <v>-241.4</v>
      </c>
      <c r="D26" s="26" t="n">
        <f aca="false">D23+D24+D25</f>
        <v>-235.252876712329</v>
      </c>
      <c r="E26" s="26" t="n">
        <f aca="false">E23+E24+E25</f>
        <v>-260.923531164384</v>
      </c>
      <c r="F26" s="26" t="n">
        <f aca="false">F23+F24+F25</f>
        <v>-273.48046445548</v>
      </c>
      <c r="G26" s="26" t="n">
        <f aca="false">G23+G24+G25</f>
        <v>-266.050959435741</v>
      </c>
      <c r="H26" s="26" t="n">
        <f aca="false">H23+H24+H25</f>
        <v>-230.667572035709</v>
      </c>
      <c r="I26" s="26" t="n">
        <f aca="false">I23+I24+I25</f>
        <v>-166.885087729202</v>
      </c>
      <c r="J26" s="26" t="n">
        <f aca="false">J23+J24+J25</f>
        <v>-50.7623584819657</v>
      </c>
      <c r="K26" s="26" t="n">
        <f aca="false">K23+K24+K25</f>
        <v>129.288367366829</v>
      </c>
      <c r="L26" s="26" t="n">
        <f aca="false">L23+L24+L25</f>
        <v>380.721079895821</v>
      </c>
    </row>
    <row r="27" customFormat="false" ht="15" hidden="false" customHeight="false" outlineLevel="0" collapsed="false">
      <c r="A27" s="3" t="s">
        <v>160</v>
      </c>
      <c r="C27" s="26" t="n">
        <f aca="false">-MAX(0,C26)*C11</f>
        <v>-0</v>
      </c>
      <c r="D27" s="26" t="n">
        <f aca="false">-MAX(0,D26)*D11</f>
        <v>-0</v>
      </c>
      <c r="E27" s="26" t="n">
        <f aca="false">-MAX(0,E26)*E11</f>
        <v>-0</v>
      </c>
      <c r="F27" s="26" t="n">
        <f aca="false">-MAX(0,F26)*F11</f>
        <v>-0</v>
      </c>
      <c r="G27" s="26" t="n">
        <f aca="false">-MAX(0,G26)*G11</f>
        <v>-0</v>
      </c>
      <c r="H27" s="26" t="n">
        <f aca="false">-MAX(0,H26)*H11</f>
        <v>-0</v>
      </c>
      <c r="I27" s="26" t="n">
        <f aca="false">-MAX(0,I26)*I11</f>
        <v>-0</v>
      </c>
      <c r="J27" s="26" t="n">
        <f aca="false">-MAX(0,J26)*J11</f>
        <v>-0</v>
      </c>
      <c r="K27" s="26" t="n">
        <f aca="false">-MAX(0,K26)*K11</f>
        <v>-17.2384489822439</v>
      </c>
      <c r="L27" s="26" t="n">
        <f aca="false">-MAX(0,L26)*L11</f>
        <v>-57.1081619843731</v>
      </c>
    </row>
    <row r="28" customFormat="false" ht="15" hidden="false" customHeight="false" outlineLevel="0" collapsed="false">
      <c r="A28" s="9" t="s">
        <v>161</v>
      </c>
      <c r="C28" s="25" t="n">
        <f aca="false">C26+C27</f>
        <v>-241.4</v>
      </c>
      <c r="D28" s="25" t="n">
        <f aca="false">D26+D27</f>
        <v>-235.252876712329</v>
      </c>
      <c r="E28" s="25" t="n">
        <f aca="false">E26+E27</f>
        <v>-260.923531164384</v>
      </c>
      <c r="F28" s="25" t="n">
        <f aca="false">F26+F27</f>
        <v>-273.48046445548</v>
      </c>
      <c r="G28" s="25" t="n">
        <f aca="false">G26+G27</f>
        <v>-266.050959435741</v>
      </c>
      <c r="H28" s="25" t="n">
        <f aca="false">H26+H27</f>
        <v>-230.667572035709</v>
      </c>
      <c r="I28" s="25" t="n">
        <f aca="false">I26+I27</f>
        <v>-166.885087729202</v>
      </c>
      <c r="J28" s="25" t="n">
        <f aca="false">J26+J27</f>
        <v>-50.7623584819657</v>
      </c>
      <c r="K28" s="25" t="n">
        <f aca="false">K26+K27</f>
        <v>112.049918384586</v>
      </c>
      <c r="L28" s="25" t="n">
        <f aca="false">L26+L27</f>
        <v>323.612917911448</v>
      </c>
    </row>
    <row r="29" customFormat="false" ht="15" hidden="false" customHeight="false" outlineLevel="0" collapsed="false">
      <c r="A29" s="27" t="s">
        <v>162</v>
      </c>
      <c r="C29" s="28" t="n">
        <f aca="false">C20/C15</f>
        <v>-1.41666666666667</v>
      </c>
      <c r="D29" s="28" t="n">
        <f aca="false">D20/D15</f>
        <v>-0.90336917562724</v>
      </c>
      <c r="E29" s="28" t="n">
        <f aca="false">E20/E15</f>
        <v>-0.570918569862851</v>
      </c>
      <c r="F29" s="28" t="n">
        <f aca="false">F20/F15</f>
        <v>-0.348092841532277</v>
      </c>
      <c r="G29" s="28" t="n">
        <f aca="false">G20/G15</f>
        <v>-0.192934669392564</v>
      </c>
      <c r="H29" s="28" t="n">
        <f aca="false">H20/H15</f>
        <v>-0.0803127194463287</v>
      </c>
      <c r="I29" s="28" t="n">
        <f aca="false">I20/I15</f>
        <v>0.00507475926464447</v>
      </c>
      <c r="J29" s="28" t="n">
        <f aca="false">J20/J15</f>
        <v>0.0726948670900995</v>
      </c>
      <c r="K29" s="28" t="n">
        <f aca="false">K20/K15</f>
        <v>0.128495264715177</v>
      </c>
      <c r="L29" s="28" t="n">
        <f aca="false">L20/L15</f>
        <v>0.176265469340918</v>
      </c>
    </row>
    <row r="31" customFormat="false" ht="15" hidden="false" customHeight="false" outlineLevel="0" collapsed="false">
      <c r="A31" s="7" t="s">
        <v>163</v>
      </c>
    </row>
    <row r="32" customFormat="false" ht="15" hidden="false" customHeight="false" outlineLevel="0" collapsed="false">
      <c r="A32" s="3" t="s">
        <v>164</v>
      </c>
      <c r="B32" s="20" t="n">
        <v>30</v>
      </c>
      <c r="C32" s="26" t="n">
        <f aca="false">C15*Assumptions!$B$32/365</f>
        <v>29.5890410958904</v>
      </c>
      <c r="D32" s="26" t="n">
        <f aca="false">D15*Assumptions!$B$32/365</f>
        <v>45.8630136986301</v>
      </c>
      <c r="E32" s="26" t="n">
        <f aca="false">E15*Assumptions!$B$32/365</f>
        <v>69.3678082191781</v>
      </c>
      <c r="F32" s="26" t="n">
        <f aca="false">F15*Assumptions!$B$32/365</f>
        <v>102.317517123288</v>
      </c>
      <c r="G32" s="26" t="n">
        <f aca="false">G15*Assumptions!$B$32/365</f>
        <v>147.081430864726</v>
      </c>
      <c r="H32" s="26" t="n">
        <f aca="false">H15*Assumptions!$B$32/365</f>
        <v>205.914003210616</v>
      </c>
      <c r="I32" s="26" t="n">
        <f aca="false">I15*Assumptions!$B$32/365</f>
        <v>280.557829374465</v>
      </c>
      <c r="J32" s="26" t="n">
        <f aca="false">J15*Assumptions!$B$32/365</f>
        <v>371.739123921166</v>
      </c>
      <c r="K32" s="26" t="n">
        <f aca="false">K15*Assumptions!$B$32/365</f>
        <v>478.614122048501</v>
      </c>
      <c r="L32" s="26" t="n">
        <f aca="false">L15*Assumptions!$B$32/365</f>
        <v>598.267652560627</v>
      </c>
    </row>
    <row r="33" customFormat="false" ht="15" hidden="false" customHeight="false" outlineLevel="0" collapsed="false">
      <c r="A33" s="3" t="s">
        <v>165</v>
      </c>
      <c r="B33" s="20" t="n">
        <v>20</v>
      </c>
      <c r="C33" s="26" t="n">
        <f aca="false">-C16*Assumptions!$B$33/365</f>
        <v>18.7397260273973</v>
      </c>
      <c r="D33" s="26" t="n">
        <f aca="false">-D16*Assumptions!$B$33/365</f>
        <v>28.1972602739726</v>
      </c>
      <c r="E33" s="26" t="n">
        <f aca="false">-E16*Assumptions!$B$33/365</f>
        <v>41.3637671232877</v>
      </c>
      <c r="F33" s="26" t="n">
        <f aca="false">-F16*Assumptions!$B$33/365</f>
        <v>59.1167876712329</v>
      </c>
      <c r="G33" s="26" t="n">
        <f aca="false">-G16*Assumptions!$B$33/365</f>
        <v>82.2566520761987</v>
      </c>
      <c r="H33" s="26" t="n">
        <f aca="false">-H16*Assumptions!$B$33/365</f>
        <v>111.346090625</v>
      </c>
      <c r="I33" s="26" t="n">
        <f aca="false">-I16*Assumptions!$B$33/365</f>
        <v>146.513533117776</v>
      </c>
      <c r="J33" s="26" t="n">
        <f aca="false">-J16*Assumptions!$B$33/365</f>
        <v>187.246373530661</v>
      </c>
      <c r="K33" s="26" t="n">
        <f aca="false">-K16*Assumptions!$B$33/365</f>
        <v>232.216481438347</v>
      </c>
      <c r="L33" s="26" t="n">
        <f aca="false">-L16*Assumptions!$B$33/365</f>
        <v>279.191571194959</v>
      </c>
    </row>
    <row r="34" customFormat="false" ht="15" hidden="false" customHeight="false" outlineLevel="0" collapsed="false">
      <c r="A34" s="3" t="s">
        <v>166</v>
      </c>
      <c r="B34" s="20" t="n">
        <v>40</v>
      </c>
      <c r="C34" s="26" t="n">
        <f aca="false">C15*Assumptions!$B$35</f>
        <v>9</v>
      </c>
      <c r="D34" s="26" t="n">
        <f aca="false">D15*Assumptions!$B$35</f>
        <v>13.95</v>
      </c>
      <c r="E34" s="26" t="n">
        <f aca="false">E15*Assumptions!$B$35</f>
        <v>21.099375</v>
      </c>
      <c r="F34" s="26" t="n">
        <f aca="false">F15*Assumptions!$B$35</f>
        <v>31.121578125</v>
      </c>
      <c r="G34" s="26" t="n">
        <f aca="false">G15*Assumptions!$B$35</f>
        <v>44.7372685546875</v>
      </c>
      <c r="H34" s="26" t="n">
        <f aca="false">H15*Assumptions!$B$35</f>
        <v>62.6321759765625</v>
      </c>
      <c r="I34" s="26" t="n">
        <f aca="false">I15*Assumptions!$B$35</f>
        <v>85.3363397680664</v>
      </c>
      <c r="J34" s="26" t="n">
        <f aca="false">J15*Assumptions!$B$35</f>
        <v>113.070650192688</v>
      </c>
      <c r="K34" s="26" t="n">
        <f aca="false">K15*Assumptions!$B$35</f>
        <v>145.578462123086</v>
      </c>
      <c r="L34" s="26" t="n">
        <f aca="false">L15*Assumptions!$B$35</f>
        <v>181.973077653857</v>
      </c>
    </row>
    <row r="35" customFormat="false" ht="15" hidden="false" customHeight="false" outlineLevel="0" collapsed="false">
      <c r="A35" s="3" t="s">
        <v>167</v>
      </c>
      <c r="B35" s="20" t="n">
        <v>-60</v>
      </c>
      <c r="C35" s="26" t="n">
        <f aca="false">(C16+C18+C19)*Assumptions!$B$34/365</f>
        <v>-71.5068493150685</v>
      </c>
      <c r="D35" s="26" t="n">
        <f aca="false">(D16+D18+D19)*Assumptions!$B$34/365</f>
        <v>-87.2942465753425</v>
      </c>
      <c r="E35" s="26" t="n">
        <f aca="false">(E16+E18+E19)*Assumptions!$B$34/365</f>
        <v>-108.971178082192</v>
      </c>
      <c r="F35" s="26" t="n">
        <f aca="false">(F16+F18+F19)*Assumptions!$B$34/365</f>
        <v>-137.93351239726</v>
      </c>
      <c r="G35" s="26" t="n">
        <f aca="false">(G16+G18+G19)*Assumptions!$B$34/365</f>
        <v>-175.458538102397</v>
      </c>
      <c r="H35" s="26" t="n">
        <f aca="false">(H16+H18+H19)*Assumptions!$B$34/365</f>
        <v>-222.451516780541</v>
      </c>
      <c r="I35" s="26" t="n">
        <f aca="false">(I16+I18+I19)*Assumptions!$B$34/365</f>
        <v>-279.134065930578</v>
      </c>
      <c r="J35" s="26" t="n">
        <f aca="false">(J16+J18+J19)*Assumptions!$B$34/365</f>
        <v>-344.715597715527</v>
      </c>
      <c r="K35" s="26" t="n">
        <f aca="false">(K16+K18+K19)*Assumptions!$B$34/365</f>
        <v>-417.114473739457</v>
      </c>
      <c r="L35" s="26" t="n">
        <f aca="false">(L16+L18+L19)*Assumptions!$B$34/365</f>
        <v>-492.813723990539</v>
      </c>
    </row>
    <row r="36" customFormat="false" ht="15" hidden="false" customHeight="false" outlineLevel="0" collapsed="false">
      <c r="A36" s="3" t="s">
        <v>168</v>
      </c>
      <c r="B36" s="20" t="n">
        <v>-150</v>
      </c>
      <c r="C36" s="26" t="n">
        <f aca="false">-C15*C12</f>
        <v>-54</v>
      </c>
      <c r="D36" s="26" t="n">
        <f aca="false">-D15*D12</f>
        <v>-80.6</v>
      </c>
      <c r="E36" s="26" t="n">
        <f aca="false">-E15*E12</f>
        <v>-117.21875</v>
      </c>
      <c r="F36" s="26" t="n">
        <f aca="false">-F15*F12</f>
        <v>-165.98175</v>
      </c>
      <c r="G36" s="26" t="n">
        <f aca="false">-G15*G12</f>
        <v>-228.657150390625</v>
      </c>
      <c r="H36" s="26" t="n">
        <f aca="false">-H15*H12</f>
        <v>-306.20174921875</v>
      </c>
      <c r="I36" s="26" t="n">
        <f aca="false">-I15*I12</f>
        <v>-398.236252250977</v>
      </c>
      <c r="J36" s="26" t="n">
        <f aca="false">-J15*J12</f>
        <v>-502.536223078613</v>
      </c>
      <c r="K36" s="26" t="n">
        <f aca="false">-K15*K12</f>
        <v>-614.664617853029</v>
      </c>
      <c r="L36" s="26" t="n">
        <f aca="false">-L15*L12</f>
        <v>-727.892310615429</v>
      </c>
    </row>
    <row r="37" customFormat="false" ht="15" hidden="false" customHeight="false" outlineLevel="0" collapsed="false">
      <c r="A37" s="9" t="s">
        <v>169</v>
      </c>
      <c r="B37" s="25" t="n">
        <f aca="false">SUM(B32:B36)</f>
        <v>-120</v>
      </c>
      <c r="C37" s="25" t="n">
        <f aca="false">SUM(C32:C36)</f>
        <v>-68.1780821917808</v>
      </c>
      <c r="D37" s="25" t="n">
        <f aca="false">SUM(D32:D36)</f>
        <v>-79.8839726027398</v>
      </c>
      <c r="E37" s="25" t="n">
        <f aca="false">SUM(E32:E36)</f>
        <v>-94.3589777397261</v>
      </c>
      <c r="F37" s="25" t="n">
        <f aca="false">SUM(F32:F36)</f>
        <v>-111.35937947774</v>
      </c>
      <c r="G37" s="25" t="n">
        <f aca="false">SUM(G32:G36)</f>
        <v>-130.04033699741</v>
      </c>
      <c r="H37" s="25" t="n">
        <f aca="false">SUM(H32:H36)</f>
        <v>-148.760996187112</v>
      </c>
      <c r="I37" s="25" t="n">
        <f aca="false">SUM(I32:I36)</f>
        <v>-164.962615921248</v>
      </c>
      <c r="J37" s="25" t="n">
        <f aca="false">SUM(J32:J36)</f>
        <v>-175.195673149625</v>
      </c>
      <c r="K37" s="25" t="n">
        <f aca="false">SUM(K32:K36)</f>
        <v>-175.370025982552</v>
      </c>
      <c r="L37" s="25" t="n">
        <f aca="false">SUM(L32:L36)</f>
        <v>-161.273733196525</v>
      </c>
    </row>
    <row r="38" customFormat="false" ht="15" hidden="false" customHeight="false" outlineLevel="0" collapsed="false">
      <c r="A38" s="3" t="s">
        <v>170</v>
      </c>
      <c r="C38" s="26" t="n">
        <f aca="false">-(C37-B37)</f>
        <v>-51.8219178082192</v>
      </c>
      <c r="D38" s="26" t="n">
        <f aca="false">-(D37-C37)</f>
        <v>11.7058904109589</v>
      </c>
      <c r="E38" s="26" t="n">
        <f aca="false">-(E37-D37)</f>
        <v>14.4750051369863</v>
      </c>
      <c r="F38" s="26" t="n">
        <f aca="false">-(F37-E37)</f>
        <v>17.0004017380137</v>
      </c>
      <c r="G38" s="26" t="n">
        <f aca="false">-(G37-F37)</f>
        <v>18.6809575196704</v>
      </c>
      <c r="H38" s="26" t="n">
        <f aca="false">-(H37-G37)</f>
        <v>18.7206591897021</v>
      </c>
      <c r="I38" s="26" t="n">
        <f aca="false">-(I37-H37)</f>
        <v>16.2016197341353</v>
      </c>
      <c r="J38" s="26" t="n">
        <f aca="false">-(J37-I37)</f>
        <v>10.2330572283772</v>
      </c>
      <c r="K38" s="26" t="n">
        <f aca="false">-(K37-J37)</f>
        <v>0.174352832927411</v>
      </c>
      <c r="L38" s="26" t="n">
        <f aca="false">-(L37-K37)</f>
        <v>-14.0962927860274</v>
      </c>
    </row>
    <row r="40" customFormat="false" ht="15" hidden="false" customHeight="false" outlineLevel="0" collapsed="false">
      <c r="A40" s="7" t="s">
        <v>171</v>
      </c>
    </row>
    <row r="41" customFormat="false" ht="15" hidden="false" customHeight="false" outlineLevel="0" collapsed="false">
      <c r="A41" s="3" t="s">
        <v>172</v>
      </c>
      <c r="C41" s="23" t="n">
        <f aca="false">Assumptions!$B$30*(1+Assumptions!$E$26)^0</f>
        <v>250</v>
      </c>
      <c r="D41" s="23" t="n">
        <f aca="false">Assumptions!$B$30*(1+Assumptions!$E$26)^1</f>
        <v>250</v>
      </c>
      <c r="E41" s="23" t="n">
        <f aca="false">Assumptions!$B$30*(1+Assumptions!$E$26)^2</f>
        <v>250</v>
      </c>
      <c r="F41" s="23" t="n">
        <f aca="false">Assumptions!$B$30*(1+Assumptions!$E$26)^3</f>
        <v>250</v>
      </c>
      <c r="G41" s="23" t="n">
        <f aca="false">Assumptions!$B$30*(1+Assumptions!$E$26)^4</f>
        <v>250</v>
      </c>
      <c r="H41" s="23" t="n">
        <f aca="false">Assumptions!$B$30*(1+Assumptions!$E$26)^5</f>
        <v>250</v>
      </c>
      <c r="I41" s="23" t="n">
        <f aca="false">Assumptions!$B$30*(1+Assumptions!$E$26)^6</f>
        <v>250</v>
      </c>
      <c r="J41" s="23" t="n">
        <f aca="false">Assumptions!$B$30*(1+Assumptions!$E$26)^7</f>
        <v>250</v>
      </c>
      <c r="K41" s="23" t="n">
        <f aca="false">Assumptions!$B$30*(1+Assumptions!$E$26)^8</f>
        <v>250</v>
      </c>
      <c r="L41" s="23" t="n">
        <f aca="false">Assumptions!$B$30*(1+Assumptions!$E$26)^9</f>
        <v>250</v>
      </c>
    </row>
    <row r="42" customFormat="false" ht="15" hidden="false" customHeight="false" outlineLevel="0" collapsed="false">
      <c r="A42" s="3" t="s">
        <v>173</v>
      </c>
      <c r="B42" s="20" t="n">
        <v>350</v>
      </c>
      <c r="C42" s="26" t="n">
        <f aca="false">B42+C41+C22</f>
        <v>572</v>
      </c>
      <c r="D42" s="26" t="n">
        <f aca="false">C42+D41+D22</f>
        <v>776.24</v>
      </c>
      <c r="E42" s="26" t="n">
        <f aca="false">D42+E41+E22</f>
        <v>964.1408</v>
      </c>
      <c r="F42" s="26" t="n">
        <f aca="false">E42+F41+F22</f>
        <v>1137.009536</v>
      </c>
      <c r="G42" s="26" t="n">
        <f aca="false">F42+G41+G22</f>
        <v>1296.04877312</v>
      </c>
      <c r="H42" s="26" t="n">
        <f aca="false">G42+H41+H22</f>
        <v>1442.3648712704</v>
      </c>
      <c r="I42" s="26" t="n">
        <f aca="false">H42+I41+I22</f>
        <v>1576.97568156877</v>
      </c>
      <c r="J42" s="26" t="n">
        <f aca="false">I42+J41+J22</f>
        <v>1700.81762704327</v>
      </c>
      <c r="K42" s="26" t="n">
        <f aca="false">J42+K41+K22</f>
        <v>1814.75221687981</v>
      </c>
      <c r="L42" s="26" t="n">
        <f aca="false">K42+L41+L22</f>
        <v>1919.57203952942</v>
      </c>
    </row>
    <row r="44" customFormat="false" ht="15" hidden="false" customHeight="false" outlineLevel="0" collapsed="false">
      <c r="A44" s="7" t="s">
        <v>174</v>
      </c>
    </row>
    <row r="45" customFormat="false" ht="15" hidden="false" customHeight="false" outlineLevel="0" collapsed="false">
      <c r="A45" s="3" t="s">
        <v>175</v>
      </c>
      <c r="C45" s="26" t="n">
        <f aca="false">B48</f>
        <v>0</v>
      </c>
      <c r="D45" s="26" t="n">
        <f aca="false">C48</f>
        <v>0</v>
      </c>
      <c r="E45" s="26" t="n">
        <f aca="false">D48</f>
        <v>0</v>
      </c>
      <c r="F45" s="26" t="n">
        <f aca="false">E48</f>
        <v>0</v>
      </c>
      <c r="G45" s="26" t="n">
        <f aca="false">F48</f>
        <v>0</v>
      </c>
      <c r="H45" s="26" t="n">
        <f aca="false">G48</f>
        <v>23.4705028514596</v>
      </c>
      <c r="I45" s="26" t="n">
        <f aca="false">H48</f>
        <v>351.113338925992</v>
      </c>
      <c r="J45" s="26" t="n">
        <f aca="false">I48</f>
        <v>596.583991994329</v>
      </c>
      <c r="K45" s="26" t="n">
        <f aca="false">J48</f>
        <v>710.701616414555</v>
      </c>
      <c r="L45" s="26" t="n">
        <f aca="false">K48</f>
        <v>650.945473248278</v>
      </c>
    </row>
    <row r="46" customFormat="false" ht="15" hidden="false" customHeight="false" outlineLevel="0" collapsed="false">
      <c r="A46" s="3" t="s">
        <v>176</v>
      </c>
      <c r="C46" s="26" t="n">
        <f aca="false">MAX(0,Assumptions!$B$38-(B63+C28-C21-C22+C38-C41+C59))</f>
        <v>0</v>
      </c>
      <c r="D46" s="26" t="n">
        <f aca="false">MAX(0,Assumptions!$B$38-(C63+D28-D21-D22+D38-D41+D59))</f>
        <v>0</v>
      </c>
      <c r="E46" s="26" t="n">
        <f aca="false">MAX(0,Assumptions!$B$38-(D63+E28-E21-E22+E38-E41+E59))</f>
        <v>0</v>
      </c>
      <c r="F46" s="26" t="n">
        <f aca="false">MAX(0,Assumptions!$B$38-(E63+F28-F21-F22+F38-F41+F59))</f>
        <v>0</v>
      </c>
      <c r="G46" s="26" t="n">
        <f aca="false">MAX(0,Assumptions!$B$38-(F63+G28-G21-G22+G38-G41+G59))</f>
        <v>23.4705028514596</v>
      </c>
      <c r="H46" s="26" t="n">
        <f aca="false">MAX(0,Assumptions!$B$38-(G63+H28-H21-H22+H38-H41+H59))</f>
        <v>327.642836074532</v>
      </c>
      <c r="I46" s="26" t="n">
        <f aca="false">MAX(0,Assumptions!$B$38-(H63+I28-I21-I22+I38-I41+I59))</f>
        <v>245.470653068337</v>
      </c>
      <c r="J46" s="26" t="n">
        <f aca="false">MAX(0,Assumptions!$B$38-(I63+J28-J21-J22+J38-J41+J59))</f>
        <v>114.117624420226</v>
      </c>
      <c r="K46" s="26" t="n">
        <f aca="false">MAX(0,Assumptions!$B$38-(J63+K28-K21-K22+K38-K41+K59))</f>
        <v>0</v>
      </c>
      <c r="L46" s="26" t="n">
        <f aca="false">MAX(0,Assumptions!$B$38-(K63+L28-L21-L22+L38-L41+L59))</f>
        <v>0</v>
      </c>
      <c r="M46" s="15" t="s">
        <v>177</v>
      </c>
    </row>
    <row r="47" customFormat="false" ht="15" hidden="false" customHeight="false" outlineLevel="0" collapsed="false">
      <c r="A47" s="3" t="s">
        <v>178</v>
      </c>
      <c r="C47" s="26" t="n">
        <f aca="false">-MIN(C45,MAX(0,(B63+C28-C21-C22+C38-C41+C59)-Assumptions!$B$38))</f>
        <v>-0</v>
      </c>
      <c r="D47" s="26" t="n">
        <f aca="false">-MIN(D45,MAX(0,(C63+D28-D21-D22+D38-D41+D59)-Assumptions!$B$38))</f>
        <v>-0</v>
      </c>
      <c r="E47" s="26" t="n">
        <f aca="false">-MIN(E45,MAX(0,(D63+E28-E21-E22+E38-E41+E59)-Assumptions!$B$38))</f>
        <v>-0</v>
      </c>
      <c r="F47" s="26" t="n">
        <f aca="false">-MIN(F45,MAX(0,(E63+F28-F21-F22+F38-F41+F59)-Assumptions!$B$38))</f>
        <v>-0</v>
      </c>
      <c r="G47" s="26" t="n">
        <f aca="false">-MIN(G45,MAX(0,(F63+G28-G21-G22+G38-G41+G59)-Assumptions!$B$38))</f>
        <v>-0</v>
      </c>
      <c r="H47" s="26" t="n">
        <f aca="false">-MIN(H45,MAX(0,(G63+H28-H21-H22+H38-H41+H59)-Assumptions!$B$38))</f>
        <v>-0</v>
      </c>
      <c r="I47" s="26" t="n">
        <f aca="false">-MIN(I45,MAX(0,(H63+I28-I21-I22+I38-I41+I59)-Assumptions!$B$38))</f>
        <v>-0</v>
      </c>
      <c r="J47" s="26" t="n">
        <f aca="false">-MIN(J45,MAX(0,(I63+J28-J21-J22+J38-J41+J59)-Assumptions!$B$38))</f>
        <v>-0</v>
      </c>
      <c r="K47" s="26" t="n">
        <f aca="false">-MIN(K45,MAX(0,(J63+K28-K21-K22+K38-K41+K59)-Assumptions!$B$38))</f>
        <v>-59.7561431662772</v>
      </c>
      <c r="L47" s="26" t="n">
        <f aca="false">-MIN(L45,MAX(0,(K63+L28-L21-L22+L38-L41+L59)-Assumptions!$B$38))</f>
        <v>-277.486033537347</v>
      </c>
    </row>
    <row r="48" customFormat="false" ht="15" hidden="false" customHeight="false" outlineLevel="0" collapsed="false">
      <c r="A48" s="3" t="s">
        <v>179</v>
      </c>
      <c r="B48" s="26" t="n">
        <v>0</v>
      </c>
      <c r="C48" s="26" t="n">
        <f aca="false">C45+C46+C47</f>
        <v>0</v>
      </c>
      <c r="D48" s="26" t="n">
        <f aca="false">D45+D46+D47</f>
        <v>0</v>
      </c>
      <c r="E48" s="26" t="n">
        <f aca="false">E45+E46+E47</f>
        <v>0</v>
      </c>
      <c r="F48" s="26" t="n">
        <f aca="false">F45+F46+F47</f>
        <v>0</v>
      </c>
      <c r="G48" s="26" t="n">
        <f aca="false">G45+G46+G47</f>
        <v>23.4705028514596</v>
      </c>
      <c r="H48" s="26" t="n">
        <f aca="false">H45+H46+H47</f>
        <v>351.113338925992</v>
      </c>
      <c r="I48" s="26" t="n">
        <f aca="false">I45+I46+I47</f>
        <v>596.583991994329</v>
      </c>
      <c r="J48" s="26" t="n">
        <f aca="false">J45+J46+J47</f>
        <v>710.701616414555</v>
      </c>
      <c r="K48" s="26" t="n">
        <f aca="false">K45+K46+K47</f>
        <v>650.945473248278</v>
      </c>
      <c r="L48" s="26" t="n">
        <f aca="false">L45+L46+L47</f>
        <v>373.45943971093</v>
      </c>
    </row>
    <row r="49" customFormat="false" ht="15" hidden="false" customHeight="false" outlineLevel="0" collapsed="false">
      <c r="A49" s="9" t="s">
        <v>180</v>
      </c>
      <c r="B49" s="26" t="n">
        <f aca="false">B48</f>
        <v>0</v>
      </c>
      <c r="C49" s="25" t="n">
        <f aca="false">C48</f>
        <v>0</v>
      </c>
      <c r="D49" s="25" t="n">
        <f aca="false">D48</f>
        <v>0</v>
      </c>
      <c r="E49" s="25" t="n">
        <f aca="false">E48</f>
        <v>0</v>
      </c>
      <c r="F49" s="25" t="n">
        <f aca="false">F48</f>
        <v>0</v>
      </c>
      <c r="G49" s="25" t="n">
        <f aca="false">G48</f>
        <v>23.4705028514596</v>
      </c>
      <c r="H49" s="25" t="n">
        <f aca="false">H48</f>
        <v>351.113338925992</v>
      </c>
      <c r="I49" s="25" t="n">
        <f aca="false">I48</f>
        <v>596.583991994329</v>
      </c>
      <c r="J49" s="25" t="n">
        <f aca="false">J48</f>
        <v>710.701616414555</v>
      </c>
      <c r="K49" s="25" t="n">
        <f aca="false">K48</f>
        <v>650.945473248278</v>
      </c>
      <c r="L49" s="25" t="n">
        <f aca="false">L48</f>
        <v>373.45943971093</v>
      </c>
    </row>
    <row r="51" customFormat="false" ht="15" hidden="false" customHeight="false" outlineLevel="0" collapsed="false">
      <c r="A51" s="7" t="s">
        <v>181</v>
      </c>
    </row>
    <row r="52" customFormat="false" ht="15" hidden="false" customHeight="false" outlineLevel="0" collapsed="false">
      <c r="A52" s="3" t="s">
        <v>182</v>
      </c>
      <c r="C52" s="26" t="n">
        <f aca="false">C28</f>
        <v>-241.4</v>
      </c>
      <c r="D52" s="26" t="n">
        <f aca="false">D28</f>
        <v>-235.252876712329</v>
      </c>
      <c r="E52" s="26" t="n">
        <f aca="false">E28</f>
        <v>-260.923531164384</v>
      </c>
      <c r="F52" s="26" t="n">
        <f aca="false">F28</f>
        <v>-273.48046445548</v>
      </c>
      <c r="G52" s="26" t="n">
        <f aca="false">G28</f>
        <v>-266.050959435741</v>
      </c>
      <c r="H52" s="26" t="n">
        <f aca="false">H28</f>
        <v>-230.667572035709</v>
      </c>
      <c r="I52" s="26" t="n">
        <f aca="false">I28</f>
        <v>-166.885087729202</v>
      </c>
      <c r="J52" s="26" t="n">
        <f aca="false">J28</f>
        <v>-50.7623584819657</v>
      </c>
      <c r="K52" s="26" t="n">
        <f aca="false">K28</f>
        <v>112.049918384586</v>
      </c>
      <c r="L52" s="26" t="n">
        <f aca="false">L28</f>
        <v>323.612917911448</v>
      </c>
    </row>
    <row r="53" customFormat="false" ht="15" hidden="false" customHeight="false" outlineLevel="0" collapsed="false">
      <c r="A53" s="3" t="s">
        <v>183</v>
      </c>
      <c r="C53" s="26" t="n">
        <f aca="false">-C22</f>
        <v>28</v>
      </c>
      <c r="D53" s="26" t="n">
        <f aca="false">-D22</f>
        <v>45.76</v>
      </c>
      <c r="E53" s="26" t="n">
        <f aca="false">-E22</f>
        <v>62.0992</v>
      </c>
      <c r="F53" s="26" t="n">
        <f aca="false">-F22</f>
        <v>77.131264</v>
      </c>
      <c r="G53" s="26" t="n">
        <f aca="false">-G22</f>
        <v>90.96076288</v>
      </c>
      <c r="H53" s="26" t="n">
        <f aca="false">-H22</f>
        <v>103.6839018496</v>
      </c>
      <c r="I53" s="26" t="n">
        <f aca="false">-I22</f>
        <v>115.389189701632</v>
      </c>
      <c r="J53" s="26" t="n">
        <f aca="false">-J22</f>
        <v>126.158054525501</v>
      </c>
      <c r="K53" s="26" t="n">
        <f aca="false">-K22</f>
        <v>136.065410163461</v>
      </c>
      <c r="L53" s="26" t="n">
        <f aca="false">-L22</f>
        <v>145.180177350384</v>
      </c>
    </row>
    <row r="54" customFormat="false" ht="15" hidden="false" customHeight="false" outlineLevel="0" collapsed="false">
      <c r="A54" s="3" t="s">
        <v>184</v>
      </c>
      <c r="C54" s="26" t="n">
        <f aca="false">-C21</f>
        <v>5.4</v>
      </c>
      <c r="D54" s="26" t="n">
        <f aca="false">-D21</f>
        <v>8.06</v>
      </c>
      <c r="E54" s="26" t="n">
        <f aca="false">-E21</f>
        <v>11.721875</v>
      </c>
      <c r="F54" s="26" t="n">
        <f aca="false">-F21</f>
        <v>16.598175</v>
      </c>
      <c r="G54" s="26" t="n">
        <f aca="false">-G21</f>
        <v>22.8657150390625</v>
      </c>
      <c r="H54" s="26" t="n">
        <f aca="false">-H21</f>
        <v>30.620174921875</v>
      </c>
      <c r="I54" s="26" t="n">
        <f aca="false">-I21</f>
        <v>39.8236252250977</v>
      </c>
      <c r="J54" s="26" t="n">
        <f aca="false">-J21</f>
        <v>50.2536223078613</v>
      </c>
      <c r="K54" s="26" t="n">
        <f aca="false">-K21</f>
        <v>61.4664617853029</v>
      </c>
      <c r="L54" s="26" t="n">
        <f aca="false">-L21</f>
        <v>72.7892310615429</v>
      </c>
    </row>
    <row r="55" customFormat="false" ht="15" hidden="false" customHeight="false" outlineLevel="0" collapsed="false">
      <c r="A55" s="3" t="s">
        <v>185</v>
      </c>
      <c r="C55" s="26" t="n">
        <f aca="false">C38</f>
        <v>-51.8219178082192</v>
      </c>
      <c r="D55" s="26" t="n">
        <f aca="false">D38</f>
        <v>11.7058904109589</v>
      </c>
      <c r="E55" s="26" t="n">
        <f aca="false">E38</f>
        <v>14.4750051369863</v>
      </c>
      <c r="F55" s="26" t="n">
        <f aca="false">F38</f>
        <v>17.0004017380137</v>
      </c>
      <c r="G55" s="26" t="n">
        <f aca="false">G38</f>
        <v>18.6809575196704</v>
      </c>
      <c r="H55" s="26" t="n">
        <f aca="false">H38</f>
        <v>18.7206591897021</v>
      </c>
      <c r="I55" s="26" t="n">
        <f aca="false">I38</f>
        <v>16.2016197341353</v>
      </c>
      <c r="J55" s="26" t="n">
        <f aca="false">J38</f>
        <v>10.2330572283772</v>
      </c>
      <c r="K55" s="26" t="n">
        <f aca="false">K38</f>
        <v>0.174352832927411</v>
      </c>
      <c r="L55" s="26" t="n">
        <f aca="false">L38</f>
        <v>-14.0962927860274</v>
      </c>
    </row>
    <row r="56" customFormat="false" ht="15" hidden="false" customHeight="false" outlineLevel="0" collapsed="false">
      <c r="A56" s="9" t="s">
        <v>186</v>
      </c>
      <c r="C56" s="25" t="n">
        <f aca="false">SUM(C52:C55)</f>
        <v>-259.821917808219</v>
      </c>
      <c r="D56" s="25" t="n">
        <f aca="false">SUM(D52:D55)</f>
        <v>-169.72698630137</v>
      </c>
      <c r="E56" s="25" t="n">
        <f aca="false">SUM(E52:E55)</f>
        <v>-172.627451027397</v>
      </c>
      <c r="F56" s="25" t="n">
        <f aca="false">SUM(F52:F55)</f>
        <v>-162.750623717466</v>
      </c>
      <c r="G56" s="25" t="n">
        <f aca="false">SUM(G52:G55)</f>
        <v>-133.543523997008</v>
      </c>
      <c r="H56" s="25" t="n">
        <f aca="false">SUM(H52:H55)</f>
        <v>-77.6428360745324</v>
      </c>
      <c r="I56" s="25" t="n">
        <f aca="false">SUM(I52:I55)</f>
        <v>4.52934693166277</v>
      </c>
      <c r="J56" s="25" t="n">
        <f aca="false">SUM(J52:J55)</f>
        <v>135.882375579774</v>
      </c>
      <c r="K56" s="25" t="n">
        <f aca="false">SUM(K52:K55)</f>
        <v>309.756143166277</v>
      </c>
      <c r="L56" s="25" t="n">
        <f aca="false">SUM(L52:L55)</f>
        <v>527.486033537347</v>
      </c>
    </row>
    <row r="57" customFormat="false" ht="15" hidden="false" customHeight="false" outlineLevel="0" collapsed="false">
      <c r="A57" s="3" t="s">
        <v>187</v>
      </c>
      <c r="C57" s="26" t="n">
        <f aca="false">-C41</f>
        <v>-250</v>
      </c>
      <c r="D57" s="26" t="n">
        <f aca="false">-D41</f>
        <v>-250</v>
      </c>
      <c r="E57" s="26" t="n">
        <f aca="false">-E41</f>
        <v>-250</v>
      </c>
      <c r="F57" s="26" t="n">
        <f aca="false">-F41</f>
        <v>-250</v>
      </c>
      <c r="G57" s="26" t="n">
        <f aca="false">-G41</f>
        <v>-250</v>
      </c>
      <c r="H57" s="26" t="n">
        <f aca="false">-H41</f>
        <v>-250</v>
      </c>
      <c r="I57" s="26" t="n">
        <f aca="false">-I41</f>
        <v>-250</v>
      </c>
      <c r="J57" s="26" t="n">
        <f aca="false">-J41</f>
        <v>-250</v>
      </c>
      <c r="K57" s="26" t="n">
        <f aca="false">-K41</f>
        <v>-250</v>
      </c>
      <c r="L57" s="26" t="n">
        <f aca="false">-L41</f>
        <v>-250</v>
      </c>
    </row>
    <row r="58" customFormat="false" ht="15" hidden="false" customHeight="false" outlineLevel="0" collapsed="false">
      <c r="A58" s="9" t="s">
        <v>188</v>
      </c>
      <c r="C58" s="25" t="n">
        <f aca="false">C56+C57</f>
        <v>-509.821917808219</v>
      </c>
      <c r="D58" s="25" t="n">
        <f aca="false">D56+D57</f>
        <v>-419.72698630137</v>
      </c>
      <c r="E58" s="25" t="n">
        <f aca="false">E56+E57</f>
        <v>-422.627451027397</v>
      </c>
      <c r="F58" s="25" t="n">
        <f aca="false">F56+F57</f>
        <v>-412.750623717466</v>
      </c>
      <c r="G58" s="25" t="n">
        <f aca="false">G56+G57</f>
        <v>-383.543523997008</v>
      </c>
      <c r="H58" s="25" t="n">
        <f aca="false">H56+H57</f>
        <v>-327.642836074532</v>
      </c>
      <c r="I58" s="25" t="n">
        <f aca="false">I56+I57</f>
        <v>-245.470653068337</v>
      </c>
      <c r="J58" s="25" t="n">
        <f aca="false">J56+J57</f>
        <v>-114.117624420226</v>
      </c>
      <c r="K58" s="25" t="n">
        <f aca="false">K56+K57</f>
        <v>59.7561431662772</v>
      </c>
      <c r="L58" s="25" t="n">
        <f aca="false">L56+L57</f>
        <v>277.486033537347</v>
      </c>
    </row>
    <row r="59" customFormat="false" ht="15" hidden="false" customHeight="false" outlineLevel="0" collapsed="false">
      <c r="A59" s="3" t="s">
        <v>189</v>
      </c>
      <c r="C59" s="23" t="n">
        <f aca="false">Assumptions!$B$41</f>
        <v>1100</v>
      </c>
      <c r="D59" s="26" t="n">
        <v>0</v>
      </c>
      <c r="E59" s="26" t="n">
        <v>0</v>
      </c>
      <c r="F59" s="26" t="n">
        <v>0</v>
      </c>
      <c r="G59" s="26" t="n">
        <v>0</v>
      </c>
      <c r="H59" s="26" t="n">
        <v>0</v>
      </c>
      <c r="I59" s="26" t="n">
        <v>0</v>
      </c>
      <c r="J59" s="26" t="n">
        <v>0</v>
      </c>
      <c r="K59" s="26" t="n">
        <v>0</v>
      </c>
      <c r="L59" s="26" t="n">
        <v>0</v>
      </c>
    </row>
    <row r="60" customFormat="false" ht="15" hidden="false" customHeight="false" outlineLevel="0" collapsed="false">
      <c r="A60" s="3" t="s">
        <v>190</v>
      </c>
      <c r="C60" s="26" t="n">
        <f aca="false">C46+C47</f>
        <v>0</v>
      </c>
      <c r="D60" s="26" t="n">
        <f aca="false">D46+D47</f>
        <v>0</v>
      </c>
      <c r="E60" s="26" t="n">
        <f aca="false">E46+E47</f>
        <v>0</v>
      </c>
      <c r="F60" s="26" t="n">
        <f aca="false">F46+F47</f>
        <v>0</v>
      </c>
      <c r="G60" s="26" t="n">
        <f aca="false">G46+G47</f>
        <v>23.4705028514596</v>
      </c>
      <c r="H60" s="26" t="n">
        <f aca="false">H46+H47</f>
        <v>327.642836074532</v>
      </c>
      <c r="I60" s="26" t="n">
        <f aca="false">I46+I47</f>
        <v>245.470653068337</v>
      </c>
      <c r="J60" s="26" t="n">
        <f aca="false">J46+J47</f>
        <v>114.117624420226</v>
      </c>
      <c r="K60" s="26" t="n">
        <f aca="false">K46+K47</f>
        <v>-59.7561431662772</v>
      </c>
      <c r="L60" s="26" t="n">
        <f aca="false">L46+L47</f>
        <v>-277.486033537347</v>
      </c>
    </row>
    <row r="61" customFormat="false" ht="15" hidden="false" customHeight="false" outlineLevel="0" collapsed="false">
      <c r="A61" s="9" t="s">
        <v>191</v>
      </c>
      <c r="C61" s="25" t="n">
        <f aca="false">C58+C59+C60</f>
        <v>590.178082191781</v>
      </c>
      <c r="D61" s="25" t="n">
        <f aca="false">D58+D59+D60</f>
        <v>-419.72698630137</v>
      </c>
      <c r="E61" s="25" t="n">
        <f aca="false">E58+E59+E60</f>
        <v>-422.627451027397</v>
      </c>
      <c r="F61" s="25" t="n">
        <f aca="false">F58+F59+F60</f>
        <v>-412.750623717466</v>
      </c>
      <c r="G61" s="25" t="n">
        <f aca="false">G58+G59+G60</f>
        <v>-360.073021145548</v>
      </c>
      <c r="H61" s="25" t="n">
        <f aca="false">H58+H59+H60</f>
        <v>0</v>
      </c>
      <c r="I61" s="25" t="n">
        <f aca="false">I58+I59+I60</f>
        <v>0</v>
      </c>
      <c r="J61" s="25" t="n">
        <f aca="false">J58+J59+J60</f>
        <v>0</v>
      </c>
      <c r="K61" s="25" t="n">
        <f aca="false">K58+K59+K60</f>
        <v>0</v>
      </c>
      <c r="L61" s="25" t="n">
        <f aca="false">L58+L59+L60</f>
        <v>0</v>
      </c>
    </row>
    <row r="62" customFormat="false" ht="15" hidden="false" customHeight="false" outlineLevel="0" collapsed="false">
      <c r="A62" s="3" t="s">
        <v>192</v>
      </c>
      <c r="C62" s="26" t="n">
        <f aca="false">B63</f>
        <v>1175</v>
      </c>
      <c r="D62" s="26" t="n">
        <f aca="false">C63</f>
        <v>1765.17808219178</v>
      </c>
      <c r="E62" s="26" t="n">
        <f aca="false">D63</f>
        <v>1345.45109589041</v>
      </c>
      <c r="F62" s="26" t="n">
        <f aca="false">E63</f>
        <v>922.823644863014</v>
      </c>
      <c r="G62" s="26" t="n">
        <f aca="false">F63</f>
        <v>510.073021145548</v>
      </c>
      <c r="H62" s="26" t="n">
        <f aca="false">G63</f>
        <v>150</v>
      </c>
      <c r="I62" s="26" t="n">
        <f aca="false">H63</f>
        <v>150</v>
      </c>
      <c r="J62" s="26" t="n">
        <f aca="false">I63</f>
        <v>150</v>
      </c>
      <c r="K62" s="26" t="n">
        <f aca="false">J63</f>
        <v>150</v>
      </c>
      <c r="L62" s="26" t="n">
        <f aca="false">K63</f>
        <v>150</v>
      </c>
    </row>
    <row r="63" customFormat="false" ht="15" hidden="false" customHeight="false" outlineLevel="0" collapsed="false">
      <c r="A63" s="9" t="s">
        <v>193</v>
      </c>
      <c r="B63" s="20" t="n">
        <v>1175</v>
      </c>
      <c r="C63" s="25" t="n">
        <f aca="false">C62+C61</f>
        <v>1765.17808219178</v>
      </c>
      <c r="D63" s="25" t="n">
        <f aca="false">D62+D61</f>
        <v>1345.45109589041</v>
      </c>
      <c r="E63" s="25" t="n">
        <f aca="false">E62+E61</f>
        <v>922.823644863014</v>
      </c>
      <c r="F63" s="25" t="n">
        <f aca="false">F62+F61</f>
        <v>510.073021145548</v>
      </c>
      <c r="G63" s="25" t="n">
        <f aca="false">G62+G61</f>
        <v>150</v>
      </c>
      <c r="H63" s="25" t="n">
        <f aca="false">H62+H61</f>
        <v>150</v>
      </c>
      <c r="I63" s="25" t="n">
        <f aca="false">I62+I61</f>
        <v>150</v>
      </c>
      <c r="J63" s="25" t="n">
        <f aca="false">J62+J61</f>
        <v>150</v>
      </c>
      <c r="K63" s="25" t="n">
        <f aca="false">K62+K61</f>
        <v>150</v>
      </c>
      <c r="L63" s="25" t="n">
        <f aca="false">L62+L61</f>
        <v>150</v>
      </c>
    </row>
    <row r="65" customFormat="false" ht="15" hidden="false" customHeight="false" outlineLevel="0" collapsed="false">
      <c r="A65" s="7" t="s">
        <v>194</v>
      </c>
    </row>
    <row r="66" customFormat="false" ht="15" hidden="false" customHeight="false" outlineLevel="0" collapsed="false">
      <c r="A66" s="3" t="s">
        <v>195</v>
      </c>
      <c r="B66" s="26" t="n">
        <f aca="false">B63</f>
        <v>1175</v>
      </c>
      <c r="C66" s="26" t="n">
        <f aca="false">C63</f>
        <v>1765.17808219178</v>
      </c>
      <c r="D66" s="26" t="n">
        <f aca="false">D63</f>
        <v>1345.45109589041</v>
      </c>
      <c r="E66" s="26" t="n">
        <f aca="false">E63</f>
        <v>922.823644863014</v>
      </c>
      <c r="F66" s="26" t="n">
        <f aca="false">F63</f>
        <v>510.073021145548</v>
      </c>
      <c r="G66" s="26" t="n">
        <f aca="false">G63</f>
        <v>150</v>
      </c>
      <c r="H66" s="26" t="n">
        <f aca="false">H63</f>
        <v>150</v>
      </c>
      <c r="I66" s="26" t="n">
        <f aca="false">I63</f>
        <v>150</v>
      </c>
      <c r="J66" s="26" t="n">
        <f aca="false">J63</f>
        <v>150</v>
      </c>
      <c r="K66" s="26" t="n">
        <f aca="false">K63</f>
        <v>150</v>
      </c>
      <c r="L66" s="26" t="n">
        <f aca="false">L63</f>
        <v>150</v>
      </c>
    </row>
    <row r="67" customFormat="false" ht="15" hidden="false" customHeight="false" outlineLevel="0" collapsed="false">
      <c r="A67" s="3" t="s">
        <v>164</v>
      </c>
      <c r="B67" s="26" t="n">
        <f aca="false">B32</f>
        <v>30</v>
      </c>
      <c r="C67" s="26" t="n">
        <f aca="false">C32</f>
        <v>29.5890410958904</v>
      </c>
      <c r="D67" s="26" t="n">
        <f aca="false">D32</f>
        <v>45.8630136986301</v>
      </c>
      <c r="E67" s="26" t="n">
        <f aca="false">E32</f>
        <v>69.3678082191781</v>
      </c>
      <c r="F67" s="26" t="n">
        <f aca="false">F32</f>
        <v>102.317517123288</v>
      </c>
      <c r="G67" s="26" t="n">
        <f aca="false">G32</f>
        <v>147.081430864726</v>
      </c>
      <c r="H67" s="26" t="n">
        <f aca="false">H32</f>
        <v>205.914003210616</v>
      </c>
      <c r="I67" s="26" t="n">
        <f aca="false">I32</f>
        <v>280.557829374465</v>
      </c>
      <c r="J67" s="26" t="n">
        <f aca="false">J32</f>
        <v>371.739123921166</v>
      </c>
      <c r="K67" s="26" t="n">
        <f aca="false">K32</f>
        <v>478.614122048501</v>
      </c>
      <c r="L67" s="26" t="n">
        <f aca="false">L32</f>
        <v>598.267652560627</v>
      </c>
    </row>
    <row r="68" customFormat="false" ht="15" hidden="false" customHeight="false" outlineLevel="0" collapsed="false">
      <c r="A68" s="3" t="s">
        <v>165</v>
      </c>
      <c r="B68" s="26" t="n">
        <f aca="false">B33</f>
        <v>20</v>
      </c>
      <c r="C68" s="26" t="n">
        <f aca="false">C33</f>
        <v>18.7397260273973</v>
      </c>
      <c r="D68" s="26" t="n">
        <f aca="false">D33</f>
        <v>28.1972602739726</v>
      </c>
      <c r="E68" s="26" t="n">
        <f aca="false">E33</f>
        <v>41.3637671232877</v>
      </c>
      <c r="F68" s="26" t="n">
        <f aca="false">F33</f>
        <v>59.1167876712329</v>
      </c>
      <c r="G68" s="26" t="n">
        <f aca="false">G33</f>
        <v>82.2566520761987</v>
      </c>
      <c r="H68" s="26" t="n">
        <f aca="false">H33</f>
        <v>111.346090625</v>
      </c>
      <c r="I68" s="26" t="n">
        <f aca="false">I33</f>
        <v>146.513533117776</v>
      </c>
      <c r="J68" s="26" t="n">
        <f aca="false">J33</f>
        <v>187.246373530661</v>
      </c>
      <c r="K68" s="26" t="n">
        <f aca="false">K33</f>
        <v>232.216481438347</v>
      </c>
      <c r="L68" s="26" t="n">
        <f aca="false">L33</f>
        <v>279.191571194959</v>
      </c>
    </row>
    <row r="69" customFormat="false" ht="15" hidden="false" customHeight="false" outlineLevel="0" collapsed="false">
      <c r="A69" s="3" t="s">
        <v>166</v>
      </c>
      <c r="B69" s="26" t="n">
        <f aca="false">B34</f>
        <v>40</v>
      </c>
      <c r="C69" s="26" t="n">
        <f aca="false">C34</f>
        <v>9</v>
      </c>
      <c r="D69" s="26" t="n">
        <f aca="false">D34</f>
        <v>13.95</v>
      </c>
      <c r="E69" s="26" t="n">
        <f aca="false">E34</f>
        <v>21.099375</v>
      </c>
      <c r="F69" s="26" t="n">
        <f aca="false">F34</f>
        <v>31.121578125</v>
      </c>
      <c r="G69" s="26" t="n">
        <f aca="false">G34</f>
        <v>44.7372685546875</v>
      </c>
      <c r="H69" s="26" t="n">
        <f aca="false">H34</f>
        <v>62.6321759765625</v>
      </c>
      <c r="I69" s="26" t="n">
        <f aca="false">I34</f>
        <v>85.3363397680664</v>
      </c>
      <c r="J69" s="26" t="n">
        <f aca="false">J34</f>
        <v>113.070650192688</v>
      </c>
      <c r="K69" s="26" t="n">
        <f aca="false">K34</f>
        <v>145.578462123086</v>
      </c>
      <c r="L69" s="26" t="n">
        <f aca="false">L34</f>
        <v>181.973077653857</v>
      </c>
    </row>
    <row r="70" customFormat="false" ht="15" hidden="false" customHeight="false" outlineLevel="0" collapsed="false">
      <c r="A70" s="3" t="s">
        <v>173</v>
      </c>
      <c r="B70" s="26" t="n">
        <f aca="false">B42</f>
        <v>350</v>
      </c>
      <c r="C70" s="26" t="n">
        <f aca="false">C42</f>
        <v>572</v>
      </c>
      <c r="D70" s="26" t="n">
        <f aca="false">D42</f>
        <v>776.24</v>
      </c>
      <c r="E70" s="26" t="n">
        <f aca="false">E42</f>
        <v>964.1408</v>
      </c>
      <c r="F70" s="26" t="n">
        <f aca="false">F42</f>
        <v>1137.009536</v>
      </c>
      <c r="G70" s="26" t="n">
        <f aca="false">G42</f>
        <v>1296.04877312</v>
      </c>
      <c r="H70" s="26" t="n">
        <f aca="false">H42</f>
        <v>1442.3648712704</v>
      </c>
      <c r="I70" s="26" t="n">
        <f aca="false">I42</f>
        <v>1576.97568156877</v>
      </c>
      <c r="J70" s="26" t="n">
        <f aca="false">J42</f>
        <v>1700.81762704327</v>
      </c>
      <c r="K70" s="26" t="n">
        <f aca="false">K42</f>
        <v>1814.75221687981</v>
      </c>
      <c r="L70" s="26" t="n">
        <f aca="false">L42</f>
        <v>1919.57203952942</v>
      </c>
    </row>
    <row r="71" customFormat="false" ht="15" hidden="false" customHeight="false" outlineLevel="0" collapsed="false">
      <c r="A71" s="3" t="s">
        <v>196</v>
      </c>
      <c r="B71" s="20" t="n">
        <v>60</v>
      </c>
      <c r="C71" s="26" t="n">
        <f aca="false">B71</f>
        <v>60</v>
      </c>
      <c r="D71" s="26" t="n">
        <f aca="false">B71</f>
        <v>60</v>
      </c>
      <c r="E71" s="26" t="n">
        <f aca="false">B71</f>
        <v>60</v>
      </c>
      <c r="F71" s="26" t="n">
        <f aca="false">B71</f>
        <v>60</v>
      </c>
      <c r="G71" s="26" t="n">
        <f aca="false">B71</f>
        <v>60</v>
      </c>
      <c r="H71" s="26" t="n">
        <f aca="false">B71</f>
        <v>60</v>
      </c>
      <c r="I71" s="26" t="n">
        <f aca="false">B71</f>
        <v>60</v>
      </c>
      <c r="J71" s="26" t="n">
        <f aca="false">B71</f>
        <v>60</v>
      </c>
      <c r="K71" s="26" t="n">
        <f aca="false">B71</f>
        <v>60</v>
      </c>
      <c r="L71" s="26" t="n">
        <f aca="false">B71</f>
        <v>60</v>
      </c>
    </row>
    <row r="72" customFormat="false" ht="15" hidden="false" customHeight="false" outlineLevel="0" collapsed="false">
      <c r="A72" s="9" t="s">
        <v>197</v>
      </c>
      <c r="B72" s="25" t="n">
        <f aca="false">SUM(B66:B71)</f>
        <v>1675</v>
      </c>
      <c r="C72" s="25" t="n">
        <f aca="false">SUM(C66:C71)</f>
        <v>2454.50684931507</v>
      </c>
      <c r="D72" s="25" t="n">
        <f aca="false">SUM(D66:D71)</f>
        <v>2269.70136986301</v>
      </c>
      <c r="E72" s="25" t="n">
        <f aca="false">SUM(E66:E71)</f>
        <v>2078.79539520548</v>
      </c>
      <c r="F72" s="25" t="n">
        <f aca="false">SUM(F66:F71)</f>
        <v>1899.63844006507</v>
      </c>
      <c r="G72" s="25" t="n">
        <f aca="false">SUM(G66:G71)</f>
        <v>1780.12412461561</v>
      </c>
      <c r="H72" s="25" t="n">
        <f aca="false">SUM(H66:H71)</f>
        <v>2032.25714108258</v>
      </c>
      <c r="I72" s="25" t="n">
        <f aca="false">SUM(I66:I71)</f>
        <v>2299.38338382908</v>
      </c>
      <c r="J72" s="25" t="n">
        <f aca="false">SUM(J66:J71)</f>
        <v>2582.87377468778</v>
      </c>
      <c r="K72" s="25" t="n">
        <f aca="false">SUM(K66:K71)</f>
        <v>2881.16128248974</v>
      </c>
      <c r="L72" s="25" t="n">
        <f aca="false">SUM(L66:L71)</f>
        <v>3189.00434093886</v>
      </c>
    </row>
    <row r="73" customFormat="false" ht="15" hidden="false" customHeight="false" outlineLevel="0" collapsed="false">
      <c r="A73" s="3" t="s">
        <v>167</v>
      </c>
      <c r="B73" s="26" t="n">
        <f aca="false">-B35</f>
        <v>60</v>
      </c>
      <c r="C73" s="26" t="n">
        <f aca="false">-C35</f>
        <v>71.5068493150685</v>
      </c>
      <c r="D73" s="26" t="n">
        <f aca="false">-D35</f>
        <v>87.2942465753425</v>
      </c>
      <c r="E73" s="26" t="n">
        <f aca="false">-E35</f>
        <v>108.971178082192</v>
      </c>
      <c r="F73" s="26" t="n">
        <f aca="false">-F35</f>
        <v>137.93351239726</v>
      </c>
      <c r="G73" s="26" t="n">
        <f aca="false">-G35</f>
        <v>175.458538102397</v>
      </c>
      <c r="H73" s="26" t="n">
        <f aca="false">-H35</f>
        <v>222.451516780541</v>
      </c>
      <c r="I73" s="26" t="n">
        <f aca="false">-I35</f>
        <v>279.134065930578</v>
      </c>
      <c r="J73" s="26" t="n">
        <f aca="false">-J35</f>
        <v>344.715597715527</v>
      </c>
      <c r="K73" s="26" t="n">
        <f aca="false">-K35</f>
        <v>417.114473739457</v>
      </c>
      <c r="L73" s="26" t="n">
        <f aca="false">-L35</f>
        <v>492.813723990539</v>
      </c>
    </row>
    <row r="74" customFormat="false" ht="15" hidden="false" customHeight="false" outlineLevel="0" collapsed="false">
      <c r="A74" s="3" t="s">
        <v>168</v>
      </c>
      <c r="B74" s="26" t="n">
        <f aca="false">-B36</f>
        <v>150</v>
      </c>
      <c r="C74" s="26" t="n">
        <f aca="false">-C36</f>
        <v>54</v>
      </c>
      <c r="D74" s="26" t="n">
        <f aca="false">-D36</f>
        <v>80.6</v>
      </c>
      <c r="E74" s="26" t="n">
        <f aca="false">-E36</f>
        <v>117.21875</v>
      </c>
      <c r="F74" s="26" t="n">
        <f aca="false">-F36</f>
        <v>165.98175</v>
      </c>
      <c r="G74" s="26" t="n">
        <f aca="false">-G36</f>
        <v>228.657150390625</v>
      </c>
      <c r="H74" s="26" t="n">
        <f aca="false">-H36</f>
        <v>306.20174921875</v>
      </c>
      <c r="I74" s="26" t="n">
        <f aca="false">-I36</f>
        <v>398.236252250977</v>
      </c>
      <c r="J74" s="26" t="n">
        <f aca="false">-J36</f>
        <v>502.536223078613</v>
      </c>
      <c r="K74" s="26" t="n">
        <f aca="false">-K36</f>
        <v>614.664617853029</v>
      </c>
      <c r="L74" s="26" t="n">
        <f aca="false">-L36</f>
        <v>727.892310615429</v>
      </c>
    </row>
    <row r="75" customFormat="false" ht="15" hidden="false" customHeight="false" outlineLevel="0" collapsed="false">
      <c r="A75" s="3" t="s">
        <v>198</v>
      </c>
      <c r="B75" s="26" t="n">
        <f aca="false">B48</f>
        <v>0</v>
      </c>
      <c r="C75" s="26" t="n">
        <f aca="false">C48</f>
        <v>0</v>
      </c>
      <c r="D75" s="26" t="n">
        <f aca="false">D48</f>
        <v>0</v>
      </c>
      <c r="E75" s="26" t="n">
        <f aca="false">E48</f>
        <v>0</v>
      </c>
      <c r="F75" s="26" t="n">
        <f aca="false">F48</f>
        <v>0</v>
      </c>
      <c r="G75" s="26" t="n">
        <f aca="false">G48</f>
        <v>23.4705028514596</v>
      </c>
      <c r="H75" s="26" t="n">
        <f aca="false">H48</f>
        <v>351.113338925992</v>
      </c>
      <c r="I75" s="26" t="n">
        <f aca="false">I48</f>
        <v>596.583991994329</v>
      </c>
      <c r="J75" s="26" t="n">
        <f aca="false">J48</f>
        <v>710.701616414555</v>
      </c>
      <c r="K75" s="26" t="n">
        <f aca="false">K48</f>
        <v>650.945473248278</v>
      </c>
      <c r="L75" s="26" t="n">
        <f aca="false">L48</f>
        <v>373.45943971093</v>
      </c>
    </row>
    <row r="76" customFormat="false" ht="15" hidden="false" customHeight="false" outlineLevel="0" collapsed="false">
      <c r="A76" s="3" t="s">
        <v>199</v>
      </c>
      <c r="B76" s="20" t="n">
        <v>300</v>
      </c>
      <c r="C76" s="26" t="n">
        <f aca="false">B76</f>
        <v>300</v>
      </c>
      <c r="D76" s="26" t="n">
        <f aca="false">B76</f>
        <v>300</v>
      </c>
      <c r="E76" s="26" t="n">
        <f aca="false">B76</f>
        <v>300</v>
      </c>
      <c r="F76" s="26" t="n">
        <f aca="false">B76</f>
        <v>300</v>
      </c>
      <c r="G76" s="26" t="n">
        <f aca="false">B76</f>
        <v>300</v>
      </c>
      <c r="H76" s="26" t="n">
        <f aca="false">B76</f>
        <v>300</v>
      </c>
      <c r="I76" s="26" t="n">
        <f aca="false">B76</f>
        <v>300</v>
      </c>
      <c r="J76" s="26" t="n">
        <f aca="false">B76</f>
        <v>300</v>
      </c>
      <c r="K76" s="26" t="n">
        <f aca="false">B76</f>
        <v>300</v>
      </c>
      <c r="L76" s="26" t="n">
        <f aca="false">B76</f>
        <v>300</v>
      </c>
    </row>
    <row r="77" customFormat="false" ht="15" hidden="false" customHeight="false" outlineLevel="0" collapsed="false">
      <c r="A77" s="9" t="s">
        <v>200</v>
      </c>
      <c r="B77" s="25" t="n">
        <f aca="false">SUM(B73:B76)</f>
        <v>510</v>
      </c>
      <c r="C77" s="25" t="n">
        <f aca="false">SUM(C73:C76)</f>
        <v>425.506849315069</v>
      </c>
      <c r="D77" s="25" t="n">
        <f aca="false">SUM(D73:D76)</f>
        <v>467.894246575343</v>
      </c>
      <c r="E77" s="25" t="n">
        <f aca="false">SUM(E73:E76)</f>
        <v>526.189928082192</v>
      </c>
      <c r="F77" s="25" t="n">
        <f aca="false">SUM(F73:F76)</f>
        <v>603.91526239726</v>
      </c>
      <c r="G77" s="25" t="n">
        <f aca="false">SUM(G73:G76)</f>
        <v>727.586191344482</v>
      </c>
      <c r="H77" s="25" t="n">
        <f aca="false">SUM(H73:H76)</f>
        <v>1179.76660492528</v>
      </c>
      <c r="I77" s="25" t="n">
        <f aca="false">SUM(I73:I76)</f>
        <v>1573.95431017588</v>
      </c>
      <c r="J77" s="25" t="n">
        <f aca="false">SUM(J73:J76)</f>
        <v>1857.9534372087</v>
      </c>
      <c r="K77" s="25" t="n">
        <f aca="false">SUM(K73:K76)</f>
        <v>1982.72456484076</v>
      </c>
      <c r="L77" s="25" t="n">
        <f aca="false">SUM(L73:L76)</f>
        <v>1894.1654743169</v>
      </c>
    </row>
    <row r="78" customFormat="false" ht="15" hidden="false" customHeight="false" outlineLevel="0" collapsed="false">
      <c r="A78" s="9" t="s">
        <v>201</v>
      </c>
      <c r="B78" s="25" t="n">
        <f aca="false">B72-B77</f>
        <v>1165</v>
      </c>
      <c r="C78" s="25" t="n">
        <f aca="false">B78+C28-C21+C59</f>
        <v>2029</v>
      </c>
      <c r="D78" s="25" t="n">
        <f aca="false">C78+D28-D21+D59</f>
        <v>1801.80712328767</v>
      </c>
      <c r="E78" s="25" t="n">
        <f aca="false">D78+E28-E21+E59</f>
        <v>1552.60546712329</v>
      </c>
      <c r="F78" s="25" t="n">
        <f aca="false">E78+F28-F21+F59</f>
        <v>1295.72317766781</v>
      </c>
      <c r="G78" s="25" t="n">
        <f aca="false">F78+G28-G21+G59</f>
        <v>1052.53793327113</v>
      </c>
      <c r="H78" s="25" t="n">
        <f aca="false">G78+H28-H21+H59</f>
        <v>852.490536157296</v>
      </c>
      <c r="I78" s="25" t="n">
        <f aca="false">H78+I28-I21+I59</f>
        <v>725.429073653191</v>
      </c>
      <c r="J78" s="25" t="n">
        <f aca="false">I78+J28-J21+J59</f>
        <v>724.920337479087</v>
      </c>
      <c r="K78" s="25" t="n">
        <f aca="false">J78+K28-K21+K59</f>
        <v>898.436717648975</v>
      </c>
      <c r="L78" s="25" t="n">
        <f aca="false">K78+L28-L21+L59</f>
        <v>1294.83886662197</v>
      </c>
    </row>
    <row r="79" customFormat="false" ht="15" hidden="false" customHeight="false" outlineLevel="0" collapsed="false">
      <c r="A79" s="9" t="s">
        <v>202</v>
      </c>
      <c r="B79" s="25" t="n">
        <f aca="false">B77+B78</f>
        <v>1675</v>
      </c>
      <c r="C79" s="25" t="n">
        <f aca="false">C77+C78</f>
        <v>2454.50684931507</v>
      </c>
      <c r="D79" s="25" t="n">
        <f aca="false">D77+D78</f>
        <v>2269.70136986301</v>
      </c>
      <c r="E79" s="25" t="n">
        <f aca="false">E77+E78</f>
        <v>2078.79539520548</v>
      </c>
      <c r="F79" s="25" t="n">
        <f aca="false">F77+F78</f>
        <v>1899.63844006507</v>
      </c>
      <c r="G79" s="25" t="n">
        <f aca="false">G77+G78</f>
        <v>1780.12412461561</v>
      </c>
      <c r="H79" s="25" t="n">
        <f aca="false">H77+H78</f>
        <v>2032.25714108258</v>
      </c>
      <c r="I79" s="25" t="n">
        <f aca="false">I77+I78</f>
        <v>2299.38338382908</v>
      </c>
      <c r="J79" s="25" t="n">
        <f aca="false">J77+J78</f>
        <v>2582.87377468778</v>
      </c>
      <c r="K79" s="25" t="n">
        <f aca="false">K77+K78</f>
        <v>2881.16128248974</v>
      </c>
      <c r="L79" s="25" t="n">
        <f aca="false">L77+L78</f>
        <v>3189.00434093886</v>
      </c>
    </row>
    <row r="80" customFormat="false" ht="15" hidden="false" customHeight="false" outlineLevel="0" collapsed="false">
      <c r="A80" s="27" t="s">
        <v>203</v>
      </c>
      <c r="B80" s="29" t="n">
        <f aca="false">B72-B79</f>
        <v>0</v>
      </c>
      <c r="C80" s="29" t="n">
        <f aca="false">C72-C79</f>
        <v>0</v>
      </c>
      <c r="D80" s="29" t="n">
        <f aca="false">D72-D79</f>
        <v>0</v>
      </c>
      <c r="E80" s="29" t="n">
        <f aca="false">E72-E79</f>
        <v>0</v>
      </c>
      <c r="F80" s="29" t="n">
        <f aca="false">F72-F79</f>
        <v>0</v>
      </c>
      <c r="G80" s="29" t="n">
        <f aca="false">G72-G79</f>
        <v>0</v>
      </c>
      <c r="H80" s="29" t="n">
        <f aca="false">H72-H79</f>
        <v>0</v>
      </c>
      <c r="I80" s="29" t="n">
        <f aca="false">I72-I79</f>
        <v>0</v>
      </c>
      <c r="J80" s="29" t="n">
        <f aca="false">J72-J79</f>
        <v>0</v>
      </c>
      <c r="K80" s="29" t="n">
        <f aca="false">K72-K79</f>
        <v>0</v>
      </c>
      <c r="L80" s="29" t="n">
        <f aca="false">L72-L79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1" t="s">
        <v>204</v>
      </c>
    </row>
    <row r="4" customFormat="false" ht="15" hidden="false" customHeight="false" outlineLevel="0" collapsed="false">
      <c r="A4" s="7" t="s">
        <v>205</v>
      </c>
    </row>
    <row r="5" customFormat="false" ht="15" hidden="false" customHeight="false" outlineLevel="0" collapsed="false">
      <c r="A5" s="3" t="s">
        <v>206</v>
      </c>
      <c r="B5" s="30" t="n">
        <v>0.0455</v>
      </c>
      <c r="C5" s="15" t="s">
        <v>46</v>
      </c>
    </row>
    <row r="6" customFormat="false" ht="15" hidden="false" customHeight="false" outlineLevel="0" collapsed="false">
      <c r="A6" s="3" t="s">
        <v>207</v>
      </c>
      <c r="B6" s="31" t="n">
        <v>2</v>
      </c>
      <c r="C6" s="15" t="s">
        <v>208</v>
      </c>
    </row>
    <row r="7" customFormat="false" ht="15" hidden="false" customHeight="false" outlineLevel="0" collapsed="false">
      <c r="A7" s="3" t="s">
        <v>209</v>
      </c>
      <c r="B7" s="30" t="n">
        <v>0.0475</v>
      </c>
      <c r="C7" s="15" t="s">
        <v>210</v>
      </c>
    </row>
    <row r="8" customFormat="false" ht="15" hidden="false" customHeight="false" outlineLevel="0" collapsed="false">
      <c r="A8" s="3" t="s">
        <v>211</v>
      </c>
      <c r="B8" s="30" t="n">
        <v>0</v>
      </c>
      <c r="C8" s="15" t="s">
        <v>212</v>
      </c>
    </row>
    <row r="9" customFormat="false" ht="15" hidden="false" customHeight="false" outlineLevel="0" collapsed="false">
      <c r="A9" s="9" t="s">
        <v>213</v>
      </c>
      <c r="B9" s="32" t="n">
        <f aca="false">B5+B6*B7+B8</f>
        <v>0.1405</v>
      </c>
    </row>
    <row r="11" customFormat="false" ht="15" hidden="false" customHeight="false" outlineLevel="0" collapsed="false">
      <c r="A11" s="7" t="s">
        <v>214</v>
      </c>
    </row>
    <row r="12" customFormat="false" ht="15" hidden="false" customHeight="false" outlineLevel="0" collapsed="false">
      <c r="A12" s="3" t="s">
        <v>215</v>
      </c>
      <c r="B12" s="30" t="n">
        <v>0.09</v>
      </c>
      <c r="C12" s="15" t="s">
        <v>216</v>
      </c>
    </row>
    <row r="13" customFormat="false" ht="15" hidden="false" customHeight="false" outlineLevel="0" collapsed="false">
      <c r="A13" s="3" t="s">
        <v>217</v>
      </c>
      <c r="B13" s="22" t="n">
        <f aca="false">Assumptions!B40</f>
        <v>0.25</v>
      </c>
    </row>
    <row r="14" customFormat="false" ht="15" hidden="false" customHeight="false" outlineLevel="0" collapsed="false">
      <c r="A14" s="3" t="s">
        <v>218</v>
      </c>
      <c r="B14" s="33" t="n">
        <f aca="false">B12*(1-B13)</f>
        <v>0.0675</v>
      </c>
    </row>
    <row r="16" customFormat="false" ht="15" hidden="false" customHeight="false" outlineLevel="0" collapsed="false">
      <c r="A16" s="7" t="s">
        <v>219</v>
      </c>
    </row>
    <row r="17" customFormat="false" ht="15" hidden="false" customHeight="false" outlineLevel="0" collapsed="false">
      <c r="A17" s="3" t="s">
        <v>220</v>
      </c>
      <c r="B17" s="13" t="n">
        <v>0</v>
      </c>
      <c r="C17" s="15" t="s">
        <v>221</v>
      </c>
    </row>
    <row r="18" customFormat="false" ht="15" hidden="false" customHeight="false" outlineLevel="0" collapsed="false">
      <c r="A18" s="3" t="s">
        <v>222</v>
      </c>
      <c r="B18" s="21" t="n">
        <f aca="false">1-B17</f>
        <v>1</v>
      </c>
    </row>
    <row r="20" customFormat="false" ht="15" hidden="false" customHeight="false" outlineLevel="0" collapsed="false">
      <c r="A20" s="9" t="s">
        <v>11</v>
      </c>
      <c r="B20" s="32" t="n">
        <f aca="false">B18*B9+B17*B14</f>
        <v>0.1405</v>
      </c>
    </row>
    <row r="22" customFormat="false" ht="15" hidden="false" customHeight="false" outlineLevel="0" collapsed="false">
      <c r="A22" s="15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0" min="2" style="0" width="11"/>
  </cols>
  <sheetData>
    <row r="1" customFormat="false" ht="17.35" hidden="false" customHeight="false" outlineLevel="0" collapsed="false">
      <c r="A1" s="1" t="s">
        <v>224</v>
      </c>
    </row>
    <row r="4" customFormat="false" ht="15" hidden="false" customHeight="false" outlineLevel="0" collapsed="false">
      <c r="A4" s="12"/>
      <c r="B4" s="12" t="s">
        <v>132</v>
      </c>
      <c r="C4" s="12" t="s">
        <v>133</v>
      </c>
      <c r="D4" s="12" t="s">
        <v>134</v>
      </c>
      <c r="E4" s="12" t="s">
        <v>135</v>
      </c>
      <c r="F4" s="12" t="s">
        <v>136</v>
      </c>
      <c r="G4" s="12" t="s">
        <v>137</v>
      </c>
      <c r="H4" s="12" t="s">
        <v>138</v>
      </c>
      <c r="I4" s="12" t="s">
        <v>139</v>
      </c>
      <c r="J4" s="12" t="s">
        <v>140</v>
      </c>
    </row>
    <row r="5" customFormat="false" ht="15" hidden="false" customHeight="false" outlineLevel="0" collapsed="false">
      <c r="A5" s="3" t="s">
        <v>156</v>
      </c>
      <c r="B5" s="23" t="n">
        <f aca="false">Model_3S!D23</f>
        <v>-305.86</v>
      </c>
      <c r="C5" s="23" t="n">
        <f aca="false">Model_3S!E23</f>
        <v>-314.741575</v>
      </c>
      <c r="D5" s="23" t="n">
        <f aca="false">Model_3S!F23</f>
        <v>-310.39341025</v>
      </c>
      <c r="E5" s="23" t="n">
        <f aca="false">Model_3S!G23</f>
        <v>-286.453880281563</v>
      </c>
      <c r="F5" s="23" t="n">
        <f aca="false">Model_3S!H23</f>
        <v>-234.90728432185</v>
      </c>
      <c r="G5" s="23" t="n">
        <f aca="false">Model_3S!I23</f>
        <v>-146.551587309753</v>
      </c>
      <c r="H5" s="23" t="n">
        <f aca="false">Model_3S!J23</f>
        <v>-12.018559082391</v>
      </c>
      <c r="I5" s="23" t="n">
        <f aca="false">Model_3S!K23</f>
        <v>176.590988597921</v>
      </c>
      <c r="J5" s="23" t="n">
        <f aca="false">Model_3S!L23</f>
        <v>423.541990389441</v>
      </c>
    </row>
    <row r="6" customFormat="false" ht="15" hidden="false" customHeight="false" outlineLevel="0" collapsed="false">
      <c r="A6" s="3" t="s">
        <v>225</v>
      </c>
      <c r="B6" s="23" t="n">
        <f aca="false">-MAX(0,B5)*Model_3S!D11</f>
        <v>-0</v>
      </c>
      <c r="C6" s="23" t="n">
        <f aca="false">-MAX(0,C5)*Model_3S!E11</f>
        <v>-0</v>
      </c>
      <c r="D6" s="23" t="n">
        <f aca="false">-MAX(0,D5)*Model_3S!F11</f>
        <v>-0</v>
      </c>
      <c r="E6" s="23" t="n">
        <f aca="false">-MAX(0,E5)*Model_3S!G11</f>
        <v>-0</v>
      </c>
      <c r="F6" s="23" t="n">
        <f aca="false">-MAX(0,F5)*Model_3S!H11</f>
        <v>-0</v>
      </c>
      <c r="G6" s="23" t="n">
        <f aca="false">-MAX(0,G5)*Model_3S!I11</f>
        <v>-0</v>
      </c>
      <c r="H6" s="23" t="n">
        <f aca="false">-MAX(0,H5)*Model_3S!J11</f>
        <v>-0</v>
      </c>
      <c r="I6" s="23" t="n">
        <f aca="false">-MAX(0,I5)*Model_3S!K11</f>
        <v>-23.5454651463895</v>
      </c>
      <c r="J6" s="23" t="n">
        <f aca="false">-MAX(0,J5)*Model_3S!L11</f>
        <v>-63.5312985584162</v>
      </c>
    </row>
    <row r="7" customFormat="false" ht="15" hidden="false" customHeight="false" outlineLevel="0" collapsed="false">
      <c r="A7" s="3" t="s">
        <v>183</v>
      </c>
      <c r="B7" s="23" t="n">
        <f aca="false">-Model_3S!D22</f>
        <v>45.76</v>
      </c>
      <c r="C7" s="23" t="n">
        <f aca="false">-Model_3S!E22</f>
        <v>62.0992</v>
      </c>
      <c r="D7" s="23" t="n">
        <f aca="false">-Model_3S!F22</f>
        <v>77.131264</v>
      </c>
      <c r="E7" s="23" t="n">
        <f aca="false">-Model_3S!G22</f>
        <v>90.96076288</v>
      </c>
      <c r="F7" s="23" t="n">
        <f aca="false">-Model_3S!H22</f>
        <v>103.6839018496</v>
      </c>
      <c r="G7" s="23" t="n">
        <f aca="false">-Model_3S!I22</f>
        <v>115.389189701632</v>
      </c>
      <c r="H7" s="23" t="n">
        <f aca="false">-Model_3S!J22</f>
        <v>126.158054525501</v>
      </c>
      <c r="I7" s="23" t="n">
        <f aca="false">-Model_3S!K22</f>
        <v>136.065410163461</v>
      </c>
      <c r="J7" s="23" t="n">
        <f aca="false">-Model_3S!L22</f>
        <v>145.180177350384</v>
      </c>
    </row>
    <row r="8" customFormat="false" ht="15" hidden="false" customHeight="false" outlineLevel="0" collapsed="false">
      <c r="A8" s="3" t="s">
        <v>226</v>
      </c>
      <c r="B8" s="23" t="n">
        <f aca="false">-Model_3S!D41</f>
        <v>-250</v>
      </c>
      <c r="C8" s="23" t="n">
        <f aca="false">-Model_3S!E41</f>
        <v>-250</v>
      </c>
      <c r="D8" s="23" t="n">
        <f aca="false">-Model_3S!F41</f>
        <v>-250</v>
      </c>
      <c r="E8" s="23" t="n">
        <f aca="false">-Model_3S!G41</f>
        <v>-250</v>
      </c>
      <c r="F8" s="23" t="n">
        <f aca="false">-Model_3S!H41</f>
        <v>-250</v>
      </c>
      <c r="G8" s="23" t="n">
        <f aca="false">-Model_3S!I41</f>
        <v>-250</v>
      </c>
      <c r="H8" s="23" t="n">
        <f aca="false">-Model_3S!J41</f>
        <v>-250</v>
      </c>
      <c r="I8" s="23" t="n">
        <f aca="false">-Model_3S!K41</f>
        <v>-250</v>
      </c>
      <c r="J8" s="23" t="n">
        <f aca="false">-Model_3S!L41</f>
        <v>-250</v>
      </c>
    </row>
    <row r="9" customFormat="false" ht="15" hidden="false" customHeight="false" outlineLevel="0" collapsed="false">
      <c r="A9" s="3" t="s">
        <v>227</v>
      </c>
      <c r="B9" s="23" t="n">
        <f aca="false">Model_3S!D38</f>
        <v>11.7058904109589</v>
      </c>
      <c r="C9" s="23" t="n">
        <f aca="false">Model_3S!E38</f>
        <v>14.4750051369863</v>
      </c>
      <c r="D9" s="23" t="n">
        <f aca="false">Model_3S!F38</f>
        <v>17.0004017380137</v>
      </c>
      <c r="E9" s="23" t="n">
        <f aca="false">Model_3S!G38</f>
        <v>18.6809575196704</v>
      </c>
      <c r="F9" s="23" t="n">
        <f aca="false">Model_3S!H38</f>
        <v>18.7206591897021</v>
      </c>
      <c r="G9" s="23" t="n">
        <f aca="false">Model_3S!I38</f>
        <v>16.2016197341353</v>
      </c>
      <c r="H9" s="23" t="n">
        <f aca="false">Model_3S!J38</f>
        <v>10.2330572283772</v>
      </c>
      <c r="I9" s="23" t="n">
        <f aca="false">Model_3S!K38</f>
        <v>0.174352832927411</v>
      </c>
      <c r="J9" s="23" t="n">
        <f aca="false">Model_3S!L38</f>
        <v>-14.0962927860274</v>
      </c>
    </row>
    <row r="10" customFormat="false" ht="15" hidden="false" customHeight="false" outlineLevel="0" collapsed="false">
      <c r="A10" s="9" t="s">
        <v>228</v>
      </c>
      <c r="B10" s="25" t="n">
        <f aca="false">SUM(B5:B9)</f>
        <v>-498.394109589041</v>
      </c>
      <c r="C10" s="25" t="n">
        <f aca="false">SUM(C5:C9)</f>
        <v>-488.167369863014</v>
      </c>
      <c r="D10" s="25" t="n">
        <f aca="false">SUM(D5:D9)</f>
        <v>-466.261744511986</v>
      </c>
      <c r="E10" s="25" t="n">
        <f aca="false">SUM(E5:E9)</f>
        <v>-426.812159881892</v>
      </c>
      <c r="F10" s="25" t="n">
        <f aca="false">SUM(F5:F9)</f>
        <v>-362.502723282548</v>
      </c>
      <c r="G10" s="25" t="n">
        <f aca="false">SUM(G5:G9)</f>
        <v>-264.960777873986</v>
      </c>
      <c r="H10" s="25" t="n">
        <f aca="false">SUM(H5:H9)</f>
        <v>-125.627447328512</v>
      </c>
      <c r="I10" s="25" t="n">
        <f aca="false">SUM(I5:I9)</f>
        <v>39.2852864479203</v>
      </c>
      <c r="J10" s="25" t="n">
        <f aca="false">SUM(J5:J9)</f>
        <v>241.094576395382</v>
      </c>
    </row>
    <row r="11" customFormat="false" ht="15" hidden="false" customHeight="false" outlineLevel="0" collapsed="false">
      <c r="A11" s="3" t="s">
        <v>229</v>
      </c>
      <c r="B11" s="34" t="n">
        <v>0.5</v>
      </c>
      <c r="C11" s="34" t="n">
        <v>1.5</v>
      </c>
      <c r="D11" s="34" t="n">
        <v>2.5</v>
      </c>
      <c r="E11" s="34" t="n">
        <v>3.5</v>
      </c>
      <c r="F11" s="34" t="n">
        <v>4.5</v>
      </c>
      <c r="G11" s="34" t="n">
        <v>5.5</v>
      </c>
      <c r="H11" s="34" t="n">
        <v>6.5</v>
      </c>
      <c r="I11" s="34" t="n">
        <v>7.5</v>
      </c>
      <c r="J11" s="34" t="n">
        <v>8.5</v>
      </c>
    </row>
    <row r="12" customFormat="false" ht="15" hidden="false" customHeight="false" outlineLevel="0" collapsed="false">
      <c r="A12" s="3" t="s">
        <v>230</v>
      </c>
      <c r="B12" s="35" t="n">
        <f aca="false">(1+$B$16)^-B11</f>
        <v>0.936380487494697</v>
      </c>
      <c r="C12" s="35" t="n">
        <f aca="false">(1+$B$16)^-C11</f>
        <v>0.821026293287766</v>
      </c>
      <c r="D12" s="35" t="n">
        <f aca="false">(1+$B$16)^-D11</f>
        <v>0.719882764829256</v>
      </c>
      <c r="E12" s="35" t="n">
        <f aca="false">(1+$B$16)^-E11</f>
        <v>0.631199267715261</v>
      </c>
      <c r="F12" s="35" t="n">
        <f aca="false">(1+$B$16)^-F11</f>
        <v>0.553440830964718</v>
      </c>
      <c r="G12" s="35" t="n">
        <f aca="false">(1+$B$16)^-G11</f>
        <v>0.485261579101024</v>
      </c>
      <c r="H12" s="35" t="n">
        <f aca="false">(1+$B$16)^-H11</f>
        <v>0.425481437177575</v>
      </c>
      <c r="I12" s="35" t="n">
        <f aca="false">(1+$B$16)^-I11</f>
        <v>0.373065705548071</v>
      </c>
      <c r="J12" s="35" t="n">
        <f aca="false">(1+$B$16)^-J11</f>
        <v>0.327107150853197</v>
      </c>
    </row>
    <row r="13" customFormat="false" ht="15" hidden="false" customHeight="false" outlineLevel="0" collapsed="false">
      <c r="A13" s="3" t="s">
        <v>231</v>
      </c>
      <c r="B13" s="26" t="n">
        <f aca="false">B10*B12</f>
        <v>-466.686519301472</v>
      </c>
      <c r="C13" s="26" t="n">
        <f aca="false">C10*C12</f>
        <v>-400.798246182668</v>
      </c>
      <c r="D13" s="26" t="n">
        <f aca="false">D10*D12</f>
        <v>-335.653793773401</v>
      </c>
      <c r="E13" s="26" t="n">
        <f aca="false">E10*E12</f>
        <v>-269.403522769419</v>
      </c>
      <c r="F13" s="26" t="n">
        <f aca="false">F10*F12</f>
        <v>-200.623808400467</v>
      </c>
      <c r="G13" s="26" t="n">
        <f aca="false">G10*G12</f>
        <v>-128.575285470966</v>
      </c>
      <c r="H13" s="26" t="n">
        <f aca="false">H10*H12</f>
        <v>-53.4521468382855</v>
      </c>
      <c r="I13" s="26" t="n">
        <f aca="false">I10*I12</f>
        <v>14.6559931063515</v>
      </c>
      <c r="J13" s="26" t="n">
        <f aca="false">J10*J12</f>
        <v>78.8637599708519</v>
      </c>
    </row>
    <row r="14" customFormat="false" ht="15" hidden="false" customHeight="false" outlineLevel="0" collapsed="false">
      <c r="A14" s="15" t="s">
        <v>232</v>
      </c>
    </row>
    <row r="15" customFormat="false" ht="15" hidden="false" customHeight="false" outlineLevel="0" collapsed="false">
      <c r="A15" s="9" t="s">
        <v>233</v>
      </c>
      <c r="B15" s="25" t="n">
        <f aca="false">SUM(B13:J13)</f>
        <v>-1761.67356965947</v>
      </c>
    </row>
    <row r="16" customFormat="false" ht="15" hidden="false" customHeight="false" outlineLevel="0" collapsed="false">
      <c r="A16" s="9" t="s">
        <v>11</v>
      </c>
      <c r="B16" s="36" t="n">
        <f aca="false">WACC!B20</f>
        <v>0.1405</v>
      </c>
    </row>
    <row r="18" customFormat="false" ht="15" hidden="false" customHeight="false" outlineLevel="0" collapsed="false">
      <c r="A18" s="7" t="s">
        <v>234</v>
      </c>
    </row>
    <row r="19" customFormat="false" ht="15" hidden="false" customHeight="false" outlineLevel="0" collapsed="false">
      <c r="A19" s="3" t="s">
        <v>235</v>
      </c>
      <c r="B19" s="22" t="n">
        <f aca="false">Assumptions!B44</f>
        <v>0.035</v>
      </c>
    </row>
    <row r="20" customFormat="false" ht="15" hidden="false" customHeight="false" outlineLevel="0" collapsed="false">
      <c r="A20" s="3" t="s">
        <v>236</v>
      </c>
      <c r="B20" s="26" t="n">
        <f aca="false">J10*(1+B19)/(B16-B19)</f>
        <v>2365.24063098787</v>
      </c>
    </row>
    <row r="21" customFormat="false" ht="15" hidden="false" customHeight="false" outlineLevel="0" collapsed="false">
      <c r="A21" s="3" t="s">
        <v>237</v>
      </c>
      <c r="B21" s="26" t="n">
        <f aca="false">B20/(1+B16)^9</f>
        <v>724.465526231488</v>
      </c>
    </row>
    <row r="22" customFormat="false" ht="15" hidden="false" customHeight="false" outlineLevel="0" collapsed="false">
      <c r="A22" s="27" t="s">
        <v>238</v>
      </c>
      <c r="B22" s="37" t="n">
        <f aca="false">B20/Model_3S!L20</f>
        <v>3.68698145567983</v>
      </c>
    </row>
    <row r="24" customFormat="false" ht="15" hidden="false" customHeight="false" outlineLevel="0" collapsed="false">
      <c r="A24" s="7" t="s">
        <v>239</v>
      </c>
    </row>
    <row r="25" customFormat="false" ht="15" hidden="false" customHeight="false" outlineLevel="0" collapsed="false">
      <c r="A25" s="3" t="s">
        <v>240</v>
      </c>
      <c r="B25" s="38" t="n">
        <f aca="false">Assumptions!B45</f>
        <v>15</v>
      </c>
    </row>
    <row r="26" customFormat="false" ht="15" hidden="false" customHeight="false" outlineLevel="0" collapsed="false">
      <c r="A26" s="3" t="s">
        <v>241</v>
      </c>
      <c r="B26" s="26" t="n">
        <f aca="false">B25*Model_3S!L20</f>
        <v>9622.67098202053</v>
      </c>
    </row>
    <row r="27" customFormat="false" ht="15" hidden="false" customHeight="false" outlineLevel="0" collapsed="false">
      <c r="A27" s="3" t="s">
        <v>242</v>
      </c>
      <c r="B27" s="26" t="n">
        <f aca="false">B26/(1+B16)^9</f>
        <v>2947.39288062641</v>
      </c>
    </row>
    <row r="28" customFormat="false" ht="15" hidden="false" customHeight="false" outlineLevel="0" collapsed="false">
      <c r="A28" s="27" t="s">
        <v>243</v>
      </c>
      <c r="B28" s="28" t="n">
        <f aca="false">(B16*B26-J10)/(B26+J10)</f>
        <v>0.112623388096514</v>
      </c>
    </row>
    <row r="30" customFormat="false" ht="15" hidden="false" customHeight="false" outlineLevel="0" collapsed="false">
      <c r="A30" s="7" t="s">
        <v>244</v>
      </c>
    </row>
    <row r="31" customFormat="false" ht="15" hidden="false" customHeight="false" outlineLevel="0" collapsed="false">
      <c r="A31" s="3" t="s">
        <v>245</v>
      </c>
      <c r="B31" s="23" t="n">
        <f aca="false">Model_3S!C63-Model_3S!C49</f>
        <v>1765.17808219178</v>
      </c>
    </row>
    <row r="32" customFormat="false" ht="15" hidden="false" customHeight="false" outlineLevel="0" collapsed="false">
      <c r="A32" s="3" t="s">
        <v>246</v>
      </c>
      <c r="B32" s="39" t="n">
        <f aca="false">Assumptions!B39</f>
        <v>406</v>
      </c>
    </row>
    <row r="33" customFormat="false" ht="15" hidden="false" customHeight="false" outlineLevel="0" collapsed="false">
      <c r="A33" s="12"/>
      <c r="B33" s="12" t="s">
        <v>247</v>
      </c>
      <c r="C33" s="12" t="s">
        <v>248</v>
      </c>
      <c r="D33" s="12" t="s">
        <v>249</v>
      </c>
    </row>
    <row r="34" customFormat="false" ht="15" hidden="false" customHeight="false" outlineLevel="0" collapsed="false">
      <c r="A34" s="3" t="s">
        <v>250</v>
      </c>
      <c r="B34" s="26" t="n">
        <f aca="false">B15+B21</f>
        <v>-1037.20804342799</v>
      </c>
      <c r="C34" s="26" t="n">
        <f aca="false">B15+B27</f>
        <v>1185.71931096694</v>
      </c>
      <c r="D34" s="26" t="n">
        <f aca="false">AVERAGE(B34:C34)</f>
        <v>74.255633769475</v>
      </c>
    </row>
    <row r="35" customFormat="false" ht="15" hidden="false" customHeight="false" outlineLevel="0" collapsed="false">
      <c r="A35" s="3" t="s">
        <v>251</v>
      </c>
      <c r="B35" s="26" t="n">
        <f aca="false">$B$31</f>
        <v>1765.17808219178</v>
      </c>
      <c r="C35" s="26" t="n">
        <f aca="false">$B$31</f>
        <v>1765.17808219178</v>
      </c>
      <c r="D35" s="26" t="n">
        <f aca="false">$B$31</f>
        <v>1765.17808219178</v>
      </c>
    </row>
    <row r="36" customFormat="false" ht="15" hidden="false" customHeight="false" outlineLevel="0" collapsed="false">
      <c r="A36" s="9" t="s">
        <v>252</v>
      </c>
      <c r="B36" s="25" t="n">
        <f aca="false">B34+B35</f>
        <v>727.970038763795</v>
      </c>
      <c r="C36" s="25" t="n">
        <f aca="false">C34+C35</f>
        <v>2950.89739315872</v>
      </c>
      <c r="D36" s="25" t="n">
        <f aca="false">D34+D35</f>
        <v>1839.43371596126</v>
      </c>
    </row>
    <row r="37" customFormat="false" ht="15" hidden="false" customHeight="false" outlineLevel="0" collapsed="false">
      <c r="A37" s="9" t="s">
        <v>253</v>
      </c>
      <c r="B37" s="40" t="n">
        <f aca="false">B36/$B$32</f>
        <v>1.79302965212757</v>
      </c>
      <c r="C37" s="40" t="n">
        <f aca="false">C36/$B$32</f>
        <v>7.26822018019389</v>
      </c>
      <c r="D37" s="40" t="n">
        <f aca="false">D36/$B$32</f>
        <v>4.53062491616073</v>
      </c>
    </row>
    <row r="38" customFormat="false" ht="15" hidden="false" customHeight="false" outlineLevel="0" collapsed="false">
      <c r="A38" s="27" t="s">
        <v>254</v>
      </c>
      <c r="B38" s="28" t="n">
        <f aca="false">B37/Assumptions!$B$46-1</f>
        <v>-0.872109154627135</v>
      </c>
      <c r="C38" s="28" t="n">
        <f aca="false">C37/Assumptions!$B$46-1</f>
        <v>-0.481582012824973</v>
      </c>
      <c r="D38" s="28" t="n">
        <f aca="false">D37/Assumptions!$B$46-1</f>
        <v>-0.676845583726054</v>
      </c>
    </row>
    <row r="40" customFormat="false" ht="15" hidden="false" customHeight="false" outlineLevel="0" collapsed="false">
      <c r="A40" s="15" t="s">
        <v>255</v>
      </c>
    </row>
    <row r="42" customFormat="false" ht="15" hidden="false" customHeight="false" outlineLevel="0" collapsed="false">
      <c r="A42" s="7" t="s">
        <v>256</v>
      </c>
    </row>
    <row r="43" customFormat="false" ht="15" hidden="false" customHeight="false" outlineLevel="0" collapsed="false">
      <c r="B43" s="41" t="s">
        <v>257</v>
      </c>
      <c r="C43" s="42" t="n">
        <v>0.025</v>
      </c>
      <c r="D43" s="42" t="n">
        <v>0.03</v>
      </c>
      <c r="E43" s="42" t="n">
        <v>0.035</v>
      </c>
      <c r="F43" s="42" t="n">
        <v>0.04</v>
      </c>
      <c r="G43" s="42" t="n">
        <v>0.045</v>
      </c>
    </row>
    <row r="44" customFormat="false" ht="15" hidden="false" customHeight="false" outlineLevel="0" collapsed="false">
      <c r="B44" s="43" t="n">
        <v>0.12</v>
      </c>
      <c r="C44" s="44" t="n">
        <f aca="false">(SUMPRODUCT($B$10:$J$10,(1+$B$44)^-($B$11:$J$11))+$J$10*(1+C$43)/($B$44-C$43)/(1+$B$44)^9+$B$31)/$B$32</f>
        <v>2.14547512237567</v>
      </c>
      <c r="D44" s="44" t="n">
        <f aca="false">(SUMPRODUCT($B$10:$J$10,(1+$B$44)^-($B$11:$J$11))+$J$10*(1+D$43)/($B$44-D$43)/(1+$B$44)^9+$B$31)/$B$32</f>
        <v>2.28573101463921</v>
      </c>
      <c r="E44" s="44" t="n">
        <f aca="false">(SUMPRODUCT($B$10:$J$10,(1+$B$44)^-($B$11:$J$11))+$J$10*(1+E$43)/($B$44-E$43)/(1+$B$44)^9+$B$31)/$B$32</f>
        <v>2.44248760011022</v>
      </c>
      <c r="F44" s="44" t="n">
        <f aca="false">(SUMPRODUCT($B$10:$J$10,(1+$B$44)^-($B$11:$J$11))+$J$10*(1+F$43)/($B$44-F$43)/(1+$B$44)^9+$B$31)/$B$32</f>
        <v>2.61883875876511</v>
      </c>
      <c r="G44" s="44" t="n">
        <f aca="false">(SUMPRODUCT($B$10:$J$10,(1+$B$44)^-($B$11:$J$11))+$J$10*(1+G$43)/($B$44-G$43)/(1+$B$44)^9+$B$31)/$B$32</f>
        <v>2.81870340524066</v>
      </c>
    </row>
    <row r="45" customFormat="false" ht="15" hidden="false" customHeight="false" outlineLevel="0" collapsed="false">
      <c r="B45" s="43" t="n">
        <v>0.13</v>
      </c>
      <c r="C45" s="44" t="n">
        <f aca="false">(SUMPRODUCT($B$10:$J$10,(1+$B$45)^-($B$11:$J$11))+$J$10*(1+C$43)/($B$45-C$43)/(1+$B$45)^9+$B$31)/$B$32</f>
        <v>1.85083683336708</v>
      </c>
      <c r="D45" s="44" t="n">
        <f aca="false">(SUMPRODUCT($B$10:$J$10,(1+$B$45)^-($B$11:$J$11))+$J$10*(1+D$43)/($B$45-D$43)/(1+$B$45)^9+$B$31)/$B$32</f>
        <v>1.95720570800803</v>
      </c>
      <c r="E45" s="44" t="n">
        <f aca="false">(SUMPRODUCT($B$10:$J$10,(1+$B$45)^-($B$11:$J$11))+$J$10*(1+E$43)/($B$45-E$43)/(1+$B$45)^9+$B$31)/$B$32</f>
        <v>2.07477130629539</v>
      </c>
      <c r="F45" s="44" t="n">
        <f aca="false">(SUMPRODUCT($B$10:$J$10,(1+$B$45)^-($B$11:$J$11))+$J$10*(1+F$43)/($B$45-F$43)/(1+$B$45)^9+$B$31)/$B$32</f>
        <v>2.2053997488369</v>
      </c>
      <c r="G45" s="44" t="n">
        <f aca="false">(SUMPRODUCT($B$10:$J$10,(1+$B$45)^-($B$11:$J$11))+$J$10*(1+G$43)/($B$45-G$43)/(1+$B$45)^9+$B$31)/$B$32</f>
        <v>2.35139624344212</v>
      </c>
    </row>
    <row r="46" customFormat="false" ht="15" hidden="false" customHeight="false" outlineLevel="0" collapsed="false">
      <c r="B46" s="43" t="n">
        <v>0.14</v>
      </c>
      <c r="C46" s="44" t="n">
        <f aca="false">(SUMPRODUCT($B$10:$J$10,(1+$B$46)^-($B$11:$J$11))+$J$10*(1+C$43)/($B$46-C$43)/(1+$B$46)^9+$B$31)/$B$32</f>
        <v>1.63211732899146</v>
      </c>
      <c r="D46" s="44" t="n">
        <f aca="false">(SUMPRODUCT($B$10:$J$10,(1+$B$46)^-($B$11:$J$11))+$J$10*(1+D$43)/($B$46-D$43)/(1+$B$46)^9+$B$31)/$B$32</f>
        <v>1.7143988052963</v>
      </c>
      <c r="E46" s="44" t="n">
        <f aca="false">(SUMPRODUCT($B$10:$J$10,(1+$B$46)^-($B$11:$J$11))+$J$10*(1+E$43)/($B$46-E$43)/(1+$B$46)^9+$B$31)/$B$32</f>
        <v>1.8045166126778</v>
      </c>
      <c r="F46" s="44" t="n">
        <f aca="false">(SUMPRODUCT($B$10:$J$10,(1+$B$46)^-($B$11:$J$11))+$J$10*(1+F$43)/($B$46-F$43)/(1+$B$46)^9+$B$31)/$B$32</f>
        <v>1.90364620079744</v>
      </c>
      <c r="G46" s="44" t="n">
        <f aca="false">(SUMPRODUCT($B$10:$J$10,(1+$B$46)^-($B$11:$J$11))+$J$10*(1+G$43)/($B$46-G$43)/(1+$B$46)^9+$B$31)/$B$32</f>
        <v>2.01321048240336</v>
      </c>
    </row>
    <row r="47" customFormat="false" ht="15" hidden="false" customHeight="false" outlineLevel="0" collapsed="false">
      <c r="B47" s="43" t="n">
        <v>0.15</v>
      </c>
      <c r="C47" s="44" t="n">
        <f aca="false">(SUMPRODUCT($B$10:$J$10,(1+$B$47)^-($B$11:$J$11))+$J$10*(1+C$43)/($B$47-C$43)/(1+$B$47)^9+$B$31)/$B$32</f>
        <v>1.46947818418976</v>
      </c>
      <c r="D47" s="44" t="n">
        <f aca="false">(SUMPRODUCT($B$10:$J$10,(1+$B$47)^-($B$11:$J$11))+$J$10*(1+D$43)/($B$47-D$43)/(1+$B$47)^9+$B$31)/$B$32</f>
        <v>1.5341861026531</v>
      </c>
      <c r="E47" s="44" t="n">
        <f aca="false">(SUMPRODUCT($B$10:$J$10,(1+$B$47)^-($B$11:$J$11))+$J$10*(1+E$43)/($B$47-E$43)/(1+$B$47)^9+$B$31)/$B$32</f>
        <v>1.60452079663498</v>
      </c>
      <c r="F47" s="44" t="n">
        <f aca="false">(SUMPRODUCT($B$10:$J$10,(1+$B$47)^-($B$11:$J$11))+$J$10*(1+F$43)/($B$47-F$43)/(1+$B$47)^9+$B$31)/$B$32</f>
        <v>1.68124955370613</v>
      </c>
      <c r="G47" s="44" t="n">
        <f aca="false">(SUMPRODUCT($B$10:$J$10,(1+$B$47)^-($B$11:$J$11))+$J$10*(1+G$43)/($B$47-G$43)/(1+$B$47)^9+$B$31)/$B$32</f>
        <v>1.76528581145072</v>
      </c>
    </row>
    <row r="48" customFormat="false" ht="15" hidden="false" customHeight="false" outlineLevel="0" collapsed="false">
      <c r="B48" s="43" t="n">
        <v>0.16</v>
      </c>
      <c r="C48" s="44" t="n">
        <f aca="false">(SUMPRODUCT($B$10:$J$10,(1+$B$48)^-($B$11:$J$11))+$J$10*(1+C$43)/($B$48-C$43)/(1+$B$48)^9+$B$31)/$B$32</f>
        <v>1.34908261124444</v>
      </c>
      <c r="D48" s="44" t="n">
        <f aca="false">(SUMPRODUCT($B$10:$J$10,(1+$B$48)^-($B$11:$J$11))+$J$10*(1+D$43)/($B$48-D$43)/(1+$B$48)^9+$B$31)/$B$32</f>
        <v>1.40068744423149</v>
      </c>
      <c r="E48" s="44" t="n">
        <f aca="false">(SUMPRODUCT($B$10:$J$10,(1+$B$48)^-($B$11:$J$11))+$J$10*(1+E$43)/($B$48-E$43)/(1+$B$48)^9+$B$31)/$B$32</f>
        <v>1.4564206638575</v>
      </c>
      <c r="F48" s="44" t="n">
        <f aca="false">(SUMPRODUCT($B$10:$J$10,(1+$B$48)^-($B$11:$J$11))+$J$10*(1+F$43)/($B$48-F$43)/(1+$B$48)^9+$B$31)/$B$32</f>
        <v>1.51679831845235</v>
      </c>
      <c r="G48" s="44" t="n">
        <f aca="false">(SUMPRODUCT($B$10:$J$10,(1+$B$48)^-($B$11:$J$11))+$J$10*(1+G$43)/($B$48-G$43)/(1+$B$48)^9+$B$31)/$B$32</f>
        <v>1.58242620388154</v>
      </c>
    </row>
    <row r="50" customFormat="false" ht="15" hidden="false" customHeight="false" outlineLevel="0" collapsed="false">
      <c r="A50" s="7" t="s">
        <v>258</v>
      </c>
    </row>
    <row r="51" customFormat="false" ht="15" hidden="false" customHeight="false" outlineLevel="0" collapsed="false">
      <c r="B51" s="41" t="s">
        <v>259</v>
      </c>
      <c r="C51" s="45" t="n">
        <v>10</v>
      </c>
      <c r="D51" s="45" t="n">
        <v>12.5</v>
      </c>
      <c r="E51" s="45" t="n">
        <v>15</v>
      </c>
      <c r="F51" s="45" t="n">
        <v>17.5</v>
      </c>
      <c r="G51" s="45" t="n">
        <v>20</v>
      </c>
    </row>
    <row r="52" customFormat="false" ht="15" hidden="false" customHeight="false" outlineLevel="0" collapsed="false">
      <c r="B52" s="43" t="n">
        <v>0.12</v>
      </c>
      <c r="C52" s="44" t="n">
        <f aca="false">(SUMPRODUCT($B$10:$J$10,(1+$B$52)^-($B$11:$J$11))+C$51*Model_3S!$L$20/(1+$B$52)^9+$B$31)/$B$32</f>
        <v>5.53292703378503</v>
      </c>
      <c r="D52" s="44" t="n">
        <f aca="false">(SUMPRODUCT($B$10:$J$10,(1+$B$52)^-($B$11:$J$11))+D$51*Model_3S!$L$20/(1+$B$52)^9+$B$31)/$B$32</f>
        <v>6.95740635366022</v>
      </c>
      <c r="E52" s="44" t="n">
        <f aca="false">(SUMPRODUCT($B$10:$J$10,(1+$B$52)^-($B$11:$J$11))+E$51*Model_3S!$L$20/(1+$B$52)^9+$B$31)/$B$32</f>
        <v>8.3818856735354</v>
      </c>
      <c r="F52" s="44" t="n">
        <f aca="false">(SUMPRODUCT($B$10:$J$10,(1+$B$52)^-($B$11:$J$11))+F$51*Model_3S!$L$20/(1+$B$52)^9+$B$31)/$B$32</f>
        <v>9.80636499341058</v>
      </c>
      <c r="G52" s="44" t="n">
        <f aca="false">(SUMPRODUCT($B$10:$J$10,(1+$B$52)^-($B$11:$J$11))+G$51*Model_3S!$L$20/(1+$B$52)^9+$B$31)/$B$32</f>
        <v>11.2308443132858</v>
      </c>
    </row>
    <row r="53" customFormat="false" ht="15" hidden="false" customHeight="false" outlineLevel="0" collapsed="false">
      <c r="B53" s="43" t="n">
        <v>0.13</v>
      </c>
      <c r="C53" s="44" t="n">
        <f aca="false">(SUMPRODUCT($B$10:$J$10,(1+$B$53)^-($B$11:$J$11))+C$51*Model_3S!$L$20/(1+$B$53)^9+$B$31)/$B$32</f>
        <v>5.18097382065314</v>
      </c>
      <c r="D53" s="44" t="n">
        <f aca="false">(SUMPRODUCT($B$10:$J$10,(1+$B$53)^-($B$11:$J$11))+D$51*Model_3S!$L$20/(1+$B$53)^9+$B$31)/$B$32</f>
        <v>6.4959332732577</v>
      </c>
      <c r="E53" s="44" t="n">
        <f aca="false">(SUMPRODUCT($B$10:$J$10,(1+$B$53)^-($B$11:$J$11))+E$51*Model_3S!$L$20/(1+$B$53)^9+$B$31)/$B$32</f>
        <v>7.81089272586227</v>
      </c>
      <c r="F53" s="44" t="n">
        <f aca="false">(SUMPRODUCT($B$10:$J$10,(1+$B$53)^-($B$11:$J$11))+F$51*Model_3S!$L$20/(1+$B$53)^9+$B$31)/$B$32</f>
        <v>9.12585217846684</v>
      </c>
      <c r="G53" s="44" t="n">
        <f aca="false">(SUMPRODUCT($B$10:$J$10,(1+$B$53)^-($B$11:$J$11))+G$51*Model_3S!$L$20/(1+$B$53)^9+$B$31)/$B$32</f>
        <v>10.4408116310714</v>
      </c>
    </row>
    <row r="54" customFormat="false" ht="15" hidden="false" customHeight="false" outlineLevel="0" collapsed="false">
      <c r="B54" s="43" t="n">
        <v>0.14</v>
      </c>
      <c r="C54" s="44" t="n">
        <f aca="false">(SUMPRODUCT($B$10:$J$10,(1+$B$54)^-($B$11:$J$11))+C$51*Model_3S!$L$20/(1+$B$54)^9+$B$31)/$B$32</f>
        <v>4.86339530061066</v>
      </c>
      <c r="D54" s="44" t="n">
        <f aca="false">(SUMPRODUCT($B$10:$J$10,(1+$B$54)^-($B$11:$J$11))+D$51*Model_3S!$L$20/(1+$B$54)^9+$B$31)/$B$32</f>
        <v>6.07811112918964</v>
      </c>
      <c r="E54" s="44" t="n">
        <f aca="false">(SUMPRODUCT($B$10:$J$10,(1+$B$54)^-($B$11:$J$11))+E$51*Model_3S!$L$20/(1+$B$54)^9+$B$31)/$B$32</f>
        <v>7.29282695776861</v>
      </c>
      <c r="F54" s="44" t="n">
        <f aca="false">(SUMPRODUCT($B$10:$J$10,(1+$B$54)^-($B$11:$J$11))+F$51*Model_3S!$L$20/(1+$B$54)^9+$B$31)/$B$32</f>
        <v>8.50754278634758</v>
      </c>
      <c r="G54" s="44" t="n">
        <f aca="false">(SUMPRODUCT($B$10:$J$10,(1+$B$54)^-($B$11:$J$11))+G$51*Model_3S!$L$20/(1+$B$54)^9+$B$31)/$B$32</f>
        <v>9.72225861492656</v>
      </c>
    </row>
    <row r="55" customFormat="false" ht="15" hidden="false" customHeight="false" outlineLevel="0" collapsed="false">
      <c r="B55" s="43" t="n">
        <v>0.15</v>
      </c>
      <c r="C55" s="44" t="n">
        <f aca="false">(SUMPRODUCT($B$10:$J$10,(1+$B$55)^-($B$11:$J$11))+C$51*Model_3S!$L$20/(1+$B$55)^9+$B$31)/$B$32</f>
        <v>4.57685735673772</v>
      </c>
      <c r="D55" s="44" t="n">
        <f aca="false">(SUMPRODUCT($B$10:$J$10,(1+$B$55)^-($B$11:$J$11))+D$51*Model_3S!$L$20/(1+$B$55)^9+$B$31)/$B$32</f>
        <v>5.69974884426558</v>
      </c>
      <c r="E55" s="44" t="n">
        <f aca="false">(SUMPRODUCT($B$10:$J$10,(1+$B$55)^-($B$11:$J$11))+E$51*Model_3S!$L$20/(1+$B$55)^9+$B$31)/$B$32</f>
        <v>6.82264033179345</v>
      </c>
      <c r="F55" s="44" t="n">
        <f aca="false">(SUMPRODUCT($B$10:$J$10,(1+$B$55)^-($B$11:$J$11))+F$51*Model_3S!$L$20/(1+$B$55)^9+$B$31)/$B$32</f>
        <v>7.94553181932131</v>
      </c>
      <c r="G55" s="44" t="n">
        <f aca="false">(SUMPRODUCT($B$10:$J$10,(1+$B$55)^-($B$11:$J$11))+G$51*Model_3S!$L$20/(1+$B$55)^9+$B$31)/$B$32</f>
        <v>9.06842330684917</v>
      </c>
    </row>
    <row r="56" customFormat="false" ht="15" hidden="false" customHeight="false" outlineLevel="0" collapsed="false">
      <c r="B56" s="43" t="n">
        <v>0.16</v>
      </c>
      <c r="C56" s="44" t="n">
        <f aca="false">(SUMPRODUCT($B$10:$J$10,(1+$B$56)^-($B$11:$J$11))+C$51*Model_3S!$L$20/(1+$B$56)^9+$B$31)/$B$32</f>
        <v>4.31836650407749</v>
      </c>
      <c r="D56" s="44" t="n">
        <f aca="false">(SUMPRODUCT($B$10:$J$10,(1+$B$56)^-($B$11:$J$11))+D$51*Model_3S!$L$20/(1+$B$56)^9+$B$31)/$B$32</f>
        <v>5.35708161502387</v>
      </c>
      <c r="E56" s="44" t="n">
        <f aca="false">(SUMPRODUCT($B$10:$J$10,(1+$B$56)^-($B$11:$J$11))+E$51*Model_3S!$L$20/(1+$B$56)^9+$B$31)/$B$32</f>
        <v>6.39579672597026</v>
      </c>
      <c r="F56" s="44" t="n">
        <f aca="false">(SUMPRODUCT($B$10:$J$10,(1+$B$56)^-($B$11:$J$11))+F$51*Model_3S!$L$20/(1+$B$56)^9+$B$31)/$B$32</f>
        <v>7.43451183691665</v>
      </c>
      <c r="G56" s="44" t="n">
        <f aca="false">(SUMPRODUCT($B$10:$J$10,(1+$B$56)^-($B$11:$J$11))+G$51*Model_3S!$L$20/(1+$B$56)^9+$B$31)/$B$32</f>
        <v>8.47322694786304</v>
      </c>
    </row>
    <row r="58" customFormat="false" ht="15" hidden="false" customHeight="false" outlineLevel="0" collapsed="false">
      <c r="A58" s="7" t="s">
        <v>260</v>
      </c>
    </row>
    <row r="59" customFormat="false" ht="15" hidden="false" customHeight="false" outlineLevel="0" collapsed="false">
      <c r="A59" s="15" t="s">
        <v>261</v>
      </c>
    </row>
    <row r="60" customFormat="false" ht="15" hidden="false" customHeight="false" outlineLevel="0" collapsed="false">
      <c r="B60" s="41" t="s">
        <v>262</v>
      </c>
      <c r="C60" s="42" t="n">
        <v>0.15</v>
      </c>
      <c r="D60" s="42" t="n">
        <v>0.22</v>
      </c>
      <c r="E60" s="42" t="n">
        <v>0.3</v>
      </c>
      <c r="F60" s="42" t="n">
        <v>0.35</v>
      </c>
      <c r="G60" s="42" t="n">
        <v>0.4</v>
      </c>
    </row>
    <row r="61" customFormat="false" ht="15" hidden="false" customHeight="false" outlineLevel="0" collapsed="false">
      <c r="B61" s="42" t="n">
        <v>0.15</v>
      </c>
      <c r="C61" s="44" t="n">
        <f aca="false">($B$15*(Model_3S!$C$15*(1+($B$61+Assumptions!$E$13)/2)^9)/Model_3S!$L$15+$B$25*((Model_3S!$C$15*(1+($B$61+Assumptions!$E$13)/2)^9)*(C$60-Assumptions!$F$18)+Model_3S!$L$18)/(1+$B$16)^9+$B$31)/$B$32</f>
        <v>0.947898678845759</v>
      </c>
      <c r="D61" s="44" t="n">
        <f aca="false">($B$15*(Model_3S!$C$15*(1+($B$61+Assumptions!$E$13)/2)^9)/Model_3S!$L$15+$B$25*((Model_3S!$C$15*(1+($B$61+Assumptions!$E$13)/2)^9)*(D$60-Assumptions!$F$18)+Model_3S!$L$18)/(1+$B$16)^9+$B$31)/$B$32</f>
        <v>1.68361328555404</v>
      </c>
      <c r="E61" s="44" t="n">
        <f aca="false">($B$15*(Model_3S!$C$15*(1+($B$61+Assumptions!$E$13)/2)^9)/Model_3S!$L$15+$B$25*((Model_3S!$C$15*(1+($B$61+Assumptions!$E$13)/2)^9)*(E$60-Assumptions!$F$18)+Model_3S!$L$18)/(1+$B$16)^9+$B$31)/$B$32</f>
        <v>2.52442997893493</v>
      </c>
      <c r="F61" s="44" t="n">
        <f aca="false">($B$15*(Model_3S!$C$15*(1+($B$61+Assumptions!$E$13)/2)^9)/Model_3S!$L$15+$B$25*((Model_3S!$C$15*(1+($B$61+Assumptions!$E$13)/2)^9)*(F$60-Assumptions!$F$18)+Model_3S!$L$18)/(1+$B$16)^9+$B$31)/$B$32</f>
        <v>3.04994041229798</v>
      </c>
      <c r="G61" s="44" t="n">
        <f aca="false">($B$15*(Model_3S!$C$15*(1+($B$61+Assumptions!$E$13)/2)^9)/Model_3S!$L$15+$B$25*((Model_3S!$C$15*(1+($B$61+Assumptions!$E$13)/2)^9)*(G$60-Assumptions!$F$18)+Model_3S!$L$18)/(1+$B$16)^9+$B$31)/$B$32</f>
        <v>3.57545084566104</v>
      </c>
    </row>
    <row r="62" customFormat="false" ht="15" hidden="false" customHeight="false" outlineLevel="0" collapsed="false">
      <c r="B62" s="42" t="n">
        <v>0.35</v>
      </c>
      <c r="C62" s="44" t="n">
        <f aca="false">($B$15*(Model_3S!$C$15*(1+($B$62+Assumptions!$E$13)/2)^9)/Model_3S!$L$15+$B$25*((Model_3S!$C$15*(1+($B$62+Assumptions!$E$13)/2)^9)*(C$60-Assumptions!$F$18)+Model_3S!$L$18)/(1+$B$16)^9+$B$31)/$B$32</f>
        <v>0.999415930074032</v>
      </c>
      <c r="D62" s="44" t="n">
        <f aca="false">($B$15*(Model_3S!$C$15*(1+($B$62+Assumptions!$E$13)/2)^9)/Model_3S!$L$15+$B$25*((Model_3S!$C$15*(1+($B$62+Assumptions!$E$13)/2)^9)*(D$60-Assumptions!$F$18)+Model_3S!$L$18)/(1+$B$16)^9+$B$31)/$B$32</f>
        <v>2.51147352813065</v>
      </c>
      <c r="E62" s="44" t="n">
        <f aca="false">($B$15*(Model_3S!$C$15*(1+($B$62+Assumptions!$E$13)/2)^9)/Model_3S!$L$15+$B$25*((Model_3S!$C$15*(1+($B$62+Assumptions!$E$13)/2)^9)*(E$60-Assumptions!$F$18)+Model_3S!$L$18)/(1+$B$16)^9+$B$31)/$B$32</f>
        <v>4.23953935448108</v>
      </c>
      <c r="F62" s="44" t="n">
        <f aca="false">($B$15*(Model_3S!$C$15*(1+($B$62+Assumptions!$E$13)/2)^9)/Model_3S!$L$15+$B$25*((Model_3S!$C$15*(1+($B$62+Assumptions!$E$13)/2)^9)*(F$60-Assumptions!$F$18)+Model_3S!$L$18)/(1+$B$16)^9+$B$31)/$B$32</f>
        <v>5.3195804959501</v>
      </c>
      <c r="G62" s="44" t="n">
        <f aca="false">($B$15*(Model_3S!$C$15*(1+($B$62+Assumptions!$E$13)/2)^9)/Model_3S!$L$15+$B$25*((Model_3S!$C$15*(1+($B$62+Assumptions!$E$13)/2)^9)*(G$60-Assumptions!$F$18)+Model_3S!$L$18)/(1+$B$16)^9+$B$31)/$B$32</f>
        <v>6.39962163741911</v>
      </c>
    </row>
    <row r="63" customFormat="false" ht="15" hidden="false" customHeight="false" outlineLevel="0" collapsed="false">
      <c r="B63" s="42" t="n">
        <v>0.55</v>
      </c>
      <c r="C63" s="44" t="n">
        <f aca="false">($B$15*(Model_3S!$C$15*(1+($B$63+Assumptions!$E$13)/2)^9)/Model_3S!$L$15+$B$25*((Model_3S!$C$15*(1+($B$63+Assumptions!$E$13)/2)^9)*(C$60-Assumptions!$F$18)+Model_3S!$L$18)/(1+$B$16)^9+$B$31)/$B$32</f>
        <v>1.09456972542386</v>
      </c>
      <c r="D63" s="44" t="n">
        <f aca="false">($B$15*(Model_3S!$C$15*(1+($B$63+Assumptions!$E$13)/2)^9)/Model_3S!$L$15+$B$25*((Model_3S!$C$15*(1+($B$63+Assumptions!$E$13)/2)^9)*(D$60-Assumptions!$F$18)+Model_3S!$L$18)/(1+$B$16)^9+$B$31)/$B$32</f>
        <v>4.04055441312086</v>
      </c>
      <c r="E63" s="44" t="n">
        <f aca="false">($B$15*(Model_3S!$C$15*(1+($B$63+Assumptions!$E$13)/2)^9)/Model_3S!$L$15+$B$25*((Model_3S!$C$15*(1+($B$63+Assumptions!$E$13)/2)^9)*(E$60-Assumptions!$F$18)+Model_3S!$L$18)/(1+$B$16)^9+$B$31)/$B$32</f>
        <v>7.40739405620316</v>
      </c>
      <c r="F63" s="44" t="n">
        <f aca="false">($B$15*(Model_3S!$C$15*(1+($B$63+Assumptions!$E$13)/2)^9)/Model_3S!$L$15+$B$25*((Model_3S!$C$15*(1+($B$63+Assumptions!$E$13)/2)^9)*(F$60-Assumptions!$F$18)+Model_3S!$L$18)/(1+$B$16)^9+$B$31)/$B$32</f>
        <v>9.51166883312959</v>
      </c>
      <c r="G63" s="44" t="n">
        <f aca="false">($B$15*(Model_3S!$C$15*(1+($B$63+Assumptions!$E$13)/2)^9)/Model_3S!$L$15+$B$25*((Model_3S!$C$15*(1+($B$63+Assumptions!$E$13)/2)^9)*(G$60-Assumptions!$F$18)+Model_3S!$L$18)/(1+$B$16)^9+$B$31)/$B$32</f>
        <v>11.615943610056</v>
      </c>
    </row>
    <row r="64" customFormat="false" ht="15" hidden="false" customHeight="false" outlineLevel="0" collapsed="false">
      <c r="B64" s="42" t="n">
        <v>0.7</v>
      </c>
      <c r="C64" s="44" t="n">
        <f aca="false">($B$15*(Model_3S!$C$15*(1+($B$64+Assumptions!$E$13)/2)^9)/Model_3S!$L$15+$B$25*((Model_3S!$C$15*(1+($B$64+Assumptions!$E$13)/2)^9)*(C$60-Assumptions!$F$18)+Model_3S!$L$18)/(1+$B$16)^9+$B$31)/$B$32</f>
        <v>1.21176129008952</v>
      </c>
      <c r="D64" s="44" t="n">
        <f aca="false">($B$15*(Model_3S!$C$15*(1+($B$64+Assumptions!$E$13)/2)^9)/Model_3S!$L$15+$B$25*((Model_3S!$C$15*(1+($B$64+Assumptions!$E$13)/2)^9)*(D$60-Assumptions!$F$18)+Model_3S!$L$18)/(1+$B$16)^9+$B$31)/$B$32</f>
        <v>5.92377284653777</v>
      </c>
      <c r="E64" s="44" t="n">
        <f aca="false">($B$15*(Model_3S!$C$15*(1+($B$64+Assumptions!$E$13)/2)^9)/Model_3S!$L$15+$B$25*((Model_3S!$C$15*(1+($B$64+Assumptions!$E$13)/2)^9)*(E$60-Assumptions!$F$18)+Model_3S!$L$18)/(1+$B$16)^9+$B$31)/$B$32</f>
        <v>11.3089289110501</v>
      </c>
      <c r="F64" s="44" t="n">
        <f aca="false">($B$15*(Model_3S!$C$15*(1+($B$64+Assumptions!$E$13)/2)^9)/Model_3S!$L$15+$B$25*((Model_3S!$C$15*(1+($B$64+Assumptions!$E$13)/2)^9)*(F$60-Assumptions!$F$18)+Model_3S!$L$18)/(1+$B$16)^9+$B$31)/$B$32</f>
        <v>14.6746514513702</v>
      </c>
      <c r="G64" s="44" t="n">
        <f aca="false">($B$15*(Model_3S!$C$15*(1+($B$64+Assumptions!$E$13)/2)^9)/Model_3S!$L$15+$B$25*((Model_3S!$C$15*(1+($B$64+Assumptions!$E$13)/2)^9)*(G$60-Assumptions!$F$18)+Model_3S!$L$18)/(1+$B$16)^9+$B$31)/$B$32</f>
        <v>18.0403739916904</v>
      </c>
    </row>
    <row r="65" customFormat="false" ht="15" hidden="false" customHeight="false" outlineLevel="0" collapsed="false">
      <c r="B65" s="42" t="n">
        <v>0.85</v>
      </c>
      <c r="C65" s="44" t="n">
        <f aca="false">($B$15*(Model_3S!$C$15*(1+($B$65+Assumptions!$E$13)/2)^9)/Model_3S!$L$15+$B$25*((Model_3S!$C$15*(1+($B$65+Assumptions!$E$13)/2)^9)*(C$60-Assumptions!$F$18)+Model_3S!$L$18)/(1+$B$16)^9+$B$31)/$B$32</f>
        <v>1.38768764201242</v>
      </c>
      <c r="D65" s="44" t="n">
        <f aca="false">($B$15*(Model_3S!$C$15*(1+($B$65+Assumptions!$E$13)/2)^9)/Model_3S!$L$15+$B$25*((Model_3S!$C$15*(1+($B$65+Assumptions!$E$13)/2)^9)*(D$60-Assumptions!$F$18)+Model_3S!$L$18)/(1+$B$16)^9+$B$31)/$B$32</f>
        <v>8.75083424647861</v>
      </c>
      <c r="E65" s="44" t="n">
        <f aca="false">($B$15*(Model_3S!$C$15*(1+($B$65+Assumptions!$E$13)/2)^9)/Model_3S!$L$15+$B$25*((Model_3S!$C$15*(1+($B$65+Assumptions!$E$13)/2)^9)*(E$60-Assumptions!$F$18)+Model_3S!$L$18)/(1+$B$16)^9+$B$31)/$B$32</f>
        <v>17.1658589372971</v>
      </c>
      <c r="F65" s="44" t="n">
        <f aca="false">($B$15*(Model_3S!$C$15*(1+($B$65+Assumptions!$E$13)/2)^9)/Model_3S!$L$15+$B$25*((Model_3S!$C$15*(1+($B$65+Assumptions!$E$13)/2)^9)*(F$60-Assumptions!$F$18)+Model_3S!$L$18)/(1+$B$16)^9+$B$31)/$B$32</f>
        <v>22.4252493690587</v>
      </c>
      <c r="G65" s="44" t="n">
        <f aca="false">($B$15*(Model_3S!$C$15*(1+($B$65+Assumptions!$E$13)/2)^9)/Model_3S!$L$15+$B$25*((Model_3S!$C$15*(1+($B$65+Assumptions!$E$13)/2)^9)*(G$60-Assumptions!$F$18)+Model_3S!$L$18)/(1+$B$16)^9+$B$31)/$B$32</f>
        <v>27.6846398008203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55"/>
  </cols>
  <sheetData>
    <row r="1" customFormat="false" ht="17.35" hidden="false" customHeight="false" outlineLevel="0" collapsed="false">
      <c r="A1" s="1" t="s">
        <v>263</v>
      </c>
    </row>
    <row r="4" customFormat="false" ht="15" hidden="false" customHeight="false" outlineLevel="0" collapsed="false">
      <c r="A4" s="12" t="s">
        <v>264</v>
      </c>
      <c r="B4" s="12" t="s">
        <v>265</v>
      </c>
      <c r="C4" s="12" t="s">
        <v>266</v>
      </c>
      <c r="D4" s="12" t="s">
        <v>267</v>
      </c>
      <c r="E4" s="12" t="s">
        <v>268</v>
      </c>
      <c r="F4" s="12" t="s">
        <v>269</v>
      </c>
    </row>
    <row r="5" customFormat="false" ht="15" hidden="false" customHeight="false" outlineLevel="0" collapsed="false">
      <c r="A5" s="3" t="s">
        <v>270</v>
      </c>
      <c r="B5" s="3" t="s">
        <v>271</v>
      </c>
      <c r="C5" s="46" t="n">
        <v>8</v>
      </c>
      <c r="D5" s="47" t="n">
        <v>14</v>
      </c>
      <c r="E5" s="48" t="n">
        <f aca="false">(C5-IF(B5="XE",2,0.5))/D5</f>
        <v>0.535714285714286</v>
      </c>
      <c r="F5" s="15" t="s">
        <v>272</v>
      </c>
    </row>
    <row r="6" customFormat="false" ht="15" hidden="false" customHeight="false" outlineLevel="0" collapsed="false">
      <c r="A6" s="3" t="s">
        <v>273</v>
      </c>
      <c r="B6" s="3" t="s">
        <v>274</v>
      </c>
      <c r="C6" s="46" t="n">
        <v>3.1</v>
      </c>
      <c r="D6" s="47" t="n">
        <v>6</v>
      </c>
      <c r="E6" s="48" t="n">
        <f aca="false">(C6-IF(B6="XE",2,0.5))/D6</f>
        <v>0.433333333333333</v>
      </c>
      <c r="F6" s="15" t="s">
        <v>275</v>
      </c>
    </row>
    <row r="7" customFormat="false" ht="15" hidden="false" customHeight="false" outlineLevel="0" collapsed="false">
      <c r="A7" s="3" t="s">
        <v>276</v>
      </c>
      <c r="B7" s="3" t="s">
        <v>277</v>
      </c>
      <c r="C7" s="46" t="n">
        <v>5.7</v>
      </c>
      <c r="D7" s="47" t="n">
        <v>11.5</v>
      </c>
      <c r="E7" s="48" t="n">
        <f aca="false">(C7-IF(B7="XE",2,0.5))/D7</f>
        <v>0.321739130434783</v>
      </c>
      <c r="F7" s="15" t="s">
        <v>278</v>
      </c>
    </row>
    <row r="9" customFormat="false" ht="15" hidden="false" customHeight="false" outlineLevel="0" collapsed="false">
      <c r="A9" s="15" t="s">
        <v>279</v>
      </c>
    </row>
    <row r="11" customFormat="false" ht="15" hidden="false" customHeight="false" outlineLevel="0" collapsed="false">
      <c r="A11" s="7" t="s">
        <v>280</v>
      </c>
    </row>
    <row r="12" customFormat="false" ht="15" hidden="false" customHeight="false" outlineLevel="0" collapsed="false">
      <c r="A12" s="12" t="s">
        <v>281</v>
      </c>
      <c r="B12" s="12" t="s">
        <v>282</v>
      </c>
      <c r="C12" s="12" t="s">
        <v>283</v>
      </c>
      <c r="D12" s="12" t="s">
        <v>284</v>
      </c>
      <c r="E12" s="12" t="s">
        <v>285</v>
      </c>
      <c r="F12" s="12" t="s">
        <v>286</v>
      </c>
    </row>
    <row r="13" customFormat="false" ht="15" hidden="false" customHeight="false" outlineLevel="0" collapsed="false">
      <c r="A13" s="3" t="s">
        <v>287</v>
      </c>
      <c r="B13" s="49" t="n">
        <v>0.35</v>
      </c>
      <c r="C13" s="49" t="n">
        <v>0.7</v>
      </c>
      <c r="D13" s="50" t="n">
        <v>11.5</v>
      </c>
      <c r="E13" s="40" t="n">
        <f aca="false">(B13*D13*1000+DCF!$B$31)/Assumptions!$B$39</f>
        <v>14.2615223699305</v>
      </c>
      <c r="F13" s="40" t="n">
        <f aca="false">(C13*D13*1000+DCF!$B$31)/Assumptions!$B$39</f>
        <v>24.1753154733788</v>
      </c>
    </row>
    <row r="14" customFormat="false" ht="15" hidden="false" customHeight="false" outlineLevel="0" collapsed="false">
      <c r="A14" s="3" t="s">
        <v>288</v>
      </c>
      <c r="B14" s="18" t="n">
        <v>4</v>
      </c>
      <c r="C14" s="18" t="n">
        <v>8</v>
      </c>
      <c r="D14" s="23" t="n">
        <f aca="false">Model_3S!G15</f>
        <v>894.74537109375</v>
      </c>
      <c r="E14" s="40" t="n">
        <f aca="false">(B14*D14/(1+WACC!$B$20)^4+DCF!$B$31)/Assumptions!$B$39</f>
        <v>9.55790365335774</v>
      </c>
      <c r="F14" s="40" t="n">
        <f aca="false">(C14*D14/(1+WACC!$B$20)^4+DCF!$B$31)/Assumptions!$B$39</f>
        <v>14.7680780402333</v>
      </c>
    </row>
    <row r="16" customFormat="false" ht="15" hidden="false" customHeight="false" outlineLevel="0" collapsed="false">
      <c r="A16" s="15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290</v>
      </c>
    </row>
    <row r="4" customFormat="false" ht="15" hidden="false" customHeight="false" outlineLevel="0" collapsed="false">
      <c r="A4" s="12" t="s">
        <v>291</v>
      </c>
      <c r="B4" s="12" t="s">
        <v>292</v>
      </c>
      <c r="C4" s="12" t="s">
        <v>293</v>
      </c>
      <c r="D4" s="12" t="s">
        <v>294</v>
      </c>
      <c r="E4" s="12" t="s">
        <v>295</v>
      </c>
      <c r="F4" s="12" t="s">
        <v>269</v>
      </c>
    </row>
    <row r="5" customFormat="false" ht="15" hidden="false" customHeight="false" outlineLevel="0" collapsed="false">
      <c r="A5" s="3" t="s">
        <v>296</v>
      </c>
      <c r="B5" s="3" t="s">
        <v>297</v>
      </c>
      <c r="C5" s="3" t="s">
        <v>298</v>
      </c>
      <c r="D5" s="20" t="n">
        <v>7875</v>
      </c>
      <c r="E5" s="27" t="s">
        <v>299</v>
      </c>
      <c r="F5" s="15" t="s">
        <v>300</v>
      </c>
    </row>
    <row r="6" customFormat="false" ht="15" hidden="false" customHeight="false" outlineLevel="0" collapsed="false">
      <c r="A6" s="3" t="s">
        <v>301</v>
      </c>
      <c r="B6" s="3" t="s">
        <v>302</v>
      </c>
      <c r="C6" s="3" t="s">
        <v>303</v>
      </c>
      <c r="D6" s="20" t="n">
        <v>4600</v>
      </c>
      <c r="E6" s="27" t="s">
        <v>304</v>
      </c>
      <c r="F6" s="15" t="s">
        <v>305</v>
      </c>
    </row>
    <row r="7" customFormat="false" ht="15" hidden="false" customHeight="false" outlineLevel="0" collapsed="false">
      <c r="A7" s="3" t="s">
        <v>306</v>
      </c>
      <c r="B7" s="3" t="s">
        <v>307</v>
      </c>
      <c r="C7" s="3" t="s">
        <v>308</v>
      </c>
      <c r="E7" s="27" t="s">
        <v>309</v>
      </c>
      <c r="F7" s="15" t="s">
        <v>310</v>
      </c>
    </row>
    <row r="8" customFormat="false" ht="15" hidden="false" customHeight="false" outlineLevel="0" collapsed="false">
      <c r="A8" s="3" t="s">
        <v>311</v>
      </c>
      <c r="B8" s="3" t="s">
        <v>312</v>
      </c>
      <c r="C8" s="3" t="s">
        <v>313</v>
      </c>
      <c r="D8" s="20" t="n">
        <v>1800</v>
      </c>
      <c r="E8" s="27" t="s">
        <v>314</v>
      </c>
      <c r="F8" s="15" t="s">
        <v>315</v>
      </c>
    </row>
    <row r="10" customFormat="false" ht="15" hidden="false" customHeight="false" outlineLevel="0" collapsed="false">
      <c r="A10" s="15" t="s">
        <v>316</v>
      </c>
    </row>
    <row r="12" customFormat="false" ht="15" hidden="false" customHeight="false" outlineLevel="0" collapsed="false">
      <c r="A12" s="7" t="s">
        <v>317</v>
      </c>
    </row>
    <row r="13" customFormat="false" ht="15" hidden="false" customHeight="false" outlineLevel="0" collapsed="false">
      <c r="A13" s="12"/>
      <c r="B13" s="12" t="s">
        <v>282</v>
      </c>
      <c r="C13" s="12" t="s">
        <v>283</v>
      </c>
    </row>
    <row r="14" customFormat="false" ht="15" hidden="false" customHeight="false" outlineLevel="0" collapsed="false">
      <c r="A14" s="3" t="s">
        <v>318</v>
      </c>
      <c r="B14" s="49" t="n">
        <v>0.25</v>
      </c>
      <c r="C14" s="49" t="n">
        <v>0.55</v>
      </c>
    </row>
    <row r="15" customFormat="false" ht="15" hidden="false" customHeight="false" outlineLevel="0" collapsed="false">
      <c r="A15" s="3" t="s">
        <v>319</v>
      </c>
      <c r="B15" s="26" t="n">
        <f aca="false">B14*Comps!$D$13*1000</f>
        <v>2875</v>
      </c>
      <c r="C15" s="26" t="n">
        <f aca="false">C14*Comps!$D$13*1000</f>
        <v>6325</v>
      </c>
    </row>
    <row r="16" customFormat="false" ht="15" hidden="false" customHeight="false" outlineLevel="0" collapsed="false">
      <c r="A16" s="9" t="s">
        <v>253</v>
      </c>
      <c r="B16" s="40" t="n">
        <f aca="false">(B15+DCF!$B$31)/Assumptions!$B$39</f>
        <v>11.4290100546596</v>
      </c>
      <c r="C16" s="40" t="n">
        <f aca="false">(C15+DCF!$B$31)/Assumptions!$B$39</f>
        <v>19.9265470004724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5"/>
  </cols>
  <sheetData>
    <row r="1" customFormat="false" ht="17.35" hidden="false" customHeight="false" outlineLevel="0" collapsed="false">
      <c r="A1" s="1" t="s">
        <v>320</v>
      </c>
    </row>
    <row r="2" customFormat="false" ht="15" hidden="false" customHeight="false" outlineLevel="0" collapsed="false">
      <c r="A2" s="15" t="s">
        <v>321</v>
      </c>
    </row>
    <row r="4" customFormat="false" ht="15" hidden="false" customHeight="false" outlineLevel="0" collapsed="false">
      <c r="A4" s="7" t="s">
        <v>322</v>
      </c>
    </row>
    <row r="5" customFormat="false" ht="15" hidden="false" customHeight="false" outlineLevel="0" collapsed="false">
      <c r="A5" s="3" t="s">
        <v>323</v>
      </c>
      <c r="B5" s="13" t="n">
        <v>0.3</v>
      </c>
    </row>
    <row r="6" customFormat="false" ht="15" hidden="false" customHeight="false" outlineLevel="0" collapsed="false">
      <c r="A6" s="3" t="s">
        <v>324</v>
      </c>
      <c r="B6" s="40" t="n">
        <f aca="false">Assumptions!B46*(1+B5)</f>
        <v>18.226</v>
      </c>
    </row>
    <row r="7" customFormat="false" ht="15" hidden="false" customHeight="false" outlineLevel="0" collapsed="false">
      <c r="A7" s="3" t="s">
        <v>246</v>
      </c>
      <c r="B7" s="39" t="n">
        <f aca="false">Assumptions!B39</f>
        <v>406</v>
      </c>
    </row>
    <row r="8" customFormat="false" ht="15" hidden="false" customHeight="false" outlineLevel="0" collapsed="false">
      <c r="A8" s="3" t="s">
        <v>325</v>
      </c>
      <c r="B8" s="25" t="n">
        <f aca="false">B6*B7</f>
        <v>7399.756</v>
      </c>
    </row>
    <row r="9" customFormat="false" ht="15" hidden="false" customHeight="false" outlineLevel="0" collapsed="false">
      <c r="A9" s="3" t="s">
        <v>326</v>
      </c>
      <c r="B9" s="23" t="n">
        <f aca="false">DCF!B31</f>
        <v>1765.17808219178</v>
      </c>
    </row>
    <row r="10" customFormat="false" ht="15" hidden="false" customHeight="false" outlineLevel="0" collapsed="false">
      <c r="A10" s="3" t="s">
        <v>327</v>
      </c>
      <c r="B10" s="26" t="n">
        <f aca="false">4.5*MAX(0,Model_3S!C20)</f>
        <v>0</v>
      </c>
      <c r="C10" s="15" t="s">
        <v>328</v>
      </c>
    </row>
    <row r="12" customFormat="false" ht="15" hidden="false" customHeight="false" outlineLevel="0" collapsed="false">
      <c r="A12" s="7" t="s">
        <v>329</v>
      </c>
    </row>
    <row r="13" customFormat="false" ht="15" hidden="false" customHeight="false" outlineLevel="0" collapsed="false">
      <c r="A13" s="3" t="s">
        <v>330</v>
      </c>
      <c r="B13" s="23" t="n">
        <f aca="false">-SUMIF(DCF!B10:F10,"&lt;0")</f>
        <v>2242.13810712848</v>
      </c>
    </row>
    <row r="14" customFormat="false" ht="15" hidden="false" customHeight="false" outlineLevel="0" collapsed="false">
      <c r="A14" s="3" t="s">
        <v>331</v>
      </c>
      <c r="B14" s="26" t="n">
        <f aca="false">MIN(B9,B13)</f>
        <v>1765.17808219178</v>
      </c>
    </row>
    <row r="15" customFormat="false" ht="15" hidden="false" customHeight="false" outlineLevel="0" collapsed="false">
      <c r="A15" s="3" t="s">
        <v>332</v>
      </c>
      <c r="B15" s="26" t="n">
        <f aca="false">MAX(0,B13-B9)</f>
        <v>476.9600249367</v>
      </c>
    </row>
    <row r="16" customFormat="false" ht="15" hidden="false" customHeight="false" outlineLevel="0" collapsed="false">
      <c r="A16" s="3" t="s">
        <v>333</v>
      </c>
      <c r="B16" s="26" t="n">
        <f aca="false">MAX(0,B9-B13)+SUMIF(DCF!B10:F10,"&gt;0")</f>
        <v>0</v>
      </c>
    </row>
    <row r="17" customFormat="false" ht="15" hidden="false" customHeight="false" outlineLevel="0" collapsed="false">
      <c r="A17" s="9" t="s">
        <v>334</v>
      </c>
      <c r="B17" s="25" t="n">
        <f aca="false">B8+B15</f>
        <v>7876.7160249367</v>
      </c>
    </row>
    <row r="19" customFormat="false" ht="15" hidden="false" customHeight="false" outlineLevel="0" collapsed="false">
      <c r="A19" s="7" t="s">
        <v>335</v>
      </c>
    </row>
    <row r="20" customFormat="false" ht="15" hidden="false" customHeight="false" outlineLevel="0" collapsed="false">
      <c r="A20" s="3" t="s">
        <v>336</v>
      </c>
      <c r="B20" s="23" t="n">
        <f aca="false">Model_3S!H15</f>
        <v>1252.64351953125</v>
      </c>
    </row>
    <row r="21" customFormat="false" ht="15" hidden="false" customHeight="false" outlineLevel="0" collapsed="false">
      <c r="A21" s="3" t="s">
        <v>337</v>
      </c>
      <c r="B21" s="18" t="n">
        <v>5</v>
      </c>
      <c r="C21" s="15" t="s">
        <v>338</v>
      </c>
    </row>
    <row r="22" customFormat="false" ht="15" hidden="false" customHeight="false" outlineLevel="0" collapsed="false">
      <c r="A22" s="3" t="s">
        <v>339</v>
      </c>
      <c r="B22" s="26" t="n">
        <f aca="false">B20*B21</f>
        <v>6263.21759765625</v>
      </c>
    </row>
    <row r="23" customFormat="false" ht="15" hidden="false" customHeight="false" outlineLevel="0" collapsed="false">
      <c r="A23" s="3" t="s">
        <v>340</v>
      </c>
      <c r="B23" s="26" t="n">
        <f aca="false">B16</f>
        <v>0</v>
      </c>
    </row>
    <row r="24" customFormat="false" ht="15" hidden="false" customHeight="false" outlineLevel="0" collapsed="false">
      <c r="A24" s="9" t="s">
        <v>341</v>
      </c>
      <c r="B24" s="25" t="n">
        <f aca="false">B22+B23</f>
        <v>6263.21759765625</v>
      </c>
    </row>
    <row r="25" customFormat="false" ht="15" hidden="false" customHeight="false" outlineLevel="0" collapsed="false">
      <c r="A25" s="9" t="s">
        <v>342</v>
      </c>
      <c r="B25" s="51" t="n">
        <f aca="false">B24/B17</f>
        <v>0.795155947964569</v>
      </c>
    </row>
    <row r="26" customFormat="false" ht="15" hidden="false" customHeight="false" outlineLevel="0" collapsed="false">
      <c r="A26" s="9" t="s">
        <v>343</v>
      </c>
      <c r="B26" s="14" t="n">
        <f aca="false">(B25)^(1/5)-1</f>
        <v>-0.0448084708449441</v>
      </c>
    </row>
    <row r="28" customFormat="false" ht="15" hidden="false" customHeight="false" outlineLevel="0" collapsed="false">
      <c r="A28" s="7" t="s">
        <v>344</v>
      </c>
    </row>
    <row r="29" customFormat="false" ht="15" hidden="false" customHeight="false" outlineLevel="0" collapsed="false">
      <c r="A29" s="12" t="s">
        <v>345</v>
      </c>
      <c r="B29" s="12" t="s">
        <v>346</v>
      </c>
      <c r="C29" s="12" t="s">
        <v>347</v>
      </c>
      <c r="D29" s="12" t="s">
        <v>348</v>
      </c>
      <c r="E29" s="12" t="s">
        <v>349</v>
      </c>
    </row>
    <row r="30" customFormat="false" ht="15" hidden="false" customHeight="false" outlineLevel="0" collapsed="false">
      <c r="A30" s="13" t="n">
        <v>0.15</v>
      </c>
      <c r="B30" s="26" t="n">
        <f aca="false">$B$24/(1+A30)^5</f>
        <v>3113.92607766553</v>
      </c>
      <c r="C30" s="26" t="n">
        <f aca="false">B30-$B$15</f>
        <v>2636.96605272883</v>
      </c>
      <c r="D30" s="40" t="n">
        <f aca="false">C30/$B$7</f>
        <v>6.49499027765722</v>
      </c>
      <c r="E30" s="28" t="n">
        <f aca="false">D30/Assumptions!$B$46-1</f>
        <v>-0.536733931693493</v>
      </c>
    </row>
    <row r="31" customFormat="false" ht="15" hidden="false" customHeight="false" outlineLevel="0" collapsed="false">
      <c r="A31" s="13" t="n">
        <v>0.2</v>
      </c>
      <c r="B31" s="26" t="n">
        <f aca="false">$B$24/(1+A31)^5</f>
        <v>2517.04668115687</v>
      </c>
      <c r="C31" s="26" t="n">
        <f aca="false">B31-$B$15</f>
        <v>2040.08665622017</v>
      </c>
      <c r="D31" s="40" t="n">
        <f aca="false">C31/$B$7</f>
        <v>5.02484398083784</v>
      </c>
      <c r="E31" s="28" t="n">
        <f aca="false">D31/Assumptions!$B$46-1</f>
        <v>-0.641594580539384</v>
      </c>
    </row>
    <row r="32" customFormat="false" ht="15" hidden="false" customHeight="false" outlineLevel="0" collapsed="false">
      <c r="A32" s="13" t="n">
        <v>0.25</v>
      </c>
      <c r="B32" s="26" t="n">
        <f aca="false">$B$24/(1+A32)^5</f>
        <v>2052.3311424</v>
      </c>
      <c r="C32" s="26" t="n">
        <f aca="false">B32-$B$15</f>
        <v>1575.3711174633</v>
      </c>
      <c r="D32" s="40" t="n">
        <f aca="false">C32/$B$7</f>
        <v>3.88022442724951</v>
      </c>
      <c r="E32" s="28" t="n">
        <f aca="false">D32/Assumptions!$B$46-1</f>
        <v>-0.723236488783915</v>
      </c>
    </row>
    <row r="33" customFormat="false" ht="15" hidden="false" customHeight="false" outlineLevel="0" collapsed="false">
      <c r="A33" s="13" t="n">
        <v>0.3</v>
      </c>
      <c r="B33" s="26" t="n">
        <f aca="false">$B$24/(1+A33)^5</f>
        <v>1686.86659798495</v>
      </c>
      <c r="C33" s="26" t="n">
        <f aca="false">B33-$B$15</f>
        <v>1209.90657304825</v>
      </c>
      <c r="D33" s="40" t="n">
        <f aca="false">C33/$B$7</f>
        <v>2.98006545085775</v>
      </c>
      <c r="E33" s="28" t="n">
        <f aca="false">D33/Assumptions!$B$46-1</f>
        <v>-0.787441836600731</v>
      </c>
    </row>
    <row r="35" customFormat="false" ht="15" hidden="false" customHeight="false" outlineLevel="0" collapsed="false">
      <c r="A35" s="15" t="s">
        <v>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"/>
    <col collapsed="false" customWidth="true" hidden="false" outlineLevel="0" max="11" min="3" style="0" width="11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1" t="s">
        <v>351</v>
      </c>
    </row>
    <row r="2" customFormat="false" ht="15" hidden="false" customHeight="false" outlineLevel="0" collapsed="false">
      <c r="A2" s="52" t="s">
        <v>352</v>
      </c>
    </row>
    <row r="4" customFormat="false" ht="15" hidden="false" customHeight="false" outlineLevel="0" collapsed="false">
      <c r="A4" s="7" t="s">
        <v>353</v>
      </c>
    </row>
    <row r="5" customFormat="false" ht="15" hidden="false" customHeight="false" outlineLevel="0" collapsed="false">
      <c r="A5" s="12" t="s">
        <v>354</v>
      </c>
      <c r="B5" s="12" t="s">
        <v>355</v>
      </c>
      <c r="C5" s="12" t="s">
        <v>356</v>
      </c>
    </row>
    <row r="6" customFormat="false" ht="15" hidden="false" customHeight="false" outlineLevel="0" collapsed="false">
      <c r="A6" s="3" t="s">
        <v>61</v>
      </c>
      <c r="B6" s="22" t="n">
        <f aca="false">Assumptions!E12</f>
        <v>0.55</v>
      </c>
      <c r="C6" s="13" t="n">
        <v>0.1</v>
      </c>
    </row>
    <row r="7" customFormat="false" ht="15" hidden="false" customHeight="false" outlineLevel="0" collapsed="false">
      <c r="A7" s="3" t="s">
        <v>357</v>
      </c>
      <c r="B7" s="22" t="n">
        <f aca="false">Assumptions!F17</f>
        <v>0.3</v>
      </c>
      <c r="C7" s="13" t="n">
        <v>0.05</v>
      </c>
    </row>
    <row r="8" customFormat="false" ht="15" hidden="false" customHeight="false" outlineLevel="0" collapsed="false">
      <c r="A8" s="3" t="s">
        <v>11</v>
      </c>
      <c r="B8" s="53" t="n">
        <f aca="false">WACC!B20</f>
        <v>0.1405</v>
      </c>
      <c r="C8" s="30" t="n">
        <v>0.015</v>
      </c>
    </row>
    <row r="9" customFormat="false" ht="15" hidden="false" customHeight="false" outlineLevel="0" collapsed="false">
      <c r="A9" s="3" t="s">
        <v>358</v>
      </c>
      <c r="B9" s="38" t="n">
        <f aca="false">Assumptions!B45</f>
        <v>15</v>
      </c>
      <c r="C9" s="18" t="n">
        <v>3</v>
      </c>
    </row>
    <row r="11" customFormat="false" ht="15" hidden="false" customHeight="false" outlineLevel="0" collapsed="false">
      <c r="A11" s="7" t="s">
        <v>359</v>
      </c>
    </row>
    <row r="12" customFormat="false" ht="15" hidden="false" customHeight="false" outlineLevel="0" collapsed="false">
      <c r="A12" s="3" t="s">
        <v>360</v>
      </c>
      <c r="B12" s="23" t="n">
        <f aca="false">Model_3S!L20</f>
        <v>641.511398801369</v>
      </c>
    </row>
    <row r="13" customFormat="false" ht="15" hidden="false" customHeight="false" outlineLevel="0" collapsed="false">
      <c r="A13" s="3" t="s">
        <v>361</v>
      </c>
      <c r="B13" s="23" t="n">
        <f aca="false">DCF!B15</f>
        <v>-1761.67356965947</v>
      </c>
    </row>
    <row r="14" customFormat="false" ht="15" hidden="false" customHeight="false" outlineLevel="0" collapsed="false">
      <c r="A14" s="3" t="s">
        <v>362</v>
      </c>
      <c r="B14" s="23" t="n">
        <f aca="false">DCF!B31</f>
        <v>1765.17808219178</v>
      </c>
    </row>
    <row r="15" customFormat="false" ht="15" hidden="false" customHeight="false" outlineLevel="0" collapsed="false">
      <c r="A15" s="3" t="s">
        <v>246</v>
      </c>
      <c r="B15" s="39" t="n">
        <f aca="false">Assumptions!B39</f>
        <v>406</v>
      </c>
    </row>
    <row r="16" customFormat="false" ht="15" hidden="false" customHeight="false" outlineLevel="0" collapsed="false">
      <c r="A16" s="3" t="s">
        <v>363</v>
      </c>
      <c r="B16" s="54" t="n">
        <f aca="false">Assumptions!B46</f>
        <v>14.02</v>
      </c>
    </row>
    <row r="17" customFormat="false" ht="15" hidden="false" customHeight="false" outlineLevel="0" collapsed="false">
      <c r="A17" s="3" t="s">
        <v>364</v>
      </c>
      <c r="B17" s="22" t="n">
        <f aca="false">Assumptions!E13</f>
        <v>0.25</v>
      </c>
    </row>
    <row r="18" customFormat="false" ht="15" hidden="false" customHeight="false" outlineLevel="0" collapsed="false">
      <c r="A18" s="3" t="s">
        <v>365</v>
      </c>
      <c r="B18" s="23" t="n">
        <f aca="false">Model_3S!C15</f>
        <v>180</v>
      </c>
    </row>
    <row r="19" customFormat="false" ht="15" hidden="false" customHeight="false" outlineLevel="0" collapsed="false">
      <c r="A19" s="3" t="s">
        <v>366</v>
      </c>
      <c r="B19" s="23" t="n">
        <f aca="false">Model_3S!L15</f>
        <v>3639.46155307715</v>
      </c>
    </row>
    <row r="20" customFormat="false" ht="15" hidden="false" customHeight="false" outlineLevel="0" collapsed="false">
      <c r="A20" s="3" t="s">
        <v>367</v>
      </c>
      <c r="B20" s="23" t="n">
        <f aca="false">Model_3S!L18</f>
        <v>-304.748604998689</v>
      </c>
    </row>
    <row r="22" customFormat="false" ht="15" hidden="false" customHeight="false" outlineLevel="0" collapsed="false">
      <c r="A22" s="7" t="s">
        <v>368</v>
      </c>
    </row>
    <row r="23" customFormat="false" ht="15" hidden="false" customHeight="false" outlineLevel="0" collapsed="false">
      <c r="A23" s="9" t="s">
        <v>369</v>
      </c>
      <c r="B23" s="40" t="n">
        <f aca="false">AVERAGE($K$41:$K$540)</f>
        <v>7.74735426675259</v>
      </c>
    </row>
    <row r="24" customFormat="false" ht="15" hidden="false" customHeight="false" outlineLevel="0" collapsed="false">
      <c r="A24" s="3" t="s">
        <v>370</v>
      </c>
      <c r="B24" s="44" t="n">
        <f aca="false">MEDIAN($K$41:$K$540)</f>
        <v>6.93868164011658</v>
      </c>
    </row>
    <row r="25" customFormat="false" ht="15" hidden="false" customHeight="false" outlineLevel="0" collapsed="false">
      <c r="A25" s="3" t="s">
        <v>371</v>
      </c>
      <c r="B25" s="44" t="n">
        <f aca="false">STDEV($K$41:$K$540)</f>
        <v>3.7844601531687</v>
      </c>
    </row>
    <row r="26" customFormat="false" ht="15" hidden="false" customHeight="false" outlineLevel="0" collapsed="false">
      <c r="A26" s="3" t="s">
        <v>372</v>
      </c>
      <c r="B26" s="44" t="n">
        <f aca="false">PERCENTILE($K$41:$K$540,0.05)</f>
        <v>3.15573853020624</v>
      </c>
    </row>
    <row r="27" customFormat="false" ht="15" hidden="false" customHeight="false" outlineLevel="0" collapsed="false">
      <c r="A27" s="3" t="s">
        <v>373</v>
      </c>
      <c r="B27" s="44" t="n">
        <f aca="false">PERCENTILE($K$41:$K$540,0.25)</f>
        <v>5.2382987621299</v>
      </c>
    </row>
    <row r="28" customFormat="false" ht="15" hidden="false" customHeight="false" outlineLevel="0" collapsed="false">
      <c r="A28" s="3" t="s">
        <v>374</v>
      </c>
      <c r="B28" s="44" t="n">
        <f aca="false">PERCENTILE($K$41:$K$540,0.75)</f>
        <v>9.35919195215578</v>
      </c>
    </row>
    <row r="29" customFormat="false" ht="15" hidden="false" customHeight="false" outlineLevel="0" collapsed="false">
      <c r="A29" s="3" t="s">
        <v>375</v>
      </c>
      <c r="B29" s="44" t="n">
        <f aca="false">PERCENTILE($K$41:$K$540,0.95)</f>
        <v>15.7004712518044</v>
      </c>
    </row>
    <row r="30" customFormat="false" ht="15" hidden="false" customHeight="false" outlineLevel="0" collapsed="false">
      <c r="A30" s="9" t="s">
        <v>376</v>
      </c>
      <c r="B30" s="14" t="n">
        <f aca="false">COUNTIF($K$41:$K$540,"&gt;"&amp;B16)/500</f>
        <v>0.082</v>
      </c>
    </row>
    <row r="32" customFormat="false" ht="15" hidden="false" customHeight="false" outlineLevel="0" collapsed="false">
      <c r="A32" s="7" t="s">
        <v>377</v>
      </c>
    </row>
    <row r="33" customFormat="false" ht="15" hidden="false" customHeight="false" outlineLevel="0" collapsed="false">
      <c r="A33" s="12" t="s">
        <v>378</v>
      </c>
      <c r="B33" s="12" t="s">
        <v>57</v>
      </c>
      <c r="C33" s="12" t="s">
        <v>379</v>
      </c>
    </row>
    <row r="34" customFormat="false" ht="15" hidden="false" customHeight="false" outlineLevel="0" collapsed="false">
      <c r="A34" s="3" t="s">
        <v>53</v>
      </c>
      <c r="B34" s="22" t="n">
        <f aca="false">Assumptions!B8</f>
        <v>0.45</v>
      </c>
      <c r="C34" s="40" t="n">
        <f aca="false">($B$13*($B$18*(1+(Assumptions!B12+Assumptions!B13)/2)^9)/$B$19+Assumptions!$B$45*(($B$18*(1+(Assumptions!B12+Assumptions!B13)/2)^9)*(Assumptions!C17-Assumptions!C18)-Assumptions!$B$29*(1+Assumptions!B25)^9)/(1+$B$8)^9+$B$14)/$B$15</f>
        <v>7.40739405620316</v>
      </c>
    </row>
    <row r="35" customFormat="false" ht="15" hidden="false" customHeight="false" outlineLevel="0" collapsed="false">
      <c r="A35" s="3" t="s">
        <v>54</v>
      </c>
      <c r="B35" s="22" t="n">
        <f aca="false">Assumptions!C8</f>
        <v>0.25</v>
      </c>
      <c r="C35" s="40" t="n">
        <f aca="false">($B$13*($B$18*(1+(Assumptions!C12+Assumptions!C13)/2)^9)/$B$19+Assumptions!$B$45*(($B$18*(1+(Assumptions!C12+Assumptions!C13)/2)^9)*(Assumptions!D17-Assumptions!D18)-Assumptions!$B$29*(1+Assumptions!C25)^9)/(1+$B$8)^9+$B$14)/$B$15</f>
        <v>17.7670110876154</v>
      </c>
    </row>
    <row r="36" customFormat="false" ht="15" hidden="false" customHeight="false" outlineLevel="0" collapsed="false">
      <c r="A36" s="3" t="s">
        <v>55</v>
      </c>
      <c r="B36" s="22" t="n">
        <f aca="false">Assumptions!D8</f>
        <v>0.3</v>
      </c>
      <c r="C36" s="40" t="n">
        <f aca="false">($B$13*($B$18*(1+(Assumptions!D12+Assumptions!D13)/2)^9)/$B$19+Assumptions!$B$45*(($B$18*(1+(Assumptions!D12+Assumptions!D13)/2)^9)*(Assumptions!E17-Assumptions!E18)-Assumptions!$B$29*(1+Assumptions!D25)^9)/(1+$B$8)^9+$B$14)/$B$15</f>
        <v>2.09398190535311</v>
      </c>
    </row>
    <row r="37" customFormat="false" ht="15" hidden="false" customHeight="false" outlineLevel="0" collapsed="false">
      <c r="A37" s="9" t="s">
        <v>380</v>
      </c>
      <c r="C37" s="40" t="n">
        <f aca="false">SUMPRODUCT(B34:B36,C34:C36)</f>
        <v>8.40327466880121</v>
      </c>
    </row>
    <row r="38" customFormat="false" ht="15" hidden="false" customHeight="false" outlineLevel="0" collapsed="false">
      <c r="A38" s="15" t="s">
        <v>381</v>
      </c>
    </row>
    <row r="39" customFormat="false" ht="15" hidden="false" customHeight="false" outlineLevel="0" collapsed="false">
      <c r="A39" s="7" t="s">
        <v>382</v>
      </c>
    </row>
    <row r="40" customFormat="false" ht="15" hidden="false" customHeight="false" outlineLevel="0" collapsed="false">
      <c r="A40" s="12" t="s">
        <v>383</v>
      </c>
      <c r="B40" s="12" t="s">
        <v>384</v>
      </c>
      <c r="C40" s="12" t="s">
        <v>385</v>
      </c>
      <c r="D40" s="12" t="s">
        <v>11</v>
      </c>
      <c r="E40" s="12" t="s">
        <v>386</v>
      </c>
      <c r="F40" s="12" t="s">
        <v>387</v>
      </c>
      <c r="G40" s="12" t="s">
        <v>388</v>
      </c>
      <c r="H40" s="12" t="s">
        <v>389</v>
      </c>
      <c r="I40" s="12" t="s">
        <v>390</v>
      </c>
      <c r="J40" s="12" t="s">
        <v>391</v>
      </c>
      <c r="K40" s="12" t="s">
        <v>392</v>
      </c>
      <c r="N40" s="41" t="s">
        <v>393</v>
      </c>
      <c r="O40" s="41" t="s">
        <v>394</v>
      </c>
      <c r="P40" s="41" t="s">
        <v>395</v>
      </c>
      <c r="Q40" s="41" t="s">
        <v>396</v>
      </c>
    </row>
    <row r="41" customFormat="false" ht="15" hidden="false" customHeight="false" outlineLevel="0" collapsed="false">
      <c r="A41" s="55" t="n">
        <v>1</v>
      </c>
      <c r="B41" s="21" t="n">
        <f aca="true">NORMINV(RAND(),$B$6,$C$6)</f>
        <v>0.464661228761854</v>
      </c>
      <c r="C41" s="21" t="n">
        <f aca="true">MAX(0.05,NORMINV(RAND(),$B$7,$C$7))</f>
        <v>0.339509855901609</v>
      </c>
      <c r="D41" s="33" t="n">
        <f aca="true">MAX(0.08,NORMINV(RAND(),$B$8,$C$8))</f>
        <v>0.145108361728051</v>
      </c>
      <c r="E41" s="56" t="n">
        <f aca="true">MAX(5,NORMINV(RAND(),$B$9,$C$9))</f>
        <v>16.3200234962423</v>
      </c>
      <c r="F41" s="26" t="n">
        <f aca="false">$B$18*(1+(B41+$B$17)/2)^9</f>
        <v>2814.77254903199</v>
      </c>
      <c r="G41" s="26" t="n">
        <f aca="false">F41*(C41-Assumptions!$F$18)+$B$20</f>
        <v>538.303515557688</v>
      </c>
      <c r="H41" s="26" t="n">
        <f aca="false">E41*G41/(1+D41)^9</f>
        <v>2594.9483748706</v>
      </c>
      <c r="I41" s="26" t="n">
        <f aca="false">$B$13*F41/$B$19*((1+$B$8)/(1+D41))^4.5</f>
        <v>-1337.98355678616</v>
      </c>
      <c r="J41" s="26" t="n">
        <f aca="false">H41+I41+$B$14</f>
        <v>3022.14290027622</v>
      </c>
      <c r="K41" s="44" t="n">
        <f aca="false">J41/$B$15</f>
        <v>7.44370172481828</v>
      </c>
      <c r="N41" s="3" t="s">
        <v>397</v>
      </c>
      <c r="O41" s="55" t="n">
        <v>-5</v>
      </c>
      <c r="P41" s="55" t="n">
        <v>-2.5</v>
      </c>
      <c r="Q41" s="55" t="n">
        <f aca="false">COUNTIF($K$41:$K$540,"&lt;"&amp;P41)</f>
        <v>0</v>
      </c>
    </row>
    <row r="42" customFormat="false" ht="15" hidden="false" customHeight="false" outlineLevel="0" collapsed="false">
      <c r="A42" s="55" t="n">
        <v>2</v>
      </c>
      <c r="B42" s="21" t="n">
        <f aca="true">NORMINV(RAND(),$B$6,$C$6)</f>
        <v>0.370784899593942</v>
      </c>
      <c r="C42" s="21" t="n">
        <f aca="true">MAX(0.05,NORMINV(RAND(),$B$7,$C$7))</f>
        <v>0.242569359256377</v>
      </c>
      <c r="D42" s="33" t="n">
        <f aca="true">MAX(0.08,NORMINV(RAND(),$B$8,$C$8))</f>
        <v>0.151150348862999</v>
      </c>
      <c r="E42" s="56" t="n">
        <f aca="true">MAX(5,NORMINV(RAND(),$B$9,$C$9))</f>
        <v>8.01867186772757</v>
      </c>
      <c r="F42" s="26" t="n">
        <f aca="false">$B$18*(1+(B42+$B$17)/2)^9</f>
        <v>2050.6188446183</v>
      </c>
      <c r="G42" s="26" t="n">
        <f aca="false">F42*(C42-Assumptions!$F$18)+$B$20</f>
        <v>110.643940434693</v>
      </c>
      <c r="H42" s="26" t="n">
        <f aca="false">E42*G42/(1+D42)^9</f>
        <v>249.943375798119</v>
      </c>
      <c r="I42" s="26" t="n">
        <f aca="false">$B$13*F42/$B$19*((1+$B$8)/(1+D42))^4.5</f>
        <v>-951.936167658873</v>
      </c>
      <c r="J42" s="26" t="n">
        <f aca="false">H42+I42+$B$14</f>
        <v>1063.18529033103</v>
      </c>
      <c r="K42" s="44" t="n">
        <f aca="false">J42/$B$15</f>
        <v>2.6186829811109</v>
      </c>
      <c r="N42" s="3" t="s">
        <v>398</v>
      </c>
      <c r="O42" s="55" t="n">
        <v>-2.5</v>
      </c>
      <c r="P42" s="55" t="n">
        <v>0</v>
      </c>
      <c r="Q42" s="55" t="n">
        <f aca="false">COUNTIFS($K$41:$K$540,"&gt;="&amp;O42,$K$41:$K$540,"&lt;"&amp;P42)</f>
        <v>0</v>
      </c>
    </row>
    <row r="43" customFormat="false" ht="15" hidden="false" customHeight="false" outlineLevel="0" collapsed="false">
      <c r="A43" s="55" t="n">
        <v>3</v>
      </c>
      <c r="B43" s="21" t="n">
        <f aca="true">NORMINV(RAND(),$B$6,$C$6)</f>
        <v>0.47200580805196</v>
      </c>
      <c r="C43" s="21" t="n">
        <f aca="true">MAX(0.05,NORMINV(RAND(),$B$7,$C$7))</f>
        <v>0.231955636975591</v>
      </c>
      <c r="D43" s="33" t="n">
        <f aca="true">MAX(0.08,NORMINV(RAND(),$B$8,$C$8))</f>
        <v>0.134868248081851</v>
      </c>
      <c r="E43" s="56" t="n">
        <f aca="true">MAX(5,NORMINV(RAND(),$B$9,$C$9))</f>
        <v>14.2539973619862</v>
      </c>
      <c r="F43" s="26" t="n">
        <f aca="false">$B$18*(1+(B43+$B$17)/2)^9</f>
        <v>2884.05788011744</v>
      </c>
      <c r="G43" s="26" t="n">
        <f aca="false">F43*(C43-Assumptions!$F$18)+$B$20</f>
        <v>248.862562453728</v>
      </c>
      <c r="H43" s="26" t="n">
        <f aca="false">E43*G43/(1+D43)^9</f>
        <v>1136.02329039345</v>
      </c>
      <c r="I43" s="26" t="n">
        <f aca="false">$B$13*F43/$B$19*((1+$B$8)/(1+D43))^4.5</f>
        <v>-1427.46863434261</v>
      </c>
      <c r="J43" s="26" t="n">
        <f aca="false">H43+I43+$B$14</f>
        <v>1473.73273824262</v>
      </c>
      <c r="K43" s="44" t="n">
        <f aca="false">J43/$B$15</f>
        <v>3.62988359173059</v>
      </c>
      <c r="N43" s="3" t="s">
        <v>399</v>
      </c>
      <c r="O43" s="55" t="n">
        <v>0</v>
      </c>
      <c r="P43" s="55" t="n">
        <v>2.5</v>
      </c>
      <c r="Q43" s="55" t="n">
        <f aca="false">COUNTIFS($K$41:$K$540,"&gt;="&amp;O43,$K$41:$K$540,"&lt;"&amp;P43)</f>
        <v>10</v>
      </c>
    </row>
    <row r="44" customFormat="false" ht="15" hidden="false" customHeight="false" outlineLevel="0" collapsed="false">
      <c r="A44" s="55" t="n">
        <v>4</v>
      </c>
      <c r="B44" s="21" t="n">
        <f aca="true">NORMINV(RAND(),$B$6,$C$6)</f>
        <v>0.581100988200125</v>
      </c>
      <c r="C44" s="21" t="n">
        <f aca="true">MAX(0.05,NORMINV(RAND(),$B$7,$C$7))</f>
        <v>0.295767705184245</v>
      </c>
      <c r="D44" s="33" t="n">
        <f aca="true">MAX(0.08,NORMINV(RAND(),$B$8,$C$8))</f>
        <v>0.140111585855638</v>
      </c>
      <c r="E44" s="56" t="n">
        <f aca="true">MAX(5,NORMINV(RAND(),$B$9,$C$9))</f>
        <v>15.3878978899837</v>
      </c>
      <c r="F44" s="26" t="n">
        <f aca="false">$B$18*(1+(B44+$B$17)/2)^9</f>
        <v>4107.71965781576</v>
      </c>
      <c r="G44" s="26" t="n">
        <f aca="false">F44*(C44-Assumptions!$F$18)+$B$20</f>
        <v>745.873425421061</v>
      </c>
      <c r="H44" s="26" t="n">
        <f aca="false">E44*G44/(1+D44)^9</f>
        <v>3526.29140596268</v>
      </c>
      <c r="I44" s="26" t="n">
        <f aca="false">$B$13*F44/$B$19*((1+$B$8)/(1+D44))^4.5</f>
        <v>-1991.38296111238</v>
      </c>
      <c r="J44" s="26" t="n">
        <f aca="false">H44+I44+$B$14</f>
        <v>3300.08652704209</v>
      </c>
      <c r="K44" s="44" t="n">
        <f aca="false">J44/$B$15</f>
        <v>8.12829193852731</v>
      </c>
      <c r="N44" s="3" t="s">
        <v>400</v>
      </c>
      <c r="O44" s="55" t="n">
        <v>2.5</v>
      </c>
      <c r="P44" s="55" t="n">
        <v>5</v>
      </c>
      <c r="Q44" s="55" t="n">
        <f aca="false">COUNTIFS($K$41:$K$540,"&gt;="&amp;O44,$K$41:$K$540,"&lt;"&amp;P44)</f>
        <v>100</v>
      </c>
    </row>
    <row r="45" customFormat="false" ht="15" hidden="false" customHeight="false" outlineLevel="0" collapsed="false">
      <c r="A45" s="55" t="n">
        <v>5</v>
      </c>
      <c r="B45" s="21" t="n">
        <f aca="true">NORMINV(RAND(),$B$6,$C$6)</f>
        <v>0.526783632342757</v>
      </c>
      <c r="C45" s="21" t="n">
        <f aca="true">MAX(0.05,NORMINV(RAND(),$B$7,$C$7))</f>
        <v>0.363578074266038</v>
      </c>
      <c r="D45" s="33" t="n">
        <f aca="true">MAX(0.08,NORMINV(RAND(),$B$8,$C$8))</f>
        <v>0.141619824380419</v>
      </c>
      <c r="E45" s="56" t="n">
        <f aca="true">MAX(5,NORMINV(RAND(),$B$9,$C$9))</f>
        <v>21.2169271794785</v>
      </c>
      <c r="F45" s="26" t="n">
        <f aca="false">$B$18*(1+(B45+$B$17)/2)^9</f>
        <v>3450.49109371762</v>
      </c>
      <c r="G45" s="26" t="n">
        <f aca="false">F45*(C45-Assumptions!$F$18)+$B$20</f>
        <v>811.754658378572</v>
      </c>
      <c r="H45" s="26" t="n">
        <f aca="false">E45*G45/(1+D45)^9</f>
        <v>5228.9412171185</v>
      </c>
      <c r="I45" s="26" t="n">
        <f aca="false">$B$13*F45/$B$19*((1+$B$8)/(1+D45))^4.5</f>
        <v>-1662.84304734737</v>
      </c>
      <c r="J45" s="26" t="n">
        <f aca="false">H45+I45+$B$14</f>
        <v>5331.2762519629</v>
      </c>
      <c r="K45" s="44" t="n">
        <f aca="false">J45/$B$15</f>
        <v>13.1312222954751</v>
      </c>
      <c r="N45" s="3" t="s">
        <v>401</v>
      </c>
      <c r="O45" s="55" t="n">
        <v>5</v>
      </c>
      <c r="P45" s="55" t="n">
        <v>7.5</v>
      </c>
      <c r="Q45" s="55" t="n">
        <f aca="false">COUNTIFS($K$41:$K$540,"&gt;="&amp;O45,$K$41:$K$540,"&lt;"&amp;P45)</f>
        <v>169</v>
      </c>
    </row>
    <row r="46" customFormat="false" ht="15" hidden="false" customHeight="false" outlineLevel="0" collapsed="false">
      <c r="A46" s="55" t="n">
        <v>6</v>
      </c>
      <c r="B46" s="21" t="n">
        <f aca="true">NORMINV(RAND(),$B$6,$C$6)</f>
        <v>0.69058308779611</v>
      </c>
      <c r="C46" s="21" t="n">
        <f aca="true">MAX(0.05,NORMINV(RAND(),$B$7,$C$7))</f>
        <v>0.30164886775103</v>
      </c>
      <c r="D46" s="33" t="n">
        <f aca="true">MAX(0.08,NORMINV(RAND(),$B$8,$C$8))</f>
        <v>0.160510564495793</v>
      </c>
      <c r="E46" s="56" t="n">
        <f aca="true">MAX(5,NORMINV(RAND(),$B$9,$C$9))</f>
        <v>11.1406555406567</v>
      </c>
      <c r="F46" s="26" t="n">
        <f aca="false">$B$18*(1+(B46+$B$17)/2)^9</f>
        <v>5779.67795892636</v>
      </c>
      <c r="G46" s="26" t="n">
        <f aca="false">F46*(C46-Assumptions!$F$18)+$B$20</f>
        <v>1207.49758891998</v>
      </c>
      <c r="H46" s="26" t="n">
        <f aca="false">E46*G46/(1+D46)^9</f>
        <v>3523.34470027368</v>
      </c>
      <c r="I46" s="26" t="n">
        <f aca="false">$B$13*F46/$B$19*((1+$B$8)/(1+D46))^4.5</f>
        <v>-2587.02010565548</v>
      </c>
      <c r="J46" s="26" t="n">
        <f aca="false">H46+I46+$B$14</f>
        <v>2701.50267680998</v>
      </c>
      <c r="K46" s="44" t="n">
        <f aca="false">J46/$B$15</f>
        <v>6.65394747982754</v>
      </c>
      <c r="N46" s="3" t="s">
        <v>402</v>
      </c>
      <c r="O46" s="55" t="n">
        <v>7.5</v>
      </c>
      <c r="P46" s="55" t="n">
        <v>10</v>
      </c>
      <c r="Q46" s="55" t="n">
        <f aca="false">COUNTIFS($K$41:$K$540,"&gt;="&amp;O46,$K$41:$K$540,"&lt;"&amp;P46)</f>
        <v>115</v>
      </c>
    </row>
    <row r="47" customFormat="false" ht="15" hidden="false" customHeight="false" outlineLevel="0" collapsed="false">
      <c r="A47" s="55" t="n">
        <v>7</v>
      </c>
      <c r="B47" s="21" t="n">
        <f aca="true">NORMINV(RAND(),$B$6,$C$6)</f>
        <v>0.545425187685635</v>
      </c>
      <c r="C47" s="21" t="n">
        <f aca="true">MAX(0.05,NORMINV(RAND(),$B$7,$C$7))</f>
        <v>0.279416186148056</v>
      </c>
      <c r="D47" s="33" t="n">
        <f aca="true">MAX(0.08,NORMINV(RAND(),$B$8,$C$8))</f>
        <v>0.162361050154128</v>
      </c>
      <c r="E47" s="56" t="n">
        <f aca="true">MAX(5,NORMINV(RAND(),$B$9,$C$9))</f>
        <v>13.6947098146376</v>
      </c>
      <c r="F47" s="26" t="n">
        <f aca="false">$B$18*(1+(B47+$B$17)/2)^9</f>
        <v>3664.65765524142</v>
      </c>
      <c r="G47" s="26" t="n">
        <f aca="false">F47*(C47-Assumptions!$F$18)+$B$20</f>
        <v>572.629754357486</v>
      </c>
      <c r="H47" s="26" t="n">
        <f aca="false">E47*G47/(1+D47)^9</f>
        <v>2024.6842611844</v>
      </c>
      <c r="I47" s="26" t="n">
        <f aca="false">$B$13*F47/$B$19*((1+$B$8)/(1+D47))^4.5</f>
        <v>-1628.60512485146</v>
      </c>
      <c r="J47" s="26" t="n">
        <f aca="false">H47+I47+$B$14</f>
        <v>2161.25721852472</v>
      </c>
      <c r="K47" s="44" t="n">
        <f aca="false">J47/$B$15</f>
        <v>5.3232936416865</v>
      </c>
      <c r="N47" s="3" t="s">
        <v>403</v>
      </c>
      <c r="O47" s="55" t="n">
        <v>10</v>
      </c>
      <c r="P47" s="55" t="n">
        <v>12.5</v>
      </c>
      <c r="Q47" s="55" t="n">
        <f aca="false">COUNTIFS($K$41:$K$540,"&gt;="&amp;O47,$K$41:$K$540,"&lt;"&amp;P47)</f>
        <v>53</v>
      </c>
    </row>
    <row r="48" customFormat="false" ht="15" hidden="false" customHeight="false" outlineLevel="0" collapsed="false">
      <c r="A48" s="55" t="n">
        <v>8</v>
      </c>
      <c r="B48" s="21" t="n">
        <f aca="true">NORMINV(RAND(),$B$6,$C$6)</f>
        <v>0.507727590447632</v>
      </c>
      <c r="C48" s="21" t="n">
        <f aca="true">MAX(0.05,NORMINV(RAND(),$B$7,$C$7))</f>
        <v>0.26674501413314</v>
      </c>
      <c r="D48" s="33" t="n">
        <f aca="true">MAX(0.08,NORMINV(RAND(),$B$8,$C$8))</f>
        <v>0.146900782845869</v>
      </c>
      <c r="E48" s="56" t="n">
        <f aca="true">MAX(5,NORMINV(RAND(),$B$9,$C$9))</f>
        <v>18.0136046583364</v>
      </c>
      <c r="F48" s="26" t="n">
        <f aca="false">$B$18*(1+(B48+$B$17)/2)^9</f>
        <v>3243.13346453532</v>
      </c>
      <c r="G48" s="26" t="n">
        <f aca="false">F48*(C48-Assumptions!$F$18)+$B$20</f>
        <v>430.615738253032</v>
      </c>
      <c r="H48" s="26" t="n">
        <f aca="false">E48*G48/(1+D48)^9</f>
        <v>2259.21666537585</v>
      </c>
      <c r="I48" s="26" t="n">
        <f aca="false">$B$13*F48/$B$19*((1+$B$8)/(1+D48))^4.5</f>
        <v>-1530.78996399717</v>
      </c>
      <c r="J48" s="26" t="n">
        <f aca="false">H48+I48+$B$14</f>
        <v>2493.60478357046</v>
      </c>
      <c r="K48" s="44" t="n">
        <f aca="false">J48/$B$15</f>
        <v>6.14188370337551</v>
      </c>
      <c r="N48" s="3" t="s">
        <v>404</v>
      </c>
      <c r="O48" s="55" t="n">
        <v>12.5</v>
      </c>
      <c r="P48" s="55" t="n">
        <v>15</v>
      </c>
      <c r="Q48" s="55" t="n">
        <f aca="false">COUNTIFS($K$41:$K$540,"&gt;="&amp;O48,$K$41:$K$540,"&lt;"&amp;P48)</f>
        <v>24</v>
      </c>
    </row>
    <row r="49" customFormat="false" ht="15" hidden="false" customHeight="false" outlineLevel="0" collapsed="false">
      <c r="A49" s="55" t="n">
        <v>9</v>
      </c>
      <c r="B49" s="21" t="n">
        <f aca="true">NORMINV(RAND(),$B$6,$C$6)</f>
        <v>0.337471219050561</v>
      </c>
      <c r="C49" s="21" t="n">
        <f aca="true">MAX(0.05,NORMINV(RAND(),$B$7,$C$7))</f>
        <v>0.337883955855817</v>
      </c>
      <c r="D49" s="33" t="n">
        <f aca="true">MAX(0.08,NORMINV(RAND(),$B$8,$C$8))</f>
        <v>0.140512076531097</v>
      </c>
      <c r="E49" s="56" t="n">
        <f aca="true">MAX(5,NORMINV(RAND(),$B$9,$C$9))</f>
        <v>18.2431789250537</v>
      </c>
      <c r="F49" s="26" t="n">
        <f aca="false">$B$18*(1+(B49+$B$17)/2)^9</f>
        <v>1827.60481624041</v>
      </c>
      <c r="G49" s="26" t="n">
        <f aca="false">F49*(C49-Assumptions!$F$18)+$B$20</f>
        <v>239.665547404146</v>
      </c>
      <c r="H49" s="26" t="n">
        <f aca="false">E49*G49/(1+D49)^9</f>
        <v>1339.08187229699</v>
      </c>
      <c r="I49" s="26" t="n">
        <f aca="false">$B$13*F49/$B$19*((1+$B$8)/(1+D49))^4.5</f>
        <v>-884.606044960877</v>
      </c>
      <c r="J49" s="26" t="n">
        <f aca="false">H49+I49+$B$14</f>
        <v>2219.6539095279</v>
      </c>
      <c r="K49" s="44" t="n">
        <f aca="false">J49/$B$15</f>
        <v>5.46712785598004</v>
      </c>
      <c r="N49" s="3" t="s">
        <v>405</v>
      </c>
      <c r="O49" s="55" t="n">
        <v>15</v>
      </c>
      <c r="P49" s="55" t="n">
        <v>17.5</v>
      </c>
      <c r="Q49" s="55" t="n">
        <f aca="false">COUNTIFS($K$41:$K$540,"&gt;="&amp;O49,$K$41:$K$540,"&lt;"&amp;P49)</f>
        <v>15</v>
      </c>
    </row>
    <row r="50" customFormat="false" ht="15" hidden="false" customHeight="false" outlineLevel="0" collapsed="false">
      <c r="A50" s="55" t="n">
        <v>10</v>
      </c>
      <c r="B50" s="21" t="n">
        <f aca="true">NORMINV(RAND(),$B$6,$C$6)</f>
        <v>0.417861761406985</v>
      </c>
      <c r="C50" s="21" t="n">
        <f aca="true">MAX(0.05,NORMINV(RAND(),$B$7,$C$7))</f>
        <v>0.237145231092791</v>
      </c>
      <c r="D50" s="33" t="n">
        <f aca="true">MAX(0.08,NORMINV(RAND(),$B$8,$C$8))</f>
        <v>0.141072328162891</v>
      </c>
      <c r="E50" s="56" t="n">
        <f aca="true">MAX(5,NORMINV(RAND(),$B$9,$C$9))</f>
        <v>13.610016720431</v>
      </c>
      <c r="F50" s="26" t="n">
        <f aca="false">$B$18*(1+(B50+$B$17)/2)^9</f>
        <v>2406.9797966326</v>
      </c>
      <c r="G50" s="26" t="n">
        <f aca="false">F50*(C50-Assumptions!$F$18)+$B$20</f>
        <v>169.775983244123</v>
      </c>
      <c r="H50" s="26" t="n">
        <f aca="false">E50*G50/(1+D50)^9</f>
        <v>704.557352227066</v>
      </c>
      <c r="I50" s="26" t="n">
        <f aca="false">$B$13*F50/$B$19*((1+$B$8)/(1+D50))^4.5</f>
        <v>-1162.46602852684</v>
      </c>
      <c r="J50" s="26" t="n">
        <f aca="false">H50+I50+$B$14</f>
        <v>1307.26940589201</v>
      </c>
      <c r="K50" s="44" t="n">
        <f aca="false">J50/$B$15</f>
        <v>3.21987538397047</v>
      </c>
      <c r="N50" s="3" t="s">
        <v>406</v>
      </c>
      <c r="O50" s="55" t="n">
        <v>17.5</v>
      </c>
      <c r="P50" s="55" t="n">
        <v>20</v>
      </c>
      <c r="Q50" s="55" t="n">
        <f aca="false">COUNTIFS($K$41:$K$540,"&gt;="&amp;O50,$K$41:$K$540,"&lt;"&amp;P50)</f>
        <v>8</v>
      </c>
    </row>
    <row r="51" customFormat="false" ht="15" hidden="false" customHeight="false" outlineLevel="0" collapsed="false">
      <c r="A51" s="55" t="n">
        <v>11</v>
      </c>
      <c r="B51" s="21" t="n">
        <f aca="true">NORMINV(RAND(),$B$6,$C$6)</f>
        <v>0.374374371518757</v>
      </c>
      <c r="C51" s="21" t="n">
        <f aca="true">MAX(0.05,NORMINV(RAND(),$B$7,$C$7))</f>
        <v>0.215012371667057</v>
      </c>
      <c r="D51" s="33" t="n">
        <f aca="true">MAX(0.08,NORMINV(RAND(),$B$8,$C$8))</f>
        <v>0.133939519857289</v>
      </c>
      <c r="E51" s="56" t="n">
        <f aca="true">MAX(5,NORMINV(RAND(),$B$9,$C$9))</f>
        <v>13.4208012067905</v>
      </c>
      <c r="F51" s="26" t="n">
        <f aca="false">$B$18*(1+(B51+$B$17)/2)^9</f>
        <v>2076.0348321791</v>
      </c>
      <c r="G51" s="26" t="n">
        <f aca="false">F51*(C51-Assumptions!$F$18)+$B$20</f>
        <v>58.5831746443958</v>
      </c>
      <c r="H51" s="26" t="n">
        <f aca="false">E51*G51/(1+D51)^9</f>
        <v>253.65435460456</v>
      </c>
      <c r="I51" s="26" t="n">
        <f aca="false">$B$13*F51/$B$19*((1+$B$8)/(1+D51))^4.5</f>
        <v>-1031.32900069177</v>
      </c>
      <c r="J51" s="26" t="n">
        <f aca="false">H51+I51+$B$14</f>
        <v>987.50343610457</v>
      </c>
      <c r="K51" s="44" t="n">
        <f aca="false">J51/$B$15</f>
        <v>2.43227447316397</v>
      </c>
      <c r="N51" s="3" t="s">
        <v>407</v>
      </c>
      <c r="O51" s="55" t="n">
        <v>20</v>
      </c>
      <c r="P51" s="55" t="n">
        <v>22.5</v>
      </c>
      <c r="Q51" s="55" t="n">
        <f aca="false">COUNTIFS($K$41:$K$540,"&gt;="&amp;O51,$K$41:$K$540,"&lt;"&amp;P51)</f>
        <v>6</v>
      </c>
    </row>
    <row r="52" customFormat="false" ht="15" hidden="false" customHeight="false" outlineLevel="0" collapsed="false">
      <c r="A52" s="55" t="n">
        <v>12</v>
      </c>
      <c r="B52" s="21" t="n">
        <f aca="true">NORMINV(RAND(),$B$6,$C$6)</f>
        <v>0.600764648854947</v>
      </c>
      <c r="C52" s="21" t="n">
        <f aca="true">MAX(0.05,NORMINV(RAND(),$B$7,$C$7))</f>
        <v>0.2848576280863</v>
      </c>
      <c r="D52" s="33" t="n">
        <f aca="true">MAX(0.08,NORMINV(RAND(),$B$8,$C$8))</f>
        <v>0.133264308062821</v>
      </c>
      <c r="E52" s="56" t="n">
        <f aca="true">MAX(5,NORMINV(RAND(),$B$9,$C$9))</f>
        <v>21.6037437274312</v>
      </c>
      <c r="F52" s="26" t="n">
        <f aca="false">$B$18*(1+(B52+$B$17)/2)^9</f>
        <v>4371.74504028595</v>
      </c>
      <c r="G52" s="26" t="n">
        <f aca="false">F52*(C52-Assumptions!$F$18)+$B$20</f>
        <v>765.706516163772</v>
      </c>
      <c r="H52" s="26" t="n">
        <f aca="false">E52*G52/(1+D52)^9</f>
        <v>5365.50323613224</v>
      </c>
      <c r="I52" s="26" t="n">
        <f aca="false">$B$13*F52/$B$19*((1+$B$8)/(1+D52))^4.5</f>
        <v>-2177.61692195136</v>
      </c>
      <c r="J52" s="26" t="n">
        <f aca="false">H52+I52+$B$14</f>
        <v>4953.06439637265</v>
      </c>
      <c r="K52" s="44" t="n">
        <f aca="false">J52/$B$15</f>
        <v>12.1996660009179</v>
      </c>
      <c r="N52" s="3" t="s">
        <v>408</v>
      </c>
      <c r="O52" s="55" t="n">
        <v>22.5</v>
      </c>
      <c r="P52" s="55" t="n">
        <v>25</v>
      </c>
      <c r="Q52" s="55" t="n">
        <f aca="false">COUNTIFS($K$41:$K$540,"&gt;="&amp;O52,$K$41:$K$540,"&lt;"&amp;P52)</f>
        <v>0</v>
      </c>
    </row>
    <row r="53" customFormat="false" ht="15" hidden="false" customHeight="false" outlineLevel="0" collapsed="false">
      <c r="A53" s="55" t="n">
        <v>13</v>
      </c>
      <c r="B53" s="21" t="n">
        <f aca="true">NORMINV(RAND(),$B$6,$C$6)</f>
        <v>0.557730046483257</v>
      </c>
      <c r="C53" s="21" t="n">
        <f aca="true">MAX(0.05,NORMINV(RAND(),$B$7,$C$7))</f>
        <v>0.294040298450251</v>
      </c>
      <c r="D53" s="33" t="n">
        <f aca="true">MAX(0.08,NORMINV(RAND(),$B$8,$C$8))</f>
        <v>0.152253069986422</v>
      </c>
      <c r="E53" s="56" t="n">
        <f aca="true">MAX(5,NORMINV(RAND(),$B$9,$C$9))</f>
        <v>16.9682771412422</v>
      </c>
      <c r="F53" s="26" t="n">
        <f aca="false">$B$18*(1+(B53+$B$17)/2)^9</f>
        <v>3812.41956923421</v>
      </c>
      <c r="G53" s="26" t="n">
        <f aca="false">F53*(C53-Assumptions!$F$18)+$B$20</f>
        <v>663.759600187148</v>
      </c>
      <c r="H53" s="26" t="n">
        <f aca="false">E53*G53/(1+D53)^9</f>
        <v>3145.70287462268</v>
      </c>
      <c r="I53" s="26" t="n">
        <f aca="false">$B$13*F53/$B$19*((1+$B$8)/(1+D53))^4.5</f>
        <v>-1762.18850356757</v>
      </c>
      <c r="J53" s="26" t="n">
        <f aca="false">H53+I53+$B$14</f>
        <v>3148.69245324689</v>
      </c>
      <c r="K53" s="44" t="n">
        <f aca="false">J53/$B$15</f>
        <v>7.75540013114997</v>
      </c>
      <c r="N53" s="3" t="s">
        <v>409</v>
      </c>
      <c r="O53" s="55" t="n">
        <v>25</v>
      </c>
      <c r="P53" s="55" t="n">
        <v>27.5</v>
      </c>
      <c r="Q53" s="55" t="n">
        <f aca="false">COUNTIFS($K$41:$K$540,"&gt;="&amp;O53,$K$41:$K$540,"&lt;"&amp;P53)</f>
        <v>0</v>
      </c>
    </row>
    <row r="54" customFormat="false" ht="15" hidden="false" customHeight="false" outlineLevel="0" collapsed="false">
      <c r="A54" s="55" t="n">
        <v>14</v>
      </c>
      <c r="B54" s="21" t="n">
        <f aca="true">NORMINV(RAND(),$B$6,$C$6)</f>
        <v>0.507913688965364</v>
      </c>
      <c r="C54" s="21" t="n">
        <f aca="true">MAX(0.05,NORMINV(RAND(),$B$7,$C$7))</f>
        <v>0.344447243780551</v>
      </c>
      <c r="D54" s="33" t="n">
        <f aca="true">MAX(0.08,NORMINV(RAND(),$B$8,$C$8))</f>
        <v>0.129897325876742</v>
      </c>
      <c r="E54" s="56" t="n">
        <f aca="true">MAX(5,NORMINV(RAND(),$B$9,$C$9))</f>
        <v>13.40514832151</v>
      </c>
      <c r="F54" s="26" t="n">
        <f aca="false">$B$18*(1+(B54+$B$17)/2)^9</f>
        <v>3245.10369083819</v>
      </c>
      <c r="G54" s="26" t="n">
        <f aca="false">F54*(C54-Assumptions!$F$18)+$B$20</f>
        <v>683.214269459091</v>
      </c>
      <c r="H54" s="26" t="n">
        <f aca="false">E54*G54/(1+D54)^9</f>
        <v>3051.24952451353</v>
      </c>
      <c r="I54" s="26" t="n">
        <f aca="false">$B$13*F54/$B$19*((1+$B$8)/(1+D54))^4.5</f>
        <v>-1638.2126336055</v>
      </c>
      <c r="J54" s="26" t="n">
        <f aca="false">H54+I54+$B$14</f>
        <v>3178.21497309981</v>
      </c>
      <c r="K54" s="44" t="n">
        <f aca="false">J54/$B$15</f>
        <v>7.82811569729016</v>
      </c>
      <c r="N54" s="3" t="s">
        <v>410</v>
      </c>
      <c r="O54" s="55" t="n">
        <v>27.5</v>
      </c>
      <c r="P54" s="55" t="n">
        <v>30</v>
      </c>
      <c r="Q54" s="55" t="n">
        <f aca="false">COUNTIFS($K$41:$K$540,"&gt;="&amp;O54,$K$41:$K$540,"&lt;"&amp;P54)</f>
        <v>0</v>
      </c>
    </row>
    <row r="55" customFormat="false" ht="15" hidden="false" customHeight="false" outlineLevel="0" collapsed="false">
      <c r="A55" s="55" t="n">
        <v>15</v>
      </c>
      <c r="B55" s="21" t="n">
        <f aca="true">NORMINV(RAND(),$B$6,$C$6)</f>
        <v>0.462833888332755</v>
      </c>
      <c r="C55" s="21" t="n">
        <f aca="true">MAX(0.05,NORMINV(RAND(),$B$7,$C$7))</f>
        <v>0.194229269962135</v>
      </c>
      <c r="D55" s="33" t="n">
        <f aca="true">MAX(0.08,NORMINV(RAND(),$B$8,$C$8))</f>
        <v>0.127778309175381</v>
      </c>
      <c r="E55" s="56" t="n">
        <f aca="true">MAX(5,NORMINV(RAND(),$B$9,$C$9))</f>
        <v>19.9052536606587</v>
      </c>
      <c r="F55" s="26" t="n">
        <f aca="false">$B$18*(1+(B55+$B$17)/2)^9</f>
        <v>2797.7658297999</v>
      </c>
      <c r="G55" s="26" t="n">
        <f aca="false">F55*(C55-Assumptions!$F$18)+$B$20</f>
        <v>126.748776456356</v>
      </c>
      <c r="H55" s="26" t="n">
        <f aca="false">E55*G55/(1+D55)^9</f>
        <v>854.86562691548</v>
      </c>
      <c r="I55" s="26" t="n">
        <f aca="false">$B$13*F55/$B$19*((1+$B$8)/(1+D55))^4.5</f>
        <v>-1424.36616661699</v>
      </c>
      <c r="J55" s="26" t="n">
        <f aca="false">H55+I55+$B$14</f>
        <v>1195.67754249027</v>
      </c>
      <c r="K55" s="44" t="n">
        <f aca="false">J55/$B$15</f>
        <v>2.94501857756224</v>
      </c>
      <c r="N55" s="3" t="s">
        <v>411</v>
      </c>
      <c r="O55" s="55" t="n">
        <v>30</v>
      </c>
      <c r="P55" s="55" t="n">
        <v>32.5</v>
      </c>
      <c r="Q55" s="55" t="n">
        <f aca="false">COUNTIFS($K$41:$K$540,"&gt;="&amp;O55,$K$41:$K$540,"&lt;"&amp;P55)</f>
        <v>0</v>
      </c>
    </row>
    <row r="56" customFormat="false" ht="15" hidden="false" customHeight="false" outlineLevel="0" collapsed="false">
      <c r="A56" s="55" t="n">
        <v>16</v>
      </c>
      <c r="B56" s="21" t="n">
        <f aca="true">NORMINV(RAND(),$B$6,$C$6)</f>
        <v>0.608359266964128</v>
      </c>
      <c r="C56" s="21" t="n">
        <f aca="true">MAX(0.05,NORMINV(RAND(),$B$7,$C$7))</f>
        <v>0.268288914111348</v>
      </c>
      <c r="D56" s="33" t="n">
        <f aca="true">MAX(0.08,NORMINV(RAND(),$B$8,$C$8))</f>
        <v>0.154999231063988</v>
      </c>
      <c r="E56" s="56" t="n">
        <f aca="true">MAX(5,NORMINV(RAND(),$B$9,$C$9))</f>
        <v>15.0594344448427</v>
      </c>
      <c r="F56" s="26" t="n">
        <f aca="false">$B$18*(1+(B56+$B$17)/2)^9</f>
        <v>4477.68845259951</v>
      </c>
      <c r="G56" s="26" t="n">
        <f aca="false">F56*(C56-Assumptions!$F$18)+$B$20</f>
        <v>717.458029574176</v>
      </c>
      <c r="H56" s="26" t="n">
        <f aca="false">E56*G56/(1+D56)^9</f>
        <v>2953.72396636892</v>
      </c>
      <c r="I56" s="26" t="n">
        <f aca="false">$B$13*F56/$B$19*((1+$B$8)/(1+D56))^4.5</f>
        <v>-2047.63880431681</v>
      </c>
      <c r="J56" s="26" t="n">
        <f aca="false">H56+I56+$B$14</f>
        <v>2671.26324424389</v>
      </c>
      <c r="K56" s="44" t="n">
        <f aca="false">J56/$B$15</f>
        <v>6.57946611882732</v>
      </c>
      <c r="N56" s="3" t="s">
        <v>412</v>
      </c>
      <c r="O56" s="55" t="n">
        <v>32.5</v>
      </c>
      <c r="P56" s="55" t="n">
        <v>35</v>
      </c>
      <c r="Q56" s="55" t="n">
        <f aca="false">COUNTIFS($K$41:$K$540,"&gt;="&amp;O56,$K$41:$K$540,"&lt;"&amp;P56)</f>
        <v>0</v>
      </c>
    </row>
    <row r="57" customFormat="false" ht="15" hidden="false" customHeight="false" outlineLevel="0" collapsed="false">
      <c r="A57" s="55" t="n">
        <v>17</v>
      </c>
      <c r="B57" s="21" t="n">
        <f aca="true">NORMINV(RAND(),$B$6,$C$6)</f>
        <v>0.498063167159343</v>
      </c>
      <c r="C57" s="21" t="n">
        <f aca="true">MAX(0.05,NORMINV(RAND(),$B$7,$C$7))</f>
        <v>0.326805068977191</v>
      </c>
      <c r="D57" s="33" t="n">
        <f aca="true">MAX(0.08,NORMINV(RAND(),$B$8,$C$8))</f>
        <v>0.129678481827216</v>
      </c>
      <c r="E57" s="56" t="n">
        <f aca="true">MAX(5,NORMINV(RAND(),$B$9,$C$9))</f>
        <v>12.9718295954656</v>
      </c>
      <c r="F57" s="26" t="n">
        <f aca="false">$B$18*(1+(B57+$B$17)/2)^9</f>
        <v>3142.26599174223</v>
      </c>
      <c r="G57" s="26" t="n">
        <f aca="false">F57*(C57-Assumptions!$F$18)+$B$20</f>
        <v>596.469209507622</v>
      </c>
      <c r="H57" s="26" t="n">
        <f aca="false">E57*G57/(1+D57)^9</f>
        <v>2582.23377528977</v>
      </c>
      <c r="I57" s="26" t="n">
        <f aca="false">$B$13*F57/$B$19*((1+$B$8)/(1+D57))^4.5</f>
        <v>-1587.68081706275</v>
      </c>
      <c r="J57" s="26" t="n">
        <f aca="false">H57+I57+$B$14</f>
        <v>2759.7310404188</v>
      </c>
      <c r="K57" s="44" t="n">
        <f aca="false">J57/$B$15</f>
        <v>6.79736709462759</v>
      </c>
      <c r="N57" s="3" t="s">
        <v>413</v>
      </c>
      <c r="O57" s="55" t="n">
        <v>35</v>
      </c>
      <c r="P57" s="55" t="n">
        <v>37.5</v>
      </c>
      <c r="Q57" s="55" t="n">
        <f aca="false">COUNTIFS($K$41:$K$540,"&gt;="&amp;O57,$K$41:$K$540,"&lt;"&amp;P57)</f>
        <v>0</v>
      </c>
    </row>
    <row r="58" customFormat="false" ht="15" hidden="false" customHeight="false" outlineLevel="0" collapsed="false">
      <c r="A58" s="55" t="n">
        <v>18</v>
      </c>
      <c r="B58" s="21" t="n">
        <f aca="true">NORMINV(RAND(),$B$6,$C$6)</f>
        <v>0.61611341817688</v>
      </c>
      <c r="C58" s="21" t="n">
        <f aca="true">MAX(0.05,NORMINV(RAND(),$B$7,$C$7))</f>
        <v>0.289665641195647</v>
      </c>
      <c r="D58" s="33" t="n">
        <f aca="true">MAX(0.08,NORMINV(RAND(),$B$8,$C$8))</f>
        <v>0.144967167229838</v>
      </c>
      <c r="E58" s="56" t="n">
        <f aca="true">MAX(5,NORMINV(RAND(),$B$9,$C$9))</f>
        <v>16.9623746325755</v>
      </c>
      <c r="F58" s="26" t="n">
        <f aca="false">$B$18*(1+(B58+$B$17)/2)^9</f>
        <v>4588.20586065169</v>
      </c>
      <c r="G58" s="26" t="n">
        <f aca="false">F58*(C58-Assumptions!$F$18)+$B$20</f>
        <v>840.768753138543</v>
      </c>
      <c r="H58" s="26" t="n">
        <f aca="false">E58*G58/(1+D58)^9</f>
        <v>4217.21667912055</v>
      </c>
      <c r="I58" s="26" t="n">
        <f aca="false">$B$13*F58/$B$19*((1+$B$8)/(1+D58))^4.5</f>
        <v>-2182.18392488555</v>
      </c>
      <c r="J58" s="26" t="n">
        <f aca="false">H58+I58+$B$14</f>
        <v>3800.21083642678</v>
      </c>
      <c r="K58" s="44" t="n">
        <f aca="false">J58/$B$15</f>
        <v>9.36012521287385</v>
      </c>
      <c r="N58" s="3" t="s">
        <v>414</v>
      </c>
      <c r="O58" s="55" t="n">
        <v>37.5</v>
      </c>
      <c r="P58" s="55" t="n">
        <v>40</v>
      </c>
      <c r="Q58" s="55" t="n">
        <f aca="false">COUNTIFS($K$41:$K$540,"&gt;="&amp;O58,$K$41:$K$540,"&lt;"&amp;P58)</f>
        <v>0</v>
      </c>
    </row>
    <row r="59" customFormat="false" ht="15" hidden="false" customHeight="false" outlineLevel="0" collapsed="false">
      <c r="A59" s="55" t="n">
        <v>19</v>
      </c>
      <c r="B59" s="21" t="n">
        <f aca="true">NORMINV(RAND(),$B$6,$C$6)</f>
        <v>0.495754658502751</v>
      </c>
      <c r="C59" s="21" t="n">
        <f aca="true">MAX(0.05,NORMINV(RAND(),$B$7,$C$7))</f>
        <v>0.264199021566561</v>
      </c>
      <c r="D59" s="33" t="n">
        <f aca="true">MAX(0.08,NORMINV(RAND(),$B$8,$C$8))</f>
        <v>0.160993926854835</v>
      </c>
      <c r="E59" s="56" t="n">
        <f aca="true">MAX(5,NORMINV(RAND(),$B$9,$C$9))</f>
        <v>13.4554872891537</v>
      </c>
      <c r="F59" s="26" t="n">
        <f aca="false">$B$18*(1+(B59+$B$17)/2)^9</f>
        <v>3118.58873710698</v>
      </c>
      <c r="G59" s="26" t="n">
        <f aca="false">F59*(C59-Assumptions!$F$18)+$B$20</f>
        <v>394.435938529192</v>
      </c>
      <c r="H59" s="26" t="n">
        <f aca="false">E59*G59/(1+D59)^9</f>
        <v>1384.8616122432</v>
      </c>
      <c r="I59" s="26" t="n">
        <f aca="false">$B$13*F59/$B$19*((1+$B$8)/(1+D59))^4.5</f>
        <v>-1393.28655523379</v>
      </c>
      <c r="J59" s="26" t="n">
        <f aca="false">H59+I59+$B$14</f>
        <v>1756.75313920119</v>
      </c>
      <c r="K59" s="44" t="n">
        <f aca="false">J59/$B$15</f>
        <v>4.32697817537238</v>
      </c>
      <c r="N59" s="3" t="s">
        <v>415</v>
      </c>
      <c r="O59" s="55" t="n">
        <v>40</v>
      </c>
      <c r="P59" s="55" t="n">
        <v>42.5</v>
      </c>
      <c r="Q59" s="55" t="n">
        <f aca="false">COUNTIFS($K$41:$K$540,"&gt;="&amp;O59,$K$41:$K$540,"&lt;"&amp;P59)</f>
        <v>0</v>
      </c>
    </row>
    <row r="60" customFormat="false" ht="15" hidden="false" customHeight="false" outlineLevel="0" collapsed="false">
      <c r="A60" s="55" t="n">
        <v>20</v>
      </c>
      <c r="B60" s="21" t="n">
        <f aca="true">NORMINV(RAND(),$B$6,$C$6)</f>
        <v>0.543903663848415</v>
      </c>
      <c r="C60" s="21" t="n">
        <f aca="true">MAX(0.05,NORMINV(RAND(),$B$7,$C$7))</f>
        <v>0.323385742213916</v>
      </c>
      <c r="D60" s="33" t="n">
        <f aca="true">MAX(0.08,NORMINV(RAND(),$B$8,$C$8))</f>
        <v>0.116057979471019</v>
      </c>
      <c r="E60" s="56" t="n">
        <f aca="true">MAX(5,NORMINV(RAND(),$B$9,$C$9))</f>
        <v>11.481019915126</v>
      </c>
      <c r="F60" s="26" t="n">
        <f aca="false">$B$18*(1+(B60+$B$17)/2)^9</f>
        <v>3646.74493892288</v>
      </c>
      <c r="G60" s="26" t="n">
        <f aca="false">F60*(C60-Assumptions!$F$18)+$B$20</f>
        <v>728.686916182812</v>
      </c>
      <c r="H60" s="26" t="n">
        <f aca="false">E60*G60/(1+D60)^9</f>
        <v>3114.15790550684</v>
      </c>
      <c r="I60" s="26" t="n">
        <f aca="false">$B$13*F60/$B$19*((1+$B$8)/(1+D60))^4.5</f>
        <v>-1945.95184518657</v>
      </c>
      <c r="J60" s="26" t="n">
        <f aca="false">H60+I60+$B$14</f>
        <v>2933.38414251205</v>
      </c>
      <c r="K60" s="44" t="n">
        <f aca="false">J60/$B$15</f>
        <v>7.22508409485727</v>
      </c>
      <c r="N60" s="3" t="s">
        <v>416</v>
      </c>
      <c r="O60" s="55" t="n">
        <v>42.5</v>
      </c>
      <c r="P60" s="55" t="n">
        <v>45</v>
      </c>
      <c r="Q60" s="55" t="n">
        <f aca="false">COUNTIFS($K$41:$K$540,"&gt;="&amp;O60,$K$41:$K$540,"&lt;"&amp;P60)</f>
        <v>0</v>
      </c>
    </row>
    <row r="61" customFormat="false" ht="15" hidden="false" customHeight="false" outlineLevel="0" collapsed="false">
      <c r="A61" s="55" t="n">
        <v>21</v>
      </c>
      <c r="B61" s="21" t="n">
        <f aca="true">NORMINV(RAND(),$B$6,$C$6)</f>
        <v>0.657042439012611</v>
      </c>
      <c r="C61" s="21" t="n">
        <f aca="true">MAX(0.05,NORMINV(RAND(),$B$7,$C$7))</f>
        <v>0.276266205512635</v>
      </c>
      <c r="D61" s="33" t="n">
        <f aca="true">MAX(0.08,NORMINV(RAND(),$B$8,$C$8))</f>
        <v>0.147896680796765</v>
      </c>
      <c r="E61" s="56" t="n">
        <f aca="true">MAX(5,NORMINV(RAND(),$B$9,$C$9))</f>
        <v>16.9203448851154</v>
      </c>
      <c r="F61" s="26" t="n">
        <f aca="false">$B$18*(1+(B61+$B$17)/2)^9</f>
        <v>5212.72593084227</v>
      </c>
      <c r="G61" s="26" t="n">
        <f aca="false">F61*(C61-Assumptions!$F$18)+$B$20</f>
        <v>926.84237105873</v>
      </c>
      <c r="H61" s="26" t="n">
        <f aca="false">E61*G61/(1+D61)^9</f>
        <v>4531.99987913865</v>
      </c>
      <c r="I61" s="26" t="n">
        <f aca="false">$B$13*F61/$B$19*((1+$B$8)/(1+D61))^4.5</f>
        <v>-2450.86504173846</v>
      </c>
      <c r="J61" s="26" t="n">
        <f aca="false">H61+I61+$B$14</f>
        <v>3846.31291959197</v>
      </c>
      <c r="K61" s="44" t="n">
        <f aca="false">J61/$B$15</f>
        <v>9.47367714185214</v>
      </c>
      <c r="N61" s="3" t="s">
        <v>417</v>
      </c>
      <c r="O61" s="55" t="n">
        <v>45</v>
      </c>
      <c r="P61" s="55" t="n">
        <v>47.5</v>
      </c>
      <c r="Q61" s="55" t="n">
        <f aca="false">COUNTIF($K$41:$K$540,"&gt;="&amp;O61)</f>
        <v>0</v>
      </c>
    </row>
    <row r="62" customFormat="false" ht="15" hidden="false" customHeight="false" outlineLevel="0" collapsed="false">
      <c r="A62" s="55" t="n">
        <v>22</v>
      </c>
      <c r="B62" s="21" t="n">
        <f aca="true">NORMINV(RAND(),$B$6,$C$6)</f>
        <v>0.408638118702528</v>
      </c>
      <c r="C62" s="21" t="n">
        <f aca="true">MAX(0.05,NORMINV(RAND(),$B$7,$C$7))</f>
        <v>0.289887586987727</v>
      </c>
      <c r="D62" s="33" t="n">
        <f aca="true">MAX(0.08,NORMINV(RAND(),$B$8,$C$8))</f>
        <v>0.169113113448502</v>
      </c>
      <c r="E62" s="56" t="n">
        <f aca="true">MAX(5,NORMINV(RAND(),$B$9,$C$9))</f>
        <v>13.0224989997137</v>
      </c>
      <c r="F62" s="26" t="n">
        <f aca="false">$B$18*(1+(B62+$B$17)/2)^9</f>
        <v>2333.11200987043</v>
      </c>
      <c r="G62" s="26" t="n">
        <f aca="false">F62*(C62-Assumptions!$F$18)+$B$20</f>
        <v>278.267125319917</v>
      </c>
      <c r="H62" s="26" t="n">
        <f aca="false">E62*G62/(1+D62)^9</f>
        <v>888.070507843677</v>
      </c>
      <c r="I62" s="26" t="n">
        <f aca="false">$B$13*F62/$B$19*((1+$B$8)/(1+D62))^4.5</f>
        <v>-1010.17892098764</v>
      </c>
      <c r="J62" s="26" t="n">
        <f aca="false">H62+I62+$B$14</f>
        <v>1643.06966904782</v>
      </c>
      <c r="K62" s="44" t="n">
        <f aca="false">J62/$B$15</f>
        <v>4.04696962819659</v>
      </c>
    </row>
    <row r="63" customFormat="false" ht="15" hidden="false" customHeight="false" outlineLevel="0" collapsed="false">
      <c r="A63" s="55" t="n">
        <v>23</v>
      </c>
      <c r="B63" s="21" t="n">
        <f aca="true">NORMINV(RAND(),$B$6,$C$6)</f>
        <v>0.643141981745899</v>
      </c>
      <c r="C63" s="21" t="n">
        <f aca="true">MAX(0.05,NORMINV(RAND(),$B$7,$C$7))</f>
        <v>0.256952563319738</v>
      </c>
      <c r="D63" s="33" t="n">
        <f aca="true">MAX(0.08,NORMINV(RAND(),$B$8,$C$8))</f>
        <v>0.134480837817099</v>
      </c>
      <c r="E63" s="56" t="n">
        <f aca="true">MAX(5,NORMINV(RAND(),$B$9,$C$9))</f>
        <v>10.5845362022887</v>
      </c>
      <c r="F63" s="26" t="n">
        <f aca="false">$B$18*(1+(B63+$B$17)/2)^9</f>
        <v>4992.64020556344</v>
      </c>
      <c r="G63" s="26" t="n">
        <f aca="false">F63*(C63-Assumptions!$F$18)+$B$20</f>
        <v>778.417485331482</v>
      </c>
      <c r="H63" s="26" t="n">
        <f aca="false">E63*G63/(1+D63)^9</f>
        <v>2646.73178412982</v>
      </c>
      <c r="I63" s="26" t="n">
        <f aca="false">$B$13*F63/$B$19*((1+$B$8)/(1+D63))^4.5</f>
        <v>-2474.91412592292</v>
      </c>
      <c r="J63" s="26" t="n">
        <f aca="false">H63+I63+$B$14</f>
        <v>1936.99574039868</v>
      </c>
      <c r="K63" s="44" t="n">
        <f aca="false">J63/$B$15</f>
        <v>4.77092546896226</v>
      </c>
    </row>
    <row r="64" customFormat="false" ht="15" hidden="false" customHeight="false" outlineLevel="0" collapsed="false">
      <c r="A64" s="55" t="n">
        <v>24</v>
      </c>
      <c r="B64" s="21" t="n">
        <f aca="true">NORMINV(RAND(),$B$6,$C$6)</f>
        <v>0.619405503569719</v>
      </c>
      <c r="C64" s="21" t="n">
        <f aca="true">MAX(0.05,NORMINV(RAND(),$B$7,$C$7))</f>
        <v>0.267338662935618</v>
      </c>
      <c r="D64" s="33" t="n">
        <f aca="true">MAX(0.08,NORMINV(RAND(),$B$8,$C$8))</f>
        <v>0.13954645290902</v>
      </c>
      <c r="E64" s="56" t="n">
        <f aca="true">MAX(5,NORMINV(RAND(),$B$9,$C$9))</f>
        <v>13.857268211551</v>
      </c>
      <c r="F64" s="26" t="n">
        <f aca="false">$B$18*(1+(B64+$B$17)/2)^9</f>
        <v>4635.85545967162</v>
      </c>
      <c r="G64" s="26" t="n">
        <f aca="false">F64*(C64-Assumptions!$F$18)+$B$20</f>
        <v>749.16057676584</v>
      </c>
      <c r="H64" s="26" t="n">
        <f aca="false">E64*G64/(1+D64)^9</f>
        <v>3203.79143245387</v>
      </c>
      <c r="I64" s="26" t="n">
        <f aca="false">$B$13*F64/$B$19*((1+$B$8)/(1+D64))^4.5</f>
        <v>-2252.43797883309</v>
      </c>
      <c r="J64" s="26" t="n">
        <f aca="false">H64+I64+$B$14</f>
        <v>2716.53153581256</v>
      </c>
      <c r="K64" s="44" t="n">
        <f aca="false">J64/$B$15</f>
        <v>6.69096437392257</v>
      </c>
    </row>
    <row r="65" customFormat="false" ht="15" hidden="false" customHeight="false" outlineLevel="0" collapsed="false">
      <c r="A65" s="55" t="n">
        <v>25</v>
      </c>
      <c r="B65" s="21" t="n">
        <f aca="true">NORMINV(RAND(),$B$6,$C$6)</f>
        <v>0.474828040612711</v>
      </c>
      <c r="C65" s="21" t="n">
        <f aca="true">MAX(0.05,NORMINV(RAND(),$B$7,$C$7))</f>
        <v>0.357021318930379</v>
      </c>
      <c r="D65" s="33" t="n">
        <f aca="true">MAX(0.08,NORMINV(RAND(),$B$8,$C$8))</f>
        <v>0.139015108968863</v>
      </c>
      <c r="E65" s="56" t="n">
        <f aca="true">MAX(5,NORMINV(RAND(),$B$9,$C$9))</f>
        <v>19.6517929088334</v>
      </c>
      <c r="F65" s="26" t="n">
        <f aca="false">$B$18*(1+(B65+$B$17)/2)^9</f>
        <v>2911.08202719927</v>
      </c>
      <c r="G65" s="26" t="n">
        <f aca="false">F65*(C65-Assumptions!$F$18)+$B$20</f>
        <v>618.126458778544</v>
      </c>
      <c r="H65" s="26" t="n">
        <f aca="false">E65*G65/(1+D65)^9</f>
        <v>3764.55934393734</v>
      </c>
      <c r="I65" s="26" t="n">
        <f aca="false">$B$13*F65/$B$19*((1+$B$8)/(1+D65))^4.5</f>
        <v>-1417.38837496913</v>
      </c>
      <c r="J65" s="26" t="n">
        <f aca="false">H65+I65+$B$14</f>
        <v>4112.34905115999</v>
      </c>
      <c r="K65" s="44" t="n">
        <f aca="false">J65/$B$15</f>
        <v>10.1289385496552</v>
      </c>
    </row>
    <row r="66" customFormat="false" ht="15" hidden="false" customHeight="false" outlineLevel="0" collapsed="false">
      <c r="A66" s="55" t="n">
        <v>26</v>
      </c>
      <c r="B66" s="21" t="n">
        <f aca="true">NORMINV(RAND(),$B$6,$C$6)</f>
        <v>0.723760823928767</v>
      </c>
      <c r="C66" s="21" t="n">
        <f aca="true">MAX(0.05,NORMINV(RAND(),$B$7,$C$7))</f>
        <v>0.326517633079181</v>
      </c>
      <c r="D66" s="33" t="n">
        <f aca="true">MAX(0.08,NORMINV(RAND(),$B$8,$C$8))</f>
        <v>0.121818011855941</v>
      </c>
      <c r="E66" s="56" t="n">
        <f aca="true">MAX(5,NORMINV(RAND(),$B$9,$C$9))</f>
        <v>17.484709394725</v>
      </c>
      <c r="F66" s="26" t="n">
        <f aca="false">$B$18*(1+(B66+$B$17)/2)^9</f>
        <v>6393.76789120119</v>
      </c>
      <c r="G66" s="26" t="n">
        <f aca="false">F66*(C66-Assumptions!$F$18)+$B$20</f>
        <v>1527.17863764594</v>
      </c>
      <c r="H66" s="26" t="n">
        <f aca="false">E66*G66/(1+D66)^9</f>
        <v>9489.57101755125</v>
      </c>
      <c r="I66" s="26" t="n">
        <f aca="false">$B$13*F66/$B$19*((1+$B$8)/(1+D66))^4.5</f>
        <v>-3333.67403923228</v>
      </c>
      <c r="J66" s="26" t="n">
        <f aca="false">H66+I66+$B$14</f>
        <v>7921.07506051075</v>
      </c>
      <c r="K66" s="44" t="n">
        <f aca="false">J66/$B$15</f>
        <v>19.5100370948541</v>
      </c>
    </row>
    <row r="67" customFormat="false" ht="15" hidden="false" customHeight="false" outlineLevel="0" collapsed="false">
      <c r="A67" s="55" t="n">
        <v>27</v>
      </c>
      <c r="B67" s="21" t="n">
        <f aca="true">NORMINV(RAND(),$B$6,$C$6)</f>
        <v>0.602047008124894</v>
      </c>
      <c r="C67" s="21" t="n">
        <f aca="true">MAX(0.05,NORMINV(RAND(),$B$7,$C$7))</f>
        <v>0.269858426634461</v>
      </c>
      <c r="D67" s="33" t="n">
        <f aca="true">MAX(0.08,NORMINV(RAND(),$B$8,$C$8))</f>
        <v>0.167881551103811</v>
      </c>
      <c r="E67" s="56" t="n">
        <f aca="true">MAX(5,NORMINV(RAND(),$B$9,$C$9))</f>
        <v>8.84986095575894</v>
      </c>
      <c r="F67" s="26" t="n">
        <f aca="false">$B$18*(1+(B67+$B$17)/2)^9</f>
        <v>4389.47579566353</v>
      </c>
      <c r="G67" s="26" t="n">
        <f aca="false">F67*(C67-Assumptions!$F$18)+$B$20</f>
        <v>704.209395142578</v>
      </c>
      <c r="H67" s="26" t="n">
        <f aca="false">E67*G67/(1+D67)^9</f>
        <v>1541.8746928244</v>
      </c>
      <c r="I67" s="26" t="n">
        <f aca="false">$B$13*F67/$B$19*((1+$B$8)/(1+D67))^4.5</f>
        <v>-1909.56819963378</v>
      </c>
      <c r="J67" s="26" t="n">
        <f aca="false">H67+I67+$B$14</f>
        <v>1397.4845753824</v>
      </c>
      <c r="K67" s="44" t="n">
        <f aca="false">J67/$B$15</f>
        <v>3.44208023493202</v>
      </c>
    </row>
    <row r="68" customFormat="false" ht="15" hidden="false" customHeight="false" outlineLevel="0" collapsed="false">
      <c r="A68" s="55" t="n">
        <v>28</v>
      </c>
      <c r="B68" s="21" t="n">
        <f aca="true">NORMINV(RAND(),$B$6,$C$6)</f>
        <v>0.595346942281275</v>
      </c>
      <c r="C68" s="21" t="n">
        <f aca="true">MAX(0.05,NORMINV(RAND(),$B$7,$C$7))</f>
        <v>0.230265516518518</v>
      </c>
      <c r="D68" s="33" t="n">
        <f aca="true">MAX(0.08,NORMINV(RAND(),$B$8,$C$8))</f>
        <v>0.127586756190451</v>
      </c>
      <c r="E68" s="56" t="n">
        <f aca="true">MAX(5,NORMINV(RAND(),$B$9,$C$9))</f>
        <v>11.5547207499442</v>
      </c>
      <c r="F68" s="26" t="n">
        <f aca="false">$B$18*(1+(B68+$B$17)/2)^9</f>
        <v>4297.53679785702</v>
      </c>
      <c r="G68" s="26" t="n">
        <f aca="false">F68*(C68-Assumptions!$F$18)+$B$20</f>
        <v>512.924453602914</v>
      </c>
      <c r="H68" s="26" t="n">
        <f aca="false">E68*G68/(1+D68)^9</f>
        <v>2011.23659097683</v>
      </c>
      <c r="I68" s="26" t="n">
        <f aca="false">$B$13*F68/$B$19*((1+$B$8)/(1+D68))^4.5</f>
        <v>-2189.58526416337</v>
      </c>
      <c r="J68" s="26" t="n">
        <f aca="false">H68+I68+$B$14</f>
        <v>1586.82940900524</v>
      </c>
      <c r="K68" s="44" t="n">
        <f aca="false">J68/$B$15</f>
        <v>3.90844682020996</v>
      </c>
    </row>
    <row r="69" customFormat="false" ht="15" hidden="false" customHeight="false" outlineLevel="0" collapsed="false">
      <c r="A69" s="55" t="n">
        <v>29</v>
      </c>
      <c r="B69" s="21" t="n">
        <f aca="true">NORMINV(RAND(),$B$6,$C$6)</f>
        <v>0.547613301529405</v>
      </c>
      <c r="C69" s="21" t="n">
        <f aca="true">MAX(0.05,NORMINV(RAND(),$B$7,$C$7))</f>
        <v>0.254851800583553</v>
      </c>
      <c r="D69" s="33" t="n">
        <f aca="true">MAX(0.08,NORMINV(RAND(),$B$8,$C$8))</f>
        <v>0.157169583661006</v>
      </c>
      <c r="E69" s="56" t="n">
        <f aca="true">MAX(5,NORMINV(RAND(),$B$9,$C$9))</f>
        <v>15.987953655327</v>
      </c>
      <c r="F69" s="26" t="n">
        <f aca="false">$B$18*(1+(B69+$B$17)/2)^9</f>
        <v>3690.55516983187</v>
      </c>
      <c r="G69" s="26" t="n">
        <f aca="false">F69*(C69-Assumptions!$F$18)+$B$20</f>
        <v>488.173818392627</v>
      </c>
      <c r="H69" s="26" t="n">
        <f aca="false">E69*G69/(1+D69)^9</f>
        <v>2097.94586539917</v>
      </c>
      <c r="I69" s="26" t="n">
        <f aca="false">$B$13*F69/$B$19*((1+$B$8)/(1+D69))^4.5</f>
        <v>-1673.48669779557</v>
      </c>
      <c r="J69" s="26" t="n">
        <f aca="false">H69+I69+$B$14</f>
        <v>2189.63724979538</v>
      </c>
      <c r="K69" s="44" t="n">
        <f aca="false">J69/$B$15</f>
        <v>5.39319519654034</v>
      </c>
    </row>
    <row r="70" customFormat="false" ht="15" hidden="false" customHeight="false" outlineLevel="0" collapsed="false">
      <c r="A70" s="55" t="n">
        <v>30</v>
      </c>
      <c r="B70" s="21" t="n">
        <f aca="true">NORMINV(RAND(),$B$6,$C$6)</f>
        <v>0.580622453226286</v>
      </c>
      <c r="C70" s="21" t="n">
        <f aca="true">MAX(0.05,NORMINV(RAND(),$B$7,$C$7))</f>
        <v>0.32556821744198</v>
      </c>
      <c r="D70" s="33" t="n">
        <f aca="true">MAX(0.08,NORMINV(RAND(),$B$8,$C$8))</f>
        <v>0.14870329769283</v>
      </c>
      <c r="E70" s="56" t="n">
        <f aca="true">MAX(5,NORMINV(RAND(),$B$9,$C$9))</f>
        <v>13.9067624955179</v>
      </c>
      <c r="F70" s="26" t="n">
        <f aca="false">$B$18*(1+(B70+$B$17)/2)^9</f>
        <v>4101.47500909228</v>
      </c>
      <c r="G70" s="26" t="n">
        <f aca="false">F70*(C70-Assumptions!$F$18)+$B$20</f>
        <v>866.502302230623</v>
      </c>
      <c r="H70" s="26" t="n">
        <f aca="false">E70*G70/(1+D70)^9</f>
        <v>3460.38920132118</v>
      </c>
      <c r="I70" s="26" t="n">
        <f aca="false">$B$13*F70/$B$19*((1+$B$8)/(1+D70))^4.5</f>
        <v>-1922.30267563685</v>
      </c>
      <c r="J70" s="26" t="n">
        <f aca="false">H70+I70+$B$14</f>
        <v>3303.2646078761</v>
      </c>
      <c r="K70" s="44" t="n">
        <f aca="false">J70/$B$15</f>
        <v>8.13611972383277</v>
      </c>
    </row>
    <row r="71" customFormat="false" ht="15" hidden="false" customHeight="false" outlineLevel="0" collapsed="false">
      <c r="A71" s="55" t="n">
        <v>31</v>
      </c>
      <c r="B71" s="21" t="n">
        <f aca="true">NORMINV(RAND(),$B$6,$C$6)</f>
        <v>0.486921360623328</v>
      </c>
      <c r="C71" s="21" t="n">
        <f aca="true">MAX(0.05,NORMINV(RAND(),$B$7,$C$7))</f>
        <v>0.299271455295682</v>
      </c>
      <c r="D71" s="33" t="n">
        <f aca="true">MAX(0.08,NORMINV(RAND(),$B$8,$C$8))</f>
        <v>0.13617228711516</v>
      </c>
      <c r="E71" s="56" t="n">
        <f aca="true">MAX(5,NORMINV(RAND(),$B$9,$C$9))</f>
        <v>17.0750945421171</v>
      </c>
      <c r="F71" s="26" t="n">
        <f aca="false">$B$18*(1+(B71+$B$17)/2)^9</f>
        <v>3029.44739812885</v>
      </c>
      <c r="G71" s="26" t="n">
        <f aca="false">F71*(C71-Assumptions!$F$18)+$B$20</f>
        <v>480.700630655895</v>
      </c>
      <c r="H71" s="26" t="n">
        <f aca="false">E71*G71/(1+D71)^9</f>
        <v>2601.59734606111</v>
      </c>
      <c r="I71" s="26" t="n">
        <f aca="false">$B$13*F71/$B$19*((1+$B$8)/(1+D71))^4.5</f>
        <v>-1491.70057817226</v>
      </c>
      <c r="J71" s="26" t="n">
        <f aca="false">H71+I71+$B$14</f>
        <v>2875.07485008063</v>
      </c>
      <c r="K71" s="44" t="n">
        <f aca="false">J71/$B$15</f>
        <v>7.08146514798185</v>
      </c>
    </row>
    <row r="72" customFormat="false" ht="15" hidden="false" customHeight="false" outlineLevel="0" collapsed="false">
      <c r="A72" s="55" t="n">
        <v>32</v>
      </c>
      <c r="B72" s="21" t="n">
        <f aca="true">NORMINV(RAND(),$B$6,$C$6)</f>
        <v>0.710625365979277</v>
      </c>
      <c r="C72" s="21" t="n">
        <f aca="true">MAX(0.05,NORMINV(RAND(),$B$7,$C$7))</f>
        <v>0.305691512671458</v>
      </c>
      <c r="D72" s="33" t="n">
        <f aca="true">MAX(0.08,NORMINV(RAND(),$B$8,$C$8))</f>
        <v>0.130281291845282</v>
      </c>
      <c r="E72" s="56" t="n">
        <f aca="true">MAX(5,NORMINV(RAND(),$B$9,$C$9))</f>
        <v>13.7857921665367</v>
      </c>
      <c r="F72" s="26" t="n">
        <f aca="false">$B$18*(1+(B72+$B$17)/2)^9</f>
        <v>6144.03450373156</v>
      </c>
      <c r="G72" s="26" t="n">
        <f aca="false">F72*(C72-Assumptions!$F$18)+$B$20</f>
        <v>1327.66921620338</v>
      </c>
      <c r="H72" s="26" t="n">
        <f aca="false">E72*G72/(1+D72)^9</f>
        <v>6079.14858772969</v>
      </c>
      <c r="I72" s="26" t="n">
        <f aca="false">$B$13*F72/$B$19*((1+$B$8)/(1+D72))^4.5</f>
        <v>-3096.9295433133</v>
      </c>
      <c r="J72" s="26" t="n">
        <f aca="false">H72+I72+$B$14</f>
        <v>4747.39712660818</v>
      </c>
      <c r="K72" s="44" t="n">
        <f aca="false">J72/$B$15</f>
        <v>11.6930963709561</v>
      </c>
    </row>
    <row r="73" customFormat="false" ht="15" hidden="false" customHeight="false" outlineLevel="0" collapsed="false">
      <c r="A73" s="55" t="n">
        <v>33</v>
      </c>
      <c r="B73" s="21" t="n">
        <f aca="true">NORMINV(RAND(),$B$6,$C$6)</f>
        <v>0.594873481247723</v>
      </c>
      <c r="C73" s="21" t="n">
        <f aca="true">MAX(0.05,NORMINV(RAND(),$B$7,$C$7))</f>
        <v>0.304236138768916</v>
      </c>
      <c r="D73" s="33" t="n">
        <f aca="true">MAX(0.08,NORMINV(RAND(),$B$8,$C$8))</f>
        <v>0.158129502716897</v>
      </c>
      <c r="E73" s="56" t="n">
        <f aca="true">MAX(5,NORMINV(RAND(),$B$9,$C$9))</f>
        <v>15.7052389039676</v>
      </c>
      <c r="F73" s="26" t="n">
        <f aca="false">$B$18*(1+(B73+$B$17)/2)^9</f>
        <v>4291.10515265321</v>
      </c>
      <c r="G73" s="26" t="n">
        <f aca="false">F73*(C73-Assumptions!$F$18)+$B$20</f>
        <v>829.116451589796</v>
      </c>
      <c r="H73" s="26" t="n">
        <f aca="false">E73*G73/(1+D73)^9</f>
        <v>3474.12910247557</v>
      </c>
      <c r="I73" s="26" t="n">
        <f aca="false">$B$13*F73/$B$19*((1+$B$8)/(1+D73))^4.5</f>
        <v>-1938.55978763244</v>
      </c>
      <c r="J73" s="26" t="n">
        <f aca="false">H73+I73+$B$14</f>
        <v>3300.74739703491</v>
      </c>
      <c r="K73" s="44" t="n">
        <f aca="false">J73/$B$15</f>
        <v>8.12991969713031</v>
      </c>
    </row>
    <row r="74" customFormat="false" ht="15" hidden="false" customHeight="false" outlineLevel="0" collapsed="false">
      <c r="A74" s="55" t="n">
        <v>34</v>
      </c>
      <c r="B74" s="21" t="n">
        <f aca="true">NORMINV(RAND(),$B$6,$C$6)</f>
        <v>0.636293113635734</v>
      </c>
      <c r="C74" s="21" t="n">
        <f aca="true">MAX(0.05,NORMINV(RAND(),$B$7,$C$7))</f>
        <v>0.379781381387924</v>
      </c>
      <c r="D74" s="33" t="n">
        <f aca="true">MAX(0.08,NORMINV(RAND(),$B$8,$C$8))</f>
        <v>0.133284915959513</v>
      </c>
      <c r="E74" s="56" t="n">
        <f aca="true">MAX(5,NORMINV(RAND(),$B$9,$C$9))</f>
        <v>13.377273670152</v>
      </c>
      <c r="F74" s="26" t="n">
        <f aca="false">$B$18*(1+(B74+$B$17)/2)^9</f>
        <v>4887.27124148742</v>
      </c>
      <c r="G74" s="26" t="n">
        <f aca="false">F74*(C74-Assumptions!$F$18)+$B$20</f>
        <v>1355.85516865138</v>
      </c>
      <c r="H74" s="26" t="n">
        <f aca="false">E74*G74/(1+D74)^9</f>
        <v>5882.05306061136</v>
      </c>
      <c r="I74" s="26" t="n">
        <f aca="false">$B$13*F74/$B$19*((1+$B$8)/(1+D74))^4.5</f>
        <v>-2434.20730484739</v>
      </c>
      <c r="J74" s="26" t="n">
        <f aca="false">H74+I74+$B$14</f>
        <v>5213.02383795575</v>
      </c>
      <c r="K74" s="44" t="n">
        <f aca="false">J74/$B$15</f>
        <v>12.8399601920092</v>
      </c>
    </row>
    <row r="75" customFormat="false" ht="15" hidden="false" customHeight="false" outlineLevel="0" collapsed="false">
      <c r="A75" s="55" t="n">
        <v>35</v>
      </c>
      <c r="B75" s="21" t="n">
        <f aca="true">NORMINV(RAND(),$B$6,$C$6)</f>
        <v>0.384605666174309</v>
      </c>
      <c r="C75" s="21" t="n">
        <f aca="true">MAX(0.05,NORMINV(RAND(),$B$7,$C$7))</f>
        <v>0.268189344881765</v>
      </c>
      <c r="D75" s="33" t="n">
        <f aca="true">MAX(0.08,NORMINV(RAND(),$B$8,$C$8))</f>
        <v>0.134143169208469</v>
      </c>
      <c r="E75" s="56" t="n">
        <f aca="true">MAX(5,NORMINV(RAND(),$B$9,$C$9))</f>
        <v>17.4568262164483</v>
      </c>
      <c r="F75" s="26" t="n">
        <f aca="false">$B$18*(1+(B75+$B$17)/2)^9</f>
        <v>2150.02315804525</v>
      </c>
      <c r="G75" s="26" t="n">
        <f aca="false">F75*(C75-Assumptions!$F$18)+$B$20</f>
        <v>185.863770916279</v>
      </c>
      <c r="H75" s="26" t="n">
        <f aca="false">E75*G75/(1+D75)^9</f>
        <v>1045.07894886041</v>
      </c>
      <c r="I75" s="26" t="n">
        <f aca="false">$B$13*F75/$B$19*((1+$B$8)/(1+D75))^4.5</f>
        <v>-1067.22201975999</v>
      </c>
      <c r="J75" s="26" t="n">
        <f aca="false">H75+I75+$B$14</f>
        <v>1743.0350112922</v>
      </c>
      <c r="K75" s="44" t="n">
        <f aca="false">J75/$B$15</f>
        <v>4.29318968298572</v>
      </c>
    </row>
    <row r="76" customFormat="false" ht="15" hidden="false" customHeight="false" outlineLevel="0" collapsed="false">
      <c r="A76" s="55" t="n">
        <v>36</v>
      </c>
      <c r="B76" s="21" t="n">
        <f aca="true">NORMINV(RAND(),$B$6,$C$6)</f>
        <v>0.333114396017949</v>
      </c>
      <c r="C76" s="21" t="n">
        <f aca="true">MAX(0.05,NORMINV(RAND(),$B$7,$C$7))</f>
        <v>0.253338639756651</v>
      </c>
      <c r="D76" s="33" t="n">
        <f aca="true">MAX(0.08,NORMINV(RAND(),$B$8,$C$8))</f>
        <v>0.148388350869664</v>
      </c>
      <c r="E76" s="56" t="n">
        <f aca="true">MAX(5,NORMINV(RAND(),$B$9,$C$9))</f>
        <v>16.7276659349515</v>
      </c>
      <c r="F76" s="26" t="n">
        <f aca="false">$B$18*(1+(B76+$B$17)/2)^9</f>
        <v>1800.09448908911</v>
      </c>
      <c r="G76" s="26" t="n">
        <f aca="false">F76*(C76-Assumptions!$F$18)+$B$20</f>
        <v>79.2811047370238</v>
      </c>
      <c r="H76" s="26" t="n">
        <f aca="false">E76*G76/(1+D76)^9</f>
        <v>381.773723892443</v>
      </c>
      <c r="I76" s="26" t="n">
        <f aca="false">$B$13*F76/$B$19*((1+$B$8)/(1+D76))^4.5</f>
        <v>-844.72025025037</v>
      </c>
      <c r="J76" s="26" t="n">
        <f aca="false">H76+I76+$B$14</f>
        <v>1302.23155583385</v>
      </c>
      <c r="K76" s="44" t="n">
        <f aca="false">J76/$B$15</f>
        <v>3.20746688629028</v>
      </c>
    </row>
    <row r="77" customFormat="false" ht="15" hidden="false" customHeight="false" outlineLevel="0" collapsed="false">
      <c r="A77" s="55" t="n">
        <v>37</v>
      </c>
      <c r="B77" s="21" t="n">
        <f aca="true">NORMINV(RAND(),$B$6,$C$6)</f>
        <v>0.537309992888398</v>
      </c>
      <c r="C77" s="21" t="n">
        <f aca="true">MAX(0.05,NORMINV(RAND(),$B$7,$C$7))</f>
        <v>0.25054470745563</v>
      </c>
      <c r="D77" s="33" t="n">
        <f aca="true">MAX(0.08,NORMINV(RAND(),$B$8,$C$8))</f>
        <v>0.139727763541391</v>
      </c>
      <c r="E77" s="56" t="n">
        <f aca="true">MAX(5,NORMINV(RAND(),$B$9,$C$9))</f>
        <v>11.6364508526168</v>
      </c>
      <c r="F77" s="26" t="n">
        <f aca="false">$B$18*(1+(B77+$B$17)/2)^9</f>
        <v>3570.01458479247</v>
      </c>
      <c r="G77" s="26" t="n">
        <f aca="false">F77*(C77-Assumptions!$F$18)+$B$20</f>
        <v>446.899071368775</v>
      </c>
      <c r="H77" s="26" t="n">
        <f aca="false">E77*G77/(1+D77)^9</f>
        <v>1602.58045657115</v>
      </c>
      <c r="I77" s="26" t="n">
        <f aca="false">$B$13*F77/$B$19*((1+$B$8)/(1+D77))^4.5</f>
        <v>-1733.33306474656</v>
      </c>
      <c r="J77" s="26" t="n">
        <f aca="false">H77+I77+$B$14</f>
        <v>1634.42547401637</v>
      </c>
      <c r="K77" s="44" t="n">
        <f aca="false">J77/$B$15</f>
        <v>4.02567850742949</v>
      </c>
    </row>
    <row r="78" customFormat="false" ht="15" hidden="false" customHeight="false" outlineLevel="0" collapsed="false">
      <c r="A78" s="55" t="n">
        <v>38</v>
      </c>
      <c r="B78" s="21" t="n">
        <f aca="true">NORMINV(RAND(),$B$6,$C$6)</f>
        <v>0.577149399298382</v>
      </c>
      <c r="C78" s="21" t="n">
        <f aca="true">MAX(0.05,NORMINV(RAND(),$B$7,$C$7))</f>
        <v>0.291108669899968</v>
      </c>
      <c r="D78" s="33" t="n">
        <f aca="true">MAX(0.08,NORMINV(RAND(),$B$8,$C$8))</f>
        <v>0.134234113283235</v>
      </c>
      <c r="E78" s="56" t="n">
        <f aca="true">MAX(5,NORMINV(RAND(),$B$9,$C$9))</f>
        <v>12.3263893404234</v>
      </c>
      <c r="F78" s="26" t="n">
        <f aca="false">$B$18*(1+(B78+$B$17)/2)^9</f>
        <v>4056.40562862005</v>
      </c>
      <c r="G78" s="26" t="n">
        <f aca="false">F78*(C78-Assumptions!$F$18)+$B$20</f>
        <v>713.850016978833</v>
      </c>
      <c r="H78" s="26" t="n">
        <f aca="false">E78*G78/(1+D78)^9</f>
        <v>2832.16473163979</v>
      </c>
      <c r="I78" s="26" t="n">
        <f aca="false">$B$13*F78/$B$19*((1+$B$8)/(1+D78))^4.5</f>
        <v>-2012.7800081009</v>
      </c>
      <c r="J78" s="26" t="n">
        <f aca="false">H78+I78+$B$14</f>
        <v>2584.56280573067</v>
      </c>
      <c r="K78" s="44" t="n">
        <f aca="false">J78/$B$15</f>
        <v>6.36591824071593</v>
      </c>
    </row>
    <row r="79" customFormat="false" ht="15" hidden="false" customHeight="false" outlineLevel="0" collapsed="false">
      <c r="A79" s="55" t="n">
        <v>39</v>
      </c>
      <c r="B79" s="21" t="n">
        <f aca="true">NORMINV(RAND(),$B$6,$C$6)</f>
        <v>0.283262250018222</v>
      </c>
      <c r="C79" s="21" t="n">
        <f aca="true">MAX(0.05,NORMINV(RAND(),$B$7,$C$7))</f>
        <v>0.284922214926828</v>
      </c>
      <c r="D79" s="33" t="n">
        <f aca="true">MAX(0.08,NORMINV(RAND(),$B$8,$C$8))</f>
        <v>0.138391418812554</v>
      </c>
      <c r="E79" s="56" t="n">
        <f aca="true">MAX(5,NORMINV(RAND(),$B$9,$C$9))</f>
        <v>14.9898587392027</v>
      </c>
      <c r="F79" s="26" t="n">
        <f aca="false">$B$18*(1+(B79+$B$17)/2)^9</f>
        <v>1510.51105126408</v>
      </c>
      <c r="G79" s="26" t="n">
        <f aca="false">F79*(C79-Assumptions!$F$18)+$B$20</f>
        <v>65.2091073483605</v>
      </c>
      <c r="H79" s="26" t="n">
        <f aca="false">E79*G79/(1+D79)^9</f>
        <v>304.425673081326</v>
      </c>
      <c r="I79" s="26" t="n">
        <f aca="false">$B$13*F79/$B$19*((1+$B$8)/(1+D79))^4.5</f>
        <v>-737.273718360299</v>
      </c>
      <c r="J79" s="26" t="n">
        <f aca="false">H79+I79+$B$14</f>
        <v>1332.33003691281</v>
      </c>
      <c r="K79" s="44" t="n">
        <f aca="false">J79/$B$15</f>
        <v>3.28160107613992</v>
      </c>
    </row>
    <row r="80" customFormat="false" ht="15" hidden="false" customHeight="false" outlineLevel="0" collapsed="false">
      <c r="A80" s="55" t="n">
        <v>40</v>
      </c>
      <c r="B80" s="21" t="n">
        <f aca="true">NORMINV(RAND(),$B$6,$C$6)</f>
        <v>0.552104152144021</v>
      </c>
      <c r="C80" s="21" t="n">
        <f aca="true">MAX(0.05,NORMINV(RAND(),$B$7,$C$7))</f>
        <v>0.226300153890602</v>
      </c>
      <c r="D80" s="33" t="n">
        <f aca="true">MAX(0.08,NORMINV(RAND(),$B$8,$C$8))</f>
        <v>0.151538334092195</v>
      </c>
      <c r="E80" s="56" t="n">
        <f aca="true">MAX(5,NORMINV(RAND(),$B$9,$C$9))</f>
        <v>21.2806965325833</v>
      </c>
      <c r="F80" s="26" t="n">
        <f aca="false">$B$18*(1+(B80+$B$17)/2)^9</f>
        <v>3744.21696758118</v>
      </c>
      <c r="G80" s="26" t="n">
        <f aca="false">F80*(C80-Assumptions!$F$18)+$B$20</f>
        <v>392.799592261487</v>
      </c>
      <c r="H80" s="26" t="n">
        <f aca="false">E80*G80/(1+D80)^9</f>
        <v>2347.74685364003</v>
      </c>
      <c r="I80" s="26" t="n">
        <f aca="false">$B$13*F80/$B$19*((1+$B$8)/(1+D80))^4.5</f>
        <v>-1735.50277807646</v>
      </c>
      <c r="J80" s="26" t="n">
        <f aca="false">H80+I80+$B$14</f>
        <v>2377.42215775535</v>
      </c>
      <c r="K80" s="44" t="n">
        <f aca="false">J80/$B$15</f>
        <v>5.85571960038263</v>
      </c>
    </row>
    <row r="81" customFormat="false" ht="15" hidden="false" customHeight="false" outlineLevel="0" collapsed="false">
      <c r="A81" s="55" t="n">
        <v>41</v>
      </c>
      <c r="B81" s="21" t="n">
        <f aca="true">NORMINV(RAND(),$B$6,$C$6)</f>
        <v>0.513960635656997</v>
      </c>
      <c r="C81" s="21" t="n">
        <f aca="true">MAX(0.05,NORMINV(RAND(),$B$7,$C$7))</f>
        <v>0.351218762905976</v>
      </c>
      <c r="D81" s="33" t="n">
        <f aca="true">MAX(0.08,NORMINV(RAND(),$B$8,$C$8))</f>
        <v>0.134613606383511</v>
      </c>
      <c r="E81" s="56" t="n">
        <f aca="true">MAX(5,NORMINV(RAND(),$B$9,$C$9))</f>
        <v>14.829040423611</v>
      </c>
      <c r="F81" s="26" t="n">
        <f aca="false">$B$18*(1+(B81+$B$17)/2)^9</f>
        <v>3309.70454104025</v>
      </c>
      <c r="G81" s="26" t="n">
        <f aca="false">F81*(C81-Assumptions!$F$18)+$B$20</f>
        <v>725.293547848147</v>
      </c>
      <c r="H81" s="26" t="n">
        <f aca="false">E81*G81/(1+D81)^9</f>
        <v>3451.39747371319</v>
      </c>
      <c r="I81" s="26" t="n">
        <f aca="false">$B$13*F81/$B$19*((1+$B$8)/(1+D81))^4.5</f>
        <v>-1639.7981373477</v>
      </c>
      <c r="J81" s="26" t="n">
        <f aca="false">H81+I81+$B$14</f>
        <v>3576.77741855726</v>
      </c>
      <c r="K81" s="44" t="n">
        <f aca="false">J81/$B$15</f>
        <v>8.80979659743168</v>
      </c>
    </row>
    <row r="82" customFormat="false" ht="15" hidden="false" customHeight="false" outlineLevel="0" collapsed="false">
      <c r="A82" s="55" t="n">
        <v>42</v>
      </c>
      <c r="B82" s="21" t="n">
        <f aca="true">NORMINV(RAND(),$B$6,$C$6)</f>
        <v>0.619073554140341</v>
      </c>
      <c r="C82" s="21" t="n">
        <f aca="true">MAX(0.05,NORMINV(RAND(),$B$7,$C$7))</f>
        <v>0.354817053600513</v>
      </c>
      <c r="D82" s="33" t="n">
        <f aca="true">MAX(0.08,NORMINV(RAND(),$B$8,$C$8))</f>
        <v>0.128442871745231</v>
      </c>
      <c r="E82" s="56" t="n">
        <f aca="true">MAX(5,NORMINV(RAND(),$B$9,$C$9))</f>
        <v>18.8307912757071</v>
      </c>
      <c r="F82" s="26" t="n">
        <f aca="false">$B$18*(1+(B82+$B$17)/2)^9</f>
        <v>4631.03096938224</v>
      </c>
      <c r="G82" s="26" t="n">
        <f aca="false">F82*(C82-Assumptions!$F$18)+$B$20</f>
        <v>1153.17891991495</v>
      </c>
      <c r="H82" s="26" t="n">
        <f aca="false">E82*G82/(1+D82)^9</f>
        <v>7318.95483355111</v>
      </c>
      <c r="I82" s="26" t="n">
        <f aca="false">$B$13*F82/$B$19*((1+$B$8)/(1+D82))^4.5</f>
        <v>-2351.45511148098</v>
      </c>
      <c r="J82" s="26" t="n">
        <f aca="false">H82+I82+$B$14</f>
        <v>6732.67780426192</v>
      </c>
      <c r="K82" s="44" t="n">
        <f aca="false">J82/$B$15</f>
        <v>16.5829502568028</v>
      </c>
    </row>
    <row r="83" customFormat="false" ht="15" hidden="false" customHeight="false" outlineLevel="0" collapsed="false">
      <c r="A83" s="55" t="n">
        <v>43</v>
      </c>
      <c r="B83" s="21" t="n">
        <f aca="true">NORMINV(RAND(),$B$6,$C$6)</f>
        <v>0.567776316471338</v>
      </c>
      <c r="C83" s="21" t="n">
        <f aca="true">MAX(0.05,NORMINV(RAND(),$B$7,$C$7))</f>
        <v>0.31797199024897</v>
      </c>
      <c r="D83" s="33" t="n">
        <f aca="true">MAX(0.08,NORMINV(RAND(),$B$8,$C$8))</f>
        <v>0.134338573891853</v>
      </c>
      <c r="E83" s="56" t="n">
        <f aca="true">MAX(5,NORMINV(RAND(),$B$9,$C$9))</f>
        <v>14.4115490951961</v>
      </c>
      <c r="F83" s="26" t="n">
        <f aca="false">$B$18*(1+(B83+$B$17)/2)^9</f>
        <v>3936.9615655362</v>
      </c>
      <c r="G83" s="26" t="n">
        <f aca="false">F83*(C83-Assumptions!$F$18)+$B$20</f>
        <v>789.616436907109</v>
      </c>
      <c r="H83" s="26" t="n">
        <f aca="false">E83*G83/(1+D83)^9</f>
        <v>3659.67516314405</v>
      </c>
      <c r="I83" s="26" t="n">
        <f aca="false">$B$13*F83/$B$19*((1+$B$8)/(1+D83))^4.5</f>
        <v>-1952.70270340478</v>
      </c>
      <c r="J83" s="26" t="n">
        <f aca="false">H83+I83+$B$14</f>
        <v>3472.15054193105</v>
      </c>
      <c r="K83" s="44" t="n">
        <f aca="false">J83/$B$15</f>
        <v>8.55209493086466</v>
      </c>
    </row>
    <row r="84" customFormat="false" ht="15" hidden="false" customHeight="false" outlineLevel="0" collapsed="false">
      <c r="A84" s="55" t="n">
        <v>44</v>
      </c>
      <c r="B84" s="21" t="n">
        <f aca="true">NORMINV(RAND(),$B$6,$C$6)</f>
        <v>0.480926165751593</v>
      </c>
      <c r="C84" s="21" t="n">
        <f aca="true">MAX(0.05,NORMINV(RAND(),$B$7,$C$7))</f>
        <v>0.295504160424286</v>
      </c>
      <c r="D84" s="33" t="n">
        <f aca="true">MAX(0.08,NORMINV(RAND(),$B$8,$C$8))</f>
        <v>0.142860463009493</v>
      </c>
      <c r="E84" s="56" t="n">
        <f aca="true">MAX(5,NORMINV(RAND(),$B$9,$C$9))</f>
        <v>13.5545334455429</v>
      </c>
      <c r="F84" s="26" t="n">
        <f aca="false">$B$18*(1+(B84+$B$17)/2)^9</f>
        <v>2970.24430058714</v>
      </c>
      <c r="G84" s="26" t="n">
        <f aca="false">F84*(C84-Assumptions!$F$18)+$B$20</f>
        <v>454.161171277848</v>
      </c>
      <c r="H84" s="26" t="n">
        <f aca="false">E84*G84/(1+D84)^9</f>
        <v>1850.78383155208</v>
      </c>
      <c r="I84" s="26" t="n">
        <f aca="false">$B$13*F84/$B$19*((1+$B$8)/(1+D84))^4.5</f>
        <v>-1424.4258230567</v>
      </c>
      <c r="J84" s="26" t="n">
        <f aca="false">H84+I84+$B$14</f>
        <v>2191.53609068717</v>
      </c>
      <c r="K84" s="44" t="n">
        <f aca="false">J84/$B$15</f>
        <v>5.39787214454967</v>
      </c>
    </row>
    <row r="85" customFormat="false" ht="15" hidden="false" customHeight="false" outlineLevel="0" collapsed="false">
      <c r="A85" s="55" t="n">
        <v>45</v>
      </c>
      <c r="B85" s="21" t="n">
        <f aca="true">NORMINV(RAND(),$B$6,$C$6)</f>
        <v>0.547615701438347</v>
      </c>
      <c r="C85" s="21" t="n">
        <f aca="true">MAX(0.05,NORMINV(RAND(),$B$7,$C$7))</f>
        <v>0.283658643825679</v>
      </c>
      <c r="D85" s="33" t="n">
        <f aca="true">MAX(0.08,NORMINV(RAND(),$B$8,$C$8))</f>
        <v>0.120941203552995</v>
      </c>
      <c r="E85" s="56" t="n">
        <f aca="true">MAX(5,NORMINV(RAND(),$B$9,$C$9))</f>
        <v>14.1087906710953</v>
      </c>
      <c r="F85" s="26" t="n">
        <f aca="false">$B$18*(1+(B85+$B$17)/2)^9</f>
        <v>3690.58366313388</v>
      </c>
      <c r="G85" s="26" t="n">
        <f aca="false">F85*(C85-Assumptions!$F$18)+$B$20</f>
        <v>594.49400528572</v>
      </c>
      <c r="H85" s="26" t="n">
        <f aca="false">E85*G85/(1+D85)^9</f>
        <v>3001.86923806377</v>
      </c>
      <c r="I85" s="26" t="n">
        <f aca="false">$B$13*F85/$B$19*((1+$B$8)/(1+D85))^4.5</f>
        <v>-1931.03173598506</v>
      </c>
      <c r="J85" s="26" t="n">
        <f aca="false">H85+I85+$B$14</f>
        <v>2836.0155842705</v>
      </c>
      <c r="K85" s="44" t="n">
        <f aca="false">J85/$B$15</f>
        <v>6.98526005977955</v>
      </c>
    </row>
    <row r="86" customFormat="false" ht="15" hidden="false" customHeight="false" outlineLevel="0" collapsed="false">
      <c r="A86" s="55" t="n">
        <v>46</v>
      </c>
      <c r="B86" s="21" t="n">
        <f aca="true">NORMINV(RAND(),$B$6,$C$6)</f>
        <v>0.568192826628644</v>
      </c>
      <c r="C86" s="21" t="n">
        <f aca="true">MAX(0.05,NORMINV(RAND(),$B$7,$C$7))</f>
        <v>0.299068745487894</v>
      </c>
      <c r="D86" s="33" t="n">
        <f aca="true">MAX(0.08,NORMINV(RAND(),$B$8,$C$8))</f>
        <v>0.145459844712917</v>
      </c>
      <c r="E86" s="56" t="n">
        <f aca="true">MAX(5,NORMINV(RAND(),$B$9,$C$9))</f>
        <v>14.5955843569909</v>
      </c>
      <c r="F86" s="26" t="n">
        <f aca="false">$B$18*(1+(B86+$B$17)/2)^9</f>
        <v>3942.20214801783</v>
      </c>
      <c r="G86" s="26" t="n">
        <f aca="false">F86*(C86-Assumptions!$F$18)+$B$20</f>
        <v>716.552759947971</v>
      </c>
      <c r="H86" s="26" t="n">
        <f aca="false">E86*G86/(1+D86)^9</f>
        <v>3080.71014058412</v>
      </c>
      <c r="I86" s="26" t="n">
        <f aca="false">$B$13*F86/$B$19*((1+$B$8)/(1+D86))^4.5</f>
        <v>-1871.31364839038</v>
      </c>
      <c r="J86" s="26" t="n">
        <f aca="false">H86+I86+$B$14</f>
        <v>2974.57457438552</v>
      </c>
      <c r="K86" s="44" t="n">
        <f aca="false">J86/$B$15</f>
        <v>7.32653836055546</v>
      </c>
    </row>
    <row r="87" customFormat="false" ht="15" hidden="false" customHeight="false" outlineLevel="0" collapsed="false">
      <c r="A87" s="55" t="n">
        <v>47</v>
      </c>
      <c r="B87" s="21" t="n">
        <f aca="true">NORMINV(RAND(),$B$6,$C$6)</f>
        <v>0.674415656386154</v>
      </c>
      <c r="C87" s="21" t="n">
        <f aca="true">MAX(0.05,NORMINV(RAND(),$B$7,$C$7))</f>
        <v>0.324178332467687</v>
      </c>
      <c r="D87" s="33" t="n">
        <f aca="true">MAX(0.08,NORMINV(RAND(),$B$8,$C$8))</f>
        <v>0.140877391269134</v>
      </c>
      <c r="E87" s="56" t="n">
        <f aca="true">MAX(5,NORMINV(RAND(),$B$9,$C$9))</f>
        <v>13.849764625202</v>
      </c>
      <c r="F87" s="26" t="n">
        <f aca="false">$B$18*(1+(B87+$B$17)/2)^9</f>
        <v>5499.89561546759</v>
      </c>
      <c r="G87" s="26" t="n">
        <f aca="false">F87*(C87-Assumptions!$F$18)+$B$20</f>
        <v>1258.20255975124</v>
      </c>
      <c r="H87" s="26" t="n">
        <f aca="false">E87*G87/(1+D87)^9</f>
        <v>5321.59957359573</v>
      </c>
      <c r="I87" s="26" t="n">
        <f aca="false">$B$13*F87/$B$19*((1+$B$8)/(1+D87))^4.5</f>
        <v>-2658.25213162139</v>
      </c>
      <c r="J87" s="26" t="n">
        <f aca="false">H87+I87+$B$14</f>
        <v>4428.52552416613</v>
      </c>
      <c r="K87" s="44" t="n">
        <f aca="false">J87/$B$15</f>
        <v>10.9076983353845</v>
      </c>
    </row>
    <row r="88" customFormat="false" ht="15" hidden="false" customHeight="false" outlineLevel="0" collapsed="false">
      <c r="A88" s="55" t="n">
        <v>48</v>
      </c>
      <c r="B88" s="21" t="n">
        <f aca="true">NORMINV(RAND(),$B$6,$C$6)</f>
        <v>0.631647263836656</v>
      </c>
      <c r="C88" s="21" t="n">
        <f aca="true">MAX(0.05,NORMINV(RAND(),$B$7,$C$7))</f>
        <v>0.360621518570666</v>
      </c>
      <c r="D88" s="33" t="n">
        <f aca="true">MAX(0.08,NORMINV(RAND(),$B$8,$C$8))</f>
        <v>0.140122448406196</v>
      </c>
      <c r="E88" s="56" t="n">
        <f aca="true">MAX(5,NORMINV(RAND(),$B$9,$C$9))</f>
        <v>16.490456418233</v>
      </c>
      <c r="F88" s="26" t="n">
        <f aca="false">$B$18*(1+(B88+$B$17)/2)^9</f>
        <v>4816.92531032408</v>
      </c>
      <c r="G88" s="26" t="n">
        <f aca="false">F88*(C88-Assumptions!$F$18)+$B$20</f>
        <v>1239.66130283889</v>
      </c>
      <c r="H88" s="26" t="n">
        <f aca="false">E88*G88/(1+D88)^9</f>
        <v>6280.18228555496</v>
      </c>
      <c r="I88" s="26" t="n">
        <f aca="false">$B$13*F88/$B$19*((1+$B$8)/(1+D88))^4.5</f>
        <v>-2335.0989193084</v>
      </c>
      <c r="J88" s="26" t="n">
        <f aca="false">H88+I88+$B$14</f>
        <v>5710.26144843834</v>
      </c>
      <c r="K88" s="44" t="n">
        <f aca="false">J88/$B$15</f>
        <v>14.0646833705378</v>
      </c>
    </row>
    <row r="89" customFormat="false" ht="15" hidden="false" customHeight="false" outlineLevel="0" collapsed="false">
      <c r="A89" s="55" t="n">
        <v>49</v>
      </c>
      <c r="B89" s="21" t="n">
        <f aca="true">NORMINV(RAND(),$B$6,$C$6)</f>
        <v>0.470764629475714</v>
      </c>
      <c r="C89" s="21" t="n">
        <f aca="true">MAX(0.05,NORMINV(RAND(),$B$7,$C$7))</f>
        <v>0.336774296771406</v>
      </c>
      <c r="D89" s="33" t="n">
        <f aca="true">MAX(0.08,NORMINV(RAND(),$B$8,$C$8))</f>
        <v>0.156142207283122</v>
      </c>
      <c r="E89" s="56" t="n">
        <f aca="true">MAX(5,NORMINV(RAND(),$B$9,$C$9))</f>
        <v>13.7763847371735</v>
      </c>
      <c r="F89" s="26" t="n">
        <f aca="false">$B$18*(1+(B89+$B$17)/2)^9</f>
        <v>2872.24380554929</v>
      </c>
      <c r="G89" s="26" t="n">
        <f aca="false">F89*(C89-Assumptions!$F$18)+$B$20</f>
        <v>547.659530549226</v>
      </c>
      <c r="H89" s="26" t="n">
        <f aca="false">E89*G89/(1+D89)^9</f>
        <v>2044.29989520971</v>
      </c>
      <c r="I89" s="26" t="n">
        <f aca="false">$B$13*F89/$B$19*((1+$B$8)/(1+D89))^4.5</f>
        <v>-1307.63866733244</v>
      </c>
      <c r="J89" s="26" t="n">
        <f aca="false">H89+I89+$B$14</f>
        <v>2501.83931006905</v>
      </c>
      <c r="K89" s="44" t="n">
        <f aca="false">J89/$B$15</f>
        <v>6.16216578834741</v>
      </c>
    </row>
    <row r="90" customFormat="false" ht="15" hidden="false" customHeight="false" outlineLevel="0" collapsed="false">
      <c r="A90" s="55" t="n">
        <v>50</v>
      </c>
      <c r="B90" s="21" t="n">
        <f aca="true">NORMINV(RAND(),$B$6,$C$6)</f>
        <v>0.68156509750651</v>
      </c>
      <c r="C90" s="21" t="n">
        <f aca="true">MAX(0.05,NORMINV(RAND(),$B$7,$C$7))</f>
        <v>0.272595687091074</v>
      </c>
      <c r="D90" s="33" t="n">
        <f aca="true">MAX(0.08,NORMINV(RAND(),$B$8,$C$8))</f>
        <v>0.144285090571048</v>
      </c>
      <c r="E90" s="56" t="n">
        <f aca="true">MAX(5,NORMINV(RAND(),$B$9,$C$9))</f>
        <v>13.6708637088077</v>
      </c>
      <c r="F90" s="26" t="n">
        <f aca="false">$B$18*(1+(B90+$B$17)/2)^9</f>
        <v>5622.09818830174</v>
      </c>
      <c r="G90" s="26" t="n">
        <f aca="false">F90*(C90-Assumptions!$F$18)+$B$20</f>
        <v>1002.92718600283</v>
      </c>
      <c r="H90" s="26" t="n">
        <f aca="false">E90*G90/(1+D90)^9</f>
        <v>4076.2161303645</v>
      </c>
      <c r="I90" s="26" t="n">
        <f aca="false">$B$13*F90/$B$19*((1+$B$8)/(1+D90))^4.5</f>
        <v>-2681.09038471702</v>
      </c>
      <c r="J90" s="26" t="n">
        <f aca="false">H90+I90+$B$14</f>
        <v>3160.30382783926</v>
      </c>
      <c r="K90" s="44" t="n">
        <f aca="false">J90/$B$15</f>
        <v>7.78399957595876</v>
      </c>
    </row>
    <row r="91" customFormat="false" ht="15" hidden="false" customHeight="false" outlineLevel="0" collapsed="false">
      <c r="A91" s="55" t="n">
        <v>51</v>
      </c>
      <c r="B91" s="21" t="n">
        <f aca="true">NORMINV(RAND(),$B$6,$C$6)</f>
        <v>0.609702413331183</v>
      </c>
      <c r="C91" s="21" t="n">
        <f aca="true">MAX(0.05,NORMINV(RAND(),$B$7,$C$7))</f>
        <v>0.276323817707624</v>
      </c>
      <c r="D91" s="33" t="n">
        <f aca="true">MAX(0.08,NORMINV(RAND(),$B$8,$C$8))</f>
        <v>0.150855151330924</v>
      </c>
      <c r="E91" s="56" t="n">
        <f aca="true">MAX(5,NORMINV(RAND(),$B$9,$C$9))</f>
        <v>9.23937938872481</v>
      </c>
      <c r="F91" s="26" t="n">
        <f aca="false">$B$18*(1+(B91+$B$17)/2)^9</f>
        <v>4496.66072447956</v>
      </c>
      <c r="G91" s="26" t="n">
        <f aca="false">F91*(C91-Assumptions!$F$18)+$B$20</f>
        <v>757.919424346251</v>
      </c>
      <c r="H91" s="26" t="n">
        <f aca="false">E91*G91/(1+D91)^9</f>
        <v>1977.33313512</v>
      </c>
      <c r="I91" s="26" t="n">
        <f aca="false">$B$13*F91/$B$19*((1+$B$8)/(1+D91))^4.5</f>
        <v>-2089.84573928083</v>
      </c>
      <c r="J91" s="26" t="n">
        <f aca="false">H91+I91+$B$14</f>
        <v>1652.66547803095</v>
      </c>
      <c r="K91" s="44" t="n">
        <f aca="false">J91/$B$15</f>
        <v>4.07060462569199</v>
      </c>
    </row>
    <row r="92" customFormat="false" ht="15" hidden="false" customHeight="false" outlineLevel="0" collapsed="false">
      <c r="A92" s="55" t="n">
        <v>52</v>
      </c>
      <c r="B92" s="21" t="n">
        <f aca="true">NORMINV(RAND(),$B$6,$C$6)</f>
        <v>0.516091268367016</v>
      </c>
      <c r="C92" s="21" t="n">
        <f aca="true">MAX(0.05,NORMINV(RAND(),$B$7,$C$7))</f>
        <v>0.327899479362919</v>
      </c>
      <c r="D92" s="33" t="n">
        <f aca="true">MAX(0.08,NORMINV(RAND(),$B$8,$C$8))</f>
        <v>0.134785194110143</v>
      </c>
      <c r="E92" s="56" t="n">
        <f aca="true">MAX(5,NORMINV(RAND(),$B$9,$C$9))</f>
        <v>20.0475353676636</v>
      </c>
      <c r="F92" s="26" t="n">
        <f aca="false">$B$18*(1+(B92+$B$17)/2)^9</f>
        <v>3332.73740488463</v>
      </c>
      <c r="G92" s="26" t="n">
        <f aca="false">F92*(C92-Assumptions!$F$18)+$B$20</f>
        <v>654.744758720924</v>
      </c>
      <c r="H92" s="26" t="n">
        <f aca="false">E92*G92/(1+D92)^9</f>
        <v>4206.3951865315</v>
      </c>
      <c r="I92" s="26" t="n">
        <f aca="false">$B$13*F92/$B$19*((1+$B$8)/(1+D92))^4.5</f>
        <v>-1650.08656507811</v>
      </c>
      <c r="J92" s="26" t="n">
        <f aca="false">H92+I92+$B$14</f>
        <v>4321.48670364517</v>
      </c>
      <c r="K92" s="44" t="n">
        <f aca="false">J92/$B$15</f>
        <v>10.6440559203083</v>
      </c>
    </row>
    <row r="93" customFormat="false" ht="15" hidden="false" customHeight="false" outlineLevel="0" collapsed="false">
      <c r="A93" s="55" t="n">
        <v>53</v>
      </c>
      <c r="B93" s="21" t="n">
        <f aca="true">NORMINV(RAND(),$B$6,$C$6)</f>
        <v>0.583943232304589</v>
      </c>
      <c r="C93" s="21" t="n">
        <f aca="true">MAX(0.05,NORMINV(RAND(),$B$7,$C$7))</f>
        <v>0.288881253627618</v>
      </c>
      <c r="D93" s="33" t="n">
        <f aca="true">MAX(0.08,NORMINV(RAND(),$B$8,$C$8))</f>
        <v>0.126154965887174</v>
      </c>
      <c r="E93" s="56" t="n">
        <f aca="true">MAX(5,NORMINV(RAND(),$B$9,$C$9))</f>
        <v>16.6501175408349</v>
      </c>
      <c r="F93" s="26" t="n">
        <f aca="false">$B$18*(1+(B93+$B$17)/2)^9</f>
        <v>4144.98403927607</v>
      </c>
      <c r="G93" s="26" t="n">
        <f aca="false">F93*(C93-Assumptions!$F$18)+$B$20</f>
        <v>726.860218962808</v>
      </c>
      <c r="H93" s="26" t="n">
        <f aca="false">E93*G93/(1+D93)^9</f>
        <v>4154.17509963256</v>
      </c>
      <c r="I93" s="26" t="n">
        <f aca="false">$B$13*F93/$B$19*((1+$B$8)/(1+D93))^4.5</f>
        <v>-2123.96944890584</v>
      </c>
      <c r="J93" s="26" t="n">
        <f aca="false">H93+I93+$B$14</f>
        <v>3795.3837329185</v>
      </c>
      <c r="K93" s="44" t="n">
        <f aca="false">J93/$B$15</f>
        <v>9.34823579536575</v>
      </c>
    </row>
    <row r="94" customFormat="false" ht="15" hidden="false" customHeight="false" outlineLevel="0" collapsed="false">
      <c r="A94" s="55" t="n">
        <v>54</v>
      </c>
      <c r="B94" s="21" t="n">
        <f aca="true">NORMINV(RAND(),$B$6,$C$6)</f>
        <v>0.411123389503471</v>
      </c>
      <c r="C94" s="21" t="n">
        <f aca="true">MAX(0.05,NORMINV(RAND(),$B$7,$C$7))</f>
        <v>0.281684811790917</v>
      </c>
      <c r="D94" s="33" t="n">
        <f aca="true">MAX(0.08,NORMINV(RAND(),$B$8,$C$8))</f>
        <v>0.12710666762725</v>
      </c>
      <c r="E94" s="56" t="n">
        <f aca="true">MAX(5,NORMINV(RAND(),$B$9,$C$9))</f>
        <v>18.8220346680431</v>
      </c>
      <c r="F94" s="26" t="n">
        <f aca="false">$B$18*(1+(B94+$B$17)/2)^9</f>
        <v>2352.81431280438</v>
      </c>
      <c r="G94" s="26" t="n">
        <f aca="false">F94*(C94-Assumptions!$F$18)+$B$20</f>
        <v>263.890879370412</v>
      </c>
      <c r="H94" s="26" t="n">
        <f aca="false">E94*G94/(1+D94)^9</f>
        <v>1692.02111674928</v>
      </c>
      <c r="I94" s="26" t="n">
        <f aca="false">$B$13*F94/$B$19*((1+$B$8)/(1+D94))^4.5</f>
        <v>-1201.05300516306</v>
      </c>
      <c r="J94" s="26" t="n">
        <f aca="false">H94+I94+$B$14</f>
        <v>2256.146193778</v>
      </c>
      <c r="K94" s="44" t="n">
        <f aca="false">J94/$B$15</f>
        <v>5.55701032950247</v>
      </c>
    </row>
    <row r="95" customFormat="false" ht="15" hidden="false" customHeight="false" outlineLevel="0" collapsed="false">
      <c r="A95" s="55" t="n">
        <v>55</v>
      </c>
      <c r="B95" s="21" t="n">
        <f aca="true">NORMINV(RAND(),$B$6,$C$6)</f>
        <v>0.647852875903903</v>
      </c>
      <c r="C95" s="21" t="n">
        <f aca="true">MAX(0.05,NORMINV(RAND(),$B$7,$C$7))</f>
        <v>0.376948848822867</v>
      </c>
      <c r="D95" s="33" t="n">
        <f aca="true">MAX(0.08,NORMINV(RAND(),$B$8,$C$8))</f>
        <v>0.130122914576732</v>
      </c>
      <c r="E95" s="56" t="n">
        <f aca="true">MAX(5,NORMINV(RAND(),$B$9,$C$9))</f>
        <v>18.2509382501336</v>
      </c>
      <c r="F95" s="26" t="n">
        <f aca="false">$B$18*(1+(B95+$B$17)/2)^9</f>
        <v>5066.28406692445</v>
      </c>
      <c r="G95" s="26" t="n">
        <f aca="false">F95*(C95-Assumptions!$F$18)+$B$20</f>
        <v>1402.32997916114</v>
      </c>
      <c r="H95" s="26" t="n">
        <f aca="false">E95*G95/(1+D95)^9</f>
        <v>8511.4643926635</v>
      </c>
      <c r="I95" s="26" t="n">
        <f aca="false">$B$13*F95/$B$19*((1+$B$8)/(1+D95))^4.5</f>
        <v>-2555.29520081707</v>
      </c>
      <c r="J95" s="26" t="n">
        <f aca="false">H95+I95+$B$14</f>
        <v>7721.34727403821</v>
      </c>
      <c r="K95" s="44" t="n">
        <f aca="false">J95/$B$15</f>
        <v>19.0180967340843</v>
      </c>
    </row>
    <row r="96" customFormat="false" ht="15" hidden="false" customHeight="false" outlineLevel="0" collapsed="false">
      <c r="A96" s="55" t="n">
        <v>56</v>
      </c>
      <c r="B96" s="21" t="n">
        <f aca="true">NORMINV(RAND(),$B$6,$C$6)</f>
        <v>0.619342330440614</v>
      </c>
      <c r="C96" s="21" t="n">
        <f aca="true">MAX(0.05,NORMINV(RAND(),$B$7,$C$7))</f>
        <v>0.31820724571841</v>
      </c>
      <c r="D96" s="33" t="n">
        <f aca="true">MAX(0.08,NORMINV(RAND(),$B$8,$C$8))</f>
        <v>0.159462564005316</v>
      </c>
      <c r="E96" s="56" t="n">
        <f aca="true">MAX(5,NORMINV(RAND(),$B$9,$C$9))</f>
        <v>14.5129324705525</v>
      </c>
      <c r="F96" s="26" t="n">
        <f aca="false">$B$18*(1+(B96+$B$17)/2)^9</f>
        <v>4634.93696929034</v>
      </c>
      <c r="G96" s="26" t="n">
        <f aca="false">F96*(C96-Assumptions!$F$18)+$B$20</f>
        <v>984.72444330601</v>
      </c>
      <c r="H96" s="26" t="n">
        <f aca="false">E96*G96/(1+D96)^9</f>
        <v>3773.62998409683</v>
      </c>
      <c r="I96" s="26" t="n">
        <f aca="false">$B$13*F96/$B$19*((1+$B$8)/(1+D96))^4.5</f>
        <v>-2083.0785609764</v>
      </c>
      <c r="J96" s="26" t="n">
        <f aca="false">H96+I96+$B$14</f>
        <v>3455.72950531221</v>
      </c>
      <c r="K96" s="44" t="n">
        <f aca="false">J96/$B$15</f>
        <v>8.51164902786259</v>
      </c>
    </row>
    <row r="97" customFormat="false" ht="15" hidden="false" customHeight="false" outlineLevel="0" collapsed="false">
      <c r="A97" s="55" t="n">
        <v>57</v>
      </c>
      <c r="B97" s="21" t="n">
        <f aca="true">NORMINV(RAND(),$B$6,$C$6)</f>
        <v>0.660310695470037</v>
      </c>
      <c r="C97" s="21" t="n">
        <f aca="true">MAX(0.05,NORMINV(RAND(),$B$7,$C$7))</f>
        <v>0.258428498438222</v>
      </c>
      <c r="D97" s="33" t="n">
        <f aca="true">MAX(0.08,NORMINV(RAND(),$B$8,$C$8))</f>
        <v>0.145380191346754</v>
      </c>
      <c r="E97" s="56" t="n">
        <f aca="true">MAX(5,NORMINV(RAND(),$B$9,$C$9))</f>
        <v>19.7358829521925</v>
      </c>
      <c r="F97" s="26" t="n">
        <f aca="false">$B$18*(1+(B97+$B$17)/2)^9</f>
        <v>5265.70763440415</v>
      </c>
      <c r="G97" s="26" t="n">
        <f aca="false">F97*(C97-Assumptions!$F$18)+$B$20</f>
        <v>845.432006798892</v>
      </c>
      <c r="H97" s="26" t="n">
        <f aca="false">E97*G97/(1+D97)^9</f>
        <v>4917.99671722696</v>
      </c>
      <c r="I97" s="26" t="n">
        <f aca="false">$B$13*F97/$B$19*((1+$B$8)/(1+D97))^4.5</f>
        <v>-2500.34733304584</v>
      </c>
      <c r="J97" s="26" t="n">
        <f aca="false">H97+I97+$B$14</f>
        <v>4182.8274663729</v>
      </c>
      <c r="K97" s="44" t="n">
        <f aca="false">J97/$B$15</f>
        <v>10.302530705352</v>
      </c>
    </row>
    <row r="98" customFormat="false" ht="15" hidden="false" customHeight="false" outlineLevel="0" collapsed="false">
      <c r="A98" s="55" t="n">
        <v>58</v>
      </c>
      <c r="B98" s="21" t="n">
        <f aca="true">NORMINV(RAND(),$B$6,$C$6)</f>
        <v>0.389240946949875</v>
      </c>
      <c r="C98" s="21" t="n">
        <f aca="true">MAX(0.05,NORMINV(RAND(),$B$7,$C$7))</f>
        <v>0.295210531780349</v>
      </c>
      <c r="D98" s="33" t="n">
        <f aca="true">MAX(0.08,NORMINV(RAND(),$B$8,$C$8))</f>
        <v>0.14884064689913</v>
      </c>
      <c r="E98" s="56" t="n">
        <f aca="true">MAX(5,NORMINV(RAND(),$B$9,$C$9))</f>
        <v>12.2968528896421</v>
      </c>
      <c r="F98" s="26" t="n">
        <f aca="false">$B$18*(1+(B98+$B$17)/2)^9</f>
        <v>2184.30816334899</v>
      </c>
      <c r="G98" s="26" t="n">
        <f aca="false">F98*(C98-Assumptions!$F$18)+$B$20</f>
        <v>252.709842941765</v>
      </c>
      <c r="H98" s="26" t="n">
        <f aca="false">E98*G98/(1+D98)^9</f>
        <v>891.411021875999</v>
      </c>
      <c r="I98" s="26" t="n">
        <f aca="false">$B$13*F98/$B$19*((1+$B$8)/(1+D98))^4.5</f>
        <v>-1023.20333509756</v>
      </c>
      <c r="J98" s="26" t="n">
        <f aca="false">H98+I98+$B$14</f>
        <v>1633.38576897022</v>
      </c>
      <c r="K98" s="44" t="n">
        <f aca="false">J98/$B$15</f>
        <v>4.02311765756212</v>
      </c>
    </row>
    <row r="99" customFormat="false" ht="15" hidden="false" customHeight="false" outlineLevel="0" collapsed="false">
      <c r="A99" s="55" t="n">
        <v>59</v>
      </c>
      <c r="B99" s="21" t="n">
        <f aca="true">NORMINV(RAND(),$B$6,$C$6)</f>
        <v>0.598001285030285</v>
      </c>
      <c r="C99" s="21" t="n">
        <f aca="true">MAX(0.05,NORMINV(RAND(),$B$7,$C$7))</f>
        <v>0.270550602690834</v>
      </c>
      <c r="D99" s="33" t="n">
        <f aca="true">MAX(0.08,NORMINV(RAND(),$B$8,$C$8))</f>
        <v>0.105888823350613</v>
      </c>
      <c r="E99" s="56" t="n">
        <f aca="true">MAX(5,NORMINV(RAND(),$B$9,$C$9))</f>
        <v>18.5529831428179</v>
      </c>
      <c r="F99" s="26" t="n">
        <f aca="false">$B$18*(1+(B99+$B$17)/2)^9</f>
        <v>4333.75317073822</v>
      </c>
      <c r="G99" s="26" t="n">
        <f aca="false">F99*(C99-Assumptions!$F$18)+$B$20</f>
        <v>694.40080042832</v>
      </c>
      <c r="H99" s="26" t="n">
        <f aca="false">E99*G99/(1+D99)^9</f>
        <v>5207.39764950302</v>
      </c>
      <c r="I99" s="26" t="n">
        <f aca="false">$B$13*F99/$B$19*((1+$B$8)/(1+D99))^4.5</f>
        <v>-2409.79261122787</v>
      </c>
      <c r="J99" s="26" t="n">
        <f aca="false">H99+I99+$B$14</f>
        <v>4562.78312046693</v>
      </c>
      <c r="K99" s="44" t="n">
        <f aca="false">J99/$B$15</f>
        <v>11.2383820701156</v>
      </c>
    </row>
    <row r="100" customFormat="false" ht="15" hidden="false" customHeight="false" outlineLevel="0" collapsed="false">
      <c r="A100" s="55" t="n">
        <v>60</v>
      </c>
      <c r="B100" s="21" t="n">
        <f aca="true">NORMINV(RAND(),$B$6,$C$6)</f>
        <v>0.395390867622361</v>
      </c>
      <c r="C100" s="21" t="n">
        <f aca="true">MAX(0.05,NORMINV(RAND(),$B$7,$C$7))</f>
        <v>0.341716350055651</v>
      </c>
      <c r="D100" s="33" t="n">
        <f aca="true">MAX(0.08,NORMINV(RAND(),$B$8,$C$8))</f>
        <v>0.137836817690946</v>
      </c>
      <c r="E100" s="56" t="n">
        <f aca="true">MAX(5,NORMINV(RAND(),$B$9,$C$9))</f>
        <v>19.6914626816454</v>
      </c>
      <c r="F100" s="26" t="n">
        <f aca="false">$B$18*(1+(B100+$B$17)/2)^9</f>
        <v>2230.54604951101</v>
      </c>
      <c r="G100" s="26" t="n">
        <f aca="false">F100*(C100-Assumptions!$F$18)+$B$20</f>
        <v>368.243607690824</v>
      </c>
      <c r="H100" s="26" t="n">
        <f aca="false">E100*G100/(1+D100)^9</f>
        <v>2268.26270366713</v>
      </c>
      <c r="I100" s="26" t="n">
        <f aca="false">$B$13*F100/$B$19*((1+$B$8)/(1+D100))^4.5</f>
        <v>-1091.10960513126</v>
      </c>
      <c r="J100" s="26" t="n">
        <f aca="false">H100+I100+$B$14</f>
        <v>2942.33118072765</v>
      </c>
      <c r="K100" s="44" t="n">
        <f aca="false">J100/$B$15</f>
        <v>7.24712113479716</v>
      </c>
    </row>
    <row r="101" customFormat="false" ht="15" hidden="false" customHeight="false" outlineLevel="0" collapsed="false">
      <c r="A101" s="55" t="n">
        <v>61</v>
      </c>
      <c r="B101" s="21" t="n">
        <f aca="true">NORMINV(RAND(),$B$6,$C$6)</f>
        <v>0.599123640747057</v>
      </c>
      <c r="C101" s="21" t="n">
        <f aca="true">MAX(0.05,NORMINV(RAND(),$B$7,$C$7))</f>
        <v>0.353942847979419</v>
      </c>
      <c r="D101" s="33" t="n">
        <f aca="true">MAX(0.08,NORMINV(RAND(),$B$8,$C$8))</f>
        <v>0.135022697349223</v>
      </c>
      <c r="E101" s="56" t="n">
        <f aca="true">MAX(5,NORMINV(RAND(),$B$9,$C$9))</f>
        <v>18.0563909436146</v>
      </c>
      <c r="F101" s="26" t="n">
        <f aca="false">$B$18*(1+(B101+$B$17)/2)^9</f>
        <v>4349.14824223852</v>
      </c>
      <c r="G101" s="26" t="n">
        <f aca="false">F101*(C101-Assumptions!$F$18)+$B$20</f>
        <v>1060.63538045435</v>
      </c>
      <c r="H101" s="26" t="n">
        <f aca="false">E101*G101/(1+D101)^9</f>
        <v>6125.70590445795</v>
      </c>
      <c r="I101" s="26" t="n">
        <f aca="false">$B$13*F101/$B$19*((1+$B$8)/(1+D101))^4.5</f>
        <v>-2151.299412446</v>
      </c>
      <c r="J101" s="26" t="n">
        <f aca="false">H101+I101+$B$14</f>
        <v>5739.58457420373</v>
      </c>
      <c r="K101" s="44" t="n">
        <f aca="false">J101/$B$15</f>
        <v>14.1369078182358</v>
      </c>
    </row>
    <row r="102" customFormat="false" ht="15" hidden="false" customHeight="false" outlineLevel="0" collapsed="false">
      <c r="A102" s="55" t="n">
        <v>62</v>
      </c>
      <c r="B102" s="21" t="n">
        <f aca="true">NORMINV(RAND(),$B$6,$C$6)</f>
        <v>0.514736507874197</v>
      </c>
      <c r="C102" s="21" t="n">
        <f aca="true">MAX(0.05,NORMINV(RAND(),$B$7,$C$7))</f>
        <v>0.196179383956822</v>
      </c>
      <c r="D102" s="33" t="n">
        <f aca="true">MAX(0.08,NORMINV(RAND(),$B$8,$C$8))</f>
        <v>0.131825136203034</v>
      </c>
      <c r="E102" s="56" t="n">
        <f aca="true">MAX(5,NORMINV(RAND(),$B$9,$C$9))</f>
        <v>14.8499257934079</v>
      </c>
      <c r="F102" s="26" t="n">
        <f aca="false">$B$18*(1+(B102+$B$17)/2)^9</f>
        <v>3318.0755493262</v>
      </c>
      <c r="G102" s="26" t="n">
        <f aca="false">F102*(C102-Assumptions!$F$18)+$B$20</f>
        <v>213.466390217269</v>
      </c>
      <c r="H102" s="26" t="n">
        <f aca="false">E102*G102/(1+D102)^9</f>
        <v>1040.0154156821</v>
      </c>
      <c r="I102" s="26" t="n">
        <f aca="false">$B$13*F102/$B$19*((1+$B$8)/(1+D102))^4.5</f>
        <v>-1662.25010815453</v>
      </c>
      <c r="J102" s="26" t="n">
        <f aca="false">H102+I102+$B$14</f>
        <v>1142.94338971936</v>
      </c>
      <c r="K102" s="44" t="n">
        <f aca="false">J102/$B$15</f>
        <v>2.81513150177182</v>
      </c>
    </row>
    <row r="103" customFormat="false" ht="15" hidden="false" customHeight="false" outlineLevel="0" collapsed="false">
      <c r="A103" s="55" t="n">
        <v>63</v>
      </c>
      <c r="B103" s="21" t="n">
        <f aca="true">NORMINV(RAND(),$B$6,$C$6)</f>
        <v>0.518012754747227</v>
      </c>
      <c r="C103" s="21" t="n">
        <f aca="true">MAX(0.05,NORMINV(RAND(),$B$7,$C$7))</f>
        <v>0.355443961457649</v>
      </c>
      <c r="D103" s="33" t="n">
        <f aca="true">MAX(0.08,NORMINV(RAND(),$B$8,$C$8))</f>
        <v>0.120610160753696</v>
      </c>
      <c r="E103" s="56" t="n">
        <f aca="true">MAX(5,NORMINV(RAND(),$B$9,$C$9))</f>
        <v>15.2713250023594</v>
      </c>
      <c r="F103" s="26" t="n">
        <f aca="false">$B$18*(1+(B103+$B$17)/2)^9</f>
        <v>3353.63139731311</v>
      </c>
      <c r="G103" s="26" t="n">
        <f aca="false">F103*(C103-Assumptions!$F$18)+$B$20</f>
        <v>753.134168238509</v>
      </c>
      <c r="H103" s="26" t="n">
        <f aca="false">E103*G103/(1+D103)^9</f>
        <v>4127.22425632343</v>
      </c>
      <c r="I103" s="26" t="n">
        <f aca="false">$B$13*F103/$B$19*((1+$B$8)/(1+D103))^4.5</f>
        <v>-1757.06137193335</v>
      </c>
      <c r="J103" s="26" t="n">
        <f aca="false">H103+I103+$B$14</f>
        <v>4135.34096658186</v>
      </c>
      <c r="K103" s="44" t="n">
        <f aca="false">J103/$B$15</f>
        <v>10.1855688832066</v>
      </c>
    </row>
    <row r="104" customFormat="false" ht="15" hidden="false" customHeight="false" outlineLevel="0" collapsed="false">
      <c r="A104" s="55" t="n">
        <v>64</v>
      </c>
      <c r="B104" s="21" t="n">
        <f aca="true">NORMINV(RAND(),$B$6,$C$6)</f>
        <v>0.612194283885497</v>
      </c>
      <c r="C104" s="21" t="n">
        <f aca="true">MAX(0.05,NORMINV(RAND(),$B$7,$C$7))</f>
        <v>0.385256953871801</v>
      </c>
      <c r="D104" s="33" t="n">
        <f aca="true">MAX(0.08,NORMINV(RAND(),$B$8,$C$8))</f>
        <v>0.14138767188517</v>
      </c>
      <c r="E104" s="56" t="n">
        <f aca="true">MAX(5,NORMINV(RAND(),$B$9,$C$9))</f>
        <v>16.1343365771183</v>
      </c>
      <c r="F104" s="26" t="n">
        <f aca="false">$B$18*(1+(B104+$B$17)/2)^9</f>
        <v>4532.04835121332</v>
      </c>
      <c r="G104" s="26" t="n">
        <f aca="false">F104*(C104-Assumptions!$F$18)+$B$20</f>
        <v>1259.97260354094</v>
      </c>
      <c r="H104" s="26" t="n">
        <f aca="false">E104*G104/(1+D104)^9</f>
        <v>6183.20460421798</v>
      </c>
      <c r="I104" s="26" t="n">
        <f aca="false">$B$13*F104/$B$19*((1+$B$8)/(1+D104))^4.5</f>
        <v>-2186.06133137912</v>
      </c>
      <c r="J104" s="26" t="n">
        <f aca="false">H104+I104+$B$14</f>
        <v>5762.32135503065</v>
      </c>
      <c r="K104" s="44" t="n">
        <f aca="false">J104/$B$15</f>
        <v>14.1929097414548</v>
      </c>
    </row>
    <row r="105" customFormat="false" ht="15" hidden="false" customHeight="false" outlineLevel="0" collapsed="false">
      <c r="A105" s="55" t="n">
        <v>65</v>
      </c>
      <c r="B105" s="21" t="n">
        <f aca="true">NORMINV(RAND(),$B$6,$C$6)</f>
        <v>0.664363886277234</v>
      </c>
      <c r="C105" s="21" t="n">
        <f aca="true">MAX(0.05,NORMINV(RAND(),$B$7,$C$7))</f>
        <v>0.233908522758337</v>
      </c>
      <c r="D105" s="33" t="n">
        <f aca="true">MAX(0.08,NORMINV(RAND(),$B$8,$C$8))</f>
        <v>0.12485468344742</v>
      </c>
      <c r="E105" s="56" t="n">
        <f aca="true">MAX(5,NORMINV(RAND(),$B$9,$C$9))</f>
        <v>17.7978047782019</v>
      </c>
      <c r="F105" s="26" t="n">
        <f aca="false">$B$18*(1+(B105+$B$17)/2)^9</f>
        <v>5332.07849279669</v>
      </c>
      <c r="G105" s="26" t="n">
        <f aca="false">F105*(C105-Assumptions!$F$18)+$B$20</f>
        <v>729.186858771018</v>
      </c>
      <c r="H105" s="26" t="n">
        <f aca="false">E105*G105/(1+D105)^9</f>
        <v>4501.29508237484</v>
      </c>
      <c r="I105" s="26" t="n">
        <f aca="false">$B$13*F105/$B$19*((1+$B$8)/(1+D105))^4.5</f>
        <v>-2746.50090220201</v>
      </c>
      <c r="J105" s="26" t="n">
        <f aca="false">H105+I105+$B$14</f>
        <v>3519.97226236461</v>
      </c>
      <c r="K105" s="44" t="n">
        <f aca="false">J105/$B$15</f>
        <v>8.66988241961727</v>
      </c>
    </row>
    <row r="106" customFormat="false" ht="15" hidden="false" customHeight="false" outlineLevel="0" collapsed="false">
      <c r="A106" s="55" t="n">
        <v>66</v>
      </c>
      <c r="B106" s="21" t="n">
        <f aca="true">NORMINV(RAND(),$B$6,$C$6)</f>
        <v>0.615283588472507</v>
      </c>
      <c r="C106" s="21" t="n">
        <f aca="true">MAX(0.05,NORMINV(RAND(),$B$7,$C$7))</f>
        <v>0.262857662459415</v>
      </c>
      <c r="D106" s="33" t="n">
        <f aca="true">MAX(0.08,NORMINV(RAND(),$B$8,$C$8))</f>
        <v>0.142541629042857</v>
      </c>
      <c r="E106" s="56" t="n">
        <f aca="true">MAX(5,NORMINV(RAND(),$B$9,$C$9))</f>
        <v>8.43236841463232</v>
      </c>
      <c r="F106" s="26" t="n">
        <f aca="false">$B$18*(1+(B106+$B$17)/2)^9</f>
        <v>4576.26383251356</v>
      </c>
      <c r="G106" s="26" t="n">
        <f aca="false">F106*(C106-Assumptions!$F$18)+$B$20</f>
        <v>715.106855512849</v>
      </c>
      <c r="H106" s="26" t="n">
        <f aca="false">E106*G106/(1+D106)^9</f>
        <v>1817.49079325705</v>
      </c>
      <c r="I106" s="26" t="n">
        <f aca="false">$B$13*F106/$B$19*((1+$B$8)/(1+D106))^4.5</f>
        <v>-2197.37416069319</v>
      </c>
      <c r="J106" s="26" t="n">
        <f aca="false">H106+I106+$B$14</f>
        <v>1385.29471475564</v>
      </c>
      <c r="K106" s="44" t="n">
        <f aca="false">J106/$B$15</f>
        <v>3.41205594767398</v>
      </c>
    </row>
    <row r="107" customFormat="false" ht="15" hidden="false" customHeight="false" outlineLevel="0" collapsed="false">
      <c r="A107" s="55" t="n">
        <v>67</v>
      </c>
      <c r="B107" s="21" t="n">
        <f aca="true">NORMINV(RAND(),$B$6,$C$6)</f>
        <v>0.578567122351599</v>
      </c>
      <c r="C107" s="21" t="n">
        <f aca="true">MAX(0.05,NORMINV(RAND(),$B$7,$C$7))</f>
        <v>0.265148812810237</v>
      </c>
      <c r="D107" s="33" t="n">
        <f aca="true">MAX(0.08,NORMINV(RAND(),$B$8,$C$8))</f>
        <v>0.149439902664651</v>
      </c>
      <c r="E107" s="56" t="n">
        <f aca="true">MAX(5,NORMINV(RAND(),$B$9,$C$9))</f>
        <v>16.8722306195548</v>
      </c>
      <c r="F107" s="26" t="n">
        <f aca="false">$B$18*(1+(B107+$B$17)/2)^9</f>
        <v>4074.74978786269</v>
      </c>
      <c r="G107" s="26" t="n">
        <f aca="false">F107*(C107-Assumptions!$F$18)+$B$20</f>
        <v>612.676472237362</v>
      </c>
      <c r="H107" s="26" t="n">
        <f aca="false">E107*G107/(1+D107)^9</f>
        <v>2951.39461236851</v>
      </c>
      <c r="I107" s="26" t="n">
        <f aca="false">$B$13*F107/$B$19*((1+$B$8)/(1+D107))^4.5</f>
        <v>-1904.27575881083</v>
      </c>
      <c r="J107" s="26" t="n">
        <f aca="false">H107+I107+$B$14</f>
        <v>2812.29693574947</v>
      </c>
      <c r="K107" s="44" t="n">
        <f aca="false">J107/$B$15</f>
        <v>6.92683974322529</v>
      </c>
    </row>
    <row r="108" customFormat="false" ht="15" hidden="false" customHeight="false" outlineLevel="0" collapsed="false">
      <c r="A108" s="55" t="n">
        <v>68</v>
      </c>
      <c r="B108" s="21" t="n">
        <f aca="true">NORMINV(RAND(),$B$6,$C$6)</f>
        <v>0.629031665573042</v>
      </c>
      <c r="C108" s="21" t="n">
        <f aca="true">MAX(0.05,NORMINV(RAND(),$B$7,$C$7))</f>
        <v>0.282435067952441</v>
      </c>
      <c r="D108" s="33" t="n">
        <f aca="true">MAX(0.08,NORMINV(RAND(),$B$8,$C$8))</f>
        <v>0.140913829992841</v>
      </c>
      <c r="E108" s="56" t="n">
        <f aca="true">MAX(5,NORMINV(RAND(),$B$9,$C$9))</f>
        <v>18.2748905466143</v>
      </c>
      <c r="F108" s="26" t="n">
        <f aca="false">$B$18*(1+(B108+$B$17)/2)^9</f>
        <v>4777.71806512224</v>
      </c>
      <c r="G108" s="26" t="n">
        <f aca="false">F108*(C108-Assumptions!$F$18)+$B$20</f>
        <v>853.537798776826</v>
      </c>
      <c r="H108" s="26" t="n">
        <f aca="false">E108*G108/(1+D108)^9</f>
        <v>4762.13761631692</v>
      </c>
      <c r="I108" s="26" t="n">
        <f aca="false">$B$13*F108/$B$19*((1+$B$8)/(1+D108))^4.5</f>
        <v>-2308.87182205577</v>
      </c>
      <c r="J108" s="26" t="n">
        <f aca="false">H108+I108+$B$14</f>
        <v>4218.44387645294</v>
      </c>
      <c r="K108" s="44" t="n">
        <f aca="false">J108/$B$15</f>
        <v>10.3902558533324</v>
      </c>
    </row>
    <row r="109" customFormat="false" ht="15" hidden="false" customHeight="false" outlineLevel="0" collapsed="false">
      <c r="A109" s="55" t="n">
        <v>69</v>
      </c>
      <c r="B109" s="21" t="n">
        <f aca="true">NORMINV(RAND(),$B$6,$C$6)</f>
        <v>0.581986700086022</v>
      </c>
      <c r="C109" s="21" t="n">
        <f aca="true">MAX(0.05,NORMINV(RAND(),$B$7,$C$7))</f>
        <v>0.235573414896985</v>
      </c>
      <c r="D109" s="33" t="n">
        <f aca="true">MAX(0.08,NORMINV(RAND(),$B$8,$C$8))</f>
        <v>0.157642828076867</v>
      </c>
      <c r="E109" s="56" t="n">
        <f aca="true">MAX(5,NORMINV(RAND(),$B$9,$C$9))</f>
        <v>16.7875542227102</v>
      </c>
      <c r="F109" s="26" t="n">
        <f aca="false">$B$18*(1+(B109+$B$17)/2)^9</f>
        <v>4119.30006822846</v>
      </c>
      <c r="G109" s="26" t="n">
        <f aca="false">F109*(C109-Assumptions!$F$18)+$B$20</f>
        <v>500.876976330133</v>
      </c>
      <c r="H109" s="26" t="n">
        <f aca="false">E109*G109/(1+D109)^9</f>
        <v>2251.89028671542</v>
      </c>
      <c r="I109" s="26" t="n">
        <f aca="false">$B$13*F109/$B$19*((1+$B$8)/(1+D109))^4.5</f>
        <v>-1864.46785509575</v>
      </c>
      <c r="J109" s="26" t="n">
        <f aca="false">H109+I109+$B$14</f>
        <v>2152.60051381145</v>
      </c>
      <c r="K109" s="44" t="n">
        <f aca="false">J109/$B$15</f>
        <v>5.3019717088952</v>
      </c>
    </row>
    <row r="110" customFormat="false" ht="15" hidden="false" customHeight="false" outlineLevel="0" collapsed="false">
      <c r="A110" s="55" t="n">
        <v>70</v>
      </c>
      <c r="B110" s="21" t="n">
        <f aca="true">NORMINV(RAND(),$B$6,$C$6)</f>
        <v>0.49375238181183</v>
      </c>
      <c r="C110" s="21" t="n">
        <f aca="true">MAX(0.05,NORMINV(RAND(),$B$7,$C$7))</f>
        <v>0.277158806601714</v>
      </c>
      <c r="D110" s="33" t="n">
        <f aca="true">MAX(0.08,NORMINV(RAND(),$B$8,$C$8))</f>
        <v>0.14608628189621</v>
      </c>
      <c r="E110" s="56" t="n">
        <f aca="true">MAX(5,NORMINV(RAND(),$B$9,$C$9))</f>
        <v>19.0374496617869</v>
      </c>
      <c r="F110" s="26" t="n">
        <f aca="false">$B$18*(1+(B110+$B$17)/2)^9</f>
        <v>3098.18092296657</v>
      </c>
      <c r="G110" s="26" t="n">
        <f aca="false">F110*(C110-Assumptions!$F$18)+$B$20</f>
        <v>430.01228532826</v>
      </c>
      <c r="H110" s="26" t="n">
        <f aca="false">E110*G110/(1+D110)^9</f>
        <v>2399.5720962881</v>
      </c>
      <c r="I110" s="26" t="n">
        <f aca="false">$B$13*F110/$B$19*((1+$B$8)/(1+D110))^4.5</f>
        <v>-1467.05355225193</v>
      </c>
      <c r="J110" s="26" t="n">
        <f aca="false">H110+I110+$B$14</f>
        <v>2697.69662622795</v>
      </c>
      <c r="K110" s="44" t="n">
        <f aca="false">J110/$B$15</f>
        <v>6.6445729710048</v>
      </c>
    </row>
    <row r="111" customFormat="false" ht="15" hidden="false" customHeight="false" outlineLevel="0" collapsed="false">
      <c r="A111" s="55" t="n">
        <v>71</v>
      </c>
      <c r="B111" s="21" t="n">
        <f aca="true">NORMINV(RAND(),$B$6,$C$6)</f>
        <v>0.722829485484021</v>
      </c>
      <c r="C111" s="21" t="n">
        <f aca="true">MAX(0.05,NORMINV(RAND(),$B$7,$C$7))</f>
        <v>0.347727716415296</v>
      </c>
      <c r="D111" s="33" t="n">
        <f aca="true">MAX(0.08,NORMINV(RAND(),$B$8,$C$8))</f>
        <v>0.138355476919629</v>
      </c>
      <c r="E111" s="56" t="n">
        <f aca="true">MAX(5,NORMINV(RAND(),$B$9,$C$9))</f>
        <v>12.5882355215901</v>
      </c>
      <c r="F111" s="26" t="n">
        <f aca="false">$B$18*(1+(B111+$B$17)/2)^9</f>
        <v>6375.76853926802</v>
      </c>
      <c r="G111" s="26" t="n">
        <f aca="false">F111*(C111-Assumptions!$F$18)+$B$20</f>
        <v>1657.25208798275</v>
      </c>
      <c r="H111" s="26" t="n">
        <f aca="false">E111*G111/(1+D111)^9</f>
        <v>6499.0865733596</v>
      </c>
      <c r="I111" s="26" t="n">
        <f aca="false">$B$13*F111/$B$19*((1+$B$8)/(1+D111))^4.5</f>
        <v>-3112.42641282423</v>
      </c>
      <c r="J111" s="26" t="n">
        <f aca="false">H111+I111+$B$14</f>
        <v>5151.83824272714</v>
      </c>
      <c r="K111" s="44" t="n">
        <f aca="false">J111/$B$15</f>
        <v>12.6892567554856</v>
      </c>
    </row>
    <row r="112" customFormat="false" ht="15" hidden="false" customHeight="false" outlineLevel="0" collapsed="false">
      <c r="A112" s="55" t="n">
        <v>72</v>
      </c>
      <c r="B112" s="21" t="n">
        <f aca="true">NORMINV(RAND(),$B$6,$C$6)</f>
        <v>0.341506495075086</v>
      </c>
      <c r="C112" s="21" t="n">
        <f aca="true">MAX(0.05,NORMINV(RAND(),$B$7,$C$7))</f>
        <v>0.271499927611786</v>
      </c>
      <c r="D112" s="33" t="n">
        <f aca="true">MAX(0.08,NORMINV(RAND(),$B$8,$C$8))</f>
        <v>0.135007399251834</v>
      </c>
      <c r="E112" s="56" t="n">
        <f aca="true">MAX(5,NORMINV(RAND(),$B$9,$C$9))</f>
        <v>15.276220035217</v>
      </c>
      <c r="F112" s="26" t="n">
        <f aca="false">$B$18*(1+(B112+$B$17)/2)^9</f>
        <v>1853.41749839105</v>
      </c>
      <c r="G112" s="26" t="n">
        <f aca="false">F112*(C112-Assumptions!$F$18)+$B$20</f>
        <v>124.317411713258</v>
      </c>
      <c r="H112" s="26" t="n">
        <f aca="false">E112*G112/(1+D112)^9</f>
        <v>607.518671304791</v>
      </c>
      <c r="I112" s="26" t="n">
        <f aca="false">$B$13*F112/$B$19*((1+$B$8)/(1+D112))^4.5</f>
        <v>-916.845689631616</v>
      </c>
      <c r="J112" s="26" t="n">
        <f aca="false">H112+I112+$B$14</f>
        <v>1455.85106386496</v>
      </c>
      <c r="K112" s="44" t="n">
        <f aca="false">J112/$B$15</f>
        <v>3.58584005878068</v>
      </c>
    </row>
    <row r="113" customFormat="false" ht="15" hidden="false" customHeight="false" outlineLevel="0" collapsed="false">
      <c r="A113" s="55" t="n">
        <v>73</v>
      </c>
      <c r="B113" s="21" t="n">
        <f aca="true">NORMINV(RAND(),$B$6,$C$6)</f>
        <v>0.678527603477699</v>
      </c>
      <c r="C113" s="21" t="n">
        <f aca="true">MAX(0.05,NORMINV(RAND(),$B$7,$C$7))</f>
        <v>0.355780602464953</v>
      </c>
      <c r="D113" s="33" t="n">
        <f aca="true">MAX(0.08,NORMINV(RAND(),$B$8,$C$8))</f>
        <v>0.180474527927751</v>
      </c>
      <c r="E113" s="56" t="n">
        <f aca="true">MAX(5,NORMINV(RAND(),$B$9,$C$9))</f>
        <v>13.2606720921898</v>
      </c>
      <c r="F113" s="26" t="n">
        <f aca="false">$B$18*(1+(B113+$B$17)/2)^9</f>
        <v>5569.8877306948</v>
      </c>
      <c r="G113" s="26" t="n">
        <f aca="false">F113*(C113-Assumptions!$F$18)+$B$20</f>
        <v>1454.11389826226</v>
      </c>
      <c r="H113" s="26" t="n">
        <f aca="false">E113*G113/(1+D113)^9</f>
        <v>4331.66017195401</v>
      </c>
      <c r="I113" s="26" t="n">
        <f aca="false">$B$13*F113/$B$19*((1+$B$8)/(1+D113))^4.5</f>
        <v>-2308.919309284</v>
      </c>
      <c r="J113" s="26" t="n">
        <f aca="false">H113+I113+$B$14</f>
        <v>3787.91894486179</v>
      </c>
      <c r="K113" s="44" t="n">
        <f aca="false">J113/$B$15</f>
        <v>9.32984961788617</v>
      </c>
    </row>
    <row r="114" customFormat="false" ht="15" hidden="false" customHeight="false" outlineLevel="0" collapsed="false">
      <c r="A114" s="55" t="n">
        <v>74</v>
      </c>
      <c r="B114" s="21" t="n">
        <f aca="true">NORMINV(RAND(),$B$6,$C$6)</f>
        <v>0.40046950522545</v>
      </c>
      <c r="C114" s="21" t="n">
        <f aca="true">MAX(0.05,NORMINV(RAND(),$B$7,$C$7))</f>
        <v>0.280521627292828</v>
      </c>
      <c r="D114" s="33" t="n">
        <f aca="true">MAX(0.08,NORMINV(RAND(),$B$8,$C$8))</f>
        <v>0.166026566183457</v>
      </c>
      <c r="E114" s="56" t="n">
        <f aca="true">MAX(5,NORMINV(RAND(),$B$9,$C$9))</f>
        <v>13.7343301061592</v>
      </c>
      <c r="F114" s="26" t="n">
        <f aca="false">$B$18*(1+(B114+$B$17)/2)^9</f>
        <v>2269.38327977618</v>
      </c>
      <c r="G114" s="26" t="n">
        <f aca="false">F114*(C114-Assumptions!$F$18)+$B$20</f>
        <v>241.087154404213</v>
      </c>
      <c r="H114" s="26" t="n">
        <f aca="false">E114*G114/(1+D114)^9</f>
        <v>831.00865081178</v>
      </c>
      <c r="I114" s="26" t="n">
        <f aca="false">$B$13*F114/$B$19*((1+$B$8)/(1+D114))^4.5</f>
        <v>-994.344676593583</v>
      </c>
      <c r="J114" s="26" t="n">
        <f aca="false">H114+I114+$B$14</f>
        <v>1601.84205640998</v>
      </c>
      <c r="K114" s="44" t="n">
        <f aca="false">J114/$B$15</f>
        <v>3.94542378426103</v>
      </c>
    </row>
    <row r="115" customFormat="false" ht="15" hidden="false" customHeight="false" outlineLevel="0" collapsed="false">
      <c r="A115" s="55" t="n">
        <v>75</v>
      </c>
      <c r="B115" s="21" t="n">
        <f aca="true">NORMINV(RAND(),$B$6,$C$6)</f>
        <v>0.509802968825246</v>
      </c>
      <c r="C115" s="21" t="n">
        <f aca="true">MAX(0.05,NORMINV(RAND(),$B$7,$C$7))</f>
        <v>0.382267016747279</v>
      </c>
      <c r="D115" s="33" t="n">
        <f aca="true">MAX(0.08,NORMINV(RAND(),$B$8,$C$8))</f>
        <v>0.144530166709133</v>
      </c>
      <c r="E115" s="56" t="n">
        <f aca="true">MAX(5,NORMINV(RAND(),$B$9,$C$9))</f>
        <v>18.4001226176884</v>
      </c>
      <c r="F115" s="26" t="n">
        <f aca="false">$B$18*(1+(B115+$B$17)/2)^9</f>
        <v>3265.16581986809</v>
      </c>
      <c r="G115" s="26" t="n">
        <f aca="false">F115*(C115-Assumptions!$F$18)+$B$20</f>
        <v>812.809959352746</v>
      </c>
      <c r="H115" s="26" t="n">
        <f aca="false">E115*G115/(1+D115)^9</f>
        <v>4437.76742204755</v>
      </c>
      <c r="I115" s="26" t="n">
        <f aca="false">$B$13*F115/$B$19*((1+$B$8)/(1+D115))^4.5</f>
        <v>-1555.60650201781</v>
      </c>
      <c r="J115" s="26" t="n">
        <f aca="false">H115+I115+$B$14</f>
        <v>4647.33900222152</v>
      </c>
      <c r="K115" s="44" t="n">
        <f aca="false">J115/$B$15</f>
        <v>11.4466477887229</v>
      </c>
    </row>
    <row r="116" customFormat="false" ht="15" hidden="false" customHeight="false" outlineLevel="0" collapsed="false">
      <c r="A116" s="55" t="n">
        <v>76</v>
      </c>
      <c r="B116" s="21" t="n">
        <f aca="true">NORMINV(RAND(),$B$6,$C$6)</f>
        <v>0.669873258895226</v>
      </c>
      <c r="C116" s="21" t="n">
        <f aca="true">MAX(0.05,NORMINV(RAND(),$B$7,$C$7))</f>
        <v>0.2768811270007</v>
      </c>
      <c r="D116" s="33" t="n">
        <f aca="true">MAX(0.08,NORMINV(RAND(),$B$8,$C$8))</f>
        <v>0.159461279871569</v>
      </c>
      <c r="E116" s="56" t="n">
        <f aca="true">MAX(5,NORMINV(RAND(),$B$9,$C$9))</f>
        <v>10.4959823628552</v>
      </c>
      <c r="F116" s="26" t="n">
        <f aca="false">$B$18*(1+(B116+$B$17)/2)^9</f>
        <v>5423.48633834381</v>
      </c>
      <c r="G116" s="26" t="n">
        <f aca="false">F116*(C116-Assumptions!$F$18)+$B$20</f>
        <v>979.972951101095</v>
      </c>
      <c r="H116" s="26" t="n">
        <f aca="false">E116*G116/(1+D116)^9</f>
        <v>2716.00728826467</v>
      </c>
      <c r="I116" s="26" t="n">
        <f aca="false">$B$13*F116/$B$19*((1+$B$8)/(1+D116))^4.5</f>
        <v>-2437.48825444736</v>
      </c>
      <c r="J116" s="26" t="n">
        <f aca="false">H116+I116+$B$14</f>
        <v>2043.69711600909</v>
      </c>
      <c r="K116" s="44" t="n">
        <f aca="false">J116/$B$15</f>
        <v>5.03373673893864</v>
      </c>
    </row>
    <row r="117" customFormat="false" ht="15" hidden="false" customHeight="false" outlineLevel="0" collapsed="false">
      <c r="A117" s="55" t="n">
        <v>77</v>
      </c>
      <c r="B117" s="21" t="n">
        <f aca="true">NORMINV(RAND(),$B$6,$C$6)</f>
        <v>0.430837644664441</v>
      </c>
      <c r="C117" s="21" t="n">
        <f aca="true">MAX(0.05,NORMINV(RAND(),$B$7,$C$7))</f>
        <v>0.270986710983661</v>
      </c>
      <c r="D117" s="33" t="n">
        <f aca="true">MAX(0.08,NORMINV(RAND(),$B$8,$C$8))</f>
        <v>0.162086311443317</v>
      </c>
      <c r="E117" s="56" t="n">
        <f aca="true">MAX(5,NORMINV(RAND(),$B$9,$C$9))</f>
        <v>14.4844930511389</v>
      </c>
      <c r="F117" s="26" t="n">
        <f aca="false">$B$18*(1+(B117+$B$17)/2)^9</f>
        <v>2514.41618618095</v>
      </c>
      <c r="G117" s="26" t="n">
        <f aca="false">F117*(C117-Assumptions!$F$18)+$B$20</f>
        <v>276.04811989133</v>
      </c>
      <c r="H117" s="26" t="n">
        <f aca="false">E117*G117/(1+D117)^9</f>
        <v>1034.52889086921</v>
      </c>
      <c r="I117" s="26" t="n">
        <f aca="false">$B$13*F117/$B$19*((1+$B$8)/(1+D117))^4.5</f>
        <v>-1118.61730831398</v>
      </c>
      <c r="J117" s="26" t="n">
        <f aca="false">H117+I117+$B$14</f>
        <v>1681.08966474701</v>
      </c>
      <c r="K117" s="44" t="n">
        <f aca="false">J117/$B$15</f>
        <v>4.14061493780052</v>
      </c>
    </row>
    <row r="118" customFormat="false" ht="15" hidden="false" customHeight="false" outlineLevel="0" collapsed="false">
      <c r="A118" s="55" t="n">
        <v>78</v>
      </c>
      <c r="B118" s="21" t="n">
        <f aca="true">NORMINV(RAND(),$B$6,$C$6)</f>
        <v>0.460702306998778</v>
      </c>
      <c r="C118" s="21" t="n">
        <f aca="true">MAX(0.05,NORMINV(RAND(),$B$7,$C$7))</f>
        <v>0.282045525289472</v>
      </c>
      <c r="D118" s="33" t="n">
        <f aca="true">MAX(0.08,NORMINV(RAND(),$B$8,$C$8))</f>
        <v>0.140715446857056</v>
      </c>
      <c r="E118" s="56" t="n">
        <f aca="true">MAX(5,NORMINV(RAND(),$B$9,$C$9))</f>
        <v>17.7864397719291</v>
      </c>
      <c r="F118" s="26" t="n">
        <f aca="false">$B$18*(1+(B118+$B$17)/2)^9</f>
        <v>2778.04305726853</v>
      </c>
      <c r="G118" s="26" t="n">
        <f aca="false">F118*(C118-Assumptions!$F$18)+$B$20</f>
        <v>367.664286074644</v>
      </c>
      <c r="H118" s="26" t="n">
        <f aca="false">E118*G118/(1+D118)^9</f>
        <v>1999.60663446456</v>
      </c>
      <c r="I118" s="26" t="n">
        <f aca="false">$B$13*F118/$B$19*((1+$B$8)/(1+D118))^4.5</f>
        <v>-1343.56328421</v>
      </c>
      <c r="J118" s="26" t="n">
        <f aca="false">H118+I118+$B$14</f>
        <v>2421.22143244634</v>
      </c>
      <c r="K118" s="44" t="n">
        <f aca="false">J118/$B$15</f>
        <v>5.96359958730625</v>
      </c>
    </row>
    <row r="119" customFormat="false" ht="15" hidden="false" customHeight="false" outlineLevel="0" collapsed="false">
      <c r="A119" s="55" t="n">
        <v>79</v>
      </c>
      <c r="B119" s="21" t="n">
        <f aca="true">NORMINV(RAND(),$B$6,$C$6)</f>
        <v>0.472032694920598</v>
      </c>
      <c r="C119" s="21" t="n">
        <f aca="true">MAX(0.05,NORMINV(RAND(),$B$7,$C$7))</f>
        <v>0.295742371177294</v>
      </c>
      <c r="D119" s="33" t="n">
        <f aca="true">MAX(0.08,NORMINV(RAND(),$B$8,$C$8))</f>
        <v>0.131548049826914</v>
      </c>
      <c r="E119" s="56" t="n">
        <f aca="true">MAX(5,NORMINV(RAND(),$B$9,$C$9))</f>
        <v>16.9481912335148</v>
      </c>
      <c r="F119" s="26" t="n">
        <f aca="false">$B$18*(1+(B119+$B$17)/2)^9</f>
        <v>2884.31427822679</v>
      </c>
      <c r="G119" s="26" t="n">
        <f aca="false">F119*(C119-Assumptions!$F$18)+$B$20</f>
        <v>432.892767735556</v>
      </c>
      <c r="H119" s="26" t="n">
        <f aca="false">E119*G119/(1+D119)^9</f>
        <v>2412.38534547886</v>
      </c>
      <c r="I119" s="26" t="n">
        <f aca="false">$B$13*F119/$B$19*((1+$B$8)/(1+D119))^4.5</f>
        <v>-1446.54245283975</v>
      </c>
      <c r="J119" s="26" t="n">
        <f aca="false">H119+I119+$B$14</f>
        <v>2731.02097483089</v>
      </c>
      <c r="K119" s="44" t="n">
        <f aca="false">J119/$B$15</f>
        <v>6.72665264736673</v>
      </c>
    </row>
    <row r="120" customFormat="false" ht="15" hidden="false" customHeight="false" outlineLevel="0" collapsed="false">
      <c r="A120" s="55" t="n">
        <v>80</v>
      </c>
      <c r="B120" s="21" t="n">
        <f aca="true">NORMINV(RAND(),$B$6,$C$6)</f>
        <v>0.605808430293447</v>
      </c>
      <c r="C120" s="21" t="n">
        <f aca="true">MAX(0.05,NORMINV(RAND(),$B$7,$C$7))</f>
        <v>0.222395957866611</v>
      </c>
      <c r="D120" s="33" t="n">
        <f aca="true">MAX(0.08,NORMINV(RAND(),$B$8,$C$8))</f>
        <v>0.12761001122813</v>
      </c>
      <c r="E120" s="56" t="n">
        <f aca="true">MAX(5,NORMINV(RAND(),$B$9,$C$9))</f>
        <v>20.7659019451589</v>
      </c>
      <c r="F120" s="26" t="n">
        <f aca="false">$B$18*(1+(B120+$B$17)/2)^9</f>
        <v>4441.85304061526</v>
      </c>
      <c r="G120" s="26" t="n">
        <f aca="false">F120*(C120-Assumptions!$F$18)+$B$20</f>
        <v>505.427435047048</v>
      </c>
      <c r="H120" s="26" t="n">
        <f aca="false">E120*G120/(1+D120)^9</f>
        <v>3561.06010622497</v>
      </c>
      <c r="I120" s="26" t="n">
        <f aca="false">$B$13*F120/$B$19*((1+$B$8)/(1+D120))^4.5</f>
        <v>-2262.90404259382</v>
      </c>
      <c r="J120" s="26" t="n">
        <f aca="false">H120+I120+$B$14</f>
        <v>3063.33414582293</v>
      </c>
      <c r="K120" s="44" t="n">
        <f aca="false">J120/$B$15</f>
        <v>7.54515799463776</v>
      </c>
    </row>
    <row r="121" customFormat="false" ht="15" hidden="false" customHeight="false" outlineLevel="0" collapsed="false">
      <c r="A121" s="55" t="n">
        <v>81</v>
      </c>
      <c r="B121" s="21" t="n">
        <f aca="true">NORMINV(RAND(),$B$6,$C$6)</f>
        <v>0.620803017040348</v>
      </c>
      <c r="C121" s="21" t="n">
        <f aca="true">MAX(0.05,NORMINV(RAND(),$B$7,$C$7))</f>
        <v>0.251656147245891</v>
      </c>
      <c r="D121" s="33" t="n">
        <f aca="true">MAX(0.08,NORMINV(RAND(),$B$8,$C$8))</f>
        <v>0.129405186935522</v>
      </c>
      <c r="E121" s="56" t="n">
        <f aca="true">MAX(5,NORMINV(RAND(),$B$9,$C$9))</f>
        <v>14.6822755030393</v>
      </c>
      <c r="F121" s="26" t="n">
        <f aca="false">$B$18*(1+(B121+$B$17)/2)^9</f>
        <v>4656.21568983826</v>
      </c>
      <c r="G121" s="26" t="n">
        <f aca="false">F121*(C121-Assumptions!$F$18)+$B$20</f>
        <v>680.768068658345</v>
      </c>
      <c r="H121" s="26" t="n">
        <f aca="false">E121*G121/(1+D121)^9</f>
        <v>3343.06287312407</v>
      </c>
      <c r="I121" s="26" t="n">
        <f aca="false">$B$13*F121/$B$19*((1+$B$8)/(1+D121))^4.5</f>
        <v>-2355.191336708</v>
      </c>
      <c r="J121" s="26" t="n">
        <f aca="false">H121+I121+$B$14</f>
        <v>2753.04961860786</v>
      </c>
      <c r="K121" s="44" t="n">
        <f aca="false">J121/$B$15</f>
        <v>6.78091039065975</v>
      </c>
    </row>
    <row r="122" customFormat="false" ht="15" hidden="false" customHeight="false" outlineLevel="0" collapsed="false">
      <c r="A122" s="55" t="n">
        <v>82</v>
      </c>
      <c r="B122" s="21" t="n">
        <f aca="true">NORMINV(RAND(),$B$6,$C$6)</f>
        <v>0.57182591502531</v>
      </c>
      <c r="C122" s="21" t="n">
        <f aca="true">MAX(0.05,NORMINV(RAND(),$B$7,$C$7))</f>
        <v>0.273051891228038</v>
      </c>
      <c r="D122" s="33" t="n">
        <f aca="true">MAX(0.08,NORMINV(RAND(),$B$8,$C$8))</f>
        <v>0.135551746769354</v>
      </c>
      <c r="E122" s="56" t="n">
        <f aca="true">MAX(5,NORMINV(RAND(),$B$9,$C$9))</f>
        <v>17.0984646743138</v>
      </c>
      <c r="F122" s="26" t="n">
        <f aca="false">$B$18*(1+(B122+$B$17)/2)^9</f>
        <v>3988.17771694025</v>
      </c>
      <c r="G122" s="26" t="n">
        <f aca="false">F122*(C122-Assumptions!$F$18)+$B$20</f>
        <v>624.703754487753</v>
      </c>
      <c r="H122" s="26" t="n">
        <f aca="false">E122*G122/(1+D122)^9</f>
        <v>3402.27069460835</v>
      </c>
      <c r="I122" s="26" t="n">
        <f aca="false">$B$13*F122/$B$19*((1+$B$8)/(1+D122))^4.5</f>
        <v>-1968.61334635725</v>
      </c>
      <c r="J122" s="26" t="n">
        <f aca="false">H122+I122+$B$14</f>
        <v>3198.83543044289</v>
      </c>
      <c r="K122" s="44" t="n">
        <f aca="false">J122/$B$15</f>
        <v>7.87890500109086</v>
      </c>
    </row>
    <row r="123" customFormat="false" ht="15" hidden="false" customHeight="false" outlineLevel="0" collapsed="false">
      <c r="A123" s="55" t="n">
        <v>83</v>
      </c>
      <c r="B123" s="21" t="n">
        <f aca="true">NORMINV(RAND(),$B$6,$C$6)</f>
        <v>0.558711676159379</v>
      </c>
      <c r="C123" s="21" t="n">
        <f aca="true">MAX(0.05,NORMINV(RAND(),$B$7,$C$7))</f>
        <v>0.198110972514124</v>
      </c>
      <c r="D123" s="33" t="n">
        <f aca="true">MAX(0.08,NORMINV(RAND(),$B$8,$C$8))</f>
        <v>0.147454517555331</v>
      </c>
      <c r="E123" s="56" t="n">
        <f aca="true">MAX(5,NORMINV(RAND(),$B$9,$C$9))</f>
        <v>13.356990853107</v>
      </c>
      <c r="F123" s="26" t="n">
        <f aca="false">$B$18*(1+(B123+$B$17)/2)^9</f>
        <v>3824.43233327751</v>
      </c>
      <c r="G123" s="26" t="n">
        <f aca="false">F123*(C123-Assumptions!$F$18)+$B$20</f>
        <v>299.93611053028</v>
      </c>
      <c r="H123" s="26" t="n">
        <f aca="false">E123*G123/(1+D123)^9</f>
        <v>1161.76439633026</v>
      </c>
      <c r="I123" s="26" t="n">
        <f aca="false">$B$13*F123/$B$19*((1+$B$8)/(1+D123))^4.5</f>
        <v>-1801.25179550889</v>
      </c>
      <c r="J123" s="26" t="n">
        <f aca="false">H123+I123+$B$14</f>
        <v>1125.69068301315</v>
      </c>
      <c r="K123" s="44" t="n">
        <f aca="false">J123/$B$15</f>
        <v>2.77263715027869</v>
      </c>
    </row>
    <row r="124" customFormat="false" ht="15" hidden="false" customHeight="false" outlineLevel="0" collapsed="false">
      <c r="A124" s="55" t="n">
        <v>84</v>
      </c>
      <c r="B124" s="21" t="n">
        <f aca="true">NORMINV(RAND(),$B$6,$C$6)</f>
        <v>0.602858111130293</v>
      </c>
      <c r="C124" s="21" t="n">
        <f aca="true">MAX(0.05,NORMINV(RAND(),$B$7,$C$7))</f>
        <v>0.308524090540308</v>
      </c>
      <c r="D124" s="33" t="n">
        <f aca="true">MAX(0.08,NORMINV(RAND(),$B$8,$C$8))</f>
        <v>0.118459619096705</v>
      </c>
      <c r="E124" s="56" t="n">
        <f aca="true">MAX(5,NORMINV(RAND(),$B$9,$C$9))</f>
        <v>10.5206510617206</v>
      </c>
      <c r="F124" s="26" t="n">
        <f aca="false">$B$18*(1+(B124+$B$17)/2)^9</f>
        <v>4400.7236216235</v>
      </c>
      <c r="G124" s="26" t="n">
        <f aca="false">F124*(C124-Assumptions!$F$18)+$B$20</f>
        <v>876.951703217013</v>
      </c>
      <c r="H124" s="26" t="n">
        <f aca="false">E124*G124/(1+D124)^9</f>
        <v>3368.49193682827</v>
      </c>
      <c r="I124" s="26" t="n">
        <f aca="false">$B$13*F124/$B$19*((1+$B$8)/(1+D124))^4.5</f>
        <v>-2325.67920838614</v>
      </c>
      <c r="J124" s="26" t="n">
        <f aca="false">H124+I124+$B$14</f>
        <v>2807.99081063391</v>
      </c>
      <c r="K124" s="44" t="n">
        <f aca="false">J124/$B$15</f>
        <v>6.91623352372884</v>
      </c>
    </row>
    <row r="125" customFormat="false" ht="15" hidden="false" customHeight="false" outlineLevel="0" collapsed="false">
      <c r="A125" s="55" t="n">
        <v>85</v>
      </c>
      <c r="B125" s="21" t="n">
        <f aca="true">NORMINV(RAND(),$B$6,$C$6)</f>
        <v>0.4378763374555</v>
      </c>
      <c r="C125" s="21" t="n">
        <f aca="true">MAX(0.05,NORMINV(RAND(),$B$7,$C$7))</f>
        <v>0.323791211660946</v>
      </c>
      <c r="D125" s="33" t="n">
        <f aca="true">MAX(0.08,NORMINV(RAND(),$B$8,$C$8))</f>
        <v>0.136861859603633</v>
      </c>
      <c r="E125" s="56" t="n">
        <f aca="true">MAX(5,NORMINV(RAND(),$B$9,$C$9))</f>
        <v>16.3700674275331</v>
      </c>
      <c r="F125" s="26" t="n">
        <f aca="false">$B$18*(1+(B125+$B$17)/2)^9</f>
        <v>2574.4597147709</v>
      </c>
      <c r="G125" s="26" t="n">
        <f aca="false">F125*(C125-Assumptions!$F$18)+$B$20</f>
        <v>425.860436828437</v>
      </c>
      <c r="H125" s="26" t="n">
        <f aca="false">E125*G125/(1+D125)^9</f>
        <v>2197.5992268706</v>
      </c>
      <c r="I125" s="26" t="n">
        <f aca="false">$B$13*F125/$B$19*((1+$B$8)/(1+D125))^4.5</f>
        <v>-1264.20810835159</v>
      </c>
      <c r="J125" s="26" t="n">
        <f aca="false">H125+I125+$B$14</f>
        <v>2698.56920071079</v>
      </c>
      <c r="K125" s="44" t="n">
        <f aca="false">J125/$B$15</f>
        <v>6.64672216923839</v>
      </c>
    </row>
    <row r="126" customFormat="false" ht="15" hidden="false" customHeight="false" outlineLevel="0" collapsed="false">
      <c r="A126" s="55" t="n">
        <v>86</v>
      </c>
      <c r="B126" s="21" t="n">
        <f aca="true">NORMINV(RAND(),$B$6,$C$6)</f>
        <v>0.686461144121026</v>
      </c>
      <c r="C126" s="21" t="n">
        <f aca="true">MAX(0.05,NORMINV(RAND(),$B$7,$C$7))</f>
        <v>0.267492642409078</v>
      </c>
      <c r="D126" s="33" t="n">
        <f aca="true">MAX(0.08,NORMINV(RAND(),$B$8,$C$8))</f>
        <v>0.144207141838761</v>
      </c>
      <c r="E126" s="56" t="n">
        <f aca="true">MAX(5,NORMINV(RAND(),$B$9,$C$9))</f>
        <v>11.7489755731416</v>
      </c>
      <c r="F126" s="26" t="n">
        <f aca="false">$B$18*(1+(B126+$B$17)/2)^9</f>
        <v>5707.17081312276</v>
      </c>
      <c r="G126" s="26" t="n">
        <f aca="false">F126*(C126-Assumptions!$F$18)+$B$20</f>
        <v>993.590763958575</v>
      </c>
      <c r="H126" s="26" t="n">
        <f aca="false">E126*G126/(1+D126)^9</f>
        <v>3472.68714164657</v>
      </c>
      <c r="I126" s="26" t="n">
        <f aca="false">$B$13*F126/$B$19*((1+$B$8)/(1+D126))^4.5</f>
        <v>-2722.49463860889</v>
      </c>
      <c r="J126" s="26" t="n">
        <f aca="false">H126+I126+$B$14</f>
        <v>2515.37058522946</v>
      </c>
      <c r="K126" s="44" t="n">
        <f aca="false">J126/$B$15</f>
        <v>6.19549405228932</v>
      </c>
    </row>
    <row r="127" customFormat="false" ht="15" hidden="false" customHeight="false" outlineLevel="0" collapsed="false">
      <c r="A127" s="55" t="n">
        <v>87</v>
      </c>
      <c r="B127" s="21" t="n">
        <f aca="true">NORMINV(RAND(),$B$6,$C$6)</f>
        <v>0.578757076894288</v>
      </c>
      <c r="C127" s="21" t="n">
        <f aca="true">MAX(0.05,NORMINV(RAND(),$B$7,$C$7))</f>
        <v>0.306336243970249</v>
      </c>
      <c r="D127" s="33" t="n">
        <f aca="true">MAX(0.08,NORMINV(RAND(),$B$8,$C$8))</f>
        <v>0.146819076828008</v>
      </c>
      <c r="E127" s="56" t="n">
        <f aca="true">MAX(5,NORMINV(RAND(),$B$9,$C$9))</f>
        <v>13.2341287047481</v>
      </c>
      <c r="F127" s="26" t="n">
        <f aca="false">$B$18*(1+(B127+$B$17)/2)^9</f>
        <v>4077.21323538011</v>
      </c>
      <c r="G127" s="26" t="n">
        <f aca="false">F127*(C127-Assumptions!$F$18)+$B$20</f>
        <v>781.161053978234</v>
      </c>
      <c r="H127" s="26" t="n">
        <f aca="false">E127*G127/(1+D127)^9</f>
        <v>3012.87947601022</v>
      </c>
      <c r="I127" s="26" t="n">
        <f aca="false">$B$13*F127/$B$19*((1+$B$8)/(1+D127))^4.5</f>
        <v>-1925.10065839868</v>
      </c>
      <c r="J127" s="26" t="n">
        <f aca="false">H127+I127+$B$14</f>
        <v>2852.95689980332</v>
      </c>
      <c r="K127" s="44" t="n">
        <f aca="false">J127/$B$15</f>
        <v>7.02698743793922</v>
      </c>
    </row>
    <row r="128" customFormat="false" ht="15" hidden="false" customHeight="false" outlineLevel="0" collapsed="false">
      <c r="A128" s="55" t="n">
        <v>88</v>
      </c>
      <c r="B128" s="21" t="n">
        <f aca="true">NORMINV(RAND(),$B$6,$C$6)</f>
        <v>0.504628155745826</v>
      </c>
      <c r="C128" s="21" t="n">
        <f aca="true">MAX(0.05,NORMINV(RAND(),$B$7,$C$7))</f>
        <v>0.282604762360329</v>
      </c>
      <c r="D128" s="33" t="n">
        <f aca="true">MAX(0.08,NORMINV(RAND(),$B$8,$C$8))</f>
        <v>0.127114065990103</v>
      </c>
      <c r="E128" s="56" t="n">
        <f aca="true">MAX(5,NORMINV(RAND(),$B$9,$C$9))</f>
        <v>16.6445374878972</v>
      </c>
      <c r="F128" s="26" t="n">
        <f aca="false">$B$18*(1+(B128+$B$17)/2)^9</f>
        <v>3210.47567688085</v>
      </c>
      <c r="G128" s="26" t="n">
        <f aca="false">F128*(C128-Assumptions!$F$18)+$B$20</f>
        <v>474.128083654604</v>
      </c>
      <c r="H128" s="26" t="n">
        <f aca="false">E128*G128/(1+D128)^9</f>
        <v>2688.16910221028</v>
      </c>
      <c r="I128" s="26" t="n">
        <f aca="false">$B$13*F128/$B$19*((1+$B$8)/(1+D128))^4.5</f>
        <v>-1638.81932507989</v>
      </c>
      <c r="J128" s="26" t="n">
        <f aca="false">H128+I128+$B$14</f>
        <v>2814.52785932217</v>
      </c>
      <c r="K128" s="44" t="n">
        <f aca="false">J128/$B$15</f>
        <v>6.93233462887233</v>
      </c>
    </row>
    <row r="129" customFormat="false" ht="15" hidden="false" customHeight="false" outlineLevel="0" collapsed="false">
      <c r="A129" s="55" t="n">
        <v>89</v>
      </c>
      <c r="B129" s="21" t="n">
        <f aca="true">NORMINV(RAND(),$B$6,$C$6)</f>
        <v>0.609530858494856</v>
      </c>
      <c r="C129" s="21" t="n">
        <f aca="true">MAX(0.05,NORMINV(RAND(),$B$7,$C$7))</f>
        <v>0.341551197137442</v>
      </c>
      <c r="D129" s="33" t="n">
        <f aca="true">MAX(0.08,NORMINV(RAND(),$B$8,$C$8))</f>
        <v>0.135039811937356</v>
      </c>
      <c r="E129" s="56" t="n">
        <f aca="true">MAX(5,NORMINV(RAND(),$B$9,$C$9))</f>
        <v>16.5253537554221</v>
      </c>
      <c r="F129" s="26" t="n">
        <f aca="false">$B$18*(1+(B129+$B$17)/2)^9</f>
        <v>4494.23349665269</v>
      </c>
      <c r="G129" s="26" t="n">
        <f aca="false">F129*(C129-Assumptions!$F$18)+$B$20</f>
        <v>1050.49288613212</v>
      </c>
      <c r="H129" s="26" t="n">
        <f aca="false">E129*G129/(1+D129)^9</f>
        <v>5551.9305823841</v>
      </c>
      <c r="I129" s="26" t="n">
        <f aca="false">$B$13*F129/$B$19*((1+$B$8)/(1+D129))^4.5</f>
        <v>-2222.91477056631</v>
      </c>
      <c r="J129" s="26" t="n">
        <f aca="false">H129+I129+$B$14</f>
        <v>5094.19389400957</v>
      </c>
      <c r="K129" s="44" t="n">
        <f aca="false">J129/$B$15</f>
        <v>12.5472756010088</v>
      </c>
    </row>
    <row r="130" customFormat="false" ht="15" hidden="false" customHeight="false" outlineLevel="0" collapsed="false">
      <c r="A130" s="55" t="n">
        <v>90</v>
      </c>
      <c r="B130" s="21" t="n">
        <f aca="true">NORMINV(RAND(),$B$6,$C$6)</f>
        <v>0.357696299206926</v>
      </c>
      <c r="C130" s="21" t="n">
        <f aca="true">MAX(0.05,NORMINV(RAND(),$B$7,$C$7))</f>
        <v>0.295582219158233</v>
      </c>
      <c r="D130" s="33" t="n">
        <f aca="true">MAX(0.08,NORMINV(RAND(),$B$8,$C$8))</f>
        <v>0.16928521235467</v>
      </c>
      <c r="E130" s="56" t="n">
        <f aca="true">MAX(5,NORMINV(RAND(),$B$9,$C$9))</f>
        <v>15.4423760910102</v>
      </c>
      <c r="F130" s="26" t="n">
        <f aca="false">$B$18*(1+(B130+$B$17)/2)^9</f>
        <v>1960.26885588607</v>
      </c>
      <c r="G130" s="26" t="n">
        <f aca="false">F130*(C130-Assumptions!$F$18)+$B$20</f>
        <v>196.261259335441</v>
      </c>
      <c r="H130" s="26" t="n">
        <f aca="false">E130*G130/(1+D130)^9</f>
        <v>741.762016725067</v>
      </c>
      <c r="I130" s="26" t="n">
        <f aca="false">$B$13*F130/$B$19*((1+$B$8)/(1+D130))^4.5</f>
        <v>-848.185196137802</v>
      </c>
      <c r="J130" s="26" t="n">
        <f aca="false">H130+I130+$B$14</f>
        <v>1658.75490277905</v>
      </c>
      <c r="K130" s="44" t="n">
        <f aca="false">J130/$B$15</f>
        <v>4.08560320881538</v>
      </c>
    </row>
    <row r="131" customFormat="false" ht="15" hidden="false" customHeight="false" outlineLevel="0" collapsed="false">
      <c r="A131" s="55" t="n">
        <v>91</v>
      </c>
      <c r="B131" s="21" t="n">
        <f aca="true">NORMINV(RAND(),$B$6,$C$6)</f>
        <v>0.403290473546488</v>
      </c>
      <c r="C131" s="21" t="n">
        <f aca="true">MAX(0.05,NORMINV(RAND(),$B$7,$C$7))</f>
        <v>0.339402371001597</v>
      </c>
      <c r="D131" s="33" t="n">
        <f aca="true">MAX(0.08,NORMINV(RAND(),$B$8,$C$8))</f>
        <v>0.121205965385424</v>
      </c>
      <c r="E131" s="56" t="n">
        <f aca="true">MAX(5,NORMINV(RAND(),$B$9,$C$9))</f>
        <v>16.752999663851</v>
      </c>
      <c r="F131" s="26" t="n">
        <f aca="false">$B$18*(1+(B131+$B$17)/2)^9</f>
        <v>2291.21436570834</v>
      </c>
      <c r="G131" s="26" t="n">
        <f aca="false">F131*(C131-Assumptions!$F$18)+$B$20</f>
        <v>381.246408567308</v>
      </c>
      <c r="H131" s="26" t="n">
        <f aca="false">E131*G131/(1+D131)^9</f>
        <v>2281.02341369821</v>
      </c>
      <c r="I131" s="26" t="n">
        <f aca="false">$B$13*F131/$B$19*((1+$B$8)/(1+D131))^4.5</f>
        <v>-1197.56344448338</v>
      </c>
      <c r="J131" s="26" t="n">
        <f aca="false">H131+I131+$B$14</f>
        <v>2848.63805140661</v>
      </c>
      <c r="K131" s="44" t="n">
        <f aca="false">J131/$B$15</f>
        <v>7.01634988031184</v>
      </c>
    </row>
    <row r="132" customFormat="false" ht="15" hidden="false" customHeight="false" outlineLevel="0" collapsed="false">
      <c r="A132" s="55" t="n">
        <v>92</v>
      </c>
      <c r="B132" s="21" t="n">
        <f aca="true">NORMINV(RAND(),$B$6,$C$6)</f>
        <v>0.64219099028614</v>
      </c>
      <c r="C132" s="21" t="n">
        <f aca="true">MAX(0.05,NORMINV(RAND(),$B$7,$C$7))</f>
        <v>0.285918265413474</v>
      </c>
      <c r="D132" s="33" t="n">
        <f aca="true">MAX(0.08,NORMINV(RAND(),$B$8,$C$8))</f>
        <v>0.163426613851797</v>
      </c>
      <c r="E132" s="56" t="n">
        <f aca="true">MAX(5,NORMINV(RAND(),$B$9,$C$9))</f>
        <v>15.2079573188654</v>
      </c>
      <c r="F132" s="26" t="n">
        <f aca="false">$B$18*(1+(B132+$B$17)/2)^9</f>
        <v>4977.88963934559</v>
      </c>
      <c r="G132" s="26" t="n">
        <f aca="false">F132*(C132-Assumptions!$F$18)+$B$20</f>
        <v>919.405380528882</v>
      </c>
      <c r="H132" s="26" t="n">
        <f aca="false">E132*G132/(1+D132)^9</f>
        <v>3580.36231949524</v>
      </c>
      <c r="I132" s="26" t="n">
        <f aca="false">$B$13*F132/$B$19*((1+$B$8)/(1+D132))^4.5</f>
        <v>-2203.11362307869</v>
      </c>
      <c r="J132" s="26" t="n">
        <f aca="false">H132+I132+$B$14</f>
        <v>3142.42677860833</v>
      </c>
      <c r="K132" s="44" t="n">
        <f aca="false">J132/$B$15</f>
        <v>7.73996743499588</v>
      </c>
    </row>
    <row r="133" customFormat="false" ht="15" hidden="false" customHeight="false" outlineLevel="0" collapsed="false">
      <c r="A133" s="55" t="n">
        <v>93</v>
      </c>
      <c r="B133" s="21" t="n">
        <f aca="true">NORMINV(RAND(),$B$6,$C$6)</f>
        <v>0.608949819961649</v>
      </c>
      <c r="C133" s="21" t="n">
        <f aca="true">MAX(0.05,NORMINV(RAND(),$B$7,$C$7))</f>
        <v>0.256804226631611</v>
      </c>
      <c r="D133" s="33" t="n">
        <f aca="true">MAX(0.08,NORMINV(RAND(),$B$8,$C$8))</f>
        <v>0.13862809773551</v>
      </c>
      <c r="E133" s="56" t="n">
        <f aca="true">MAX(5,NORMINV(RAND(),$B$9,$C$9))</f>
        <v>17.20022947732</v>
      </c>
      <c r="F133" s="26" t="n">
        <f aca="false">$B$18*(1+(B133+$B$17)/2)^9</f>
        <v>4486.02137584956</v>
      </c>
      <c r="G133" s="26" t="n">
        <f aca="false">F133*(C133-Assumptions!$F$18)+$B$20</f>
        <v>667.83979004525</v>
      </c>
      <c r="H133" s="26" t="n">
        <f aca="false">E133*G133/(1+D133)^9</f>
        <v>3570.83236440736</v>
      </c>
      <c r="I133" s="26" t="n">
        <f aca="false">$B$13*F133/$B$19*((1+$B$8)/(1+D133))^4.5</f>
        <v>-2187.55967915607</v>
      </c>
      <c r="J133" s="26" t="n">
        <f aca="false">H133+I133+$B$14</f>
        <v>3148.45076744308</v>
      </c>
      <c r="K133" s="44" t="n">
        <f aca="false">J133/$B$15</f>
        <v>7.75480484591891</v>
      </c>
    </row>
    <row r="134" customFormat="false" ht="15" hidden="false" customHeight="false" outlineLevel="0" collapsed="false">
      <c r="A134" s="55" t="n">
        <v>94</v>
      </c>
      <c r="B134" s="21" t="n">
        <f aca="true">NORMINV(RAND(),$B$6,$C$6)</f>
        <v>0.50623939402989</v>
      </c>
      <c r="C134" s="21" t="n">
        <f aca="true">MAX(0.05,NORMINV(RAND(),$B$7,$C$7))</f>
        <v>0.374833231544809</v>
      </c>
      <c r="D134" s="33" t="n">
        <f aca="true">MAX(0.08,NORMINV(RAND(),$B$8,$C$8))</f>
        <v>0.117809415345425</v>
      </c>
      <c r="E134" s="56" t="n">
        <f aca="true">MAX(5,NORMINV(RAND(),$B$9,$C$9))</f>
        <v>15.1604945148004</v>
      </c>
      <c r="F134" s="26" t="n">
        <f aca="false">$B$18*(1+(B134+$B$17)/2)^9</f>
        <v>3227.41612882611</v>
      </c>
      <c r="G134" s="26" t="n">
        <f aca="false">F134*(C134-Assumptions!$F$18)+$B$20</f>
        <v>775.897566955993</v>
      </c>
      <c r="H134" s="26" t="n">
        <f aca="false">E134*G134/(1+D134)^9</f>
        <v>4317.25685042809</v>
      </c>
      <c r="I134" s="26" t="n">
        <f aca="false">$B$13*F134/$B$19*((1+$B$8)/(1+D134))^4.5</f>
        <v>-1710.08278826933</v>
      </c>
      <c r="J134" s="26" t="n">
        <f aca="false">H134+I134+$B$14</f>
        <v>4372.35214435055</v>
      </c>
      <c r="K134" s="44" t="n">
        <f aca="false">J134/$B$15</f>
        <v>10.7693402570211</v>
      </c>
    </row>
    <row r="135" customFormat="false" ht="15" hidden="false" customHeight="false" outlineLevel="0" collapsed="false">
      <c r="A135" s="55" t="n">
        <v>95</v>
      </c>
      <c r="B135" s="21" t="n">
        <f aca="true">NORMINV(RAND(),$B$6,$C$6)</f>
        <v>0.623910727839535</v>
      </c>
      <c r="C135" s="21" t="n">
        <f aca="true">MAX(0.05,NORMINV(RAND(),$B$7,$C$7))</f>
        <v>0.297614787883505</v>
      </c>
      <c r="D135" s="33" t="n">
        <f aca="true">MAX(0.08,NORMINV(RAND(),$B$8,$C$8))</f>
        <v>0.141446851573189</v>
      </c>
      <c r="E135" s="56" t="n">
        <f aca="true">MAX(5,NORMINV(RAND(),$B$9,$C$9))</f>
        <v>12.7055721629592</v>
      </c>
      <c r="F135" s="26" t="n">
        <f aca="false">$B$18*(1+(B135+$B$17)/2)^9</f>
        <v>4701.77677035655</v>
      </c>
      <c r="G135" s="26" t="n">
        <f aca="false">F135*(C135-Assumptions!$F$18)+$B$20</f>
        <v>906.498620372304</v>
      </c>
      <c r="H135" s="26" t="n">
        <f aca="false">E135*G135/(1+D135)^9</f>
        <v>3501.54832011885</v>
      </c>
      <c r="I135" s="26" t="n">
        <f aca="false">$B$13*F135/$B$19*((1+$B$8)/(1+D135))^4.5</f>
        <v>-2267.40179758603</v>
      </c>
      <c r="J135" s="26" t="n">
        <f aca="false">H135+I135+$B$14</f>
        <v>2999.3246047246</v>
      </c>
      <c r="K135" s="44" t="n">
        <f aca="false">J135/$B$15</f>
        <v>7.38749902641528</v>
      </c>
    </row>
    <row r="136" customFormat="false" ht="15" hidden="false" customHeight="false" outlineLevel="0" collapsed="false">
      <c r="A136" s="55" t="n">
        <v>96</v>
      </c>
      <c r="B136" s="21" t="n">
        <f aca="true">NORMINV(RAND(),$B$6,$C$6)</f>
        <v>0.546745532366642</v>
      </c>
      <c r="C136" s="21" t="n">
        <f aca="true">MAX(0.05,NORMINV(RAND(),$B$7,$C$7))</f>
        <v>0.408791453466542</v>
      </c>
      <c r="D136" s="33" t="n">
        <f aca="true">MAX(0.08,NORMINV(RAND(),$B$8,$C$8))</f>
        <v>0.135822989940519</v>
      </c>
      <c r="E136" s="56" t="n">
        <f aca="true">MAX(5,NORMINV(RAND(),$B$9,$C$9))</f>
        <v>11.2750220459788</v>
      </c>
      <c r="F136" s="26" t="n">
        <f aca="false">$B$18*(1+(B136+$B$17)/2)^9</f>
        <v>3680.26525086846</v>
      </c>
      <c r="G136" s="26" t="n">
        <f aca="false">F136*(C136-Assumptions!$F$18)+$B$20</f>
        <v>1052.5017660115</v>
      </c>
      <c r="H136" s="26" t="n">
        <f aca="false">E136*G136/(1+D136)^9</f>
        <v>3771.76250505878</v>
      </c>
      <c r="I136" s="26" t="n">
        <f aca="false">$B$13*F136/$B$19*((1+$B$8)/(1+D136))^4.5</f>
        <v>-1814.67259285042</v>
      </c>
      <c r="J136" s="26" t="n">
        <f aca="false">H136+I136+$B$14</f>
        <v>3722.26799440015</v>
      </c>
      <c r="K136" s="44" t="n">
        <f aca="false">J136/$B$15</f>
        <v>9.16814776945849</v>
      </c>
    </row>
    <row r="137" customFormat="false" ht="15" hidden="false" customHeight="false" outlineLevel="0" collapsed="false">
      <c r="A137" s="55" t="n">
        <v>97</v>
      </c>
      <c r="B137" s="21" t="n">
        <f aca="true">NORMINV(RAND(),$B$6,$C$6)</f>
        <v>0.61566514801633</v>
      </c>
      <c r="C137" s="21" t="n">
        <f aca="true">MAX(0.05,NORMINV(RAND(),$B$7,$C$7))</f>
        <v>0.301533137735709</v>
      </c>
      <c r="D137" s="33" t="n">
        <f aca="true">MAX(0.08,NORMINV(RAND(),$B$8,$C$8))</f>
        <v>0.151899081664745</v>
      </c>
      <c r="E137" s="56" t="n">
        <f aca="true">MAX(5,NORMINV(RAND(),$B$9,$C$9))</f>
        <v>10.5864546192992</v>
      </c>
      <c r="F137" s="26" t="n">
        <f aca="false">$B$18*(1+(B137+$B$17)/2)^9</f>
        <v>4581.75139674548</v>
      </c>
      <c r="G137" s="26" t="n">
        <f aca="false">F137*(C137-Assumptions!$F$18)+$B$20</f>
        <v>893.531214117123</v>
      </c>
      <c r="H137" s="26" t="n">
        <f aca="false">E137*G137/(1+D137)^9</f>
        <v>2649.29536881214</v>
      </c>
      <c r="I137" s="26" t="n">
        <f aca="false">$B$13*F137/$B$19*((1+$B$8)/(1+D137))^4.5</f>
        <v>-2120.72171223955</v>
      </c>
      <c r="J137" s="26" t="n">
        <f aca="false">H137+I137+$B$14</f>
        <v>2293.75173876438</v>
      </c>
      <c r="K137" s="44" t="n">
        <f aca="false">J137/$B$15</f>
        <v>5.6496348245428</v>
      </c>
    </row>
    <row r="138" customFormat="false" ht="15" hidden="false" customHeight="false" outlineLevel="0" collapsed="false">
      <c r="A138" s="55" t="n">
        <v>98</v>
      </c>
      <c r="B138" s="21" t="n">
        <f aca="true">NORMINV(RAND(),$B$6,$C$6)</f>
        <v>0.508758703582454</v>
      </c>
      <c r="C138" s="21" t="n">
        <f aca="true">MAX(0.05,NORMINV(RAND(),$B$7,$C$7))</f>
        <v>0.295784023290176</v>
      </c>
      <c r="D138" s="33" t="n">
        <f aca="true">MAX(0.08,NORMINV(RAND(),$B$8,$C$8))</f>
        <v>0.140679600297466</v>
      </c>
      <c r="E138" s="56" t="n">
        <f aca="true">MAX(5,NORMINV(RAND(),$B$9,$C$9))</f>
        <v>15.724863956771</v>
      </c>
      <c r="F138" s="26" t="n">
        <f aca="false">$B$18*(1+(B138+$B$17)/2)^9</f>
        <v>3254.06325652979</v>
      </c>
      <c r="G138" s="26" t="n">
        <f aca="false">F138*(C138-Assumptions!$F$18)+$B$20</f>
        <v>527.588786797233</v>
      </c>
      <c r="H138" s="26" t="n">
        <f aca="false">E138*G138/(1+D138)^9</f>
        <v>2537.51945411861</v>
      </c>
      <c r="I138" s="26" t="n">
        <f aca="false">$B$13*F138/$B$19*((1+$B$8)/(1+D138))^4.5</f>
        <v>-1574.00664174541</v>
      </c>
      <c r="J138" s="26" t="n">
        <f aca="false">H138+I138+$B$14</f>
        <v>2728.69089456499</v>
      </c>
      <c r="K138" s="44" t="n">
        <f aca="false">J138/$B$15</f>
        <v>6.7209135334113</v>
      </c>
    </row>
    <row r="139" customFormat="false" ht="15" hidden="false" customHeight="false" outlineLevel="0" collapsed="false">
      <c r="A139" s="55" t="n">
        <v>99</v>
      </c>
      <c r="B139" s="21" t="n">
        <f aca="true">NORMINV(RAND(),$B$6,$C$6)</f>
        <v>0.622372788535282</v>
      </c>
      <c r="C139" s="21" t="n">
        <f aca="true">MAX(0.05,NORMINV(RAND(),$B$7,$C$7))</f>
        <v>0.251905004545751</v>
      </c>
      <c r="D139" s="33" t="n">
        <f aca="true">MAX(0.08,NORMINV(RAND(),$B$8,$C$8))</f>
        <v>0.123881547069917</v>
      </c>
      <c r="E139" s="56" t="n">
        <f aca="true">MAX(5,NORMINV(RAND(),$B$9,$C$9))</f>
        <v>16.1886239041387</v>
      </c>
      <c r="F139" s="26" t="n">
        <f aca="false">$B$18*(1+(B139+$B$17)/2)^9</f>
        <v>4679.1802808782</v>
      </c>
      <c r="G139" s="26" t="n">
        <f aca="false">F139*(C139-Assumptions!$F$18)+$B$20</f>
        <v>686.793113691194</v>
      </c>
      <c r="H139" s="26" t="n">
        <f aca="false">E139*G139/(1+D139)^9</f>
        <v>3886.43134296022</v>
      </c>
      <c r="I139" s="26" t="n">
        <f aca="false">$B$13*F139/$B$19*((1+$B$8)/(1+D139))^4.5</f>
        <v>-2419.60487794782</v>
      </c>
      <c r="J139" s="26" t="n">
        <f aca="false">H139+I139+$B$14</f>
        <v>3232.00454720418</v>
      </c>
      <c r="K139" s="44" t="n">
        <f aca="false">J139/$B$15</f>
        <v>7.96060233301523</v>
      </c>
    </row>
    <row r="140" customFormat="false" ht="15" hidden="false" customHeight="false" outlineLevel="0" collapsed="false">
      <c r="A140" s="55" t="n">
        <v>100</v>
      </c>
      <c r="B140" s="21" t="n">
        <f aca="true">NORMINV(RAND(),$B$6,$C$6)</f>
        <v>0.458730744576754</v>
      </c>
      <c r="C140" s="21" t="n">
        <f aca="true">MAX(0.05,NORMINV(RAND(),$B$7,$C$7))</f>
        <v>0.330973623711011</v>
      </c>
      <c r="D140" s="33" t="n">
        <f aca="true">MAX(0.08,NORMINV(RAND(),$B$8,$C$8))</f>
        <v>0.160101345011749</v>
      </c>
      <c r="E140" s="56" t="n">
        <f aca="true">MAX(5,NORMINV(RAND(),$B$9,$C$9))</f>
        <v>15.1497834909656</v>
      </c>
      <c r="F140" s="26" t="n">
        <f aca="false">$B$18*(1+(B140+$B$17)/2)^9</f>
        <v>2759.91100335268</v>
      </c>
      <c r="G140" s="26" t="n">
        <f aca="false">F140*(C140-Assumptions!$F$18)+$B$20</f>
        <v>498.312700766733</v>
      </c>
      <c r="H140" s="26" t="n">
        <f aca="false">E140*G140/(1+D140)^9</f>
        <v>1983.55848397478</v>
      </c>
      <c r="I140" s="26" t="n">
        <f aca="false">$B$13*F140/$B$19*((1+$B$8)/(1+D140))^4.5</f>
        <v>-1237.31562583773</v>
      </c>
      <c r="J140" s="26" t="n">
        <f aca="false">H140+I140+$B$14</f>
        <v>2511.42094032883</v>
      </c>
      <c r="K140" s="44" t="n">
        <f aca="false">J140/$B$15</f>
        <v>6.1857658628789</v>
      </c>
    </row>
    <row r="141" customFormat="false" ht="15" hidden="false" customHeight="false" outlineLevel="0" collapsed="false">
      <c r="A141" s="55" t="n">
        <v>101</v>
      </c>
      <c r="B141" s="21" t="n">
        <f aca="true">NORMINV(RAND(),$B$6,$C$6)</f>
        <v>0.375341134851</v>
      </c>
      <c r="C141" s="21" t="n">
        <f aca="true">MAX(0.05,NORMINV(RAND(),$B$7,$C$7))</f>
        <v>0.314033431239112</v>
      </c>
      <c r="D141" s="33" t="n">
        <f aca="true">MAX(0.08,NORMINV(RAND(),$B$8,$C$8))</f>
        <v>0.137230202681051</v>
      </c>
      <c r="E141" s="56" t="n">
        <f aca="true">MAX(5,NORMINV(RAND(),$B$9,$C$9))</f>
        <v>15.984867572389</v>
      </c>
      <c r="F141" s="26" t="n">
        <f aca="false">$B$18*(1+(B141+$B$17)/2)^9</f>
        <v>2082.92788402513</v>
      </c>
      <c r="G141" s="26" t="n">
        <f aca="false">F141*(C141-Assumptions!$F$18)+$B$20</f>
        <v>266.04327008434</v>
      </c>
      <c r="H141" s="26" t="n">
        <f aca="false">E141*G141/(1+D141)^9</f>
        <v>1336.67508516477</v>
      </c>
      <c r="I141" s="26" t="n">
        <f aca="false">$B$13*F141/$B$19*((1+$B$8)/(1+D141))^4.5</f>
        <v>-1021.34767941088</v>
      </c>
      <c r="J141" s="26" t="n">
        <f aca="false">H141+I141+$B$14</f>
        <v>2080.50548794568</v>
      </c>
      <c r="K141" s="44" t="n">
        <f aca="false">J141/$B$15</f>
        <v>5.12439775356078</v>
      </c>
    </row>
    <row r="142" customFormat="false" ht="15" hidden="false" customHeight="false" outlineLevel="0" collapsed="false">
      <c r="A142" s="55" t="n">
        <v>102</v>
      </c>
      <c r="B142" s="21" t="n">
        <f aca="true">NORMINV(RAND(),$B$6,$C$6)</f>
        <v>0.467270042189313</v>
      </c>
      <c r="C142" s="21" t="n">
        <f aca="true">MAX(0.05,NORMINV(RAND(),$B$7,$C$7))</f>
        <v>0.357734124016258</v>
      </c>
      <c r="D142" s="33" t="n">
        <f aca="true">MAX(0.08,NORMINV(RAND(),$B$8,$C$8))</f>
        <v>0.136897810692693</v>
      </c>
      <c r="E142" s="56" t="n">
        <f aca="true">MAX(5,NORMINV(RAND(),$B$9,$C$9))</f>
        <v>18.2680133372331</v>
      </c>
      <c r="F142" s="26" t="n">
        <f aca="false">$B$18*(1+(B142+$B$17)/2)^9</f>
        <v>2839.21153457712</v>
      </c>
      <c r="G142" s="26" t="n">
        <f aca="false">F142*(C142-Assumptions!$F$18)+$B$20</f>
        <v>597.365784837028</v>
      </c>
      <c r="H142" s="26" t="n">
        <f aca="false">E142*G142/(1+D142)^9</f>
        <v>3439.05239506559</v>
      </c>
      <c r="I142" s="26" t="n">
        <f aca="false">$B$13*F142/$B$19*((1+$B$8)/(1+D142))^4.5</f>
        <v>-1394.01812659125</v>
      </c>
      <c r="J142" s="26" t="n">
        <f aca="false">H142+I142+$B$14</f>
        <v>3810.21235066612</v>
      </c>
      <c r="K142" s="44" t="n">
        <f aca="false">J142/$B$15</f>
        <v>9.3847594843993</v>
      </c>
    </row>
    <row r="143" customFormat="false" ht="15" hidden="false" customHeight="false" outlineLevel="0" collapsed="false">
      <c r="A143" s="55" t="n">
        <v>103</v>
      </c>
      <c r="B143" s="21" t="n">
        <f aca="true">NORMINV(RAND(),$B$6,$C$6)</f>
        <v>0.741247251042713</v>
      </c>
      <c r="C143" s="21" t="n">
        <f aca="true">MAX(0.05,NORMINV(RAND(),$B$7,$C$7))</f>
        <v>0.223151598459096</v>
      </c>
      <c r="D143" s="33" t="n">
        <f aca="true">MAX(0.08,NORMINV(RAND(),$B$8,$C$8))</f>
        <v>0.128795622945498</v>
      </c>
      <c r="E143" s="56" t="n">
        <f aca="true">MAX(5,NORMINV(RAND(),$B$9,$C$9))</f>
        <v>14.1189328036265</v>
      </c>
      <c r="F143" s="26" t="n">
        <f aca="false">$B$18*(1+(B143+$B$17)/2)^9</f>
        <v>6740.20889679158</v>
      </c>
      <c r="G143" s="26" t="n">
        <f aca="false">F143*(C143-Assumptions!$F$18)+$B$20</f>
        <v>929.731428396907</v>
      </c>
      <c r="H143" s="26" t="n">
        <f aca="false">E143*G143/(1+D143)^9</f>
        <v>4411.8580715164</v>
      </c>
      <c r="I143" s="26" t="n">
        <f aca="false">$B$13*F143/$B$19*((1+$B$8)/(1+D143))^4.5</f>
        <v>-3417.60241180366</v>
      </c>
      <c r="J143" s="26" t="n">
        <f aca="false">H143+I143+$B$14</f>
        <v>2759.43374190452</v>
      </c>
      <c r="K143" s="44" t="n">
        <f aca="false">J143/$B$15</f>
        <v>6.79663483227714</v>
      </c>
    </row>
    <row r="144" customFormat="false" ht="15" hidden="false" customHeight="false" outlineLevel="0" collapsed="false">
      <c r="A144" s="55" t="n">
        <v>104</v>
      </c>
      <c r="B144" s="21" t="n">
        <f aca="true">NORMINV(RAND(),$B$6,$C$6)</f>
        <v>0.554686046631924</v>
      </c>
      <c r="C144" s="21" t="n">
        <f aca="true">MAX(0.05,NORMINV(RAND(),$B$7,$C$7))</f>
        <v>0.242799370767319</v>
      </c>
      <c r="D144" s="33" t="n">
        <f aca="true">MAX(0.08,NORMINV(RAND(),$B$8,$C$8))</f>
        <v>0.12244509803029</v>
      </c>
      <c r="E144" s="56" t="n">
        <f aca="true">MAX(5,NORMINV(RAND(),$B$9,$C$9))</f>
        <v>17.4606423485751</v>
      </c>
      <c r="F144" s="26" t="n">
        <f aca="false">$B$18*(1+(B144+$B$17)/2)^9</f>
        <v>3775.3813756208</v>
      </c>
      <c r="G144" s="26" t="n">
        <f aca="false">F144*(C144-Assumptions!$F$18)+$B$20</f>
        <v>460.896362383864</v>
      </c>
      <c r="H144" s="26" t="n">
        <f aca="false">E144*G144/(1+D144)^9</f>
        <v>2845.62408845717</v>
      </c>
      <c r="I144" s="26" t="n">
        <f aca="false">$B$13*F144/$B$19*((1+$B$8)/(1+D144))^4.5</f>
        <v>-1963.51828897187</v>
      </c>
      <c r="J144" s="26" t="n">
        <f aca="false">H144+I144+$B$14</f>
        <v>2647.28388167708</v>
      </c>
      <c r="K144" s="44" t="n">
        <f aca="false">J144/$B$15</f>
        <v>6.52040364945094</v>
      </c>
    </row>
    <row r="145" customFormat="false" ht="15" hidden="false" customHeight="false" outlineLevel="0" collapsed="false">
      <c r="A145" s="55" t="n">
        <v>105</v>
      </c>
      <c r="B145" s="21" t="n">
        <f aca="true">NORMINV(RAND(),$B$6,$C$6)</f>
        <v>0.706804232196931</v>
      </c>
      <c r="C145" s="21" t="n">
        <f aca="true">MAX(0.05,NORMINV(RAND(),$B$7,$C$7))</f>
        <v>0.314855131225879</v>
      </c>
      <c r="D145" s="33" t="n">
        <f aca="true">MAX(0.08,NORMINV(RAND(),$B$8,$C$8))</f>
        <v>0.145121240842547</v>
      </c>
      <c r="E145" s="56" t="n">
        <f aca="true">MAX(5,NORMINV(RAND(),$B$9,$C$9))</f>
        <v>18.883661891816</v>
      </c>
      <c r="F145" s="26" t="n">
        <f aca="false">$B$18*(1+(B145+$B$17)/2)^9</f>
        <v>6073.03360943469</v>
      </c>
      <c r="G145" s="26" t="n">
        <f aca="false">F145*(C145-Assumptions!$F$18)+$B$20</f>
        <v>1364.45584466165</v>
      </c>
      <c r="H145" s="26" t="n">
        <f aca="false">E145*G145/(1+D145)^9</f>
        <v>7609.96164062407</v>
      </c>
      <c r="I145" s="26" t="n">
        <f aca="false">$B$13*F145/$B$19*((1+$B$8)/(1+D145))^4.5</f>
        <v>-2886.63035043347</v>
      </c>
      <c r="J145" s="26" t="n">
        <f aca="false">H145+I145+$B$14</f>
        <v>6488.50937238238</v>
      </c>
      <c r="K145" s="44" t="n">
        <f aca="false">J145/$B$15</f>
        <v>15.9815501782817</v>
      </c>
    </row>
    <row r="146" customFormat="false" ht="15" hidden="false" customHeight="false" outlineLevel="0" collapsed="false">
      <c r="A146" s="55" t="n">
        <v>106</v>
      </c>
      <c r="B146" s="21" t="n">
        <f aca="true">NORMINV(RAND(),$B$6,$C$6)</f>
        <v>0.474719143383843</v>
      </c>
      <c r="C146" s="21" t="n">
        <f aca="true">MAX(0.05,NORMINV(RAND(),$B$7,$C$7))</f>
        <v>0.264825439023366</v>
      </c>
      <c r="D146" s="33" t="n">
        <f aca="true">MAX(0.08,NORMINV(RAND(),$B$8,$C$8))</f>
        <v>0.139496572389856</v>
      </c>
      <c r="E146" s="56" t="n">
        <f aca="true">MAX(5,NORMINV(RAND(),$B$9,$C$9))</f>
        <v>14.8155048689043</v>
      </c>
      <c r="F146" s="26" t="n">
        <f aca="false">$B$18*(1+(B146+$B$17)/2)^9</f>
        <v>2910.03512706431</v>
      </c>
      <c r="G146" s="26" t="n">
        <f aca="false">F146*(C146-Assumptions!$F$18)+$B$20</f>
        <v>349.50132001696</v>
      </c>
      <c r="H146" s="26" t="n">
        <f aca="false">E146*G146/(1+D146)^9</f>
        <v>1598.63040035269</v>
      </c>
      <c r="I146" s="26" t="n">
        <f aca="false">$B$13*F146/$B$19*((1+$B$8)/(1+D146))^4.5</f>
        <v>-1414.18665017477</v>
      </c>
      <c r="J146" s="26" t="n">
        <f aca="false">H146+I146+$B$14</f>
        <v>1949.6218323697</v>
      </c>
      <c r="K146" s="44" t="n">
        <f aca="false">J146/$B$15</f>
        <v>4.80202421765936</v>
      </c>
    </row>
    <row r="147" customFormat="false" ht="15" hidden="false" customHeight="false" outlineLevel="0" collapsed="false">
      <c r="A147" s="55" t="n">
        <v>107</v>
      </c>
      <c r="B147" s="21" t="n">
        <f aca="true">NORMINV(RAND(),$B$6,$C$6)</f>
        <v>0.605348275635144</v>
      </c>
      <c r="C147" s="21" t="n">
        <f aca="true">MAX(0.05,NORMINV(RAND(),$B$7,$C$7))</f>
        <v>0.345268585740501</v>
      </c>
      <c r="D147" s="33" t="n">
        <f aca="true">MAX(0.08,NORMINV(RAND(),$B$8,$C$8))</f>
        <v>0.139766086613401</v>
      </c>
      <c r="E147" s="56" t="n">
        <f aca="true">MAX(5,NORMINV(RAND(),$B$9,$C$9))</f>
        <v>11.9208858351251</v>
      </c>
      <c r="F147" s="26" t="n">
        <f aca="false">$B$18*(1+(B147+$B$17)/2)^9</f>
        <v>4435.41577319155</v>
      </c>
      <c r="G147" s="26" t="n">
        <f aca="false">F147*(C147-Assumptions!$F$18)+$B$20</f>
        <v>1049.24449525461</v>
      </c>
      <c r="H147" s="26" t="n">
        <f aca="false">E147*G147/(1+D147)^9</f>
        <v>3853.39609940476</v>
      </c>
      <c r="I147" s="26" t="n">
        <f aca="false">$B$13*F147/$B$19*((1+$B$8)/(1+D147))^4.5</f>
        <v>-2153.18157682102</v>
      </c>
      <c r="J147" s="26" t="n">
        <f aca="false">H147+I147+$B$14</f>
        <v>3465.39260477552</v>
      </c>
      <c r="K147" s="44" t="n">
        <f aca="false">J147/$B$15</f>
        <v>8.53544976545695</v>
      </c>
    </row>
    <row r="148" customFormat="false" ht="15" hidden="false" customHeight="false" outlineLevel="0" collapsed="false">
      <c r="A148" s="55" t="n">
        <v>108</v>
      </c>
      <c r="B148" s="21" t="n">
        <f aca="true">NORMINV(RAND(),$B$6,$C$6)</f>
        <v>0.484726419802786</v>
      </c>
      <c r="C148" s="21" t="n">
        <f aca="true">MAX(0.05,NORMINV(RAND(),$B$7,$C$7))</f>
        <v>0.303161058147745</v>
      </c>
      <c r="D148" s="33" t="n">
        <f aca="true">MAX(0.08,NORMINV(RAND(),$B$8,$C$8))</f>
        <v>0.133230369739181</v>
      </c>
      <c r="E148" s="56" t="n">
        <f aca="true">MAX(5,NORMINV(RAND(),$B$9,$C$9))</f>
        <v>15.2839679073174</v>
      </c>
      <c r="F148" s="26" t="n">
        <f aca="false">$B$18*(1+(B148+$B$17)/2)^9</f>
        <v>3007.65155756279</v>
      </c>
      <c r="G148" s="26" t="n">
        <f aca="false">F148*(C148-Assumptions!$F$18)+$B$20</f>
        <v>486.748161429247</v>
      </c>
      <c r="H148" s="26" t="n">
        <f aca="false">E148*G148/(1+D148)^9</f>
        <v>2413.66278245537</v>
      </c>
      <c r="I148" s="26" t="n">
        <f aca="false">$B$13*F148/$B$19*((1+$B$8)/(1+D148))^4.5</f>
        <v>-1498.34804488739</v>
      </c>
      <c r="J148" s="26" t="n">
        <f aca="false">H148+I148+$B$14</f>
        <v>2680.49281975977</v>
      </c>
      <c r="K148" s="44" t="n">
        <f aca="false">J148/$B$15</f>
        <v>6.60219906344771</v>
      </c>
    </row>
    <row r="149" customFormat="false" ht="15" hidden="false" customHeight="false" outlineLevel="0" collapsed="false">
      <c r="A149" s="55" t="n">
        <v>109</v>
      </c>
      <c r="B149" s="21" t="n">
        <f aca="true">NORMINV(RAND(),$B$6,$C$6)</f>
        <v>0.463006369116354</v>
      </c>
      <c r="C149" s="21" t="n">
        <f aca="true">MAX(0.05,NORMINV(RAND(),$B$7,$C$7))</f>
        <v>0.282831652366879</v>
      </c>
      <c r="D149" s="33" t="n">
        <f aca="true">MAX(0.08,NORMINV(RAND(),$B$8,$C$8))</f>
        <v>0.135019890343603</v>
      </c>
      <c r="E149" s="56" t="n">
        <f aca="true">MAX(5,NORMINV(RAND(),$B$9,$C$9))</f>
        <v>16.0390126077173</v>
      </c>
      <c r="F149" s="26" t="n">
        <f aca="false">$B$18*(1+(B149+$B$17)/2)^9</f>
        <v>2799.36716347632</v>
      </c>
      <c r="G149" s="26" t="n">
        <f aca="false">F149*(C149-Assumptions!$F$18)+$B$20</f>
        <v>375.026348889849</v>
      </c>
      <c r="H149" s="26" t="n">
        <f aca="false">E149*G149/(1+D149)^9</f>
        <v>1924.01370008178</v>
      </c>
      <c r="I149" s="26" t="n">
        <f aca="false">$B$13*F149/$B$19*((1+$B$8)/(1+D149))^4.5</f>
        <v>-1384.71802297736</v>
      </c>
      <c r="J149" s="26" t="n">
        <f aca="false">H149+I149+$B$14</f>
        <v>2304.4737592962</v>
      </c>
      <c r="K149" s="44" t="n">
        <f aca="false">J149/$B$15</f>
        <v>5.67604374210887</v>
      </c>
    </row>
    <row r="150" customFormat="false" ht="15" hidden="false" customHeight="false" outlineLevel="0" collapsed="false">
      <c r="A150" s="55" t="n">
        <v>110</v>
      </c>
      <c r="B150" s="21" t="n">
        <f aca="true">NORMINV(RAND(),$B$6,$C$6)</f>
        <v>0.734653065738777</v>
      </c>
      <c r="C150" s="21" t="n">
        <f aca="true">MAX(0.05,NORMINV(RAND(),$B$7,$C$7))</f>
        <v>0.24460069170652</v>
      </c>
      <c r="D150" s="33" t="n">
        <f aca="true">MAX(0.08,NORMINV(RAND(),$B$8,$C$8))</f>
        <v>0.126545377503877</v>
      </c>
      <c r="E150" s="56" t="n">
        <f aca="true">MAX(5,NORMINV(RAND(),$B$9,$C$9))</f>
        <v>16.1219242871579</v>
      </c>
      <c r="F150" s="26" t="n">
        <f aca="false">$B$18*(1+(B150+$B$17)/2)^9</f>
        <v>6607.65334356592</v>
      </c>
      <c r="G150" s="26" t="n">
        <f aca="false">F150*(C150-Assumptions!$F$18)+$B$20</f>
        <v>1047.1818396518</v>
      </c>
      <c r="H150" s="26" t="n">
        <f aca="false">E150*G150/(1+D150)^9</f>
        <v>5776.9787527961</v>
      </c>
      <c r="I150" s="26" t="n">
        <f aca="false">$B$13*F150/$B$19*((1+$B$8)/(1+D150))^4.5</f>
        <v>-3380.61140352169</v>
      </c>
      <c r="J150" s="26" t="n">
        <f aca="false">H150+I150+$B$14</f>
        <v>4161.54543146619</v>
      </c>
      <c r="K150" s="44" t="n">
        <f aca="false">J150/$B$15</f>
        <v>10.250111900163</v>
      </c>
    </row>
    <row r="151" customFormat="false" ht="15" hidden="false" customHeight="false" outlineLevel="0" collapsed="false">
      <c r="A151" s="55" t="n">
        <v>111</v>
      </c>
      <c r="B151" s="21" t="n">
        <f aca="true">NORMINV(RAND(),$B$6,$C$6)</f>
        <v>0.798747008885033</v>
      </c>
      <c r="C151" s="21" t="n">
        <f aca="true">MAX(0.05,NORMINV(RAND(),$B$7,$C$7))</f>
        <v>0.302783553245038</v>
      </c>
      <c r="D151" s="33" t="n">
        <f aca="true">MAX(0.08,NORMINV(RAND(),$B$8,$C$8))</f>
        <v>0.139853257278407</v>
      </c>
      <c r="E151" s="56" t="n">
        <f aca="true">MAX(5,NORMINV(RAND(),$B$9,$C$9))</f>
        <v>12.2109292476922</v>
      </c>
      <c r="F151" s="26" t="n">
        <f aca="false">$B$18*(1+(B151+$B$17)/2)^9</f>
        <v>8000.09288259241</v>
      </c>
      <c r="G151" s="26" t="n">
        <f aca="false">F151*(C151-Assumptions!$F$18)+$B$20</f>
        <v>1797.54422897928</v>
      </c>
      <c r="H151" s="26" t="n">
        <f aca="false">E151*G151/(1+D151)^9</f>
        <v>6757.52713642833</v>
      </c>
      <c r="I151" s="26" t="n">
        <f aca="false">$B$13*F151/$B$19*((1+$B$8)/(1+D151))^4.5</f>
        <v>-3882.32496391626</v>
      </c>
      <c r="J151" s="26" t="n">
        <f aca="false">H151+I151+$B$14</f>
        <v>4640.38025470386</v>
      </c>
      <c r="K151" s="44" t="n">
        <f aca="false">J151/$B$15</f>
        <v>11.429508016512</v>
      </c>
    </row>
    <row r="152" customFormat="false" ht="15" hidden="false" customHeight="false" outlineLevel="0" collapsed="false">
      <c r="A152" s="55" t="n">
        <v>112</v>
      </c>
      <c r="B152" s="21" t="n">
        <f aca="true">NORMINV(RAND(),$B$6,$C$6)</f>
        <v>0.601756824872273</v>
      </c>
      <c r="C152" s="21" t="n">
        <f aca="true">MAX(0.05,NORMINV(RAND(),$B$7,$C$7))</f>
        <v>0.209174553174818</v>
      </c>
      <c r="D152" s="33" t="n">
        <f aca="true">MAX(0.08,NORMINV(RAND(),$B$8,$C$8))</f>
        <v>0.151058652127603</v>
      </c>
      <c r="E152" s="56" t="n">
        <f aca="true">MAX(5,NORMINV(RAND(),$B$9,$C$9))</f>
        <v>17.1254519136469</v>
      </c>
      <c r="F152" s="26" t="n">
        <f aca="false">$B$18*(1+(B152+$B$17)/2)^9</f>
        <v>4385.45794224297</v>
      </c>
      <c r="G152" s="26" t="n">
        <f aca="false">F152*(C152-Assumptions!$F$18)+$B$20</f>
        <v>437.15928284722</v>
      </c>
      <c r="H152" s="26" t="n">
        <f aca="false">E152*G152/(1+D152)^9</f>
        <v>2110.5938226655</v>
      </c>
      <c r="I152" s="26" t="n">
        <f aca="false">$B$13*F152/$B$19*((1+$B$8)/(1+D152))^4.5</f>
        <v>-2036.54267502404</v>
      </c>
      <c r="J152" s="26" t="n">
        <f aca="false">H152+I152+$B$14</f>
        <v>1839.22922983324</v>
      </c>
      <c r="K152" s="44" t="n">
        <f aca="false">J152/$B$15</f>
        <v>4.5301212557469</v>
      </c>
    </row>
    <row r="153" customFormat="false" ht="15" hidden="false" customHeight="false" outlineLevel="0" collapsed="false">
      <c r="A153" s="55" t="n">
        <v>113</v>
      </c>
      <c r="B153" s="21" t="n">
        <f aca="true">NORMINV(RAND(),$B$6,$C$6)</f>
        <v>0.585187239241681</v>
      </c>
      <c r="C153" s="21" t="n">
        <f aca="true">MAX(0.05,NORMINV(RAND(),$B$7,$C$7))</f>
        <v>0.304234704979447</v>
      </c>
      <c r="D153" s="33" t="n">
        <f aca="true">MAX(0.08,NORMINV(RAND(),$B$8,$C$8))</f>
        <v>0.114736086879395</v>
      </c>
      <c r="E153" s="56" t="n">
        <f aca="true">MAX(5,NORMINV(RAND(),$B$9,$C$9))</f>
        <v>14.6259678642504</v>
      </c>
      <c r="F153" s="26" t="n">
        <f aca="false">$B$18*(1+(B153+$B$17)/2)^9</f>
        <v>4161.38841480539</v>
      </c>
      <c r="G153" s="26" t="n">
        <f aca="false">F153*(C153-Assumptions!$F$18)+$B$20</f>
        <v>794.834635092302</v>
      </c>
      <c r="H153" s="26" t="n">
        <f aca="false">E153*G153/(1+D153)^9</f>
        <v>4373.7388960104</v>
      </c>
      <c r="I153" s="26" t="n">
        <f aca="false">$B$13*F153/$B$19*((1+$B$8)/(1+D153))^4.5</f>
        <v>-2232.44664002607</v>
      </c>
      <c r="J153" s="26" t="n">
        <f aca="false">H153+I153+$B$14</f>
        <v>3906.47033817612</v>
      </c>
      <c r="K153" s="44" t="n">
        <f aca="false">J153/$B$15</f>
        <v>9.62184812358649</v>
      </c>
    </row>
    <row r="154" customFormat="false" ht="15" hidden="false" customHeight="false" outlineLevel="0" collapsed="false">
      <c r="A154" s="55" t="n">
        <v>114</v>
      </c>
      <c r="B154" s="21" t="n">
        <f aca="true">NORMINV(RAND(),$B$6,$C$6)</f>
        <v>0.473693549740536</v>
      </c>
      <c r="C154" s="21" t="n">
        <f aca="true">MAX(0.05,NORMINV(RAND(),$B$7,$C$7))</f>
        <v>0.382828104392457</v>
      </c>
      <c r="D154" s="33" t="n">
        <f aca="true">MAX(0.08,NORMINV(RAND(),$B$8,$C$8))</f>
        <v>0.167100279052466</v>
      </c>
      <c r="E154" s="56" t="n">
        <f aca="true">MAX(5,NORMINV(RAND(),$B$9,$C$9))</f>
        <v>14.4129765628398</v>
      </c>
      <c r="F154" s="26" t="n">
        <f aca="false">$B$18*(1+(B154+$B$17)/2)^9</f>
        <v>2900.1918316201</v>
      </c>
      <c r="G154" s="26" t="n">
        <f aca="false">F154*(C154-Assumptions!$F$18)+$B$20</f>
        <v>689.518663010117</v>
      </c>
      <c r="H154" s="26" t="n">
        <f aca="false">E154*G154/(1+D154)^9</f>
        <v>2473.5810772783</v>
      </c>
      <c r="I154" s="26" t="n">
        <f aca="false">$B$13*F154/$B$19*((1+$B$8)/(1+D154))^4.5</f>
        <v>-1265.48514935759</v>
      </c>
      <c r="J154" s="26" t="n">
        <f aca="false">H154+I154+$B$14</f>
        <v>2973.27401011249</v>
      </c>
      <c r="K154" s="44" t="n">
        <f aca="false">J154/$B$15</f>
        <v>7.32333500027706</v>
      </c>
    </row>
    <row r="155" customFormat="false" ht="15" hidden="false" customHeight="false" outlineLevel="0" collapsed="false">
      <c r="A155" s="55" t="n">
        <v>115</v>
      </c>
      <c r="B155" s="21" t="n">
        <f aca="true">NORMINV(RAND(),$B$6,$C$6)</f>
        <v>0.568380651747048</v>
      </c>
      <c r="C155" s="21" t="n">
        <f aca="true">MAX(0.05,NORMINV(RAND(),$B$7,$C$7))</f>
        <v>0.261052308926593</v>
      </c>
      <c r="D155" s="33" t="n">
        <f aca="true">MAX(0.08,NORMINV(RAND(),$B$8,$C$8))</f>
        <v>0.128117768058961</v>
      </c>
      <c r="E155" s="56" t="n">
        <f aca="true">MAX(5,NORMINV(RAND(),$B$9,$C$9))</f>
        <v>14.6365411850885</v>
      </c>
      <c r="F155" s="26" t="n">
        <f aca="false">$B$18*(1+(B155+$B$17)/2)^9</f>
        <v>3944.56741487707</v>
      </c>
      <c r="G155" s="26" t="n">
        <f aca="false">F155*(C155-Assumptions!$F$18)+$B$20</f>
        <v>567.207129776488</v>
      </c>
      <c r="H155" s="26" t="n">
        <f aca="false">E155*G155/(1+D155)^9</f>
        <v>2805.37023584164</v>
      </c>
      <c r="I155" s="26" t="n">
        <f aca="false">$B$13*F155/$B$19*((1+$B$8)/(1+D155))^4.5</f>
        <v>-2005.49466544823</v>
      </c>
      <c r="J155" s="26" t="n">
        <f aca="false">H155+I155+$B$14</f>
        <v>2565.05365258519</v>
      </c>
      <c r="K155" s="44" t="n">
        <f aca="false">J155/$B$15</f>
        <v>6.31786613937238</v>
      </c>
    </row>
    <row r="156" customFormat="false" ht="15" hidden="false" customHeight="false" outlineLevel="0" collapsed="false">
      <c r="A156" s="55" t="n">
        <v>116</v>
      </c>
      <c r="B156" s="21" t="n">
        <f aca="true">NORMINV(RAND(),$B$6,$C$6)</f>
        <v>0.619121509683489</v>
      </c>
      <c r="C156" s="21" t="n">
        <f aca="true">MAX(0.05,NORMINV(RAND(),$B$7,$C$7))</f>
        <v>0.31296069928703</v>
      </c>
      <c r="D156" s="33" t="n">
        <f aca="true">MAX(0.08,NORMINV(RAND(),$B$8,$C$8))</f>
        <v>0.124721451934123</v>
      </c>
      <c r="E156" s="56" t="n">
        <f aca="true">MAX(5,NORMINV(RAND(),$B$9,$C$9))</f>
        <v>8.9287868362996</v>
      </c>
      <c r="F156" s="26" t="n">
        <f aca="false">$B$18*(1+(B156+$B$17)/2)^9</f>
        <v>4631.7276702686</v>
      </c>
      <c r="G156" s="26" t="n">
        <f aca="false">F156*(C156-Assumptions!$F$18)+$B$20</f>
        <v>959.531018784917</v>
      </c>
      <c r="H156" s="26" t="n">
        <f aca="false">E156*G156/(1+D156)^9</f>
        <v>2974.72392571823</v>
      </c>
      <c r="I156" s="26" t="n">
        <f aca="false">$B$13*F156/$B$19*((1+$B$8)/(1+D156))^4.5</f>
        <v>-2387.02913002198</v>
      </c>
      <c r="J156" s="26" t="n">
        <f aca="false">H156+I156+$B$14</f>
        <v>2352.87287788803</v>
      </c>
      <c r="K156" s="44" t="n">
        <f aca="false">J156/$B$15</f>
        <v>5.79525339381288</v>
      </c>
    </row>
    <row r="157" customFormat="false" ht="15" hidden="false" customHeight="false" outlineLevel="0" collapsed="false">
      <c r="A157" s="55" t="n">
        <v>117</v>
      </c>
      <c r="B157" s="21" t="n">
        <f aca="true">NORMINV(RAND(),$B$6,$C$6)</f>
        <v>0.500672000922592</v>
      </c>
      <c r="C157" s="21" t="n">
        <f aca="true">MAX(0.05,NORMINV(RAND(),$B$7,$C$7))</f>
        <v>0.267548993543646</v>
      </c>
      <c r="D157" s="33" t="n">
        <f aca="true">MAX(0.08,NORMINV(RAND(),$B$8,$C$8))</f>
        <v>0.137839460952101</v>
      </c>
      <c r="E157" s="56" t="n">
        <f aca="true">MAX(5,NORMINV(RAND(),$B$9,$C$9))</f>
        <v>16.7997310911413</v>
      </c>
      <c r="F157" s="26" t="n">
        <f aca="false">$B$18*(1+(B157+$B$17)/2)^9</f>
        <v>3169.215747618</v>
      </c>
      <c r="G157" s="26" t="n">
        <f aca="false">F157*(C157-Assumptions!$F$18)+$B$20</f>
        <v>416.40324869446</v>
      </c>
      <c r="H157" s="26" t="n">
        <f aca="false">E157*G157/(1+D157)^9</f>
        <v>2188.20253947636</v>
      </c>
      <c r="I157" s="26" t="n">
        <f aca="false">$B$13*F157/$B$19*((1+$B$8)/(1+D157))^4.5</f>
        <v>-1550.2596753111</v>
      </c>
      <c r="J157" s="26" t="n">
        <f aca="false">H157+I157+$B$14</f>
        <v>2403.12094635704</v>
      </c>
      <c r="K157" s="44" t="n">
        <f aca="false">J157/$B$15</f>
        <v>5.91901710925379</v>
      </c>
    </row>
    <row r="158" customFormat="false" ht="15" hidden="false" customHeight="false" outlineLevel="0" collapsed="false">
      <c r="A158" s="55" t="n">
        <v>118</v>
      </c>
      <c r="B158" s="21" t="n">
        <f aca="true">NORMINV(RAND(),$B$6,$C$6)</f>
        <v>0.465881502817992</v>
      </c>
      <c r="C158" s="21" t="n">
        <f aca="true">MAX(0.05,NORMINV(RAND(),$B$7,$C$7))</f>
        <v>0.276235514969971</v>
      </c>
      <c r="D158" s="33" t="n">
        <f aca="true">MAX(0.08,NORMINV(RAND(),$B$8,$C$8))</f>
        <v>0.136641877832392</v>
      </c>
      <c r="E158" s="56" t="n">
        <f aca="true">MAX(5,NORMINV(RAND(),$B$9,$C$9))</f>
        <v>14.755705001862</v>
      </c>
      <c r="F158" s="26" t="n">
        <f aca="false">$B$18*(1+(B158+$B$17)/2)^9</f>
        <v>2826.1805238564</v>
      </c>
      <c r="G158" s="26" t="n">
        <f aca="false">F158*(C158-Assumptions!$F$18)+$B$20</f>
        <v>362.89560645263</v>
      </c>
      <c r="H158" s="26" t="n">
        <f aca="false">E158*G158/(1+D158)^9</f>
        <v>1690.94233786716</v>
      </c>
      <c r="I158" s="26" t="n">
        <f aca="false">$B$13*F158/$B$19*((1+$B$8)/(1+D158))^4.5</f>
        <v>-1389.02661440045</v>
      </c>
      <c r="J158" s="26" t="n">
        <f aca="false">H158+I158+$B$14</f>
        <v>2067.0938056585</v>
      </c>
      <c r="K158" s="44" t="n">
        <f aca="false">J158/$B$15</f>
        <v>5.09136405334605</v>
      </c>
    </row>
    <row r="159" customFormat="false" ht="15" hidden="false" customHeight="false" outlineLevel="0" collapsed="false">
      <c r="A159" s="55" t="n">
        <v>119</v>
      </c>
      <c r="B159" s="21" t="n">
        <f aca="true">NORMINV(RAND(),$B$6,$C$6)</f>
        <v>0.52085200434155</v>
      </c>
      <c r="C159" s="21" t="n">
        <f aca="true">MAX(0.05,NORMINV(RAND(),$B$7,$C$7))</f>
        <v>0.39976145075823</v>
      </c>
      <c r="D159" s="33" t="n">
        <f aca="true">MAX(0.08,NORMINV(RAND(),$B$8,$C$8))</f>
        <v>0.129656500948634</v>
      </c>
      <c r="E159" s="56" t="n">
        <f aca="true">MAX(5,NORMINV(RAND(),$B$9,$C$9))</f>
        <v>14.8872373426984</v>
      </c>
      <c r="F159" s="26" t="n">
        <f aca="false">$B$18*(1+(B159+$B$17)/2)^9</f>
        <v>3384.71818274388</v>
      </c>
      <c r="G159" s="26" t="n">
        <f aca="false">F159*(C159-Assumptions!$F$18)+$B$20</f>
        <v>912.942518833006</v>
      </c>
      <c r="H159" s="26" t="n">
        <f aca="false">E159*G159/(1+D159)^9</f>
        <v>4536.69823894358</v>
      </c>
      <c r="I159" s="26" t="n">
        <f aca="false">$B$13*F159/$B$19*((1+$B$8)/(1+D159))^4.5</f>
        <v>-1710.33346648499</v>
      </c>
      <c r="J159" s="26" t="n">
        <f aca="false">H159+I159+$B$14</f>
        <v>4591.54285465037</v>
      </c>
      <c r="K159" s="44" t="n">
        <f aca="false">J159/$B$15</f>
        <v>11.3092188538186</v>
      </c>
    </row>
    <row r="160" customFormat="false" ht="15" hidden="false" customHeight="false" outlineLevel="0" collapsed="false">
      <c r="A160" s="55" t="n">
        <v>120</v>
      </c>
      <c r="B160" s="21" t="n">
        <f aca="true">NORMINV(RAND(),$B$6,$C$6)</f>
        <v>0.46275354206519</v>
      </c>
      <c r="C160" s="21" t="n">
        <f aca="true">MAX(0.05,NORMINV(RAND(),$B$7,$C$7))</f>
        <v>0.282373407477494</v>
      </c>
      <c r="D160" s="33" t="n">
        <f aca="true">MAX(0.08,NORMINV(RAND(),$B$8,$C$8))</f>
        <v>0.127688306910214</v>
      </c>
      <c r="E160" s="56" t="n">
        <f aca="true">MAX(5,NORMINV(RAND(),$B$9,$C$9))</f>
        <v>18.001109795586</v>
      </c>
      <c r="F160" s="26" t="n">
        <f aca="false">$B$18*(1+(B160+$B$17)/2)^9</f>
        <v>2797.02016279532</v>
      </c>
      <c r="G160" s="26" t="n">
        <f aca="false">F160*(C160-Assumptions!$F$18)+$B$20</f>
        <v>373.174702641266</v>
      </c>
      <c r="H160" s="26" t="n">
        <f aca="false">E160*G160/(1+D160)^9</f>
        <v>2277.76954163845</v>
      </c>
      <c r="I160" s="26" t="n">
        <f aca="false">$B$13*F160/$B$19*((1+$B$8)/(1+D160))^4.5</f>
        <v>-1424.49803864568</v>
      </c>
      <c r="J160" s="26" t="n">
        <f aca="false">H160+I160+$B$14</f>
        <v>2618.44958518455</v>
      </c>
      <c r="K160" s="44" t="n">
        <f aca="false">J160/$B$15</f>
        <v>6.44938321474027</v>
      </c>
    </row>
    <row r="161" customFormat="false" ht="15" hidden="false" customHeight="false" outlineLevel="0" collapsed="false">
      <c r="A161" s="55" t="n">
        <v>121</v>
      </c>
      <c r="B161" s="21" t="n">
        <f aca="true">NORMINV(RAND(),$B$6,$C$6)</f>
        <v>0.701313577958403</v>
      </c>
      <c r="C161" s="21" t="n">
        <f aca="true">MAX(0.05,NORMINV(RAND(),$B$7,$C$7))</f>
        <v>0.268934065930116</v>
      </c>
      <c r="D161" s="33" t="n">
        <f aca="true">MAX(0.08,NORMINV(RAND(),$B$8,$C$8))</f>
        <v>0.139116141465858</v>
      </c>
      <c r="E161" s="56" t="n">
        <f aca="true">MAX(5,NORMINV(RAND(),$B$9,$C$9))</f>
        <v>15.9668107646196</v>
      </c>
      <c r="F161" s="26" t="n">
        <f aca="false">$B$18*(1+(B161+$B$17)/2)^9</f>
        <v>5972.28806254411</v>
      </c>
      <c r="G161" s="26" t="n">
        <f aca="false">F161*(C161-Assumptions!$F$18)+$B$20</f>
        <v>1062.51158406543</v>
      </c>
      <c r="H161" s="26" t="n">
        <f aca="false">E161*G161/(1+D161)^9</f>
        <v>5253.3918797368</v>
      </c>
      <c r="I161" s="26" t="n">
        <f aca="false">$B$13*F161/$B$19*((1+$B$8)/(1+D161))^4.5</f>
        <v>-2906.71081382614</v>
      </c>
      <c r="J161" s="26" t="n">
        <f aca="false">H161+I161+$B$14</f>
        <v>4111.85914810245</v>
      </c>
      <c r="K161" s="44" t="n">
        <f aca="false">J161/$B$15</f>
        <v>10.1277318918779</v>
      </c>
    </row>
    <row r="162" customFormat="false" ht="15" hidden="false" customHeight="false" outlineLevel="0" collapsed="false">
      <c r="A162" s="55" t="n">
        <v>122</v>
      </c>
      <c r="B162" s="21" t="n">
        <f aca="true">NORMINV(RAND(),$B$6,$C$6)</f>
        <v>0.506883643683377</v>
      </c>
      <c r="C162" s="21" t="n">
        <f aca="true">MAX(0.05,NORMINV(RAND(),$B$7,$C$7))</f>
        <v>0.266421392946863</v>
      </c>
      <c r="D162" s="33" t="n">
        <f aca="true">MAX(0.08,NORMINV(RAND(),$B$8,$C$8))</f>
        <v>0.149168755572049</v>
      </c>
      <c r="E162" s="56" t="n">
        <f aca="true">MAX(5,NORMINV(RAND(),$B$9,$C$9))</f>
        <v>18.8716409389008</v>
      </c>
      <c r="F162" s="26" t="n">
        <f aca="false">$B$18*(1+(B162+$B$17)/2)^9</f>
        <v>3234.21193237609</v>
      </c>
      <c r="G162" s="26" t="n">
        <f aca="false">F162*(C162-Assumptions!$F$18)+$B$20</f>
        <v>427.546165815271</v>
      </c>
      <c r="H162" s="26" t="n">
        <f aca="false">E162*G162/(1+D162)^9</f>
        <v>2308.54526702628</v>
      </c>
      <c r="I162" s="26" t="n">
        <f aca="false">$B$13*F162/$B$19*((1+$B$8)/(1+D162))^4.5</f>
        <v>-1513.06797080277</v>
      </c>
      <c r="J162" s="26" t="n">
        <f aca="false">H162+I162+$B$14</f>
        <v>2560.6553784153</v>
      </c>
      <c r="K162" s="44" t="n">
        <f aca="false">J162/$B$15</f>
        <v>6.30703295176182</v>
      </c>
    </row>
    <row r="163" customFormat="false" ht="15" hidden="false" customHeight="false" outlineLevel="0" collapsed="false">
      <c r="A163" s="55" t="n">
        <v>123</v>
      </c>
      <c r="B163" s="21" t="n">
        <f aca="true">NORMINV(RAND(),$B$6,$C$6)</f>
        <v>0.461552639992366</v>
      </c>
      <c r="C163" s="21" t="n">
        <f aca="true">MAX(0.05,NORMINV(RAND(),$B$7,$C$7))</f>
        <v>0.337040543769715</v>
      </c>
      <c r="D163" s="33" t="n">
        <f aca="true">MAX(0.08,NORMINV(RAND(),$B$8,$C$8))</f>
        <v>0.132844725211794</v>
      </c>
      <c r="E163" s="56" t="n">
        <f aca="true">MAX(5,NORMINV(RAND(),$B$9,$C$9))</f>
        <v>13.8234804032493</v>
      </c>
      <c r="F163" s="26" t="n">
        <f aca="false">$B$18*(1+(B163+$B$17)/2)^9</f>
        <v>2785.89602273348</v>
      </c>
      <c r="G163" s="26" t="n">
        <f aca="false">F163*(C163-Assumptions!$F$18)+$B$20</f>
        <v>522.775464479952</v>
      </c>
      <c r="H163" s="26" t="n">
        <f aca="false">E163*G163/(1+D163)^9</f>
        <v>2351.79312437794</v>
      </c>
      <c r="I163" s="26" t="n">
        <f aca="false">$B$13*F163/$B$19*((1+$B$8)/(1+D163))^4.5</f>
        <v>-1390.00149920991</v>
      </c>
      <c r="J163" s="26" t="n">
        <f aca="false">H163+I163+$B$14</f>
        <v>2726.96970735981</v>
      </c>
      <c r="K163" s="44" t="n">
        <f aca="false">J163/$B$15</f>
        <v>6.71667415605865</v>
      </c>
    </row>
    <row r="164" customFormat="false" ht="15" hidden="false" customHeight="false" outlineLevel="0" collapsed="false">
      <c r="A164" s="55" t="n">
        <v>124</v>
      </c>
      <c r="B164" s="21" t="n">
        <f aca="true">NORMINV(RAND(),$B$6,$C$6)</f>
        <v>0.613493858676256</v>
      </c>
      <c r="C164" s="21" t="n">
        <f aca="true">MAX(0.05,NORMINV(RAND(),$B$7,$C$7))</f>
        <v>0.361879439201706</v>
      </c>
      <c r="D164" s="33" t="n">
        <f aca="true">MAX(0.08,NORMINV(RAND(),$B$8,$C$8))</f>
        <v>0.135233015146414</v>
      </c>
      <c r="E164" s="56" t="n">
        <f aca="true">MAX(5,NORMINV(RAND(),$B$9,$C$9))</f>
        <v>9.73265382794533</v>
      </c>
      <c r="F164" s="26" t="n">
        <f aca="false">$B$18*(1+(B164+$B$17)/2)^9</f>
        <v>4550.6019471594</v>
      </c>
      <c r="G164" s="26" t="n">
        <f aca="false">F164*(C164-Assumptions!$F$18)+$B$20</f>
        <v>1159.99659778317</v>
      </c>
      <c r="H164" s="26" t="n">
        <f aca="false">E164*G164/(1+D164)^9</f>
        <v>3605.14615487767</v>
      </c>
      <c r="I164" s="26" t="n">
        <f aca="false">$B$13*F164/$B$19*((1+$B$8)/(1+D164))^4.5</f>
        <v>-2249.07219414703</v>
      </c>
      <c r="J164" s="26" t="n">
        <f aca="false">H164+I164+$B$14</f>
        <v>3121.25204292242</v>
      </c>
      <c r="K164" s="44" t="n">
        <f aca="false">J164/$B$15</f>
        <v>7.68781291360202</v>
      </c>
    </row>
    <row r="165" customFormat="false" ht="15" hidden="false" customHeight="false" outlineLevel="0" collapsed="false">
      <c r="A165" s="55" t="n">
        <v>125</v>
      </c>
      <c r="B165" s="21" t="n">
        <f aca="true">NORMINV(RAND(),$B$6,$C$6)</f>
        <v>0.441928958944869</v>
      </c>
      <c r="C165" s="21" t="n">
        <f aca="true">MAX(0.05,NORMINV(RAND(),$B$7,$C$7))</f>
        <v>0.187095671058501</v>
      </c>
      <c r="D165" s="33" t="n">
        <f aca="true">MAX(0.08,NORMINV(RAND(),$B$8,$C$8))</f>
        <v>0.166240090106463</v>
      </c>
      <c r="E165" s="56" t="n">
        <f aca="true">MAX(5,NORMINV(RAND(),$B$9,$C$9))</f>
        <v>16.7892708343213</v>
      </c>
      <c r="F165" s="26" t="n">
        <f aca="false">$B$18*(1+(B165+$B$17)/2)^9</f>
        <v>2609.60571411714</v>
      </c>
      <c r="G165" s="26" t="n">
        <f aca="false">F165*(C165-Assumptions!$F$18)+$B$20</f>
        <v>79.1130987174697</v>
      </c>
      <c r="H165" s="26" t="n">
        <f aca="false">E165*G165/(1+D165)^9</f>
        <v>332.803996086943</v>
      </c>
      <c r="I165" s="26" t="n">
        <f aca="false">$B$13*F165/$B$19*((1+$B$8)/(1+D165))^4.5</f>
        <v>-1142.47354324895</v>
      </c>
      <c r="J165" s="26" t="n">
        <f aca="false">H165+I165+$B$14</f>
        <v>955.508535029771</v>
      </c>
      <c r="K165" s="44" t="n">
        <f aca="false">J165/$B$15</f>
        <v>2.35346929810288</v>
      </c>
    </row>
    <row r="166" customFormat="false" ht="15" hidden="false" customHeight="false" outlineLevel="0" collapsed="false">
      <c r="A166" s="55" t="n">
        <v>126</v>
      </c>
      <c r="B166" s="21" t="n">
        <f aca="true">NORMINV(RAND(),$B$6,$C$6)</f>
        <v>0.449118614026528</v>
      </c>
      <c r="C166" s="21" t="n">
        <f aca="true">MAX(0.05,NORMINV(RAND(),$B$7,$C$7))</f>
        <v>0.274675552436293</v>
      </c>
      <c r="D166" s="33" t="n">
        <f aca="true">MAX(0.08,NORMINV(RAND(),$B$8,$C$8))</f>
        <v>0.160976363960686</v>
      </c>
      <c r="E166" s="56" t="n">
        <f aca="true">MAX(5,NORMINV(RAND(),$B$9,$C$9))</f>
        <v>14.3441103801963</v>
      </c>
      <c r="F166" s="26" t="n">
        <f aca="false">$B$18*(1+(B166+$B$17)/2)^9</f>
        <v>2673.00810968959</v>
      </c>
      <c r="G166" s="26" t="n">
        <f aca="false">F166*(C166-Assumptions!$F$18)+$B$20</f>
        <v>322.541049809409</v>
      </c>
      <c r="H166" s="26" t="n">
        <f aca="false">E166*G166/(1+D166)^9</f>
        <v>1207.3917680096</v>
      </c>
      <c r="I166" s="26" t="n">
        <f aca="false">$B$13*F166/$B$19*((1+$B$8)/(1+D166))^4.5</f>
        <v>-1194.29655846037</v>
      </c>
      <c r="J166" s="26" t="n">
        <f aca="false">H166+I166+$B$14</f>
        <v>1778.27329174102</v>
      </c>
      <c r="K166" s="44" t="n">
        <f aca="false">J166/$B$15</f>
        <v>4.37998347719463</v>
      </c>
    </row>
    <row r="167" customFormat="false" ht="15" hidden="false" customHeight="false" outlineLevel="0" collapsed="false">
      <c r="A167" s="55" t="n">
        <v>127</v>
      </c>
      <c r="B167" s="21" t="n">
        <f aca="true">NORMINV(RAND(),$B$6,$C$6)</f>
        <v>0.652565254120465</v>
      </c>
      <c r="C167" s="21" t="n">
        <f aca="true">MAX(0.05,NORMINV(RAND(),$B$7,$C$7))</f>
        <v>0.399211069656878</v>
      </c>
      <c r="D167" s="33" t="n">
        <f aca="true">MAX(0.08,NORMINV(RAND(),$B$8,$C$8))</f>
        <v>0.134200484975418</v>
      </c>
      <c r="E167" s="56" t="n">
        <f aca="true">MAX(5,NORMINV(RAND(),$B$9,$C$9))</f>
        <v>13.4819125057646</v>
      </c>
      <c r="F167" s="26" t="n">
        <f aca="false">$B$18*(1+(B167+$B$17)/2)^9</f>
        <v>5140.91559158025</v>
      </c>
      <c r="G167" s="26" t="n">
        <f aca="false">F167*(C167-Assumptions!$F$18)+$B$20</f>
        <v>1541.92518366857</v>
      </c>
      <c r="H167" s="26" t="n">
        <f aca="false">E167*G167/(1+D167)^9</f>
        <v>6692.77689801699</v>
      </c>
      <c r="I167" s="26" t="n">
        <f aca="false">$B$13*F167/$B$19*((1+$B$8)/(1+D167))^4.5</f>
        <v>-2551.25195417349</v>
      </c>
      <c r="J167" s="26" t="n">
        <f aca="false">H167+I167+$B$14</f>
        <v>5906.70302603529</v>
      </c>
      <c r="K167" s="44" t="n">
        <f aca="false">J167/$B$15</f>
        <v>14.5485296207766</v>
      </c>
    </row>
    <row r="168" customFormat="false" ht="15" hidden="false" customHeight="false" outlineLevel="0" collapsed="false">
      <c r="A168" s="55" t="n">
        <v>128</v>
      </c>
      <c r="B168" s="21" t="n">
        <f aca="true">NORMINV(RAND(),$B$6,$C$6)</f>
        <v>0.501465152444267</v>
      </c>
      <c r="C168" s="21" t="n">
        <f aca="true">MAX(0.05,NORMINV(RAND(),$B$7,$C$7))</f>
        <v>0.270583290595434</v>
      </c>
      <c r="D168" s="33" t="n">
        <f aca="true">MAX(0.08,NORMINV(RAND(),$B$8,$C$8))</f>
        <v>0.123187354309683</v>
      </c>
      <c r="E168" s="56" t="n">
        <f aca="true">MAX(5,NORMINV(RAND(),$B$9,$C$9))</f>
        <v>15.0746133918712</v>
      </c>
      <c r="F168" s="26" t="n">
        <f aca="false">$B$18*(1+(B168+$B$17)/2)^9</f>
        <v>3177.44978112665</v>
      </c>
      <c r="G168" s="26" t="n">
        <f aca="false">F168*(C168-Assumptions!$F$18)+$B$20</f>
        <v>427.918221235234</v>
      </c>
      <c r="H168" s="26" t="n">
        <f aca="false">E168*G168/(1+D168)^9</f>
        <v>2267.44684975519</v>
      </c>
      <c r="I168" s="26" t="n">
        <f aca="false">$B$13*F168/$B$19*((1+$B$8)/(1+D168))^4.5</f>
        <v>-1647.63450335069</v>
      </c>
      <c r="J168" s="26" t="n">
        <f aca="false">H168+I168+$B$14</f>
        <v>2384.99042859628</v>
      </c>
      <c r="K168" s="44" t="n">
        <f aca="false">J168/$B$15</f>
        <v>5.8743606615672</v>
      </c>
    </row>
    <row r="169" customFormat="false" ht="15" hidden="false" customHeight="false" outlineLevel="0" collapsed="false">
      <c r="A169" s="55" t="n">
        <v>129</v>
      </c>
      <c r="B169" s="21" t="n">
        <f aca="true">NORMINV(RAND(),$B$6,$C$6)</f>
        <v>0.723296381578149</v>
      </c>
      <c r="C169" s="21" t="n">
        <f aca="true">MAX(0.05,NORMINV(RAND(),$B$7,$C$7))</f>
        <v>0.285157891095591</v>
      </c>
      <c r="D169" s="33" t="n">
        <f aca="true">MAX(0.08,NORMINV(RAND(),$B$8,$C$8))</f>
        <v>0.165553305460357</v>
      </c>
      <c r="E169" s="56" t="n">
        <f aca="true">MAX(5,NORMINV(RAND(),$B$9,$C$9))</f>
        <v>15.9343731058195</v>
      </c>
      <c r="F169" s="26" t="n">
        <f aca="false">$B$18*(1+(B169+$B$17)/2)^9</f>
        <v>6384.7862881777</v>
      </c>
      <c r="G169" s="26" t="n">
        <f aca="false">F169*(C169-Assumptions!$F$18)+$B$20</f>
        <v>1260.532136507</v>
      </c>
      <c r="H169" s="26" t="n">
        <f aca="false">E169*G169/(1+D169)^9</f>
        <v>5059.40727722019</v>
      </c>
      <c r="I169" s="26" t="n">
        <f aca="false">$B$13*F169/$B$19*((1+$B$8)/(1+D169))^4.5</f>
        <v>-2802.64983165344</v>
      </c>
      <c r="J169" s="26" t="n">
        <f aca="false">H169+I169+$B$14</f>
        <v>4021.93552775853</v>
      </c>
      <c r="K169" s="44" t="n">
        <f aca="false">J169/$B$15</f>
        <v>9.90624514226238</v>
      </c>
    </row>
    <row r="170" customFormat="false" ht="15" hidden="false" customHeight="false" outlineLevel="0" collapsed="false">
      <c r="A170" s="55" t="n">
        <v>130</v>
      </c>
      <c r="B170" s="21" t="n">
        <f aca="true">NORMINV(RAND(),$B$6,$C$6)</f>
        <v>0.648614053674505</v>
      </c>
      <c r="C170" s="21" t="n">
        <f aca="true">MAX(0.05,NORMINV(RAND(),$B$7,$C$7))</f>
        <v>0.314995075581358</v>
      </c>
      <c r="D170" s="33" t="n">
        <f aca="true">MAX(0.08,NORMINV(RAND(),$B$8,$C$8))</f>
        <v>0.136472076090604</v>
      </c>
      <c r="E170" s="56" t="n">
        <f aca="true">MAX(5,NORMINV(RAND(),$B$9,$C$9))</f>
        <v>17.3526110279413</v>
      </c>
      <c r="F170" s="26" t="n">
        <f aca="false">$B$18*(1+(B170+$B$17)/2)^9</f>
        <v>5078.27348637704</v>
      </c>
      <c r="G170" s="26" t="n">
        <f aca="false">F170*(C170-Assumptions!$F$18)+$B$20</f>
        <v>1091.75159621037</v>
      </c>
      <c r="H170" s="26" t="n">
        <f aca="false">E170*G170/(1+D170)^9</f>
        <v>5990.45408714995</v>
      </c>
      <c r="I170" s="26" t="n">
        <f aca="false">$B$13*F170/$B$19*((1+$B$8)/(1+D170))^4.5</f>
        <v>-2497.57610116858</v>
      </c>
      <c r="J170" s="26" t="n">
        <f aca="false">H170+I170+$B$14</f>
        <v>5258.05606817315</v>
      </c>
      <c r="K170" s="44" t="n">
        <f aca="false">J170/$B$15</f>
        <v>12.9508770152048</v>
      </c>
    </row>
    <row r="171" customFormat="false" ht="15" hidden="false" customHeight="false" outlineLevel="0" collapsed="false">
      <c r="A171" s="55" t="n">
        <v>131</v>
      </c>
      <c r="B171" s="21" t="n">
        <f aca="true">NORMINV(RAND(),$B$6,$C$6)</f>
        <v>0.574444911841309</v>
      </c>
      <c r="C171" s="21" t="n">
        <f aca="true">MAX(0.05,NORMINV(RAND(),$B$7,$C$7))</f>
        <v>0.380055258346981</v>
      </c>
      <c r="D171" s="33" t="n">
        <f aca="true">MAX(0.08,NORMINV(RAND(),$B$8,$C$8))</f>
        <v>0.145366091769249</v>
      </c>
      <c r="E171" s="56" t="n">
        <f aca="true">MAX(5,NORMINV(RAND(),$B$9,$C$9))</f>
        <v>10.5683382368046</v>
      </c>
      <c r="F171" s="26" t="n">
        <f aca="false">$B$18*(1+(B171+$B$17)/2)^9</f>
        <v>4021.61527665114</v>
      </c>
      <c r="G171" s="26" t="n">
        <f aca="false">F171*(C171-Assumptions!$F$18)+$B$20</f>
        <v>1062.82281687508</v>
      </c>
      <c r="H171" s="26" t="n">
        <f aca="false">E171*G171/(1+D171)^9</f>
        <v>3311.07240196287</v>
      </c>
      <c r="I171" s="26" t="n">
        <f aca="false">$B$13*F171/$B$19*((1+$B$8)/(1+D171))^4.5</f>
        <v>-1909.71333148265</v>
      </c>
      <c r="J171" s="26" t="n">
        <f aca="false">H171+I171+$B$14</f>
        <v>3166.537152672</v>
      </c>
      <c r="K171" s="44" t="n">
        <f aca="false">J171/$B$15</f>
        <v>7.79935259278818</v>
      </c>
    </row>
    <row r="172" customFormat="false" ht="15" hidden="false" customHeight="false" outlineLevel="0" collapsed="false">
      <c r="A172" s="55" t="n">
        <v>132</v>
      </c>
      <c r="B172" s="21" t="n">
        <f aca="true">NORMINV(RAND(),$B$6,$C$6)</f>
        <v>0.547477918861704</v>
      </c>
      <c r="C172" s="21" t="n">
        <f aca="true">MAX(0.05,NORMINV(RAND(),$B$7,$C$7))</f>
        <v>0.270316271317685</v>
      </c>
      <c r="D172" s="33" t="n">
        <f aca="true">MAX(0.08,NORMINV(RAND(),$B$8,$C$8))</f>
        <v>0.134873015022724</v>
      </c>
      <c r="E172" s="56" t="n">
        <f aca="true">MAX(5,NORMINV(RAND(),$B$9,$C$9))</f>
        <v>15.4781404151251</v>
      </c>
      <c r="F172" s="26" t="n">
        <f aca="false">$B$18*(1+(B172+$B$17)/2)^9</f>
        <v>3688.94813411113</v>
      </c>
      <c r="G172" s="26" t="n">
        <f aca="false">F172*(C172-Assumptions!$F$18)+$B$20</f>
        <v>544.876174334117</v>
      </c>
      <c r="H172" s="26" t="n">
        <f aca="false">E172*G172/(1+D172)^9</f>
        <v>2700.79222543811</v>
      </c>
      <c r="I172" s="26" t="n">
        <f aca="false">$B$13*F172/$B$19*((1+$B$8)/(1+D172))^4.5</f>
        <v>-1825.81572220887</v>
      </c>
      <c r="J172" s="26" t="n">
        <f aca="false">H172+I172+$B$14</f>
        <v>2640.15458542103</v>
      </c>
      <c r="K172" s="44" t="n">
        <f aca="false">J172/$B$15</f>
        <v>6.50284380645573</v>
      </c>
    </row>
    <row r="173" customFormat="false" ht="15" hidden="false" customHeight="false" outlineLevel="0" collapsed="false">
      <c r="A173" s="55" t="n">
        <v>133</v>
      </c>
      <c r="B173" s="21" t="n">
        <f aca="true">NORMINV(RAND(),$B$6,$C$6)</f>
        <v>0.570286761653245</v>
      </c>
      <c r="C173" s="21" t="n">
        <f aca="true">MAX(0.05,NORMINV(RAND(),$B$7,$C$7))</f>
        <v>0.253548728229283</v>
      </c>
      <c r="D173" s="33" t="n">
        <f aca="true">MAX(0.08,NORMINV(RAND(),$B$8,$C$8))</f>
        <v>0.149807387951588</v>
      </c>
      <c r="E173" s="56" t="n">
        <f aca="true">MAX(5,NORMINV(RAND(),$B$9,$C$9))</f>
        <v>13.0218290137504</v>
      </c>
      <c r="F173" s="26" t="n">
        <f aca="false">$B$18*(1+(B173+$B$17)/2)^9</f>
        <v>3968.64236100721</v>
      </c>
      <c r="G173" s="26" t="n">
        <f aca="false">F173*(C173-Assumptions!$F$18)+$B$20</f>
        <v>542.749923991259</v>
      </c>
      <c r="H173" s="26" t="n">
        <f aca="false">E173*G173/(1+D173)^9</f>
        <v>2012.0830674759</v>
      </c>
      <c r="I173" s="26" t="n">
        <f aca="false">$B$13*F173/$B$19*((1+$B$8)/(1+D173))^4.5</f>
        <v>-1852.02200724519</v>
      </c>
      <c r="J173" s="26" t="n">
        <f aca="false">H173+I173+$B$14</f>
        <v>1925.2391424225</v>
      </c>
      <c r="K173" s="44" t="n">
        <f aca="false">J173/$B$15</f>
        <v>4.74196833108989</v>
      </c>
    </row>
    <row r="174" customFormat="false" ht="15" hidden="false" customHeight="false" outlineLevel="0" collapsed="false">
      <c r="A174" s="55" t="n">
        <v>134</v>
      </c>
      <c r="B174" s="21" t="n">
        <f aca="true">NORMINV(RAND(),$B$6,$C$6)</f>
        <v>0.480810189332622</v>
      </c>
      <c r="C174" s="21" t="n">
        <f aca="true">MAX(0.05,NORMINV(RAND(),$B$7,$C$7))</f>
        <v>0.356293058946604</v>
      </c>
      <c r="D174" s="33" t="n">
        <f aca="true">MAX(0.08,NORMINV(RAND(),$B$8,$C$8))</f>
        <v>0.157621718050156</v>
      </c>
      <c r="E174" s="56" t="n">
        <f aca="true">MAX(5,NORMINV(RAND(),$B$9,$C$9))</f>
        <v>16.5638364120926</v>
      </c>
      <c r="F174" s="26" t="n">
        <f aca="false">$B$18*(1+(B174+$B$17)/2)^9</f>
        <v>2969.1092358184</v>
      </c>
      <c r="G174" s="26" t="n">
        <f aca="false">F174*(C174-Assumptions!$F$18)+$B$20</f>
        <v>634.360037544926</v>
      </c>
      <c r="H174" s="26" t="n">
        <f aca="false">E174*G174/(1+D174)^9</f>
        <v>2814.47085189891</v>
      </c>
      <c r="I174" s="26" t="n">
        <f aca="false">$B$13*F174/$B$19*((1+$B$8)/(1+D174))^4.5</f>
        <v>-1343.98148301322</v>
      </c>
      <c r="J174" s="26" t="n">
        <f aca="false">H174+I174+$B$14</f>
        <v>3235.66745107747</v>
      </c>
      <c r="K174" s="44" t="n">
        <f aca="false">J174/$B$15</f>
        <v>7.96962426373761</v>
      </c>
    </row>
    <row r="175" customFormat="false" ht="15" hidden="false" customHeight="false" outlineLevel="0" collapsed="false">
      <c r="A175" s="55" t="n">
        <v>135</v>
      </c>
      <c r="B175" s="21" t="n">
        <f aca="true">NORMINV(RAND(),$B$6,$C$6)</f>
        <v>0.51221397771093</v>
      </c>
      <c r="C175" s="21" t="n">
        <f aca="true">MAX(0.05,NORMINV(RAND(),$B$7,$C$7))</f>
        <v>0.358089347419441</v>
      </c>
      <c r="D175" s="33" t="n">
        <f aca="true">MAX(0.08,NORMINV(RAND(),$B$8,$C$8))</f>
        <v>0.128085777956033</v>
      </c>
      <c r="E175" s="56" t="n">
        <f aca="true">MAX(5,NORMINV(RAND(),$B$9,$C$9))</f>
        <v>13.1547423319547</v>
      </c>
      <c r="F175" s="26" t="n">
        <f aca="false">$B$18*(1+(B175+$B$17)/2)^9</f>
        <v>3290.92823373808</v>
      </c>
      <c r="G175" s="26" t="n">
        <f aca="false">F175*(C175-Assumptions!$F$18)+$B$20</f>
        <v>742.060609275271</v>
      </c>
      <c r="H175" s="26" t="n">
        <f aca="false">E175*G175/(1+D175)^9</f>
        <v>3299.45802943914</v>
      </c>
      <c r="I175" s="26" t="n">
        <f aca="false">$B$13*F175/$B$19*((1+$B$8)/(1+D175))^4.5</f>
        <v>-1673.38533873496</v>
      </c>
      <c r="J175" s="26" t="n">
        <f aca="false">H175+I175+$B$14</f>
        <v>3391.25077289597</v>
      </c>
      <c r="K175" s="44" t="n">
        <f aca="false">J175/$B$15</f>
        <v>8.35283441599992</v>
      </c>
    </row>
    <row r="176" customFormat="false" ht="15" hidden="false" customHeight="false" outlineLevel="0" collapsed="false">
      <c r="A176" s="55" t="n">
        <v>136</v>
      </c>
      <c r="B176" s="21" t="n">
        <f aca="true">NORMINV(RAND(),$B$6,$C$6)</f>
        <v>0.577913620858527</v>
      </c>
      <c r="C176" s="21" t="n">
        <f aca="true">MAX(0.05,NORMINV(RAND(),$B$7,$C$7))</f>
        <v>0.279638335509854</v>
      </c>
      <c r="D176" s="33" t="n">
        <f aca="true">MAX(0.08,NORMINV(RAND(),$B$8,$C$8))</f>
        <v>0.118244774716112</v>
      </c>
      <c r="E176" s="56" t="n">
        <f aca="true">MAX(5,NORMINV(RAND(),$B$9,$C$9))</f>
        <v>15.265077863769</v>
      </c>
      <c r="F176" s="26" t="n">
        <f aca="false">$B$18*(1+(B176+$B$17)/2)^9</f>
        <v>4066.28488009989</v>
      </c>
      <c r="G176" s="26" t="n">
        <f aca="false">F176*(C176-Assumptions!$F$18)+$B$20</f>
        <v>669.689135377333</v>
      </c>
      <c r="H176" s="26" t="n">
        <f aca="false">E176*G176/(1+D176)^9</f>
        <v>3738.87012579347</v>
      </c>
      <c r="I176" s="26" t="n">
        <f aca="false">$B$13*F176/$B$19*((1+$B$8)/(1+D176))^4.5</f>
        <v>-2150.79470652411</v>
      </c>
      <c r="J176" s="26" t="n">
        <f aca="false">H176+I176+$B$14</f>
        <v>3353.25350146114</v>
      </c>
      <c r="K176" s="44" t="n">
        <f aca="false">J176/$B$15</f>
        <v>8.25924507749049</v>
      </c>
    </row>
    <row r="177" customFormat="false" ht="15" hidden="false" customHeight="false" outlineLevel="0" collapsed="false">
      <c r="A177" s="55" t="n">
        <v>137</v>
      </c>
      <c r="B177" s="21" t="n">
        <f aca="true">NORMINV(RAND(),$B$6,$C$6)</f>
        <v>0.399303443823673</v>
      </c>
      <c r="C177" s="21" t="n">
        <f aca="true">MAX(0.05,NORMINV(RAND(),$B$7,$C$7))</f>
        <v>0.300012686460635</v>
      </c>
      <c r="D177" s="33" t="n">
        <f aca="true">MAX(0.08,NORMINV(RAND(),$B$8,$C$8))</f>
        <v>0.151849666591185</v>
      </c>
      <c r="E177" s="56" t="n">
        <f aca="true">MAX(5,NORMINV(RAND(),$B$9,$C$9))</f>
        <v>12.7504445727045</v>
      </c>
      <c r="F177" s="26" t="n">
        <f aca="false">$B$18*(1+(B177+$B$17)/2)^9</f>
        <v>2260.41343727985</v>
      </c>
      <c r="G177" s="26" t="n">
        <f aca="false">F177*(C177-Assumptions!$F$18)+$B$20</f>
        <v>282.987565340161</v>
      </c>
      <c r="H177" s="26" t="n">
        <f aca="false">E177*G177/(1+D177)^9</f>
        <v>1010.95185157121</v>
      </c>
      <c r="I177" s="26" t="n">
        <f aca="false">$B$13*F177/$B$19*((1+$B$8)/(1+D177))^4.5</f>
        <v>-1046.46301124131</v>
      </c>
      <c r="J177" s="26" t="n">
        <f aca="false">H177+I177+$B$14</f>
        <v>1729.66692252168</v>
      </c>
      <c r="K177" s="44" t="n">
        <f aca="false">J177/$B$15</f>
        <v>4.26026335596474</v>
      </c>
    </row>
    <row r="178" customFormat="false" ht="15" hidden="false" customHeight="false" outlineLevel="0" collapsed="false">
      <c r="A178" s="55" t="n">
        <v>138</v>
      </c>
      <c r="B178" s="21" t="n">
        <f aca="true">NORMINV(RAND(),$B$6,$C$6)</f>
        <v>0.626451936350736</v>
      </c>
      <c r="C178" s="21" t="n">
        <f aca="true">MAX(0.05,NORMINV(RAND(),$B$7,$C$7))</f>
        <v>0.212720693998092</v>
      </c>
      <c r="D178" s="33" t="n">
        <f aca="true">MAX(0.08,NORMINV(RAND(),$B$8,$C$8))</f>
        <v>0.145829436169307</v>
      </c>
      <c r="E178" s="56" t="n">
        <f aca="true">MAX(5,NORMINV(RAND(),$B$9,$C$9))</f>
        <v>16.4499624451978</v>
      </c>
      <c r="F178" s="26" t="n">
        <f aca="false">$B$18*(1+(B178+$B$17)/2)^9</f>
        <v>4739.32660824524</v>
      </c>
      <c r="G178" s="26" t="n">
        <f aca="false">F178*(C178-Assumptions!$F$18)+$B$20</f>
        <v>513.831175861052</v>
      </c>
      <c r="H178" s="26" t="n">
        <f aca="false">E178*G178/(1+D178)^9</f>
        <v>2482.59334319996</v>
      </c>
      <c r="I178" s="26" t="n">
        <f aca="false">$B$13*F178/$B$19*((1+$B$8)/(1+D178))^4.5</f>
        <v>-2246.43500252954</v>
      </c>
      <c r="J178" s="26" t="n">
        <f aca="false">H178+I178+$B$14</f>
        <v>2001.3364228622</v>
      </c>
      <c r="K178" s="44" t="n">
        <f aca="false">J178/$B$15</f>
        <v>4.92940005631085</v>
      </c>
    </row>
    <row r="179" customFormat="false" ht="15" hidden="false" customHeight="false" outlineLevel="0" collapsed="false">
      <c r="A179" s="55" t="n">
        <v>139</v>
      </c>
      <c r="B179" s="21" t="n">
        <f aca="true">NORMINV(RAND(),$B$6,$C$6)</f>
        <v>0.464086782740566</v>
      </c>
      <c r="C179" s="21" t="n">
        <f aca="true">MAX(0.05,NORMINV(RAND(),$B$7,$C$7))</f>
        <v>0.285057663587435</v>
      </c>
      <c r="D179" s="33" t="n">
        <f aca="true">MAX(0.08,NORMINV(RAND(),$B$8,$C$8))</f>
        <v>0.140786152333611</v>
      </c>
      <c r="E179" s="56" t="n">
        <f aca="true">MAX(5,NORMINV(RAND(),$B$9,$C$9))</f>
        <v>14.1075918216177</v>
      </c>
      <c r="F179" s="26" t="n">
        <f aca="false">$B$18*(1+(B179+$B$17)/2)^9</f>
        <v>2809.41641019633</v>
      </c>
      <c r="G179" s="26" t="n">
        <f aca="false">F179*(C179-Assumptions!$F$18)+$B$20</f>
        <v>383.720416528222</v>
      </c>
      <c r="H179" s="26" t="n">
        <f aca="false">E179*G179/(1+D179)^9</f>
        <v>1654.35849537068</v>
      </c>
      <c r="I179" s="26" t="n">
        <f aca="false">$B$13*F179/$B$19*((1+$B$8)/(1+D179))^4.5</f>
        <v>-1358.35766407312</v>
      </c>
      <c r="J179" s="26" t="n">
        <f aca="false">H179+I179+$B$14</f>
        <v>2061.17891348933</v>
      </c>
      <c r="K179" s="44" t="n">
        <f aca="false">J179/$B$15</f>
        <v>5.07679535342201</v>
      </c>
    </row>
    <row r="180" customFormat="false" ht="15" hidden="false" customHeight="false" outlineLevel="0" collapsed="false">
      <c r="A180" s="55" t="n">
        <v>140</v>
      </c>
      <c r="B180" s="21" t="n">
        <f aca="true">NORMINV(RAND(),$B$6,$C$6)</f>
        <v>0.526730598534018</v>
      </c>
      <c r="C180" s="21" t="n">
        <f aca="true">MAX(0.05,NORMINV(RAND(),$B$7,$C$7))</f>
        <v>0.337852359934493</v>
      </c>
      <c r="D180" s="33" t="n">
        <f aca="true">MAX(0.08,NORMINV(RAND(),$B$8,$C$8))</f>
        <v>0.143147231487598</v>
      </c>
      <c r="E180" s="56" t="n">
        <f aca="true">MAX(5,NORMINV(RAND(),$B$9,$C$9))</f>
        <v>14.4673336721355</v>
      </c>
      <c r="F180" s="26" t="n">
        <f aca="false">$B$18*(1+(B180+$B$17)/2)^9</f>
        <v>3449.89803045922</v>
      </c>
      <c r="G180" s="26" t="n">
        <f aca="false">F180*(C180-Assumptions!$F$18)+$B$20</f>
        <v>722.81166490695</v>
      </c>
      <c r="H180" s="26" t="n">
        <f aca="false">E180*G180/(1+D180)^9</f>
        <v>3136.85273678313</v>
      </c>
      <c r="I180" s="26" t="n">
        <f aca="false">$B$13*F180/$B$19*((1+$B$8)/(1+D180))^4.5</f>
        <v>-1652.58423225974</v>
      </c>
      <c r="J180" s="26" t="n">
        <f aca="false">H180+I180+$B$14</f>
        <v>3249.44658671517</v>
      </c>
      <c r="K180" s="44" t="n">
        <f aca="false">J180/$B$15</f>
        <v>8.00356302146594</v>
      </c>
    </row>
    <row r="181" customFormat="false" ht="15" hidden="false" customHeight="false" outlineLevel="0" collapsed="false">
      <c r="A181" s="55" t="n">
        <v>141</v>
      </c>
      <c r="B181" s="21" t="n">
        <f aca="true">NORMINV(RAND(),$B$6,$C$6)</f>
        <v>0.308417130612901</v>
      </c>
      <c r="C181" s="21" t="n">
        <f aca="true">MAX(0.05,NORMINV(RAND(),$B$7,$C$7))</f>
        <v>0.311252361874011</v>
      </c>
      <c r="D181" s="33" t="n">
        <f aca="true">MAX(0.08,NORMINV(RAND(),$B$8,$C$8))</f>
        <v>0.134249573336812</v>
      </c>
      <c r="E181" s="56" t="n">
        <f aca="true">MAX(5,NORMINV(RAND(),$B$9,$C$9))</f>
        <v>16.4093525922036</v>
      </c>
      <c r="F181" s="26" t="n">
        <f aca="false">$B$18*(1+(B181+$B$17)/2)^9</f>
        <v>1650.99110457105</v>
      </c>
      <c r="G181" s="26" t="n">
        <f aca="false">F181*(C181-Assumptions!$F$18)+$B$20</f>
        <v>143.086631549191</v>
      </c>
      <c r="H181" s="26" t="n">
        <f aca="false">E181*G181/(1+D181)^9</f>
        <v>755.636426795496</v>
      </c>
      <c r="I181" s="26" t="n">
        <f aca="false">$B$13*F181/$B$19*((1+$B$8)/(1+D181))^4.5</f>
        <v>-819.168094523197</v>
      </c>
      <c r="J181" s="26" t="n">
        <f aca="false">H181+I181+$B$14</f>
        <v>1701.64641446408</v>
      </c>
      <c r="K181" s="44" t="n">
        <f aca="false">J181/$B$15</f>
        <v>4.19124732626621</v>
      </c>
    </row>
    <row r="182" customFormat="false" ht="15" hidden="false" customHeight="false" outlineLevel="0" collapsed="false">
      <c r="A182" s="55" t="n">
        <v>142</v>
      </c>
      <c r="B182" s="21" t="n">
        <f aca="true">NORMINV(RAND(),$B$6,$C$6)</f>
        <v>0.624324067408156</v>
      </c>
      <c r="C182" s="21" t="n">
        <f aca="true">MAX(0.05,NORMINV(RAND(),$B$7,$C$7))</f>
        <v>0.309270036924718</v>
      </c>
      <c r="D182" s="33" t="n">
        <f aca="true">MAX(0.08,NORMINV(RAND(),$B$8,$C$8))</f>
        <v>0.143909963998661</v>
      </c>
      <c r="E182" s="56" t="n">
        <f aca="true">MAX(5,NORMINV(RAND(),$B$9,$C$9))</f>
        <v>14.2281259545998</v>
      </c>
      <c r="F182" s="26" t="n">
        <f aca="false">$B$18*(1+(B182+$B$17)/2)^9</f>
        <v>4707.8663607986</v>
      </c>
      <c r="G182" s="26" t="n">
        <f aca="false">F182*(C182-Assumptions!$F$18)+$B$20</f>
        <v>962.938743810187</v>
      </c>
      <c r="H182" s="26" t="n">
        <f aca="false">E182*G182/(1+D182)^9</f>
        <v>4085.26069588432</v>
      </c>
      <c r="I182" s="26" t="n">
        <f aca="false">$B$13*F182/$B$19*((1+$B$8)/(1+D182))^4.5</f>
        <v>-2248.42258577897</v>
      </c>
      <c r="J182" s="26" t="n">
        <f aca="false">H182+I182+$B$14</f>
        <v>3602.01619229714</v>
      </c>
      <c r="K182" s="44" t="n">
        <f aca="false">J182/$B$15</f>
        <v>8.87196106477128</v>
      </c>
    </row>
    <row r="183" customFormat="false" ht="15" hidden="false" customHeight="false" outlineLevel="0" collapsed="false">
      <c r="A183" s="55" t="n">
        <v>143</v>
      </c>
      <c r="B183" s="21" t="n">
        <f aca="true">NORMINV(RAND(),$B$6,$C$6)</f>
        <v>0.607443691177939</v>
      </c>
      <c r="C183" s="21" t="n">
        <f aca="true">MAX(0.05,NORMINV(RAND(),$B$7,$C$7))</f>
        <v>0.25260877690106</v>
      </c>
      <c r="D183" s="33" t="n">
        <f aca="true">MAX(0.08,NORMINV(RAND(),$B$8,$C$8))</f>
        <v>0.13423232038794</v>
      </c>
      <c r="E183" s="56" t="n">
        <f aca="true">MAX(5,NORMINV(RAND(),$B$9,$C$9))</f>
        <v>14.4353024946289</v>
      </c>
      <c r="F183" s="26" t="n">
        <f aca="false">$B$18*(1+(B183+$B$17)/2)^9</f>
        <v>4464.79653616417</v>
      </c>
      <c r="G183" s="26" t="n">
        <f aca="false">F183*(C183-Assumptions!$F$18)+$B$20</f>
        <v>644.506325667263</v>
      </c>
      <c r="H183" s="26" t="n">
        <f aca="false">E183*G183/(1+D183)^9</f>
        <v>2994.57301427021</v>
      </c>
      <c r="I183" s="26" t="n">
        <f aca="false">$B$13*F183/$B$19*((1+$B$8)/(1+D183))^4.5</f>
        <v>-2215.43848300603</v>
      </c>
      <c r="J183" s="26" t="n">
        <f aca="false">H183+I183+$B$14</f>
        <v>2544.31261345597</v>
      </c>
      <c r="K183" s="44" t="n">
        <f aca="false">J183/$B$15</f>
        <v>6.26677983609844</v>
      </c>
    </row>
    <row r="184" customFormat="false" ht="15" hidden="false" customHeight="false" outlineLevel="0" collapsed="false">
      <c r="A184" s="55" t="n">
        <v>144</v>
      </c>
      <c r="B184" s="21" t="n">
        <f aca="true">NORMINV(RAND(),$B$6,$C$6)</f>
        <v>0.471594173169503</v>
      </c>
      <c r="C184" s="21" t="n">
        <f aca="true">MAX(0.05,NORMINV(RAND(),$B$7,$C$7))</f>
        <v>0.282162907824654</v>
      </c>
      <c r="D184" s="33" t="n">
        <f aca="true">MAX(0.08,NORMINV(RAND(),$B$8,$C$8))</f>
        <v>0.159288554333451</v>
      </c>
      <c r="E184" s="56" t="n">
        <f aca="true">MAX(5,NORMINV(RAND(),$B$9,$C$9))</f>
        <v>15.9650615373602</v>
      </c>
      <c r="F184" s="26" t="n">
        <f aca="false">$B$18*(1+(B184+$B$17)/2)^9</f>
        <v>2880.13498304884</v>
      </c>
      <c r="G184" s="26" t="n">
        <f aca="false">F184*(C184-Assumptions!$F$18)+$B$20</f>
        <v>392.713257423929</v>
      </c>
      <c r="H184" s="26" t="n">
        <f aca="false">E184*G184/(1+D184)^9</f>
        <v>1657.76217706589</v>
      </c>
      <c r="I184" s="26" t="n">
        <f aca="false">$B$13*F184/$B$19*((1+$B$8)/(1+D184))^4.5</f>
        <v>-1295.29289077966</v>
      </c>
      <c r="J184" s="26" t="n">
        <f aca="false">H184+I184+$B$14</f>
        <v>2127.64736847801</v>
      </c>
      <c r="K184" s="44" t="n">
        <f aca="false">J184/$B$15</f>
        <v>5.24051075979804</v>
      </c>
    </row>
    <row r="185" customFormat="false" ht="15" hidden="false" customHeight="false" outlineLevel="0" collapsed="false">
      <c r="A185" s="55" t="n">
        <v>145</v>
      </c>
      <c r="B185" s="21" t="n">
        <f aca="true">NORMINV(RAND(),$B$6,$C$6)</f>
        <v>0.813717841282731</v>
      </c>
      <c r="C185" s="21" t="n">
        <f aca="true">MAX(0.05,NORMINV(RAND(),$B$7,$C$7))</f>
        <v>0.33580576046373</v>
      </c>
      <c r="D185" s="33" t="n">
        <f aca="true">MAX(0.08,NORMINV(RAND(),$B$8,$C$8))</f>
        <v>0.120340250079097</v>
      </c>
      <c r="E185" s="56" t="n">
        <f aca="true">MAX(5,NORMINV(RAND(),$B$9,$C$9))</f>
        <v>14.841737481012</v>
      </c>
      <c r="F185" s="26" t="n">
        <f aca="false">$B$18*(1+(B185+$B$17)/2)^9</f>
        <v>8360.67679719717</v>
      </c>
      <c r="G185" s="26" t="n">
        <f aca="false">F185*(C185-Assumptions!$F$18)+$B$20</f>
        <v>2168.38775298768</v>
      </c>
      <c r="H185" s="26" t="n">
        <f aca="false">E185*G185/(1+D185)^9</f>
        <v>11573.7005167428</v>
      </c>
      <c r="I185" s="26" t="n">
        <f aca="false">$B$13*F185/$B$19*((1+$B$8)/(1+D185))^4.5</f>
        <v>-4385.1435577016</v>
      </c>
      <c r="J185" s="26" t="n">
        <f aca="false">H185+I185+$B$14</f>
        <v>8953.73504123302</v>
      </c>
      <c r="K185" s="44" t="n">
        <f aca="false">J185/$B$15</f>
        <v>22.0535345843178</v>
      </c>
    </row>
    <row r="186" customFormat="false" ht="15" hidden="false" customHeight="false" outlineLevel="0" collapsed="false">
      <c r="A186" s="55" t="n">
        <v>146</v>
      </c>
      <c r="B186" s="21" t="n">
        <f aca="true">NORMINV(RAND(),$B$6,$C$6)</f>
        <v>0.511125255693357</v>
      </c>
      <c r="C186" s="21" t="n">
        <f aca="true">MAX(0.05,NORMINV(RAND(),$B$7,$C$7))</f>
        <v>0.315002748682986</v>
      </c>
      <c r="D186" s="33" t="n">
        <f aca="true">MAX(0.08,NORMINV(RAND(),$B$8,$C$8))</f>
        <v>0.119897602553957</v>
      </c>
      <c r="E186" s="56" t="n">
        <f aca="true">MAX(5,NORMINV(RAND(),$B$9,$C$9))</f>
        <v>16.1503011764391</v>
      </c>
      <c r="F186" s="26" t="n">
        <f aca="false">$B$18*(1+(B186+$B$17)/2)^9</f>
        <v>3279.27259729798</v>
      </c>
      <c r="G186" s="26" t="n">
        <f aca="false">F186*(C186-Assumptions!$F$18)+$B$20</f>
        <v>597.06037293905</v>
      </c>
      <c r="H186" s="26" t="n">
        <f aca="false">E186*G186/(1+D186)^9</f>
        <v>3480.1185564899</v>
      </c>
      <c r="I186" s="26" t="n">
        <f aca="false">$B$13*F186/$B$19*((1+$B$8)/(1+D186))^4.5</f>
        <v>-1723.02749943646</v>
      </c>
      <c r="J186" s="26" t="n">
        <f aca="false">H186+I186+$B$14</f>
        <v>3522.26913924522</v>
      </c>
      <c r="K186" s="44" t="n">
        <f aca="false">J186/$B$15</f>
        <v>8.67553975183552</v>
      </c>
    </row>
    <row r="187" customFormat="false" ht="15" hidden="false" customHeight="false" outlineLevel="0" collapsed="false">
      <c r="A187" s="55" t="n">
        <v>147</v>
      </c>
      <c r="B187" s="21" t="n">
        <f aca="true">NORMINV(RAND(),$B$6,$C$6)</f>
        <v>0.49869842540947</v>
      </c>
      <c r="C187" s="21" t="n">
        <f aca="true">MAX(0.05,NORMINV(RAND(),$B$7,$C$7))</f>
        <v>0.244152670802474</v>
      </c>
      <c r="D187" s="33" t="n">
        <f aca="true">MAX(0.08,NORMINV(RAND(),$B$8,$C$8))</f>
        <v>0.126542140158477</v>
      </c>
      <c r="E187" s="56" t="n">
        <f aca="true">MAX(5,NORMINV(RAND(),$B$9,$C$9))</f>
        <v>18.7699304039613</v>
      </c>
      <c r="F187" s="26" t="n">
        <f aca="false">$B$18*(1+(B187+$B$17)/2)^9</f>
        <v>3148.80950014424</v>
      </c>
      <c r="G187" s="26" t="n">
        <f aca="false">F187*(C187-Assumptions!$F$18)+$B$20</f>
        <v>338.08926430396</v>
      </c>
      <c r="H187" s="26" t="n">
        <f aca="false">E187*G187/(1+D187)^9</f>
        <v>2171.53616204504</v>
      </c>
      <c r="I187" s="26" t="n">
        <f aca="false">$B$13*F187/$B$19*((1+$B$8)/(1+D187))^4.5</f>
        <v>-1611.01656020649</v>
      </c>
      <c r="J187" s="26" t="n">
        <f aca="false">H187+I187+$B$14</f>
        <v>2325.69768403033</v>
      </c>
      <c r="K187" s="44" t="n">
        <f aca="false">J187/$B$15</f>
        <v>5.72831941879391</v>
      </c>
    </row>
    <row r="188" customFormat="false" ht="15" hidden="false" customHeight="false" outlineLevel="0" collapsed="false">
      <c r="A188" s="55" t="n">
        <v>148</v>
      </c>
      <c r="B188" s="21" t="n">
        <f aca="true">NORMINV(RAND(),$B$6,$C$6)</f>
        <v>0.496825869928452</v>
      </c>
      <c r="C188" s="21" t="n">
        <f aca="true">MAX(0.05,NORMINV(RAND(),$B$7,$C$7))</f>
        <v>0.207386725130787</v>
      </c>
      <c r="D188" s="33" t="n">
        <f aca="true">MAX(0.08,NORMINV(RAND(),$B$8,$C$8))</f>
        <v>0.140752987949475</v>
      </c>
      <c r="E188" s="56" t="n">
        <f aca="true">MAX(5,NORMINV(RAND(),$B$9,$C$9))</f>
        <v>13.3616580818441</v>
      </c>
      <c r="F188" s="26" t="n">
        <f aca="false">$B$18*(1+(B188+$B$17)/2)^9</f>
        <v>3129.55583960629</v>
      </c>
      <c r="G188" s="26" t="n">
        <f aca="false">F188*(C188-Assumptions!$F$18)+$B$20</f>
        <v>219.097498106939</v>
      </c>
      <c r="H188" s="26" t="n">
        <f aca="false">E188*G188/(1+D188)^9</f>
        <v>894.897382205794</v>
      </c>
      <c r="I188" s="26" t="n">
        <f aca="false">$B$13*F188/$B$19*((1+$B$8)/(1+D188))^4.5</f>
        <v>-1513.34359685534</v>
      </c>
      <c r="J188" s="26" t="n">
        <f aca="false">H188+I188+$B$14</f>
        <v>1146.73186754223</v>
      </c>
      <c r="K188" s="44" t="n">
        <f aca="false">J188/$B$15</f>
        <v>2.82446272793653</v>
      </c>
    </row>
    <row r="189" customFormat="false" ht="15" hidden="false" customHeight="false" outlineLevel="0" collapsed="false">
      <c r="A189" s="55" t="n">
        <v>149</v>
      </c>
      <c r="B189" s="21" t="n">
        <f aca="true">NORMINV(RAND(),$B$6,$C$6)</f>
        <v>0.530472032375215</v>
      </c>
      <c r="C189" s="21" t="n">
        <f aca="true">MAX(0.05,NORMINV(RAND(),$B$7,$C$7))</f>
        <v>0.276092470395053</v>
      </c>
      <c r="D189" s="33" t="n">
        <f aca="true">MAX(0.08,NORMINV(RAND(),$B$8,$C$8))</f>
        <v>0.124495586135349</v>
      </c>
      <c r="E189" s="56" t="n">
        <f aca="true">MAX(5,NORMINV(RAND(),$B$9,$C$9))</f>
        <v>14.7698268094865</v>
      </c>
      <c r="F189" s="26" t="n">
        <f aca="false">$B$18*(1+(B189+$B$17)/2)^9</f>
        <v>3491.96050869532</v>
      </c>
      <c r="G189" s="26" t="n">
        <f aca="false">F189*(C189-Assumptions!$F$18)+$B$20</f>
        <v>519.676978021155</v>
      </c>
      <c r="H189" s="26" t="n">
        <f aca="false">E189*G189/(1+D189)^9</f>
        <v>2669.86366426212</v>
      </c>
      <c r="I189" s="26" t="n">
        <f aca="false">$B$13*F189/$B$19*((1+$B$8)/(1+D189))^4.5</f>
        <v>-1801.26052594484</v>
      </c>
      <c r="J189" s="26" t="n">
        <f aca="false">H189+I189+$B$14</f>
        <v>2633.78122050906</v>
      </c>
      <c r="K189" s="44" t="n">
        <f aca="false">J189/$B$15</f>
        <v>6.4871458633228</v>
      </c>
    </row>
    <row r="190" customFormat="false" ht="15" hidden="false" customHeight="false" outlineLevel="0" collapsed="false">
      <c r="A190" s="55" t="n">
        <v>150</v>
      </c>
      <c r="B190" s="21" t="n">
        <f aca="true">NORMINV(RAND(),$B$6,$C$6)</f>
        <v>0.575570326562547</v>
      </c>
      <c r="C190" s="21" t="n">
        <f aca="true">MAX(0.05,NORMINV(RAND(),$B$7,$C$7))</f>
        <v>0.224832662988954</v>
      </c>
      <c r="D190" s="33" t="n">
        <f aca="true">MAX(0.08,NORMINV(RAND(),$B$8,$C$8))</f>
        <v>0.15686823896771</v>
      </c>
      <c r="E190" s="56" t="n">
        <f aca="true">MAX(5,NORMINV(RAND(),$B$9,$C$9))</f>
        <v>19.1514259648037</v>
      </c>
      <c r="F190" s="26" t="n">
        <f aca="false">$B$18*(1+(B190+$B$17)/2)^9</f>
        <v>4036.06018510882</v>
      </c>
      <c r="G190" s="26" t="n">
        <f aca="false">F190*(C190-Assumptions!$F$18)+$B$20</f>
        <v>441.247146998664</v>
      </c>
      <c r="H190" s="26" t="n">
        <f aca="false">E190*G190/(1+D190)^9</f>
        <v>2276.81605140391</v>
      </c>
      <c r="I190" s="26" t="n">
        <f aca="false">$B$13*F190/$B$19*((1+$B$8)/(1+D190))^4.5</f>
        <v>-1832.30260436101</v>
      </c>
      <c r="J190" s="26" t="n">
        <f aca="false">H190+I190+$B$14</f>
        <v>2209.69152923469</v>
      </c>
      <c r="K190" s="44" t="n">
        <f aca="false">J190/$B$15</f>
        <v>5.44258997348445</v>
      </c>
    </row>
    <row r="191" customFormat="false" ht="15" hidden="false" customHeight="false" outlineLevel="0" collapsed="false">
      <c r="A191" s="55" t="n">
        <v>151</v>
      </c>
      <c r="B191" s="21" t="n">
        <f aca="true">NORMINV(RAND(),$B$6,$C$6)</f>
        <v>0.67179311917278</v>
      </c>
      <c r="C191" s="21" t="n">
        <f aca="true">MAX(0.05,NORMINV(RAND(),$B$7,$C$7))</f>
        <v>0.248824117087485</v>
      </c>
      <c r="D191" s="33" t="n">
        <f aca="true">MAX(0.08,NORMINV(RAND(),$B$8,$C$8))</f>
        <v>0.135092856282238</v>
      </c>
      <c r="E191" s="56" t="n">
        <f aca="true">MAX(5,NORMINV(RAND(),$B$9,$C$9))</f>
        <v>16.7997172460796</v>
      </c>
      <c r="F191" s="26" t="n">
        <f aca="false">$B$18*(1+(B191+$B$17)/2)^9</f>
        <v>5455.6650870918</v>
      </c>
      <c r="G191" s="26" t="n">
        <f aca="false">F191*(C191-Assumptions!$F$18)+$B$20</f>
        <v>834.525839938271</v>
      </c>
      <c r="H191" s="26" t="n">
        <f aca="false">E191*G191/(1+D191)^9</f>
        <v>4481.86991143351</v>
      </c>
      <c r="I191" s="26" t="n">
        <f aca="false">$B$13*F191/$B$19*((1+$B$8)/(1+D191))^4.5</f>
        <v>-2697.88572982213</v>
      </c>
      <c r="J191" s="26" t="n">
        <f aca="false">H191+I191+$B$14</f>
        <v>3549.16226380316</v>
      </c>
      <c r="K191" s="44" t="n">
        <f aca="false">J191/$B$15</f>
        <v>8.74177897488464</v>
      </c>
    </row>
    <row r="192" customFormat="false" ht="15" hidden="false" customHeight="false" outlineLevel="0" collapsed="false">
      <c r="A192" s="55" t="n">
        <v>152</v>
      </c>
      <c r="B192" s="21" t="n">
        <f aca="true">NORMINV(RAND(),$B$6,$C$6)</f>
        <v>0.406300703313378</v>
      </c>
      <c r="C192" s="21" t="n">
        <f aca="true">MAX(0.05,NORMINV(RAND(),$B$7,$C$7))</f>
        <v>0.302527529049293</v>
      </c>
      <c r="D192" s="33" t="n">
        <f aca="true">MAX(0.08,NORMINV(RAND(),$B$8,$C$8))</f>
        <v>0.16757293102499</v>
      </c>
      <c r="E192" s="56" t="n">
        <f aca="true">MAX(5,NORMINV(RAND(),$B$9,$C$9))</f>
        <v>15.8447521124923</v>
      </c>
      <c r="F192" s="26" t="n">
        <f aca="false">$B$18*(1+(B192+$B$17)/2)^9</f>
        <v>2314.71581800155</v>
      </c>
      <c r="G192" s="26" t="n">
        <f aca="false">F192*(C192-Assumptions!$F$18)+$B$20</f>
        <v>302.92801915257</v>
      </c>
      <c r="H192" s="26" t="n">
        <f aca="false">E192*G192/(1+D192)^9</f>
        <v>1190.33371379747</v>
      </c>
      <c r="I192" s="26" t="n">
        <f aca="false">$B$13*F192/$B$19*((1+$B$8)/(1+D192))^4.5</f>
        <v>-1008.17681458982</v>
      </c>
      <c r="J192" s="26" t="n">
        <f aca="false">H192+I192+$B$14</f>
        <v>1947.33498139943</v>
      </c>
      <c r="K192" s="44" t="n">
        <f aca="false">J192/$B$15</f>
        <v>4.79639157980155</v>
      </c>
    </row>
    <row r="193" customFormat="false" ht="15" hidden="false" customHeight="false" outlineLevel="0" collapsed="false">
      <c r="A193" s="55" t="n">
        <v>153</v>
      </c>
      <c r="B193" s="21" t="n">
        <f aca="true">NORMINV(RAND(),$B$6,$C$6)</f>
        <v>0.612430372621234</v>
      </c>
      <c r="C193" s="21" t="n">
        <f aca="true">MAX(0.05,NORMINV(RAND(),$B$7,$C$7))</f>
        <v>0.207424411336802</v>
      </c>
      <c r="D193" s="33" t="n">
        <f aca="true">MAX(0.08,NORMINV(RAND(),$B$8,$C$8))</f>
        <v>0.142710304822068</v>
      </c>
      <c r="E193" s="56" t="n">
        <f aca="true">MAX(5,NORMINV(RAND(),$B$9,$C$9))</f>
        <v>18.6365733723849</v>
      </c>
      <c r="F193" s="26" t="n">
        <f aca="false">$B$18*(1+(B193+$B$17)/2)^9</f>
        <v>4535.41390469242</v>
      </c>
      <c r="G193" s="26" t="n">
        <f aca="false">F193*(C193-Assumptions!$F$18)+$B$20</f>
        <v>454.590398163184</v>
      </c>
      <c r="H193" s="26" t="n">
        <f aca="false">E193*G193/(1+D193)^9</f>
        <v>2550.12240839196</v>
      </c>
      <c r="I193" s="26" t="n">
        <f aca="false">$B$13*F193/$B$19*((1+$B$8)/(1+D193))^4.5</f>
        <v>-2176.3131492824</v>
      </c>
      <c r="J193" s="26" t="n">
        <f aca="false">H193+I193+$B$14</f>
        <v>2138.98734130134</v>
      </c>
      <c r="K193" s="44" t="n">
        <f aca="false">J193/$B$15</f>
        <v>5.26844172734321</v>
      </c>
    </row>
    <row r="194" customFormat="false" ht="15" hidden="false" customHeight="false" outlineLevel="0" collapsed="false">
      <c r="A194" s="55" t="n">
        <v>154</v>
      </c>
      <c r="B194" s="21" t="n">
        <f aca="true">NORMINV(RAND(),$B$6,$C$6)</f>
        <v>0.418354478244308</v>
      </c>
      <c r="C194" s="21" t="n">
        <f aca="true">MAX(0.05,NORMINV(RAND(),$B$7,$C$7))</f>
        <v>0.301034290588914</v>
      </c>
      <c r="D194" s="33" t="n">
        <f aca="true">MAX(0.08,NORMINV(RAND(),$B$8,$C$8))</f>
        <v>0.115438077247184</v>
      </c>
      <c r="E194" s="56" t="n">
        <f aca="true">MAX(5,NORMINV(RAND(),$B$9,$C$9))</f>
        <v>13.413640868729</v>
      </c>
      <c r="F194" s="26" t="n">
        <f aca="false">$B$18*(1+(B194+$B$17)/2)^9</f>
        <v>2410.98357370059</v>
      </c>
      <c r="G194" s="26" t="n">
        <f aca="false">F194*(C194-Assumptions!$F$18)+$B$20</f>
        <v>324.600781783769</v>
      </c>
      <c r="H194" s="26" t="n">
        <f aca="false">E194*G194/(1+D194)^9</f>
        <v>1628.8723241556</v>
      </c>
      <c r="I194" s="26" t="n">
        <f aca="false">$B$13*F194/$B$19*((1+$B$8)/(1+D194))^4.5</f>
        <v>-1289.75363843551</v>
      </c>
      <c r="J194" s="26" t="n">
        <f aca="false">H194+I194+$B$14</f>
        <v>2104.29676791187</v>
      </c>
      <c r="K194" s="44" t="n">
        <f aca="false">J194/$B$15</f>
        <v>5.18299696530017</v>
      </c>
    </row>
    <row r="195" customFormat="false" ht="15" hidden="false" customHeight="false" outlineLevel="0" collapsed="false">
      <c r="A195" s="55" t="n">
        <v>155</v>
      </c>
      <c r="B195" s="21" t="n">
        <f aca="true">NORMINV(RAND(),$B$6,$C$6)</f>
        <v>0.633212064609713</v>
      </c>
      <c r="C195" s="21" t="n">
        <f aca="true">MAX(0.05,NORMINV(RAND(),$B$7,$C$7))</f>
        <v>0.331568495019572</v>
      </c>
      <c r="D195" s="33" t="n">
        <f aca="true">MAX(0.08,NORMINV(RAND(),$B$8,$C$8))</f>
        <v>0.139381300406568</v>
      </c>
      <c r="E195" s="56" t="n">
        <f aca="true">MAX(5,NORMINV(RAND(),$B$9,$C$9))</f>
        <v>13.2766009273378</v>
      </c>
      <c r="F195" s="26" t="n">
        <f aca="false">$B$18*(1+(B195+$B$17)/2)^9</f>
        <v>4840.51782062185</v>
      </c>
      <c r="G195" s="26" t="n">
        <f aca="false">F195*(C195-Assumptions!$F$18)+$B$20</f>
        <v>1106.59389107544</v>
      </c>
      <c r="H195" s="26" t="n">
        <f aca="false">E195*G195/(1+D195)^9</f>
        <v>4539.97417079608</v>
      </c>
      <c r="I195" s="26" t="n">
        <f aca="false">$B$13*F195/$B$19*((1+$B$8)/(1+D195))^4.5</f>
        <v>-2353.41239013079</v>
      </c>
      <c r="J195" s="26" t="n">
        <f aca="false">H195+I195+$B$14</f>
        <v>3951.73986285707</v>
      </c>
      <c r="K195" s="44" t="n">
        <f aca="false">J195/$B$15</f>
        <v>9.73334941590411</v>
      </c>
    </row>
    <row r="196" customFormat="false" ht="15" hidden="false" customHeight="false" outlineLevel="0" collapsed="false">
      <c r="A196" s="55" t="n">
        <v>156</v>
      </c>
      <c r="B196" s="21" t="n">
        <f aca="true">NORMINV(RAND(),$B$6,$C$6)</f>
        <v>0.659033803640593</v>
      </c>
      <c r="C196" s="21" t="n">
        <f aca="true">MAX(0.05,NORMINV(RAND(),$B$7,$C$7))</f>
        <v>0.445839144615649</v>
      </c>
      <c r="D196" s="33" t="n">
        <f aca="true">MAX(0.08,NORMINV(RAND(),$B$8,$C$8))</f>
        <v>0.135260076518005</v>
      </c>
      <c r="E196" s="56" t="n">
        <f aca="true">MAX(5,NORMINV(RAND(),$B$9,$C$9))</f>
        <v>14.4304005817411</v>
      </c>
      <c r="F196" s="26" t="n">
        <f aca="false">$B$18*(1+(B196+$B$17)/2)^9</f>
        <v>5244.95123909577</v>
      </c>
      <c r="G196" s="26" t="n">
        <f aca="false">F196*(C196-Assumptions!$F$18)+$B$20</f>
        <v>1823.85791942673</v>
      </c>
      <c r="H196" s="26" t="n">
        <f aca="false">E196*G196/(1+D196)^9</f>
        <v>8402.54993431353</v>
      </c>
      <c r="I196" s="26" t="n">
        <f aca="false">$B$13*F196/$B$19*((1+$B$8)/(1+D196))^4.5</f>
        <v>-2591.96669538323</v>
      </c>
      <c r="J196" s="26" t="n">
        <f aca="false">H196+I196+$B$14</f>
        <v>7575.76132112208</v>
      </c>
      <c r="K196" s="44" t="n">
        <f aca="false">J196/$B$15</f>
        <v>18.6595106431578</v>
      </c>
    </row>
    <row r="197" customFormat="false" ht="15" hidden="false" customHeight="false" outlineLevel="0" collapsed="false">
      <c r="A197" s="55" t="n">
        <v>157</v>
      </c>
      <c r="B197" s="21" t="n">
        <f aca="true">NORMINV(RAND(),$B$6,$C$6)</f>
        <v>0.601889384921514</v>
      </c>
      <c r="C197" s="21" t="n">
        <f aca="true">MAX(0.05,NORMINV(RAND(),$B$7,$C$7))</f>
        <v>0.305294862540866</v>
      </c>
      <c r="D197" s="33" t="n">
        <f aca="true">MAX(0.08,NORMINV(RAND(),$B$8,$C$8))</f>
        <v>0.143797542888129</v>
      </c>
      <c r="E197" s="56" t="n">
        <f aca="true">MAX(5,NORMINV(RAND(),$B$9,$C$9))</f>
        <v>15.4156432911902</v>
      </c>
      <c r="F197" s="26" t="n">
        <f aca="false">$B$18*(1+(B197+$B$17)/2)^9</f>
        <v>4387.29295200321</v>
      </c>
      <c r="G197" s="26" t="n">
        <f aca="false">F197*(C197-Assumptions!$F$18)+$B$20</f>
        <v>859.177675629513</v>
      </c>
      <c r="H197" s="26" t="n">
        <f aca="false">E197*G197/(1+D197)^9</f>
        <v>3952.77599256362</v>
      </c>
      <c r="I197" s="26" t="n">
        <f aca="false">$B$13*F197/$B$19*((1+$B$8)/(1+D197))^4.5</f>
        <v>-2096.24733664729</v>
      </c>
      <c r="J197" s="26" t="n">
        <f aca="false">H197+I197+$B$14</f>
        <v>3621.70673810811</v>
      </c>
      <c r="K197" s="44" t="n">
        <f aca="false">J197/$B$15</f>
        <v>8.9204599460791</v>
      </c>
    </row>
    <row r="198" customFormat="false" ht="15" hidden="false" customHeight="false" outlineLevel="0" collapsed="false">
      <c r="A198" s="55" t="n">
        <v>158</v>
      </c>
      <c r="B198" s="21" t="n">
        <f aca="true">NORMINV(RAND(),$B$6,$C$6)</f>
        <v>0.435873747944807</v>
      </c>
      <c r="C198" s="21" t="n">
        <f aca="true">MAX(0.05,NORMINV(RAND(),$B$7,$C$7))</f>
        <v>0.314380674160063</v>
      </c>
      <c r="D198" s="33" t="n">
        <f aca="true">MAX(0.08,NORMINV(RAND(),$B$8,$C$8))</f>
        <v>0.138794272903765</v>
      </c>
      <c r="E198" s="56" t="n">
        <f aca="true">MAX(5,NORMINV(RAND(),$B$9,$C$9))</f>
        <v>16.8622478296115</v>
      </c>
      <c r="F198" s="26" t="n">
        <f aca="false">$B$18*(1+(B198+$B$17)/2)^9</f>
        <v>2557.24827075896</v>
      </c>
      <c r="G198" s="26" t="n">
        <f aca="false">F198*(C198-Assumptions!$F$18)+$B$20</f>
        <v>396.910899526809</v>
      </c>
      <c r="H198" s="26" t="n">
        <f aca="false">E198*G198/(1+D198)^9</f>
        <v>2077.78699553516</v>
      </c>
      <c r="I198" s="26" t="n">
        <f aca="false">$B$13*F198/$B$19*((1+$B$8)/(1+D198))^4.5</f>
        <v>-1246.19574754743</v>
      </c>
      <c r="J198" s="26" t="n">
        <f aca="false">H198+I198+$B$14</f>
        <v>2596.76933017951</v>
      </c>
      <c r="K198" s="44" t="n">
        <f aca="false">J198/$B$15</f>
        <v>6.39598357187072</v>
      </c>
    </row>
    <row r="199" customFormat="false" ht="15" hidden="false" customHeight="false" outlineLevel="0" collapsed="false">
      <c r="A199" s="55" t="n">
        <v>159</v>
      </c>
      <c r="B199" s="21" t="n">
        <f aca="true">NORMINV(RAND(),$B$6,$C$6)</f>
        <v>0.60018490822455</v>
      </c>
      <c r="C199" s="21" t="n">
        <f aca="true">MAX(0.05,NORMINV(RAND(),$B$7,$C$7))</f>
        <v>0.282369056346765</v>
      </c>
      <c r="D199" s="33" t="n">
        <f aca="true">MAX(0.08,NORMINV(RAND(),$B$8,$C$8))</f>
        <v>0.136950541675234</v>
      </c>
      <c r="E199" s="56" t="n">
        <f aca="true">MAX(5,NORMINV(RAND(),$B$9,$C$9))</f>
        <v>7.72952653729161</v>
      </c>
      <c r="F199" s="26" t="n">
        <f aca="false">$B$18*(1+(B199+$B$17)/2)^9</f>
        <v>4363.75007734312</v>
      </c>
      <c r="G199" s="26" t="n">
        <f aca="false">F199*(C199-Assumptions!$F$18)+$B$20</f>
        <v>752.889383380083</v>
      </c>
      <c r="H199" s="26" t="n">
        <f aca="false">E199*G199/(1+D199)^9</f>
        <v>1833.20025691467</v>
      </c>
      <c r="I199" s="26" t="n">
        <f aca="false">$B$13*F199/$B$19*((1+$B$8)/(1+D199))^4.5</f>
        <v>-2142.10077059089</v>
      </c>
      <c r="J199" s="26" t="n">
        <f aca="false">H199+I199+$B$14</f>
        <v>1456.27756851556</v>
      </c>
      <c r="K199" s="44" t="n">
        <f aca="false">J199/$B$15</f>
        <v>3.5868905628462</v>
      </c>
    </row>
    <row r="200" customFormat="false" ht="15" hidden="false" customHeight="false" outlineLevel="0" collapsed="false">
      <c r="A200" s="55" t="n">
        <v>160</v>
      </c>
      <c r="B200" s="21" t="n">
        <f aca="true">NORMINV(RAND(),$B$6,$C$6)</f>
        <v>0.591176864394369</v>
      </c>
      <c r="C200" s="21" t="n">
        <f aca="true">MAX(0.05,NORMINV(RAND(),$B$7,$C$7))</f>
        <v>0.237472949082802</v>
      </c>
      <c r="D200" s="33" t="n">
        <f aca="true">MAX(0.08,NORMINV(RAND(),$B$8,$C$8))</f>
        <v>0.115560519354096</v>
      </c>
      <c r="E200" s="56" t="n">
        <f aca="true">MAX(5,NORMINV(RAND(),$B$9,$C$9))</f>
        <v>13.3867309437139</v>
      </c>
      <c r="F200" s="26" t="n">
        <f aca="false">$B$18*(1+(B200+$B$17)/2)^9</f>
        <v>4241.18259279456</v>
      </c>
      <c r="G200" s="26" t="n">
        <f aca="false">F200*(C200-Assumptions!$F$18)+$B$20</f>
        <v>532.770229199097</v>
      </c>
      <c r="H200" s="26" t="n">
        <f aca="false">E200*G200/(1+D200)^9</f>
        <v>2665.48511245502</v>
      </c>
      <c r="I200" s="26" t="n">
        <f aca="false">$B$13*F200/$B$19*((1+$B$8)/(1+D200))^4.5</f>
        <v>-2267.69668473697</v>
      </c>
      <c r="J200" s="26" t="n">
        <f aca="false">H200+I200+$B$14</f>
        <v>2162.96650990983</v>
      </c>
      <c r="K200" s="44" t="n">
        <f aca="false">J200/$B$15</f>
        <v>5.32750371898974</v>
      </c>
    </row>
    <row r="201" customFormat="false" ht="15" hidden="false" customHeight="false" outlineLevel="0" collapsed="false">
      <c r="A201" s="55" t="n">
        <v>161</v>
      </c>
      <c r="B201" s="21" t="n">
        <f aca="true">NORMINV(RAND(),$B$6,$C$6)</f>
        <v>0.597837230069041</v>
      </c>
      <c r="C201" s="21" t="n">
        <f aca="true">MAX(0.05,NORMINV(RAND(),$B$7,$C$7))</f>
        <v>0.368437582087617</v>
      </c>
      <c r="D201" s="33" t="n">
        <f aca="true">MAX(0.08,NORMINV(RAND(),$B$8,$C$8))</f>
        <v>0.146289960411683</v>
      </c>
      <c r="E201" s="56" t="n">
        <f aca="true">MAX(5,NORMINV(RAND(),$B$9,$C$9))</f>
        <v>18.9353102094009</v>
      </c>
      <c r="F201" s="26" t="n">
        <f aca="false">$B$18*(1+(B201+$B$17)/2)^9</f>
        <v>4331.50693256332</v>
      </c>
      <c r="G201" s="26" t="n">
        <f aca="false">F201*(C201-Assumptions!$F$18)+$B$20</f>
        <v>1117.88105872816</v>
      </c>
      <c r="H201" s="26" t="n">
        <f aca="false">E201*G201/(1+D201)^9</f>
        <v>6194.66212104513</v>
      </c>
      <c r="I201" s="26" t="n">
        <f aca="false">$B$13*F201/$B$19*((1+$B$8)/(1+D201))^4.5</f>
        <v>-2049.41976627917</v>
      </c>
      <c r="J201" s="26" t="n">
        <f aca="false">H201+I201+$B$14</f>
        <v>5910.42043695775</v>
      </c>
      <c r="K201" s="44" t="n">
        <f aca="false">J201/$B$15</f>
        <v>14.5576858053146</v>
      </c>
    </row>
    <row r="202" customFormat="false" ht="15" hidden="false" customHeight="false" outlineLevel="0" collapsed="false">
      <c r="A202" s="55" t="n">
        <v>162</v>
      </c>
      <c r="B202" s="21" t="n">
        <f aca="true">NORMINV(RAND(),$B$6,$C$6)</f>
        <v>0.618629650686107</v>
      </c>
      <c r="C202" s="21" t="n">
        <f aca="true">MAX(0.05,NORMINV(RAND(),$B$7,$C$7))</f>
        <v>0.230586595891227</v>
      </c>
      <c r="D202" s="33" t="n">
        <f aca="true">MAX(0.08,NORMINV(RAND(),$B$8,$C$8))</f>
        <v>0.143445100101081</v>
      </c>
      <c r="E202" s="56" t="n">
        <f aca="true">MAX(5,NORMINV(RAND(),$B$9,$C$9))</f>
        <v>12.1864546238726</v>
      </c>
      <c r="F202" s="26" t="n">
        <f aca="false">$B$18*(1+(B202+$B$17)/2)^9</f>
        <v>4624.58633514258</v>
      </c>
      <c r="G202" s="26" t="n">
        <f aca="false">F202*(C202-Assumptions!$F$18)+$B$20</f>
        <v>576.63556202122</v>
      </c>
      <c r="H202" s="26" t="n">
        <f aca="false">E202*G202/(1+D202)^9</f>
        <v>2103.00806473917</v>
      </c>
      <c r="I202" s="26" t="n">
        <f aca="false">$B$13*F202/$B$19*((1+$B$8)/(1+D202))^4.5</f>
        <v>-2212.69251925343</v>
      </c>
      <c r="J202" s="26" t="n">
        <f aca="false">H202+I202+$B$14</f>
        <v>1655.49362767752</v>
      </c>
      <c r="K202" s="44" t="n">
        <f aca="false">J202/$B$15</f>
        <v>4.07757051152099</v>
      </c>
    </row>
    <row r="203" customFormat="false" ht="15" hidden="false" customHeight="false" outlineLevel="0" collapsed="false">
      <c r="A203" s="55" t="n">
        <v>163</v>
      </c>
      <c r="B203" s="21" t="n">
        <f aca="true">NORMINV(RAND(),$B$6,$C$6)</f>
        <v>0.593155979016575</v>
      </c>
      <c r="C203" s="21" t="n">
        <f aca="true">MAX(0.05,NORMINV(RAND(),$B$7,$C$7))</f>
        <v>0.350249708162873</v>
      </c>
      <c r="D203" s="33" t="n">
        <f aca="true">MAX(0.08,NORMINV(RAND(),$B$8,$C$8))</f>
        <v>0.13041733671656</v>
      </c>
      <c r="E203" s="56" t="n">
        <f aca="true">MAX(5,NORMINV(RAND(),$B$9,$C$9))</f>
        <v>17.6638761644343</v>
      </c>
      <c r="F203" s="26" t="n">
        <f aca="false">$B$18*(1+(B203+$B$17)/2)^9</f>
        <v>4267.84580851447</v>
      </c>
      <c r="G203" s="26" t="n">
        <f aca="false">F203*(C203-Assumptions!$F$18)+$B$20</f>
        <v>1019.34931157706</v>
      </c>
      <c r="H203" s="26" t="n">
        <f aca="false">E203*G203/(1+D203)^9</f>
        <v>5973.92491891524</v>
      </c>
      <c r="I203" s="26" t="n">
        <f aca="false">$B$13*F203/$B$19*((1+$B$8)/(1+D203))^4.5</f>
        <v>-2150.06299205708</v>
      </c>
      <c r="J203" s="26" t="n">
        <f aca="false">H203+I203+$B$14</f>
        <v>5589.04000904994</v>
      </c>
      <c r="K203" s="44" t="n">
        <f aca="false">J203/$B$15</f>
        <v>13.7661083966747</v>
      </c>
    </row>
    <row r="204" customFormat="false" ht="15" hidden="false" customHeight="false" outlineLevel="0" collapsed="false">
      <c r="A204" s="55" t="n">
        <v>164</v>
      </c>
      <c r="B204" s="21" t="n">
        <f aca="true">NORMINV(RAND(),$B$6,$C$6)</f>
        <v>0.539682984764082</v>
      </c>
      <c r="C204" s="21" t="n">
        <f aca="true">MAX(0.05,NORMINV(RAND(),$B$7,$C$7))</f>
        <v>0.327404753295234</v>
      </c>
      <c r="D204" s="33" t="n">
        <f aca="true">MAX(0.08,NORMINV(RAND(),$B$8,$C$8))</f>
        <v>0.159069272852943</v>
      </c>
      <c r="E204" s="56" t="n">
        <f aca="true">MAX(5,NORMINV(RAND(),$B$9,$C$9))</f>
        <v>13.1982731794597</v>
      </c>
      <c r="F204" s="26" t="n">
        <f aca="false">$B$18*(1+(B204+$B$17)/2)^9</f>
        <v>3597.46208863866</v>
      </c>
      <c r="G204" s="26" t="n">
        <f aca="false">F204*(C204-Assumptions!$F$18)+$B$20</f>
        <v>729.179099075462</v>
      </c>
      <c r="H204" s="26" t="n">
        <f aca="false">E204*G204/(1+D204)^9</f>
        <v>2548.98212605976</v>
      </c>
      <c r="I204" s="26" t="n">
        <f aca="false">$B$13*F204/$B$19*((1+$B$8)/(1+D204))^4.5</f>
        <v>-1619.27669155343</v>
      </c>
      <c r="J204" s="26" t="n">
        <f aca="false">H204+I204+$B$14</f>
        <v>2694.88351669811</v>
      </c>
      <c r="K204" s="44" t="n">
        <f aca="false">J204/$B$15</f>
        <v>6.6376441297983</v>
      </c>
    </row>
    <row r="205" customFormat="false" ht="15" hidden="false" customHeight="false" outlineLevel="0" collapsed="false">
      <c r="A205" s="55" t="n">
        <v>165</v>
      </c>
      <c r="B205" s="21" t="n">
        <f aca="true">NORMINV(RAND(),$B$6,$C$6)</f>
        <v>0.57734337092569</v>
      </c>
      <c r="C205" s="21" t="n">
        <f aca="true">MAX(0.05,NORMINV(RAND(),$B$7,$C$7))</f>
        <v>0.347297321781939</v>
      </c>
      <c r="D205" s="33" t="n">
        <f aca="true">MAX(0.08,NORMINV(RAND(),$B$8,$C$8))</f>
        <v>0.108995320154801</v>
      </c>
      <c r="E205" s="56" t="n">
        <f aca="true">MAX(5,NORMINV(RAND(),$B$9,$C$9))</f>
        <v>12.3135716526011</v>
      </c>
      <c r="F205" s="26" t="n">
        <f aca="false">$B$18*(1+(B205+$B$17)/2)^9</f>
        <v>4058.91111777529</v>
      </c>
      <c r="G205" s="26" t="n">
        <f aca="false">F205*(C205-Assumptions!$F$18)+$B$20</f>
        <v>942.543910844596</v>
      </c>
      <c r="H205" s="26" t="n">
        <f aca="false">E205*G205/(1+D205)^9</f>
        <v>4574.23226248899</v>
      </c>
      <c r="I205" s="26" t="n">
        <f aca="false">$B$13*F205/$B$19*((1+$B$8)/(1+D205))^4.5</f>
        <v>-2228.65547490905</v>
      </c>
      <c r="J205" s="26" t="n">
        <f aca="false">H205+I205+$B$14</f>
        <v>4110.75486977172</v>
      </c>
      <c r="K205" s="44" t="n">
        <f aca="false">J205/$B$15</f>
        <v>10.1250119945116</v>
      </c>
    </row>
    <row r="206" customFormat="false" ht="15" hidden="false" customHeight="false" outlineLevel="0" collapsed="false">
      <c r="A206" s="55" t="n">
        <v>166</v>
      </c>
      <c r="B206" s="21" t="n">
        <f aca="true">NORMINV(RAND(),$B$6,$C$6)</f>
        <v>0.404321123916791</v>
      </c>
      <c r="C206" s="21" t="n">
        <f aca="true">MAX(0.05,NORMINV(RAND(),$B$7,$C$7))</f>
        <v>0.237540014779009</v>
      </c>
      <c r="D206" s="33" t="n">
        <f aca="true">MAX(0.08,NORMINV(RAND(),$B$8,$C$8))</f>
        <v>0.147218097392517</v>
      </c>
      <c r="E206" s="56" t="n">
        <f aca="true">MAX(5,NORMINV(RAND(),$B$9,$C$9))</f>
        <v>15.1734126292481</v>
      </c>
      <c r="F206" s="26" t="n">
        <f aca="false">$B$18*(1+(B206+$B$17)/2)^9</f>
        <v>2299.23686485853</v>
      </c>
      <c r="G206" s="26" t="n">
        <f aca="false">F206*(C206-Assumptions!$F$18)+$B$20</f>
        <v>149.442679265908</v>
      </c>
      <c r="H206" s="26" t="n">
        <f aca="false">E206*G206/(1+D206)^9</f>
        <v>658.785465558764</v>
      </c>
      <c r="I206" s="26" t="n">
        <f aca="false">$B$13*F206/$B$19*((1+$B$8)/(1+D206))^4.5</f>
        <v>-1083.91160950229</v>
      </c>
      <c r="J206" s="26" t="n">
        <f aca="false">H206+I206+$B$14</f>
        <v>1340.05193824825</v>
      </c>
      <c r="K206" s="44" t="n">
        <f aca="false">J206/$B$15</f>
        <v>3.30062053755727</v>
      </c>
    </row>
    <row r="207" customFormat="false" ht="15" hidden="false" customHeight="false" outlineLevel="0" collapsed="false">
      <c r="A207" s="55" t="n">
        <v>167</v>
      </c>
      <c r="B207" s="21" t="n">
        <f aca="true">NORMINV(RAND(),$B$6,$C$6)</f>
        <v>0.622275811599974</v>
      </c>
      <c r="C207" s="21" t="n">
        <f aca="true">MAX(0.05,NORMINV(RAND(),$B$7,$C$7))</f>
        <v>0.257266453662364</v>
      </c>
      <c r="D207" s="33" t="n">
        <f aca="true">MAX(0.08,NORMINV(RAND(),$B$8,$C$8))</f>
        <v>0.121626559988933</v>
      </c>
      <c r="E207" s="56" t="n">
        <f aca="true">MAX(5,NORMINV(RAND(),$B$9,$C$9))</f>
        <v>13.8232295104221</v>
      </c>
      <c r="F207" s="26" t="n">
        <f aca="false">$B$18*(1+(B207+$B$17)/2)^9</f>
        <v>4677.75866819574</v>
      </c>
      <c r="G207" s="26" t="n">
        <f aca="false">F207*(C207-Assumptions!$F$18)+$B$20</f>
        <v>711.571431928579</v>
      </c>
      <c r="H207" s="26" t="n">
        <f aca="false">E207*G207/(1+D207)^9</f>
        <v>3501.01087224352</v>
      </c>
      <c r="I207" s="26" t="n">
        <f aca="false">$B$13*F207/$B$19*((1+$B$8)/(1+D207))^4.5</f>
        <v>-2440.83058549755</v>
      </c>
      <c r="J207" s="26" t="n">
        <f aca="false">H207+I207+$B$14</f>
        <v>2825.35836893775</v>
      </c>
      <c r="K207" s="44" t="n">
        <f aca="false">J207/$B$15</f>
        <v>6.95901076093042</v>
      </c>
    </row>
    <row r="208" customFormat="false" ht="15" hidden="false" customHeight="false" outlineLevel="0" collapsed="false">
      <c r="A208" s="55" t="n">
        <v>168</v>
      </c>
      <c r="B208" s="21" t="n">
        <f aca="true">NORMINV(RAND(),$B$6,$C$6)</f>
        <v>0.537076719100256</v>
      </c>
      <c r="C208" s="21" t="n">
        <f aca="true">MAX(0.05,NORMINV(RAND(),$B$7,$C$7))</f>
        <v>0.294506284988587</v>
      </c>
      <c r="D208" s="33" t="n">
        <f aca="true">MAX(0.08,NORMINV(RAND(),$B$8,$C$8))</f>
        <v>0.164290261128124</v>
      </c>
      <c r="E208" s="56" t="n">
        <f aca="true">MAX(5,NORMINV(RAND(),$B$9,$C$9))</f>
        <v>18.9489673856668</v>
      </c>
      <c r="F208" s="26" t="n">
        <f aca="false">$B$18*(1+(B208+$B$17)/2)^9</f>
        <v>3567.32647014583</v>
      </c>
      <c r="G208" s="26" t="n">
        <f aca="false">F208*(C208-Assumptions!$F$18)+$B$20</f>
        <v>603.158402259575</v>
      </c>
      <c r="H208" s="26" t="n">
        <f aca="false">E208*G208/(1+D208)^9</f>
        <v>2907.13732826242</v>
      </c>
      <c r="I208" s="26" t="n">
        <f aca="false">$B$13*F208/$B$19*((1+$B$8)/(1+D208))^4.5</f>
        <v>-1573.563491946</v>
      </c>
      <c r="J208" s="26" t="n">
        <f aca="false">H208+I208+$B$14</f>
        <v>3098.7519185082</v>
      </c>
      <c r="K208" s="44" t="n">
        <f aca="false">J208/$B$15</f>
        <v>7.63239388795123</v>
      </c>
    </row>
    <row r="209" customFormat="false" ht="15" hidden="false" customHeight="false" outlineLevel="0" collapsed="false">
      <c r="A209" s="55" t="n">
        <v>169</v>
      </c>
      <c r="B209" s="21" t="n">
        <f aca="true">NORMINV(RAND(),$B$6,$C$6)</f>
        <v>0.610685944515137</v>
      </c>
      <c r="C209" s="21" t="n">
        <f aca="true">MAX(0.05,NORMINV(RAND(),$B$7,$C$7))</f>
        <v>0.27954377064125</v>
      </c>
      <c r="D209" s="33" t="n">
        <f aca="true">MAX(0.08,NORMINV(RAND(),$B$8,$C$8))</f>
        <v>0.132793525766019</v>
      </c>
      <c r="E209" s="56" t="n">
        <f aca="true">MAX(5,NORMINV(RAND(),$B$9,$C$9))</f>
        <v>10.3876880238671</v>
      </c>
      <c r="F209" s="26" t="n">
        <f aca="false">$B$18*(1+(B209+$B$17)/2)^9</f>
        <v>4510.59862803735</v>
      </c>
      <c r="G209" s="26" t="n">
        <f aca="false">F209*(C209-Assumptions!$F$18)+$B$20</f>
        <v>775.737198210624</v>
      </c>
      <c r="H209" s="26" t="n">
        <f aca="false">E209*G209/(1+D209)^9</f>
        <v>2623.47355620017</v>
      </c>
      <c r="I209" s="26" t="n">
        <f aca="false">$B$13*F209/$B$19*((1+$B$8)/(1+D209))^4.5</f>
        <v>-2250.98643294901</v>
      </c>
      <c r="J209" s="26" t="n">
        <f aca="false">H209+I209+$B$14</f>
        <v>2137.66520544295</v>
      </c>
      <c r="K209" s="44" t="n">
        <f aca="false">J209/$B$15</f>
        <v>5.26518523508115</v>
      </c>
    </row>
    <row r="210" customFormat="false" ht="15" hidden="false" customHeight="false" outlineLevel="0" collapsed="false">
      <c r="A210" s="55" t="n">
        <v>170</v>
      </c>
      <c r="B210" s="21" t="n">
        <f aca="true">NORMINV(RAND(),$B$6,$C$6)</f>
        <v>0.641780919748253</v>
      </c>
      <c r="C210" s="21" t="n">
        <f aca="true">MAX(0.05,NORMINV(RAND(),$B$7,$C$7))</f>
        <v>0.194053155080074</v>
      </c>
      <c r="D210" s="33" t="n">
        <f aca="true">MAX(0.08,NORMINV(RAND(),$B$8,$C$8))</f>
        <v>0.119779930927881</v>
      </c>
      <c r="E210" s="56" t="n">
        <f aca="true">MAX(5,NORMINV(RAND(),$B$9,$C$9))</f>
        <v>14.6136862721452</v>
      </c>
      <c r="F210" s="26" t="n">
        <f aca="false">$B$18*(1+(B210+$B$17)/2)^9</f>
        <v>4971.54111078708</v>
      </c>
      <c r="G210" s="26" t="n">
        <f aca="false">F210*(C210-Assumptions!$F$18)+$B$20</f>
        <v>461.132988728355</v>
      </c>
      <c r="H210" s="26" t="n">
        <f aca="false">E210*G210/(1+D210)^9</f>
        <v>2434.39952605714</v>
      </c>
      <c r="I210" s="26" t="n">
        <f aca="false">$B$13*F210/$B$19*((1+$B$8)/(1+D210))^4.5</f>
        <v>-2613.43126669215</v>
      </c>
      <c r="J210" s="26" t="n">
        <f aca="false">H210+I210+$B$14</f>
        <v>1586.14634155676</v>
      </c>
      <c r="K210" s="44" t="n">
        <f aca="false">J210/$B$15</f>
        <v>3.90676438807085</v>
      </c>
    </row>
    <row r="211" customFormat="false" ht="15" hidden="false" customHeight="false" outlineLevel="0" collapsed="false">
      <c r="A211" s="55" t="n">
        <v>171</v>
      </c>
      <c r="B211" s="21" t="n">
        <f aca="true">NORMINV(RAND(),$B$6,$C$6)</f>
        <v>0.446397196173529</v>
      </c>
      <c r="C211" s="21" t="n">
        <f aca="true">MAX(0.05,NORMINV(RAND(),$B$7,$C$7))</f>
        <v>0.233967576387007</v>
      </c>
      <c r="D211" s="33" t="n">
        <f aca="true">MAX(0.08,NORMINV(RAND(),$B$8,$C$8))</f>
        <v>0.146324680671387</v>
      </c>
      <c r="E211" s="56" t="n">
        <f aca="true">MAX(5,NORMINV(RAND(),$B$9,$C$9))</f>
        <v>8.96843595763409</v>
      </c>
      <c r="F211" s="26" t="n">
        <f aca="false">$B$18*(1+(B211+$B$17)/2)^9</f>
        <v>2648.84988007753</v>
      </c>
      <c r="G211" s="26" t="n">
        <f aca="false">F211*(C211-Assumptions!$F$18)+$B$20</f>
        <v>209.042386452964</v>
      </c>
      <c r="H211" s="26" t="n">
        <f aca="false">E211*G211/(1+D211)^9</f>
        <v>548.507132276131</v>
      </c>
      <c r="I211" s="26" t="n">
        <f aca="false">$B$13*F211/$B$19*((1+$B$8)/(1+D211))^4.5</f>
        <v>-1253.11248963037</v>
      </c>
      <c r="J211" s="26" t="n">
        <f aca="false">H211+I211+$B$14</f>
        <v>1060.57272483754</v>
      </c>
      <c r="K211" s="44" t="n">
        <f aca="false">J211/$B$15</f>
        <v>2.61224809073287</v>
      </c>
    </row>
    <row r="212" customFormat="false" ht="15" hidden="false" customHeight="false" outlineLevel="0" collapsed="false">
      <c r="A212" s="55" t="n">
        <v>172</v>
      </c>
      <c r="B212" s="21" t="n">
        <f aca="true">NORMINV(RAND(),$B$6,$C$6)</f>
        <v>0.717689943070416</v>
      </c>
      <c r="C212" s="21" t="n">
        <f aca="true">MAX(0.05,NORMINV(RAND(),$B$7,$C$7))</f>
        <v>0.236437288250684</v>
      </c>
      <c r="D212" s="33" t="n">
        <f aca="true">MAX(0.08,NORMINV(RAND(),$B$8,$C$8))</f>
        <v>0.131190153555483</v>
      </c>
      <c r="E212" s="56" t="n">
        <f aca="true">MAX(5,NORMINV(RAND(),$B$9,$C$9))</f>
        <v>10.4379783680034</v>
      </c>
      <c r="F212" s="26" t="n">
        <f aca="false">$B$18*(1+(B212+$B$17)/2)^9</f>
        <v>6277.24773662322</v>
      </c>
      <c r="G212" s="26" t="n">
        <f aca="false">F212*(C212-Assumptions!$F$18)+$B$20</f>
        <v>928.33691806132</v>
      </c>
      <c r="H212" s="26" t="n">
        <f aca="false">E212*G212/(1+D212)^9</f>
        <v>3195.22517188003</v>
      </c>
      <c r="I212" s="26" t="n">
        <f aca="false">$B$13*F212/$B$19*((1+$B$8)/(1+D212))^4.5</f>
        <v>-3152.6524904966</v>
      </c>
      <c r="J212" s="26" t="n">
        <f aca="false">H212+I212+$B$14</f>
        <v>1807.75076357521</v>
      </c>
      <c r="K212" s="44" t="n">
        <f aca="false">J212/$B$15</f>
        <v>4.45258808762366</v>
      </c>
    </row>
    <row r="213" customFormat="false" ht="15" hidden="false" customHeight="false" outlineLevel="0" collapsed="false">
      <c r="A213" s="55" t="n">
        <v>173</v>
      </c>
      <c r="B213" s="21" t="n">
        <f aca="true">NORMINV(RAND(),$B$6,$C$6)</f>
        <v>0.407234302501015</v>
      </c>
      <c r="C213" s="21" t="n">
        <f aca="true">MAX(0.05,NORMINV(RAND(),$B$7,$C$7))</f>
        <v>0.269673871195059</v>
      </c>
      <c r="D213" s="33" t="n">
        <f aca="true">MAX(0.08,NORMINV(RAND(),$B$8,$C$8))</f>
        <v>0.139999059501156</v>
      </c>
      <c r="E213" s="56" t="n">
        <f aca="true">MAX(5,NORMINV(RAND(),$B$9,$C$9))</f>
        <v>9.48014032154824</v>
      </c>
      <c r="F213" s="26" t="n">
        <f aca="false">$B$18*(1+(B213+$B$17)/2)^9</f>
        <v>2322.0480136873</v>
      </c>
      <c r="G213" s="26" t="n">
        <f aca="false">F213*(C213-Assumptions!$F$18)+$B$20</f>
        <v>228.565151405669</v>
      </c>
      <c r="H213" s="26" t="n">
        <f aca="false">E213*G213/(1+D213)^9</f>
        <v>666.322293419374</v>
      </c>
      <c r="I213" s="26" t="n">
        <f aca="false">$B$13*F213/$B$19*((1+$B$8)/(1+D213))^4.5</f>
        <v>-1126.20663820749</v>
      </c>
      <c r="J213" s="26" t="n">
        <f aca="false">H213+I213+$B$14</f>
        <v>1305.29373740367</v>
      </c>
      <c r="K213" s="44" t="n">
        <f aca="false">J213/$B$15</f>
        <v>3.21500920542775</v>
      </c>
    </row>
    <row r="214" customFormat="false" ht="15" hidden="false" customHeight="false" outlineLevel="0" collapsed="false">
      <c r="A214" s="55" t="n">
        <v>174</v>
      </c>
      <c r="B214" s="21" t="n">
        <f aca="true">NORMINV(RAND(),$B$6,$C$6)</f>
        <v>0.60890166750582</v>
      </c>
      <c r="C214" s="21" t="n">
        <f aca="true">MAX(0.05,NORMINV(RAND(),$B$7,$C$7))</f>
        <v>0.326510878927333</v>
      </c>
      <c r="D214" s="33" t="n">
        <f aca="true">MAX(0.08,NORMINV(RAND(),$B$8,$C$8))</f>
        <v>0.130193344453116</v>
      </c>
      <c r="E214" s="56" t="n">
        <f aca="true">MAX(5,NORMINV(RAND(),$B$9,$C$9))</f>
        <v>17.3239525764045</v>
      </c>
      <c r="F214" s="26" t="n">
        <f aca="false">$B$18*(1+(B214+$B$17)/2)^9</f>
        <v>4485.3414109442</v>
      </c>
      <c r="G214" s="26" t="n">
        <f aca="false">F214*(C214-Assumptions!$F$18)+$B$20</f>
        <v>980.350504940099</v>
      </c>
      <c r="H214" s="26" t="n">
        <f aca="false">E214*G214/(1+D214)^9</f>
        <v>5644.86621943309</v>
      </c>
      <c r="I214" s="26" t="n">
        <f aca="false">$B$13*F214/$B$19*((1+$B$8)/(1+D214))^4.5</f>
        <v>-2261.64927306144</v>
      </c>
      <c r="J214" s="26" t="n">
        <f aca="false">H214+I214+$B$14</f>
        <v>5148.39502856343</v>
      </c>
      <c r="K214" s="44" t="n">
        <f aca="false">J214/$B$15</f>
        <v>12.6807759324222</v>
      </c>
    </row>
    <row r="215" customFormat="false" ht="15" hidden="false" customHeight="false" outlineLevel="0" collapsed="false">
      <c r="A215" s="55" t="n">
        <v>175</v>
      </c>
      <c r="B215" s="21" t="n">
        <f aca="true">NORMINV(RAND(),$B$6,$C$6)</f>
        <v>0.56709912978819</v>
      </c>
      <c r="C215" s="21" t="n">
        <f aca="true">MAX(0.05,NORMINV(RAND(),$B$7,$C$7))</f>
        <v>0.24702899314926</v>
      </c>
      <c r="D215" s="33" t="n">
        <f aca="true">MAX(0.08,NORMINV(RAND(),$B$8,$C$8))</f>
        <v>0.161229239877557</v>
      </c>
      <c r="E215" s="56" t="n">
        <f aca="true">MAX(5,NORMINV(RAND(),$B$9,$C$9))</f>
        <v>21.2860552614808</v>
      </c>
      <c r="F215" s="26" t="n">
        <f aca="false">$B$18*(1+(B215+$B$17)/2)^9</f>
        <v>3928.45433655633</v>
      </c>
      <c r="G215" s="26" t="n">
        <f aca="false">F215*(C215-Assumptions!$F$18)+$B$20</f>
        <v>508.555340931411</v>
      </c>
      <c r="H215" s="26" t="n">
        <f aca="false">E215*G215/(1+D215)^9</f>
        <v>2819.49766393635</v>
      </c>
      <c r="I215" s="26" t="n">
        <f aca="false">$B$13*F215/$B$19*((1+$B$8)/(1+D215))^4.5</f>
        <v>-1753.50893212086</v>
      </c>
      <c r="J215" s="26" t="n">
        <f aca="false">H215+I215+$B$14</f>
        <v>2831.16681400727</v>
      </c>
      <c r="K215" s="44" t="n">
        <f aca="false">J215/$B$15</f>
        <v>6.97331727587998</v>
      </c>
    </row>
    <row r="216" customFormat="false" ht="15" hidden="false" customHeight="false" outlineLevel="0" collapsed="false">
      <c r="A216" s="55" t="n">
        <v>176</v>
      </c>
      <c r="B216" s="21" t="n">
        <f aca="true">NORMINV(RAND(),$B$6,$C$6)</f>
        <v>0.603078803789484</v>
      </c>
      <c r="C216" s="21" t="n">
        <f aca="true">MAX(0.05,NORMINV(RAND(),$B$7,$C$7))</f>
        <v>0.325605113374089</v>
      </c>
      <c r="D216" s="33" t="n">
        <f aca="true">MAX(0.08,NORMINV(RAND(),$B$8,$C$8))</f>
        <v>0.134655684631427</v>
      </c>
      <c r="E216" s="56" t="n">
        <f aca="true">MAX(5,NORMINV(RAND(),$B$9,$C$9))</f>
        <v>14.221612339171</v>
      </c>
      <c r="F216" s="26" t="n">
        <f aca="false">$B$18*(1+(B216+$B$17)/2)^9</f>
        <v>4403.78846798205</v>
      </c>
      <c r="G216" s="26" t="n">
        <f aca="false">F216*(C216-Assumptions!$F$18)+$B$20</f>
        <v>952.99589967483</v>
      </c>
      <c r="H216" s="26" t="n">
        <f aca="false">E216*G216/(1+D216)^9</f>
        <v>4347.73463207247</v>
      </c>
      <c r="I216" s="26" t="n">
        <f aca="false">$B$13*F216/$B$19*((1+$B$8)/(1+D216))^4.5</f>
        <v>-2181.49959195591</v>
      </c>
      <c r="J216" s="26" t="n">
        <f aca="false">H216+I216+$B$14</f>
        <v>3931.41312230834</v>
      </c>
      <c r="K216" s="44" t="n">
        <f aca="false">J216/$B$15</f>
        <v>9.68328355248359</v>
      </c>
    </row>
    <row r="217" customFormat="false" ht="15" hidden="false" customHeight="false" outlineLevel="0" collapsed="false">
      <c r="A217" s="55" t="n">
        <v>177</v>
      </c>
      <c r="B217" s="21" t="n">
        <f aca="true">NORMINV(RAND(),$B$6,$C$6)</f>
        <v>0.527685162729816</v>
      </c>
      <c r="C217" s="21" t="n">
        <f aca="true">MAX(0.05,NORMINV(RAND(),$B$7,$C$7))</f>
        <v>0.216225159040188</v>
      </c>
      <c r="D217" s="33" t="n">
        <f aca="true">MAX(0.08,NORMINV(RAND(),$B$8,$C$8))</f>
        <v>0.13144001505234</v>
      </c>
      <c r="E217" s="56" t="n">
        <f aca="true">MAX(5,NORMINV(RAND(),$B$9,$C$9))</f>
        <v>8.56201002033538</v>
      </c>
      <c r="F217" s="26" t="n">
        <f aca="false">$B$18*(1+(B217+$B$17)/2)^9</f>
        <v>3460.58654679849</v>
      </c>
      <c r="G217" s="26" t="n">
        <f aca="false">F217*(C217-Assumptions!$F$18)+$B$20</f>
        <v>305.093809583209</v>
      </c>
      <c r="H217" s="26" t="n">
        <f aca="false">E217*G217/(1+D217)^9</f>
        <v>859.65723037385</v>
      </c>
      <c r="I217" s="26" t="n">
        <f aca="false">$B$13*F217/$B$19*((1+$B$8)/(1+D217))^4.5</f>
        <v>-1736.30060871503</v>
      </c>
      <c r="J217" s="26" t="n">
        <f aca="false">H217+I217+$B$14</f>
        <v>888.534703850605</v>
      </c>
      <c r="K217" s="44" t="n">
        <f aca="false">J217/$B$15</f>
        <v>2.18850912278474</v>
      </c>
    </row>
    <row r="218" customFormat="false" ht="15" hidden="false" customHeight="false" outlineLevel="0" collapsed="false">
      <c r="A218" s="55" t="n">
        <v>178</v>
      </c>
      <c r="B218" s="21" t="n">
        <f aca="true">NORMINV(RAND(),$B$6,$C$6)</f>
        <v>0.57250565476894</v>
      </c>
      <c r="C218" s="21" t="n">
        <f aca="true">MAX(0.05,NORMINV(RAND(),$B$7,$C$7))</f>
        <v>0.314032787888087</v>
      </c>
      <c r="D218" s="33" t="n">
        <f aca="true">MAX(0.08,NORMINV(RAND(),$B$8,$C$8))</f>
        <v>0.156994979007594</v>
      </c>
      <c r="E218" s="56" t="n">
        <f aca="true">MAX(5,NORMINV(RAND(),$B$9,$C$9))</f>
        <v>16.4942953505226</v>
      </c>
      <c r="F218" s="26" t="n">
        <f aca="false">$B$18*(1+(B218+$B$17)/2)^9</f>
        <v>3996.83233594686</v>
      </c>
      <c r="G218" s="26" t="n">
        <f aca="false">F218*(C218-Assumptions!$F$18)+$B$20</f>
        <v>790.514502742082</v>
      </c>
      <c r="H218" s="26" t="n">
        <f aca="false">E218*G218/(1+D218)^9</f>
        <v>3509.6219732494</v>
      </c>
      <c r="I218" s="26" t="n">
        <f aca="false">$B$13*F218/$B$19*((1+$B$8)/(1+D218))^4.5</f>
        <v>-1813.59956192592</v>
      </c>
      <c r="J218" s="26" t="n">
        <f aca="false">H218+I218+$B$14</f>
        <v>3461.20049351525</v>
      </c>
      <c r="K218" s="44" t="n">
        <f aca="false">J218/$B$15</f>
        <v>8.52512436826417</v>
      </c>
    </row>
    <row r="219" customFormat="false" ht="15" hidden="false" customHeight="false" outlineLevel="0" collapsed="false">
      <c r="A219" s="55" t="n">
        <v>179</v>
      </c>
      <c r="B219" s="21" t="n">
        <f aca="true">NORMINV(RAND(),$B$6,$C$6)</f>
        <v>0.310002798332503</v>
      </c>
      <c r="C219" s="21" t="n">
        <f aca="true">MAX(0.05,NORMINV(RAND(),$B$7,$C$7))</f>
        <v>0.265011493182317</v>
      </c>
      <c r="D219" s="33" t="n">
        <f aca="true">MAX(0.08,NORMINV(RAND(),$B$8,$C$8))</f>
        <v>0.117136737324858</v>
      </c>
      <c r="E219" s="56" t="n">
        <f aca="true">MAX(5,NORMINV(RAND(),$B$9,$C$9))</f>
        <v>15.7787628829922</v>
      </c>
      <c r="F219" s="26" t="n">
        <f aca="false">$B$18*(1+(B219+$B$17)/2)^9</f>
        <v>1660.22329963498</v>
      </c>
      <c r="G219" s="26" t="n">
        <f aca="false">F219*(C219-Assumptions!$F$18)+$B$20</f>
        <v>68.8207186682504</v>
      </c>
      <c r="H219" s="26" t="n">
        <f aca="false">E219*G219/(1+D219)^9</f>
        <v>400.714583123953</v>
      </c>
      <c r="I219" s="26" t="n">
        <f aca="false">$B$13*F219/$B$19*((1+$B$8)/(1+D219))^4.5</f>
        <v>-882.074176322346</v>
      </c>
      <c r="J219" s="26" t="n">
        <f aca="false">H219+I219+$B$14</f>
        <v>1283.81848899339</v>
      </c>
      <c r="K219" s="44" t="n">
        <f aca="false">J219/$B$15</f>
        <v>3.16211450490982</v>
      </c>
    </row>
    <row r="220" customFormat="false" ht="15" hidden="false" customHeight="false" outlineLevel="0" collapsed="false">
      <c r="A220" s="55" t="n">
        <v>180</v>
      </c>
      <c r="B220" s="21" t="n">
        <f aca="true">NORMINV(RAND(),$B$6,$C$6)</f>
        <v>0.574492409005207</v>
      </c>
      <c r="C220" s="21" t="n">
        <f aca="true">MAX(0.05,NORMINV(RAND(),$B$7,$C$7))</f>
        <v>0.270732672638006</v>
      </c>
      <c r="D220" s="33" t="n">
        <f aca="true">MAX(0.08,NORMINV(RAND(),$B$8,$C$8))</f>
        <v>0.134314551305957</v>
      </c>
      <c r="E220" s="56" t="n">
        <f aca="true">MAX(5,NORMINV(RAND(),$B$9,$C$9))</f>
        <v>12.1290061442758</v>
      </c>
      <c r="F220" s="26" t="n">
        <f aca="false">$B$18*(1+(B220+$B$17)/2)^9</f>
        <v>4022.22398157435</v>
      </c>
      <c r="G220" s="26" t="n">
        <f aca="false">F220*(C220-Assumptions!$F$18)+$B$20</f>
        <v>623.309884218639</v>
      </c>
      <c r="H220" s="26" t="n">
        <f aca="false">E220*G220/(1+D220)^9</f>
        <v>2431.79913451628</v>
      </c>
      <c r="I220" s="26" t="n">
        <f aca="false">$B$13*F220/$B$19*((1+$B$8)/(1+D220))^4.5</f>
        <v>-1995.18233937543</v>
      </c>
      <c r="J220" s="26" t="n">
        <f aca="false">H220+I220+$B$14</f>
        <v>2201.79487733263</v>
      </c>
      <c r="K220" s="44" t="n">
        <f aca="false">J220/$B$15</f>
        <v>5.4231400919523</v>
      </c>
    </row>
    <row r="221" customFormat="false" ht="15" hidden="false" customHeight="false" outlineLevel="0" collapsed="false">
      <c r="A221" s="55" t="n">
        <v>181</v>
      </c>
      <c r="B221" s="21" t="n">
        <f aca="true">NORMINV(RAND(),$B$6,$C$6)</f>
        <v>0.550633335623206</v>
      </c>
      <c r="C221" s="21" t="n">
        <f aca="true">MAX(0.05,NORMINV(RAND(),$B$7,$C$7))</f>
        <v>0.270426591762391</v>
      </c>
      <c r="D221" s="33" t="n">
        <f aca="true">MAX(0.08,NORMINV(RAND(),$B$8,$C$8))</f>
        <v>0.139335345110051</v>
      </c>
      <c r="E221" s="56" t="n">
        <f aca="true">MAX(5,NORMINV(RAND(),$B$9,$C$9))</f>
        <v>12.1448875699095</v>
      </c>
      <c r="F221" s="26" t="n">
        <f aca="false">$B$18*(1+(B221+$B$17)/2)^9</f>
        <v>3726.56609978561</v>
      </c>
      <c r="G221" s="26" t="n">
        <f aca="false">F221*(C221-Assumptions!$F$18)+$B$20</f>
        <v>553.951320352176</v>
      </c>
      <c r="H221" s="26" t="n">
        <f aca="false">E221*G221/(1+D221)^9</f>
        <v>2079.701312507</v>
      </c>
      <c r="I221" s="26" t="n">
        <f aca="false">$B$13*F221/$B$19*((1+$B$8)/(1+D221))^4.5</f>
        <v>-1812.14884932647</v>
      </c>
      <c r="J221" s="26" t="n">
        <f aca="false">H221+I221+$B$14</f>
        <v>2032.73054537231</v>
      </c>
      <c r="K221" s="44" t="n">
        <f aca="false">J221/$B$15</f>
        <v>5.00672548121259</v>
      </c>
    </row>
    <row r="222" customFormat="false" ht="15" hidden="false" customHeight="false" outlineLevel="0" collapsed="false">
      <c r="A222" s="55" t="n">
        <v>182</v>
      </c>
      <c r="B222" s="21" t="n">
        <f aca="true">NORMINV(RAND(),$B$6,$C$6)</f>
        <v>0.631167939718576</v>
      </c>
      <c r="C222" s="21" t="n">
        <f aca="true">MAX(0.05,NORMINV(RAND(),$B$7,$C$7))</f>
        <v>0.217132581442304</v>
      </c>
      <c r="D222" s="33" t="n">
        <f aca="true">MAX(0.08,NORMINV(RAND(),$B$8,$C$8))</f>
        <v>0.134214066482438</v>
      </c>
      <c r="E222" s="56" t="n">
        <f aca="true">MAX(5,NORMINV(RAND(),$B$9,$C$9))</f>
        <v>20.218991005964</v>
      </c>
      <c r="F222" s="26" t="n">
        <f aca="false">$B$18*(1+(B222+$B$17)/2)^9</f>
        <v>4809.71901685612</v>
      </c>
      <c r="G222" s="26" t="n">
        <f aca="false">F222*(C222-Assumptions!$F$18)+$B$20</f>
        <v>547.209340469173</v>
      </c>
      <c r="H222" s="26" t="n">
        <f aca="false">E222*G222/(1+D222)^9</f>
        <v>3561.70313992629</v>
      </c>
      <c r="I222" s="26" t="n">
        <f aca="false">$B$13*F222/$B$19*((1+$B$8)/(1+D222))^4.5</f>
        <v>-2386.76236313167</v>
      </c>
      <c r="J222" s="26" t="n">
        <f aca="false">H222+I222+$B$14</f>
        <v>2940.1188589864</v>
      </c>
      <c r="K222" s="44" t="n">
        <f aca="false">J222/$B$15</f>
        <v>7.24167206646896</v>
      </c>
    </row>
    <row r="223" customFormat="false" ht="15" hidden="false" customHeight="false" outlineLevel="0" collapsed="false">
      <c r="A223" s="55" t="n">
        <v>183</v>
      </c>
      <c r="B223" s="21" t="n">
        <f aca="true">NORMINV(RAND(),$B$6,$C$6)</f>
        <v>0.545319545229062</v>
      </c>
      <c r="C223" s="21" t="n">
        <f aca="true">MAX(0.05,NORMINV(RAND(),$B$7,$C$7))</f>
        <v>0.246825109755366</v>
      </c>
      <c r="D223" s="33" t="n">
        <f aca="true">MAX(0.08,NORMINV(RAND(),$B$8,$C$8))</f>
        <v>0.158406771598095</v>
      </c>
      <c r="E223" s="56" t="n">
        <f aca="true">MAX(5,NORMINV(RAND(),$B$9,$C$9))</f>
        <v>12.2898710575313</v>
      </c>
      <c r="F223" s="26" t="n">
        <f aca="false">$B$18*(1+(B223+$B$17)/2)^9</f>
        <v>3663.41141753328</v>
      </c>
      <c r="G223" s="26" t="n">
        <f aca="false">F223*(C223-Assumptions!$F$18)+$B$20</f>
        <v>452.936863511692</v>
      </c>
      <c r="H223" s="26" t="n">
        <f aca="false">E223*G223/(1+D223)^9</f>
        <v>1481.95564901995</v>
      </c>
      <c r="I223" s="26" t="n">
        <f aca="false">$B$13*F223/$B$19*((1+$B$8)/(1+D223))^4.5</f>
        <v>-1653.20955449438</v>
      </c>
      <c r="J223" s="26" t="n">
        <f aca="false">H223+I223+$B$14</f>
        <v>1593.92417671735</v>
      </c>
      <c r="K223" s="44" t="n">
        <f aca="false">J223/$B$15</f>
        <v>3.92592161753043</v>
      </c>
    </row>
    <row r="224" customFormat="false" ht="15" hidden="false" customHeight="false" outlineLevel="0" collapsed="false">
      <c r="A224" s="55" t="n">
        <v>184</v>
      </c>
      <c r="B224" s="21" t="n">
        <f aca="true">NORMINV(RAND(),$B$6,$C$6)</f>
        <v>0.68717563457268</v>
      </c>
      <c r="C224" s="21" t="n">
        <f aca="true">MAX(0.05,NORMINV(RAND(),$B$7,$C$7))</f>
        <v>0.295142780188189</v>
      </c>
      <c r="D224" s="33" t="n">
        <f aca="true">MAX(0.08,NORMINV(RAND(),$B$8,$C$8))</f>
        <v>0.14809686665541</v>
      </c>
      <c r="E224" s="56" t="n">
        <f aca="true">MAX(5,NORMINV(RAND(),$B$9,$C$9))</f>
        <v>16.7539243666869</v>
      </c>
      <c r="F224" s="26" t="n">
        <f aca="false">$B$18*(1+(B224+$B$17)/2)^9</f>
        <v>5719.68084078822</v>
      </c>
      <c r="G224" s="26" t="n">
        <f aca="false">F224*(C224-Assumptions!$F$18)+$B$20</f>
        <v>1154.58666650913</v>
      </c>
      <c r="H224" s="26" t="n">
        <f aca="false">E224*G224/(1+D224)^9</f>
        <v>5581.31203342301</v>
      </c>
      <c r="I224" s="26" t="n">
        <f aca="false">$B$13*F224/$B$19*((1+$B$8)/(1+D224))^4.5</f>
        <v>-2687.11039640432</v>
      </c>
      <c r="J224" s="26" t="n">
        <f aca="false">H224+I224+$B$14</f>
        <v>4659.37971921048</v>
      </c>
      <c r="K224" s="44" t="n">
        <f aca="false">J224/$B$15</f>
        <v>11.4763047271194</v>
      </c>
    </row>
    <row r="225" customFormat="false" ht="15" hidden="false" customHeight="false" outlineLevel="0" collapsed="false">
      <c r="A225" s="55" t="n">
        <v>185</v>
      </c>
      <c r="B225" s="21" t="n">
        <f aca="true">NORMINV(RAND(),$B$6,$C$6)</f>
        <v>0.502987105518441</v>
      </c>
      <c r="C225" s="21" t="n">
        <f aca="true">MAX(0.05,NORMINV(RAND(),$B$7,$C$7))</f>
        <v>0.304957578371711</v>
      </c>
      <c r="D225" s="33" t="n">
        <f aca="true">MAX(0.08,NORMINV(RAND(),$B$8,$C$8))</f>
        <v>0.116030154488081</v>
      </c>
      <c r="E225" s="56" t="n">
        <f aca="true">MAX(5,NORMINV(RAND(),$B$9,$C$9))</f>
        <v>15.0593304533414</v>
      </c>
      <c r="F225" s="26" t="n">
        <f aca="false">$B$18*(1+(B225+$B$17)/2)^9</f>
        <v>3193.30307589062</v>
      </c>
      <c r="G225" s="26" t="n">
        <f aca="false">F225*(C225-Assumptions!$F$18)+$B$20</f>
        <v>541.341244996225</v>
      </c>
      <c r="H225" s="26" t="n">
        <f aca="false">E225*G225/(1+D225)^9</f>
        <v>3035.24266604105</v>
      </c>
      <c r="I225" s="26" t="n">
        <f aca="false">$B$13*F225/$B$19*((1+$B$8)/(1+D225))^4.5</f>
        <v>-1704.18039247274</v>
      </c>
      <c r="J225" s="26" t="n">
        <f aca="false">H225+I225+$B$14</f>
        <v>3096.24035576009</v>
      </c>
      <c r="K225" s="44" t="n">
        <f aca="false">J225/$B$15</f>
        <v>7.6262077728081</v>
      </c>
    </row>
    <row r="226" customFormat="false" ht="15" hidden="false" customHeight="false" outlineLevel="0" collapsed="false">
      <c r="A226" s="55" t="n">
        <v>186</v>
      </c>
      <c r="B226" s="21" t="n">
        <f aca="true">NORMINV(RAND(),$B$6,$C$6)</f>
        <v>0.554514696304809</v>
      </c>
      <c r="C226" s="21" t="n">
        <f aca="true">MAX(0.05,NORMINV(RAND(),$B$7,$C$7))</f>
        <v>0.313186127096332</v>
      </c>
      <c r="D226" s="33" t="n">
        <f aca="true">MAX(0.08,NORMINV(RAND(),$B$8,$C$8))</f>
        <v>0.144313838711966</v>
      </c>
      <c r="E226" s="56" t="n">
        <f aca="true">MAX(5,NORMINV(RAND(),$B$9,$C$9))</f>
        <v>15.3354739713091</v>
      </c>
      <c r="F226" s="26" t="n">
        <f aca="false">$B$18*(1+(B226+$B$17)/2)^9</f>
        <v>3773.30599435081</v>
      </c>
      <c r="G226" s="26" t="n">
        <f aca="false">F226*(C226-Assumptions!$F$18)+$B$20</f>
        <v>726.066245947382</v>
      </c>
      <c r="H226" s="26" t="n">
        <f aca="false">E226*G226/(1+D226)^9</f>
        <v>3309.53592484053</v>
      </c>
      <c r="I226" s="26" t="n">
        <f aca="false">$B$13*F226/$B$19*((1+$B$8)/(1+D226))^4.5</f>
        <v>-1799.22698528443</v>
      </c>
      <c r="J226" s="26" t="n">
        <f aca="false">H226+I226+$B$14</f>
        <v>3275.48702174787</v>
      </c>
      <c r="K226" s="44" t="n">
        <f aca="false">J226/$B$15</f>
        <v>8.06770202400954</v>
      </c>
    </row>
    <row r="227" customFormat="false" ht="15" hidden="false" customHeight="false" outlineLevel="0" collapsed="false">
      <c r="A227" s="55" t="n">
        <v>187</v>
      </c>
      <c r="B227" s="21" t="n">
        <f aca="true">NORMINV(RAND(),$B$6,$C$6)</f>
        <v>0.751284932172952</v>
      </c>
      <c r="C227" s="21" t="n">
        <f aca="true">MAX(0.05,NORMINV(RAND(),$B$7,$C$7))</f>
        <v>0.258349652289335</v>
      </c>
      <c r="D227" s="33" t="n">
        <f aca="true">MAX(0.08,NORMINV(RAND(),$B$8,$C$8))</f>
        <v>0.148009244150651</v>
      </c>
      <c r="E227" s="56" t="n">
        <f aca="true">MAX(5,NORMINV(RAND(),$B$9,$C$9))</f>
        <v>11.8343892763611</v>
      </c>
      <c r="F227" s="26" t="n">
        <f aca="false">$B$18*(1+(B227+$B$17)/2)^9</f>
        <v>6946.52487201508</v>
      </c>
      <c r="G227" s="26" t="n">
        <f aca="false">F227*(C227-Assumptions!$F$18)+$B$20</f>
        <v>1212.02268542502</v>
      </c>
      <c r="H227" s="26" t="n">
        <f aca="false">E227*G227/(1+D227)^9</f>
        <v>4141.40909452758</v>
      </c>
      <c r="I227" s="26" t="n">
        <f aca="false">$B$13*F227/$B$19*((1+$B$8)/(1+D227))^4.5</f>
        <v>-3264.60369520848</v>
      </c>
      <c r="J227" s="26" t="n">
        <f aca="false">H227+I227+$B$14</f>
        <v>2641.98348151088</v>
      </c>
      <c r="K227" s="44" t="n">
        <f aca="false">J227/$B$15</f>
        <v>6.50734847662778</v>
      </c>
    </row>
    <row r="228" customFormat="false" ht="15" hidden="false" customHeight="false" outlineLevel="0" collapsed="false">
      <c r="A228" s="55" t="n">
        <v>188</v>
      </c>
      <c r="B228" s="21" t="n">
        <f aca="true">NORMINV(RAND(),$B$6,$C$6)</f>
        <v>0.44827074150652</v>
      </c>
      <c r="C228" s="21" t="n">
        <f aca="true">MAX(0.05,NORMINV(RAND(),$B$7,$C$7))</f>
        <v>0.27076593006025</v>
      </c>
      <c r="D228" s="33" t="n">
        <f aca="true">MAX(0.08,NORMINV(RAND(),$B$8,$C$8))</f>
        <v>0.173568561936861</v>
      </c>
      <c r="E228" s="56" t="n">
        <f aca="true">MAX(5,NORMINV(RAND(),$B$9,$C$9))</f>
        <v>12.7711402116505</v>
      </c>
      <c r="F228" s="26" t="n">
        <f aca="false">$B$18*(1+(B228+$B$17)/2)^9</f>
        <v>2665.46056429353</v>
      </c>
      <c r="G228" s="26" t="n">
        <f aca="false">F228*(C228-Assumptions!$F$18)+$B$20</f>
        <v>310.348881159425</v>
      </c>
      <c r="H228" s="26" t="n">
        <f aca="false">E228*G228/(1+D228)^9</f>
        <v>938.649935612151</v>
      </c>
      <c r="I228" s="26" t="n">
        <f aca="false">$B$13*F228/$B$19*((1+$B$8)/(1+D228))^4.5</f>
        <v>-1134.49155231691</v>
      </c>
      <c r="J228" s="26" t="n">
        <f aca="false">H228+I228+$B$14</f>
        <v>1569.33646548702</v>
      </c>
      <c r="K228" s="44" t="n">
        <f aca="false">J228/$B$15</f>
        <v>3.8653607524311</v>
      </c>
    </row>
    <row r="229" customFormat="false" ht="15" hidden="false" customHeight="false" outlineLevel="0" collapsed="false">
      <c r="A229" s="55" t="n">
        <v>189</v>
      </c>
      <c r="B229" s="21" t="n">
        <f aca="true">NORMINV(RAND(),$B$6,$C$6)</f>
        <v>0.523617284444283</v>
      </c>
      <c r="C229" s="21" t="n">
        <f aca="true">MAX(0.05,NORMINV(RAND(),$B$7,$C$7))</f>
        <v>0.361848436125633</v>
      </c>
      <c r="D229" s="33" t="n">
        <f aca="true">MAX(0.08,NORMINV(RAND(),$B$8,$C$8))</f>
        <v>0.139532061292063</v>
      </c>
      <c r="E229" s="56" t="n">
        <f aca="true">MAX(5,NORMINV(RAND(),$B$9,$C$9))</f>
        <v>12.2391500400972</v>
      </c>
      <c r="F229" s="26" t="n">
        <f aca="false">$B$18*(1+(B229+$B$17)/2)^9</f>
        <v>3415.24103279199</v>
      </c>
      <c r="G229" s="26" t="n">
        <f aca="false">F229*(C229-Assumptions!$F$18)+$B$20</f>
        <v>794.441380397506</v>
      </c>
      <c r="H229" s="26" t="n">
        <f aca="false">E229*G229/(1+D229)^9</f>
        <v>3001.05653717657</v>
      </c>
      <c r="I229" s="26" t="n">
        <f aca="false">$B$13*F229/$B$19*((1+$B$8)/(1+D229))^4.5</f>
        <v>-1659.46843581536</v>
      </c>
      <c r="J229" s="26" t="n">
        <f aca="false">H229+I229+$B$14</f>
        <v>3106.76618355299</v>
      </c>
      <c r="K229" s="44" t="n">
        <f aca="false">J229/$B$15</f>
        <v>7.65213345702706</v>
      </c>
    </row>
    <row r="230" customFormat="false" ht="15" hidden="false" customHeight="false" outlineLevel="0" collapsed="false">
      <c r="A230" s="55" t="n">
        <v>190</v>
      </c>
      <c r="B230" s="21" t="n">
        <f aca="true">NORMINV(RAND(),$B$6,$C$6)</f>
        <v>0.434617980025219</v>
      </c>
      <c r="C230" s="21" t="n">
        <f aca="true">MAX(0.05,NORMINV(RAND(),$B$7,$C$7))</f>
        <v>0.277279993389184</v>
      </c>
      <c r="D230" s="33" t="n">
        <f aca="true">MAX(0.08,NORMINV(RAND(),$B$8,$C$8))</f>
        <v>0.137929123293262</v>
      </c>
      <c r="E230" s="56" t="n">
        <f aca="true">MAX(5,NORMINV(RAND(),$B$9,$C$9))</f>
        <v>19.1600423465375</v>
      </c>
      <c r="F230" s="26" t="n">
        <f aca="false">$B$18*(1+(B230+$B$17)/2)^9</f>
        <v>2546.50770619835</v>
      </c>
      <c r="G230" s="26" t="n">
        <f aca="false">F230*(C230-Assumptions!$F$18)+$B$20</f>
        <v>299.486726693559</v>
      </c>
      <c r="H230" s="26" t="n">
        <f aca="false">E230*G230/(1+D230)^9</f>
        <v>1793.64764079156</v>
      </c>
      <c r="I230" s="26" t="n">
        <f aca="false">$B$13*F230/$B$19*((1+$B$8)/(1+D230))^4.5</f>
        <v>-1245.21299482575</v>
      </c>
      <c r="J230" s="26" t="n">
        <f aca="false">H230+I230+$B$14</f>
        <v>2313.61272815759</v>
      </c>
      <c r="K230" s="44" t="n">
        <f aca="false">J230/$B$15</f>
        <v>5.69855351762954</v>
      </c>
    </row>
    <row r="231" customFormat="false" ht="15" hidden="false" customHeight="false" outlineLevel="0" collapsed="false">
      <c r="A231" s="55" t="n">
        <v>191</v>
      </c>
      <c r="B231" s="21" t="n">
        <f aca="true">NORMINV(RAND(),$B$6,$C$6)</f>
        <v>0.558429494115076</v>
      </c>
      <c r="C231" s="21" t="n">
        <f aca="true">MAX(0.05,NORMINV(RAND(),$B$7,$C$7))</f>
        <v>0.292338465971363</v>
      </c>
      <c r="D231" s="33" t="n">
        <f aca="true">MAX(0.08,NORMINV(RAND(),$B$8,$C$8))</f>
        <v>0.171043119861995</v>
      </c>
      <c r="E231" s="56" t="n">
        <f aca="true">MAX(5,NORMINV(RAND(),$B$9,$C$9))</f>
        <v>16.2257726910333</v>
      </c>
      <c r="F231" s="26" t="n">
        <f aca="false">$B$18*(1+(B231+$B$17)/2)^9</f>
        <v>3820.9756691415</v>
      </c>
      <c r="G231" s="26" t="n">
        <f aca="false">F231*(C231-Assumptions!$F$18)+$B$20</f>
        <v>659.430533866381</v>
      </c>
      <c r="H231" s="26" t="n">
        <f aca="false">E231*G231/(1+D231)^9</f>
        <v>2583.55944412183</v>
      </c>
      <c r="I231" s="26" t="n">
        <f aca="false">$B$13*F231/$B$19*((1+$B$8)/(1+D231))^4.5</f>
        <v>-1642.15212805921</v>
      </c>
      <c r="J231" s="26" t="n">
        <f aca="false">H231+I231+$B$14</f>
        <v>2706.5853982544</v>
      </c>
      <c r="K231" s="44" t="n">
        <f aca="false">J231/$B$15</f>
        <v>6.66646649816355</v>
      </c>
    </row>
    <row r="232" customFormat="false" ht="15" hidden="false" customHeight="false" outlineLevel="0" collapsed="false">
      <c r="A232" s="55" t="n">
        <v>192</v>
      </c>
      <c r="B232" s="21" t="n">
        <f aca="true">NORMINV(RAND(),$B$6,$C$6)</f>
        <v>0.417036364915409</v>
      </c>
      <c r="C232" s="21" t="n">
        <f aca="true">MAX(0.05,NORMINV(RAND(),$B$7,$C$7))</f>
        <v>0.43047384265202</v>
      </c>
      <c r="D232" s="33" t="n">
        <f aca="true">MAX(0.08,NORMINV(RAND(),$B$8,$C$8))</f>
        <v>0.129821745182286</v>
      </c>
      <c r="E232" s="56" t="n">
        <f aca="true">MAX(5,NORMINV(RAND(),$B$9,$C$9))</f>
        <v>11.3257672598011</v>
      </c>
      <c r="F232" s="26" t="n">
        <f aca="false">$B$18*(1+(B232+$B$17)/2)^9</f>
        <v>2400.28593317612</v>
      </c>
      <c r="G232" s="26" t="n">
        <f aca="false">F232*(C232-Assumptions!$F$18)+$B$20</f>
        <v>632.500266792179</v>
      </c>
      <c r="H232" s="26" t="n">
        <f aca="false">E232*G232/(1+D232)^9</f>
        <v>2388.02562884258</v>
      </c>
      <c r="I232" s="26" t="n">
        <f aca="false">$B$13*F232/$B$19*((1+$B$8)/(1+D232))^4.5</f>
        <v>-1212.09149756597</v>
      </c>
      <c r="J232" s="26" t="n">
        <f aca="false">H232+I232+$B$14</f>
        <v>2941.11221346839</v>
      </c>
      <c r="K232" s="44" t="n">
        <f aca="false">J232/$B$15</f>
        <v>7.2441187523852</v>
      </c>
    </row>
    <row r="233" customFormat="false" ht="15" hidden="false" customHeight="false" outlineLevel="0" collapsed="false">
      <c r="A233" s="55" t="n">
        <v>193</v>
      </c>
      <c r="B233" s="21" t="n">
        <f aca="true">NORMINV(RAND(),$B$6,$C$6)</f>
        <v>0.512706951385942</v>
      </c>
      <c r="C233" s="21" t="n">
        <f aca="true">MAX(0.05,NORMINV(RAND(),$B$7,$C$7))</f>
        <v>0.330515534076396</v>
      </c>
      <c r="D233" s="33" t="n">
        <f aca="true">MAX(0.08,NORMINV(RAND(),$B$8,$C$8))</f>
        <v>0.131273476504199</v>
      </c>
      <c r="E233" s="56" t="n">
        <f aca="true">MAX(5,NORMINV(RAND(),$B$9,$C$9))</f>
        <v>15.3609909650637</v>
      </c>
      <c r="F233" s="26" t="n">
        <f aca="false">$B$18*(1+(B233+$B$17)/2)^9</f>
        <v>3296.21801098543</v>
      </c>
      <c r="G233" s="26" t="n">
        <f aca="false">F233*(C233-Assumptions!$F$18)+$B$20</f>
        <v>652.853930894978</v>
      </c>
      <c r="H233" s="26" t="n">
        <f aca="false">E233*G233/(1+D233)^9</f>
        <v>3304.66022223919</v>
      </c>
      <c r="I233" s="26" t="n">
        <f aca="false">$B$13*F233/$B$19*((1+$B$8)/(1+D233))^4.5</f>
        <v>-1654.92688780232</v>
      </c>
      <c r="J233" s="26" t="n">
        <f aca="false">H233+I233+$B$14</f>
        <v>3414.91141662865</v>
      </c>
      <c r="K233" s="44" t="n">
        <f aca="false">J233/$B$15</f>
        <v>8.41111186361736</v>
      </c>
    </row>
    <row r="234" customFormat="false" ht="15" hidden="false" customHeight="false" outlineLevel="0" collapsed="false">
      <c r="A234" s="55" t="n">
        <v>194</v>
      </c>
      <c r="B234" s="21" t="n">
        <f aca="true">NORMINV(RAND(),$B$6,$C$6)</f>
        <v>0.484324043852367</v>
      </c>
      <c r="C234" s="21" t="n">
        <f aca="true">MAX(0.05,NORMINV(RAND(),$B$7,$C$7))</f>
        <v>0.183776732119716</v>
      </c>
      <c r="D234" s="33" t="n">
        <f aca="true">MAX(0.08,NORMINV(RAND(),$B$8,$C$8))</f>
        <v>0.141972358616403</v>
      </c>
      <c r="E234" s="56" t="n">
        <f aca="true">MAX(5,NORMINV(RAND(),$B$9,$C$9))</f>
        <v>11.4010728208691</v>
      </c>
      <c r="F234" s="26" t="n">
        <f aca="false">$B$18*(1+(B234+$B$17)/2)^9</f>
        <v>3003.67110391275</v>
      </c>
      <c r="G234" s="26" t="n">
        <f aca="false">F234*(C234-Assumptions!$F$18)+$B$20</f>
        <v>127.109410684305</v>
      </c>
      <c r="H234" s="26" t="n">
        <f aca="false">E234*G234/(1+D234)^9</f>
        <v>438.756028959615</v>
      </c>
      <c r="I234" s="26" t="n">
        <f aca="false">$B$13*F234/$B$19*((1+$B$8)/(1+D234))^4.5</f>
        <v>-1445.50406980062</v>
      </c>
      <c r="J234" s="26" t="n">
        <f aca="false">H234+I234+$B$14</f>
        <v>758.430041350776</v>
      </c>
      <c r="K234" s="44" t="n">
        <f aca="false">J234/$B$15</f>
        <v>1.86805428904132</v>
      </c>
    </row>
    <row r="235" customFormat="false" ht="15" hidden="false" customHeight="false" outlineLevel="0" collapsed="false">
      <c r="A235" s="55" t="n">
        <v>195</v>
      </c>
      <c r="B235" s="21" t="n">
        <f aca="true">NORMINV(RAND(),$B$6,$C$6)</f>
        <v>0.545272208960038</v>
      </c>
      <c r="C235" s="21" t="n">
        <f aca="true">MAX(0.05,NORMINV(RAND(),$B$7,$C$7))</f>
        <v>0.391760566908723</v>
      </c>
      <c r="D235" s="33" t="n">
        <f aca="true">MAX(0.08,NORMINV(RAND(),$B$8,$C$8))</f>
        <v>0.144056267866174</v>
      </c>
      <c r="E235" s="56" t="n">
        <f aca="true">MAX(5,NORMINV(RAND(),$B$9,$C$9))</f>
        <v>15.319675074507</v>
      </c>
      <c r="F235" s="26" t="n">
        <f aca="false">$B$18*(1+(B235+$B$17)/2)^9</f>
        <v>3662.85312560364</v>
      </c>
      <c r="G235" s="26" t="n">
        <f aca="false">F235*(C235-Assumptions!$F$18)+$B$20</f>
        <v>983.698686967037</v>
      </c>
      <c r="H235" s="26" t="n">
        <f aca="false">E235*G235/(1+D235)^9</f>
        <v>4488.33415689794</v>
      </c>
      <c r="I235" s="26" t="n">
        <f aca="false">$B$13*F235/$B$19*((1+$B$8)/(1+D235))^4.5</f>
        <v>-1748.32987602454</v>
      </c>
      <c r="J235" s="26" t="n">
        <f aca="false">H235+I235+$B$14</f>
        <v>4505.18236306518</v>
      </c>
      <c r="K235" s="44" t="n">
        <f aca="false">J235/$B$15</f>
        <v>11.0965082834118</v>
      </c>
    </row>
    <row r="236" customFormat="false" ht="15" hidden="false" customHeight="false" outlineLevel="0" collapsed="false">
      <c r="A236" s="55" t="n">
        <v>196</v>
      </c>
      <c r="B236" s="21" t="n">
        <f aca="true">NORMINV(RAND(),$B$6,$C$6)</f>
        <v>0.554300120990605</v>
      </c>
      <c r="C236" s="21" t="n">
        <f aca="true">MAX(0.05,NORMINV(RAND(),$B$7,$C$7))</f>
        <v>0.242288898751632</v>
      </c>
      <c r="D236" s="33" t="n">
        <f aca="true">MAX(0.08,NORMINV(RAND(),$B$8,$C$8))</f>
        <v>0.149937875832598</v>
      </c>
      <c r="E236" s="56" t="n">
        <f aca="true">MAX(5,NORMINV(RAND(),$B$9,$C$9))</f>
        <v>14.5772088555854</v>
      </c>
      <c r="F236" s="26" t="n">
        <f aca="false">$B$18*(1+(B236+$B$17)/2)^9</f>
        <v>3770.70850567606</v>
      </c>
      <c r="G236" s="26" t="n">
        <f aca="false">F236*(C236-Assumptions!$F$18)+$B$20</f>
        <v>458.023866127931</v>
      </c>
      <c r="H236" s="26" t="n">
        <f aca="false">E236*G236/(1+D236)^9</f>
        <v>1898.86056919009</v>
      </c>
      <c r="I236" s="26" t="n">
        <f aca="false">$B$13*F236/$B$19*((1+$B$8)/(1+D236))^4.5</f>
        <v>-1758.75507056433</v>
      </c>
      <c r="J236" s="26" t="n">
        <f aca="false">H236+I236+$B$14</f>
        <v>1905.28358081754</v>
      </c>
      <c r="K236" s="44" t="n">
        <f aca="false">J236/$B$15</f>
        <v>4.69281670152104</v>
      </c>
    </row>
    <row r="237" customFormat="false" ht="15" hidden="false" customHeight="false" outlineLevel="0" collapsed="false">
      <c r="A237" s="55" t="n">
        <v>197</v>
      </c>
      <c r="B237" s="21" t="n">
        <f aca="true">NORMINV(RAND(),$B$6,$C$6)</f>
        <v>0.71540883455257</v>
      </c>
      <c r="C237" s="21" t="n">
        <f aca="true">MAX(0.05,NORMINV(RAND(),$B$7,$C$7))</f>
        <v>0.310931451054022</v>
      </c>
      <c r="D237" s="33" t="n">
        <f aca="true">MAX(0.08,NORMINV(RAND(),$B$8,$C$8))</f>
        <v>0.144702998974273</v>
      </c>
      <c r="E237" s="56" t="n">
        <f aca="true">MAX(5,NORMINV(RAND(),$B$9,$C$9))</f>
        <v>9.03969291800503</v>
      </c>
      <c r="F237" s="26" t="n">
        <f aca="false">$B$18*(1+(B237+$B$17)/2)^9</f>
        <v>6233.9560741402</v>
      </c>
      <c r="G237" s="26" t="n">
        <f aca="false">F237*(C237-Assumptions!$F$18)+$B$20</f>
        <v>1384.22615997515</v>
      </c>
      <c r="H237" s="26" t="n">
        <f aca="false">E237*G237/(1+D237)^9</f>
        <v>3707.87721812866</v>
      </c>
      <c r="I237" s="26" t="n">
        <f aca="false">$B$13*F237/$B$19*((1+$B$8)/(1+D237))^4.5</f>
        <v>-2967.99490503793</v>
      </c>
      <c r="J237" s="26" t="n">
        <f aca="false">H237+I237+$B$14</f>
        <v>2505.06039528251</v>
      </c>
      <c r="K237" s="44" t="n">
        <f aca="false">J237/$B$15</f>
        <v>6.17009949576972</v>
      </c>
    </row>
    <row r="238" customFormat="false" ht="15" hidden="false" customHeight="false" outlineLevel="0" collapsed="false">
      <c r="A238" s="55" t="n">
        <v>198</v>
      </c>
      <c r="B238" s="21" t="n">
        <f aca="true">NORMINV(RAND(),$B$6,$C$6)</f>
        <v>0.617065691015515</v>
      </c>
      <c r="C238" s="21" t="n">
        <f aca="true">MAX(0.05,NORMINV(RAND(),$B$7,$C$7))</f>
        <v>0.262751278403594</v>
      </c>
      <c r="D238" s="33" t="n">
        <f aca="true">MAX(0.08,NORMINV(RAND(),$B$8,$C$8))</f>
        <v>0.124210780217775</v>
      </c>
      <c r="E238" s="56" t="n">
        <f aca="true">MAX(5,NORMINV(RAND(),$B$9,$C$9))</f>
        <v>10.7437148302052</v>
      </c>
      <c r="F238" s="26" t="n">
        <f aca="false">$B$18*(1+(B238+$B$17)/2)^9</f>
        <v>4601.94408723746</v>
      </c>
      <c r="G238" s="26" t="n">
        <f aca="false">F238*(C238-Assumptions!$F$18)+$B$20</f>
        <v>720.340323575313</v>
      </c>
      <c r="H238" s="26" t="n">
        <f aca="false">E238*G238/(1+D238)^9</f>
        <v>2698.12763153192</v>
      </c>
      <c r="I238" s="26" t="n">
        <f aca="false">$B$13*F238/$B$19*((1+$B$8)/(1+D238))^4.5</f>
        <v>-2376.53157680991</v>
      </c>
      <c r="J238" s="26" t="n">
        <f aca="false">H238+I238+$B$14</f>
        <v>2086.77413691379</v>
      </c>
      <c r="K238" s="44" t="n">
        <f aca="false">J238/$B$15</f>
        <v>5.13983777564972</v>
      </c>
    </row>
    <row r="239" customFormat="false" ht="15" hidden="false" customHeight="false" outlineLevel="0" collapsed="false">
      <c r="A239" s="55" t="n">
        <v>199</v>
      </c>
      <c r="B239" s="21" t="n">
        <f aca="true">NORMINV(RAND(),$B$6,$C$6)</f>
        <v>0.508160028133446</v>
      </c>
      <c r="C239" s="21" t="n">
        <f aca="true">MAX(0.05,NORMINV(RAND(),$B$7,$C$7))</f>
        <v>0.286404510641343</v>
      </c>
      <c r="D239" s="33" t="n">
        <f aca="true">MAX(0.08,NORMINV(RAND(),$B$8,$C$8))</f>
        <v>0.113971896190677</v>
      </c>
      <c r="E239" s="56" t="n">
        <f aca="true">MAX(5,NORMINV(RAND(),$B$9,$C$9))</f>
        <v>14.0253474209181</v>
      </c>
      <c r="F239" s="26" t="n">
        <f aca="false">$B$18*(1+(B239+$B$17)/2)^9</f>
        <v>3247.7133215728</v>
      </c>
      <c r="G239" s="26" t="n">
        <f aca="false">F239*(C239-Assumptions!$F$18)+$B$20</f>
        <v>495.502606706827</v>
      </c>
      <c r="H239" s="26" t="n">
        <f aca="false">E239*G239/(1+D239)^9</f>
        <v>2630.8219819485</v>
      </c>
      <c r="I239" s="26" t="n">
        <f aca="false">$B$13*F239/$B$19*((1+$B$8)/(1+D239))^4.5</f>
        <v>-1747.67525829338</v>
      </c>
      <c r="J239" s="26" t="n">
        <f aca="false">H239+I239+$B$14</f>
        <v>2648.3248058469</v>
      </c>
      <c r="K239" s="44" t="n">
        <f aca="false">J239/$B$15</f>
        <v>6.52296750208597</v>
      </c>
    </row>
    <row r="240" customFormat="false" ht="15" hidden="false" customHeight="false" outlineLevel="0" collapsed="false">
      <c r="A240" s="55" t="n">
        <v>200</v>
      </c>
      <c r="B240" s="21" t="n">
        <f aca="true">NORMINV(RAND(),$B$6,$C$6)</f>
        <v>0.52250425149267</v>
      </c>
      <c r="C240" s="21" t="n">
        <f aca="true">MAX(0.05,NORMINV(RAND(),$B$7,$C$7))</f>
        <v>0.255404575739171</v>
      </c>
      <c r="D240" s="33" t="n">
        <f aca="true">MAX(0.08,NORMINV(RAND(),$B$8,$C$8))</f>
        <v>0.131518886466019</v>
      </c>
      <c r="E240" s="56" t="n">
        <f aca="true">MAX(5,NORMINV(RAND(),$B$9,$C$9))</f>
        <v>20.2049878535481</v>
      </c>
      <c r="F240" s="26" t="n">
        <f aca="false">$B$18*(1+(B240+$B$17)/2)^9</f>
        <v>3402.92620531228</v>
      </c>
      <c r="G240" s="26" t="n">
        <f aca="false">F240*(C240-Assumptions!$F$18)+$B$20</f>
        <v>428.257270528307</v>
      </c>
      <c r="H240" s="26" t="n">
        <f aca="false">E240*G240/(1+D240)^9</f>
        <v>2845.81767895886</v>
      </c>
      <c r="I240" s="26" t="n">
        <f aca="false">$B$13*F240/$B$19*((1+$B$8)/(1+D240))^4.5</f>
        <v>-1706.83486140516</v>
      </c>
      <c r="J240" s="26" t="n">
        <f aca="false">H240+I240+$B$14</f>
        <v>2904.16089974548</v>
      </c>
      <c r="K240" s="44" t="n">
        <f aca="false">J240/$B$15</f>
        <v>7.15310566439774</v>
      </c>
    </row>
    <row r="241" customFormat="false" ht="15" hidden="false" customHeight="false" outlineLevel="0" collapsed="false">
      <c r="A241" s="55" t="n">
        <v>201</v>
      </c>
      <c r="B241" s="21" t="n">
        <f aca="true">NORMINV(RAND(),$B$6,$C$6)</f>
        <v>0.482912802928691</v>
      </c>
      <c r="C241" s="21" t="n">
        <f aca="true">MAX(0.05,NORMINV(RAND(),$B$7,$C$7))</f>
        <v>0.233297067471775</v>
      </c>
      <c r="D241" s="33" t="n">
        <f aca="true">MAX(0.08,NORMINV(RAND(),$B$8,$C$8))</f>
        <v>0.154955977087042</v>
      </c>
      <c r="E241" s="56" t="n">
        <f aca="true">MAX(5,NORMINV(RAND(),$B$9,$C$9))</f>
        <v>14.2564555965821</v>
      </c>
      <c r="F241" s="26" t="n">
        <f aca="false">$B$18*(1+(B241+$B$17)/2)^9</f>
        <v>2989.74756517363</v>
      </c>
      <c r="G241" s="26" t="n">
        <f aca="false">F241*(C241-Assumptions!$F$18)+$B$20</f>
        <v>273.160831830254</v>
      </c>
      <c r="H241" s="26" t="n">
        <f aca="false">E241*G241/(1+D241)^9</f>
        <v>1064.97917526612</v>
      </c>
      <c r="I241" s="26" t="n">
        <f aca="false">$B$13*F241/$B$19*((1+$B$8)/(1+D241))^4.5</f>
        <v>-1367.43656464243</v>
      </c>
      <c r="J241" s="26" t="n">
        <f aca="false">H241+I241+$B$14</f>
        <v>1462.72069281547</v>
      </c>
      <c r="K241" s="44" t="n">
        <f aca="false">J241/$B$15</f>
        <v>3.6027603271317</v>
      </c>
    </row>
    <row r="242" customFormat="false" ht="15" hidden="false" customHeight="false" outlineLevel="0" collapsed="false">
      <c r="A242" s="55" t="n">
        <v>202</v>
      </c>
      <c r="B242" s="21" t="n">
        <f aca="true">NORMINV(RAND(),$B$6,$C$6)</f>
        <v>0.570437592980585</v>
      </c>
      <c r="C242" s="21" t="n">
        <f aca="true">MAX(0.05,NORMINV(RAND(),$B$7,$C$7))</f>
        <v>0.378845217042672</v>
      </c>
      <c r="D242" s="33" t="n">
        <f aca="true">MAX(0.08,NORMINV(RAND(),$B$8,$C$8))</f>
        <v>0.127526261273774</v>
      </c>
      <c r="E242" s="56" t="n">
        <f aca="true">MAX(5,NORMINV(RAND(),$B$9,$C$9))</f>
        <v>21.0778725634808</v>
      </c>
      <c r="F242" s="26" t="n">
        <f aca="false">$B$18*(1+(B242+$B$17)/2)^9</f>
        <v>3970.55298692473</v>
      </c>
      <c r="G242" s="26" t="n">
        <f aca="false">F242*(C242-Assumptions!$F$18)+$B$20</f>
        <v>1040.65428363525</v>
      </c>
      <c r="H242" s="26" t="n">
        <f aca="false">E242*G242/(1+D242)^9</f>
        <v>7447.20412929253</v>
      </c>
      <c r="I242" s="26" t="n">
        <f aca="false">$B$13*F242/$B$19*((1+$B$8)/(1+D242))^4.5</f>
        <v>-2023.47622411705</v>
      </c>
      <c r="J242" s="26" t="n">
        <f aca="false">H242+I242+$B$14</f>
        <v>7188.90598736726</v>
      </c>
      <c r="K242" s="44" t="n">
        <f aca="false">J242/$B$15</f>
        <v>17.7066649935154</v>
      </c>
    </row>
    <row r="243" customFormat="false" ht="15" hidden="false" customHeight="false" outlineLevel="0" collapsed="false">
      <c r="A243" s="55" t="n">
        <v>203</v>
      </c>
      <c r="B243" s="21" t="n">
        <f aca="true">NORMINV(RAND(),$B$6,$C$6)</f>
        <v>0.697332934159056</v>
      </c>
      <c r="C243" s="21" t="n">
        <f aca="true">MAX(0.05,NORMINV(RAND(),$B$7,$C$7))</f>
        <v>0.343839887774925</v>
      </c>
      <c r="D243" s="33" t="n">
        <f aca="true">MAX(0.08,NORMINV(RAND(),$B$8,$C$8))</f>
        <v>0.113442958714273</v>
      </c>
      <c r="E243" s="56" t="n">
        <f aca="true">MAX(5,NORMINV(RAND(),$B$9,$C$9))</f>
        <v>17.0866081504321</v>
      </c>
      <c r="F243" s="26" t="n">
        <f aca="false">$B$18*(1+(B243+$B$17)/2)^9</f>
        <v>5900.18076495487</v>
      </c>
      <c r="G243" s="26" t="n">
        <f aca="false">F243*(C243-Assumptions!$F$18)+$B$20</f>
        <v>1487.96165647697</v>
      </c>
      <c r="H243" s="26" t="n">
        <f aca="false">E243*G243/(1+D243)^9</f>
        <v>9665.75629703955</v>
      </c>
      <c r="I243" s="26" t="n">
        <f aca="false">$B$13*F243/$B$19*((1+$B$8)/(1+D243))^4.5</f>
        <v>-3181.82686295699</v>
      </c>
      <c r="J243" s="26" t="n">
        <f aca="false">H243+I243+$B$14</f>
        <v>8249.10751627434</v>
      </c>
      <c r="K243" s="44" t="n">
        <f aca="false">J243/$B$15</f>
        <v>20.3179988085575</v>
      </c>
    </row>
    <row r="244" customFormat="false" ht="15" hidden="false" customHeight="false" outlineLevel="0" collapsed="false">
      <c r="A244" s="55" t="n">
        <v>204</v>
      </c>
      <c r="B244" s="21" t="n">
        <f aca="true">NORMINV(RAND(),$B$6,$C$6)</f>
        <v>0.549304413214998</v>
      </c>
      <c r="C244" s="21" t="n">
        <f aca="true">MAX(0.05,NORMINV(RAND(),$B$7,$C$7))</f>
        <v>0.316111407566819</v>
      </c>
      <c r="D244" s="33" t="n">
        <f aca="true">MAX(0.08,NORMINV(RAND(),$B$8,$C$8))</f>
        <v>0.127192758402874</v>
      </c>
      <c r="E244" s="56" t="n">
        <f aca="true">MAX(5,NORMINV(RAND(),$B$9,$C$9))</f>
        <v>13.836888635226</v>
      </c>
      <c r="F244" s="26" t="n">
        <f aca="false">$B$18*(1+(B244+$B$17)/2)^9</f>
        <v>3710.6817100238</v>
      </c>
      <c r="G244" s="26" t="n">
        <f aca="false">F244*(C244-Assumptions!$F$18)+$B$20</f>
        <v>719.812944988435</v>
      </c>
      <c r="H244" s="26" t="n">
        <f aca="false">E244*G244/(1+D244)^9</f>
        <v>3390.58306250416</v>
      </c>
      <c r="I244" s="26" t="n">
        <f aca="false">$B$13*F244/$B$19*((1+$B$8)/(1+D244))^4.5</f>
        <v>-1893.5594930983</v>
      </c>
      <c r="J244" s="26" t="n">
        <f aca="false">H244+I244+$B$14</f>
        <v>3262.20165159764</v>
      </c>
      <c r="K244" s="44" t="n">
        <f aca="false">J244/$B$15</f>
        <v>8.0349794374326</v>
      </c>
    </row>
    <row r="245" customFormat="false" ht="15" hidden="false" customHeight="false" outlineLevel="0" collapsed="false">
      <c r="A245" s="55" t="n">
        <v>205</v>
      </c>
      <c r="B245" s="21" t="n">
        <f aca="true">NORMINV(RAND(),$B$6,$C$6)</f>
        <v>0.739372603826462</v>
      </c>
      <c r="C245" s="21" t="n">
        <f aca="true">MAX(0.05,NORMINV(RAND(),$B$7,$C$7))</f>
        <v>0.316999944103398</v>
      </c>
      <c r="D245" s="33" t="n">
        <f aca="true">MAX(0.08,NORMINV(RAND(),$B$8,$C$8))</f>
        <v>0.137893019532267</v>
      </c>
      <c r="E245" s="56" t="n">
        <f aca="true">MAX(5,NORMINV(RAND(),$B$9,$C$9))</f>
        <v>15.0107356653541</v>
      </c>
      <c r="F245" s="26" t="n">
        <f aca="false">$B$18*(1+(B245+$B$17)/2)^9</f>
        <v>6702.28660075087</v>
      </c>
      <c r="G245" s="26" t="n">
        <f aca="false">F245*(C245-Assumptions!$F$18)+$B$20</f>
        <v>1551.78440877425</v>
      </c>
      <c r="H245" s="26" t="n">
        <f aca="false">E245*G245/(1+D245)^9</f>
        <v>7283.17025327406</v>
      </c>
      <c r="I245" s="26" t="n">
        <f aca="false">$B$13*F245/$B$19*((1+$B$8)/(1+D245))^4.5</f>
        <v>-3277.80906189548</v>
      </c>
      <c r="J245" s="26" t="n">
        <f aca="false">H245+I245+$B$14</f>
        <v>5770.53927357036</v>
      </c>
      <c r="K245" s="44" t="n">
        <f aca="false">J245/$B$15</f>
        <v>14.213150920124</v>
      </c>
    </row>
    <row r="246" customFormat="false" ht="15" hidden="false" customHeight="false" outlineLevel="0" collapsed="false">
      <c r="A246" s="55" t="n">
        <v>206</v>
      </c>
      <c r="B246" s="21" t="n">
        <f aca="true">NORMINV(RAND(),$B$6,$C$6)</f>
        <v>0.597156418508073</v>
      </c>
      <c r="C246" s="21" t="n">
        <f aca="true">MAX(0.05,NORMINV(RAND(),$B$7,$C$7))</f>
        <v>0.169206045867218</v>
      </c>
      <c r="D246" s="33" t="n">
        <f aca="true">MAX(0.08,NORMINV(RAND(),$B$8,$C$8))</f>
        <v>0.133095729306021</v>
      </c>
      <c r="E246" s="56" t="n">
        <f aca="true">MAX(5,NORMINV(RAND(),$B$9,$C$9))</f>
        <v>10.5916427276218</v>
      </c>
      <c r="F246" s="26" t="n">
        <f aca="false">$B$18*(1+(B246+$B$17)/2)^9</f>
        <v>4322.19632502426</v>
      </c>
      <c r="G246" s="26" t="n">
        <f aca="false">F246*(C246-Assumptions!$F$18)+$B$20</f>
        <v>253.705291619517</v>
      </c>
      <c r="H246" s="26" t="n">
        <f aca="false">E246*G246/(1+D246)^9</f>
        <v>872.757168061152</v>
      </c>
      <c r="I246" s="26" t="n">
        <f aca="false">$B$13*F246/$B$19*((1+$B$8)/(1+D246))^4.5</f>
        <v>-2154.37789207005</v>
      </c>
      <c r="J246" s="26" t="n">
        <f aca="false">H246+I246+$B$14</f>
        <v>483.557358182883</v>
      </c>
      <c r="K246" s="44" t="n">
        <f aca="false">J246/$B$15</f>
        <v>1.19102797581991</v>
      </c>
    </row>
    <row r="247" customFormat="false" ht="15" hidden="false" customHeight="false" outlineLevel="0" collapsed="false">
      <c r="A247" s="55" t="n">
        <v>207</v>
      </c>
      <c r="B247" s="21" t="n">
        <f aca="true">NORMINV(RAND(),$B$6,$C$6)</f>
        <v>0.456246425847121</v>
      </c>
      <c r="C247" s="21" t="n">
        <f aca="true">MAX(0.05,NORMINV(RAND(),$B$7,$C$7))</f>
        <v>0.238210929830225</v>
      </c>
      <c r="D247" s="33" t="n">
        <f aca="true">MAX(0.08,NORMINV(RAND(),$B$8,$C$8))</f>
        <v>0.13528703969664</v>
      </c>
      <c r="E247" s="56" t="n">
        <f aca="true">MAX(5,NORMINV(RAND(),$B$9,$C$9))</f>
        <v>9.00530682152475</v>
      </c>
      <c r="F247" s="26" t="n">
        <f aca="false">$B$18*(1+(B247+$B$17)/2)^9</f>
        <v>2737.21307113072</v>
      </c>
      <c r="G247" s="26" t="n">
        <f aca="false">F247*(C247-Assumptions!$F$18)+$B$20</f>
        <v>237.796942973575</v>
      </c>
      <c r="H247" s="26" t="n">
        <f aca="false">E247*G247/(1+D247)^9</f>
        <v>683.523831748463</v>
      </c>
      <c r="I247" s="26" t="n">
        <f aca="false">$B$13*F247/$B$19*((1+$B$8)/(1+D247))^4.5</f>
        <v>-1352.54010390381</v>
      </c>
      <c r="J247" s="26" t="n">
        <f aca="false">H247+I247+$B$14</f>
        <v>1096.16181003644</v>
      </c>
      <c r="K247" s="44" t="n">
        <f aca="false">J247/$B$15</f>
        <v>2.69990593605034</v>
      </c>
    </row>
    <row r="248" customFormat="false" ht="15" hidden="false" customHeight="false" outlineLevel="0" collapsed="false">
      <c r="A248" s="55" t="n">
        <v>208</v>
      </c>
      <c r="B248" s="21" t="n">
        <f aca="true">NORMINV(RAND(),$B$6,$C$6)</f>
        <v>0.471897785201608</v>
      </c>
      <c r="C248" s="21" t="n">
        <f aca="true">MAX(0.05,NORMINV(RAND(),$B$7,$C$7))</f>
        <v>0.256991720967207</v>
      </c>
      <c r="D248" s="33" t="n">
        <f aca="true">MAX(0.08,NORMINV(RAND(),$B$8,$C$8))</f>
        <v>0.152736665091087</v>
      </c>
      <c r="E248" s="56" t="n">
        <f aca="true">MAX(5,NORMINV(RAND(),$B$9,$C$9))</f>
        <v>9.50463812798825</v>
      </c>
      <c r="F248" s="26" t="n">
        <f aca="false">$B$18*(1+(B248+$B$17)/2)^9</f>
        <v>2883.02795860987</v>
      </c>
      <c r="G248" s="26" t="n">
        <f aca="false">F248*(C248-Assumptions!$F$18)+$B$20</f>
        <v>320.84459333664</v>
      </c>
      <c r="H248" s="26" t="n">
        <f aca="false">E248*G248/(1+D248)^9</f>
        <v>848.514657655105</v>
      </c>
      <c r="I248" s="26" t="n">
        <f aca="false">$B$13*F248/$B$19*((1+$B$8)/(1+D248))^4.5</f>
        <v>-1330.08831660169</v>
      </c>
      <c r="J248" s="26" t="n">
        <f aca="false">H248+I248+$B$14</f>
        <v>1283.60442324519</v>
      </c>
      <c r="K248" s="44" t="n">
        <f aca="false">J248/$B$15</f>
        <v>3.16158724937239</v>
      </c>
    </row>
    <row r="249" customFormat="false" ht="15" hidden="false" customHeight="false" outlineLevel="0" collapsed="false">
      <c r="A249" s="55" t="n">
        <v>209</v>
      </c>
      <c r="B249" s="21" t="n">
        <f aca="true">NORMINV(RAND(),$B$6,$C$6)</f>
        <v>0.492976657288743</v>
      </c>
      <c r="C249" s="21" t="n">
        <f aca="true">MAX(0.05,NORMINV(RAND(),$B$7,$C$7))</f>
        <v>0.347188007716231</v>
      </c>
      <c r="D249" s="33" t="n">
        <f aca="true">MAX(0.08,NORMINV(RAND(),$B$8,$C$8))</f>
        <v>0.12756011916514</v>
      </c>
      <c r="E249" s="56" t="n">
        <f aca="true">MAX(5,NORMINV(RAND(),$B$9,$C$9))</f>
        <v>14.5683607723925</v>
      </c>
      <c r="F249" s="26" t="n">
        <f aca="false">$B$18*(1+(B249+$B$17)/2)^9</f>
        <v>3090.3064627016</v>
      </c>
      <c r="G249" s="26" t="n">
        <f aca="false">F249*(C249-Assumptions!$F$18)+$B$20</f>
        <v>644.556480511209</v>
      </c>
      <c r="H249" s="26" t="n">
        <f aca="false">E249*G249/(1+D249)^9</f>
        <v>3187.23661137888</v>
      </c>
      <c r="I249" s="26" t="n">
        <f aca="false">$B$13*F249/$B$19*((1+$B$8)/(1+D249))^4.5</f>
        <v>-1574.67152934499</v>
      </c>
      <c r="J249" s="26" t="n">
        <f aca="false">H249+I249+$B$14</f>
        <v>3377.74316422567</v>
      </c>
      <c r="K249" s="44" t="n">
        <f aca="false">J249/$B$15</f>
        <v>8.31956444390559</v>
      </c>
    </row>
    <row r="250" customFormat="false" ht="15" hidden="false" customHeight="false" outlineLevel="0" collapsed="false">
      <c r="A250" s="55" t="n">
        <v>210</v>
      </c>
      <c r="B250" s="21" t="n">
        <f aca="true">NORMINV(RAND(),$B$6,$C$6)</f>
        <v>0.708333118534996</v>
      </c>
      <c r="C250" s="21" t="n">
        <f aca="true">MAX(0.05,NORMINV(RAND(),$B$7,$C$7))</f>
        <v>0.255857359450557</v>
      </c>
      <c r="D250" s="33" t="n">
        <f aca="true">MAX(0.08,NORMINV(RAND(),$B$8,$C$8))</f>
        <v>0.171137999742123</v>
      </c>
      <c r="E250" s="56" t="n">
        <f aca="true">MAX(5,NORMINV(RAND(),$B$9,$C$9))</f>
        <v>16.4128284349784</v>
      </c>
      <c r="F250" s="26" t="n">
        <f aca="false">$B$18*(1+(B250+$B$17)/2)^9</f>
        <v>6101.3539992469</v>
      </c>
      <c r="G250" s="26" t="n">
        <f aca="false">F250*(C250-Assumptions!$F$18)+$B$20</f>
        <v>1012.27355835184</v>
      </c>
      <c r="H250" s="26" t="n">
        <f aca="false">E250*G250/(1+D250)^9</f>
        <v>4008.74718819401</v>
      </c>
      <c r="I250" s="26" t="n">
        <f aca="false">$B$13*F250/$B$19*((1+$B$8)/(1+D250))^4.5</f>
        <v>-2621.24130167035</v>
      </c>
      <c r="J250" s="26" t="n">
        <f aca="false">H250+I250+$B$14</f>
        <v>3152.68396871545</v>
      </c>
      <c r="K250" s="44" t="n">
        <f aca="false">J250/$B$15</f>
        <v>7.76523145003804</v>
      </c>
    </row>
    <row r="251" customFormat="false" ht="15" hidden="false" customHeight="false" outlineLevel="0" collapsed="false">
      <c r="A251" s="55" t="n">
        <v>211</v>
      </c>
      <c r="B251" s="21" t="n">
        <f aca="true">NORMINV(RAND(),$B$6,$C$6)</f>
        <v>0.574101796519061</v>
      </c>
      <c r="C251" s="21" t="n">
        <f aca="true">MAX(0.05,NORMINV(RAND(),$B$7,$C$7))</f>
        <v>0.325694638911676</v>
      </c>
      <c r="D251" s="33" t="n">
        <f aca="true">MAX(0.08,NORMINV(RAND(),$B$8,$C$8))</f>
        <v>0.170458093950081</v>
      </c>
      <c r="E251" s="56" t="n">
        <f aca="true">MAX(5,NORMINV(RAND(),$B$9,$C$9))</f>
        <v>13.2913899806211</v>
      </c>
      <c r="F251" s="26" t="n">
        <f aca="false">$B$18*(1+(B251+$B$17)/2)^9</f>
        <v>4017.22047771925</v>
      </c>
      <c r="G251" s="26" t="n">
        <f aca="false">F251*(C251-Assumptions!$F$18)+$B$20</f>
        <v>842.949748811901</v>
      </c>
      <c r="H251" s="26" t="n">
        <f aca="false">E251*G251/(1+D251)^9</f>
        <v>2717.49818947741</v>
      </c>
      <c r="I251" s="26" t="n">
        <f aca="false">$B$13*F251/$B$19*((1+$B$8)/(1+D251))^4.5</f>
        <v>-1730.37950433084</v>
      </c>
      <c r="J251" s="26" t="n">
        <f aca="false">H251+I251+$B$14</f>
        <v>2752.29676733834</v>
      </c>
      <c r="K251" s="44" t="n">
        <f aca="false">J251/$B$15</f>
        <v>6.77905607718804</v>
      </c>
    </row>
    <row r="252" customFormat="false" ht="15" hidden="false" customHeight="false" outlineLevel="0" collapsed="false">
      <c r="A252" s="55" t="n">
        <v>212</v>
      </c>
      <c r="B252" s="21" t="n">
        <f aca="true">NORMINV(RAND(),$B$6,$C$6)</f>
        <v>0.519424241247436</v>
      </c>
      <c r="C252" s="21" t="n">
        <f aca="true">MAX(0.05,NORMINV(RAND(),$B$7,$C$7))</f>
        <v>0.288385569301174</v>
      </c>
      <c r="D252" s="33" t="n">
        <f aca="true">MAX(0.08,NORMINV(RAND(),$B$8,$C$8))</f>
        <v>0.129691714515084</v>
      </c>
      <c r="E252" s="56" t="n">
        <f aca="true">MAX(5,NORMINV(RAND(),$B$9,$C$9))</f>
        <v>12.2253283804018</v>
      </c>
      <c r="F252" s="26" t="n">
        <f aca="false">$B$18*(1+(B252+$B$17)/2)^9</f>
        <v>3369.05381510257</v>
      </c>
      <c r="G252" s="26" t="n">
        <f aca="false">F252*(C252-Assumptions!$F$18)+$B$20</f>
        <v>532.075744871856</v>
      </c>
      <c r="H252" s="26" t="n">
        <f aca="false">E252*G252/(1+D252)^9</f>
        <v>2170.67349505535</v>
      </c>
      <c r="I252" s="26" t="n">
        <f aca="false">$B$13*F252/$B$19*((1+$B$8)/(1+D252))^4.5</f>
        <v>-1702.17931388696</v>
      </c>
      <c r="J252" s="26" t="n">
        <f aca="false">H252+I252+$B$14</f>
        <v>2233.67226336017</v>
      </c>
      <c r="K252" s="44" t="n">
        <f aca="false">J252/$B$15</f>
        <v>5.50165582108415</v>
      </c>
    </row>
    <row r="253" customFormat="false" ht="15" hidden="false" customHeight="false" outlineLevel="0" collapsed="false">
      <c r="A253" s="55" t="n">
        <v>213</v>
      </c>
      <c r="B253" s="21" t="n">
        <f aca="true">NORMINV(RAND(),$B$6,$C$6)</f>
        <v>0.529392896233117</v>
      </c>
      <c r="C253" s="21" t="n">
        <f aca="true">MAX(0.05,NORMINV(RAND(),$B$7,$C$7))</f>
        <v>0.181641910677734</v>
      </c>
      <c r="D253" s="33" t="n">
        <f aca="true">MAX(0.08,NORMINV(RAND(),$B$8,$C$8))</f>
        <v>0.126040846728554</v>
      </c>
      <c r="E253" s="56" t="n">
        <f aca="true">MAX(5,NORMINV(RAND(),$B$9,$C$9))</f>
        <v>11.3487769664532</v>
      </c>
      <c r="F253" s="26" t="n">
        <f aca="false">$B$18*(1+(B253+$B$17)/2)^9</f>
        <v>3479.78196365424</v>
      </c>
      <c r="G253" s="26" t="n">
        <f aca="false">F253*(C253-Assumptions!$F$18)+$B$20</f>
        <v>188.134361075213</v>
      </c>
      <c r="H253" s="26" t="n">
        <f aca="false">E253*G253/(1+D253)^9</f>
        <v>733.550270865414</v>
      </c>
      <c r="I253" s="26" t="n">
        <f aca="false">$B$13*F253/$B$19*((1+$B$8)/(1+D253))^4.5</f>
        <v>-1783.92046510927</v>
      </c>
      <c r="J253" s="26" t="n">
        <f aca="false">H253+I253+$B$14</f>
        <v>714.807887947921</v>
      </c>
      <c r="K253" s="44" t="n">
        <f aca="false">J253/$B$15</f>
        <v>1.76061056144808</v>
      </c>
    </row>
    <row r="254" customFormat="false" ht="15" hidden="false" customHeight="false" outlineLevel="0" collapsed="false">
      <c r="A254" s="55" t="n">
        <v>214</v>
      </c>
      <c r="B254" s="21" t="n">
        <f aca="true">NORMINV(RAND(),$B$6,$C$6)</f>
        <v>0.746272289261618</v>
      </c>
      <c r="C254" s="21" t="n">
        <f aca="true">MAX(0.05,NORMINV(RAND(),$B$7,$C$7))</f>
        <v>0.269924456077911</v>
      </c>
      <c r="D254" s="33" t="n">
        <f aca="true">MAX(0.08,NORMINV(RAND(),$B$8,$C$8))</f>
        <v>0.146916234004615</v>
      </c>
      <c r="E254" s="56" t="n">
        <f aca="true">MAX(5,NORMINV(RAND(),$B$9,$C$9))</f>
        <v>14.8067120954538</v>
      </c>
      <c r="F254" s="26" t="n">
        <f aca="false">$B$18*(1+(B254+$B$17)/2)^9</f>
        <v>6842.80310934062</v>
      </c>
      <c r="G254" s="26" t="n">
        <f aca="false">F254*(C254-Assumptions!$F$18)+$B$20</f>
        <v>1268.57917796469</v>
      </c>
      <c r="H254" s="26" t="n">
        <f aca="false">E254*G254/(1+D254)^9</f>
        <v>5470.04514653649</v>
      </c>
      <c r="I254" s="26" t="n">
        <f aca="false">$B$13*F254/$B$19*((1+$B$8)/(1+D254))^4.5</f>
        <v>-3229.67260795178</v>
      </c>
      <c r="J254" s="26" t="n">
        <f aca="false">H254+I254+$B$14</f>
        <v>4005.55062077649</v>
      </c>
      <c r="K254" s="44" t="n">
        <f aca="false">J254/$B$15</f>
        <v>9.86588822851353</v>
      </c>
    </row>
    <row r="255" customFormat="false" ht="15" hidden="false" customHeight="false" outlineLevel="0" collapsed="false">
      <c r="A255" s="55" t="n">
        <v>215</v>
      </c>
      <c r="B255" s="21" t="n">
        <f aca="true">NORMINV(RAND(),$B$6,$C$6)</f>
        <v>0.538801299717296</v>
      </c>
      <c r="C255" s="21" t="n">
        <f aca="true">MAX(0.05,NORMINV(RAND(),$B$7,$C$7))</f>
        <v>0.190648063929654</v>
      </c>
      <c r="D255" s="33" t="n">
        <f aca="true">MAX(0.08,NORMINV(RAND(),$B$8,$C$8))</f>
        <v>0.125895841919197</v>
      </c>
      <c r="E255" s="56" t="n">
        <f aca="true">MAX(5,NORMINV(RAND(),$B$9,$C$9))</f>
        <v>13.2312506514746</v>
      </c>
      <c r="F255" s="26" t="n">
        <f aca="false">$B$18*(1+(B255+$B$17)/2)^9</f>
        <v>3587.2421479283</v>
      </c>
      <c r="G255" s="26" t="n">
        <f aca="false">F255*(C255-Assumptions!$F$18)+$B$20</f>
        <v>235.662479433564</v>
      </c>
      <c r="H255" s="26" t="n">
        <f aca="false">E255*G255/(1+D255)^9</f>
        <v>1072.52494607517</v>
      </c>
      <c r="I255" s="26" t="n">
        <f aca="false">$B$13*F255/$B$19*((1+$B$8)/(1+D255))^4.5</f>
        <v>-1840.0762976979</v>
      </c>
      <c r="J255" s="26" t="n">
        <f aca="false">H255+I255+$B$14</f>
        <v>997.626730569058</v>
      </c>
      <c r="K255" s="44" t="n">
        <f aca="false">J255/$B$15</f>
        <v>2.4572086959829</v>
      </c>
    </row>
    <row r="256" customFormat="false" ht="15" hidden="false" customHeight="false" outlineLevel="0" collapsed="false">
      <c r="A256" s="55" t="n">
        <v>216</v>
      </c>
      <c r="B256" s="21" t="n">
        <f aca="true">NORMINV(RAND(),$B$6,$C$6)</f>
        <v>0.568787111093274</v>
      </c>
      <c r="C256" s="21" t="n">
        <f aca="true">MAX(0.05,NORMINV(RAND(),$B$7,$C$7))</f>
        <v>0.271600050048583</v>
      </c>
      <c r="D256" s="33" t="n">
        <f aca="true">MAX(0.08,NORMINV(RAND(),$B$8,$C$8))</f>
        <v>0.133064303166594</v>
      </c>
      <c r="E256" s="56" t="n">
        <f aca="true">MAX(5,NORMINV(RAND(),$B$9,$C$9))</f>
        <v>16.5214316245541</v>
      </c>
      <c r="F256" s="26" t="n">
        <f aca="false">$B$18*(1+(B256+$B$17)/2)^9</f>
        <v>3949.69024436793</v>
      </c>
      <c r="G256" s="26" t="n">
        <f aca="false">F256*(C256-Assumptions!$F$18)+$B$20</f>
        <v>609.999853273321</v>
      </c>
      <c r="H256" s="26" t="n">
        <f aca="false">E256*G256/(1+D256)^9</f>
        <v>3274.05816697547</v>
      </c>
      <c r="I256" s="26" t="n">
        <f aca="false">$B$13*F256/$B$19*((1+$B$8)/(1+D256))^4.5</f>
        <v>-1968.94976015762</v>
      </c>
      <c r="J256" s="26" t="n">
        <f aca="false">H256+I256+$B$14</f>
        <v>3070.28648900964</v>
      </c>
      <c r="K256" s="44" t="n">
        <f aca="false">J256/$B$15</f>
        <v>7.56228199263458</v>
      </c>
    </row>
    <row r="257" customFormat="false" ht="15" hidden="false" customHeight="false" outlineLevel="0" collapsed="false">
      <c r="A257" s="55" t="n">
        <v>217</v>
      </c>
      <c r="B257" s="21" t="n">
        <f aca="true">NORMINV(RAND(),$B$6,$C$6)</f>
        <v>0.443957916682008</v>
      </c>
      <c r="C257" s="21" t="n">
        <f aca="true">MAX(0.05,NORMINV(RAND(),$B$7,$C$7))</f>
        <v>0.311804502718623</v>
      </c>
      <c r="D257" s="33" t="n">
        <f aca="true">MAX(0.08,NORMINV(RAND(),$B$8,$C$8))</f>
        <v>0.156487361644857</v>
      </c>
      <c r="E257" s="56" t="n">
        <f aca="true">MAX(5,NORMINV(RAND(),$B$9,$C$9))</f>
        <v>12.3249542138109</v>
      </c>
      <c r="F257" s="26" t="n">
        <f aca="false">$B$18*(1+(B257+$B$17)/2)^9</f>
        <v>2627.36136032501</v>
      </c>
      <c r="G257" s="26" t="n">
        <f aca="false">F257*(C257-Assumptions!$F$18)+$B$20</f>
        <v>409.380043006573</v>
      </c>
      <c r="H257" s="26" t="n">
        <f aca="false">E257*G257/(1+D257)^9</f>
        <v>1363.46490005162</v>
      </c>
      <c r="I257" s="26" t="n">
        <f aca="false">$B$13*F257/$B$19*((1+$B$8)/(1+D257))^4.5</f>
        <v>-1194.54607284923</v>
      </c>
      <c r="J257" s="26" t="n">
        <f aca="false">H257+I257+$B$14</f>
        <v>1934.09690939418</v>
      </c>
      <c r="K257" s="44" t="n">
        <f aca="false">J257/$B$15</f>
        <v>4.76378549111866</v>
      </c>
    </row>
    <row r="258" customFormat="false" ht="15" hidden="false" customHeight="false" outlineLevel="0" collapsed="false">
      <c r="A258" s="55" t="n">
        <v>218</v>
      </c>
      <c r="B258" s="21" t="n">
        <f aca="true">NORMINV(RAND(),$B$6,$C$6)</f>
        <v>0.705644072160588</v>
      </c>
      <c r="C258" s="21" t="n">
        <f aca="true">MAX(0.05,NORMINV(RAND(),$B$7,$C$7))</f>
        <v>0.329250364731196</v>
      </c>
      <c r="D258" s="33" t="n">
        <f aca="true">MAX(0.08,NORMINV(RAND(),$B$8,$C$8))</f>
        <v>0.153418382021607</v>
      </c>
      <c r="E258" s="56" t="n">
        <f aca="true">MAX(5,NORMINV(RAND(),$B$9,$C$9))</f>
        <v>13.5668354452378</v>
      </c>
      <c r="F258" s="26" t="n">
        <f aca="false">$B$18*(1+(B258+$B$17)/2)^9</f>
        <v>6051.62137460427</v>
      </c>
      <c r="G258" s="26" t="n">
        <f aca="false">F258*(C258-Assumptions!$F$18)+$B$20</f>
        <v>1445.68508482069</v>
      </c>
      <c r="H258" s="26" t="n">
        <f aca="false">E258*G258/(1+D258)^9</f>
        <v>5428.38249687216</v>
      </c>
      <c r="I258" s="26" t="n">
        <f aca="false">$B$13*F258/$B$19*((1+$B$8)/(1+D258))^4.5</f>
        <v>-2784.50464080878</v>
      </c>
      <c r="J258" s="26" t="n">
        <f aca="false">H258+I258+$B$14</f>
        <v>4409.05593825516</v>
      </c>
      <c r="K258" s="44" t="n">
        <f aca="false">J258/$B$15</f>
        <v>10.8597436902836</v>
      </c>
    </row>
    <row r="259" customFormat="false" ht="15" hidden="false" customHeight="false" outlineLevel="0" collapsed="false">
      <c r="A259" s="55" t="n">
        <v>219</v>
      </c>
      <c r="B259" s="21" t="n">
        <f aca="true">NORMINV(RAND(),$B$6,$C$6)</f>
        <v>0.570975949194405</v>
      </c>
      <c r="C259" s="21" t="n">
        <f aca="true">MAX(0.05,NORMINV(RAND(),$B$7,$C$7))</f>
        <v>0.212170499064588</v>
      </c>
      <c r="D259" s="33" t="n">
        <f aca="true">MAX(0.08,NORMINV(RAND(),$B$8,$C$8))</f>
        <v>0.145779174700087</v>
      </c>
      <c r="E259" s="56" t="n">
        <f aca="true">MAX(5,NORMINV(RAND(),$B$9,$C$9))</f>
        <v>20.1592889340225</v>
      </c>
      <c r="F259" s="26" t="n">
        <f aca="false">$B$18*(1+(B259+$B$17)/2)^9</f>
        <v>3977.3791765606</v>
      </c>
      <c r="G259" s="26" t="n">
        <f aca="false">F259*(C259-Assumptions!$F$18)+$B$20</f>
        <v>380.03875279885</v>
      </c>
      <c r="H259" s="26" t="n">
        <f aca="false">E259*G259/(1+D259)^9</f>
        <v>2251.09992792067</v>
      </c>
      <c r="I259" s="26" t="n">
        <f aca="false">$B$13*F259/$B$19*((1+$B$8)/(1+D259))^4.5</f>
        <v>-1885.64503506254</v>
      </c>
      <c r="J259" s="26" t="n">
        <f aca="false">H259+I259+$B$14</f>
        <v>2130.63297504991</v>
      </c>
      <c r="K259" s="44" t="n">
        <f aca="false">J259/$B$15</f>
        <v>5.24786447056628</v>
      </c>
    </row>
    <row r="260" customFormat="false" ht="15" hidden="false" customHeight="false" outlineLevel="0" collapsed="false">
      <c r="A260" s="55" t="n">
        <v>220</v>
      </c>
      <c r="B260" s="21" t="n">
        <f aca="true">NORMINV(RAND(),$B$6,$C$6)</f>
        <v>0.411642211729129</v>
      </c>
      <c r="C260" s="21" t="n">
        <f aca="true">MAX(0.05,NORMINV(RAND(),$B$7,$C$7))</f>
        <v>0.420381262152025</v>
      </c>
      <c r="D260" s="33" t="n">
        <f aca="true">MAX(0.08,NORMINV(RAND(),$B$8,$C$8))</f>
        <v>0.118241063738548</v>
      </c>
      <c r="E260" s="56" t="n">
        <f aca="true">MAX(5,NORMINV(RAND(),$B$9,$C$9))</f>
        <v>12.4367528652142</v>
      </c>
      <c r="F260" s="26" t="n">
        <f aca="false">$B$18*(1+(B260+$B$17)/2)^9</f>
        <v>2356.94595240751</v>
      </c>
      <c r="G260" s="26" t="n">
        <f aca="false">F260*(C260-Assumptions!$F$18)+$B$20</f>
        <v>591.789471202188</v>
      </c>
      <c r="H260" s="26" t="n">
        <f aca="false">E260*G260/(1+D260)^9</f>
        <v>2691.87762277761</v>
      </c>
      <c r="I260" s="26" t="n">
        <f aca="false">$B$13*F260/$B$19*((1+$B$8)/(1+D260))^4.5</f>
        <v>-1246.68652863133</v>
      </c>
      <c r="J260" s="26" t="n">
        <f aca="false">H260+I260+$B$14</f>
        <v>3210.36917633806</v>
      </c>
      <c r="K260" s="44" t="n">
        <f aca="false">J260/$B$15</f>
        <v>7.90731324221198</v>
      </c>
    </row>
    <row r="261" customFormat="false" ht="15" hidden="false" customHeight="false" outlineLevel="0" collapsed="false">
      <c r="A261" s="55" t="n">
        <v>221</v>
      </c>
      <c r="B261" s="21" t="n">
        <f aca="true">NORMINV(RAND(),$B$6,$C$6)</f>
        <v>0.502806104162262</v>
      </c>
      <c r="C261" s="21" t="n">
        <f aca="true">MAX(0.05,NORMINV(RAND(),$B$7,$C$7))</f>
        <v>0.267193415469224</v>
      </c>
      <c r="D261" s="33" t="n">
        <f aca="true">MAX(0.08,NORMINV(RAND(),$B$8,$C$8))</f>
        <v>0.119527282912777</v>
      </c>
      <c r="E261" s="56" t="n">
        <f aca="true">MAX(5,NORMINV(RAND(),$B$9,$C$9))</f>
        <v>17.7580174231988</v>
      </c>
      <c r="F261" s="26" t="n">
        <f aca="false">$B$18*(1+(B261+$B$17)/2)^9</f>
        <v>3191.41401442869</v>
      </c>
      <c r="G261" s="26" t="n">
        <f aca="false">F261*(C261-Assumptions!$F$18)+$B$20</f>
        <v>420.319645115712</v>
      </c>
      <c r="H261" s="26" t="n">
        <f aca="false">E261*G261/(1+D261)^9</f>
        <v>2701.85495082374</v>
      </c>
      <c r="I261" s="26" t="n">
        <f aca="false">$B$13*F261/$B$19*((1+$B$8)/(1+D261))^4.5</f>
        <v>-1679.36147333926</v>
      </c>
      <c r="J261" s="26" t="n">
        <f aca="false">H261+I261+$B$14</f>
        <v>2787.67155967625</v>
      </c>
      <c r="K261" s="44" t="n">
        <f aca="false">J261/$B$15</f>
        <v>6.86618610757698</v>
      </c>
    </row>
    <row r="262" customFormat="false" ht="15" hidden="false" customHeight="false" outlineLevel="0" collapsed="false">
      <c r="A262" s="55" t="n">
        <v>222</v>
      </c>
      <c r="B262" s="21" t="n">
        <f aca="true">NORMINV(RAND(),$B$6,$C$6)</f>
        <v>0.710646962684904</v>
      </c>
      <c r="C262" s="21" t="n">
        <f aca="true">MAX(0.05,NORMINV(RAND(),$B$7,$C$7))</f>
        <v>0.286753385621729</v>
      </c>
      <c r="D262" s="33" t="n">
        <f aca="true">MAX(0.08,NORMINV(RAND(),$B$8,$C$8))</f>
        <v>0.132667582877566</v>
      </c>
      <c r="E262" s="56" t="n">
        <f aca="true">MAX(5,NORMINV(RAND(),$B$9,$C$9))</f>
        <v>17.6363084984747</v>
      </c>
      <c r="F262" s="26" t="n">
        <f aca="false">$B$18*(1+(B262+$B$17)/2)^9</f>
        <v>6144.4378823558</v>
      </c>
      <c r="G262" s="26" t="n">
        <f aca="false">F262*(C262-Assumptions!$F$18)+$B$20</f>
        <v>1211.41224521501</v>
      </c>
      <c r="H262" s="26" t="n">
        <f aca="false">E262*G262/(1+D262)^9</f>
        <v>6962.69555956595</v>
      </c>
      <c r="I262" s="26" t="n">
        <f aca="false">$B$13*F262/$B$19*((1+$B$8)/(1+D262))^4.5</f>
        <v>-3067.87841684965</v>
      </c>
      <c r="J262" s="26" t="n">
        <f aca="false">H262+I262+$B$14</f>
        <v>5659.99522490809</v>
      </c>
      <c r="K262" s="44" t="n">
        <f aca="false">J262/$B$15</f>
        <v>13.9408749381973</v>
      </c>
    </row>
    <row r="263" customFormat="false" ht="15" hidden="false" customHeight="false" outlineLevel="0" collapsed="false">
      <c r="A263" s="55" t="n">
        <v>223</v>
      </c>
      <c r="B263" s="21" t="n">
        <f aca="true">NORMINV(RAND(),$B$6,$C$6)</f>
        <v>0.569657213062171</v>
      </c>
      <c r="C263" s="21" t="n">
        <f aca="true">MAX(0.05,NORMINV(RAND(),$B$7,$C$7))</f>
        <v>0.27189909234977</v>
      </c>
      <c r="D263" s="33" t="n">
        <f aca="true">MAX(0.08,NORMINV(RAND(),$B$8,$C$8))</f>
        <v>0.135641563937872</v>
      </c>
      <c r="E263" s="56" t="n">
        <f aca="true">MAX(5,NORMINV(RAND(),$B$9,$C$9))</f>
        <v>12.8257348818927</v>
      </c>
      <c r="F263" s="26" t="n">
        <f aca="false">$B$18*(1+(B263+$B$17)/2)^9</f>
        <v>3960.67650018853</v>
      </c>
      <c r="G263" s="26" t="n">
        <f aca="false">F263*(C263-Assumptions!$F$18)+$B$20</f>
        <v>613.728680486096</v>
      </c>
      <c r="H263" s="26" t="n">
        <f aca="false">E263*G263/(1+D263)^9</f>
        <v>2505.45822239466</v>
      </c>
      <c r="I263" s="26" t="n">
        <f aca="false">$B$13*F263/$B$19*((1+$B$8)/(1+D263))^4.5</f>
        <v>-1954.34270303628</v>
      </c>
      <c r="J263" s="26" t="n">
        <f aca="false">H263+I263+$B$14</f>
        <v>2316.29360155015</v>
      </c>
      <c r="K263" s="44" t="n">
        <f aca="false">J263/$B$15</f>
        <v>5.70515665406442</v>
      </c>
    </row>
    <row r="264" customFormat="false" ht="15" hidden="false" customHeight="false" outlineLevel="0" collapsed="false">
      <c r="A264" s="55" t="n">
        <v>224</v>
      </c>
      <c r="B264" s="21" t="n">
        <f aca="true">NORMINV(RAND(),$B$6,$C$6)</f>
        <v>0.595847308333312</v>
      </c>
      <c r="C264" s="21" t="n">
        <f aca="true">MAX(0.05,NORMINV(RAND(),$B$7,$C$7))</f>
        <v>0.34174968940451</v>
      </c>
      <c r="D264" s="33" t="n">
        <f aca="true">MAX(0.08,NORMINV(RAND(),$B$8,$C$8))</f>
        <v>0.160529268874166</v>
      </c>
      <c r="E264" s="56" t="n">
        <f aca="true">MAX(5,NORMINV(RAND(),$B$9,$C$9))</f>
        <v>14.8600925889653</v>
      </c>
      <c r="F264" s="26" t="n">
        <f aca="false">$B$18*(1+(B264+$B$17)/2)^9</f>
        <v>4304.3432411282</v>
      </c>
      <c r="G264" s="26" t="n">
        <f aca="false">F264*(C264-Assumptions!$F$18)+$B$20</f>
        <v>994.085631102149</v>
      </c>
      <c r="H264" s="26" t="n">
        <f aca="false">E264*G264/(1+D264)^9</f>
        <v>3868.48066136456</v>
      </c>
      <c r="I264" s="26" t="n">
        <f aca="false">$B$13*F264/$B$19*((1+$B$8)/(1+D264))^4.5</f>
        <v>-1926.51130211663</v>
      </c>
      <c r="J264" s="26" t="n">
        <f aca="false">H264+I264+$B$14</f>
        <v>3707.14744143971</v>
      </c>
      <c r="K264" s="44" t="n">
        <f aca="false">J264/$B$15</f>
        <v>9.13090502817663</v>
      </c>
    </row>
    <row r="265" customFormat="false" ht="15" hidden="false" customHeight="false" outlineLevel="0" collapsed="false">
      <c r="A265" s="55" t="n">
        <v>225</v>
      </c>
      <c r="B265" s="21" t="n">
        <f aca="true">NORMINV(RAND(),$B$6,$C$6)</f>
        <v>0.54718750912176</v>
      </c>
      <c r="C265" s="21" t="n">
        <f aca="true">MAX(0.05,NORMINV(RAND(),$B$7,$C$7))</f>
        <v>0.341668946116918</v>
      </c>
      <c r="D265" s="33" t="n">
        <f aca="true">MAX(0.08,NORMINV(RAND(),$B$8,$C$8))</f>
        <v>0.124423054682301</v>
      </c>
      <c r="E265" s="56" t="n">
        <f aca="true">MAX(5,NORMINV(RAND(),$B$9,$C$9))</f>
        <v>13.5304638881413</v>
      </c>
      <c r="F265" s="26" t="n">
        <f aca="false">$B$18*(1+(B265+$B$17)/2)^9</f>
        <v>3685.5029753749</v>
      </c>
      <c r="G265" s="26" t="n">
        <f aca="false">F265*(C265-Assumptions!$F$18)+$B$20</f>
        <v>807.053193493423</v>
      </c>
      <c r="H265" s="26" t="n">
        <f aca="false">E265*G265/(1+D265)^9</f>
        <v>3800.55631718346</v>
      </c>
      <c r="I265" s="26" t="n">
        <f aca="false">$B$13*F265/$B$19*((1+$B$8)/(1+D265))^4.5</f>
        <v>-1901.64757936234</v>
      </c>
      <c r="J265" s="26" t="n">
        <f aca="false">H265+I265+$B$14</f>
        <v>3664.0868200129</v>
      </c>
      <c r="K265" s="44" t="n">
        <f aca="false">J265/$B$15</f>
        <v>9.02484438426824</v>
      </c>
    </row>
    <row r="266" customFormat="false" ht="15" hidden="false" customHeight="false" outlineLevel="0" collapsed="false">
      <c r="A266" s="55" t="n">
        <v>226</v>
      </c>
      <c r="B266" s="21" t="n">
        <f aca="true">NORMINV(RAND(),$B$6,$C$6)</f>
        <v>0.60845561782606</v>
      </c>
      <c r="C266" s="21" t="n">
        <f aca="true">MAX(0.05,NORMINV(RAND(),$B$7,$C$7))</f>
        <v>0.223442788696311</v>
      </c>
      <c r="D266" s="33" t="n">
        <f aca="true">MAX(0.08,NORMINV(RAND(),$B$8,$C$8))</f>
        <v>0.10879884426758</v>
      </c>
      <c r="E266" s="56" t="n">
        <f aca="true">MAX(5,NORMINV(RAND(),$B$9,$C$9))</f>
        <v>9.84880984204304</v>
      </c>
      <c r="F266" s="26" t="n">
        <f aca="false">$B$18*(1+(B266+$B$17)/2)^9</f>
        <v>4479.04705923234</v>
      </c>
      <c r="G266" s="26" t="n">
        <f aca="false">F266*(C266-Assumptions!$F$18)+$B$20</f>
        <v>516.900278248903</v>
      </c>
      <c r="H266" s="26" t="n">
        <f aca="false">E266*G266/(1+D266)^9</f>
        <v>2009.62783267881</v>
      </c>
      <c r="I266" s="26" t="n">
        <f aca="false">$B$13*F266/$B$19*((1+$B$8)/(1+D266))^4.5</f>
        <v>-2461.30418864411</v>
      </c>
      <c r="J266" s="26" t="n">
        <f aca="false">H266+I266+$B$14</f>
        <v>1313.50172622649</v>
      </c>
      <c r="K266" s="44" t="n">
        <f aca="false">J266/$B$15</f>
        <v>3.23522592666622</v>
      </c>
    </row>
    <row r="267" customFormat="false" ht="15" hidden="false" customHeight="false" outlineLevel="0" collapsed="false">
      <c r="A267" s="55" t="n">
        <v>227</v>
      </c>
      <c r="B267" s="21" t="n">
        <f aca="true">NORMINV(RAND(),$B$6,$C$6)</f>
        <v>0.514976093097098</v>
      </c>
      <c r="C267" s="21" t="n">
        <f aca="true">MAX(0.05,NORMINV(RAND(),$B$7,$C$7))</f>
        <v>0.283128968492765</v>
      </c>
      <c r="D267" s="33" t="n">
        <f aca="true">MAX(0.08,NORMINV(RAND(),$B$8,$C$8))</f>
        <v>0.106258771698628</v>
      </c>
      <c r="E267" s="56" t="n">
        <f aca="true">MAX(5,NORMINV(RAND(),$B$9,$C$9))</f>
        <v>16.8367050912616</v>
      </c>
      <c r="F267" s="26" t="n">
        <f aca="false">$B$18*(1+(B267+$B$17)/2)^9</f>
        <v>3320.66427245816</v>
      </c>
      <c r="G267" s="26" t="n">
        <f aca="false">F267*(C267-Assumptions!$F$18)+$B$20</f>
        <v>502.601074274839</v>
      </c>
      <c r="H267" s="26" t="n">
        <f aca="false">E267*G267/(1+D267)^9</f>
        <v>3410.12243320862</v>
      </c>
      <c r="I267" s="26" t="n">
        <f aca="false">$B$13*F267/$B$19*((1+$B$8)/(1+D267))^4.5</f>
        <v>-1843.68534119587</v>
      </c>
      <c r="J267" s="26" t="n">
        <f aca="false">H267+I267+$B$14</f>
        <v>3331.61517420453</v>
      </c>
      <c r="K267" s="44" t="n">
        <f aca="false">J267/$B$15</f>
        <v>8.20594870493727</v>
      </c>
    </row>
    <row r="268" customFormat="false" ht="15" hidden="false" customHeight="false" outlineLevel="0" collapsed="false">
      <c r="A268" s="55" t="n">
        <v>228</v>
      </c>
      <c r="B268" s="21" t="n">
        <f aca="true">NORMINV(RAND(),$B$6,$C$6)</f>
        <v>0.603784379538173</v>
      </c>
      <c r="C268" s="21" t="n">
        <f aca="true">MAX(0.05,NORMINV(RAND(),$B$7,$C$7))</f>
        <v>0.339560742865761</v>
      </c>
      <c r="D268" s="33" t="n">
        <f aca="true">MAX(0.08,NORMINV(RAND(),$B$8,$C$8))</f>
        <v>0.135453700594497</v>
      </c>
      <c r="E268" s="56" t="n">
        <f aca="true">MAX(5,NORMINV(RAND(),$B$9,$C$9))</f>
        <v>12.8581288492304</v>
      </c>
      <c r="F268" s="26" t="n">
        <f aca="false">$B$18*(1+(B268+$B$17)/2)^9</f>
        <v>4413.59981151854</v>
      </c>
      <c r="G268" s="26" t="n">
        <f aca="false">F268*(C268-Assumptions!$F$18)+$B$20</f>
        <v>1017.39263325198</v>
      </c>
      <c r="H268" s="26" t="n">
        <f aca="false">E268*G268/(1+D268)^9</f>
        <v>4170.0522004625</v>
      </c>
      <c r="I268" s="26" t="n">
        <f aca="false">$B$13*F268/$B$19*((1+$B$8)/(1+D268))^4.5</f>
        <v>-2179.4535784042</v>
      </c>
      <c r="J268" s="26" t="n">
        <f aca="false">H268+I268+$B$14</f>
        <v>3755.77670425008</v>
      </c>
      <c r="K268" s="44" t="n">
        <f aca="false">J268/$B$15</f>
        <v>9.25068153756178</v>
      </c>
    </row>
    <row r="269" customFormat="false" ht="15" hidden="false" customHeight="false" outlineLevel="0" collapsed="false">
      <c r="A269" s="55" t="n">
        <v>229</v>
      </c>
      <c r="B269" s="21" t="n">
        <f aca="true">NORMINV(RAND(),$B$6,$C$6)</f>
        <v>0.517030212110432</v>
      </c>
      <c r="C269" s="21" t="n">
        <f aca="true">MAX(0.05,NORMINV(RAND(),$B$7,$C$7))</f>
        <v>0.297827942372152</v>
      </c>
      <c r="D269" s="33" t="n">
        <f aca="true">MAX(0.08,NORMINV(RAND(),$B$8,$C$8))</f>
        <v>0.123806681711736</v>
      </c>
      <c r="E269" s="56" t="n">
        <f aca="true">MAX(5,NORMINV(RAND(),$B$9,$C$9))</f>
        <v>17.5013382784518</v>
      </c>
      <c r="F269" s="26" t="n">
        <f aca="false">$B$18*(1+(B269+$B$17)/2)^9</f>
        <v>3342.93285537226</v>
      </c>
      <c r="G269" s="26" t="n">
        <f aca="false">F269*(C269-Assumptions!$F$18)+$B$20</f>
        <v>557.152894590202</v>
      </c>
      <c r="H269" s="26" t="n">
        <f aca="false">E269*G269/(1+D269)^9</f>
        <v>3410.52440194137</v>
      </c>
      <c r="I269" s="26" t="n">
        <f aca="false">$B$13*F269/$B$19*((1+$B$8)/(1+D269))^4.5</f>
        <v>-1729.14938714055</v>
      </c>
      <c r="J269" s="26" t="n">
        <f aca="false">H269+I269+$B$14</f>
        <v>3446.55309699261</v>
      </c>
      <c r="K269" s="44" t="n">
        <f aca="false">J269/$B$15</f>
        <v>8.4890470369276</v>
      </c>
    </row>
    <row r="270" customFormat="false" ht="15" hidden="false" customHeight="false" outlineLevel="0" collapsed="false">
      <c r="A270" s="55" t="n">
        <v>230</v>
      </c>
      <c r="B270" s="21" t="n">
        <f aca="true">NORMINV(RAND(),$B$6,$C$6)</f>
        <v>0.6221614024052</v>
      </c>
      <c r="C270" s="21" t="n">
        <f aca="true">MAX(0.05,NORMINV(RAND(),$B$7,$C$7))</f>
        <v>0.317040836542835</v>
      </c>
      <c r="D270" s="33" t="n">
        <f aca="true">MAX(0.08,NORMINV(RAND(),$B$8,$C$8))</f>
        <v>0.168030266610369</v>
      </c>
      <c r="E270" s="56" t="n">
        <f aca="true">MAX(5,NORMINV(RAND(),$B$9,$C$9))</f>
        <v>11.8351570865604</v>
      </c>
      <c r="F270" s="26" t="n">
        <f aca="false">$B$18*(1+(B270+$B$17)/2)^9</f>
        <v>4676.08200467691</v>
      </c>
      <c r="G270" s="26" t="n">
        <f aca="false">F270*(C270-Assumptions!$F$18)+$B$20</f>
        <v>990.717065319895</v>
      </c>
      <c r="H270" s="26" t="n">
        <f aca="false">E270*G270/(1+D270)^9</f>
        <v>2897.58911307303</v>
      </c>
      <c r="I270" s="26" t="n">
        <f aca="false">$B$13*F270/$B$19*((1+$B$8)/(1+D270))^4.5</f>
        <v>-2033.08618919632</v>
      </c>
      <c r="J270" s="26" t="n">
        <f aca="false">H270+I270+$B$14</f>
        <v>2629.68100606849</v>
      </c>
      <c r="K270" s="44" t="n">
        <f aca="false">J270/$B$15</f>
        <v>6.47704681297658</v>
      </c>
    </row>
    <row r="271" customFormat="false" ht="15" hidden="false" customHeight="false" outlineLevel="0" collapsed="false">
      <c r="A271" s="55" t="n">
        <v>231</v>
      </c>
      <c r="B271" s="21" t="n">
        <f aca="true">NORMINV(RAND(),$B$6,$C$6)</f>
        <v>0.728849303538921</v>
      </c>
      <c r="C271" s="21" t="n">
        <f aca="true">MAX(0.05,NORMINV(RAND(),$B$7,$C$7))</f>
        <v>0.297232304434931</v>
      </c>
      <c r="D271" s="33" t="n">
        <f aca="true">MAX(0.08,NORMINV(RAND(),$B$8,$C$8))</f>
        <v>0.126353602548845</v>
      </c>
      <c r="E271" s="56" t="n">
        <f aca="true">MAX(5,NORMINV(RAND(),$B$9,$C$9))</f>
        <v>13.4647114707568</v>
      </c>
      <c r="F271" s="26" t="n">
        <f aca="false">$B$18*(1+(B271+$B$17)/2)^9</f>
        <v>6492.90941736876</v>
      </c>
      <c r="G271" s="26" t="n">
        <f aca="false">F271*(C271-Assumptions!$F$18)+$B$20</f>
        <v>1365.43744691834</v>
      </c>
      <c r="H271" s="26" t="n">
        <f aca="false">E271*G271/(1+D271)^9</f>
        <v>6300.80572000073</v>
      </c>
      <c r="I271" s="26" t="n">
        <f aca="false">$B$13*F271/$B$19*((1+$B$8)/(1+D271))^4.5</f>
        <v>-3324.45197965417</v>
      </c>
      <c r="J271" s="26" t="n">
        <f aca="false">H271+I271+$B$14</f>
        <v>4741.53182253834</v>
      </c>
      <c r="K271" s="44" t="n">
        <f aca="false">J271/$B$15</f>
        <v>11.6786498092077</v>
      </c>
    </row>
    <row r="272" customFormat="false" ht="15" hidden="false" customHeight="false" outlineLevel="0" collapsed="false">
      <c r="A272" s="55" t="n">
        <v>232</v>
      </c>
      <c r="B272" s="21" t="n">
        <f aca="true">NORMINV(RAND(),$B$6,$C$6)</f>
        <v>0.69469762514034</v>
      </c>
      <c r="C272" s="21" t="n">
        <f aca="true">MAX(0.05,NORMINV(RAND(),$B$7,$C$7))</f>
        <v>0.253344706339762</v>
      </c>
      <c r="D272" s="33" t="n">
        <f aca="true">MAX(0.08,NORMINV(RAND(),$B$8,$C$8))</f>
        <v>0.137428312770075</v>
      </c>
      <c r="E272" s="56" t="n">
        <f aca="true">MAX(5,NORMINV(RAND(),$B$9,$C$9))</f>
        <v>17.7133981771748</v>
      </c>
      <c r="F272" s="26" t="n">
        <f aca="false">$B$18*(1+(B272+$B$17)/2)^9</f>
        <v>5852.87028294593</v>
      </c>
      <c r="G272" s="26" t="n">
        <f aca="false">F272*(C272-Assumptions!$F$18)+$B$20</f>
        <v>943.930286761131</v>
      </c>
      <c r="H272" s="26" t="n">
        <f aca="false">E272*G272/(1+D272)^9</f>
        <v>5247.17436231872</v>
      </c>
      <c r="I272" s="26" t="n">
        <f aca="false">$B$13*F272/$B$19*((1+$B$8)/(1+D272))^4.5</f>
        <v>-2867.66126336192</v>
      </c>
      <c r="J272" s="26" t="n">
        <f aca="false">H272+I272+$B$14</f>
        <v>4144.69118114858</v>
      </c>
      <c r="K272" s="44" t="n">
        <f aca="false">J272/$B$15</f>
        <v>10.2085989683463</v>
      </c>
    </row>
    <row r="273" customFormat="false" ht="15" hidden="false" customHeight="false" outlineLevel="0" collapsed="false">
      <c r="A273" s="55" t="n">
        <v>233</v>
      </c>
      <c r="B273" s="21" t="n">
        <f aca="true">NORMINV(RAND(),$B$6,$C$6)</f>
        <v>0.475856744238384</v>
      </c>
      <c r="C273" s="21" t="n">
        <f aca="true">MAX(0.05,NORMINV(RAND(),$B$7,$C$7))</f>
        <v>0.343039910045441</v>
      </c>
      <c r="D273" s="33" t="n">
        <f aca="true">MAX(0.08,NORMINV(RAND(),$B$8,$C$8))</f>
        <v>0.147960779854387</v>
      </c>
      <c r="E273" s="56" t="n">
        <f aca="true">MAX(5,NORMINV(RAND(),$B$9,$C$9))</f>
        <v>14.0432972426703</v>
      </c>
      <c r="F273" s="26" t="n">
        <f aca="false">$B$18*(1+(B273+$B$17)/2)^9</f>
        <v>2920.98815762942</v>
      </c>
      <c r="G273" s="26" t="n">
        <f aca="false">F273*(C273-Assumptions!$F$18)+$B$20</f>
        <v>580.427383533131</v>
      </c>
      <c r="H273" s="26" t="n">
        <f aca="false">E273*G273/(1+D273)^9</f>
        <v>2354.36355412894</v>
      </c>
      <c r="I273" s="26" t="n">
        <f aca="false">$B$13*F273/$B$19*((1+$B$8)/(1+D273))^4.5</f>
        <v>-1373.01466054595</v>
      </c>
      <c r="J273" s="26" t="n">
        <f aca="false">H273+I273+$B$14</f>
        <v>2746.52697577478</v>
      </c>
      <c r="K273" s="44" t="n">
        <f aca="false">J273/$B$15</f>
        <v>6.76484476791817</v>
      </c>
    </row>
    <row r="274" customFormat="false" ht="15" hidden="false" customHeight="false" outlineLevel="0" collapsed="false">
      <c r="A274" s="55" t="n">
        <v>234</v>
      </c>
      <c r="B274" s="21" t="n">
        <f aca="true">NORMINV(RAND(),$B$6,$C$6)</f>
        <v>0.474410440916396</v>
      </c>
      <c r="C274" s="21" t="n">
        <f aca="true">MAX(0.05,NORMINV(RAND(),$B$7,$C$7))</f>
        <v>0.236776108408059</v>
      </c>
      <c r="D274" s="33" t="n">
        <f aca="true">MAX(0.08,NORMINV(RAND(),$B$8,$C$8))</f>
        <v>0.138138816945354</v>
      </c>
      <c r="E274" s="56" t="n">
        <f aca="true">MAX(5,NORMINV(RAND(),$B$9,$C$9))</f>
        <v>12.122039894526</v>
      </c>
      <c r="F274" s="26" t="n">
        <f aca="false">$B$18*(1+(B274+$B$17)/2)^9</f>
        <v>2907.06918755697</v>
      </c>
      <c r="G274" s="26" t="n">
        <f aca="false">F274*(C274-Assumptions!$F$18)+$B$20</f>
        <v>267.293156601749</v>
      </c>
      <c r="H274" s="26" t="n">
        <f aca="false">E274*G274/(1+D274)^9</f>
        <v>1011.12868096788</v>
      </c>
      <c r="I274" s="26" t="n">
        <f aca="false">$B$13*F274/$B$19*((1+$B$8)/(1+D274))^4.5</f>
        <v>-1420.34522105137</v>
      </c>
      <c r="J274" s="26" t="n">
        <f aca="false">H274+I274+$B$14</f>
        <v>1355.96154210829</v>
      </c>
      <c r="K274" s="44" t="n">
        <f aca="false">J274/$B$15</f>
        <v>3.33980675396131</v>
      </c>
    </row>
    <row r="275" customFormat="false" ht="15" hidden="false" customHeight="false" outlineLevel="0" collapsed="false">
      <c r="A275" s="55" t="n">
        <v>235</v>
      </c>
      <c r="B275" s="21" t="n">
        <f aca="true">NORMINV(RAND(),$B$6,$C$6)</f>
        <v>0.427216532199862</v>
      </c>
      <c r="C275" s="21" t="n">
        <f aca="true">MAX(0.05,NORMINV(RAND(),$B$7,$C$7))</f>
        <v>0.354709976917992</v>
      </c>
      <c r="D275" s="33" t="n">
        <f aca="true">MAX(0.08,NORMINV(RAND(),$B$8,$C$8))</f>
        <v>0.159482012963619</v>
      </c>
      <c r="E275" s="56" t="n">
        <f aca="true">MAX(5,NORMINV(RAND(),$B$9,$C$9))</f>
        <v>14.7187616491752</v>
      </c>
      <c r="F275" s="26" t="n">
        <f aca="false">$B$18*(1+(B275+$B$17)/2)^9</f>
        <v>2484.0139339667</v>
      </c>
      <c r="G275" s="26" t="n">
        <f aca="false">F275*(C275-Assumptions!$F$18)+$B$20</f>
        <v>476.995362823941</v>
      </c>
      <c r="H275" s="26" t="n">
        <f aca="false">E275*G275/(1+D275)^9</f>
        <v>1853.57126067538</v>
      </c>
      <c r="I275" s="26" t="n">
        <f aca="false">$B$13*F275/$B$19*((1+$B$8)/(1+D275))^4.5</f>
        <v>-1116.30549491573</v>
      </c>
      <c r="J275" s="26" t="n">
        <f aca="false">H275+I275+$B$14</f>
        <v>2502.44384795143</v>
      </c>
      <c r="K275" s="44" t="n">
        <f aca="false">J275/$B$15</f>
        <v>6.16365479790993</v>
      </c>
    </row>
    <row r="276" customFormat="false" ht="15" hidden="false" customHeight="false" outlineLevel="0" collapsed="false">
      <c r="A276" s="55" t="n">
        <v>236</v>
      </c>
      <c r="B276" s="21" t="n">
        <f aca="true">NORMINV(RAND(),$B$6,$C$6)</f>
        <v>0.681344303698482</v>
      </c>
      <c r="C276" s="21" t="n">
        <f aca="true">MAX(0.05,NORMINV(RAND(),$B$7,$C$7))</f>
        <v>0.287106686819334</v>
      </c>
      <c r="D276" s="33" t="n">
        <f aca="true">MAX(0.08,NORMINV(RAND(),$B$8,$C$8))</f>
        <v>0.132394403345825</v>
      </c>
      <c r="E276" s="56" t="n">
        <f aca="true">MAX(5,NORMINV(RAND(),$B$9,$C$9))</f>
        <v>14.8995941268553</v>
      </c>
      <c r="F276" s="26" t="n">
        <f aca="false">$B$18*(1+(B276+$B$17)/2)^9</f>
        <v>5618.28842978208</v>
      </c>
      <c r="G276" s="26" t="n">
        <f aca="false">F276*(C276-Assumptions!$F$18)+$B$20</f>
        <v>1083.56803448016</v>
      </c>
      <c r="H276" s="26" t="n">
        <f aca="false">E276*G276/(1+D276)^9</f>
        <v>5272.92014684153</v>
      </c>
      <c r="I276" s="26" t="n">
        <f aca="false">$B$13*F276/$B$19*((1+$B$8)/(1+D276))^4.5</f>
        <v>-2808.22190655716</v>
      </c>
      <c r="J276" s="26" t="n">
        <f aca="false">H276+I276+$B$14</f>
        <v>4229.87632247615</v>
      </c>
      <c r="K276" s="44" t="n">
        <f aca="false">J276/$B$15</f>
        <v>10.4184145873797</v>
      </c>
    </row>
    <row r="277" customFormat="false" ht="15" hidden="false" customHeight="false" outlineLevel="0" collapsed="false">
      <c r="A277" s="55" t="n">
        <v>237</v>
      </c>
      <c r="B277" s="21" t="n">
        <f aca="true">NORMINV(RAND(),$B$6,$C$6)</f>
        <v>0.61197123619299</v>
      </c>
      <c r="C277" s="21" t="n">
        <f aca="true">MAX(0.05,NORMINV(RAND(),$B$7,$C$7))</f>
        <v>0.295808862489534</v>
      </c>
      <c r="D277" s="33" t="n">
        <f aca="true">MAX(0.08,NORMINV(RAND(),$B$8,$C$8))</f>
        <v>0.156548014197591</v>
      </c>
      <c r="E277" s="56" t="n">
        <f aca="true">MAX(5,NORMINV(RAND(),$B$9,$C$9))</f>
        <v>18.6845397354649</v>
      </c>
      <c r="F277" s="26" t="n">
        <f aca="false">$B$18*(1+(B277+$B$17)/2)^9</f>
        <v>4528.87074339185</v>
      </c>
      <c r="G277" s="26" t="n">
        <f aca="false">F277*(C277-Assumptions!$F$18)+$B$20</f>
        <v>853.77666823051</v>
      </c>
      <c r="H277" s="26" t="n">
        <f aca="false">E277*G277/(1+D277)^9</f>
        <v>4308.77366007338</v>
      </c>
      <c r="I277" s="26" t="n">
        <f aca="false">$B$13*F277/$B$19*((1+$B$8)/(1+D277))^4.5</f>
        <v>-2058.59317800946</v>
      </c>
      <c r="J277" s="26" t="n">
        <f aca="false">H277+I277+$B$14</f>
        <v>4015.3585642557</v>
      </c>
      <c r="K277" s="44" t="n">
        <f aca="false">J277/$B$15</f>
        <v>9.89004572476774</v>
      </c>
    </row>
    <row r="278" customFormat="false" ht="15" hidden="false" customHeight="false" outlineLevel="0" collapsed="false">
      <c r="A278" s="55" t="n">
        <v>238</v>
      </c>
      <c r="B278" s="21" t="n">
        <f aca="true">NORMINV(RAND(),$B$6,$C$6)</f>
        <v>0.543814971276671</v>
      </c>
      <c r="C278" s="21" t="n">
        <f aca="true">MAX(0.05,NORMINV(RAND(),$B$7,$C$7))</f>
        <v>0.245980035536309</v>
      </c>
      <c r="D278" s="33" t="n">
        <f aca="true">MAX(0.08,NORMINV(RAND(),$B$8,$C$8))</f>
        <v>0.129953569744802</v>
      </c>
      <c r="E278" s="56" t="n">
        <f aca="true">MAX(5,NORMINV(RAND(),$B$9,$C$9))</f>
        <v>15.959502379572</v>
      </c>
      <c r="F278" s="26" t="n">
        <f aca="false">$B$18*(1+(B278+$B$17)/2)^9</f>
        <v>3645.70317677625</v>
      </c>
      <c r="G278" s="26" t="n">
        <f aca="false">F278*(C278-Assumptions!$F$18)+$B$20</f>
        <v>446.193464908517</v>
      </c>
      <c r="H278" s="26" t="n">
        <f aca="false">E278*G278/(1+D278)^9</f>
        <v>2371.35822257525</v>
      </c>
      <c r="I278" s="26" t="n">
        <f aca="false">$B$13*F278/$B$19*((1+$B$8)/(1+D278))^4.5</f>
        <v>-1840.03345548315</v>
      </c>
      <c r="J278" s="26" t="n">
        <f aca="false">H278+I278+$B$14</f>
        <v>2296.50284928388</v>
      </c>
      <c r="K278" s="44" t="n">
        <f aca="false">J278/$B$15</f>
        <v>5.65641095882728</v>
      </c>
    </row>
    <row r="279" customFormat="false" ht="15" hidden="false" customHeight="false" outlineLevel="0" collapsed="false">
      <c r="A279" s="55" t="n">
        <v>239</v>
      </c>
      <c r="B279" s="21" t="n">
        <f aca="true">NORMINV(RAND(),$B$6,$C$6)</f>
        <v>0.565789998403568</v>
      </c>
      <c r="C279" s="21" t="n">
        <f aca="true">MAX(0.05,NORMINV(RAND(),$B$7,$C$7))</f>
        <v>0.365104779276527</v>
      </c>
      <c r="D279" s="33" t="n">
        <f aca="true">MAX(0.08,NORMINV(RAND(),$B$8,$C$8))</f>
        <v>0.129400866030521</v>
      </c>
      <c r="E279" s="56" t="n">
        <f aca="true">MAX(5,NORMINV(RAND(),$B$9,$C$9))</f>
        <v>12.0474100432909</v>
      </c>
      <c r="F279" s="26" t="n">
        <f aca="false">$B$18*(1+(B279+$B$17)/2)^9</f>
        <v>3912.05455109182</v>
      </c>
      <c r="G279" s="26" t="n">
        <f aca="false">F279*(C279-Assumptions!$F$18)+$B$20</f>
        <v>967.079026351748</v>
      </c>
      <c r="H279" s="26" t="n">
        <f aca="false">E279*G279/(1+D279)^9</f>
        <v>3896.93003818564</v>
      </c>
      <c r="I279" s="26" t="n">
        <f aca="false">$B$13*F279/$B$19*((1+$B$8)/(1+D279))^4.5</f>
        <v>-1978.81632354602</v>
      </c>
      <c r="J279" s="26" t="n">
        <f aca="false">H279+I279+$B$14</f>
        <v>3683.2917968314</v>
      </c>
      <c r="K279" s="44" t="n">
        <f aca="false">J279/$B$15</f>
        <v>9.07214728283596</v>
      </c>
    </row>
    <row r="280" customFormat="false" ht="15" hidden="false" customHeight="false" outlineLevel="0" collapsed="false">
      <c r="A280" s="55" t="n">
        <v>240</v>
      </c>
      <c r="B280" s="21" t="n">
        <f aca="true">NORMINV(RAND(),$B$6,$C$6)</f>
        <v>0.66191220349934</v>
      </c>
      <c r="C280" s="21" t="n">
        <f aca="true">MAX(0.05,NORMINV(RAND(),$B$7,$C$7))</f>
        <v>0.331529775230196</v>
      </c>
      <c r="D280" s="33" t="n">
        <f aca="true">MAX(0.08,NORMINV(RAND(),$B$8,$C$8))</f>
        <v>0.163614839387743</v>
      </c>
      <c r="E280" s="56" t="n">
        <f aca="true">MAX(5,NORMINV(RAND(),$B$9,$C$9))</f>
        <v>15.1891902069104</v>
      </c>
      <c r="F280" s="26" t="n">
        <f aca="false">$B$18*(1+(B280+$B$17)/2)^9</f>
        <v>5291.84399657545</v>
      </c>
      <c r="G280" s="26" t="n">
        <f aca="false">F280*(C280-Assumptions!$F$18)+$B$20</f>
        <v>1237.98148587622</v>
      </c>
      <c r="H280" s="26" t="n">
        <f aca="false">E280*G280/(1+D280)^9</f>
        <v>4808.01164167122</v>
      </c>
      <c r="I280" s="26" t="n">
        <f aca="false">$B$13*F280/$B$19*((1+$B$8)/(1+D280))^4.5</f>
        <v>-2340.35914864416</v>
      </c>
      <c r="J280" s="26" t="n">
        <f aca="false">H280+I280+$B$14</f>
        <v>4232.83057521883</v>
      </c>
      <c r="K280" s="44" t="n">
        <f aca="false">J280/$B$15</f>
        <v>10.4256910719676</v>
      </c>
    </row>
    <row r="281" customFormat="false" ht="15" hidden="false" customHeight="false" outlineLevel="0" collapsed="false">
      <c r="A281" s="55" t="n">
        <v>241</v>
      </c>
      <c r="B281" s="21" t="n">
        <f aca="true">NORMINV(RAND(),$B$6,$C$6)</f>
        <v>0.474098318346826</v>
      </c>
      <c r="C281" s="21" t="n">
        <f aca="true">MAX(0.05,NORMINV(RAND(),$B$7,$C$7))</f>
        <v>0.263670199224737</v>
      </c>
      <c r="D281" s="33" t="n">
        <f aca="true">MAX(0.08,NORMINV(RAND(),$B$8,$C$8))</f>
        <v>0.13634176702308</v>
      </c>
      <c r="E281" s="56" t="n">
        <f aca="true">MAX(5,NORMINV(RAND(),$B$9,$C$9))</f>
        <v>15.3297895068375</v>
      </c>
      <c r="F281" s="26" t="n">
        <f aca="false">$B$18*(1+(B281+$B$17)/2)^9</f>
        <v>2904.07312068488</v>
      </c>
      <c r="G281" s="26" t="n">
        <f aca="false">F281*(C281-Assumptions!$F$18)+$B$20</f>
        <v>344.8060084681</v>
      </c>
      <c r="H281" s="26" t="n">
        <f aca="false">E281*G281/(1+D281)^9</f>
        <v>1673.1323208734</v>
      </c>
      <c r="I281" s="26" t="n">
        <f aca="false">$B$13*F281/$B$19*((1+$B$8)/(1+D281))^4.5</f>
        <v>-1429.00677966047</v>
      </c>
      <c r="J281" s="26" t="n">
        <f aca="false">H281+I281+$B$14</f>
        <v>2009.30362340471</v>
      </c>
      <c r="K281" s="44" t="n">
        <f aca="false">J281/$B$15</f>
        <v>4.94902370296726</v>
      </c>
    </row>
    <row r="282" customFormat="false" ht="15" hidden="false" customHeight="false" outlineLevel="0" collapsed="false">
      <c r="A282" s="55" t="n">
        <v>242</v>
      </c>
      <c r="B282" s="21" t="n">
        <f aca="true">NORMINV(RAND(),$B$6,$C$6)</f>
        <v>0.41134221902937</v>
      </c>
      <c r="C282" s="21" t="n">
        <f aca="true">MAX(0.05,NORMINV(RAND(),$B$7,$C$7))</f>
        <v>0.371718160532176</v>
      </c>
      <c r="D282" s="33" t="n">
        <f aca="true">MAX(0.08,NORMINV(RAND(),$B$8,$C$8))</f>
        <v>0.118915470726998</v>
      </c>
      <c r="E282" s="56" t="n">
        <f aca="true">MAX(5,NORMINV(RAND(),$B$9,$C$9))</f>
        <v>18.9398862689784</v>
      </c>
      <c r="F282" s="26" t="n">
        <f aca="false">$B$18*(1+(B282+$B$17)/2)^9</f>
        <v>2354.55617552998</v>
      </c>
      <c r="G282" s="26" t="n">
        <f aca="false">F282*(C282-Assumptions!$F$18)+$B$20</f>
        <v>476.300438417792</v>
      </c>
      <c r="H282" s="26" t="n">
        <f aca="false">E282*G282/(1+D282)^9</f>
        <v>3281.57881965107</v>
      </c>
      <c r="I282" s="26" t="n">
        <f aca="false">$B$13*F282/$B$19*((1+$B$8)/(1+D282))^4.5</f>
        <v>-1242.04808162055</v>
      </c>
      <c r="J282" s="26" t="n">
        <f aca="false">H282+I282+$B$14</f>
        <v>3804.7088202223</v>
      </c>
      <c r="K282" s="44" t="n">
        <f aca="false">J282/$B$15</f>
        <v>9.37120399069531</v>
      </c>
    </row>
    <row r="283" customFormat="false" ht="15" hidden="false" customHeight="false" outlineLevel="0" collapsed="false">
      <c r="A283" s="55" t="n">
        <v>243</v>
      </c>
      <c r="B283" s="21" t="n">
        <f aca="true">NORMINV(RAND(),$B$6,$C$6)</f>
        <v>0.657343612149642</v>
      </c>
      <c r="C283" s="21" t="n">
        <f aca="true">MAX(0.05,NORMINV(RAND(),$B$7,$C$7))</f>
        <v>0.331848843656411</v>
      </c>
      <c r="D283" s="33" t="n">
        <f aca="true">MAX(0.08,NORMINV(RAND(),$B$8,$C$8))</f>
        <v>0.14083548003604</v>
      </c>
      <c r="E283" s="56" t="n">
        <f aca="true">MAX(5,NORMINV(RAND(),$B$9,$C$9))</f>
        <v>17.7840453025548</v>
      </c>
      <c r="F283" s="26" t="n">
        <f aca="false">$B$18*(1+(B283+$B$17)/2)^9</f>
        <v>5217.58834829674</v>
      </c>
      <c r="G283" s="26" t="n">
        <f aca="false">F283*(C283-Assumptions!$F$18)+$B$20</f>
        <v>1217.99852112688</v>
      </c>
      <c r="H283" s="26" t="n">
        <f aca="false">E283*G283/(1+D283)^9</f>
        <v>6617.1372594601</v>
      </c>
      <c r="I283" s="26" t="n">
        <f aca="false">$B$13*F283/$B$19*((1+$B$8)/(1+D283))^4.5</f>
        <v>-2522.222123892</v>
      </c>
      <c r="J283" s="26" t="n">
        <f aca="false">H283+I283+$B$14</f>
        <v>5860.09321775988</v>
      </c>
      <c r="K283" s="44" t="n">
        <f aca="false">J283/$B$15</f>
        <v>14.4337271373396</v>
      </c>
    </row>
    <row r="284" customFormat="false" ht="15" hidden="false" customHeight="false" outlineLevel="0" collapsed="false">
      <c r="A284" s="55" t="n">
        <v>244</v>
      </c>
      <c r="B284" s="21" t="n">
        <f aca="true">NORMINV(RAND(),$B$6,$C$6)</f>
        <v>0.457232277262658</v>
      </c>
      <c r="C284" s="21" t="n">
        <f aca="true">MAX(0.05,NORMINV(RAND(),$B$7,$C$7))</f>
        <v>0.382393234606191</v>
      </c>
      <c r="D284" s="33" t="n">
        <f aca="true">MAX(0.08,NORMINV(RAND(),$B$8,$C$8))</f>
        <v>0.148424413820734</v>
      </c>
      <c r="E284" s="56" t="n">
        <f aca="true">MAX(5,NORMINV(RAND(),$B$9,$C$9))</f>
        <v>10.0715239862401</v>
      </c>
      <c r="F284" s="26" t="n">
        <f aca="false">$B$18*(1+(B284+$B$17)/2)^9</f>
        <v>2746.20034855008</v>
      </c>
      <c r="G284" s="26" t="n">
        <f aca="false">F284*(C284-Assumptions!$F$18)+$B$20</f>
        <v>635.531815218021</v>
      </c>
      <c r="H284" s="26" t="n">
        <f aca="false">E284*G284/(1+D284)^9</f>
        <v>1842.08955679672</v>
      </c>
      <c r="I284" s="26" t="n">
        <f aca="false">$B$13*F284/$B$19*((1+$B$8)/(1+D284))^4.5</f>
        <v>-1288.51194870633</v>
      </c>
      <c r="J284" s="26" t="n">
        <f aca="false">H284+I284+$B$14</f>
        <v>2318.75569028217</v>
      </c>
      <c r="K284" s="44" t="n">
        <f aca="false">J284/$B$15</f>
        <v>5.71122091202506</v>
      </c>
    </row>
    <row r="285" customFormat="false" ht="15" hidden="false" customHeight="false" outlineLevel="0" collapsed="false">
      <c r="A285" s="55" t="n">
        <v>245</v>
      </c>
      <c r="B285" s="21" t="n">
        <f aca="true">NORMINV(RAND(),$B$6,$C$6)</f>
        <v>0.476145201826215</v>
      </c>
      <c r="C285" s="21" t="n">
        <f aca="true">MAX(0.05,NORMINV(RAND(),$B$7,$C$7))</f>
        <v>0.261322475682118</v>
      </c>
      <c r="D285" s="33" t="n">
        <f aca="true">MAX(0.08,NORMINV(RAND(),$B$8,$C$8))</f>
        <v>0.148742887011927</v>
      </c>
      <c r="E285" s="56" t="n">
        <f aca="true">MAX(5,NORMINV(RAND(),$B$9,$C$9))</f>
        <v>14.3466556516163</v>
      </c>
      <c r="F285" s="26" t="n">
        <f aca="false">$B$18*(1+(B285+$B$17)/2)^9</f>
        <v>2923.77129783062</v>
      </c>
      <c r="G285" s="26" t="n">
        <f aca="false">F285*(C285-Assumptions!$F$18)+$B$20</f>
        <v>342.347696965503</v>
      </c>
      <c r="H285" s="26" t="n">
        <f aca="false">E285*G285/(1+D285)^9</f>
        <v>1409.97875126884</v>
      </c>
      <c r="I285" s="26" t="n">
        <f aca="false">$B$13*F285/$B$19*((1+$B$8)/(1+D285))^4.5</f>
        <v>-1370.11728645287</v>
      </c>
      <c r="J285" s="26" t="n">
        <f aca="false">H285+I285+$B$14</f>
        <v>1805.03954700775</v>
      </c>
      <c r="K285" s="44" t="n">
        <f aca="false">J285/$B$15</f>
        <v>4.4459102143048</v>
      </c>
    </row>
    <row r="286" customFormat="false" ht="15" hidden="false" customHeight="false" outlineLevel="0" collapsed="false">
      <c r="A286" s="55" t="n">
        <v>246</v>
      </c>
      <c r="B286" s="21" t="n">
        <f aca="true">NORMINV(RAND(),$B$6,$C$6)</f>
        <v>0.462495727811437</v>
      </c>
      <c r="C286" s="21" t="n">
        <f aca="true">MAX(0.05,NORMINV(RAND(),$B$7,$C$7))</f>
        <v>0.229196053624681</v>
      </c>
      <c r="D286" s="33" t="n">
        <f aca="true">MAX(0.08,NORMINV(RAND(),$B$8,$C$8))</f>
        <v>0.131294623039484</v>
      </c>
      <c r="E286" s="56" t="n">
        <f aca="true">MAX(5,NORMINV(RAND(),$B$9,$C$9))</f>
        <v>12.5609072082473</v>
      </c>
      <c r="F286" s="26" t="n">
        <f aca="false">$B$18*(1+(B286+$B$17)/2)^9</f>
        <v>2794.62866712272</v>
      </c>
      <c r="G286" s="26" t="n">
        <f aca="false">F286*(C286-Assumptions!$F$18)+$B$20</f>
        <v>223.984110167333</v>
      </c>
      <c r="H286" s="26" t="n">
        <f aca="false">E286*G286/(1+D286)^9</f>
        <v>926.950857412251</v>
      </c>
      <c r="I286" s="26" t="n">
        <f aca="false">$B$13*F286/$B$19*((1+$B$8)/(1+D286))^4.5</f>
        <v>-1402.97671260926</v>
      </c>
      <c r="J286" s="26" t="n">
        <f aca="false">H286+I286+$B$14</f>
        <v>1289.15222699478</v>
      </c>
      <c r="K286" s="44" t="n">
        <f aca="false">J286/$B$15</f>
        <v>3.17525179062753</v>
      </c>
    </row>
    <row r="287" customFormat="false" ht="15" hidden="false" customHeight="false" outlineLevel="0" collapsed="false">
      <c r="A287" s="55" t="n">
        <v>247</v>
      </c>
      <c r="B287" s="21" t="n">
        <f aca="true">NORMINV(RAND(),$B$6,$C$6)</f>
        <v>0.76103448365201</v>
      </c>
      <c r="C287" s="21" t="n">
        <f aca="true">MAX(0.05,NORMINV(RAND(),$B$7,$C$7))</f>
        <v>0.260580950544588</v>
      </c>
      <c r="D287" s="33" t="n">
        <f aca="true">MAX(0.08,NORMINV(RAND(),$B$8,$C$8))</f>
        <v>0.140080407670847</v>
      </c>
      <c r="E287" s="56" t="n">
        <f aca="true">MAX(5,NORMINV(RAND(),$B$9,$C$9))</f>
        <v>9.9730702529171</v>
      </c>
      <c r="F287" s="26" t="n">
        <f aca="false">$B$18*(1+(B287+$B$17)/2)^9</f>
        <v>7152.27340419412</v>
      </c>
      <c r="G287" s="26" t="n">
        <f aca="false">F287*(C287-Assumptions!$F$18)+$B$20</f>
        <v>1272.90666105323</v>
      </c>
      <c r="H287" s="26" t="n">
        <f aca="false">E287*G287/(1+D287)^9</f>
        <v>3901.27079093026</v>
      </c>
      <c r="I287" s="26" t="n">
        <f aca="false">$B$13*F287/$B$19*((1+$B$8)/(1+D287))^4.5</f>
        <v>-3467.78004298866</v>
      </c>
      <c r="J287" s="26" t="n">
        <f aca="false">H287+I287+$B$14</f>
        <v>2198.66883013338</v>
      </c>
      <c r="K287" s="44" t="n">
        <f aca="false">J287/$B$15</f>
        <v>5.41544046830882</v>
      </c>
    </row>
    <row r="288" customFormat="false" ht="15" hidden="false" customHeight="false" outlineLevel="0" collapsed="false">
      <c r="A288" s="55" t="n">
        <v>248</v>
      </c>
      <c r="B288" s="21" t="n">
        <f aca="true">NORMINV(RAND(),$B$6,$C$6)</f>
        <v>0.430059436158666</v>
      </c>
      <c r="C288" s="21" t="n">
        <f aca="true">MAX(0.05,NORMINV(RAND(),$B$7,$C$7))</f>
        <v>0.251828907705991</v>
      </c>
      <c r="D288" s="33" t="n">
        <f aca="true">MAX(0.08,NORMINV(RAND(),$B$8,$C$8))</f>
        <v>0.131226325730809</v>
      </c>
      <c r="E288" s="56" t="n">
        <f aca="true">MAX(5,NORMINV(RAND(),$B$9,$C$9))</f>
        <v>13.2422357771886</v>
      </c>
      <c r="F288" s="26" t="n">
        <f aca="false">$B$18*(1+(B288+$B$17)/2)^9</f>
        <v>2507.85471985546</v>
      </c>
      <c r="G288" s="26" t="n">
        <f aca="false">F288*(C288-Assumptions!$F$18)+$B$20</f>
        <v>226.487520993608</v>
      </c>
      <c r="H288" s="26" t="n">
        <f aca="false">E288*G288/(1+D288)^9</f>
        <v>988.689822978079</v>
      </c>
      <c r="I288" s="26" t="n">
        <f aca="false">$B$13*F288/$B$19*((1+$B$8)/(1+D288))^4.5</f>
        <v>-1259.35077827151</v>
      </c>
      <c r="J288" s="26" t="n">
        <f aca="false">H288+I288+$B$14</f>
        <v>1494.51712689835</v>
      </c>
      <c r="K288" s="44" t="n">
        <f aca="false">J288/$B$15</f>
        <v>3.68107666723731</v>
      </c>
    </row>
    <row r="289" customFormat="false" ht="15" hidden="false" customHeight="false" outlineLevel="0" collapsed="false">
      <c r="A289" s="55" t="n">
        <v>249</v>
      </c>
      <c r="B289" s="21" t="n">
        <f aca="true">NORMINV(RAND(),$B$6,$C$6)</f>
        <v>0.546643207894171</v>
      </c>
      <c r="C289" s="21" t="n">
        <f aca="true">MAX(0.05,NORMINV(RAND(),$B$7,$C$7))</f>
        <v>0.319295578511963</v>
      </c>
      <c r="D289" s="33" t="n">
        <f aca="true">MAX(0.08,NORMINV(RAND(),$B$8,$C$8))</f>
        <v>0.120926574659811</v>
      </c>
      <c r="E289" s="56" t="n">
        <f aca="true">MAX(5,NORMINV(RAND(),$B$9,$C$9))</f>
        <v>12.1172284554193</v>
      </c>
      <c r="F289" s="26" t="n">
        <f aca="false">$B$18*(1+(B289+$B$17)/2)^9</f>
        <v>3679.05358008919</v>
      </c>
      <c r="G289" s="26" t="n">
        <f aca="false">F289*(C289-Assumptions!$F$18)+$B$20</f>
        <v>722.794793028829</v>
      </c>
      <c r="H289" s="26" t="n">
        <f aca="false">E289*G289/(1+D289)^9</f>
        <v>3134.90094228958</v>
      </c>
      <c r="I289" s="26" t="n">
        <f aca="false">$B$13*F289/$B$19*((1+$B$8)/(1+D289))^4.5</f>
        <v>-1925.11188107744</v>
      </c>
      <c r="J289" s="26" t="n">
        <f aca="false">H289+I289+$B$14</f>
        <v>2974.96714340392</v>
      </c>
      <c r="K289" s="44" t="n">
        <f aca="false">J289/$B$15</f>
        <v>7.32750527932001</v>
      </c>
    </row>
    <row r="290" customFormat="false" ht="15" hidden="false" customHeight="false" outlineLevel="0" collapsed="false">
      <c r="A290" s="55" t="n">
        <v>250</v>
      </c>
      <c r="B290" s="21" t="n">
        <f aca="true">NORMINV(RAND(),$B$6,$C$6)</f>
        <v>0.633998037783651</v>
      </c>
      <c r="C290" s="21" t="n">
        <f aca="true">MAX(0.05,NORMINV(RAND(),$B$7,$C$7))</f>
        <v>0.366134814808755</v>
      </c>
      <c r="D290" s="33" t="n">
        <f aca="true">MAX(0.08,NORMINV(RAND(),$B$8,$C$8))</f>
        <v>0.127726584435628</v>
      </c>
      <c r="E290" s="56" t="n">
        <f aca="true">MAX(5,NORMINV(RAND(),$B$9,$C$9))</f>
        <v>17.0950407015275</v>
      </c>
      <c r="F290" s="26" t="n">
        <f aca="false">$B$18*(1+(B290+$B$17)/2)^9</f>
        <v>4852.40664941733</v>
      </c>
      <c r="G290" s="26" t="n">
        <f aca="false">F290*(C290-Assumptions!$F$18)+$B$20</f>
        <v>1277.7901389858</v>
      </c>
      <c r="H290" s="26" t="n">
        <f aca="false">E290*G290/(1+D290)^9</f>
        <v>7404.49264274757</v>
      </c>
      <c r="I290" s="26" t="n">
        <f aca="false">$B$13*F290/$B$19*((1+$B$8)/(1+D290))^4.5</f>
        <v>-2470.91105524075</v>
      </c>
      <c r="J290" s="26" t="n">
        <f aca="false">H290+I290+$B$14</f>
        <v>6698.75966969861</v>
      </c>
      <c r="K290" s="44" t="n">
        <f aca="false">J290/$B$15</f>
        <v>16.4994080534448</v>
      </c>
    </row>
    <row r="291" customFormat="false" ht="15" hidden="false" customHeight="false" outlineLevel="0" collapsed="false">
      <c r="A291" s="55" t="n">
        <v>251</v>
      </c>
      <c r="B291" s="21" t="n">
        <f aca="true">NORMINV(RAND(),$B$6,$C$6)</f>
        <v>0.27425159015479</v>
      </c>
      <c r="C291" s="21" t="n">
        <f aca="true">MAX(0.05,NORMINV(RAND(),$B$7,$C$7))</f>
        <v>0.294561027189818</v>
      </c>
      <c r="D291" s="33" t="n">
        <f aca="true">MAX(0.08,NORMINV(RAND(),$B$8,$C$8))</f>
        <v>0.144034611388198</v>
      </c>
      <c r="E291" s="56" t="n">
        <f aca="true">MAX(5,NORMINV(RAND(),$B$9,$C$9))</f>
        <v>18.9068212681933</v>
      </c>
      <c r="F291" s="26" t="n">
        <f aca="false">$B$18*(1+(B291+$B$17)/2)^9</f>
        <v>1462.83819311947</v>
      </c>
      <c r="G291" s="26" t="n">
        <f aca="false">F291*(C291-Assumptions!$F$18)+$B$20</f>
        <v>67.6329880542989</v>
      </c>
      <c r="H291" s="26" t="n">
        <f aca="false">E291*G291/(1+D291)^9</f>
        <v>380.911970057878</v>
      </c>
      <c r="I291" s="26" t="n">
        <f aca="false">$B$13*F291/$B$19*((1+$B$8)/(1+D291))^4.5</f>
        <v>-698.292150411059</v>
      </c>
      <c r="J291" s="26" t="n">
        <f aca="false">H291+I291+$B$14</f>
        <v>1447.7979018386</v>
      </c>
      <c r="K291" s="44" t="n">
        <f aca="false">J291/$B$15</f>
        <v>3.56600468433153</v>
      </c>
    </row>
    <row r="292" customFormat="false" ht="15" hidden="false" customHeight="false" outlineLevel="0" collapsed="false">
      <c r="A292" s="55" t="n">
        <v>252</v>
      </c>
      <c r="B292" s="21" t="n">
        <f aca="true">NORMINV(RAND(),$B$6,$C$6)</f>
        <v>0.547525114243976</v>
      </c>
      <c r="C292" s="21" t="n">
        <f aca="true">MAX(0.05,NORMINV(RAND(),$B$7,$C$7))</f>
        <v>0.286569418673367</v>
      </c>
      <c r="D292" s="33" t="n">
        <f aca="true">MAX(0.08,NORMINV(RAND(),$B$8,$C$8))</f>
        <v>0.132621102348487</v>
      </c>
      <c r="E292" s="56" t="n">
        <f aca="true">MAX(5,NORMINV(RAND(),$B$9,$C$9))</f>
        <v>16.4543229494229</v>
      </c>
      <c r="F292" s="26" t="n">
        <f aca="false">$B$18*(1+(B292+$B$17)/2)^9</f>
        <v>3689.50828780867</v>
      </c>
      <c r="G292" s="26" t="n">
        <f aca="false">F292*(C292-Assumptions!$F$18)+$B$20</f>
        <v>604.971308716863</v>
      </c>
      <c r="H292" s="26" t="n">
        <f aca="false">E292*G292/(1+D292)^9</f>
        <v>3245.28584332871</v>
      </c>
      <c r="I292" s="26" t="n">
        <f aca="false">$B$13*F292/$B$19*((1+$B$8)/(1+D292))^4.5</f>
        <v>-1842.4880350515</v>
      </c>
      <c r="J292" s="26" t="n">
        <f aca="false">H292+I292+$B$14</f>
        <v>3167.97589046899</v>
      </c>
      <c r="K292" s="44" t="n">
        <f aca="false">J292/$B$15</f>
        <v>7.80289628194333</v>
      </c>
    </row>
    <row r="293" customFormat="false" ht="15" hidden="false" customHeight="false" outlineLevel="0" collapsed="false">
      <c r="A293" s="55" t="n">
        <v>253</v>
      </c>
      <c r="B293" s="21" t="n">
        <f aca="true">NORMINV(RAND(),$B$6,$C$6)</f>
        <v>0.447386516388393</v>
      </c>
      <c r="C293" s="21" t="n">
        <f aca="true">MAX(0.05,NORMINV(RAND(),$B$7,$C$7))</f>
        <v>0.28356047763299</v>
      </c>
      <c r="D293" s="33" t="n">
        <f aca="true">MAX(0.08,NORMINV(RAND(),$B$8,$C$8))</f>
        <v>0.13948209684535</v>
      </c>
      <c r="E293" s="56" t="n">
        <f aca="true">MAX(5,NORMINV(RAND(),$B$9,$C$9))</f>
        <v>15.9848708060764</v>
      </c>
      <c r="F293" s="26" t="n">
        <f aca="false">$B$18*(1+(B293+$B$17)/2)^9</f>
        <v>2657.60960216624</v>
      </c>
      <c r="G293" s="26" t="n">
        <f aca="false">F293*(C293-Assumptions!$F$18)+$B$20</f>
        <v>342.540059066939</v>
      </c>
      <c r="H293" s="26" t="n">
        <f aca="false">E293*G293/(1+D293)^9</f>
        <v>1690.6470228689</v>
      </c>
      <c r="I293" s="26" t="n">
        <f aca="false">$B$13*F293/$B$19*((1+$B$8)/(1+D293))^4.5</f>
        <v>-1291.58952131032</v>
      </c>
      <c r="J293" s="26" t="n">
        <f aca="false">H293+I293+$B$14</f>
        <v>2164.23558375036</v>
      </c>
      <c r="K293" s="44" t="n">
        <f aca="false">J293/$B$15</f>
        <v>5.33062951662651</v>
      </c>
    </row>
    <row r="294" customFormat="false" ht="15" hidden="false" customHeight="false" outlineLevel="0" collapsed="false">
      <c r="A294" s="55" t="n">
        <v>254</v>
      </c>
      <c r="B294" s="21" t="n">
        <f aca="true">NORMINV(RAND(),$B$6,$C$6)</f>
        <v>0.547484421701307</v>
      </c>
      <c r="C294" s="21" t="n">
        <f aca="true">MAX(0.05,NORMINV(RAND(),$B$7,$C$7))</f>
        <v>0.29163080908808</v>
      </c>
      <c r="D294" s="33" t="n">
        <f aca="true">MAX(0.08,NORMINV(RAND(),$B$8,$C$8))</f>
        <v>0.143371760674605</v>
      </c>
      <c r="E294" s="56" t="n">
        <f aca="true">MAX(5,NORMINV(RAND(),$B$9,$C$9))</f>
        <v>20.2542627017994</v>
      </c>
      <c r="F294" s="26" t="n">
        <f aca="false">$B$18*(1+(B294+$B$17)/2)^9</f>
        <v>3689.02531068085</v>
      </c>
      <c r="G294" s="26" t="n">
        <f aca="false">F294*(C294-Assumptions!$F$18)+$B$20</f>
        <v>623.523818674338</v>
      </c>
      <c r="H294" s="26" t="n">
        <f aca="false">E294*G294/(1+D294)^9</f>
        <v>3781.658709367</v>
      </c>
      <c r="I294" s="26" t="n">
        <f aca="false">$B$13*F294/$B$19*((1+$B$8)/(1+D294))^4.5</f>
        <v>-1765.57090503474</v>
      </c>
      <c r="J294" s="26" t="n">
        <f aca="false">H294+I294+$B$14</f>
        <v>3781.26588652405</v>
      </c>
      <c r="K294" s="44" t="n">
        <f aca="false">J294/$B$15</f>
        <v>9.31346277468977</v>
      </c>
    </row>
    <row r="295" customFormat="false" ht="15" hidden="false" customHeight="false" outlineLevel="0" collapsed="false">
      <c r="A295" s="55" t="n">
        <v>255</v>
      </c>
      <c r="B295" s="21" t="n">
        <f aca="true">NORMINV(RAND(),$B$6,$C$6)</f>
        <v>0.735959312281366</v>
      </c>
      <c r="C295" s="21" t="n">
        <f aca="true">MAX(0.05,NORMINV(RAND(),$B$7,$C$7))</f>
        <v>0.333809714919923</v>
      </c>
      <c r="D295" s="33" t="n">
        <f aca="true">MAX(0.08,NORMINV(RAND(),$B$8,$C$8))</f>
        <v>0.133795050446495</v>
      </c>
      <c r="E295" s="56" t="n">
        <f aca="true">MAX(5,NORMINV(RAND(),$B$9,$C$9))</f>
        <v>15.2581339324637</v>
      </c>
      <c r="F295" s="26" t="n">
        <f aca="false">$B$18*(1+(B295+$B$17)/2)^9</f>
        <v>6633.7257700824</v>
      </c>
      <c r="G295" s="26" t="n">
        <f aca="false">F295*(C295-Assumptions!$F$18)+$B$20</f>
        <v>1644.30447236617</v>
      </c>
      <c r="H295" s="26" t="n">
        <f aca="false">E295*G295/(1+D295)^9</f>
        <v>8103.50025148282</v>
      </c>
      <c r="I295" s="26" t="n">
        <f aca="false">$B$13*F295/$B$19*((1+$B$8)/(1+D295))^4.5</f>
        <v>-3297.38087743122</v>
      </c>
      <c r="J295" s="26" t="n">
        <f aca="false">H295+I295+$B$14</f>
        <v>6571.29745624339</v>
      </c>
      <c r="K295" s="44" t="n">
        <f aca="false">J295/$B$15</f>
        <v>16.1854617148852</v>
      </c>
    </row>
    <row r="296" customFormat="false" ht="15" hidden="false" customHeight="false" outlineLevel="0" collapsed="false">
      <c r="A296" s="55" t="n">
        <v>256</v>
      </c>
      <c r="B296" s="21" t="n">
        <f aca="true">NORMINV(RAND(),$B$6,$C$6)</f>
        <v>0.554216196557404</v>
      </c>
      <c r="C296" s="21" t="n">
        <f aca="true">MAX(0.05,NORMINV(RAND(),$B$7,$C$7))</f>
        <v>0.2665666862158</v>
      </c>
      <c r="D296" s="33" t="n">
        <f aca="true">MAX(0.08,NORMINV(RAND(),$B$8,$C$8))</f>
        <v>0.124846672239479</v>
      </c>
      <c r="E296" s="56" t="n">
        <f aca="true">MAX(5,NORMINV(RAND(),$B$9,$C$9))</f>
        <v>17.5793996863546</v>
      </c>
      <c r="F296" s="26" t="n">
        <f aca="false">$B$18*(1+(B296+$B$17)/2)^9</f>
        <v>3769.69301156772</v>
      </c>
      <c r="G296" s="26" t="n">
        <f aca="false">F296*(C296-Assumptions!$F$18)+$B$20</f>
        <v>549.338248683068</v>
      </c>
      <c r="H296" s="26" t="n">
        <f aca="false">E296*G296/(1+D296)^9</f>
        <v>3349.68469173789</v>
      </c>
      <c r="I296" s="26" t="n">
        <f aca="false">$B$13*F296/$B$19*((1+$B$8)/(1+D296))^4.5</f>
        <v>-1941.79382312075</v>
      </c>
      <c r="J296" s="26" t="n">
        <f aca="false">H296+I296+$B$14</f>
        <v>3173.06895080892</v>
      </c>
      <c r="K296" s="44" t="n">
        <f aca="false">J296/$B$15</f>
        <v>7.81544076553921</v>
      </c>
    </row>
    <row r="297" customFormat="false" ht="15" hidden="false" customHeight="false" outlineLevel="0" collapsed="false">
      <c r="A297" s="55" t="n">
        <v>257</v>
      </c>
      <c r="B297" s="21" t="n">
        <f aca="true">NORMINV(RAND(),$B$6,$C$6)</f>
        <v>0.504209886676129</v>
      </c>
      <c r="C297" s="21" t="n">
        <f aca="true">MAX(0.05,NORMINV(RAND(),$B$7,$C$7))</f>
        <v>0.29619637198049</v>
      </c>
      <c r="D297" s="33" t="n">
        <f aca="true">MAX(0.08,NORMINV(RAND(),$B$8,$C$8))</f>
        <v>0.119254676198146</v>
      </c>
      <c r="E297" s="56" t="n">
        <f aca="true">MAX(5,NORMINV(RAND(),$B$9,$C$9))</f>
        <v>15.0913393807525</v>
      </c>
      <c r="F297" s="26" t="n">
        <f aca="false">$B$18*(1+(B297+$B$17)/2)^9</f>
        <v>3206.0909666486</v>
      </c>
      <c r="G297" s="26" t="n">
        <f aca="false">F297*(C297-Assumptions!$F$18)+$B$20</f>
        <v>516.640268896104</v>
      </c>
      <c r="H297" s="26" t="n">
        <f aca="false">E297*G297/(1+D297)^9</f>
        <v>2828.49738671536</v>
      </c>
      <c r="I297" s="26" t="n">
        <f aca="false">$B$13*F297/$B$19*((1+$B$8)/(1+D297))^4.5</f>
        <v>-1688.93454080896</v>
      </c>
      <c r="J297" s="26" t="n">
        <f aca="false">H297+I297+$B$14</f>
        <v>2904.74092809819</v>
      </c>
      <c r="K297" s="44" t="n">
        <f aca="false">J297/$B$15</f>
        <v>7.15453430566056</v>
      </c>
    </row>
    <row r="298" customFormat="false" ht="15" hidden="false" customHeight="false" outlineLevel="0" collapsed="false">
      <c r="A298" s="55" t="n">
        <v>258</v>
      </c>
      <c r="B298" s="21" t="n">
        <f aca="true">NORMINV(RAND(),$B$6,$C$6)</f>
        <v>0.659423831857167</v>
      </c>
      <c r="C298" s="21" t="n">
        <f aca="true">MAX(0.05,NORMINV(RAND(),$B$7,$C$7))</f>
        <v>0.237751871259372</v>
      </c>
      <c r="D298" s="33" t="n">
        <f aca="true">MAX(0.08,NORMINV(RAND(),$B$8,$C$8))</f>
        <v>0.139906040203476</v>
      </c>
      <c r="E298" s="56" t="n">
        <f aca="true">MAX(5,NORMINV(RAND(),$B$9,$C$9))</f>
        <v>17.6168238734137</v>
      </c>
      <c r="F298" s="26" t="n">
        <f aca="false">$B$18*(1+(B298+$B$17)/2)^9</f>
        <v>5251.28357794072</v>
      </c>
      <c r="G298" s="26" t="n">
        <f aca="false">F298*(C298-Assumptions!$F$18)+$B$20</f>
        <v>733.7025490527</v>
      </c>
      <c r="H298" s="26" t="n">
        <f aca="false">E298*G298/(1+D298)^9</f>
        <v>3977.64615149114</v>
      </c>
      <c r="I298" s="26" t="n">
        <f aca="false">$B$13*F298/$B$19*((1+$B$8)/(1+D298))^4.5</f>
        <v>-2547.83811577285</v>
      </c>
      <c r="J298" s="26" t="n">
        <f aca="false">H298+I298+$B$14</f>
        <v>3194.98611791007</v>
      </c>
      <c r="K298" s="44" t="n">
        <f aca="false">J298/$B$15</f>
        <v>7.86942393573909</v>
      </c>
    </row>
    <row r="299" customFormat="false" ht="15" hidden="false" customHeight="false" outlineLevel="0" collapsed="false">
      <c r="A299" s="55" t="n">
        <v>259</v>
      </c>
      <c r="B299" s="21" t="n">
        <f aca="true">NORMINV(RAND(),$B$6,$C$6)</f>
        <v>0.50116536160213</v>
      </c>
      <c r="C299" s="21" t="n">
        <f aca="true">MAX(0.05,NORMINV(RAND(),$B$7,$C$7))</f>
        <v>0.323245126727519</v>
      </c>
      <c r="D299" s="33" t="n">
        <f aca="true">MAX(0.08,NORMINV(RAND(),$B$8,$C$8))</f>
        <v>0.14891850600298</v>
      </c>
      <c r="E299" s="56" t="n">
        <f aca="true">MAX(5,NORMINV(RAND(),$B$9,$C$9))</f>
        <v>10.0238037166804</v>
      </c>
      <c r="F299" s="26" t="n">
        <f aca="false">$B$18*(1+(B299+$B$17)/2)^9</f>
        <v>3174.3352958681</v>
      </c>
      <c r="G299" s="26" t="n">
        <f aca="false">F299*(C299-Assumptions!$F$18)+$B$20</f>
        <v>594.366398155107</v>
      </c>
      <c r="H299" s="26" t="n">
        <f aca="false">E299*G299/(1+D299)^9</f>
        <v>1707.98392753402</v>
      </c>
      <c r="I299" s="26" t="n">
        <f aca="false">$B$13*F299/$B$19*((1+$B$8)/(1+D299))^4.5</f>
        <v>-1486.51190773237</v>
      </c>
      <c r="J299" s="26" t="n">
        <f aca="false">H299+I299+$B$14</f>
        <v>1986.65010199344</v>
      </c>
      <c r="K299" s="44" t="n">
        <f aca="false">J299/$B$15</f>
        <v>4.89322685220058</v>
      </c>
    </row>
    <row r="300" customFormat="false" ht="15" hidden="false" customHeight="false" outlineLevel="0" collapsed="false">
      <c r="A300" s="55" t="n">
        <v>260</v>
      </c>
      <c r="B300" s="21" t="n">
        <f aca="true">NORMINV(RAND(),$B$6,$C$6)</f>
        <v>0.401361598330546</v>
      </c>
      <c r="C300" s="21" t="n">
        <f aca="true">MAX(0.05,NORMINV(RAND(),$B$7,$C$7))</f>
        <v>0.391547349174336</v>
      </c>
      <c r="D300" s="33" t="n">
        <f aca="true">MAX(0.08,NORMINV(RAND(),$B$8,$C$8))</f>
        <v>0.121332054498232</v>
      </c>
      <c r="E300" s="56" t="n">
        <f aca="true">MAX(5,NORMINV(RAND(),$B$9,$C$9))</f>
        <v>16.5235080385384</v>
      </c>
      <c r="F300" s="26" t="n">
        <f aca="false">$B$18*(1+(B300+$B$17)/2)^9</f>
        <v>2276.26698864899</v>
      </c>
      <c r="G300" s="26" t="n">
        <f aca="false">F300*(C300-Assumptions!$F$18)+$B$20</f>
        <v>495.467020873912</v>
      </c>
      <c r="H300" s="26" t="n">
        <f aca="false">E300*G300/(1+D300)^9</f>
        <v>2920.84744484839</v>
      </c>
      <c r="I300" s="26" t="n">
        <f aca="false">$B$13*F300/$B$19*((1+$B$8)/(1+D300))^4.5</f>
        <v>-1189.14890189798</v>
      </c>
      <c r="J300" s="26" t="n">
        <f aca="false">H300+I300+$B$14</f>
        <v>3496.87662514219</v>
      </c>
      <c r="K300" s="44" t="n">
        <f aca="false">J300/$B$15</f>
        <v>8.6129966136507</v>
      </c>
    </row>
    <row r="301" customFormat="false" ht="15" hidden="false" customHeight="false" outlineLevel="0" collapsed="false">
      <c r="A301" s="55" t="n">
        <v>261</v>
      </c>
      <c r="B301" s="21" t="n">
        <f aca="true">NORMINV(RAND(),$B$6,$C$6)</f>
        <v>0.499998489590338</v>
      </c>
      <c r="C301" s="21" t="n">
        <f aca="true">MAX(0.05,NORMINV(RAND(),$B$7,$C$7))</f>
        <v>0.349394217467232</v>
      </c>
      <c r="D301" s="33" t="n">
        <f aca="true">MAX(0.08,NORMINV(RAND(),$B$8,$C$8))</f>
        <v>0.131514109967669</v>
      </c>
      <c r="E301" s="56" t="n">
        <f aca="true">MAX(5,NORMINV(RAND(),$B$9,$C$9))</f>
        <v>15.4178096772938</v>
      </c>
      <c r="F301" s="26" t="n">
        <f aca="false">$B$18*(1+(B301+$B$17)/2)^9</f>
        <v>3162.23864523166</v>
      </c>
      <c r="G301" s="26" t="n">
        <f aca="false">F301*(C301-Assumptions!$F$18)+$B$20</f>
        <v>673.629746087399</v>
      </c>
      <c r="H301" s="26" t="n">
        <f aca="false">E301*G301/(1+D301)^9</f>
        <v>3415.8923132121</v>
      </c>
      <c r="I301" s="26" t="n">
        <f aca="false">$B$13*F301/$B$19*((1+$B$8)/(1+D301))^4.5</f>
        <v>-1586.14126908553</v>
      </c>
      <c r="J301" s="26" t="n">
        <f aca="false">H301+I301+$B$14</f>
        <v>3594.92912631835</v>
      </c>
      <c r="K301" s="44" t="n">
        <f aca="false">J301/$B$15</f>
        <v>8.85450523723732</v>
      </c>
    </row>
    <row r="302" customFormat="false" ht="15" hidden="false" customHeight="false" outlineLevel="0" collapsed="false">
      <c r="A302" s="55" t="n">
        <v>262</v>
      </c>
      <c r="B302" s="21" t="n">
        <f aca="true">NORMINV(RAND(),$B$6,$C$6)</f>
        <v>0.452814390746825</v>
      </c>
      <c r="C302" s="21" t="n">
        <f aca="true">MAX(0.05,NORMINV(RAND(),$B$7,$C$7))</f>
        <v>0.274420664520689</v>
      </c>
      <c r="D302" s="33" t="n">
        <f aca="true">MAX(0.08,NORMINV(RAND(),$B$8,$C$8))</f>
        <v>0.130258033382675</v>
      </c>
      <c r="E302" s="56" t="n">
        <f aca="true">MAX(5,NORMINV(RAND(),$B$9,$C$9))</f>
        <v>15.6609646982825</v>
      </c>
      <c r="F302" s="26" t="n">
        <f aca="false">$B$18*(1+(B302+$B$17)/2)^9</f>
        <v>2706.1293247709</v>
      </c>
      <c r="G302" s="26" t="n">
        <f aca="false">F302*(C302-Assumptions!$F$18)+$B$20</f>
        <v>329.624029593027</v>
      </c>
      <c r="H302" s="26" t="n">
        <f aca="false">E302*G302/(1+D302)^9</f>
        <v>1714.90060047631</v>
      </c>
      <c r="I302" s="26" t="n">
        <f aca="false">$B$13*F302/$B$19*((1+$B$8)/(1+D302))^4.5</f>
        <v>-1364.1635537105</v>
      </c>
      <c r="J302" s="26" t="n">
        <f aca="false">H302+I302+$B$14</f>
        <v>2115.91512895759</v>
      </c>
      <c r="K302" s="44" t="n">
        <f aca="false">J302/$B$15</f>
        <v>5.21161361812215</v>
      </c>
    </row>
    <row r="303" customFormat="false" ht="15" hidden="false" customHeight="false" outlineLevel="0" collapsed="false">
      <c r="A303" s="55" t="n">
        <v>263</v>
      </c>
      <c r="B303" s="21" t="n">
        <f aca="true">NORMINV(RAND(),$B$6,$C$6)</f>
        <v>0.524832346606537</v>
      </c>
      <c r="C303" s="21" t="n">
        <f aca="true">MAX(0.05,NORMINV(RAND(),$B$7,$C$7))</f>
        <v>0.386510784052168</v>
      </c>
      <c r="D303" s="33" t="n">
        <f aca="true">MAX(0.08,NORMINV(RAND(),$B$8,$C$8))</f>
        <v>0.15022946314999</v>
      </c>
      <c r="E303" s="56" t="n">
        <f aca="true">MAX(5,NORMINV(RAND(),$B$9,$C$9))</f>
        <v>10.3264636617779</v>
      </c>
      <c r="F303" s="26" t="n">
        <f aca="false">$B$18*(1+(B303+$B$17)/2)^9</f>
        <v>3428.72994606462</v>
      </c>
      <c r="G303" s="26" t="n">
        <f aca="false">F303*(C303-Assumptions!$F$18)+$B$20</f>
        <v>883.34329691531</v>
      </c>
      <c r="H303" s="26" t="n">
        <f aca="false">E303*G303/(1+D303)^9</f>
        <v>2588.33656840552</v>
      </c>
      <c r="I303" s="26" t="n">
        <f aca="false">$B$13*F303/$B$19*((1+$B$8)/(1+D303))^4.5</f>
        <v>-1597.42394886754</v>
      </c>
      <c r="J303" s="26" t="n">
        <f aca="false">H303+I303+$B$14</f>
        <v>2756.09070172976</v>
      </c>
      <c r="K303" s="44" t="n">
        <f aca="false">J303/$B$15</f>
        <v>6.78840074317674</v>
      </c>
    </row>
    <row r="304" customFormat="false" ht="15" hidden="false" customHeight="false" outlineLevel="0" collapsed="false">
      <c r="A304" s="55" t="n">
        <v>264</v>
      </c>
      <c r="B304" s="21" t="n">
        <f aca="true">NORMINV(RAND(),$B$6,$C$6)</f>
        <v>0.563676563453242</v>
      </c>
      <c r="C304" s="21" t="n">
        <f aca="true">MAX(0.05,NORMINV(RAND(),$B$7,$C$7))</f>
        <v>0.308673993753692</v>
      </c>
      <c r="D304" s="33" t="n">
        <f aca="true">MAX(0.08,NORMINV(RAND(),$B$8,$C$8))</f>
        <v>0.124670008091447</v>
      </c>
      <c r="E304" s="56" t="n">
        <f aca="true">MAX(5,NORMINV(RAND(),$B$9,$C$9))</f>
        <v>17.5046516667446</v>
      </c>
      <c r="F304" s="26" t="n">
        <f aca="false">$B$18*(1+(B304+$B$17)/2)^9</f>
        <v>3885.70747077165</v>
      </c>
      <c r="G304" s="26" t="n">
        <f aca="false">F304*(C304-Assumptions!$F$18)+$B$20</f>
        <v>739.239939732085</v>
      </c>
      <c r="H304" s="26" t="n">
        <f aca="false">E304*G304/(1+D304)^9</f>
        <v>4494.82586590126</v>
      </c>
      <c r="I304" s="26" t="n">
        <f aca="false">$B$13*F304/$B$19*((1+$B$8)/(1+D304))^4.5</f>
        <v>-2002.96885404889</v>
      </c>
      <c r="J304" s="26" t="n">
        <f aca="false">H304+I304+$B$14</f>
        <v>4257.03509404415</v>
      </c>
      <c r="K304" s="44" t="n">
        <f aca="false">J304/$B$15</f>
        <v>10.4853081134092</v>
      </c>
    </row>
    <row r="305" customFormat="false" ht="15" hidden="false" customHeight="false" outlineLevel="0" collapsed="false">
      <c r="A305" s="55" t="n">
        <v>265</v>
      </c>
      <c r="B305" s="21" t="n">
        <f aca="true">NORMINV(RAND(),$B$6,$C$6)</f>
        <v>0.394416172041211</v>
      </c>
      <c r="C305" s="21" t="n">
        <f aca="true">MAX(0.05,NORMINV(RAND(),$B$7,$C$7))</f>
        <v>0.355235077987411</v>
      </c>
      <c r="D305" s="33" t="n">
        <f aca="true">MAX(0.08,NORMINV(RAND(),$B$8,$C$8))</f>
        <v>0.142529936558054</v>
      </c>
      <c r="E305" s="56" t="n">
        <f aca="true">MAX(5,NORMINV(RAND(),$B$9,$C$9))</f>
        <v>14.654380901878</v>
      </c>
      <c r="F305" s="26" t="n">
        <f aca="false">$B$18*(1+(B305+$B$17)/2)^9</f>
        <v>2223.16032907214</v>
      </c>
      <c r="G305" s="26" t="n">
        <f aca="false">F305*(C305-Assumptions!$F$18)+$B$20</f>
        <v>396.069514714886</v>
      </c>
      <c r="H305" s="26" t="n">
        <f aca="false">E305*G305/(1+D305)^9</f>
        <v>1749.5670764252</v>
      </c>
      <c r="I305" s="26" t="n">
        <f aca="false">$B$13*F305/$B$19*((1+$B$8)/(1+D305))^4.5</f>
        <v>-1067.53898289255</v>
      </c>
      <c r="J305" s="26" t="n">
        <f aca="false">H305+I305+$B$14</f>
        <v>2447.20617572443</v>
      </c>
      <c r="K305" s="44" t="n">
        <f aca="false">J305/$B$15</f>
        <v>6.02760141804047</v>
      </c>
    </row>
    <row r="306" customFormat="false" ht="15" hidden="false" customHeight="false" outlineLevel="0" collapsed="false">
      <c r="A306" s="55" t="n">
        <v>266</v>
      </c>
      <c r="B306" s="21" t="n">
        <f aca="true">NORMINV(RAND(),$B$6,$C$6)</f>
        <v>0.381498690007223</v>
      </c>
      <c r="C306" s="21" t="n">
        <f aca="true">MAX(0.05,NORMINV(RAND(),$B$7,$C$7))</f>
        <v>0.362254061610142</v>
      </c>
      <c r="D306" s="33" t="n">
        <f aca="true">MAX(0.08,NORMINV(RAND(),$B$8,$C$8))</f>
        <v>0.147395280615453</v>
      </c>
      <c r="E306" s="56" t="n">
        <f aca="true">MAX(5,NORMINV(RAND(),$B$9,$C$9))</f>
        <v>13.4907056725735</v>
      </c>
      <c r="F306" s="26" t="n">
        <f aca="false">$B$18*(1+(B306+$B$17)/2)^9</f>
        <v>2127.31091066694</v>
      </c>
      <c r="G306" s="26" t="n">
        <f aca="false">F306*(C306-Assumptions!$F$18)+$B$20</f>
        <v>380.785976271302</v>
      </c>
      <c r="H306" s="26" t="n">
        <f aca="false">E306*G306/(1+D306)^9</f>
        <v>1490.38365783562</v>
      </c>
      <c r="I306" s="26" t="n">
        <f aca="false">$B$13*F306/$B$19*((1+$B$8)/(1+D306))^4.5</f>
        <v>-1002.16517488557</v>
      </c>
      <c r="J306" s="26" t="n">
        <f aca="false">H306+I306+$B$14</f>
        <v>2253.39656514183</v>
      </c>
      <c r="K306" s="44" t="n">
        <f aca="false">J306/$B$15</f>
        <v>5.55023784517693</v>
      </c>
    </row>
    <row r="307" customFormat="false" ht="15" hidden="false" customHeight="false" outlineLevel="0" collapsed="false">
      <c r="A307" s="55" t="n">
        <v>267</v>
      </c>
      <c r="B307" s="21" t="n">
        <f aca="true">NORMINV(RAND(),$B$6,$C$6)</f>
        <v>0.642913793766612</v>
      </c>
      <c r="C307" s="21" t="n">
        <f aca="true">MAX(0.05,NORMINV(RAND(),$B$7,$C$7))</f>
        <v>0.396950066047302</v>
      </c>
      <c r="D307" s="33" t="n">
        <f aca="true">MAX(0.08,NORMINV(RAND(),$B$8,$C$8))</f>
        <v>0.127956406454082</v>
      </c>
      <c r="E307" s="56" t="n">
        <f aca="true">MAX(5,NORMINV(RAND(),$B$9,$C$9))</f>
        <v>17.7812419076071</v>
      </c>
      <c r="F307" s="26" t="n">
        <f aca="false">$B$18*(1+(B307+$B$17)/2)^9</f>
        <v>4989.09730646967</v>
      </c>
      <c r="G307" s="26" t="n">
        <f aca="false">F307*(C307-Assumptions!$F$18)+$B$20</f>
        <v>1476.11000806208</v>
      </c>
      <c r="H307" s="26" t="n">
        <f aca="false">E307*G307/(1+D307)^9</f>
        <v>8880.75681875895</v>
      </c>
      <c r="I307" s="26" t="n">
        <f aca="false">$B$13*F307/$B$19*((1+$B$8)/(1+D307))^4.5</f>
        <v>-2538.18727132187</v>
      </c>
      <c r="J307" s="26" t="n">
        <f aca="false">H307+I307+$B$14</f>
        <v>8107.74762962886</v>
      </c>
      <c r="K307" s="44" t="n">
        <f aca="false">J307/$B$15</f>
        <v>19.9698217478543</v>
      </c>
    </row>
    <row r="308" customFormat="false" ht="15" hidden="false" customHeight="false" outlineLevel="0" collapsed="false">
      <c r="A308" s="55" t="n">
        <v>268</v>
      </c>
      <c r="B308" s="21" t="n">
        <f aca="true">NORMINV(RAND(),$B$6,$C$6)</f>
        <v>0.494006901570377</v>
      </c>
      <c r="C308" s="21" t="n">
        <f aca="true">MAX(0.05,NORMINV(RAND(),$B$7,$C$7))</f>
        <v>0.313359016153183</v>
      </c>
      <c r="D308" s="33" t="n">
        <f aca="true">MAX(0.08,NORMINV(RAND(),$B$8,$C$8))</f>
        <v>0.145753410107763</v>
      </c>
      <c r="E308" s="56" t="n">
        <f aca="true">MAX(5,NORMINV(RAND(),$B$9,$C$9))</f>
        <v>15.2991327951629</v>
      </c>
      <c r="F308" s="26" t="n">
        <f aca="false">$B$18*(1+(B308+$B$17)/2)^9</f>
        <v>3100.76846268181</v>
      </c>
      <c r="G308" s="26" t="n">
        <f aca="false">F308*(C308-Assumptions!$F$18)+$B$20</f>
        <v>542.874411278827</v>
      </c>
      <c r="H308" s="26" t="n">
        <f aca="false">E308*G308/(1+D308)^9</f>
        <v>2440.87623547793</v>
      </c>
      <c r="I308" s="26" t="n">
        <f aca="false">$B$13*F308/$B$19*((1+$B$8)/(1+D308))^4.5</f>
        <v>-1470.19936560147</v>
      </c>
      <c r="J308" s="26" t="n">
        <f aca="false">H308+I308+$B$14</f>
        <v>2735.85495206825</v>
      </c>
      <c r="K308" s="44" t="n">
        <f aca="false">J308/$B$15</f>
        <v>6.73855899524199</v>
      </c>
    </row>
    <row r="309" customFormat="false" ht="15" hidden="false" customHeight="false" outlineLevel="0" collapsed="false">
      <c r="A309" s="55" t="n">
        <v>269</v>
      </c>
      <c r="B309" s="21" t="n">
        <f aca="true">NORMINV(RAND(),$B$6,$C$6)</f>
        <v>0.589321395000054</v>
      </c>
      <c r="C309" s="21" t="n">
        <f aca="true">MAX(0.05,NORMINV(RAND(),$B$7,$C$7))</f>
        <v>0.31149305610163</v>
      </c>
      <c r="D309" s="33" t="n">
        <f aca="true">MAX(0.08,NORMINV(RAND(),$B$8,$C$8))</f>
        <v>0.147145168511617</v>
      </c>
      <c r="E309" s="56" t="n">
        <f aca="true">MAX(5,NORMINV(RAND(),$B$9,$C$9))</f>
        <v>14.0142238372295</v>
      </c>
      <c r="F309" s="26" t="n">
        <f aca="false">$B$18*(1+(B309+$B$17)/2)^9</f>
        <v>4216.31975110611</v>
      </c>
      <c r="G309" s="26" t="n">
        <f aca="false">F309*(C309-Assumptions!$F$18)+$B$20</f>
        <v>839.952929730773</v>
      </c>
      <c r="H309" s="26" t="n">
        <f aca="false">E309*G309/(1+D309)^9</f>
        <v>3421.83115537604</v>
      </c>
      <c r="I309" s="26" t="n">
        <f aca="false">$B$13*F309/$B$19*((1+$B$8)/(1+D309))^4.5</f>
        <v>-1988.23600164574</v>
      </c>
      <c r="J309" s="26" t="n">
        <f aca="false">H309+I309+$B$14</f>
        <v>3198.77323592208</v>
      </c>
      <c r="K309" s="44" t="n">
        <f aca="false">J309/$B$15</f>
        <v>7.87875181261595</v>
      </c>
    </row>
    <row r="310" customFormat="false" ht="15" hidden="false" customHeight="false" outlineLevel="0" collapsed="false">
      <c r="A310" s="55" t="n">
        <v>270</v>
      </c>
      <c r="B310" s="21" t="n">
        <f aca="true">NORMINV(RAND(),$B$6,$C$6)</f>
        <v>0.424931988578282</v>
      </c>
      <c r="C310" s="21" t="n">
        <f aca="true">MAX(0.05,NORMINV(RAND(),$B$7,$C$7))</f>
        <v>0.339568812095665</v>
      </c>
      <c r="D310" s="33" t="n">
        <f aca="true">MAX(0.08,NORMINV(RAND(),$B$8,$C$8))</f>
        <v>0.102800943913658</v>
      </c>
      <c r="E310" s="56" t="n">
        <f aca="true">MAX(5,NORMINV(RAND(),$B$9,$C$9))</f>
        <v>13.4209516057099</v>
      </c>
      <c r="F310" s="26" t="n">
        <f aca="false">$B$18*(1+(B310+$B$17)/2)^9</f>
        <v>2465.00181454079</v>
      </c>
      <c r="G310" s="26" t="n">
        <f aca="false">F310*(C310-Assumptions!$F$18)+$B$20</f>
        <v>433.689060396954</v>
      </c>
      <c r="H310" s="26" t="n">
        <f aca="false">E310*G310/(1+D310)^9</f>
        <v>2412.61273184887</v>
      </c>
      <c r="I310" s="26" t="n">
        <f aca="false">$B$13*F310/$B$19*((1+$B$8)/(1+D310))^4.5</f>
        <v>-1388.02493539722</v>
      </c>
      <c r="J310" s="26" t="n">
        <f aca="false">H310+I310+$B$14</f>
        <v>2789.76587864344</v>
      </c>
      <c r="K310" s="44" t="n">
        <f aca="false">J310/$B$15</f>
        <v>6.87134452867842</v>
      </c>
    </row>
    <row r="311" customFormat="false" ht="15" hidden="false" customHeight="false" outlineLevel="0" collapsed="false">
      <c r="A311" s="55" t="n">
        <v>271</v>
      </c>
      <c r="B311" s="21" t="n">
        <f aca="true">NORMINV(RAND(),$B$6,$C$6)</f>
        <v>0.544710335511342</v>
      </c>
      <c r="C311" s="21" t="n">
        <f aca="true">MAX(0.05,NORMINV(RAND(),$B$7,$C$7))</f>
        <v>0.316395800488345</v>
      </c>
      <c r="D311" s="33" t="n">
        <f aca="true">MAX(0.08,NORMINV(RAND(),$B$8,$C$8))</f>
        <v>0.140226019779103</v>
      </c>
      <c r="E311" s="56" t="n">
        <f aca="true">MAX(5,NORMINV(RAND(),$B$9,$C$9))</f>
        <v>9.83385601219854</v>
      </c>
      <c r="F311" s="26" t="n">
        <f aca="false">$B$18*(1+(B311+$B$17)/2)^9</f>
        <v>3656.23206972485</v>
      </c>
      <c r="G311" s="26" t="n">
        <f aca="false">F311*(C311-Assumptions!$F$18)+$B$20</f>
        <v>705.818584684069</v>
      </c>
      <c r="H311" s="26" t="n">
        <f aca="false">E311*G311/(1+D311)^9</f>
        <v>2130.58276067897</v>
      </c>
      <c r="I311" s="26" t="n">
        <f aca="false">$B$13*F311/$B$19*((1+$B$8)/(1+D311))^4.5</f>
        <v>-1771.7057586058</v>
      </c>
      <c r="J311" s="26" t="n">
        <f aca="false">H311+I311+$B$14</f>
        <v>2124.05508426495</v>
      </c>
      <c r="K311" s="44" t="n">
        <f aca="false">J311/$B$15</f>
        <v>5.23166276912549</v>
      </c>
    </row>
    <row r="312" customFormat="false" ht="15" hidden="false" customHeight="false" outlineLevel="0" collapsed="false">
      <c r="A312" s="55" t="n">
        <v>272</v>
      </c>
      <c r="B312" s="21" t="n">
        <f aca="true">NORMINV(RAND(),$B$6,$C$6)</f>
        <v>0.514052093922135</v>
      </c>
      <c r="C312" s="21" t="n">
        <f aca="true">MAX(0.05,NORMINV(RAND(),$B$7,$C$7))</f>
        <v>0.27285940286575</v>
      </c>
      <c r="D312" s="33" t="n">
        <f aca="true">MAX(0.08,NORMINV(RAND(),$B$8,$C$8))</f>
        <v>0.11785668536775</v>
      </c>
      <c r="E312" s="56" t="n">
        <f aca="true">MAX(5,NORMINV(RAND(),$B$9,$C$9))</f>
        <v>17.7011387133863</v>
      </c>
      <c r="F312" s="26" t="n">
        <f aca="false">$B$18*(1+(B312+$B$17)/2)^9</f>
        <v>3310.69032176922</v>
      </c>
      <c r="G312" s="26" t="n">
        <f aca="false">F312*(C312-Assumptions!$F$18)+$B$20</f>
        <v>466.17676640191</v>
      </c>
      <c r="H312" s="26" t="n">
        <f aca="false">E312*G312/(1+D312)^9</f>
        <v>3027.44787410016</v>
      </c>
      <c r="I312" s="26" t="n">
        <f aca="false">$B$13*F312/$B$19*((1+$B$8)/(1+D312))^4.5</f>
        <v>-1753.8727770052</v>
      </c>
      <c r="J312" s="26" t="n">
        <f aca="false">H312+I312+$B$14</f>
        <v>3038.75317928674</v>
      </c>
      <c r="K312" s="44" t="n">
        <f aca="false">J312/$B$15</f>
        <v>7.48461374208556</v>
      </c>
    </row>
    <row r="313" customFormat="false" ht="15" hidden="false" customHeight="false" outlineLevel="0" collapsed="false">
      <c r="A313" s="55" t="n">
        <v>273</v>
      </c>
      <c r="B313" s="21" t="n">
        <f aca="true">NORMINV(RAND(),$B$6,$C$6)</f>
        <v>0.672678423814567</v>
      </c>
      <c r="C313" s="21" t="n">
        <f aca="true">MAX(0.05,NORMINV(RAND(),$B$7,$C$7))</f>
        <v>0.296541601430384</v>
      </c>
      <c r="D313" s="33" t="n">
        <f aca="true">MAX(0.08,NORMINV(RAND(),$B$8,$C$8))</f>
        <v>0.138813346264015</v>
      </c>
      <c r="E313" s="56" t="n">
        <f aca="true">MAX(5,NORMINV(RAND(),$B$9,$C$9))</f>
        <v>12.3068535899338</v>
      </c>
      <c r="F313" s="26" t="n">
        <f aca="false">$B$18*(1+(B313+$B$17)/2)^9</f>
        <v>5470.56075253712</v>
      </c>
      <c r="G313" s="26" t="n">
        <f aca="false">F313*(C313-Assumptions!$F$18)+$B$20</f>
        <v>1098.67781117939</v>
      </c>
      <c r="H313" s="26" t="n">
        <f aca="false">E313*G313/(1+D313)^9</f>
        <v>4197.05300354105</v>
      </c>
      <c r="I313" s="26" t="n">
        <f aca="false">$B$13*F313/$B$19*((1+$B$8)/(1+D313))^4.5</f>
        <v>-2665.70744275528</v>
      </c>
      <c r="J313" s="26" t="n">
        <f aca="false">H313+I313+$B$14</f>
        <v>3296.52364297755</v>
      </c>
      <c r="K313" s="44" t="n">
        <f aca="false">J313/$B$15</f>
        <v>8.11951636201366</v>
      </c>
    </row>
    <row r="314" customFormat="false" ht="15" hidden="false" customHeight="false" outlineLevel="0" collapsed="false">
      <c r="A314" s="55" t="n">
        <v>274</v>
      </c>
      <c r="B314" s="21" t="n">
        <f aca="true">NORMINV(RAND(),$B$6,$C$6)</f>
        <v>0.567680120014069</v>
      </c>
      <c r="C314" s="21" t="n">
        <f aca="true">MAX(0.05,NORMINV(RAND(),$B$7,$C$7))</f>
        <v>0.326646932616615</v>
      </c>
      <c r="D314" s="33" t="n">
        <f aca="true">MAX(0.08,NORMINV(RAND(),$B$8,$C$8))</f>
        <v>0.137583559037236</v>
      </c>
      <c r="E314" s="56" t="n">
        <f aca="true">MAX(5,NORMINV(RAND(),$B$9,$C$9))</f>
        <v>17.9385911452007</v>
      </c>
      <c r="F314" s="26" t="n">
        <f aca="false">$B$18*(1+(B314+$B$17)/2)^9</f>
        <v>3935.75209040512</v>
      </c>
      <c r="G314" s="26" t="n">
        <f aca="false">F314*(C314-Assumptions!$F$18)+$B$20</f>
        <v>823.42265925537</v>
      </c>
      <c r="H314" s="26" t="n">
        <f aca="false">E314*G314/(1+D314)^9</f>
        <v>4629.7909802287</v>
      </c>
      <c r="I314" s="26" t="n">
        <f aca="false">$B$13*F314/$B$19*((1+$B$8)/(1+D314))^4.5</f>
        <v>-1927.16970668337</v>
      </c>
      <c r="J314" s="26" t="n">
        <f aca="false">H314+I314+$B$14</f>
        <v>4467.79935573711</v>
      </c>
      <c r="K314" s="44" t="n">
        <f aca="false">J314/$B$15</f>
        <v>11.0044319106825</v>
      </c>
    </row>
    <row r="315" customFormat="false" ht="15" hidden="false" customHeight="false" outlineLevel="0" collapsed="false">
      <c r="A315" s="55" t="n">
        <v>275</v>
      </c>
      <c r="B315" s="21" t="n">
        <f aca="true">NORMINV(RAND(),$B$6,$C$6)</f>
        <v>0.521675129784111</v>
      </c>
      <c r="C315" s="21" t="n">
        <f aca="true">MAX(0.05,NORMINV(RAND(),$B$7,$C$7))</f>
        <v>0.303907230893728</v>
      </c>
      <c r="D315" s="33" t="n">
        <f aca="true">MAX(0.08,NORMINV(RAND(),$B$8,$C$8))</f>
        <v>0.170828458314844</v>
      </c>
      <c r="E315" s="56" t="n">
        <f aca="true">MAX(5,NORMINV(RAND(),$B$9,$C$9))</f>
        <v>12.4508664981306</v>
      </c>
      <c r="F315" s="26" t="n">
        <f aca="false">$B$18*(1+(B315+$B$17)/2)^9</f>
        <v>3393.77830017897</v>
      </c>
      <c r="G315" s="26" t="n">
        <f aca="false">F315*(C315-Assumptions!$F$18)+$B$20</f>
        <v>590.894028468768</v>
      </c>
      <c r="H315" s="26" t="n">
        <f aca="false">E315*G315/(1+D315)^9</f>
        <v>1779.38427551601</v>
      </c>
      <c r="I315" s="26" t="n">
        <f aca="false">$B$13*F315/$B$19*((1+$B$8)/(1+D315))^4.5</f>
        <v>-1459.75798616815</v>
      </c>
      <c r="J315" s="26" t="n">
        <f aca="false">H315+I315+$B$14</f>
        <v>2084.80437153964</v>
      </c>
      <c r="K315" s="44" t="n">
        <f aca="false">J315/$B$15</f>
        <v>5.13498613679714</v>
      </c>
    </row>
    <row r="316" customFormat="false" ht="15" hidden="false" customHeight="false" outlineLevel="0" collapsed="false">
      <c r="A316" s="55" t="n">
        <v>276</v>
      </c>
      <c r="B316" s="21" t="n">
        <f aca="true">NORMINV(RAND(),$B$6,$C$6)</f>
        <v>0.598045193759077</v>
      </c>
      <c r="C316" s="21" t="n">
        <f aca="true">MAX(0.05,NORMINV(RAND(),$B$7,$C$7))</f>
        <v>0.252158741546871</v>
      </c>
      <c r="D316" s="33" t="n">
        <f aca="true">MAX(0.08,NORMINV(RAND(),$B$8,$C$8))</f>
        <v>0.141980283347053</v>
      </c>
      <c r="E316" s="56" t="n">
        <f aca="true">MAX(5,NORMINV(RAND(),$B$9,$C$9))</f>
        <v>14.6163204577102</v>
      </c>
      <c r="F316" s="26" t="n">
        <f aca="false">$B$18*(1+(B316+$B$17)/2)^9</f>
        <v>4334.35454404591</v>
      </c>
      <c r="G316" s="26" t="n">
        <f aca="false">F316*(C316-Assumptions!$F$18)+$B$20</f>
        <v>614.822600484055</v>
      </c>
      <c r="H316" s="26" t="n">
        <f aca="false">E316*G316/(1+D316)^9</f>
        <v>2720.57327807869</v>
      </c>
      <c r="I316" s="26" t="n">
        <f aca="false">$B$13*F316/$B$19*((1+$B$8)/(1+D316))^4.5</f>
        <v>-2085.82473512085</v>
      </c>
      <c r="J316" s="26" t="n">
        <f aca="false">H316+I316+$B$14</f>
        <v>2399.92662514961</v>
      </c>
      <c r="K316" s="44" t="n">
        <f aca="false">J316/$B$15</f>
        <v>5.9111493230286</v>
      </c>
    </row>
    <row r="317" customFormat="false" ht="15" hidden="false" customHeight="false" outlineLevel="0" collapsed="false">
      <c r="A317" s="55" t="n">
        <v>277</v>
      </c>
      <c r="B317" s="21" t="n">
        <f aca="true">NORMINV(RAND(),$B$6,$C$6)</f>
        <v>0.5339225042285</v>
      </c>
      <c r="C317" s="21" t="n">
        <f aca="true">MAX(0.05,NORMINV(RAND(),$B$7,$C$7))</f>
        <v>0.264173273672875</v>
      </c>
      <c r="D317" s="33" t="n">
        <f aca="true">MAX(0.08,NORMINV(RAND(),$B$8,$C$8))</f>
        <v>0.117516537921043</v>
      </c>
      <c r="E317" s="56" t="n">
        <f aca="true">MAX(5,NORMINV(RAND(),$B$9,$C$9))</f>
        <v>17.7097481541075</v>
      </c>
      <c r="F317" s="26" t="n">
        <f aca="false">$B$18*(1+(B317+$B$17)/2)^9</f>
        <v>3531.15530937152</v>
      </c>
      <c r="G317" s="26" t="n">
        <f aca="false">F317*(C317-Assumptions!$F$18)+$B$20</f>
        <v>486.84204055048</v>
      </c>
      <c r="H317" s="26" t="n">
        <f aca="false">E317*G317/(1+D317)^9</f>
        <v>3171.86598244711</v>
      </c>
      <c r="I317" s="26" t="n">
        <f aca="false">$B$13*F317/$B$19*((1+$B$8)/(1+D317))^4.5</f>
        <v>-1873.23002566286</v>
      </c>
      <c r="J317" s="26" t="n">
        <f aca="false">H317+I317+$B$14</f>
        <v>3063.81403897603</v>
      </c>
      <c r="K317" s="44" t="n">
        <f aca="false">J317/$B$15</f>
        <v>7.5463399974779</v>
      </c>
    </row>
    <row r="318" customFormat="false" ht="15" hidden="false" customHeight="false" outlineLevel="0" collapsed="false">
      <c r="A318" s="55" t="n">
        <v>278</v>
      </c>
      <c r="B318" s="21" t="n">
        <f aca="true">NORMINV(RAND(),$B$6,$C$6)</f>
        <v>0.5845940720225</v>
      </c>
      <c r="C318" s="21" t="n">
        <f aca="true">MAX(0.05,NORMINV(RAND(),$B$7,$C$7))</f>
        <v>0.276380979044287</v>
      </c>
      <c r="D318" s="33" t="n">
        <f aca="true">MAX(0.08,NORMINV(RAND(),$B$8,$C$8))</f>
        <v>0.136835672125048</v>
      </c>
      <c r="E318" s="56" t="n">
        <f aca="true">MAX(5,NORMINV(RAND(),$B$9,$C$9))</f>
        <v>15.6667456888496</v>
      </c>
      <c r="F318" s="26" t="n">
        <f aca="false">$B$18*(1+(B318+$B$17)/2)^9</f>
        <v>4153.5592985975</v>
      </c>
      <c r="G318" s="26" t="n">
        <f aca="false">F318*(C318-Assumptions!$F$18)+$B$20</f>
        <v>677.073808522292</v>
      </c>
      <c r="H318" s="26" t="n">
        <f aca="false">E318*G318/(1+D318)^9</f>
        <v>3344.5336852334</v>
      </c>
      <c r="I318" s="26" t="n">
        <f aca="false">$B$13*F318/$B$19*((1+$B$8)/(1+D318))^4.5</f>
        <v>-2039.84845717217</v>
      </c>
      <c r="J318" s="26" t="n">
        <f aca="false">H318+I318+$B$14</f>
        <v>3069.86331025301</v>
      </c>
      <c r="K318" s="44" t="n">
        <f aca="false">J318/$B$15</f>
        <v>7.56123968042612</v>
      </c>
    </row>
    <row r="319" customFormat="false" ht="15" hidden="false" customHeight="false" outlineLevel="0" collapsed="false">
      <c r="A319" s="55" t="n">
        <v>279</v>
      </c>
      <c r="B319" s="21" t="n">
        <f aca="true">NORMINV(RAND(),$B$6,$C$6)</f>
        <v>0.601711812395331</v>
      </c>
      <c r="C319" s="21" t="n">
        <f aca="true">MAX(0.05,NORMINV(RAND(),$B$7,$C$7))</f>
        <v>0.403528461142476</v>
      </c>
      <c r="D319" s="33" t="n">
        <f aca="true">MAX(0.08,NORMINV(RAND(),$B$8,$C$8))</f>
        <v>0.161931348284917</v>
      </c>
      <c r="E319" s="56" t="n">
        <f aca="true">MAX(5,NORMINV(RAND(),$B$9,$C$9))</f>
        <v>12.6892177670441</v>
      </c>
      <c r="F319" s="26" t="n">
        <f aca="false">$B$18*(1+(B319+$B$17)/2)^9</f>
        <v>4384.83499615558</v>
      </c>
      <c r="G319" s="26" t="n">
        <f aca="false">F319*(C319-Assumptions!$F$18)+$B$20</f>
        <v>1289.26371351743</v>
      </c>
      <c r="H319" s="26" t="n">
        <f aca="false">E319*G319/(1+D319)^9</f>
        <v>4237.91644736703</v>
      </c>
      <c r="I319" s="26" t="n">
        <f aca="false">$B$13*F319/$B$19*((1+$B$8)/(1+D319))^4.5</f>
        <v>-1951.90308856891</v>
      </c>
      <c r="J319" s="26" t="n">
        <f aca="false">H319+I319+$B$14</f>
        <v>4051.1914409899</v>
      </c>
      <c r="K319" s="44" t="n">
        <f aca="false">J319/$B$15</f>
        <v>9.97830404184705</v>
      </c>
    </row>
    <row r="320" customFormat="false" ht="15" hidden="false" customHeight="false" outlineLevel="0" collapsed="false">
      <c r="A320" s="55" t="n">
        <v>280</v>
      </c>
      <c r="B320" s="21" t="n">
        <f aca="true">NORMINV(RAND(),$B$6,$C$6)</f>
        <v>0.456832938073351</v>
      </c>
      <c r="C320" s="21" t="n">
        <f aca="true">MAX(0.05,NORMINV(RAND(),$B$7,$C$7))</f>
        <v>0.341142347968529</v>
      </c>
      <c r="D320" s="33" t="n">
        <f aca="true">MAX(0.08,NORMINV(RAND(),$B$8,$C$8))</f>
        <v>0.129513029104516</v>
      </c>
      <c r="E320" s="56" t="n">
        <f aca="true">MAX(5,NORMINV(RAND(),$B$9,$C$9))</f>
        <v>15.5556828047439</v>
      </c>
      <c r="F320" s="26" t="n">
        <f aca="false">$B$18*(1+(B320+$B$17)/2)^9</f>
        <v>2742.55671322033</v>
      </c>
      <c r="G320" s="26" t="n">
        <f aca="false">F320*(C320-Assumptions!$F$18)+$B$20</f>
        <v>521.151363057331</v>
      </c>
      <c r="H320" s="26" t="n">
        <f aca="false">E320*G320/(1+D320)^9</f>
        <v>2709.14189523285</v>
      </c>
      <c r="I320" s="26" t="n">
        <f aca="false">$B$13*F320/$B$19*((1+$B$8)/(1+D320))^4.5</f>
        <v>-1386.63488156505</v>
      </c>
      <c r="J320" s="26" t="n">
        <f aca="false">H320+I320+$B$14</f>
        <v>3087.68509585958</v>
      </c>
      <c r="K320" s="44" t="n">
        <f aca="false">J320/$B$15</f>
        <v>7.60513570408764</v>
      </c>
    </row>
    <row r="321" customFormat="false" ht="15" hidden="false" customHeight="false" outlineLevel="0" collapsed="false">
      <c r="A321" s="55" t="n">
        <v>281</v>
      </c>
      <c r="B321" s="21" t="n">
        <f aca="true">NORMINV(RAND(),$B$6,$C$6)</f>
        <v>0.578069012795568</v>
      </c>
      <c r="C321" s="21" t="n">
        <f aca="true">MAX(0.05,NORMINV(RAND(),$B$7,$C$7))</f>
        <v>0.318523372134068</v>
      </c>
      <c r="D321" s="33" t="n">
        <f aca="true">MAX(0.08,NORMINV(RAND(),$B$8,$C$8))</f>
        <v>0.153485725992552</v>
      </c>
      <c r="E321" s="56" t="n">
        <f aca="true">MAX(5,NORMINV(RAND(),$B$9,$C$9))</f>
        <v>19.180297702253</v>
      </c>
      <c r="F321" s="26" t="n">
        <f aca="false">$B$18*(1+(B321+$B$17)/2)^9</f>
        <v>4068.29627854596</v>
      </c>
      <c r="G321" s="26" t="n">
        <f aca="false">F321*(C321-Assumptions!$F$18)+$B$20</f>
        <v>828.366993342411</v>
      </c>
      <c r="H321" s="26" t="n">
        <f aca="false">E321*G321/(1+D321)^9</f>
        <v>4395.09339142689</v>
      </c>
      <c r="I321" s="26" t="n">
        <f aca="false">$B$13*F321/$B$19*((1+$B$8)/(1+D321))^4.5</f>
        <v>-1871.43465998791</v>
      </c>
      <c r="J321" s="26" t="n">
        <f aca="false">H321+I321+$B$14</f>
        <v>4288.83681363076</v>
      </c>
      <c r="K321" s="44" t="n">
        <f aca="false">J321/$B$15</f>
        <v>10.563637471997</v>
      </c>
    </row>
    <row r="322" customFormat="false" ht="15" hidden="false" customHeight="false" outlineLevel="0" collapsed="false">
      <c r="A322" s="55" t="n">
        <v>282</v>
      </c>
      <c r="B322" s="21" t="n">
        <f aca="true">NORMINV(RAND(),$B$6,$C$6)</f>
        <v>0.473941590489996</v>
      </c>
      <c r="C322" s="21" t="n">
        <f aca="true">MAX(0.05,NORMINV(RAND(),$B$7,$C$7))</f>
        <v>0.233265115663192</v>
      </c>
      <c r="D322" s="33" t="n">
        <f aca="true">MAX(0.08,NORMINV(RAND(),$B$8,$C$8))</f>
        <v>0.126910958769331</v>
      </c>
      <c r="E322" s="56" t="n">
        <f aca="true">MAX(5,NORMINV(RAND(),$B$9,$C$9))</f>
        <v>16.227269937828</v>
      </c>
      <c r="F322" s="26" t="n">
        <f aca="false">$B$18*(1+(B322+$B$17)/2)^9</f>
        <v>2902.56972420607</v>
      </c>
      <c r="G322" s="26" t="n">
        <f aca="false">F322*(C322-Assumptions!$F$18)+$B$20</f>
        <v>256.216868470476</v>
      </c>
      <c r="H322" s="26" t="n">
        <f aca="false">E322*G322/(1+D322)^9</f>
        <v>1418.55689560781</v>
      </c>
      <c r="I322" s="26" t="n">
        <f aca="false">$B$13*F322/$B$19*((1+$B$8)/(1+D322))^4.5</f>
        <v>-1482.84773059017</v>
      </c>
      <c r="J322" s="26" t="n">
        <f aca="false">H322+I322+$B$14</f>
        <v>1700.88724720942</v>
      </c>
      <c r="K322" s="44" t="n">
        <f aca="false">J322/$B$15</f>
        <v>4.18937745618084</v>
      </c>
    </row>
    <row r="323" customFormat="false" ht="15" hidden="false" customHeight="false" outlineLevel="0" collapsed="false">
      <c r="A323" s="55" t="n">
        <v>283</v>
      </c>
      <c r="B323" s="21" t="n">
        <f aca="true">NORMINV(RAND(),$B$6,$C$6)</f>
        <v>0.625473134932473</v>
      </c>
      <c r="C323" s="21" t="n">
        <f aca="true">MAX(0.05,NORMINV(RAND(),$B$7,$C$7))</f>
        <v>0.38716243698222</v>
      </c>
      <c r="D323" s="33" t="n">
        <f aca="true">MAX(0.08,NORMINV(RAND(),$B$8,$C$8))</f>
        <v>0.137787677389563</v>
      </c>
      <c r="E323" s="56" t="n">
        <f aca="true">MAX(5,NORMINV(RAND(),$B$9,$C$9))</f>
        <v>17.9591024444808</v>
      </c>
      <c r="F323" s="26" t="n">
        <f aca="false">$B$18*(1+(B323+$B$17)/2)^9</f>
        <v>4724.83203092113</v>
      </c>
      <c r="G323" s="26" t="n">
        <f aca="false">F323*(C323-Assumptions!$F$18)+$B$20</f>
        <v>1335.53559718754</v>
      </c>
      <c r="H323" s="26" t="n">
        <f aca="false">E323*G323/(1+D323)^9</f>
        <v>7505.66303198975</v>
      </c>
      <c r="I323" s="26" t="n">
        <f aca="false">$B$13*F323/$B$19*((1+$B$8)/(1+D323))^4.5</f>
        <v>-2311.68131829036</v>
      </c>
      <c r="J323" s="26" t="n">
        <f aca="false">H323+I323+$B$14</f>
        <v>6959.15979589117</v>
      </c>
      <c r="K323" s="44" t="n">
        <f aca="false">J323/$B$15</f>
        <v>17.1407876746088</v>
      </c>
    </row>
    <row r="324" customFormat="false" ht="15" hidden="false" customHeight="false" outlineLevel="0" collapsed="false">
      <c r="A324" s="55" t="n">
        <v>284</v>
      </c>
      <c r="B324" s="21" t="n">
        <f aca="true">NORMINV(RAND(),$B$6,$C$6)</f>
        <v>0.470894054080548</v>
      </c>
      <c r="C324" s="21" t="n">
        <f aca="true">MAX(0.05,NORMINV(RAND(),$B$7,$C$7))</f>
        <v>0.335667927674421</v>
      </c>
      <c r="D324" s="33" t="n">
        <f aca="true">MAX(0.08,NORMINV(RAND(),$B$8,$C$8))</f>
        <v>0.123786970687072</v>
      </c>
      <c r="E324" s="56" t="n">
        <f aca="true">MAX(5,NORMINV(RAND(),$B$9,$C$9))</f>
        <v>15.8278746955487</v>
      </c>
      <c r="F324" s="26" t="n">
        <f aca="false">$B$18*(1+(B324+$B$17)/2)^9</f>
        <v>2873.47371269007</v>
      </c>
      <c r="G324" s="26" t="n">
        <f aca="false">F324*(C324-Assumptions!$F$18)+$B$20</f>
        <v>544.845412859308</v>
      </c>
      <c r="H324" s="26" t="n">
        <f aca="false">E324*G324/(1+D324)^9</f>
        <v>3016.75450205434</v>
      </c>
      <c r="I324" s="26" t="n">
        <f aca="false">$B$13*F324/$B$19*((1+$B$8)/(1+D324))^4.5</f>
        <v>-1486.43652417734</v>
      </c>
      <c r="J324" s="26" t="n">
        <f aca="false">H324+I324+$B$14</f>
        <v>3295.49606006878</v>
      </c>
      <c r="K324" s="44" t="n">
        <f aca="false">J324/$B$15</f>
        <v>8.11698536962753</v>
      </c>
    </row>
    <row r="325" customFormat="false" ht="15" hidden="false" customHeight="false" outlineLevel="0" collapsed="false">
      <c r="A325" s="55" t="n">
        <v>285</v>
      </c>
      <c r="B325" s="21" t="n">
        <f aca="true">NORMINV(RAND(),$B$6,$C$6)</f>
        <v>0.610088749552928</v>
      </c>
      <c r="C325" s="21" t="n">
        <f aca="true">MAX(0.05,NORMINV(RAND(),$B$7,$C$7))</f>
        <v>0.340298768342396</v>
      </c>
      <c r="D325" s="33" t="n">
        <f aca="true">MAX(0.08,NORMINV(RAND(),$B$8,$C$8))</f>
        <v>0.155041399871181</v>
      </c>
      <c r="E325" s="56" t="n">
        <f aca="true">MAX(5,NORMINV(RAND(),$B$9,$C$9))</f>
        <v>13.9379334384161</v>
      </c>
      <c r="F325" s="26" t="n">
        <f aca="false">$B$18*(1+(B325+$B$17)/2)^9</f>
        <v>4502.13103417746</v>
      </c>
      <c r="G325" s="26" t="n">
        <f aca="false">F325*(C325-Assumptions!$F$18)+$B$20</f>
        <v>1047.23579948088</v>
      </c>
      <c r="H325" s="26" t="n">
        <f aca="false">E325*G325/(1+D325)^9</f>
        <v>3989.00801426052</v>
      </c>
      <c r="I325" s="26" t="n">
        <f aca="false">$B$13*F325/$B$19*((1+$B$8)/(1+D325))^4.5</f>
        <v>-2058.47813496801</v>
      </c>
      <c r="J325" s="26" t="n">
        <f aca="false">H325+I325+$B$14</f>
        <v>3695.70796148429</v>
      </c>
      <c r="K325" s="44" t="n">
        <f aca="false">J325/$B$15</f>
        <v>9.10272896917312</v>
      </c>
    </row>
    <row r="326" customFormat="false" ht="15" hidden="false" customHeight="false" outlineLevel="0" collapsed="false">
      <c r="A326" s="55" t="n">
        <v>286</v>
      </c>
      <c r="B326" s="21" t="n">
        <f aca="true">NORMINV(RAND(),$B$6,$C$6)</f>
        <v>0.687245011993659</v>
      </c>
      <c r="C326" s="21" t="n">
        <f aca="true">MAX(0.05,NORMINV(RAND(),$B$7,$C$7))</f>
        <v>0.249984650456272</v>
      </c>
      <c r="D326" s="33" t="n">
        <f aca="true">MAX(0.08,NORMINV(RAND(),$B$8,$C$8))</f>
        <v>0.127954323845192</v>
      </c>
      <c r="E326" s="56" t="n">
        <f aca="true">MAX(5,NORMINV(RAND(),$B$9,$C$9))</f>
        <v>15.3316015655001</v>
      </c>
      <c r="F326" s="26" t="n">
        <f aca="false">$B$18*(1+(B326+$B$17)/2)^9</f>
        <v>5720.89686878269</v>
      </c>
      <c r="G326" s="26" t="n">
        <f aca="false">F326*(C326-Assumptions!$F$18)+$B$20</f>
        <v>896.551924289026</v>
      </c>
      <c r="H326" s="26" t="n">
        <f aca="false">E326*G326/(1+D326)^9</f>
        <v>4650.92515764986</v>
      </c>
      <c r="I326" s="26" t="n">
        <f aca="false">$B$13*F326/$B$19*((1+$B$8)/(1+D326))^4.5</f>
        <v>-2910.51213642221</v>
      </c>
      <c r="J326" s="26" t="n">
        <f aca="false">H326+I326+$B$14</f>
        <v>3505.59110341943</v>
      </c>
      <c r="K326" s="44" t="n">
        <f aca="false">J326/$B$15</f>
        <v>8.63446084586065</v>
      </c>
    </row>
    <row r="327" customFormat="false" ht="15" hidden="false" customHeight="false" outlineLevel="0" collapsed="false">
      <c r="A327" s="55" t="n">
        <v>287</v>
      </c>
      <c r="B327" s="21" t="n">
        <f aca="true">NORMINV(RAND(),$B$6,$C$6)</f>
        <v>0.61582701540822</v>
      </c>
      <c r="C327" s="21" t="n">
        <f aca="true">MAX(0.05,NORMINV(RAND(),$B$7,$C$7))</f>
        <v>0.348341064022925</v>
      </c>
      <c r="D327" s="33" t="n">
        <f aca="true">MAX(0.08,NORMINV(RAND(),$B$8,$C$8))</f>
        <v>0.118666398402478</v>
      </c>
      <c r="E327" s="56" t="n">
        <f aca="true">MAX(5,NORMINV(RAND(),$B$9,$C$9))</f>
        <v>18.1217498281918</v>
      </c>
      <c r="F327" s="26" t="n">
        <f aca="false">$B$18*(1+(B327+$B$17)/2)^9</f>
        <v>4584.08112938488</v>
      </c>
      <c r="G327" s="26" t="n">
        <f aca="false">F327*(C327-Assumptions!$F$18)+$B$20</f>
        <v>1108.71184800325</v>
      </c>
      <c r="H327" s="26" t="n">
        <f aca="false">E327*G327/(1+D327)^9</f>
        <v>7323.41220658913</v>
      </c>
      <c r="I327" s="26" t="n">
        <f aca="false">$B$13*F327/$B$19*((1+$B$8)/(1+D327))^4.5</f>
        <v>-2420.56490018757</v>
      </c>
      <c r="J327" s="26" t="n">
        <f aca="false">H327+I327+$B$14</f>
        <v>6668.02538859334</v>
      </c>
      <c r="K327" s="44" t="n">
        <f aca="false">J327/$B$15</f>
        <v>16.4237078536782</v>
      </c>
    </row>
    <row r="328" customFormat="false" ht="15" hidden="false" customHeight="false" outlineLevel="0" collapsed="false">
      <c r="A328" s="55" t="n">
        <v>288</v>
      </c>
      <c r="B328" s="21" t="n">
        <f aca="true">NORMINV(RAND(),$B$6,$C$6)</f>
        <v>0.617633808703426</v>
      </c>
      <c r="C328" s="21" t="n">
        <f aca="true">MAX(0.05,NORMINV(RAND(),$B$7,$C$7))</f>
        <v>0.297839489173026</v>
      </c>
      <c r="D328" s="33" t="n">
        <f aca="true">MAX(0.08,NORMINV(RAND(),$B$8,$C$8))</f>
        <v>0.14449367907669</v>
      </c>
      <c r="E328" s="56" t="n">
        <f aca="true">MAX(5,NORMINV(RAND(),$B$9,$C$9))</f>
        <v>12.9526013980946</v>
      </c>
      <c r="F328" s="26" t="n">
        <f aca="false">$B$18*(1+(B328+$B$17)/2)^9</f>
        <v>4610.15759674404</v>
      </c>
      <c r="G328" s="26" t="n">
        <f aca="false">F328*(C328-Assumptions!$F$18)+$B$20</f>
        <v>883.932074752937</v>
      </c>
      <c r="H328" s="26" t="n">
        <f aca="false">E328*G328/(1+D328)^9</f>
        <v>3398.24986186356</v>
      </c>
      <c r="I328" s="26" t="n">
        <f aca="false">$B$13*F328/$B$19*((1+$B$8)/(1+D328))^4.5</f>
        <v>-2196.70928078085</v>
      </c>
      <c r="J328" s="26" t="n">
        <f aca="false">H328+I328+$B$14</f>
        <v>2966.7186632745</v>
      </c>
      <c r="K328" s="44" t="n">
        <f aca="false">J328/$B$15</f>
        <v>7.30718882579925</v>
      </c>
    </row>
    <row r="329" customFormat="false" ht="15" hidden="false" customHeight="false" outlineLevel="0" collapsed="false">
      <c r="A329" s="55" t="n">
        <v>289</v>
      </c>
      <c r="B329" s="21" t="n">
        <f aca="true">NORMINV(RAND(),$B$6,$C$6)</f>
        <v>0.565185293789149</v>
      </c>
      <c r="C329" s="21" t="n">
        <f aca="true">MAX(0.05,NORMINV(RAND(),$B$7,$C$7))</f>
        <v>0.231458983241118</v>
      </c>
      <c r="D329" s="33" t="n">
        <f aca="true">MAX(0.08,NORMINV(RAND(),$B$8,$C$8))</f>
        <v>0.1509302115606</v>
      </c>
      <c r="E329" s="56" t="n">
        <f aca="true">MAX(5,NORMINV(RAND(),$B$9,$C$9))</f>
        <v>10.7649454952876</v>
      </c>
      <c r="F329" s="26" t="n">
        <f aca="false">$B$18*(1+(B329+$B$17)/2)^9</f>
        <v>3904.49984816082</v>
      </c>
      <c r="G329" s="26" t="n">
        <f aca="false">F329*(C329-Assumptions!$F$18)+$B$20</f>
        <v>442.802965995281</v>
      </c>
      <c r="H329" s="26" t="n">
        <f aca="false">E329*G329/(1+D329)^9</f>
        <v>1345.1832276736</v>
      </c>
      <c r="I329" s="26" t="n">
        <f aca="false">$B$13*F329/$B$19*((1+$B$8)/(1+D329))^4.5</f>
        <v>-1814.1034945991</v>
      </c>
      <c r="J329" s="26" t="n">
        <f aca="false">H329+I329+$B$14</f>
        <v>1296.25781526629</v>
      </c>
      <c r="K329" s="44" t="n">
        <f aca="false">J329/$B$15</f>
        <v>3.19275323957213</v>
      </c>
    </row>
    <row r="330" customFormat="false" ht="15" hidden="false" customHeight="false" outlineLevel="0" collapsed="false">
      <c r="A330" s="55" t="n">
        <v>290</v>
      </c>
      <c r="B330" s="21" t="n">
        <f aca="true">NORMINV(RAND(),$B$6,$C$6)</f>
        <v>0.55368082379819</v>
      </c>
      <c r="C330" s="21" t="n">
        <f aca="true">MAX(0.05,NORMINV(RAND(),$B$7,$C$7))</f>
        <v>0.343795197584979</v>
      </c>
      <c r="D330" s="33" t="n">
        <f aca="true">MAX(0.08,NORMINV(RAND(),$B$8,$C$8))</f>
        <v>0.138683638746145</v>
      </c>
      <c r="E330" s="56" t="n">
        <f aca="true">MAX(5,NORMINV(RAND(),$B$9,$C$9))</f>
        <v>20.831443883634</v>
      </c>
      <c r="F330" s="26" t="n">
        <f aca="false">$B$18*(1+(B330+$B$17)/2)^9</f>
        <v>3763.22066693024</v>
      </c>
      <c r="G330" s="26" t="n">
        <f aca="false">F330*(C330-Assumptions!$F$18)+$B$20</f>
        <v>838.49976106726</v>
      </c>
      <c r="H330" s="26" t="n">
        <f aca="false">E330*G330/(1+D330)^9</f>
        <v>5427.43451007182</v>
      </c>
      <c r="I330" s="26" t="n">
        <f aca="false">$B$13*F330/$B$19*((1+$B$8)/(1+D330))^4.5</f>
        <v>-1834.69099303336</v>
      </c>
      <c r="J330" s="26" t="n">
        <f aca="false">H330+I330+$B$14</f>
        <v>5357.92159923025</v>
      </c>
      <c r="K330" s="44" t="n">
        <f aca="false">J330/$B$15</f>
        <v>13.1968512296312</v>
      </c>
    </row>
    <row r="331" customFormat="false" ht="15" hidden="false" customHeight="false" outlineLevel="0" collapsed="false">
      <c r="A331" s="55" t="n">
        <v>291</v>
      </c>
      <c r="B331" s="21" t="n">
        <f aca="true">NORMINV(RAND(),$B$6,$C$6)</f>
        <v>0.603265462877221</v>
      </c>
      <c r="C331" s="21" t="n">
        <f aca="true">MAX(0.05,NORMINV(RAND(),$B$7,$C$7))</f>
        <v>0.304740646841193</v>
      </c>
      <c r="D331" s="33" t="n">
        <f aca="true">MAX(0.08,NORMINV(RAND(),$B$8,$C$8))</f>
        <v>0.167637222692996</v>
      </c>
      <c r="E331" s="56" t="n">
        <f aca="true">MAX(5,NORMINV(RAND(),$B$9,$C$9))</f>
        <v>14.4478118180718</v>
      </c>
      <c r="F331" s="26" t="n">
        <f aca="false">$B$18*(1+(B331+$B$17)/2)^9</f>
        <v>4406.38215749532</v>
      </c>
      <c r="G331" s="26" t="n">
        <f aca="false">F331*(C331-Assumptions!$F$18)+$B$20</f>
        <v>861.799857606111</v>
      </c>
      <c r="H331" s="26" t="n">
        <f aca="false">E331*G331/(1+D331)^9</f>
        <v>3086.29271013087</v>
      </c>
      <c r="I331" s="26" t="n">
        <f aca="false">$B$13*F331/$B$19*((1+$B$8)/(1+D331))^4.5</f>
        <v>-1918.72871636029</v>
      </c>
      <c r="J331" s="26" t="n">
        <f aca="false">H331+I331+$B$14</f>
        <v>2932.74207596236</v>
      </c>
      <c r="K331" s="44" t="n">
        <f aca="false">J331/$B$15</f>
        <v>7.22350265015358</v>
      </c>
    </row>
    <row r="332" customFormat="false" ht="15" hidden="false" customHeight="false" outlineLevel="0" collapsed="false">
      <c r="A332" s="55" t="n">
        <v>292</v>
      </c>
      <c r="B332" s="21" t="n">
        <f aca="true">NORMINV(RAND(),$B$6,$C$6)</f>
        <v>0.591980351010402</v>
      </c>
      <c r="C332" s="21" t="n">
        <f aca="true">MAX(0.05,NORMINV(RAND(),$B$7,$C$7))</f>
        <v>0.318547546920837</v>
      </c>
      <c r="D332" s="33" t="n">
        <f aca="true">MAX(0.08,NORMINV(RAND(),$B$8,$C$8))</f>
        <v>0.147889944481885</v>
      </c>
      <c r="E332" s="56" t="n">
        <f aca="true">MAX(5,NORMINV(RAND(),$B$9,$C$9))</f>
        <v>18.1987861206463</v>
      </c>
      <c r="F332" s="26" t="n">
        <f aca="false">$B$18*(1+(B332+$B$17)/2)^9</f>
        <v>4251.98949392881</v>
      </c>
      <c r="G332" s="26" t="n">
        <f aca="false">F332*(C332-Assumptions!$F$18)+$B$20</f>
        <v>879.632638068351</v>
      </c>
      <c r="H332" s="26" t="n">
        <f aca="false">E332*G332/(1+D332)^9</f>
        <v>4626.38203473904</v>
      </c>
      <c r="I332" s="26" t="n">
        <f aca="false">$B$13*F332/$B$19*((1+$B$8)/(1+D332))^4.5</f>
        <v>-1999.20881093641</v>
      </c>
      <c r="J332" s="26" t="n">
        <f aca="false">H332+I332+$B$14</f>
        <v>4392.35130599441</v>
      </c>
      <c r="K332" s="44" t="n">
        <f aca="false">J332/$B$15</f>
        <v>10.8185992758483</v>
      </c>
    </row>
    <row r="333" customFormat="false" ht="15" hidden="false" customHeight="false" outlineLevel="0" collapsed="false">
      <c r="A333" s="55" t="n">
        <v>293</v>
      </c>
      <c r="B333" s="21" t="n">
        <f aca="true">NORMINV(RAND(),$B$6,$C$6)</f>
        <v>0.511312322283031</v>
      </c>
      <c r="C333" s="21" t="n">
        <f aca="true">MAX(0.05,NORMINV(RAND(),$B$7,$C$7))</f>
        <v>0.299988735454943</v>
      </c>
      <c r="D333" s="33" t="n">
        <f aca="true">MAX(0.08,NORMINV(RAND(),$B$8,$C$8))</f>
        <v>0.139196550631637</v>
      </c>
      <c r="E333" s="56" t="n">
        <f aca="true">MAX(5,NORMINV(RAND(),$B$9,$C$9))</f>
        <v>14.5241739580263</v>
      </c>
      <c r="F333" s="26" t="n">
        <f aca="false">$B$18*(1+(B333+$B$17)/2)^9</f>
        <v>3281.2726795059</v>
      </c>
      <c r="G333" s="26" t="n">
        <f aca="false">F333*(C333-Assumptions!$F$18)+$B$20</f>
        <v>548.3453296289</v>
      </c>
      <c r="H333" s="26" t="n">
        <f aca="false">E333*G333/(1+D333)^9</f>
        <v>2464.66353138466</v>
      </c>
      <c r="I333" s="26" t="n">
        <f aca="false">$B$13*F333/$B$19*((1+$B$8)/(1+D333))^4.5</f>
        <v>-1596.48724351139</v>
      </c>
      <c r="J333" s="26" t="n">
        <f aca="false">H333+I333+$B$14</f>
        <v>2633.35437006506</v>
      </c>
      <c r="K333" s="44" t="n">
        <f aca="false">J333/$B$15</f>
        <v>6.4860945075494</v>
      </c>
    </row>
    <row r="334" customFormat="false" ht="15" hidden="false" customHeight="false" outlineLevel="0" collapsed="false">
      <c r="A334" s="55" t="n">
        <v>294</v>
      </c>
      <c r="B334" s="21" t="n">
        <f aca="true">NORMINV(RAND(),$B$6,$C$6)</f>
        <v>0.354670930863865</v>
      </c>
      <c r="C334" s="21" t="n">
        <f aca="true">MAX(0.05,NORMINV(RAND(),$B$7,$C$7))</f>
        <v>0.347058223332493</v>
      </c>
      <c r="D334" s="33" t="n">
        <f aca="true">MAX(0.08,NORMINV(RAND(),$B$8,$C$8))</f>
        <v>0.132615224543178</v>
      </c>
      <c r="E334" s="56" t="n">
        <f aca="true">MAX(5,NORMINV(RAND(),$B$9,$C$9))</f>
        <v>19.9044759270445</v>
      </c>
      <c r="F334" s="26" t="n">
        <f aca="false">$B$18*(1+(B334+$B$17)/2)^9</f>
        <v>1939.89539743955</v>
      </c>
      <c r="G334" s="26" t="n">
        <f aca="false">F334*(C334-Assumptions!$F$18)+$B$20</f>
        <v>290.912229189979</v>
      </c>
      <c r="H334" s="26" t="n">
        <f aca="false">E334*G334/(1+D334)^9</f>
        <v>1887.86602082003</v>
      </c>
      <c r="I334" s="26" t="n">
        <f aca="false">$B$13*F334/$B$19*((1+$B$8)/(1+D334))^4.5</f>
        <v>-968.778831910269</v>
      </c>
      <c r="J334" s="26" t="n">
        <f aca="false">H334+I334+$B$14</f>
        <v>2684.26527110154</v>
      </c>
      <c r="K334" s="44" t="n">
        <f aca="false">J334/$B$15</f>
        <v>6.61149081552104</v>
      </c>
    </row>
    <row r="335" customFormat="false" ht="15" hidden="false" customHeight="false" outlineLevel="0" collapsed="false">
      <c r="A335" s="55" t="n">
        <v>295</v>
      </c>
      <c r="B335" s="21" t="n">
        <f aca="true">NORMINV(RAND(),$B$6,$C$6)</f>
        <v>0.548796638211734</v>
      </c>
      <c r="C335" s="21" t="n">
        <f aca="true">MAX(0.05,NORMINV(RAND(),$B$7,$C$7))</f>
        <v>0.357559715145653</v>
      </c>
      <c r="D335" s="33" t="n">
        <f aca="true">MAX(0.08,NORMINV(RAND(),$B$8,$C$8))</f>
        <v>0.123537051976428</v>
      </c>
      <c r="E335" s="56" t="n">
        <f aca="true">MAX(5,NORMINV(RAND(),$B$9,$C$9))</f>
        <v>21.6009536169489</v>
      </c>
      <c r="F335" s="26" t="n">
        <f aca="false">$B$18*(1+(B335+$B$17)/2)^9</f>
        <v>3704.62826909918</v>
      </c>
      <c r="G335" s="26" t="n">
        <f aca="false">F335*(C335-Assumptions!$F$18)+$B$20</f>
        <v>871.69209285698</v>
      </c>
      <c r="H335" s="26" t="n">
        <f aca="false">E335*G335/(1+D335)^9</f>
        <v>6600.08363051428</v>
      </c>
      <c r="I335" s="26" t="n">
        <f aca="false">$B$13*F335/$B$19*((1+$B$8)/(1+D335))^4.5</f>
        <v>-1918.30847852686</v>
      </c>
      <c r="J335" s="26" t="n">
        <f aca="false">H335+I335+$B$14</f>
        <v>6446.9532341792</v>
      </c>
      <c r="K335" s="44" t="n">
        <f aca="false">J335/$B$15</f>
        <v>15.8791951580769</v>
      </c>
    </row>
    <row r="336" customFormat="false" ht="15" hidden="false" customHeight="false" outlineLevel="0" collapsed="false">
      <c r="A336" s="55" t="n">
        <v>296</v>
      </c>
      <c r="B336" s="21" t="n">
        <f aca="true">NORMINV(RAND(),$B$6,$C$6)</f>
        <v>0.572770026579019</v>
      </c>
      <c r="C336" s="21" t="n">
        <f aca="true">MAX(0.05,NORMINV(RAND(),$B$7,$C$7))</f>
        <v>0.300091109344872</v>
      </c>
      <c r="D336" s="33" t="n">
        <f aca="true">MAX(0.08,NORMINV(RAND(),$B$8,$C$8))</f>
        <v>0.143707782576368</v>
      </c>
      <c r="E336" s="56" t="n">
        <f aca="true">MAX(5,NORMINV(RAND(),$B$9,$C$9))</f>
        <v>14.7352805963563</v>
      </c>
      <c r="F336" s="26" t="n">
        <f aca="false">$B$18*(1+(B336+$B$17)/2)^9</f>
        <v>4000.20289144604</v>
      </c>
      <c r="G336" s="26" t="n">
        <f aca="false">F336*(C336-Assumptions!$F$18)+$B$20</f>
        <v>735.668602642078</v>
      </c>
      <c r="H336" s="26" t="n">
        <f aca="false">E336*G336/(1+D336)^9</f>
        <v>3237.46397448836</v>
      </c>
      <c r="I336" s="26" t="n">
        <f aca="false">$B$13*F336/$B$19*((1+$B$8)/(1+D336))^4.5</f>
        <v>-1911.97091667335</v>
      </c>
      <c r="J336" s="26" t="n">
        <f aca="false">H336+I336+$B$14</f>
        <v>3090.67114000679</v>
      </c>
      <c r="K336" s="44" t="n">
        <f aca="false">J336/$B$15</f>
        <v>7.61249049262756</v>
      </c>
    </row>
    <row r="337" customFormat="false" ht="15" hidden="false" customHeight="false" outlineLevel="0" collapsed="false">
      <c r="A337" s="55" t="n">
        <v>297</v>
      </c>
      <c r="B337" s="21" t="n">
        <f aca="true">NORMINV(RAND(),$B$6,$C$6)</f>
        <v>0.571179404565987</v>
      </c>
      <c r="C337" s="21" t="n">
        <f aca="true">MAX(0.05,NORMINV(RAND(),$B$7,$C$7))</f>
        <v>0.315518815211451</v>
      </c>
      <c r="D337" s="33" t="n">
        <f aca="true">MAX(0.08,NORMINV(RAND(),$B$8,$C$8))</f>
        <v>0.124405944714169</v>
      </c>
      <c r="E337" s="56" t="n">
        <f aca="true">MAX(5,NORMINV(RAND(),$B$9,$C$9))</f>
        <v>10.927645185527</v>
      </c>
      <c r="F337" s="26" t="n">
        <f aca="false">$B$18*(1+(B337+$B$17)/2)^9</f>
        <v>3979.96164233462</v>
      </c>
      <c r="G337" s="26" t="n">
        <f aca="false">F337*(C337-Assumptions!$F$18)+$B$20</f>
        <v>791.805711284364</v>
      </c>
      <c r="H337" s="26" t="n">
        <f aca="false">E337*G337/(1+D337)^9</f>
        <v>3011.87551440714</v>
      </c>
      <c r="I337" s="26" t="n">
        <f aca="false">$B$13*F337/$B$19*((1+$B$8)/(1+D337))^4.5</f>
        <v>-2053.7231274132</v>
      </c>
      <c r="J337" s="26" t="n">
        <f aca="false">H337+I337+$B$14</f>
        <v>2723.33046918573</v>
      </c>
      <c r="K337" s="44" t="n">
        <f aca="false">J337/$B$15</f>
        <v>6.70771051523579</v>
      </c>
    </row>
    <row r="338" customFormat="false" ht="15" hidden="false" customHeight="false" outlineLevel="0" collapsed="false">
      <c r="A338" s="55" t="n">
        <v>298</v>
      </c>
      <c r="B338" s="21" t="n">
        <f aca="true">NORMINV(RAND(),$B$6,$C$6)</f>
        <v>0.633428712484161</v>
      </c>
      <c r="C338" s="21" t="n">
        <f aca="true">MAX(0.05,NORMINV(RAND(),$B$7,$C$7))</f>
        <v>0.356749782231774</v>
      </c>
      <c r="D338" s="33" t="n">
        <f aca="true">MAX(0.08,NORMINV(RAND(),$B$8,$C$8))</f>
        <v>0.112807507946683</v>
      </c>
      <c r="E338" s="56" t="n">
        <f aca="true">MAX(5,NORMINV(RAND(),$B$9,$C$9))</f>
        <v>19.9587458302673</v>
      </c>
      <c r="F338" s="26" t="n">
        <f aca="false">$B$18*(1+(B338+$B$17)/2)^9</f>
        <v>4843.79230343672</v>
      </c>
      <c r="G338" s="26" t="n">
        <f aca="false">F338*(C338-Assumptions!$F$18)+$B$20</f>
        <v>1229.52155229084</v>
      </c>
      <c r="H338" s="26" t="n">
        <f aca="false">E338*G338/(1+D338)^9</f>
        <v>9377.54095261274</v>
      </c>
      <c r="I338" s="26" t="n">
        <f aca="false">$B$13*F338/$B$19*((1+$B$8)/(1+D338))^4.5</f>
        <v>-2618.86075046901</v>
      </c>
      <c r="J338" s="26" t="n">
        <f aca="false">H338+I338+$B$14</f>
        <v>8523.85828433552</v>
      </c>
      <c r="K338" s="44" t="n">
        <f aca="false">J338/$B$15</f>
        <v>20.9947248382648</v>
      </c>
    </row>
    <row r="339" customFormat="false" ht="15" hidden="false" customHeight="false" outlineLevel="0" collapsed="false">
      <c r="A339" s="55" t="n">
        <v>299</v>
      </c>
      <c r="B339" s="21" t="n">
        <f aca="true">NORMINV(RAND(),$B$6,$C$6)</f>
        <v>0.578855151657576</v>
      </c>
      <c r="C339" s="21" t="n">
        <f aca="true">MAX(0.05,NORMINV(RAND(),$B$7,$C$7))</f>
        <v>0.304100502742175</v>
      </c>
      <c r="D339" s="33" t="n">
        <f aca="true">MAX(0.08,NORMINV(RAND(),$B$8,$C$8))</f>
        <v>0.151714560739792</v>
      </c>
      <c r="E339" s="56" t="n">
        <f aca="true">MAX(5,NORMINV(RAND(),$B$9,$C$9))</f>
        <v>18.0049600362359</v>
      </c>
      <c r="F339" s="26" t="n">
        <f aca="false">$B$18*(1+(B339+$B$17)/2)^9</f>
        <v>4078.48564744865</v>
      </c>
      <c r="G339" s="26" t="n">
        <f aca="false">F339*(C339-Assumptions!$F$18)+$B$20</f>
        <v>772.381504919246</v>
      </c>
      <c r="H339" s="26" t="n">
        <f aca="false">E339*G339/(1+D339)^9</f>
        <v>3900.50024911267</v>
      </c>
      <c r="I339" s="26" t="n">
        <f aca="false">$B$13*F339/$B$19*((1+$B$8)/(1+D339))^4.5</f>
        <v>-1889.14018202961</v>
      </c>
      <c r="J339" s="26" t="n">
        <f aca="false">H339+I339+$B$14</f>
        <v>3776.53814927484</v>
      </c>
      <c r="K339" s="44" t="n">
        <f aca="false">J339/$B$15</f>
        <v>9.30181810166218</v>
      </c>
    </row>
    <row r="340" customFormat="false" ht="15" hidden="false" customHeight="false" outlineLevel="0" collapsed="false">
      <c r="A340" s="55" t="n">
        <v>300</v>
      </c>
      <c r="B340" s="21" t="n">
        <f aca="true">NORMINV(RAND(),$B$6,$C$6)</f>
        <v>0.561604295727025</v>
      </c>
      <c r="C340" s="21" t="n">
        <f aca="true">MAX(0.05,NORMINV(RAND(),$B$7,$C$7))</f>
        <v>0.27836956993394</v>
      </c>
      <c r="D340" s="33" t="n">
        <f aca="true">MAX(0.08,NORMINV(RAND(),$B$8,$C$8))</f>
        <v>0.143233902596929</v>
      </c>
      <c r="E340" s="56" t="n">
        <f aca="true">MAX(5,NORMINV(RAND(),$B$9,$C$9))</f>
        <v>10.3850997625899</v>
      </c>
      <c r="F340" s="26" t="n">
        <f aca="false">$B$18*(1+(B340+$B$17)/2)^9</f>
        <v>3860.0268694939</v>
      </c>
      <c r="G340" s="26" t="n">
        <f aca="false">F340*(C340-Assumptions!$F$18)+$B$20</f>
        <v>615.364339816022</v>
      </c>
      <c r="H340" s="26" t="n">
        <f aca="false">E340*G340/(1+D340)^9</f>
        <v>1915.69843076952</v>
      </c>
      <c r="I340" s="26" t="n">
        <f aca="false">$B$13*F340/$B$19*((1+$B$8)/(1+D340))^4.5</f>
        <v>-1848.41509472181</v>
      </c>
      <c r="J340" s="26" t="n">
        <f aca="false">H340+I340+$B$14</f>
        <v>1832.46141823949</v>
      </c>
      <c r="K340" s="44" t="n">
        <f aca="false">J340/$B$15</f>
        <v>4.51345176906277</v>
      </c>
    </row>
    <row r="341" customFormat="false" ht="15" hidden="false" customHeight="false" outlineLevel="0" collapsed="false">
      <c r="A341" s="55" t="n">
        <v>301</v>
      </c>
      <c r="B341" s="21" t="n">
        <f aca="true">NORMINV(RAND(),$B$6,$C$6)</f>
        <v>0.531759600843385</v>
      </c>
      <c r="C341" s="21" t="n">
        <f aca="true">MAX(0.05,NORMINV(RAND(),$B$7,$C$7))</f>
        <v>0.353991404590028</v>
      </c>
      <c r="D341" s="33" t="n">
        <f aca="true">MAX(0.08,NORMINV(RAND(),$B$8,$C$8))</f>
        <v>0.136512604979726</v>
      </c>
      <c r="E341" s="56" t="n">
        <f aca="true">MAX(5,NORMINV(RAND(),$B$9,$C$9))</f>
        <v>14.5820971187206</v>
      </c>
      <c r="F341" s="26" t="n">
        <f aca="false">$B$18*(1+(B341+$B$17)/2)^9</f>
        <v>3506.54086721454</v>
      </c>
      <c r="G341" s="26" t="n">
        <f aca="false">F341*(C341-Assumptions!$F$18)+$B$20</f>
        <v>796.275087150338</v>
      </c>
      <c r="H341" s="26" t="n">
        <f aca="false">E341*G341/(1+D341)^9</f>
        <v>3670.41189181771</v>
      </c>
      <c r="I341" s="26" t="n">
        <f aca="false">$B$13*F341/$B$19*((1+$B$8)/(1+D341))^4.5</f>
        <v>-1724.29613663769</v>
      </c>
      <c r="J341" s="26" t="n">
        <f aca="false">H341+I341+$B$14</f>
        <v>3711.2938373718</v>
      </c>
      <c r="K341" s="44" t="n">
        <f aca="false">J341/$B$15</f>
        <v>9.14111782603892</v>
      </c>
    </row>
    <row r="342" customFormat="false" ht="15" hidden="false" customHeight="false" outlineLevel="0" collapsed="false">
      <c r="A342" s="55" t="n">
        <v>302</v>
      </c>
      <c r="B342" s="21" t="n">
        <f aca="true">NORMINV(RAND(),$B$6,$C$6)</f>
        <v>0.688461576400281</v>
      </c>
      <c r="C342" s="21" t="n">
        <f aca="true">MAX(0.05,NORMINV(RAND(),$B$7,$C$7))</f>
        <v>0.312739605584281</v>
      </c>
      <c r="D342" s="33" t="n">
        <f aca="true">MAX(0.08,NORMINV(RAND(),$B$8,$C$8))</f>
        <v>0.103078917587554</v>
      </c>
      <c r="E342" s="56" t="n">
        <f aca="true">MAX(5,NORMINV(RAND(),$B$9,$C$9))</f>
        <v>13.1654617382494</v>
      </c>
      <c r="F342" s="26" t="n">
        <f aca="false">$B$18*(1+(B342+$B$17)/2)^9</f>
        <v>5742.25784873997</v>
      </c>
      <c r="G342" s="26" t="n">
        <f aca="false">F342*(C342-Assumptions!$F$18)+$B$20</f>
        <v>1261.39253582989</v>
      </c>
      <c r="H342" s="26" t="n">
        <f aca="false">E342*G342/(1+D342)^9</f>
        <v>6867.9495049124</v>
      </c>
      <c r="I342" s="26" t="n">
        <f aca="false">$B$13*F342/$B$19*((1+$B$8)/(1+D342))^4.5</f>
        <v>-3229.75936946347</v>
      </c>
      <c r="J342" s="26" t="n">
        <f aca="false">H342+I342+$B$14</f>
        <v>5403.3682176407</v>
      </c>
      <c r="K342" s="44" t="n">
        <f aca="false">J342/$B$15</f>
        <v>13.3087887134007</v>
      </c>
    </row>
    <row r="343" customFormat="false" ht="15" hidden="false" customHeight="false" outlineLevel="0" collapsed="false">
      <c r="A343" s="55" t="n">
        <v>303</v>
      </c>
      <c r="B343" s="21" t="n">
        <f aca="true">NORMINV(RAND(),$B$6,$C$6)</f>
        <v>0.525315736624321</v>
      </c>
      <c r="C343" s="21" t="n">
        <f aca="true">MAX(0.05,NORMINV(RAND(),$B$7,$C$7))</f>
        <v>0.248819826987286</v>
      </c>
      <c r="D343" s="33" t="n">
        <f aca="true">MAX(0.08,NORMINV(RAND(),$B$8,$C$8))</f>
        <v>0.147706847512645</v>
      </c>
      <c r="E343" s="56" t="n">
        <f aca="true">MAX(5,NORMINV(RAND(),$B$9,$C$9))</f>
        <v>17.6814547803441</v>
      </c>
      <c r="F343" s="26" t="n">
        <f aca="false">$B$18*(1+(B343+$B$17)/2)^9</f>
        <v>3434.10941448198</v>
      </c>
      <c r="G343" s="26" t="n">
        <f aca="false">F343*(C343-Assumptions!$F$18)+$B$20</f>
        <v>412.361528788847</v>
      </c>
      <c r="H343" s="26" t="n">
        <f aca="false">E343*G343/(1+D343)^9</f>
        <v>2110.16969121253</v>
      </c>
      <c r="I343" s="26" t="n">
        <f aca="false">$B$13*F343/$B$19*((1+$B$8)/(1+D343))^4.5</f>
        <v>-1615.81582330795</v>
      </c>
      <c r="J343" s="26" t="n">
        <f aca="false">H343+I343+$B$14</f>
        <v>2259.53195009635</v>
      </c>
      <c r="K343" s="44" t="n">
        <f aca="false">J343/$B$15</f>
        <v>5.5653496307792</v>
      </c>
    </row>
    <row r="344" customFormat="false" ht="15" hidden="false" customHeight="false" outlineLevel="0" collapsed="false">
      <c r="A344" s="55" t="n">
        <v>304</v>
      </c>
      <c r="B344" s="21" t="n">
        <f aca="true">NORMINV(RAND(),$B$6,$C$6)</f>
        <v>0.594943089250785</v>
      </c>
      <c r="C344" s="21" t="n">
        <f aca="true">MAX(0.05,NORMINV(RAND(),$B$7,$C$7))</f>
        <v>0.273308261187318</v>
      </c>
      <c r="D344" s="33" t="n">
        <f aca="true">MAX(0.08,NORMINV(RAND(),$B$8,$C$8))</f>
        <v>0.111675481724469</v>
      </c>
      <c r="E344" s="56" t="n">
        <f aca="true">MAX(5,NORMINV(RAND(),$B$9,$C$9))</f>
        <v>10.3953865233702</v>
      </c>
      <c r="F344" s="26" t="n">
        <f aca="false">$B$18*(1+(B344+$B$17)/2)^9</f>
        <v>4292.05019308539</v>
      </c>
      <c r="G344" s="26" t="n">
        <f aca="false">F344*(C344-Assumptions!$F$18)+$B$20</f>
        <v>696.622162478755</v>
      </c>
      <c r="H344" s="26" t="n">
        <f aca="false">E344*G344/(1+D344)^9</f>
        <v>2792.7732974872</v>
      </c>
      <c r="I344" s="26" t="n">
        <f aca="false">$B$13*F344/$B$19*((1+$B$8)/(1+D344))^4.5</f>
        <v>-2331.20666109587</v>
      </c>
      <c r="J344" s="26" t="n">
        <f aca="false">H344+I344+$B$14</f>
        <v>2226.74471858311</v>
      </c>
      <c r="K344" s="44" t="n">
        <f aca="false">J344/$B$15</f>
        <v>5.48459290291407</v>
      </c>
    </row>
    <row r="345" customFormat="false" ht="15" hidden="false" customHeight="false" outlineLevel="0" collapsed="false">
      <c r="A345" s="55" t="n">
        <v>305</v>
      </c>
      <c r="B345" s="21" t="n">
        <f aca="true">NORMINV(RAND(),$B$6,$C$6)</f>
        <v>0.682601481410612</v>
      </c>
      <c r="C345" s="21" t="n">
        <f aca="true">MAX(0.05,NORMINV(RAND(),$B$7,$C$7))</f>
        <v>0.257624126136612</v>
      </c>
      <c r="D345" s="33" t="n">
        <f aca="true">MAX(0.08,NORMINV(RAND(),$B$8,$C$8))</f>
        <v>0.146645261969138</v>
      </c>
      <c r="E345" s="56" t="n">
        <f aca="true">MAX(5,NORMINV(RAND(),$B$9,$C$9))</f>
        <v>14.403937646431</v>
      </c>
      <c r="F345" s="26" t="n">
        <f aca="false">$B$18*(1+(B345+$B$17)/2)^9</f>
        <v>5640.01151564376</v>
      </c>
      <c r="G345" s="26" t="n">
        <f aca="false">F345*(C345-Assumptions!$F$18)+$B$20</f>
        <v>922.653972493711</v>
      </c>
      <c r="H345" s="26" t="n">
        <f aca="false">E345*G345/(1+D345)^9</f>
        <v>3878.45146428511</v>
      </c>
      <c r="I345" s="26" t="n">
        <f aca="false">$B$13*F345/$B$19*((1+$B$8)/(1+D345))^4.5</f>
        <v>-2664.80989880302</v>
      </c>
      <c r="J345" s="26" t="n">
        <f aca="false">H345+I345+$B$14</f>
        <v>2978.81964767387</v>
      </c>
      <c r="K345" s="44" t="n">
        <f aca="false">J345/$B$15</f>
        <v>7.33699420609327</v>
      </c>
    </row>
    <row r="346" customFormat="false" ht="15" hidden="false" customHeight="false" outlineLevel="0" collapsed="false">
      <c r="A346" s="55" t="n">
        <v>306</v>
      </c>
      <c r="B346" s="21" t="n">
        <f aca="true">NORMINV(RAND(),$B$6,$C$6)</f>
        <v>0.522239957781959</v>
      </c>
      <c r="C346" s="21" t="n">
        <f aca="true">MAX(0.05,NORMINV(RAND(),$B$7,$C$7))</f>
        <v>0.3698255316055</v>
      </c>
      <c r="D346" s="33" t="n">
        <f aca="true">MAX(0.08,NORMINV(RAND(),$B$8,$C$8))</f>
        <v>0.146400897554971</v>
      </c>
      <c r="E346" s="56" t="n">
        <f aca="true">MAX(5,NORMINV(RAND(),$B$9,$C$9))</f>
        <v>13.7218222516479</v>
      </c>
      <c r="F346" s="26" t="n">
        <f aca="false">$B$18*(1+(B346+$B$17)/2)^9</f>
        <v>3400.0078104357</v>
      </c>
      <c r="G346" s="26" t="n">
        <f aca="false">F346*(C346-Assumptions!$F$18)+$B$20</f>
        <v>816.660778541119</v>
      </c>
      <c r="H346" s="26" t="n">
        <f aca="false">E346*G346/(1+D346)^9</f>
        <v>3276.61059319106</v>
      </c>
      <c r="I346" s="26" t="n">
        <f aca="false">$B$13*F346/$B$19*((1+$B$8)/(1+D346))^4.5</f>
        <v>-1607.98758895773</v>
      </c>
      <c r="J346" s="26" t="n">
        <f aca="false">H346+I346+$B$14</f>
        <v>3433.80108642511</v>
      </c>
      <c r="K346" s="44" t="n">
        <f aca="false">J346/$B$15</f>
        <v>8.45763814390421</v>
      </c>
    </row>
    <row r="347" customFormat="false" ht="15" hidden="false" customHeight="false" outlineLevel="0" collapsed="false">
      <c r="A347" s="55" t="n">
        <v>307</v>
      </c>
      <c r="B347" s="21" t="n">
        <f aca="true">NORMINV(RAND(),$B$6,$C$6)</f>
        <v>0.805983013044898</v>
      </c>
      <c r="C347" s="21" t="n">
        <f aca="true">MAX(0.05,NORMINV(RAND(),$B$7,$C$7))</f>
        <v>0.270600839819599</v>
      </c>
      <c r="D347" s="33" t="n">
        <f aca="true">MAX(0.08,NORMINV(RAND(),$B$8,$C$8))</f>
        <v>0.170051406290243</v>
      </c>
      <c r="E347" s="56" t="n">
        <f aca="true">MAX(5,NORMINV(RAND(),$B$9,$C$9))</f>
        <v>14.3152355071662</v>
      </c>
      <c r="F347" s="26" t="n">
        <f aca="false">$B$18*(1+(B347+$B$17)/2)^9</f>
        <v>8172.61361344883</v>
      </c>
      <c r="G347" s="26" t="n">
        <f aca="false">F347*(C347-Assumptions!$F$18)+$B$20</f>
        <v>1579.8629577837</v>
      </c>
      <c r="H347" s="26" t="n">
        <f aca="false">E347*G347/(1+D347)^9</f>
        <v>5502.66947887764</v>
      </c>
      <c r="I347" s="26" t="n">
        <f aca="false">$B$13*F347/$B$19*((1+$B$8)/(1+D347))^4.5</f>
        <v>-3525.7850311537</v>
      </c>
      <c r="J347" s="26" t="n">
        <f aca="false">H347+I347+$B$14</f>
        <v>3742.06252991572</v>
      </c>
      <c r="K347" s="44" t="n">
        <f aca="false">J347/$B$15</f>
        <v>9.21690278304365</v>
      </c>
    </row>
    <row r="348" customFormat="false" ht="15" hidden="false" customHeight="false" outlineLevel="0" collapsed="false">
      <c r="A348" s="55" t="n">
        <v>308</v>
      </c>
      <c r="B348" s="21" t="n">
        <f aca="true">NORMINV(RAND(),$B$6,$C$6)</f>
        <v>0.465138425577565</v>
      </c>
      <c r="C348" s="21" t="n">
        <f aca="true">MAX(0.05,NORMINV(RAND(),$B$7,$C$7))</f>
        <v>0.305689869693385</v>
      </c>
      <c r="D348" s="33" t="n">
        <f aca="true">MAX(0.08,NORMINV(RAND(),$B$8,$C$8))</f>
        <v>0.159704839275066</v>
      </c>
      <c r="E348" s="56" t="n">
        <f aca="true">MAX(5,NORMINV(RAND(),$B$9,$C$9))</f>
        <v>15.1569428969308</v>
      </c>
      <c r="F348" s="26" t="n">
        <f aca="false">$B$18*(1+(B348+$B$17)/2)^9</f>
        <v>2819.22883549564</v>
      </c>
      <c r="G348" s="26" t="n">
        <f aca="false">F348*(C348-Assumptions!$F$18)+$B$20</f>
        <v>444.291936939981</v>
      </c>
      <c r="H348" s="26" t="n">
        <f aca="false">E348*G348/(1+D348)^9</f>
        <v>1774.81390017151</v>
      </c>
      <c r="I348" s="26" t="n">
        <f aca="false">$B$13*F348/$B$19*((1+$B$8)/(1+D348))^4.5</f>
        <v>-1265.85459516549</v>
      </c>
      <c r="J348" s="26" t="n">
        <f aca="false">H348+I348+$B$14</f>
        <v>2274.1373871978</v>
      </c>
      <c r="K348" s="44" t="n">
        <f aca="false">J348/$B$15</f>
        <v>5.60132361378768</v>
      </c>
    </row>
    <row r="349" customFormat="false" ht="15" hidden="false" customHeight="false" outlineLevel="0" collapsed="false">
      <c r="A349" s="55" t="n">
        <v>309</v>
      </c>
      <c r="B349" s="21" t="n">
        <f aca="true">NORMINV(RAND(),$B$6,$C$6)</f>
        <v>0.521106905435175</v>
      </c>
      <c r="C349" s="21" t="n">
        <f aca="true">MAX(0.05,NORMINV(RAND(),$B$7,$C$7))</f>
        <v>0.374088241769548</v>
      </c>
      <c r="D349" s="33" t="n">
        <f aca="true">MAX(0.08,NORMINV(RAND(),$B$8,$C$8))</f>
        <v>0.131280679918919</v>
      </c>
      <c r="E349" s="56" t="n">
        <f aca="true">MAX(5,NORMINV(RAND(),$B$9,$C$9))</f>
        <v>11.6316949912446</v>
      </c>
      <c r="F349" s="26" t="n">
        <f aca="false">$B$18*(1+(B349+$B$17)/2)^9</f>
        <v>3387.52157072483</v>
      </c>
      <c r="G349" s="26" t="n">
        <f aca="false">F349*(C349-Assumptions!$F$18)+$B$20</f>
        <v>826.982520521188</v>
      </c>
      <c r="H349" s="26" t="n">
        <f aca="false">E349*G349/(1+D349)^9</f>
        <v>3169.61127574878</v>
      </c>
      <c r="I349" s="26" t="n">
        <f aca="false">$B$13*F349/$B$19*((1+$B$8)/(1+D349))^4.5</f>
        <v>-1700.71878681609</v>
      </c>
      <c r="J349" s="26" t="n">
        <f aca="false">H349+I349+$B$14</f>
        <v>3234.07057112448</v>
      </c>
      <c r="K349" s="44" t="n">
        <f aca="false">J349/$B$15</f>
        <v>7.96569106188294</v>
      </c>
    </row>
    <row r="350" customFormat="false" ht="15" hidden="false" customHeight="false" outlineLevel="0" collapsed="false">
      <c r="A350" s="55" t="n">
        <v>310</v>
      </c>
      <c r="B350" s="21" t="n">
        <f aca="true">NORMINV(RAND(),$B$6,$C$6)</f>
        <v>0.525288290790988</v>
      </c>
      <c r="C350" s="21" t="n">
        <f aca="true">MAX(0.05,NORMINV(RAND(),$B$7,$C$7))</f>
        <v>0.242993299436923</v>
      </c>
      <c r="D350" s="33" t="n">
        <f aca="true">MAX(0.08,NORMINV(RAND(),$B$8,$C$8))</f>
        <v>0.136316565298581</v>
      </c>
      <c r="E350" s="56" t="n">
        <f aca="true">MAX(5,NORMINV(RAND(),$B$9,$C$9))</f>
        <v>16.9547825381797</v>
      </c>
      <c r="F350" s="26" t="n">
        <f aca="false">$B$18*(1+(B350+$B$17)/2)^9</f>
        <v>3433.80377920368</v>
      </c>
      <c r="G350" s="26" t="n">
        <f aca="false">F350*(C350-Assumptions!$F$18)+$B$20</f>
        <v>392.29055376084</v>
      </c>
      <c r="H350" s="26" t="n">
        <f aca="false">E350*G350/(1+D350)^9</f>
        <v>2105.74623755395</v>
      </c>
      <c r="I350" s="26" t="n">
        <f aca="false">$B$13*F350/$B$19*((1+$B$8)/(1+D350))^4.5</f>
        <v>-1689.83989783227</v>
      </c>
      <c r="J350" s="26" t="n">
        <f aca="false">H350+I350+$B$14</f>
        <v>2181.08442191346</v>
      </c>
      <c r="K350" s="44" t="n">
        <f aca="false">J350/$B$15</f>
        <v>5.37212911801346</v>
      </c>
    </row>
    <row r="351" customFormat="false" ht="15" hidden="false" customHeight="false" outlineLevel="0" collapsed="false">
      <c r="A351" s="55" t="n">
        <v>311</v>
      </c>
      <c r="B351" s="21" t="n">
        <f aca="true">NORMINV(RAND(),$B$6,$C$6)</f>
        <v>0.510070261698762</v>
      </c>
      <c r="C351" s="21" t="n">
        <f aca="true">MAX(0.05,NORMINV(RAND(),$B$7,$C$7))</f>
        <v>0.264647034676637</v>
      </c>
      <c r="D351" s="33" t="n">
        <f aca="true">MAX(0.08,NORMINV(RAND(),$B$8,$C$8))</f>
        <v>0.146229126053703</v>
      </c>
      <c r="E351" s="56" t="n">
        <f aca="true">MAX(5,NORMINV(RAND(),$B$9,$C$9))</f>
        <v>16.0430107186808</v>
      </c>
      <c r="F351" s="26" t="n">
        <f aca="false">$B$18*(1+(B351+$B$17)/2)^9</f>
        <v>3268.013067945</v>
      </c>
      <c r="G351" s="26" t="n">
        <f aca="false">F351*(C351-Assumptions!$F$18)+$B$20</f>
        <v>429.400839999652</v>
      </c>
      <c r="H351" s="26" t="n">
        <f aca="false">E351*G351/(1+D351)^9</f>
        <v>2016.99956665457</v>
      </c>
      <c r="I351" s="26" t="n">
        <f aca="false">$B$13*F351/$B$19*((1+$B$8)/(1+D351))^4.5</f>
        <v>-1546.60500517371</v>
      </c>
      <c r="J351" s="26" t="n">
        <f aca="false">H351+I351+$B$14</f>
        <v>2235.57264367264</v>
      </c>
      <c r="K351" s="44" t="n">
        <f aca="false">J351/$B$15</f>
        <v>5.50633656077006</v>
      </c>
    </row>
    <row r="352" customFormat="false" ht="15" hidden="false" customHeight="false" outlineLevel="0" collapsed="false">
      <c r="A352" s="55" t="n">
        <v>312</v>
      </c>
      <c r="B352" s="21" t="n">
        <f aca="true">NORMINV(RAND(),$B$6,$C$6)</f>
        <v>0.599031684424976</v>
      </c>
      <c r="C352" s="21" t="n">
        <f aca="true">MAX(0.05,NORMINV(RAND(),$B$7,$C$7))</f>
        <v>0.24816806954982</v>
      </c>
      <c r="D352" s="33" t="n">
        <f aca="true">MAX(0.08,NORMINV(RAND(),$B$8,$C$8))</f>
        <v>0.154361313761257</v>
      </c>
      <c r="E352" s="56" t="n">
        <f aca="true">MAX(5,NORMINV(RAND(),$B$9,$C$9))</f>
        <v>18.4779524846944</v>
      </c>
      <c r="F352" s="26" t="n">
        <f aca="false">$B$18*(1+(B352+$B$17)/2)^9</f>
        <v>4347.8850747201</v>
      </c>
      <c r="G352" s="26" t="n">
        <f aca="false">F352*(C352-Assumptions!$F$18)+$B$20</f>
        <v>600.342237630268</v>
      </c>
      <c r="H352" s="26" t="n">
        <f aca="false">E352*G352/(1+D352)^9</f>
        <v>3047.73267860797</v>
      </c>
      <c r="I352" s="26" t="n">
        <f aca="false">$B$13*F352/$B$19*((1+$B$8)/(1+D352))^4.5</f>
        <v>-1993.22912834726</v>
      </c>
      <c r="J352" s="26" t="n">
        <f aca="false">H352+I352+$B$14</f>
        <v>2819.6816324525</v>
      </c>
      <c r="K352" s="44" t="n">
        <f aca="false">J352/$B$15</f>
        <v>6.94502865136083</v>
      </c>
    </row>
    <row r="353" customFormat="false" ht="15" hidden="false" customHeight="false" outlineLevel="0" collapsed="false">
      <c r="A353" s="55" t="n">
        <v>313</v>
      </c>
      <c r="B353" s="21" t="n">
        <f aca="true">NORMINV(RAND(),$B$6,$C$6)</f>
        <v>0.694546262556348</v>
      </c>
      <c r="C353" s="21" t="n">
        <f aca="true">MAX(0.05,NORMINV(RAND(),$B$7,$C$7))</f>
        <v>0.352503315361159</v>
      </c>
      <c r="D353" s="33" t="n">
        <f aca="true">MAX(0.08,NORMINV(RAND(),$B$8,$C$8))</f>
        <v>0.12527098887452</v>
      </c>
      <c r="E353" s="56" t="n">
        <f aca="true">MAX(5,NORMINV(RAND(),$B$9,$C$9))</f>
        <v>14.2021172020193</v>
      </c>
      <c r="F353" s="26" t="n">
        <f aca="false">$B$18*(1+(B353+$B$17)/2)^9</f>
        <v>5850.16321009691</v>
      </c>
      <c r="G353" s="26" t="n">
        <f aca="false">F353*(C353-Assumptions!$F$18)+$B$20</f>
        <v>1523.44679356048</v>
      </c>
      <c r="H353" s="26" t="n">
        <f aca="false">E353*G353/(1+D353)^9</f>
        <v>7479.39178412325</v>
      </c>
      <c r="I353" s="26" t="n">
        <f aca="false">$B$13*F353/$B$19*((1+$B$8)/(1+D353))^4.5</f>
        <v>-3008.34775756572</v>
      </c>
      <c r="J353" s="26" t="n">
        <f aca="false">H353+I353+$B$14</f>
        <v>6236.22210874931</v>
      </c>
      <c r="K353" s="44" t="n">
        <f aca="false">J353/$B$15</f>
        <v>15.3601529772151</v>
      </c>
    </row>
    <row r="354" customFormat="false" ht="15" hidden="false" customHeight="false" outlineLevel="0" collapsed="false">
      <c r="A354" s="55" t="n">
        <v>314</v>
      </c>
      <c r="B354" s="21" t="n">
        <f aca="true">NORMINV(RAND(),$B$6,$C$6)</f>
        <v>0.444944134871115</v>
      </c>
      <c r="C354" s="21" t="n">
        <f aca="true">MAX(0.05,NORMINV(RAND(),$B$7,$C$7))</f>
        <v>0.434850913877385</v>
      </c>
      <c r="D354" s="33" t="n">
        <f aca="true">MAX(0.08,NORMINV(RAND(),$B$8,$C$8))</f>
        <v>0.142517904705073</v>
      </c>
      <c r="E354" s="56" t="n">
        <f aca="true">MAX(5,NORMINV(RAND(),$B$9,$C$9))</f>
        <v>13.5541375397843</v>
      </c>
      <c r="F354" s="26" t="n">
        <f aca="false">$B$18*(1+(B354+$B$17)/2)^9</f>
        <v>2636.03059085399</v>
      </c>
      <c r="G354" s="26" t="n">
        <f aca="false">F354*(C354-Assumptions!$F$18)+$B$20</f>
        <v>736.090482808753</v>
      </c>
      <c r="H354" s="26" t="n">
        <f aca="false">E354*G354/(1+D354)^9</f>
        <v>3007.7099895598</v>
      </c>
      <c r="I354" s="26" t="n">
        <f aca="false">$B$13*F354/$B$19*((1+$B$8)/(1+D354))^4.5</f>
        <v>-1265.85507064401</v>
      </c>
      <c r="J354" s="26" t="n">
        <f aca="false">H354+I354+$B$14</f>
        <v>3507.03300110757</v>
      </c>
      <c r="K354" s="44" t="n">
        <f aca="false">J354/$B$15</f>
        <v>8.63801231799895</v>
      </c>
    </row>
    <row r="355" customFormat="false" ht="15" hidden="false" customHeight="false" outlineLevel="0" collapsed="false">
      <c r="A355" s="55" t="n">
        <v>315</v>
      </c>
      <c r="B355" s="21" t="n">
        <f aca="true">NORMINV(RAND(),$B$6,$C$6)</f>
        <v>0.580709236743009</v>
      </c>
      <c r="C355" s="21" t="n">
        <f aca="true">MAX(0.05,NORMINV(RAND(),$B$7,$C$7))</f>
        <v>0.289459009457665</v>
      </c>
      <c r="D355" s="33" t="n">
        <f aca="true">MAX(0.08,NORMINV(RAND(),$B$8,$C$8))</f>
        <v>0.15420249081825</v>
      </c>
      <c r="E355" s="56" t="n">
        <f aca="true">MAX(5,NORMINV(RAND(),$B$9,$C$9))</f>
        <v>10.9929527187241</v>
      </c>
      <c r="F355" s="26" t="n">
        <f aca="false">$B$18*(1+(B355+$B$17)/2)^9</f>
        <v>4102.60686498757</v>
      </c>
      <c r="G355" s="26" t="n">
        <f aca="false">F355*(C355-Assumptions!$F$18)+$B$20</f>
        <v>718.683639735329</v>
      </c>
      <c r="H355" s="26" t="n">
        <f aca="false">E355*G355/(1+D355)^9</f>
        <v>2173.2718457494</v>
      </c>
      <c r="I355" s="26" t="n">
        <f aca="false">$B$13*F355/$B$19*((1+$B$8)/(1+D355))^4.5</f>
        <v>-1881.9495459535</v>
      </c>
      <c r="J355" s="26" t="n">
        <f aca="false">H355+I355+$B$14</f>
        <v>2056.50038198768</v>
      </c>
      <c r="K355" s="44" t="n">
        <f aca="false">J355/$B$15</f>
        <v>5.06527187681694</v>
      </c>
    </row>
    <row r="356" customFormat="false" ht="15" hidden="false" customHeight="false" outlineLevel="0" collapsed="false">
      <c r="A356" s="55" t="n">
        <v>316</v>
      </c>
      <c r="B356" s="21" t="n">
        <f aca="true">NORMINV(RAND(),$B$6,$C$6)</f>
        <v>0.439913950810078</v>
      </c>
      <c r="C356" s="21" t="n">
        <f aca="true">MAX(0.05,NORMINV(RAND(),$B$7,$C$7))</f>
        <v>0.309472811978914</v>
      </c>
      <c r="D356" s="33" t="n">
        <f aca="true">MAX(0.08,NORMINV(RAND(),$B$8,$C$8))</f>
        <v>0.145115391963295</v>
      </c>
      <c r="E356" s="56" t="n">
        <f aca="true">MAX(5,NORMINV(RAND(),$B$9,$C$9))</f>
        <v>24.3897008604941</v>
      </c>
      <c r="F356" s="26" t="n">
        <f aca="false">$B$18*(1+(B356+$B$17)/2)^9</f>
        <v>2592.07778547884</v>
      </c>
      <c r="G356" s="26" t="n">
        <f aca="false">F356*(C356-Assumptions!$F$18)+$B$20</f>
        <v>393.745884722369</v>
      </c>
      <c r="H356" s="26" t="n">
        <f aca="false">E356*G356/(1+D356)^9</f>
        <v>2836.47677117353</v>
      </c>
      <c r="I356" s="26" t="n">
        <f aca="false">$B$13*F356/$B$19*((1+$B$8)/(1+D356))^4.5</f>
        <v>-1232.09303090999</v>
      </c>
      <c r="J356" s="26" t="n">
        <f aca="false">H356+I356+$B$14</f>
        <v>3369.56182245533</v>
      </c>
      <c r="K356" s="44" t="n">
        <f aca="false">J356/$B$15</f>
        <v>8.2994133558013</v>
      </c>
    </row>
    <row r="357" customFormat="false" ht="15" hidden="false" customHeight="false" outlineLevel="0" collapsed="false">
      <c r="A357" s="55" t="n">
        <v>317</v>
      </c>
      <c r="B357" s="21" t="n">
        <f aca="true">NORMINV(RAND(),$B$6,$C$6)</f>
        <v>0.609532346283314</v>
      </c>
      <c r="C357" s="21" t="n">
        <f aca="true">MAX(0.05,NORMINV(RAND(),$B$7,$C$7))</f>
        <v>0.296345711281113</v>
      </c>
      <c r="D357" s="33" t="n">
        <f aca="true">MAX(0.08,NORMINV(RAND(),$B$8,$C$8))</f>
        <v>0.122301124630348</v>
      </c>
      <c r="E357" s="56" t="n">
        <f aca="true">MAX(5,NORMINV(RAND(),$B$9,$C$9))</f>
        <v>17.0237295487692</v>
      </c>
      <c r="F357" s="26" t="n">
        <f aca="false">$B$18*(1+(B357+$B$17)/2)^9</f>
        <v>4494.25454148372</v>
      </c>
      <c r="G357" s="26" t="n">
        <f aca="false">F357*(C357-Assumptions!$F$18)+$B$20</f>
        <v>847.334272116328</v>
      </c>
      <c r="H357" s="26" t="n">
        <f aca="false">E357*G357/(1+D357)^9</f>
        <v>5106.51839625171</v>
      </c>
      <c r="I357" s="26" t="n">
        <f aca="false">$B$13*F357/$B$19*((1+$B$8)/(1+D357))^4.5</f>
        <v>-2338.74289144782</v>
      </c>
      <c r="J357" s="26" t="n">
        <f aca="false">H357+I357+$B$14</f>
        <v>4532.95358699567</v>
      </c>
      <c r="K357" s="44" t="n">
        <f aca="false">J357/$B$15</f>
        <v>11.1649103127972</v>
      </c>
    </row>
    <row r="358" customFormat="false" ht="15" hidden="false" customHeight="false" outlineLevel="0" collapsed="false">
      <c r="A358" s="55" t="n">
        <v>318</v>
      </c>
      <c r="B358" s="21" t="n">
        <f aca="true">NORMINV(RAND(),$B$6,$C$6)</f>
        <v>0.584341704264187</v>
      </c>
      <c r="C358" s="21" t="n">
        <f aca="true">MAX(0.05,NORMINV(RAND(),$B$7,$C$7))</f>
        <v>0.31767605863231</v>
      </c>
      <c r="D358" s="33" t="n">
        <f aca="true">MAX(0.08,NORMINV(RAND(),$B$8,$C$8))</f>
        <v>0.153690940693355</v>
      </c>
      <c r="E358" s="56" t="n">
        <f aca="true">MAX(5,NORMINV(RAND(),$B$9,$C$9))</f>
        <v>17.1563243633526</v>
      </c>
      <c r="F358" s="26" t="n">
        <f aca="false">$B$18*(1+(B358+$B$17)/2)^9</f>
        <v>4150.23231039156</v>
      </c>
      <c r="G358" s="26" t="n">
        <f aca="false">F358*(C358-Assumptions!$F$18)+$B$20</f>
        <v>847.671545359305</v>
      </c>
      <c r="H358" s="26" t="n">
        <f aca="false">E358*G358/(1+D358)^9</f>
        <v>4016.48835617784</v>
      </c>
      <c r="I358" s="26" t="n">
        <f aca="false">$B$13*F358/$B$19*((1+$B$8)/(1+D358))^4.5</f>
        <v>-1907.59793020813</v>
      </c>
      <c r="J358" s="26" t="n">
        <f aca="false">H358+I358+$B$14</f>
        <v>3874.0685081615</v>
      </c>
      <c r="K358" s="44" t="n">
        <f aca="false">J358/$B$15</f>
        <v>9.5420406604963</v>
      </c>
    </row>
    <row r="359" customFormat="false" ht="15" hidden="false" customHeight="false" outlineLevel="0" collapsed="false">
      <c r="A359" s="55" t="n">
        <v>319</v>
      </c>
      <c r="B359" s="21" t="n">
        <f aca="true">NORMINV(RAND(),$B$6,$C$6)</f>
        <v>0.506313274060295</v>
      </c>
      <c r="C359" s="21" t="n">
        <f aca="true">MAX(0.05,NORMINV(RAND(),$B$7,$C$7))</f>
        <v>0.22575235733366</v>
      </c>
      <c r="D359" s="33" t="n">
        <f aca="true">MAX(0.08,NORMINV(RAND(),$B$8,$C$8))</f>
        <v>0.133884329741559</v>
      </c>
      <c r="E359" s="56" t="n">
        <f aca="true">MAX(5,NORMINV(RAND(),$B$9,$C$9))</f>
        <v>15.8057612397954</v>
      </c>
      <c r="F359" s="26" t="n">
        <f aca="false">$B$18*(1+(B359+$B$17)/2)^9</f>
        <v>3228.19480012837</v>
      </c>
      <c r="G359" s="26" t="n">
        <f aca="false">F359*(C359-Assumptions!$F$18)+$B$20</f>
        <v>294.896189057419</v>
      </c>
      <c r="H359" s="26" t="n">
        <f aca="false">E359*G359/(1+D359)^9</f>
        <v>1504.40856353294</v>
      </c>
      <c r="I359" s="26" t="n">
        <f aca="false">$B$13*F359/$B$19*((1+$B$8)/(1+D359))^4.5</f>
        <v>-1604.04832980667</v>
      </c>
      <c r="J359" s="26" t="n">
        <f aca="false">H359+I359+$B$14</f>
        <v>1665.53831591805</v>
      </c>
      <c r="K359" s="44" t="n">
        <f aca="false">J359/$B$15</f>
        <v>4.10231112295086</v>
      </c>
    </row>
    <row r="360" customFormat="false" ht="15" hidden="false" customHeight="false" outlineLevel="0" collapsed="false">
      <c r="A360" s="55" t="n">
        <v>320</v>
      </c>
      <c r="B360" s="21" t="n">
        <f aca="true">NORMINV(RAND(),$B$6,$C$6)</f>
        <v>0.662910406020678</v>
      </c>
      <c r="C360" s="21" t="n">
        <f aca="true">MAX(0.05,NORMINV(RAND(),$B$7,$C$7))</f>
        <v>0.154792535906051</v>
      </c>
      <c r="D360" s="33" t="n">
        <f aca="true">MAX(0.08,NORMINV(RAND(),$B$8,$C$8))</f>
        <v>0.132458559355222</v>
      </c>
      <c r="E360" s="56" t="n">
        <f aca="true">MAX(5,NORMINV(RAND(),$B$9,$C$9))</f>
        <v>13.9038170744709</v>
      </c>
      <c r="F360" s="26" t="n">
        <f aca="false">$B$18*(1+(B360+$B$17)/2)^9</f>
        <v>5308.19278223918</v>
      </c>
      <c r="G360" s="26" t="n">
        <f aca="false">F360*(C360-Assumptions!$F$18)+$B$20</f>
        <v>304.592305552743</v>
      </c>
      <c r="H360" s="26" t="n">
        <f aca="false">E360*G360/(1+D360)^9</f>
        <v>1382.45850946202</v>
      </c>
      <c r="I360" s="26" t="n">
        <f aca="false">$B$13*F360/$B$19*((1+$B$8)/(1+D360))^4.5</f>
        <v>-2652.54865878812</v>
      </c>
      <c r="J360" s="26" t="n">
        <f aca="false">H360+I360+$B$14</f>
        <v>495.087932865686</v>
      </c>
      <c r="K360" s="44" t="n">
        <f aca="false">J360/$B$15</f>
        <v>1.21942840607312</v>
      </c>
    </row>
    <row r="361" customFormat="false" ht="15" hidden="false" customHeight="false" outlineLevel="0" collapsed="false">
      <c r="A361" s="55" t="n">
        <v>321</v>
      </c>
      <c r="B361" s="21" t="n">
        <f aca="true">NORMINV(RAND(),$B$6,$C$6)</f>
        <v>0.453160621718611</v>
      </c>
      <c r="C361" s="21" t="n">
        <f aca="true">MAX(0.05,NORMINV(RAND(),$B$7,$C$7))</f>
        <v>0.325107316415805</v>
      </c>
      <c r="D361" s="33" t="n">
        <f aca="true">MAX(0.08,NORMINV(RAND(),$B$8,$C$8))</f>
        <v>0.117530602968499</v>
      </c>
      <c r="E361" s="56" t="n">
        <f aca="true">MAX(5,NORMINV(RAND(),$B$9,$C$9))</f>
        <v>13.7515295200842</v>
      </c>
      <c r="F361" s="26" t="n">
        <f aca="false">$B$18*(1+(B361+$B$17)/2)^9</f>
        <v>2709.25082442639</v>
      </c>
      <c r="G361" s="26" t="n">
        <f aca="false">F361*(C361-Assumptions!$F$18)+$B$20</f>
        <v>467.678627050825</v>
      </c>
      <c r="H361" s="26" t="n">
        <f aca="false">E361*G361/(1+D361)^9</f>
        <v>2365.72197791723</v>
      </c>
      <c r="I361" s="26" t="n">
        <f aca="false">$B$13*F361/$B$19*((1+$B$8)/(1+D361))^4.5</f>
        <v>-1437.1394406136</v>
      </c>
      <c r="J361" s="26" t="n">
        <f aca="false">H361+I361+$B$14</f>
        <v>2693.7606194954</v>
      </c>
      <c r="K361" s="44" t="n">
        <f aca="false">J361/$B$15</f>
        <v>6.63487837314139</v>
      </c>
    </row>
    <row r="362" customFormat="false" ht="15" hidden="false" customHeight="false" outlineLevel="0" collapsed="false">
      <c r="A362" s="55" t="n">
        <v>322</v>
      </c>
      <c r="B362" s="21" t="n">
        <f aca="true">NORMINV(RAND(),$B$6,$C$6)</f>
        <v>0.577991770449091</v>
      </c>
      <c r="C362" s="21" t="n">
        <f aca="true">MAX(0.05,NORMINV(RAND(),$B$7,$C$7))</f>
        <v>0.285734659118701</v>
      </c>
      <c r="D362" s="33" t="n">
        <f aca="true">MAX(0.08,NORMINV(RAND(),$B$8,$C$8))</f>
        <v>0.128708404126487</v>
      </c>
      <c r="E362" s="56" t="n">
        <f aca="true">MAX(5,NORMINV(RAND(),$B$9,$C$9))</f>
        <v>19.9490701184037</v>
      </c>
      <c r="F362" s="26" t="n">
        <f aca="false">$B$18*(1+(B362+$B$17)/2)^9</f>
        <v>4067.29634050365</v>
      </c>
      <c r="G362" s="26" t="n">
        <f aca="false">F362*(C362-Assumptions!$F$18)+$B$20</f>
        <v>694.727074769717</v>
      </c>
      <c r="H362" s="26" t="n">
        <f aca="false">E362*G362/(1+D362)^9</f>
        <v>4661.23557921228</v>
      </c>
      <c r="I362" s="26" t="n">
        <f aca="false">$B$13*F362/$B$19*((1+$B$8)/(1+D362))^4.5</f>
        <v>-2063.0274554897</v>
      </c>
      <c r="J362" s="26" t="n">
        <f aca="false">H362+I362+$B$14</f>
        <v>4363.38620591436</v>
      </c>
      <c r="K362" s="44" t="n">
        <f aca="false">J362/$B$15</f>
        <v>10.7472566648137</v>
      </c>
    </row>
    <row r="363" customFormat="false" ht="15" hidden="false" customHeight="false" outlineLevel="0" collapsed="false">
      <c r="A363" s="55" t="n">
        <v>323</v>
      </c>
      <c r="B363" s="21" t="n">
        <f aca="true">NORMINV(RAND(),$B$6,$C$6)</f>
        <v>0.507702545643781</v>
      </c>
      <c r="C363" s="21" t="n">
        <f aca="true">MAX(0.05,NORMINV(RAND(),$B$7,$C$7))</f>
        <v>0.325152591878206</v>
      </c>
      <c r="D363" s="33" t="n">
        <f aca="true">MAX(0.08,NORMINV(RAND(),$B$8,$C$8))</f>
        <v>0.149714949505818</v>
      </c>
      <c r="E363" s="56" t="n">
        <f aca="true">MAX(5,NORMINV(RAND(),$B$9,$C$9))</f>
        <v>11.7426713062129</v>
      </c>
      <c r="F363" s="26" t="n">
        <f aca="false">$B$18*(1+(B363+$B$17)/2)^9</f>
        <v>3242.86839621562</v>
      </c>
      <c r="G363" s="26" t="n">
        <f aca="false">F363*(C363-Assumptions!$F$18)+$B$20</f>
        <v>619.963723302113</v>
      </c>
      <c r="H363" s="26" t="n">
        <f aca="false">E363*G363/(1+D363)^9</f>
        <v>2074.06124449212</v>
      </c>
      <c r="I363" s="26" t="n">
        <f aca="false">$B$13*F363/$B$19*((1+$B$8)/(1+D363))^4.5</f>
        <v>-1513.87712702569</v>
      </c>
      <c r="J363" s="26" t="n">
        <f aca="false">H363+I363+$B$14</f>
        <v>2325.36219965822</v>
      </c>
      <c r="K363" s="44" t="n">
        <f aca="false">J363/$B$15</f>
        <v>5.72749310260644</v>
      </c>
    </row>
    <row r="364" customFormat="false" ht="15" hidden="false" customHeight="false" outlineLevel="0" collapsed="false">
      <c r="A364" s="55" t="n">
        <v>324</v>
      </c>
      <c r="B364" s="21" t="n">
        <f aca="true">NORMINV(RAND(),$B$6,$C$6)</f>
        <v>0.541862691656678</v>
      </c>
      <c r="C364" s="21" t="n">
        <f aca="true">MAX(0.05,NORMINV(RAND(),$B$7,$C$7))</f>
        <v>0.274277843031368</v>
      </c>
      <c r="D364" s="33" t="n">
        <f aca="true">MAX(0.08,NORMINV(RAND(),$B$8,$C$8))</f>
        <v>0.164716851517551</v>
      </c>
      <c r="E364" s="56" t="n">
        <f aca="true">MAX(5,NORMINV(RAND(),$B$9,$C$9))</f>
        <v>11.3756714376824</v>
      </c>
      <c r="F364" s="26" t="n">
        <f aca="false">$B$18*(1+(B364+$B$17)/2)^9</f>
        <v>3622.8390529528</v>
      </c>
      <c r="G364" s="26" t="n">
        <f aca="false">F364*(C364-Assumptions!$F$18)+$B$20</f>
        <v>544.002313976897</v>
      </c>
      <c r="H364" s="26" t="n">
        <f aca="false">E364*G364/(1+D364)^9</f>
        <v>1568.89744442034</v>
      </c>
      <c r="I364" s="26" t="n">
        <f aca="false">$B$13*F364/$B$19*((1+$B$8)/(1+D364))^4.5</f>
        <v>-1595.41815954695</v>
      </c>
      <c r="J364" s="26" t="n">
        <f aca="false">H364+I364+$B$14</f>
        <v>1738.65736706517</v>
      </c>
      <c r="K364" s="44" t="n">
        <f aca="false">J364/$B$15</f>
        <v>4.28240730804229</v>
      </c>
    </row>
    <row r="365" customFormat="false" ht="15" hidden="false" customHeight="false" outlineLevel="0" collapsed="false">
      <c r="A365" s="55" t="n">
        <v>325</v>
      </c>
      <c r="B365" s="21" t="n">
        <f aca="true">NORMINV(RAND(),$B$6,$C$6)</f>
        <v>0.695211369169497</v>
      </c>
      <c r="C365" s="21" t="n">
        <f aca="true">MAX(0.05,NORMINV(RAND(),$B$7,$C$7))</f>
        <v>0.37937599068506</v>
      </c>
      <c r="D365" s="33" t="n">
        <f aca="true">MAX(0.08,NORMINV(RAND(),$B$8,$C$8))</f>
        <v>0.150520965253532</v>
      </c>
      <c r="E365" s="56" t="n">
        <f aca="true">MAX(5,NORMINV(RAND(),$B$9,$C$9))</f>
        <v>18.3618299322593</v>
      </c>
      <c r="F365" s="26" t="n">
        <f aca="false">$B$18*(1+(B365+$B$17)/2)^9</f>
        <v>5862.06674075093</v>
      </c>
      <c r="G365" s="26" t="n">
        <f aca="false">F365*(C365-Assumptions!$F$18)+$B$20</f>
        <v>1684.6961026056</v>
      </c>
      <c r="H365" s="26" t="n">
        <f aca="false">E365*G365/(1+D365)^9</f>
        <v>8757.63214392002</v>
      </c>
      <c r="I365" s="26" t="n">
        <f aca="false">$B$13*F365/$B$19*((1+$B$8)/(1+D365))^4.5</f>
        <v>-2727.98795453921</v>
      </c>
      <c r="J365" s="26" t="n">
        <f aca="false">H365+I365+$B$14</f>
        <v>7794.82227157259</v>
      </c>
      <c r="K365" s="44" t="n">
        <f aca="false">J365/$B$15</f>
        <v>19.1990696344152</v>
      </c>
    </row>
    <row r="366" customFormat="false" ht="15" hidden="false" customHeight="false" outlineLevel="0" collapsed="false">
      <c r="A366" s="55" t="n">
        <v>326</v>
      </c>
      <c r="B366" s="21" t="n">
        <f aca="true">NORMINV(RAND(),$B$6,$C$6)</f>
        <v>0.526708486120656</v>
      </c>
      <c r="C366" s="21" t="n">
        <f aca="true">MAX(0.05,NORMINV(RAND(),$B$7,$C$7))</f>
        <v>0.275934763018345</v>
      </c>
      <c r="D366" s="33" t="n">
        <f aca="true">MAX(0.08,NORMINV(RAND(),$B$8,$C$8))</f>
        <v>0.143756898116499</v>
      </c>
      <c r="E366" s="56" t="n">
        <f aca="true">MAX(5,NORMINV(RAND(),$B$9,$C$9))</f>
        <v>17.8618536655527</v>
      </c>
      <c r="F366" s="26" t="n">
        <f aca="false">$B$18*(1+(B366+$B$17)/2)^9</f>
        <v>3449.65077987157</v>
      </c>
      <c r="G366" s="26" t="n">
        <f aca="false">F366*(C366-Assumptions!$F$18)+$B$20</f>
        <v>509.143934246358</v>
      </c>
      <c r="H366" s="26" t="n">
        <f aca="false">E366*G366/(1+D366)^9</f>
        <v>2714.9608034209</v>
      </c>
      <c r="I366" s="26" t="n">
        <f aca="false">$B$13*F366/$B$19*((1+$B$8)/(1+D366))^4.5</f>
        <v>-1648.505762482</v>
      </c>
      <c r="J366" s="26" t="n">
        <f aca="false">H366+I366+$B$14</f>
        <v>2831.63312313068</v>
      </c>
      <c r="K366" s="44" t="n">
        <f aca="false">J366/$B$15</f>
        <v>6.97446582051891</v>
      </c>
    </row>
    <row r="367" customFormat="false" ht="15" hidden="false" customHeight="false" outlineLevel="0" collapsed="false">
      <c r="A367" s="55" t="n">
        <v>327</v>
      </c>
      <c r="B367" s="21" t="n">
        <f aca="true">NORMINV(RAND(),$B$6,$C$6)</f>
        <v>0.379081931954767</v>
      </c>
      <c r="C367" s="21" t="n">
        <f aca="true">MAX(0.05,NORMINV(RAND(),$B$7,$C$7))</f>
        <v>0.273707491599896</v>
      </c>
      <c r="D367" s="33" t="n">
        <f aca="true">MAX(0.08,NORMINV(RAND(),$B$8,$C$8))</f>
        <v>0.129790045681599</v>
      </c>
      <c r="E367" s="56" t="n">
        <f aca="true">MAX(5,NORMINV(RAND(),$B$9,$C$9))</f>
        <v>16.4874695973114</v>
      </c>
      <c r="F367" s="26" t="n">
        <f aca="false">$B$18*(1+(B367+$B$17)/2)^9</f>
        <v>2109.79194083263</v>
      </c>
      <c r="G367" s="26" t="n">
        <f aca="false">F367*(C367-Assumptions!$F$18)+$B$20</f>
        <v>188.325577290981</v>
      </c>
      <c r="H367" s="26" t="n">
        <f aca="false">E367*G367/(1+D367)^9</f>
        <v>1035.34149335179</v>
      </c>
      <c r="I367" s="26" t="n">
        <f aca="false">$B$13*F367/$B$19*((1+$B$8)/(1+D367))^4.5</f>
        <v>-1065.53295772967</v>
      </c>
      <c r="J367" s="26" t="n">
        <f aca="false">H367+I367+$B$14</f>
        <v>1734.98661781389</v>
      </c>
      <c r="K367" s="44" t="n">
        <f aca="false">J367/$B$15</f>
        <v>4.2733660537288</v>
      </c>
    </row>
    <row r="368" customFormat="false" ht="15" hidden="false" customHeight="false" outlineLevel="0" collapsed="false">
      <c r="A368" s="55" t="n">
        <v>328</v>
      </c>
      <c r="B368" s="21" t="n">
        <f aca="true">NORMINV(RAND(),$B$6,$C$6)</f>
        <v>0.379884545122596</v>
      </c>
      <c r="C368" s="21" t="n">
        <f aca="true">MAX(0.05,NORMINV(RAND(),$B$7,$C$7))</f>
        <v>0.261226779103665</v>
      </c>
      <c r="D368" s="33" t="n">
        <f aca="true">MAX(0.08,NORMINV(RAND(),$B$8,$C$8))</f>
        <v>0.106459654494902</v>
      </c>
      <c r="E368" s="56" t="n">
        <f aca="true">MAX(5,NORMINV(RAND(),$B$9,$C$9))</f>
        <v>15.1490219089709</v>
      </c>
      <c r="F368" s="26" t="n">
        <f aca="false">$B$18*(1+(B368+$B$17)/2)^9</f>
        <v>2115.59577082926</v>
      </c>
      <c r="G368" s="26" t="n">
        <f aca="false">F368*(C368-Assumptions!$F$18)+$B$20</f>
        <v>163.277833267204</v>
      </c>
      <c r="H368" s="26" t="n">
        <f aca="false">E368*G368/(1+D368)^9</f>
        <v>995.156946241803</v>
      </c>
      <c r="I368" s="26" t="n">
        <f aca="false">$B$13*F368/$B$19*((1+$B$8)/(1+D368))^4.5</f>
        <v>-1173.65289528907</v>
      </c>
      <c r="J368" s="26" t="n">
        <f aca="false">H368+I368+$B$14</f>
        <v>1586.68213314451</v>
      </c>
      <c r="K368" s="44" t="n">
        <f aca="false">J368/$B$15</f>
        <v>3.90808407178451</v>
      </c>
    </row>
    <row r="369" customFormat="false" ht="15" hidden="false" customHeight="false" outlineLevel="0" collapsed="false">
      <c r="A369" s="55" t="n">
        <v>329</v>
      </c>
      <c r="B369" s="21" t="n">
        <f aca="true">NORMINV(RAND(),$B$6,$C$6)</f>
        <v>0.479813437362377</v>
      </c>
      <c r="C369" s="21" t="n">
        <f aca="true">MAX(0.05,NORMINV(RAND(),$B$7,$C$7))</f>
        <v>0.25211425561522</v>
      </c>
      <c r="D369" s="33" t="n">
        <f aca="true">MAX(0.08,NORMINV(RAND(),$B$8,$C$8))</f>
        <v>0.158855227624316</v>
      </c>
      <c r="E369" s="56" t="n">
        <f aca="true">MAX(5,NORMINV(RAND(),$B$9,$C$9))</f>
        <v>6.90734002912531</v>
      </c>
      <c r="F369" s="26" t="n">
        <f aca="false">$B$18*(1+(B369+$B$17)/2)^9</f>
        <v>2959.36987901101</v>
      </c>
      <c r="G369" s="26" t="n">
        <f aca="false">F369*(C369-Assumptions!$F$18)+$B$20</f>
        <v>322.975933977834</v>
      </c>
      <c r="H369" s="26" t="n">
        <f aca="false">E369*G369/(1+D369)^9</f>
        <v>591.859115071435</v>
      </c>
      <c r="I369" s="26" t="n">
        <f aca="false">$B$13*F369/$B$19*((1+$B$8)/(1+D369))^4.5</f>
        <v>-1333.16844654039</v>
      </c>
      <c r="J369" s="26" t="n">
        <f aca="false">H369+I369+$B$14</f>
        <v>1023.86875072282</v>
      </c>
      <c r="K369" s="44" t="n">
        <f aca="false">J369/$B$15</f>
        <v>2.52184421360301</v>
      </c>
    </row>
    <row r="370" customFormat="false" ht="15" hidden="false" customHeight="false" outlineLevel="0" collapsed="false">
      <c r="A370" s="55" t="n">
        <v>330</v>
      </c>
      <c r="B370" s="21" t="n">
        <f aca="true">NORMINV(RAND(),$B$6,$C$6)</f>
        <v>0.360276332938386</v>
      </c>
      <c r="C370" s="21" t="n">
        <f aca="true">MAX(0.05,NORMINV(RAND(),$B$7,$C$7))</f>
        <v>0.257668768042799</v>
      </c>
      <c r="D370" s="33" t="n">
        <f aca="true">MAX(0.08,NORMINV(RAND(),$B$8,$C$8))</f>
        <v>0.155325024778767</v>
      </c>
      <c r="E370" s="56" t="n">
        <f aca="true">MAX(5,NORMINV(RAND(),$B$9,$C$9))</f>
        <v>10.6716282053289</v>
      </c>
      <c r="F370" s="26" t="n">
        <f aca="false">$B$18*(1+(B370+$B$17)/2)^9</f>
        <v>1977.79336407402</v>
      </c>
      <c r="G370" s="26" t="n">
        <f aca="false">F370*(C370-Assumptions!$F$18)+$B$20</f>
        <v>125.755240002526</v>
      </c>
      <c r="H370" s="26" t="n">
        <f aca="false">E370*G370/(1+D370)^9</f>
        <v>365.947810238332</v>
      </c>
      <c r="I370" s="26" t="n">
        <f aca="false">$B$13*F370/$B$19*((1+$B$8)/(1+D370))^4.5</f>
        <v>-903.294174751534</v>
      </c>
      <c r="J370" s="26" t="n">
        <f aca="false">H370+I370+$B$14</f>
        <v>1227.83171767858</v>
      </c>
      <c r="K370" s="44" t="n">
        <f aca="false">J370/$B$15</f>
        <v>3.02421605339551</v>
      </c>
    </row>
    <row r="371" customFormat="false" ht="15" hidden="false" customHeight="false" outlineLevel="0" collapsed="false">
      <c r="A371" s="55" t="n">
        <v>331</v>
      </c>
      <c r="B371" s="21" t="n">
        <f aca="true">NORMINV(RAND(),$B$6,$C$6)</f>
        <v>0.607102185532588</v>
      </c>
      <c r="C371" s="21" t="n">
        <f aca="true">MAX(0.05,NORMINV(RAND(),$B$7,$C$7))</f>
        <v>0.317417351749186</v>
      </c>
      <c r="D371" s="33" t="n">
        <f aca="true">MAX(0.08,NORMINV(RAND(),$B$8,$C$8))</f>
        <v>0.174749106949587</v>
      </c>
      <c r="E371" s="56" t="n">
        <f aca="true">MAX(5,NORMINV(RAND(),$B$9,$C$9))</f>
        <v>18.2208052463568</v>
      </c>
      <c r="F371" s="26" t="n">
        <f aca="false">$B$18*(1+(B371+$B$17)/2)^9</f>
        <v>4459.99636438997</v>
      </c>
      <c r="G371" s="26" t="n">
        <f aca="false">F371*(C371-Assumptions!$F$18)+$B$20</f>
        <v>932.531775221373</v>
      </c>
      <c r="H371" s="26" t="n">
        <f aca="false">E371*G371/(1+D371)^9</f>
        <v>3987.72401040428</v>
      </c>
      <c r="I371" s="26" t="n">
        <f aca="false">$B$13*F371/$B$19*((1+$B$8)/(1+D371))^4.5</f>
        <v>-1889.72476596681</v>
      </c>
      <c r="J371" s="26" t="n">
        <f aca="false">H371+I371+$B$14</f>
        <v>3863.17732662925</v>
      </c>
      <c r="K371" s="44" t="n">
        <f aca="false">J371/$B$15</f>
        <v>9.51521509021983</v>
      </c>
    </row>
    <row r="372" customFormat="false" ht="15" hidden="false" customHeight="false" outlineLevel="0" collapsed="false">
      <c r="A372" s="55" t="n">
        <v>332</v>
      </c>
      <c r="B372" s="21" t="n">
        <f aca="true">NORMINV(RAND(),$B$6,$C$6)</f>
        <v>0.776396829235591</v>
      </c>
      <c r="C372" s="21" t="n">
        <f aca="true">MAX(0.05,NORMINV(RAND(),$B$7,$C$7))</f>
        <v>0.359727235849249</v>
      </c>
      <c r="D372" s="33" t="n">
        <f aca="true">MAX(0.08,NORMINV(RAND(),$B$8,$C$8))</f>
        <v>0.146502644597522</v>
      </c>
      <c r="E372" s="56" t="n">
        <f aca="true">MAX(5,NORMINV(RAND(),$B$9,$C$9))</f>
        <v>17.4551248609341</v>
      </c>
      <c r="F372" s="26" t="n">
        <f aca="false">$B$18*(1+(B372+$B$17)/2)^9</f>
        <v>7487.47531477859</v>
      </c>
      <c r="G372" s="26" t="n">
        <f aca="false">F372*(C372-Assumptions!$F$18)+$B$20</f>
        <v>2089.20118088496</v>
      </c>
      <c r="H372" s="26" t="n">
        <f aca="false">E372*G372/(1+D372)^9</f>
        <v>10654.3675512594</v>
      </c>
      <c r="I372" s="26" t="n">
        <f aca="false">$B$13*F372/$B$19*((1+$B$8)/(1+D372))^4.5</f>
        <v>-3539.68598127346</v>
      </c>
      <c r="J372" s="26" t="n">
        <f aca="false">H372+I372+$B$14</f>
        <v>8879.85965217769</v>
      </c>
      <c r="K372" s="44" t="n">
        <f aca="false">J372/$B$15</f>
        <v>21.8715754979746</v>
      </c>
    </row>
    <row r="373" customFormat="false" ht="15" hidden="false" customHeight="false" outlineLevel="0" collapsed="false">
      <c r="A373" s="55" t="n">
        <v>333</v>
      </c>
      <c r="B373" s="21" t="n">
        <f aca="true">NORMINV(RAND(),$B$6,$C$6)</f>
        <v>0.39694191703815</v>
      </c>
      <c r="C373" s="21" t="n">
        <f aca="true">MAX(0.05,NORMINV(RAND(),$B$7,$C$7))</f>
        <v>0.380488355112114</v>
      </c>
      <c r="D373" s="33" t="n">
        <f aca="true">MAX(0.08,NORMINV(RAND(),$B$8,$C$8))</f>
        <v>0.143846389350875</v>
      </c>
      <c r="E373" s="56" t="n">
        <f aca="true">MAX(5,NORMINV(RAND(),$B$9,$C$9))</f>
        <v>12.9733988049021</v>
      </c>
      <c r="F373" s="26" t="n">
        <f aca="false">$B$18*(1+(B373+$B$17)/2)^9</f>
        <v>2242.34404514728</v>
      </c>
      <c r="G373" s="26" t="n">
        <f aca="false">F373*(C373-Assumptions!$F$18)+$B$20</f>
        <v>458.743430528953</v>
      </c>
      <c r="H373" s="26" t="n">
        <f aca="false">E373*G373/(1+D373)^9</f>
        <v>1775.47383231118</v>
      </c>
      <c r="I373" s="26" t="n">
        <f aca="false">$B$13*F373/$B$19*((1+$B$8)/(1+D373))^4.5</f>
        <v>-1071.18548288611</v>
      </c>
      <c r="J373" s="26" t="n">
        <f aca="false">H373+I373+$B$14</f>
        <v>2469.46643161685</v>
      </c>
      <c r="K373" s="44" t="n">
        <f aca="false">J373/$B$15</f>
        <v>6.08242963452426</v>
      </c>
    </row>
    <row r="374" customFormat="false" ht="15" hidden="false" customHeight="false" outlineLevel="0" collapsed="false">
      <c r="A374" s="55" t="n">
        <v>334</v>
      </c>
      <c r="B374" s="21" t="n">
        <f aca="true">NORMINV(RAND(),$B$6,$C$6)</f>
        <v>0.461027796220642</v>
      </c>
      <c r="C374" s="21" t="n">
        <f aca="true">MAX(0.05,NORMINV(RAND(),$B$7,$C$7))</f>
        <v>0.211738959751149</v>
      </c>
      <c r="D374" s="33" t="n">
        <f aca="true">MAX(0.08,NORMINV(RAND(),$B$8,$C$8))</f>
        <v>0.12684531058639</v>
      </c>
      <c r="E374" s="56" t="n">
        <f aca="true">MAX(5,NORMINV(RAND(),$B$9,$C$9))</f>
        <v>15.7268914704289</v>
      </c>
      <c r="F374" s="26" t="n">
        <f aca="false">$B$18*(1+(B374+$B$17)/2)^9</f>
        <v>2781.04667645469</v>
      </c>
      <c r="G374" s="26" t="n">
        <f aca="false">F374*(C374-Assumptions!$F$18)+$B$20</f>
        <v>172.865458235029</v>
      </c>
      <c r="H374" s="26" t="n">
        <f aca="false">E374*G374/(1+D374)^9</f>
        <v>928.052182144706</v>
      </c>
      <c r="I374" s="26" t="n">
        <f aca="false">$B$13*F374/$B$19*((1+$B$8)/(1+D374))^4.5</f>
        <v>-1421.13726099076</v>
      </c>
      <c r="J374" s="26" t="n">
        <f aca="false">H374+I374+$B$14</f>
        <v>1272.09300334573</v>
      </c>
      <c r="K374" s="44" t="n">
        <f aca="false">J374/$B$15</f>
        <v>3.1332339983885</v>
      </c>
    </row>
    <row r="375" customFormat="false" ht="15" hidden="false" customHeight="false" outlineLevel="0" collapsed="false">
      <c r="A375" s="55" t="n">
        <v>335</v>
      </c>
      <c r="B375" s="21" t="n">
        <f aca="true">NORMINV(RAND(),$B$6,$C$6)</f>
        <v>0.394385111993147</v>
      </c>
      <c r="C375" s="21" t="n">
        <f aca="true">MAX(0.05,NORMINV(RAND(),$B$7,$C$7))</f>
        <v>0.27237441821195</v>
      </c>
      <c r="D375" s="33" t="n">
        <f aca="true">MAX(0.08,NORMINV(RAND(),$B$8,$C$8))</f>
        <v>0.122700917039199</v>
      </c>
      <c r="E375" s="56" t="n">
        <f aca="true">MAX(5,NORMINV(RAND(),$B$9,$C$9))</f>
        <v>16.395646119991</v>
      </c>
      <c r="F375" s="26" t="n">
        <f aca="false">$B$18*(1+(B375+$B$17)/2)^9</f>
        <v>2222.92533050807</v>
      </c>
      <c r="G375" s="26" t="n">
        <f aca="false">F375*(C375-Assumptions!$F$18)+$B$20</f>
        <v>211.802375406729</v>
      </c>
      <c r="H375" s="26" t="n">
        <f aca="false">E375*G375/(1+D375)^9</f>
        <v>1225.41351569041</v>
      </c>
      <c r="I375" s="26" t="n">
        <f aca="false">$B$13*F375/$B$19*((1+$B$8)/(1+D375))^4.5</f>
        <v>-1154.9246015094</v>
      </c>
      <c r="J375" s="26" t="n">
        <f aca="false">H375+I375+$B$14</f>
        <v>1835.66699637279</v>
      </c>
      <c r="K375" s="44" t="n">
        <f aca="false">J375/$B$15</f>
        <v>4.52134728170637</v>
      </c>
    </row>
    <row r="376" customFormat="false" ht="15" hidden="false" customHeight="false" outlineLevel="0" collapsed="false">
      <c r="A376" s="55" t="n">
        <v>336</v>
      </c>
      <c r="B376" s="21" t="n">
        <f aca="true">NORMINV(RAND(),$B$6,$C$6)</f>
        <v>0.539201631399463</v>
      </c>
      <c r="C376" s="21" t="n">
        <f aca="true">MAX(0.05,NORMINV(RAND(),$B$7,$C$7))</f>
        <v>0.343460169998609</v>
      </c>
      <c r="D376" s="33" t="n">
        <f aca="true">MAX(0.08,NORMINV(RAND(),$B$8,$C$8))</f>
        <v>0.142099171808267</v>
      </c>
      <c r="E376" s="56" t="n">
        <f aca="true">MAX(5,NORMINV(RAND(),$B$9,$C$9))</f>
        <v>14.4741575729266</v>
      </c>
      <c r="F376" s="26" t="n">
        <f aca="false">$B$18*(1+(B376+$B$17)/2)^9</f>
        <v>3591.8793388366</v>
      </c>
      <c r="G376" s="26" t="n">
        <f aca="false">F376*(C376-Assumptions!$F$18)+$B$20</f>
        <v>785.243709779154</v>
      </c>
      <c r="H376" s="26" t="n">
        <f aca="false">E376*G376/(1+D376)^9</f>
        <v>3437.66389570107</v>
      </c>
      <c r="I376" s="26" t="n">
        <f aca="false">$B$13*F376/$B$19*((1+$B$8)/(1+D376))^4.5</f>
        <v>-1727.71327582838</v>
      </c>
      <c r="J376" s="26" t="n">
        <f aca="false">H376+I376+$B$14</f>
        <v>3475.12870206447</v>
      </c>
      <c r="K376" s="44" t="n">
        <f aca="false">J376/$B$15</f>
        <v>8.5594303006514</v>
      </c>
    </row>
    <row r="377" customFormat="false" ht="15" hidden="false" customHeight="false" outlineLevel="0" collapsed="false">
      <c r="A377" s="55" t="n">
        <v>337</v>
      </c>
      <c r="B377" s="21" t="n">
        <f aca="true">NORMINV(RAND(),$B$6,$C$6)</f>
        <v>0.478412634847378</v>
      </c>
      <c r="C377" s="21" t="n">
        <f aca="true">MAX(0.05,NORMINV(RAND(),$B$7,$C$7))</f>
        <v>0.213963061469288</v>
      </c>
      <c r="D377" s="33" t="n">
        <f aca="true">MAX(0.08,NORMINV(RAND(),$B$8,$C$8))</f>
        <v>0.149732256716098</v>
      </c>
      <c r="E377" s="56" t="n">
        <f aca="true">MAX(5,NORMINV(RAND(),$B$9,$C$9))</f>
        <v>12.0720740408486</v>
      </c>
      <c r="F377" s="26" t="n">
        <f aca="false">$B$18*(1+(B377+$B$17)/2)^9</f>
        <v>2945.7305054331</v>
      </c>
      <c r="G377" s="26" t="n">
        <f aca="false">F377*(C377-Assumptions!$F$18)+$B$20</f>
        <v>207.699691989925</v>
      </c>
      <c r="H377" s="26" t="n">
        <f aca="false">E377*G377/(1+D377)^9</f>
        <v>714.245147643646</v>
      </c>
      <c r="I377" s="26" t="n">
        <f aca="false">$B$13*F377/$B$19*((1+$B$8)/(1+D377))^4.5</f>
        <v>-1375.0702817802</v>
      </c>
      <c r="J377" s="26" t="n">
        <f aca="false">H377+I377+$B$14</f>
        <v>1104.35294805523</v>
      </c>
      <c r="K377" s="44" t="n">
        <f aca="false">J377/$B$15</f>
        <v>2.7200811528454</v>
      </c>
    </row>
    <row r="378" customFormat="false" ht="15" hidden="false" customHeight="false" outlineLevel="0" collapsed="false">
      <c r="A378" s="55" t="n">
        <v>338</v>
      </c>
      <c r="B378" s="21" t="n">
        <f aca="true">NORMINV(RAND(),$B$6,$C$6)</f>
        <v>0.593381575421171</v>
      </c>
      <c r="C378" s="21" t="n">
        <f aca="true">MAX(0.05,NORMINV(RAND(),$B$7,$C$7))</f>
        <v>0.278531087960003</v>
      </c>
      <c r="D378" s="33" t="n">
        <f aca="true">MAX(0.08,NORMINV(RAND(),$B$8,$C$8))</f>
        <v>0.17754161652717</v>
      </c>
      <c r="E378" s="56" t="n">
        <f aca="true">MAX(5,NORMINV(RAND(),$B$9,$C$9))</f>
        <v>18.4586965532944</v>
      </c>
      <c r="F378" s="26" t="n">
        <f aca="false">$B$18*(1+(B378+$B$17)/2)^9</f>
        <v>4270.89454972612</v>
      </c>
      <c r="G378" s="26" t="n">
        <f aca="false">F378*(C378-Assumptions!$F$18)+$B$20</f>
        <v>713.992518509926</v>
      </c>
      <c r="H378" s="26" t="n">
        <f aca="false">E378*G378/(1+D378)^9</f>
        <v>3027.66839802896</v>
      </c>
      <c r="I378" s="26" t="n">
        <f aca="false">$B$13*F378/$B$19*((1+$B$8)/(1+D378))^4.5</f>
        <v>-1790.36987949407</v>
      </c>
      <c r="J378" s="26" t="n">
        <f aca="false">H378+I378+$B$14</f>
        <v>3002.47660072667</v>
      </c>
      <c r="K378" s="44" t="n">
        <f aca="false">J378/$B$15</f>
        <v>7.39526256336619</v>
      </c>
    </row>
    <row r="379" customFormat="false" ht="15" hidden="false" customHeight="false" outlineLevel="0" collapsed="false">
      <c r="A379" s="55" t="n">
        <v>339</v>
      </c>
      <c r="B379" s="21" t="n">
        <f aca="true">NORMINV(RAND(),$B$6,$C$6)</f>
        <v>0.533981508171304</v>
      </c>
      <c r="C379" s="21" t="n">
        <f aca="true">MAX(0.05,NORMINV(RAND(),$B$7,$C$7))</f>
        <v>0.27109315552116</v>
      </c>
      <c r="D379" s="33" t="n">
        <f aca="true">MAX(0.08,NORMINV(RAND(),$B$8,$C$8))</f>
        <v>0.166860255923853</v>
      </c>
      <c r="E379" s="56" t="n">
        <f aca="true">MAX(5,NORMINV(RAND(),$B$9,$C$9))</f>
        <v>15.7229061521498</v>
      </c>
      <c r="F379" s="26" t="n">
        <f aca="false">$B$18*(1+(B379+$B$17)/2)^9</f>
        <v>3531.82893722987</v>
      </c>
      <c r="G379" s="26" t="n">
        <f aca="false">F379*(C379-Assumptions!$F$18)+$B$20</f>
        <v>511.432888866705</v>
      </c>
      <c r="H379" s="26" t="n">
        <f aca="false">E379*G379/(1+D379)^9</f>
        <v>2005.17298829253</v>
      </c>
      <c r="I379" s="26" t="n">
        <f aca="false">$B$13*F379/$B$19*((1+$B$8)/(1+D379))^4.5</f>
        <v>-1542.52407785431</v>
      </c>
      <c r="J379" s="26" t="n">
        <f aca="false">H379+I379+$B$14</f>
        <v>2227.82699263</v>
      </c>
      <c r="K379" s="44" t="n">
        <f aca="false">J379/$B$15</f>
        <v>5.48725860253696</v>
      </c>
    </row>
    <row r="380" customFormat="false" ht="15" hidden="false" customHeight="false" outlineLevel="0" collapsed="false">
      <c r="A380" s="55" t="n">
        <v>340</v>
      </c>
      <c r="B380" s="21" t="n">
        <f aca="true">NORMINV(RAND(),$B$6,$C$6)</f>
        <v>0.537994369904866</v>
      </c>
      <c r="C380" s="21" t="n">
        <f aca="true">MAX(0.05,NORMINV(RAND(),$B$7,$C$7))</f>
        <v>0.3205725004111</v>
      </c>
      <c r="D380" s="33" t="n">
        <f aca="true">MAX(0.08,NORMINV(RAND(),$B$8,$C$8))</f>
        <v>0.114856761331021</v>
      </c>
      <c r="E380" s="56" t="n">
        <f aca="true">MAX(5,NORMINV(RAND(),$B$9,$C$9))</f>
        <v>17.9978007465202</v>
      </c>
      <c r="F380" s="26" t="n">
        <f aca="false">$B$18*(1+(B380+$B$17)/2)^9</f>
        <v>3577.9113497886</v>
      </c>
      <c r="G380" s="26" t="n">
        <f aca="false">F380*(C380-Assumptions!$F$18)+$B$20</f>
        <v>699.114928660754</v>
      </c>
      <c r="H380" s="26" t="n">
        <f aca="false">E380*G380/(1+D380)^9</f>
        <v>4729.29458364686</v>
      </c>
      <c r="I380" s="26" t="n">
        <f aca="false">$B$13*F380/$B$19*((1+$B$8)/(1+D380))^4.5</f>
        <v>-1918.49582078564</v>
      </c>
      <c r="J380" s="26" t="n">
        <f aca="false">H380+I380+$B$14</f>
        <v>4575.976845053</v>
      </c>
      <c r="K380" s="44" t="n">
        <f aca="false">J380/$B$15</f>
        <v>11.270878928702</v>
      </c>
    </row>
    <row r="381" customFormat="false" ht="15" hidden="false" customHeight="false" outlineLevel="0" collapsed="false">
      <c r="A381" s="55" t="n">
        <v>341</v>
      </c>
      <c r="B381" s="21" t="n">
        <f aca="true">NORMINV(RAND(),$B$6,$C$6)</f>
        <v>0.627971468349896</v>
      </c>
      <c r="C381" s="21" t="n">
        <f aca="true">MAX(0.05,NORMINV(RAND(),$B$7,$C$7))</f>
        <v>0.266895737671107</v>
      </c>
      <c r="D381" s="33" t="n">
        <f aca="true">MAX(0.08,NORMINV(RAND(),$B$8,$C$8))</f>
        <v>0.123040928828137</v>
      </c>
      <c r="E381" s="56" t="n">
        <f aca="true">MAX(5,NORMINV(RAND(),$B$9,$C$9))</f>
        <v>17.4535396794439</v>
      </c>
      <c r="F381" s="26" t="n">
        <f aca="false">$B$18*(1+(B381+$B$17)/2)^9</f>
        <v>4761.90690943365</v>
      </c>
      <c r="G381" s="26" t="n">
        <f aca="false">F381*(C381-Assumptions!$F$18)+$B$20</f>
        <v>775.707775938401</v>
      </c>
      <c r="H381" s="26" t="n">
        <f aca="false">E381*G381/(1+D381)^9</f>
        <v>4764.54468416838</v>
      </c>
      <c r="I381" s="26" t="n">
        <f aca="false">$B$13*F381/$B$19*((1+$B$8)/(1+D381))^4.5</f>
        <v>-2470.68784135609</v>
      </c>
      <c r="J381" s="26" t="n">
        <f aca="false">H381+I381+$B$14</f>
        <v>4059.03492500406</v>
      </c>
      <c r="K381" s="44" t="n">
        <f aca="false">J381/$B$15</f>
        <v>9.99762296799031</v>
      </c>
    </row>
    <row r="382" customFormat="false" ht="15" hidden="false" customHeight="false" outlineLevel="0" collapsed="false">
      <c r="A382" s="55" t="n">
        <v>342</v>
      </c>
      <c r="B382" s="21" t="n">
        <f aca="true">NORMINV(RAND(),$B$6,$C$6)</f>
        <v>0.494719561288115</v>
      </c>
      <c r="C382" s="21" t="n">
        <f aca="true">MAX(0.05,NORMINV(RAND(),$B$7,$C$7))</f>
        <v>0.23072969128421</v>
      </c>
      <c r="D382" s="33" t="n">
        <f aca="true">MAX(0.08,NORMINV(RAND(),$B$8,$C$8))</f>
        <v>0.144247772957945</v>
      </c>
      <c r="E382" s="56" t="n">
        <f aca="true">MAX(5,NORMINV(RAND(),$B$9,$C$9))</f>
        <v>11.6614335670087</v>
      </c>
      <c r="F382" s="26" t="n">
        <f aca="false">$B$18*(1+(B382+$B$17)/2)^9</f>
        <v>3108.02384112034</v>
      </c>
      <c r="G382" s="26" t="n">
        <f aca="false">F382*(C382-Assumptions!$F$18)+$B$20</f>
        <v>288.043822722158</v>
      </c>
      <c r="H382" s="26" t="n">
        <f aca="false">E382*G382/(1+D382)^9</f>
        <v>998.917970078135</v>
      </c>
      <c r="I382" s="26" t="n">
        <f aca="false">$B$13*F382/$B$19*((1+$B$8)/(1+D382))^4.5</f>
        <v>-1482.38532269471</v>
      </c>
      <c r="J382" s="26" t="n">
        <f aca="false">H382+I382+$B$14</f>
        <v>1281.71072957521</v>
      </c>
      <c r="K382" s="44" t="n">
        <f aca="false">J382/$B$15</f>
        <v>3.15692297924928</v>
      </c>
    </row>
    <row r="383" customFormat="false" ht="15" hidden="false" customHeight="false" outlineLevel="0" collapsed="false">
      <c r="A383" s="55" t="n">
        <v>343</v>
      </c>
      <c r="B383" s="21" t="n">
        <f aca="true">NORMINV(RAND(),$B$6,$C$6)</f>
        <v>0.568369753324971</v>
      </c>
      <c r="C383" s="21" t="n">
        <f aca="true">MAX(0.05,NORMINV(RAND(),$B$7,$C$7))</f>
        <v>0.266023251070102</v>
      </c>
      <c r="D383" s="33" t="n">
        <f aca="true">MAX(0.08,NORMINV(RAND(),$B$8,$C$8))</f>
        <v>0.153856897504352</v>
      </c>
      <c r="E383" s="56" t="n">
        <f aca="true">MAX(5,NORMINV(RAND(),$B$9,$C$9))</f>
        <v>11.430824738621</v>
      </c>
      <c r="F383" s="26" t="n">
        <f aca="false">$B$18*(1+(B383+$B$17)/2)^9</f>
        <v>3944.43013744413</v>
      </c>
      <c r="G383" s="26" t="n">
        <f aca="false">F383*(C383-Assumptions!$F$18)+$B$20</f>
        <v>586.784318285324</v>
      </c>
      <c r="H383" s="26" t="n">
        <f aca="false">E383*G383/(1+D383)^9</f>
        <v>1850.07148838043</v>
      </c>
      <c r="I383" s="26" t="n">
        <f aca="false">$B$13*F383/$B$19*((1+$B$8)/(1+D383))^4.5</f>
        <v>-1811.83062875063</v>
      </c>
      <c r="J383" s="26" t="n">
        <f aca="false">H383+I383+$B$14</f>
        <v>1803.41894182158</v>
      </c>
      <c r="K383" s="44" t="n">
        <f aca="false">J383/$B$15</f>
        <v>4.44191857591522</v>
      </c>
    </row>
    <row r="384" customFormat="false" ht="15" hidden="false" customHeight="false" outlineLevel="0" collapsed="false">
      <c r="A384" s="55" t="n">
        <v>344</v>
      </c>
      <c r="B384" s="21" t="n">
        <f aca="true">NORMINV(RAND(),$B$6,$C$6)</f>
        <v>0.380320754638691</v>
      </c>
      <c r="C384" s="21" t="n">
        <f aca="true">MAX(0.05,NORMINV(RAND(),$B$7,$C$7))</f>
        <v>0.2804381352316</v>
      </c>
      <c r="D384" s="33" t="n">
        <f aca="true">MAX(0.08,NORMINV(RAND(),$B$8,$C$8))</f>
        <v>0.106590450538402</v>
      </c>
      <c r="E384" s="56" t="n">
        <f aca="true">MAX(5,NORMINV(RAND(),$B$9,$C$9))</f>
        <v>15.6005822307543</v>
      </c>
      <c r="F384" s="26" t="n">
        <f aca="false">$B$18*(1+(B384+$B$17)/2)^9</f>
        <v>2118.75602350552</v>
      </c>
      <c r="G384" s="26" t="n">
        <f aca="false">F384*(C384-Assumptions!$F$18)+$B$20</f>
        <v>204.681142303696</v>
      </c>
      <c r="H384" s="26" t="n">
        <f aca="false">E384*G384/(1+D384)^9</f>
        <v>1283.32417708646</v>
      </c>
      <c r="I384" s="26" t="n">
        <f aca="false">$B$13*F384/$B$19*((1+$B$8)/(1+D384))^4.5</f>
        <v>-1174.78102940817</v>
      </c>
      <c r="J384" s="26" t="n">
        <f aca="false">H384+I384+$B$14</f>
        <v>1873.72122987007</v>
      </c>
      <c r="K384" s="44" t="n">
        <f aca="false">J384/$B$15</f>
        <v>4.61507692086225</v>
      </c>
    </row>
    <row r="385" customFormat="false" ht="15" hidden="false" customHeight="false" outlineLevel="0" collapsed="false">
      <c r="A385" s="55" t="n">
        <v>345</v>
      </c>
      <c r="B385" s="21" t="n">
        <f aca="true">NORMINV(RAND(),$B$6,$C$6)</f>
        <v>0.642992888368232</v>
      </c>
      <c r="C385" s="21" t="n">
        <f aca="true">MAX(0.05,NORMINV(RAND(),$B$7,$C$7))</f>
        <v>0.284722123398237</v>
      </c>
      <c r="D385" s="33" t="n">
        <f aca="true">MAX(0.08,NORMINV(RAND(),$B$8,$C$8))</f>
        <v>0.147881186285159</v>
      </c>
      <c r="E385" s="56" t="n">
        <f aca="true">MAX(5,NORMINV(RAND(),$B$9,$C$9))</f>
        <v>18.0974430709415</v>
      </c>
      <c r="F385" s="26" t="n">
        <f aca="false">$B$18*(1+(B385+$B$17)/2)^9</f>
        <v>4990.32509431825</v>
      </c>
      <c r="G385" s="26" t="n">
        <f aca="false">F385*(C385-Assumptions!$F$18)+$B$20</f>
        <v>916.494348530382</v>
      </c>
      <c r="H385" s="26" t="n">
        <f aca="false">E385*G385/(1+D385)^9</f>
        <v>4793.74103959062</v>
      </c>
      <c r="I385" s="26" t="n">
        <f aca="false">$B$13*F385/$B$19*((1+$B$8)/(1+D385))^4.5</f>
        <v>-2346.44146264467</v>
      </c>
      <c r="J385" s="26" t="n">
        <f aca="false">H385+I385+$B$14</f>
        <v>4212.47765913774</v>
      </c>
      <c r="K385" s="44" t="n">
        <f aca="false">J385/$B$15</f>
        <v>10.3755607367925</v>
      </c>
    </row>
    <row r="386" customFormat="false" ht="15" hidden="false" customHeight="false" outlineLevel="0" collapsed="false">
      <c r="A386" s="55" t="n">
        <v>346</v>
      </c>
      <c r="B386" s="21" t="n">
        <f aca="true">NORMINV(RAND(),$B$6,$C$6)</f>
        <v>0.719656166399834</v>
      </c>
      <c r="C386" s="21" t="n">
        <f aca="true">MAX(0.05,NORMINV(RAND(),$B$7,$C$7))</f>
        <v>0.418228273783845</v>
      </c>
      <c r="D386" s="33" t="n">
        <f aca="true">MAX(0.08,NORMINV(RAND(),$B$8,$C$8))</f>
        <v>0.170797880296226</v>
      </c>
      <c r="E386" s="56" t="n">
        <f aca="true">MAX(5,NORMINV(RAND(),$B$9,$C$9))</f>
        <v>14.3701593374564</v>
      </c>
      <c r="F386" s="26" t="n">
        <f aca="false">$B$18*(1+(B386+$B$17)/2)^9</f>
        <v>6314.77762801978</v>
      </c>
      <c r="G386" s="26" t="n">
        <f aca="false">F386*(C386-Assumptions!$F$18)+$B$20</f>
        <v>2083.67883657608</v>
      </c>
      <c r="H386" s="26" t="n">
        <f aca="false">E386*G386/(1+D386)^9</f>
        <v>7243.60928991692</v>
      </c>
      <c r="I386" s="26" t="n">
        <f aca="false">$B$13*F386/$B$19*((1+$B$8)/(1+D386))^4.5</f>
        <v>-2716.47988836102</v>
      </c>
      <c r="J386" s="26" t="n">
        <f aca="false">H386+I386+$B$14</f>
        <v>6292.30748374768</v>
      </c>
      <c r="K386" s="44" t="n">
        <f aca="false">J386/$B$15</f>
        <v>15.498294294945</v>
      </c>
    </row>
    <row r="387" customFormat="false" ht="15" hidden="false" customHeight="false" outlineLevel="0" collapsed="false">
      <c r="A387" s="55" t="n">
        <v>347</v>
      </c>
      <c r="B387" s="21" t="n">
        <f aca="true">NORMINV(RAND(),$B$6,$C$6)</f>
        <v>0.663306853831484</v>
      </c>
      <c r="C387" s="21" t="n">
        <f aca="true">MAX(0.05,NORMINV(RAND(),$B$7,$C$7))</f>
        <v>0.318257884027339</v>
      </c>
      <c r="D387" s="33" t="n">
        <f aca="true">MAX(0.08,NORMINV(RAND(),$B$8,$C$8))</f>
        <v>0.148219327195423</v>
      </c>
      <c r="E387" s="56" t="n">
        <f aca="true">MAX(5,NORMINV(RAND(),$B$9,$C$9))</f>
        <v>19.373331626093</v>
      </c>
      <c r="F387" s="26" t="n">
        <f aca="false">$B$18*(1+(B387+$B$17)/2)^9</f>
        <v>5314.69833996181</v>
      </c>
      <c r="G387" s="26" t="n">
        <f aca="false">F387*(C387-Assumptions!$F$18)+$B$20</f>
        <v>1174.1081093227</v>
      </c>
      <c r="H387" s="26" t="n">
        <f aca="false">E387*G387/(1+D387)^9</f>
        <v>6556.75151526805</v>
      </c>
      <c r="I387" s="26" t="n">
        <f aca="false">$B$13*F387/$B$19*((1+$B$8)/(1+D387))^4.5</f>
        <v>-2495.65120478437</v>
      </c>
      <c r="J387" s="26" t="n">
        <f aca="false">H387+I387+$B$14</f>
        <v>5826.27839267546</v>
      </c>
      <c r="K387" s="44" t="n">
        <f aca="false">J387/$B$15</f>
        <v>14.3504393908263</v>
      </c>
    </row>
    <row r="388" customFormat="false" ht="15" hidden="false" customHeight="false" outlineLevel="0" collapsed="false">
      <c r="A388" s="55" t="n">
        <v>348</v>
      </c>
      <c r="B388" s="21" t="n">
        <f aca="true">NORMINV(RAND(),$B$6,$C$6)</f>
        <v>0.405130641379813</v>
      </c>
      <c r="C388" s="21" t="n">
        <f aca="true">MAX(0.05,NORMINV(RAND(),$B$7,$C$7))</f>
        <v>0.298801054259236</v>
      </c>
      <c r="D388" s="33" t="n">
        <f aca="true">MAX(0.08,NORMINV(RAND(),$B$8,$C$8))</f>
        <v>0.132693241516002</v>
      </c>
      <c r="E388" s="56" t="n">
        <f aca="true">MAX(5,NORMINV(RAND(),$B$9,$C$9))</f>
        <v>21.3234495717404</v>
      </c>
      <c r="F388" s="26" t="n">
        <f aca="false">$B$18*(1+(B388+$B$17)/2)^9</f>
        <v>2305.5555809468</v>
      </c>
      <c r="G388" s="26" t="n">
        <f aca="false">F388*(C388-Assumptions!$F$18)+$B$20</f>
        <v>291.931610003606</v>
      </c>
      <c r="H388" s="26" t="n">
        <f aca="false">E388*G388/(1+D388)^9</f>
        <v>2028.27950864974</v>
      </c>
      <c r="I388" s="26" t="n">
        <f aca="false">$B$13*F388/$B$19*((1+$B$8)/(1+D388))^4.5</f>
        <v>-1151.03177039613</v>
      </c>
      <c r="J388" s="26" t="n">
        <f aca="false">H388+I388+$B$14</f>
        <v>2642.4258204454</v>
      </c>
      <c r="K388" s="44" t="n">
        <f aca="false">J388/$B$15</f>
        <v>6.5084379813926</v>
      </c>
    </row>
    <row r="389" customFormat="false" ht="15" hidden="false" customHeight="false" outlineLevel="0" collapsed="false">
      <c r="A389" s="55" t="n">
        <v>349</v>
      </c>
      <c r="B389" s="21" t="n">
        <f aca="true">NORMINV(RAND(),$B$6,$C$6)</f>
        <v>0.455008385779017</v>
      </c>
      <c r="C389" s="21" t="n">
        <f aca="true">MAX(0.05,NORMINV(RAND(),$B$7,$C$7))</f>
        <v>0.376093300267355</v>
      </c>
      <c r="D389" s="33" t="n">
        <f aca="true">MAX(0.08,NORMINV(RAND(),$B$8,$C$8))</f>
        <v>0.120427109395484</v>
      </c>
      <c r="E389" s="56" t="n">
        <f aca="true">MAX(5,NORMINV(RAND(),$B$9,$C$9))</f>
        <v>15.6423308778255</v>
      </c>
      <c r="F389" s="26" t="n">
        <f aca="false">$B$18*(1+(B389+$B$17)/2)^9</f>
        <v>2725.96381304085</v>
      </c>
      <c r="G389" s="26" t="n">
        <f aca="false">F389*(C389-Assumptions!$F$18)+$B$20</f>
        <v>611.429569335592</v>
      </c>
      <c r="H389" s="26" t="n">
        <f aca="false">E389*G389/(1+D389)^9</f>
        <v>3437.1258284645</v>
      </c>
      <c r="I389" s="26" t="n">
        <f aca="false">$B$13*F389/$B$19*((1+$B$8)/(1+D389))^4.5</f>
        <v>-1429.25906388846</v>
      </c>
      <c r="J389" s="26" t="n">
        <f aca="false">H389+I389+$B$14</f>
        <v>3773.04484676782</v>
      </c>
      <c r="K389" s="44" t="n">
        <f aca="false">J389/$B$15</f>
        <v>9.29321390829513</v>
      </c>
    </row>
    <row r="390" customFormat="false" ht="15" hidden="false" customHeight="false" outlineLevel="0" collapsed="false">
      <c r="A390" s="55" t="n">
        <v>350</v>
      </c>
      <c r="B390" s="21" t="n">
        <f aca="true">NORMINV(RAND(),$B$6,$C$6)</f>
        <v>0.681301712081698</v>
      </c>
      <c r="C390" s="21" t="n">
        <f aca="true">MAX(0.05,NORMINV(RAND(),$B$7,$C$7))</f>
        <v>0.394689691664049</v>
      </c>
      <c r="D390" s="33" t="n">
        <f aca="true">MAX(0.08,NORMINV(RAND(),$B$8,$C$8))</f>
        <v>0.158372155558061</v>
      </c>
      <c r="E390" s="56" t="n">
        <f aca="true">MAX(5,NORMINV(RAND(),$B$9,$C$9))</f>
        <v>12.8648468444446</v>
      </c>
      <c r="F390" s="26" t="n">
        <f aca="false">$B$18*(1+(B390+$B$17)/2)^9</f>
        <v>5617.55378297681</v>
      </c>
      <c r="G390" s="26" t="n">
        <f aca="false">F390*(C390-Assumptions!$F$18)+$B$20</f>
        <v>1687.73981419157</v>
      </c>
      <c r="H390" s="26" t="n">
        <f aca="false">E390*G390/(1+D390)^9</f>
        <v>5781.98724859867</v>
      </c>
      <c r="I390" s="26" t="n">
        <f aca="false">$B$13*F390/$B$19*((1+$B$8)/(1+D390))^4.5</f>
        <v>-2535.40797435469</v>
      </c>
      <c r="J390" s="26" t="n">
        <f aca="false">H390+I390+$B$14</f>
        <v>5011.75735643576</v>
      </c>
      <c r="K390" s="44" t="n">
        <f aca="false">J390/$B$15</f>
        <v>12.34422994196</v>
      </c>
    </row>
    <row r="391" customFormat="false" ht="15" hidden="false" customHeight="false" outlineLevel="0" collapsed="false">
      <c r="A391" s="55" t="n">
        <v>351</v>
      </c>
      <c r="B391" s="21" t="n">
        <f aca="true">NORMINV(RAND(),$B$6,$C$6)</f>
        <v>0.480896975089049</v>
      </c>
      <c r="C391" s="21" t="n">
        <f aca="true">MAX(0.05,NORMINV(RAND(),$B$7,$C$7))</f>
        <v>0.270242025216298</v>
      </c>
      <c r="D391" s="33" t="n">
        <f aca="true">MAX(0.08,NORMINV(RAND(),$B$8,$C$8))</f>
        <v>0.151371359409243</v>
      </c>
      <c r="E391" s="56" t="n">
        <f aca="true">MAX(5,NORMINV(RAND(),$B$9,$C$9))</f>
        <v>19.7483589911649</v>
      </c>
      <c r="F391" s="26" t="n">
        <f aca="false">$B$18*(1+(B391+$B$17)/2)^9</f>
        <v>2969.95857436045</v>
      </c>
      <c r="G391" s="26" t="n">
        <f aca="false">F391*(C391-Assumptions!$F$18)+$B$20</f>
        <v>379.06067197057</v>
      </c>
      <c r="H391" s="26" t="n">
        <f aca="false">E391*G391/(1+D391)^9</f>
        <v>2105.23675005817</v>
      </c>
      <c r="I391" s="26" t="n">
        <f aca="false">$B$13*F391/$B$19*((1+$B$8)/(1+D391))^4.5</f>
        <v>-1377.52058782869</v>
      </c>
      <c r="J391" s="26" t="n">
        <f aca="false">H391+I391+$B$14</f>
        <v>2492.89424442127</v>
      </c>
      <c r="K391" s="44" t="n">
        <f aca="false">J391/$B$15</f>
        <v>6.14013360694893</v>
      </c>
    </row>
    <row r="392" customFormat="false" ht="15" hidden="false" customHeight="false" outlineLevel="0" collapsed="false">
      <c r="A392" s="55" t="n">
        <v>352</v>
      </c>
      <c r="B392" s="21" t="n">
        <f aca="true">NORMINV(RAND(),$B$6,$C$6)</f>
        <v>0.544372768422319</v>
      </c>
      <c r="C392" s="21" t="n">
        <f aca="true">MAX(0.05,NORMINV(RAND(),$B$7,$C$7))</f>
        <v>0.350148043769171</v>
      </c>
      <c r="D392" s="33" t="n">
        <f aca="true">MAX(0.08,NORMINV(RAND(),$B$8,$C$8))</f>
        <v>0.144083513641944</v>
      </c>
      <c r="E392" s="56" t="n">
        <f aca="true">MAX(5,NORMINV(RAND(),$B$9,$C$9))</f>
        <v>18.6943937912884</v>
      </c>
      <c r="F392" s="26" t="n">
        <f aca="false">$B$18*(1+(B392+$B$17)/2)^9</f>
        <v>3652.25933342085</v>
      </c>
      <c r="G392" s="26" t="n">
        <f aca="false">F392*(C392-Assumptions!$F$18)+$B$20</f>
        <v>827.992482599483</v>
      </c>
      <c r="H392" s="26" t="n">
        <f aca="false">E392*G392/(1+D392)^9</f>
        <v>4609.12231866142</v>
      </c>
      <c r="I392" s="26" t="n">
        <f aca="false">$B$13*F392/$B$19*((1+$B$8)/(1+D392))^4.5</f>
        <v>-1743.08650364784</v>
      </c>
      <c r="J392" s="26" t="n">
        <f aca="false">H392+I392+$B$14</f>
        <v>4631.21389720535</v>
      </c>
      <c r="K392" s="44" t="n">
        <f aca="false">J392/$B$15</f>
        <v>11.406930781294</v>
      </c>
    </row>
    <row r="393" customFormat="false" ht="15" hidden="false" customHeight="false" outlineLevel="0" collapsed="false">
      <c r="A393" s="55" t="n">
        <v>353</v>
      </c>
      <c r="B393" s="21" t="n">
        <f aca="true">NORMINV(RAND(),$B$6,$C$6)</f>
        <v>0.564691572278275</v>
      </c>
      <c r="C393" s="21" t="n">
        <f aca="true">MAX(0.05,NORMINV(RAND(),$B$7,$C$7))</f>
        <v>0.312069081852692</v>
      </c>
      <c r="D393" s="33" t="n">
        <f aca="true">MAX(0.08,NORMINV(RAND(),$B$8,$C$8))</f>
        <v>0.154606028779587</v>
      </c>
      <c r="E393" s="56" t="n">
        <f aca="true">MAX(5,NORMINV(RAND(),$B$9,$C$9))</f>
        <v>18.8676121301674</v>
      </c>
      <c r="F393" s="26" t="n">
        <f aca="false">$B$18*(1+(B393+$B$17)/2)^9</f>
        <v>3898.3413000431</v>
      </c>
      <c r="G393" s="26" t="n">
        <f aca="false">F393*(C393-Assumptions!$F$18)+$B$20</f>
        <v>755.869533252465</v>
      </c>
      <c r="H393" s="26" t="n">
        <f aca="false">E393*G393/(1+D393)^9</f>
        <v>3910.74404595041</v>
      </c>
      <c r="I393" s="26" t="n">
        <f aca="false">$B$13*F393/$B$19*((1+$B$8)/(1+D393))^4.5</f>
        <v>-1785.43798960378</v>
      </c>
      <c r="J393" s="26" t="n">
        <f aca="false">H393+I393+$B$14</f>
        <v>3890.48413853841</v>
      </c>
      <c r="K393" s="44" t="n">
        <f aca="false">J393/$B$15</f>
        <v>9.58247324763154</v>
      </c>
    </row>
    <row r="394" customFormat="false" ht="15" hidden="false" customHeight="false" outlineLevel="0" collapsed="false">
      <c r="A394" s="55" t="n">
        <v>354</v>
      </c>
      <c r="B394" s="21" t="n">
        <f aca="true">NORMINV(RAND(),$B$6,$C$6)</f>
        <v>0.465644832925058</v>
      </c>
      <c r="C394" s="21" t="n">
        <f aca="true">MAX(0.05,NORMINV(RAND(),$B$7,$C$7))</f>
        <v>0.303916936934992</v>
      </c>
      <c r="D394" s="33" t="n">
        <f aca="true">MAX(0.08,NORMINV(RAND(),$B$8,$C$8))</f>
        <v>0.121054730347076</v>
      </c>
      <c r="E394" s="56" t="n">
        <f aca="true">MAX(5,NORMINV(RAND(),$B$9,$C$9))</f>
        <v>15.2234167770289</v>
      </c>
      <c r="F394" s="26" t="n">
        <f aca="false">$B$18*(1+(B394+$B$17)/2)^9</f>
        <v>2823.96476125783</v>
      </c>
      <c r="G394" s="26" t="n">
        <f aca="false">F394*(C394-Assumptions!$F$18)+$B$20</f>
        <v>440.543524804835</v>
      </c>
      <c r="H394" s="26" t="n">
        <f aca="false">E394*G394/(1+D394)^9</f>
        <v>2398.05765164278</v>
      </c>
      <c r="I394" s="26" t="n">
        <f aca="false">$B$13*F394/$B$19*((1+$B$8)/(1+D394))^4.5</f>
        <v>-1476.91570677205</v>
      </c>
      <c r="J394" s="26" t="n">
        <f aca="false">H394+I394+$B$14</f>
        <v>2686.32002706251</v>
      </c>
      <c r="K394" s="44" t="n">
        <f aca="false">J394/$B$15</f>
        <v>6.61655179079436</v>
      </c>
    </row>
    <row r="395" customFormat="false" ht="15" hidden="false" customHeight="false" outlineLevel="0" collapsed="false">
      <c r="A395" s="55" t="n">
        <v>355</v>
      </c>
      <c r="B395" s="21" t="n">
        <f aca="true">NORMINV(RAND(),$B$6,$C$6)</f>
        <v>0.410341675173211</v>
      </c>
      <c r="C395" s="21" t="n">
        <f aca="true">MAX(0.05,NORMINV(RAND(),$B$7,$C$7))</f>
        <v>0.279897528091698</v>
      </c>
      <c r="D395" s="33" t="n">
        <f aca="true">MAX(0.08,NORMINV(RAND(),$B$8,$C$8))</f>
        <v>0.163538427129285</v>
      </c>
      <c r="E395" s="56" t="n">
        <f aca="true">MAX(5,NORMINV(RAND(),$B$9,$C$9))</f>
        <v>13.1253216913734</v>
      </c>
      <c r="F395" s="26" t="n">
        <f aca="false">$B$18*(1+(B395+$B$17)/2)^9</f>
        <v>2346.60128965094</v>
      </c>
      <c r="G395" s="26" t="n">
        <f aca="false">F395*(C395-Assumptions!$F$18)+$B$20</f>
        <v>258.19524380536</v>
      </c>
      <c r="H395" s="26" t="n">
        <f aca="false">E395*G395/(1+D395)^9</f>
        <v>867.024991878247</v>
      </c>
      <c r="I395" s="26" t="n">
        <f aca="false">$B$13*F395/$B$19*((1+$B$8)/(1+D395))^4.5</f>
        <v>-1038.10939617506</v>
      </c>
      <c r="J395" s="26" t="n">
        <f aca="false">H395+I395+$B$14</f>
        <v>1594.09367789497</v>
      </c>
      <c r="K395" s="44" t="n">
        <f aca="false">J395/$B$15</f>
        <v>3.92633910811569</v>
      </c>
    </row>
    <row r="396" customFormat="false" ht="15" hidden="false" customHeight="false" outlineLevel="0" collapsed="false">
      <c r="A396" s="55" t="n">
        <v>356</v>
      </c>
      <c r="B396" s="21" t="n">
        <f aca="true">NORMINV(RAND(),$B$6,$C$6)</f>
        <v>0.680011682703957</v>
      </c>
      <c r="C396" s="21" t="n">
        <f aca="true">MAX(0.05,NORMINV(RAND(),$B$7,$C$7))</f>
        <v>0.279830293604149</v>
      </c>
      <c r="D396" s="33" t="n">
        <f aca="true">MAX(0.08,NORMINV(RAND(),$B$8,$C$8))</f>
        <v>0.137080585333014</v>
      </c>
      <c r="E396" s="56" t="n">
        <f aca="true">MAX(5,NORMINV(RAND(),$B$9,$C$9))</f>
        <v>6.75576464006082</v>
      </c>
      <c r="F396" s="26" t="n">
        <f aca="false">$B$18*(1+(B396+$B$17)/2)^9</f>
        <v>5595.342971326</v>
      </c>
      <c r="G396" s="26" t="n">
        <f aca="false">F396*(C396-Assumptions!$F$18)+$B$20</f>
        <v>1037.18414263034</v>
      </c>
      <c r="H396" s="26" t="n">
        <f aca="false">E396*G396/(1+D396)^9</f>
        <v>2205.00297512687</v>
      </c>
      <c r="I396" s="26" t="n">
        <f aca="false">$B$13*F396/$B$19*((1+$B$8)/(1+D396))^4.5</f>
        <v>-2745.25833249319</v>
      </c>
      <c r="J396" s="26" t="n">
        <f aca="false">H396+I396+$B$14</f>
        <v>1224.92272482546</v>
      </c>
      <c r="K396" s="44" t="n">
        <f aca="false">J396/$B$15</f>
        <v>3.01705104636812</v>
      </c>
    </row>
    <row r="397" customFormat="false" ht="15" hidden="false" customHeight="false" outlineLevel="0" collapsed="false">
      <c r="A397" s="55" t="n">
        <v>357</v>
      </c>
      <c r="B397" s="21" t="n">
        <f aca="true">NORMINV(RAND(),$B$6,$C$6)</f>
        <v>0.590557867384366</v>
      </c>
      <c r="C397" s="21" t="n">
        <f aca="true">MAX(0.05,NORMINV(RAND(),$B$7,$C$7))</f>
        <v>0.385764882423723</v>
      </c>
      <c r="D397" s="33" t="n">
        <f aca="true">MAX(0.08,NORMINV(RAND(),$B$8,$C$8))</f>
        <v>0.1307644344499</v>
      </c>
      <c r="E397" s="56" t="n">
        <f aca="true">MAX(5,NORMINV(RAND(),$B$9,$C$9))</f>
        <v>12.7152720684141</v>
      </c>
      <c r="F397" s="26" t="n">
        <f aca="false">$B$18*(1+(B397+$B$17)/2)^9</f>
        <v>4232.87373519151</v>
      </c>
      <c r="G397" s="26" t="n">
        <f aca="false">F397*(C397-Assumptions!$F$18)+$B$20</f>
        <v>1158.83048436427</v>
      </c>
      <c r="H397" s="26" t="n">
        <f aca="false">E397*G397/(1+D397)^9</f>
        <v>4875.243429438</v>
      </c>
      <c r="I397" s="26" t="n">
        <f aca="false">$B$13*F397/$B$19*((1+$B$8)/(1+D397))^4.5</f>
        <v>-2129.50070638543</v>
      </c>
      <c r="J397" s="26" t="n">
        <f aca="false">H397+I397+$B$14</f>
        <v>4510.92080524434</v>
      </c>
      <c r="K397" s="44" t="n">
        <f aca="false">J397/$B$15</f>
        <v>11.1106423774491</v>
      </c>
    </row>
    <row r="398" customFormat="false" ht="15" hidden="false" customHeight="false" outlineLevel="0" collapsed="false">
      <c r="A398" s="55" t="n">
        <v>358</v>
      </c>
      <c r="B398" s="21" t="n">
        <f aca="true">NORMINV(RAND(),$B$6,$C$6)</f>
        <v>0.435821005470228</v>
      </c>
      <c r="C398" s="21" t="n">
        <f aca="true">MAX(0.05,NORMINV(RAND(),$B$7,$C$7))</f>
        <v>0.305415868674921</v>
      </c>
      <c r="D398" s="33" t="n">
        <f aca="true">MAX(0.08,NORMINV(RAND(),$B$8,$C$8))</f>
        <v>0.121256928600487</v>
      </c>
      <c r="E398" s="56" t="n">
        <f aca="true">MAX(5,NORMINV(RAND(),$B$9,$C$9))</f>
        <v>19.8330963682207</v>
      </c>
      <c r="F398" s="26" t="n">
        <f aca="false">$B$18*(1+(B398+$B$17)/2)^9</f>
        <v>2556.79635634017</v>
      </c>
      <c r="G398" s="26" t="n">
        <f aca="false">F398*(C398-Assumptions!$F$18)+$B$20</f>
        <v>373.86572094421</v>
      </c>
      <c r="H398" s="26" t="n">
        <f aca="false">E398*G398/(1+D398)^9</f>
        <v>2647.03639192411</v>
      </c>
      <c r="I398" s="26" t="n">
        <f aca="false">$B$13*F398/$B$19*((1+$B$8)/(1+D398))^4.5</f>
        <v>-1336.10354444839</v>
      </c>
      <c r="J398" s="26" t="n">
        <f aca="false">H398+I398+$B$14</f>
        <v>3076.11092966751</v>
      </c>
      <c r="K398" s="44" t="n">
        <f aca="false">J398/$B$15</f>
        <v>7.57662790558499</v>
      </c>
    </row>
    <row r="399" customFormat="false" ht="15" hidden="false" customHeight="false" outlineLevel="0" collapsed="false">
      <c r="A399" s="55" t="n">
        <v>359</v>
      </c>
      <c r="B399" s="21" t="n">
        <f aca="true">NORMINV(RAND(),$B$6,$C$6)</f>
        <v>0.697459611885223</v>
      </c>
      <c r="C399" s="21" t="n">
        <f aca="true">MAX(0.05,NORMINV(RAND(),$B$7,$C$7))</f>
        <v>0.254719373791878</v>
      </c>
      <c r="D399" s="33" t="n">
        <f aca="true">MAX(0.08,NORMINV(RAND(),$B$8,$C$8))</f>
        <v>0.145315458667337</v>
      </c>
      <c r="E399" s="56" t="n">
        <f aca="true">MAX(5,NORMINV(RAND(),$B$9,$C$9))</f>
        <v>16.4784716399576</v>
      </c>
      <c r="F399" s="26" t="n">
        <f aca="false">$B$18*(1+(B399+$B$17)/2)^9</f>
        <v>5902.46348974318</v>
      </c>
      <c r="G399" s="26" t="n">
        <f aca="false">F399*(C399-Assumptions!$F$18)+$B$20</f>
        <v>962.624659348386</v>
      </c>
      <c r="H399" s="26" t="n">
        <f aca="false">E399*G399/(1+D399)^9</f>
        <v>4677.86633930002</v>
      </c>
      <c r="I399" s="26" t="n">
        <f aca="false">$B$13*F399/$B$19*((1+$B$8)/(1+D399))^4.5</f>
        <v>-2803.41481375426</v>
      </c>
      <c r="J399" s="26" t="n">
        <f aca="false">H399+I399+$B$14</f>
        <v>3639.62960773753</v>
      </c>
      <c r="K399" s="44" t="n">
        <f aca="false">J399/$B$15</f>
        <v>8.96460494516634</v>
      </c>
    </row>
    <row r="400" customFormat="false" ht="15" hidden="false" customHeight="false" outlineLevel="0" collapsed="false">
      <c r="A400" s="55" t="n">
        <v>360</v>
      </c>
      <c r="B400" s="21" t="n">
        <f aca="true">NORMINV(RAND(),$B$6,$C$6)</f>
        <v>0.637232660526533</v>
      </c>
      <c r="C400" s="21" t="n">
        <f aca="true">MAX(0.05,NORMINV(RAND(),$B$7,$C$7))</f>
        <v>0.314788845178662</v>
      </c>
      <c r="D400" s="33" t="n">
        <f aca="true">MAX(0.08,NORMINV(RAND(),$B$8,$C$8))</f>
        <v>0.136238477496479</v>
      </c>
      <c r="E400" s="56" t="n">
        <f aca="true">MAX(5,NORMINV(RAND(),$B$9,$C$9))</f>
        <v>14.4099937575185</v>
      </c>
      <c r="F400" s="26" t="n">
        <f aca="false">$B$18*(1+(B400+$B$17)/2)^9</f>
        <v>4901.60805138828</v>
      </c>
      <c r="G400" s="26" t="n">
        <f aca="false">F400*(C400-Assumptions!$F$18)+$B$20</f>
        <v>1042.15861096073</v>
      </c>
      <c r="H400" s="26" t="n">
        <f aca="false">E400*G400/(1+D400)^9</f>
        <v>4757.42756956248</v>
      </c>
      <c r="I400" s="26" t="n">
        <f aca="false">$B$13*F400/$B$19*((1+$B$8)/(1+D400))^4.5</f>
        <v>-2412.92027267995</v>
      </c>
      <c r="J400" s="26" t="n">
        <f aca="false">H400+I400+$B$14</f>
        <v>4109.68537907431</v>
      </c>
      <c r="K400" s="44" t="n">
        <f aca="false">J400/$B$15</f>
        <v>10.1223777809712</v>
      </c>
    </row>
    <row r="401" customFormat="false" ht="15" hidden="false" customHeight="false" outlineLevel="0" collapsed="false">
      <c r="A401" s="55" t="n">
        <v>361</v>
      </c>
      <c r="B401" s="21" t="n">
        <f aca="true">NORMINV(RAND(),$B$6,$C$6)</f>
        <v>0.693547285798582</v>
      </c>
      <c r="C401" s="21" t="n">
        <f aca="true">MAX(0.05,NORMINV(RAND(),$B$7,$C$7))</f>
        <v>0.272549647249291</v>
      </c>
      <c r="D401" s="33" t="n">
        <f aca="true">MAX(0.08,NORMINV(RAND(),$B$8,$C$8))</f>
        <v>0.136779169856298</v>
      </c>
      <c r="E401" s="56" t="n">
        <f aca="true">MAX(5,NORMINV(RAND(),$B$9,$C$9))</f>
        <v>18.3893914755042</v>
      </c>
      <c r="F401" s="26" t="n">
        <f aca="false">$B$18*(1+(B401+$B$17)/2)^9</f>
        <v>5832.32471556397</v>
      </c>
      <c r="G401" s="26" t="n">
        <f aca="false">F401*(C401-Assumptions!$F$18)+$B$20</f>
        <v>1051.55645024903</v>
      </c>
      <c r="H401" s="26" t="n">
        <f aca="false">E401*G401/(1+D401)^9</f>
        <v>6099.79144338571</v>
      </c>
      <c r="I401" s="26" t="n">
        <f aca="false">$B$13*F401/$B$19*((1+$B$8)/(1+D401))^4.5</f>
        <v>-2864.94520253655</v>
      </c>
      <c r="J401" s="26" t="n">
        <f aca="false">H401+I401+$B$14</f>
        <v>5000.02432304094</v>
      </c>
      <c r="K401" s="44" t="n">
        <f aca="false">J401/$B$15</f>
        <v>12.3153308449284</v>
      </c>
    </row>
    <row r="402" customFormat="false" ht="15" hidden="false" customHeight="false" outlineLevel="0" collapsed="false">
      <c r="A402" s="55" t="n">
        <v>362</v>
      </c>
      <c r="B402" s="21" t="n">
        <f aca="true">NORMINV(RAND(),$B$6,$C$6)</f>
        <v>0.428575675819125</v>
      </c>
      <c r="C402" s="21" t="n">
        <f aca="true">MAX(0.05,NORMINV(RAND(),$B$7,$C$7))</f>
        <v>0.251702139646002</v>
      </c>
      <c r="D402" s="33" t="n">
        <f aca="true">MAX(0.08,NORMINV(RAND(),$B$8,$C$8))</f>
        <v>0.141216547807432</v>
      </c>
      <c r="E402" s="56" t="n">
        <f aca="true">MAX(5,NORMINV(RAND(),$B$9,$C$9))</f>
        <v>11.7658283873922</v>
      </c>
      <c r="F402" s="26" t="n">
        <f aca="false">$B$18*(1+(B402+$B$17)/2)^9</f>
        <v>2495.38655198798</v>
      </c>
      <c r="G402" s="26" t="n">
        <f aca="false">F402*(C402-Assumptions!$F$18)+$B$20</f>
        <v>223.530067301025</v>
      </c>
      <c r="H402" s="26" t="n">
        <f aca="false">E402*G402/(1+D402)^9</f>
        <v>801.024713341724</v>
      </c>
      <c r="I402" s="26" t="n">
        <f aca="false">$B$13*F402/$B$19*((1+$B$8)/(1+D402))^4.5</f>
        <v>-1204.47742517024</v>
      </c>
      <c r="J402" s="26" t="n">
        <f aca="false">H402+I402+$B$14</f>
        <v>1361.72537036326</v>
      </c>
      <c r="K402" s="44" t="n">
        <f aca="false">J402/$B$15</f>
        <v>3.35400337527897</v>
      </c>
    </row>
    <row r="403" customFormat="false" ht="15" hidden="false" customHeight="false" outlineLevel="0" collapsed="false">
      <c r="A403" s="55" t="n">
        <v>363</v>
      </c>
      <c r="B403" s="21" t="n">
        <f aca="true">NORMINV(RAND(),$B$6,$C$6)</f>
        <v>0.518781234902827</v>
      </c>
      <c r="C403" s="21" t="n">
        <f aca="true">MAX(0.05,NORMINV(RAND(),$B$7,$C$7))</f>
        <v>0.307874687175449</v>
      </c>
      <c r="D403" s="33" t="n">
        <f aca="true">MAX(0.08,NORMINV(RAND(),$B$8,$C$8))</f>
        <v>0.149339486650036</v>
      </c>
      <c r="E403" s="56" t="n">
        <f aca="true">MAX(5,NORMINV(RAND(),$B$9,$C$9))</f>
        <v>13.6197049408598</v>
      </c>
      <c r="F403" s="26" t="n">
        <f aca="false">$B$18*(1+(B403+$B$17)/2)^9</f>
        <v>3362.02029199163</v>
      </c>
      <c r="G403" s="26" t="n">
        <f aca="false">F403*(C403-Assumptions!$F$18)+$B$20</f>
        <v>595.851528996081</v>
      </c>
      <c r="H403" s="26" t="n">
        <f aca="false">E403*G403/(1+D403)^9</f>
        <v>2318.8401377734</v>
      </c>
      <c r="I403" s="26" t="n">
        <f aca="false">$B$13*F403/$B$19*((1+$B$8)/(1+D403))^4.5</f>
        <v>-1571.80969208554</v>
      </c>
      <c r="J403" s="26" t="n">
        <f aca="false">H403+I403+$B$14</f>
        <v>2512.20852787963</v>
      </c>
      <c r="K403" s="44" t="n">
        <f aca="false">J403/$B$15</f>
        <v>6.18770573369367</v>
      </c>
    </row>
    <row r="404" customFormat="false" ht="15" hidden="false" customHeight="false" outlineLevel="0" collapsed="false">
      <c r="A404" s="55" t="n">
        <v>364</v>
      </c>
      <c r="B404" s="21" t="n">
        <f aca="true">NORMINV(RAND(),$B$6,$C$6)</f>
        <v>0.467171641584519</v>
      </c>
      <c r="C404" s="21" t="n">
        <f aca="true">MAX(0.05,NORMINV(RAND(),$B$7,$C$7))</f>
        <v>0.309865941814162</v>
      </c>
      <c r="D404" s="33" t="n">
        <f aca="true">MAX(0.08,NORMINV(RAND(),$B$8,$C$8))</f>
        <v>0.139705174498719</v>
      </c>
      <c r="E404" s="56" t="n">
        <f aca="true">MAX(5,NORMINV(RAND(),$B$9,$C$9))</f>
        <v>22.5225980564796</v>
      </c>
      <c r="F404" s="26" t="n">
        <f aca="false">$B$18*(1+(B404+$B$17)/2)^9</f>
        <v>2838.28632031366</v>
      </c>
      <c r="G404" s="26" t="n">
        <f aca="false">F404*(C404-Assumptions!$F$18)+$B$20</f>
        <v>461.208205971009</v>
      </c>
      <c r="H404" s="26" t="n">
        <f aca="false">E404*G404/(1+D404)^9</f>
        <v>3201.71618632455</v>
      </c>
      <c r="I404" s="26" t="n">
        <f aca="false">$B$13*F404/$B$19*((1+$B$8)/(1+D404))^4.5</f>
        <v>-1378.18325776951</v>
      </c>
      <c r="J404" s="26" t="n">
        <f aca="false">H404+I404+$B$14</f>
        <v>3588.71101074682</v>
      </c>
      <c r="K404" s="44" t="n">
        <f aca="false">J404/$B$15</f>
        <v>8.83918968164241</v>
      </c>
    </row>
    <row r="405" customFormat="false" ht="15" hidden="false" customHeight="false" outlineLevel="0" collapsed="false">
      <c r="A405" s="55" t="n">
        <v>365</v>
      </c>
      <c r="B405" s="21" t="n">
        <f aca="true">NORMINV(RAND(),$B$6,$C$6)</f>
        <v>0.631150554448967</v>
      </c>
      <c r="C405" s="21" t="n">
        <f aca="true">MAX(0.05,NORMINV(RAND(),$B$7,$C$7))</f>
        <v>0.331114767486619</v>
      </c>
      <c r="D405" s="33" t="n">
        <f aca="true">MAX(0.08,NORMINV(RAND(),$B$8,$C$8))</f>
        <v>0.121799998304224</v>
      </c>
      <c r="E405" s="56" t="n">
        <f aca="true">MAX(5,NORMINV(RAND(),$B$9,$C$9))</f>
        <v>19.8592334813129</v>
      </c>
      <c r="F405" s="26" t="n">
        <f aca="false">$B$18*(1+(B405+$B$17)/2)^9</f>
        <v>4809.45782201832</v>
      </c>
      <c r="G405" s="26" t="n">
        <f aca="false">F405*(C405-Assumptions!$F$18)+$B$20</f>
        <v>1095.35559059488</v>
      </c>
      <c r="H405" s="26" t="n">
        <f aca="false">E405*G405/(1+D405)^9</f>
        <v>7731.76589417223</v>
      </c>
      <c r="I405" s="26" t="n">
        <f aca="false">$B$13*F405/$B$19*((1+$B$8)/(1+D405))^4.5</f>
        <v>-2507.80502856107</v>
      </c>
      <c r="J405" s="26" t="n">
        <f aca="false">H405+I405+$B$14</f>
        <v>6989.13894780294</v>
      </c>
      <c r="K405" s="44" t="n">
        <f aca="false">J405/$B$15</f>
        <v>17.2146279502536</v>
      </c>
    </row>
    <row r="406" customFormat="false" ht="15" hidden="false" customHeight="false" outlineLevel="0" collapsed="false">
      <c r="A406" s="55" t="n">
        <v>366</v>
      </c>
      <c r="B406" s="21" t="n">
        <f aca="true">NORMINV(RAND(),$B$6,$C$6)</f>
        <v>0.574396489056272</v>
      </c>
      <c r="C406" s="21" t="n">
        <f aca="true">MAX(0.05,NORMINV(RAND(),$B$7,$C$7))</f>
        <v>0.28212820617481</v>
      </c>
      <c r="D406" s="33" t="n">
        <f aca="true">MAX(0.08,NORMINV(RAND(),$B$8,$C$8))</f>
        <v>0.147633682358698</v>
      </c>
      <c r="E406" s="56" t="n">
        <f aca="true">MAX(5,NORMINV(RAND(),$B$9,$C$9))</f>
        <v>12.3784920953624</v>
      </c>
      <c r="F406" s="26" t="n">
        <f aca="false">$B$18*(1+(B406+$B$17)/2)^9</f>
        <v>4020.99479362612</v>
      </c>
      <c r="G406" s="26" t="n">
        <f aca="false">F406*(C406-Assumptions!$F$18)+$B$20</f>
        <v>668.847651420253</v>
      </c>
      <c r="H406" s="26" t="n">
        <f aca="false">E406*G406/(1+D406)^9</f>
        <v>2397.53731782669</v>
      </c>
      <c r="I406" s="26" t="n">
        <f aca="false">$B$13*F406/$B$19*((1+$B$8)/(1+D406))^4.5</f>
        <v>-1892.49974488426</v>
      </c>
      <c r="J406" s="26" t="n">
        <f aca="false">H406+I406+$B$14</f>
        <v>2270.21565513421</v>
      </c>
      <c r="K406" s="44" t="n">
        <f aca="false">J406/$B$15</f>
        <v>5.59166417520742</v>
      </c>
    </row>
    <row r="407" customFormat="false" ht="15" hidden="false" customHeight="false" outlineLevel="0" collapsed="false">
      <c r="A407" s="55" t="n">
        <v>367</v>
      </c>
      <c r="B407" s="21" t="n">
        <f aca="true">NORMINV(RAND(),$B$6,$C$6)</f>
        <v>0.593682547966666</v>
      </c>
      <c r="C407" s="21" t="n">
        <f aca="true">MAX(0.05,NORMINV(RAND(),$B$7,$C$7))</f>
        <v>0.386732685448336</v>
      </c>
      <c r="D407" s="33" t="n">
        <f aca="true">MAX(0.08,NORMINV(RAND(),$B$8,$C$8))</f>
        <v>0.13668813246227</v>
      </c>
      <c r="E407" s="56" t="n">
        <f aca="true">MAX(5,NORMINV(RAND(),$B$9,$C$9))</f>
        <v>14.3081847842683</v>
      </c>
      <c r="F407" s="26" t="n">
        <f aca="false">$B$18*(1+(B407+$B$17)/2)^9</f>
        <v>4274.9649487139</v>
      </c>
      <c r="G407" s="26" t="n">
        <f aca="false">F407*(C407-Assumptions!$F$18)+$B$20</f>
        <v>1177.52147186639</v>
      </c>
      <c r="H407" s="26" t="n">
        <f aca="false">E407*G407/(1+D407)^9</f>
        <v>5318.40545604609</v>
      </c>
      <c r="I407" s="26" t="n">
        <f aca="false">$B$13*F407/$B$19*((1+$B$8)/(1+D407))^4.5</f>
        <v>-2100.69836880372</v>
      </c>
      <c r="J407" s="26" t="n">
        <f aca="false">H407+I407+$B$14</f>
        <v>4982.88516943416</v>
      </c>
      <c r="K407" s="44" t="n">
        <f aca="false">J407/$B$15</f>
        <v>12.2731161808723</v>
      </c>
    </row>
    <row r="408" customFormat="false" ht="15" hidden="false" customHeight="false" outlineLevel="0" collapsed="false">
      <c r="A408" s="55" t="n">
        <v>368</v>
      </c>
      <c r="B408" s="21" t="n">
        <f aca="true">NORMINV(RAND(),$B$6,$C$6)</f>
        <v>0.432788949855714</v>
      </c>
      <c r="C408" s="21" t="n">
        <f aca="true">MAX(0.05,NORMINV(RAND(),$B$7,$C$7))</f>
        <v>0.328510486470565</v>
      </c>
      <c r="D408" s="33" t="n">
        <f aca="true">MAX(0.08,NORMINV(RAND(),$B$8,$C$8))</f>
        <v>0.166567981977624</v>
      </c>
      <c r="E408" s="56" t="n">
        <f aca="true">MAX(5,NORMINV(RAND(),$B$9,$C$9))</f>
        <v>10.1269919564972</v>
      </c>
      <c r="F408" s="26" t="n">
        <f aca="false">$B$18*(1+(B408+$B$17)/2)^9</f>
        <v>2530.93577025254</v>
      </c>
      <c r="G408" s="26" t="n">
        <f aca="false">F408*(C408-Assumptions!$F$18)+$B$20</f>
        <v>425.452905302625</v>
      </c>
      <c r="H408" s="26" t="n">
        <f aca="false">E408*G408/(1+D408)^9</f>
        <v>1076.81596678474</v>
      </c>
      <c r="I408" s="26" t="n">
        <f aca="false">$B$13*F408/$B$19*((1+$B$8)/(1+D408))^4.5</f>
        <v>-1106.63141246123</v>
      </c>
      <c r="J408" s="26" t="n">
        <f aca="false">H408+I408+$B$14</f>
        <v>1735.3626365153</v>
      </c>
      <c r="K408" s="44" t="n">
        <f aca="false">J408/$B$15</f>
        <v>4.27429220816575</v>
      </c>
    </row>
    <row r="409" customFormat="false" ht="15" hidden="false" customHeight="false" outlineLevel="0" collapsed="false">
      <c r="A409" s="55" t="n">
        <v>369</v>
      </c>
      <c r="B409" s="21" t="n">
        <f aca="true">NORMINV(RAND(),$B$6,$C$6)</f>
        <v>0.441472261149019</v>
      </c>
      <c r="C409" s="21" t="n">
        <f aca="true">MAX(0.05,NORMINV(RAND(),$B$7,$C$7))</f>
        <v>0.260421522673101</v>
      </c>
      <c r="D409" s="33" t="n">
        <f aca="true">MAX(0.08,NORMINV(RAND(),$B$8,$C$8))</f>
        <v>0.131111383173158</v>
      </c>
      <c r="E409" s="56" t="n">
        <f aca="true">MAX(5,NORMINV(RAND(),$B$9,$C$9))</f>
        <v>14.8070582542737</v>
      </c>
      <c r="F409" s="26" t="n">
        <f aca="false">$B$18*(1+(B409+$B$17)/2)^9</f>
        <v>2605.62383545512</v>
      </c>
      <c r="G409" s="26" t="n">
        <f aca="false">F409*(C409-Assumptions!$F$18)+$B$20</f>
        <v>269.586968325654</v>
      </c>
      <c r="H409" s="26" t="n">
        <f aca="false">E409*G409/(1+D409)^9</f>
        <v>1317.10173743916</v>
      </c>
      <c r="I409" s="26" t="n">
        <f aca="false">$B$13*F409/$B$19*((1+$B$8)/(1+D409))^4.5</f>
        <v>-1309.0452098278</v>
      </c>
      <c r="J409" s="26" t="n">
        <f aca="false">H409+I409+$B$14</f>
        <v>1773.23460980314</v>
      </c>
      <c r="K409" s="44" t="n">
        <f aca="false">J409/$B$15</f>
        <v>4.3675729305496</v>
      </c>
    </row>
    <row r="410" customFormat="false" ht="15" hidden="false" customHeight="false" outlineLevel="0" collapsed="false">
      <c r="A410" s="55" t="n">
        <v>370</v>
      </c>
      <c r="B410" s="21" t="n">
        <f aca="true">NORMINV(RAND(),$B$6,$C$6)</f>
        <v>0.480984488911816</v>
      </c>
      <c r="C410" s="21" t="n">
        <f aca="true">MAX(0.05,NORMINV(RAND(),$B$7,$C$7))</f>
        <v>0.24249405058746</v>
      </c>
      <c r="D410" s="33" t="n">
        <f aca="true">MAX(0.08,NORMINV(RAND(),$B$8,$C$8))</f>
        <v>0.147253172743011</v>
      </c>
      <c r="E410" s="56" t="n">
        <f aca="true">MAX(5,NORMINV(RAND(),$B$9,$C$9))</f>
        <v>16.1368887423149</v>
      </c>
      <c r="F410" s="26" t="n">
        <f aca="false">$B$18*(1+(B410+$B$17)/2)^9</f>
        <v>2970.81525688868</v>
      </c>
      <c r="G410" s="26" t="n">
        <f aca="false">F410*(C410-Assumptions!$F$18)+$B$20</f>
        <v>296.823809915726</v>
      </c>
      <c r="H410" s="26" t="n">
        <f aca="false">E410*G410/(1+D410)^9</f>
        <v>1391.18579064251</v>
      </c>
      <c r="I410" s="26" t="n">
        <f aca="false">$B$13*F410/$B$19*((1+$B$8)/(1+D410))^4.5</f>
        <v>-1400.31599095517</v>
      </c>
      <c r="J410" s="26" t="n">
        <f aca="false">H410+I410+$B$14</f>
        <v>1756.04788187912</v>
      </c>
      <c r="K410" s="44" t="n">
        <f aca="false">J410/$B$15</f>
        <v>4.32524108837222</v>
      </c>
    </row>
    <row r="411" customFormat="false" ht="15" hidden="false" customHeight="false" outlineLevel="0" collapsed="false">
      <c r="A411" s="55" t="n">
        <v>371</v>
      </c>
      <c r="B411" s="21" t="n">
        <f aca="true">NORMINV(RAND(),$B$6,$C$6)</f>
        <v>0.397838336466567</v>
      </c>
      <c r="C411" s="21" t="n">
        <f aca="true">MAX(0.05,NORMINV(RAND(),$B$7,$C$7))</f>
        <v>0.248798458892362</v>
      </c>
      <c r="D411" s="33" t="n">
        <f aca="true">MAX(0.08,NORMINV(RAND(),$B$8,$C$8))</f>
        <v>0.127441555585426</v>
      </c>
      <c r="E411" s="56" t="n">
        <f aca="true">MAX(5,NORMINV(RAND(),$B$9,$C$9))</f>
        <v>12.4938926665199</v>
      </c>
      <c r="F411" s="26" t="n">
        <f aca="false">$B$18*(1+(B411+$B$17)/2)^9</f>
        <v>2249.18788737611</v>
      </c>
      <c r="G411" s="26" t="n">
        <f aca="false">F411*(C411-Assumptions!$F$18)+$B$20</f>
        <v>164.87835964481</v>
      </c>
      <c r="H411" s="26" t="n">
        <f aca="false">E411*G411/(1+D411)^9</f>
        <v>699.866305830127</v>
      </c>
      <c r="I411" s="26" t="n">
        <f aca="false">$B$13*F411/$B$19*((1+$B$8)/(1+D411))^4.5</f>
        <v>-1146.62041643047</v>
      </c>
      <c r="J411" s="26" t="n">
        <f aca="false">H411+I411+$B$14</f>
        <v>1318.42397159144</v>
      </c>
      <c r="K411" s="44" t="n">
        <f aca="false">J411/$B$15</f>
        <v>3.24734968372275</v>
      </c>
    </row>
    <row r="412" customFormat="false" ht="15" hidden="false" customHeight="false" outlineLevel="0" collapsed="false">
      <c r="A412" s="55" t="n">
        <v>372</v>
      </c>
      <c r="B412" s="21" t="n">
        <f aca="true">NORMINV(RAND(),$B$6,$C$6)</f>
        <v>0.50351022062098</v>
      </c>
      <c r="C412" s="21" t="n">
        <f aca="true">MAX(0.05,NORMINV(RAND(),$B$7,$C$7))</f>
        <v>0.32100953987897</v>
      </c>
      <c r="D412" s="33" t="n">
        <f aca="true">MAX(0.08,NORMINV(RAND(),$B$8,$C$8))</f>
        <v>0.128785695230902</v>
      </c>
      <c r="E412" s="56" t="n">
        <f aca="true">MAX(5,NORMINV(RAND(),$B$9,$C$9))</f>
        <v>12.9804802015997</v>
      </c>
      <c r="F412" s="26" t="n">
        <f aca="false">$B$18*(1+(B412+$B$17)/2)^9</f>
        <v>3198.76827318535</v>
      </c>
      <c r="G412" s="26" t="n">
        <f aca="false">F412*(C412-Assumptions!$F$18)+$B$20</f>
        <v>594.135795628573</v>
      </c>
      <c r="H412" s="26" t="n">
        <f aca="false">E412*G412/(1+D412)^9</f>
        <v>2592.226845297</v>
      </c>
      <c r="I412" s="26" t="n">
        <f aca="false">$B$13*F412/$B$19*((1+$B$8)/(1+D412))^4.5</f>
        <v>-1621.98991264866</v>
      </c>
      <c r="J412" s="26" t="n">
        <f aca="false">H412+I412+$B$14</f>
        <v>2735.41501484012</v>
      </c>
      <c r="K412" s="44" t="n">
        <f aca="false">J412/$B$15</f>
        <v>6.73747540601016</v>
      </c>
    </row>
    <row r="413" customFormat="false" ht="15" hidden="false" customHeight="false" outlineLevel="0" collapsed="false">
      <c r="A413" s="55" t="n">
        <v>373</v>
      </c>
      <c r="B413" s="21" t="n">
        <f aca="true">NORMINV(RAND(),$B$6,$C$6)</f>
        <v>0.504239217011604</v>
      </c>
      <c r="C413" s="21" t="n">
        <f aca="true">MAX(0.05,NORMINV(RAND(),$B$7,$C$7))</f>
        <v>0.205034541174083</v>
      </c>
      <c r="D413" s="33" t="n">
        <f aca="true">MAX(0.08,NORMINV(RAND(),$B$8,$C$8))</f>
        <v>0.124967897503601</v>
      </c>
      <c r="E413" s="56" t="n">
        <f aca="true">MAX(5,NORMINV(RAND(),$B$9,$C$9))</f>
        <v>15.2700089431306</v>
      </c>
      <c r="F413" s="26" t="n">
        <f aca="false">$B$18*(1+(B413+$B$17)/2)^9</f>
        <v>3206.3982626061</v>
      </c>
      <c r="G413" s="26" t="n">
        <f aca="false">F413*(C413-Assumptions!$F$18)+$B$20</f>
        <v>224.417861091886</v>
      </c>
      <c r="H413" s="26" t="n">
        <f aca="false">E413*G413/(1+D413)^9</f>
        <v>1187.50526904538</v>
      </c>
      <c r="I413" s="26" t="n">
        <f aca="false">$B$13*F413/$B$19*((1+$B$8)/(1+D413))^4.5</f>
        <v>-1650.83621694741</v>
      </c>
      <c r="J413" s="26" t="n">
        <f aca="false">H413+I413+$B$14</f>
        <v>1301.84713428975</v>
      </c>
      <c r="K413" s="44" t="n">
        <f aca="false">J413/$B$15</f>
        <v>3.20652003519643</v>
      </c>
    </row>
    <row r="414" customFormat="false" ht="15" hidden="false" customHeight="false" outlineLevel="0" collapsed="false">
      <c r="A414" s="55" t="n">
        <v>374</v>
      </c>
      <c r="B414" s="21" t="n">
        <f aca="true">NORMINV(RAND(),$B$6,$C$6)</f>
        <v>0.553955861782358</v>
      </c>
      <c r="C414" s="21" t="n">
        <f aca="true">MAX(0.05,NORMINV(RAND(),$B$7,$C$7))</f>
        <v>0.252486263674738</v>
      </c>
      <c r="D414" s="33" t="n">
        <f aca="true">MAX(0.08,NORMINV(RAND(),$B$8,$C$8))</f>
        <v>0.143094231287534</v>
      </c>
      <c r="E414" s="56" t="n">
        <f aca="true">MAX(5,NORMINV(RAND(),$B$9,$C$9))</f>
        <v>12.0129638996289</v>
      </c>
      <c r="F414" s="26" t="n">
        <f aca="false">$B$18*(1+(B414+$B$17)/2)^9</f>
        <v>3766.54448098904</v>
      </c>
      <c r="G414" s="26" t="n">
        <f aca="false">F414*(C414-Assumptions!$F$18)+$B$20</f>
        <v>495.590358731378</v>
      </c>
      <c r="H414" s="26" t="n">
        <f aca="false">E414*G414/(1+D414)^9</f>
        <v>1786.63041680472</v>
      </c>
      <c r="I414" s="26" t="n">
        <f aca="false">$B$13*F414/$B$19*((1+$B$8)/(1+D414))^4.5</f>
        <v>-1804.6419886351</v>
      </c>
      <c r="J414" s="26" t="n">
        <f aca="false">H414+I414+$B$14</f>
        <v>1747.16651036141</v>
      </c>
      <c r="K414" s="44" t="n">
        <f aca="false">J414/$B$15</f>
        <v>4.3033657890675</v>
      </c>
    </row>
    <row r="415" customFormat="false" ht="15" hidden="false" customHeight="false" outlineLevel="0" collapsed="false">
      <c r="A415" s="55" t="n">
        <v>375</v>
      </c>
      <c r="B415" s="21" t="n">
        <f aca="true">NORMINV(RAND(),$B$6,$C$6)</f>
        <v>0.468887811502461</v>
      </c>
      <c r="C415" s="21" t="n">
        <f aca="true">MAX(0.05,NORMINV(RAND(),$B$7,$C$7))</f>
        <v>0.233659137423346</v>
      </c>
      <c r="D415" s="33" t="n">
        <f aca="true">MAX(0.08,NORMINV(RAND(),$B$8,$C$8))</f>
        <v>0.146183172367446</v>
      </c>
      <c r="E415" s="56" t="n">
        <f aca="true">MAX(5,NORMINV(RAND(),$B$9,$C$9))</f>
        <v>14.0705432543603</v>
      </c>
      <c r="F415" s="26" t="n">
        <f aca="false">$B$18*(1+(B415+$B$17)/2)^9</f>
        <v>2854.46113673955</v>
      </c>
      <c r="G415" s="26" t="n">
        <f aca="false">F415*(C415-Assumptions!$F$18)+$B$20</f>
        <v>248.043876550756</v>
      </c>
      <c r="H415" s="26" t="n">
        <f aca="false">E415*G415/(1+D415)^9</f>
        <v>1022.24059322722</v>
      </c>
      <c r="I415" s="26" t="n">
        <f aca="false">$B$13*F415/$B$19*((1+$B$8)/(1+D415))^4.5</f>
        <v>-1351.13303986674</v>
      </c>
      <c r="J415" s="26" t="n">
        <f aca="false">H415+I415+$B$14</f>
        <v>1436.28563555226</v>
      </c>
      <c r="K415" s="44" t="n">
        <f aca="false">J415/$B$15</f>
        <v>3.53764934865089</v>
      </c>
    </row>
    <row r="416" customFormat="false" ht="15" hidden="false" customHeight="false" outlineLevel="0" collapsed="false">
      <c r="A416" s="55" t="n">
        <v>376</v>
      </c>
      <c r="B416" s="21" t="n">
        <f aca="true">NORMINV(RAND(),$B$6,$C$6)</f>
        <v>0.434900088259568</v>
      </c>
      <c r="C416" s="21" t="n">
        <f aca="true">MAX(0.05,NORMINV(RAND(),$B$7,$C$7))</f>
        <v>0.325913487767949</v>
      </c>
      <c r="D416" s="33" t="n">
        <f aca="true">MAX(0.08,NORMINV(RAND(),$B$8,$C$8))</f>
        <v>0.156135040370959</v>
      </c>
      <c r="E416" s="56" t="n">
        <f aca="true">MAX(5,NORMINV(RAND(),$B$9,$C$9))</f>
        <v>16.2498044615276</v>
      </c>
      <c r="F416" s="26" t="n">
        <f aca="false">$B$18*(1+(B416+$B$17)/2)^9</f>
        <v>2548.91707524754</v>
      </c>
      <c r="G416" s="26" t="n">
        <f aca="false">F416*(C416-Assumptions!$F$18)+$B$20</f>
        <v>424.021166016617</v>
      </c>
      <c r="H416" s="26" t="n">
        <f aca="false">E416*G416/(1+D416)^9</f>
        <v>1867.06139290524</v>
      </c>
      <c r="I416" s="26" t="n">
        <f aca="false">$B$13*F416/$B$19*((1+$B$8)/(1+D416))^4.5</f>
        <v>-1160.47095300023</v>
      </c>
      <c r="J416" s="26" t="n">
        <f aca="false">H416+I416+$B$14</f>
        <v>2471.76852209679</v>
      </c>
      <c r="K416" s="44" t="n">
        <f aca="false">J416/$B$15</f>
        <v>6.08809980812017</v>
      </c>
    </row>
    <row r="417" customFormat="false" ht="15" hidden="false" customHeight="false" outlineLevel="0" collapsed="false">
      <c r="A417" s="55" t="n">
        <v>377</v>
      </c>
      <c r="B417" s="21" t="n">
        <f aca="true">NORMINV(RAND(),$B$6,$C$6)</f>
        <v>0.503306421933829</v>
      </c>
      <c r="C417" s="21" t="n">
        <f aca="true">MAX(0.05,NORMINV(RAND(),$B$7,$C$7))</f>
        <v>0.341337284441269</v>
      </c>
      <c r="D417" s="33" t="n">
        <f aca="true">MAX(0.08,NORMINV(RAND(),$B$8,$C$8))</f>
        <v>0.138884438639061</v>
      </c>
      <c r="E417" s="56" t="n">
        <f aca="true">MAX(5,NORMINV(RAND(),$B$9,$C$9))</f>
        <v>20.5619027534803</v>
      </c>
      <c r="F417" s="26" t="n">
        <f aca="false">$B$18*(1+(B417+$B$17)/2)^9</f>
        <v>3196.63811720443</v>
      </c>
      <c r="G417" s="26" t="n">
        <f aca="false">F417*(C417-Assumptions!$F$18)+$B$20</f>
        <v>658.517644581144</v>
      </c>
      <c r="H417" s="26" t="n">
        <f aca="false">E417*G417/(1+D417)^9</f>
        <v>4200.62377995012</v>
      </c>
      <c r="I417" s="26" t="n">
        <f aca="false">$B$13*F417/$B$19*((1+$B$8)/(1+D417))^4.5</f>
        <v>-1557.2276794103</v>
      </c>
      <c r="J417" s="26" t="n">
        <f aca="false">H417+I417+$B$14</f>
        <v>4408.5741827316</v>
      </c>
      <c r="K417" s="44" t="n">
        <f aca="false">J417/$B$15</f>
        <v>10.8585571003241</v>
      </c>
    </row>
    <row r="418" customFormat="false" ht="15" hidden="false" customHeight="false" outlineLevel="0" collapsed="false">
      <c r="A418" s="55" t="n">
        <v>378</v>
      </c>
      <c r="B418" s="21" t="n">
        <f aca="true">NORMINV(RAND(),$B$6,$C$6)</f>
        <v>0.615088195246682</v>
      </c>
      <c r="C418" s="21" t="n">
        <f aca="true">MAX(0.05,NORMINV(RAND(),$B$7,$C$7))</f>
        <v>0.409783325590969</v>
      </c>
      <c r="D418" s="33" t="n">
        <f aca="true">MAX(0.08,NORMINV(RAND(),$B$8,$C$8))</f>
        <v>0.158777428148474</v>
      </c>
      <c r="E418" s="56" t="n">
        <f aca="true">MAX(5,NORMINV(RAND(),$B$9,$C$9))</f>
        <v>11.6527975537045</v>
      </c>
      <c r="F418" s="26" t="n">
        <f aca="false">$B$18*(1+(B418+$B$17)/2)^9</f>
        <v>4573.45596253518</v>
      </c>
      <c r="G418" s="26" t="n">
        <f aca="false">F418*(C418-Assumptions!$F$18)+$B$20</f>
        <v>1386.43915027141</v>
      </c>
      <c r="H418" s="26" t="n">
        <f aca="false">E418*G418/(1+D418)^9</f>
        <v>4288.75040509773</v>
      </c>
      <c r="I418" s="26" t="n">
        <f aca="false">$B$13*F418/$B$19*((1+$B$8)/(1+D418))^4.5</f>
        <v>-2060.92167250131</v>
      </c>
      <c r="J418" s="26" t="n">
        <f aca="false">H418+I418+$B$14</f>
        <v>3993.00681478821</v>
      </c>
      <c r="K418" s="44" t="n">
        <f aca="false">J418/$B$15</f>
        <v>9.83499215465076</v>
      </c>
    </row>
    <row r="419" customFormat="false" ht="15" hidden="false" customHeight="false" outlineLevel="0" collapsed="false">
      <c r="A419" s="55" t="n">
        <v>379</v>
      </c>
      <c r="B419" s="21" t="n">
        <f aca="true">NORMINV(RAND(),$B$6,$C$6)</f>
        <v>0.666308922756513</v>
      </c>
      <c r="C419" s="21" t="n">
        <f aca="true">MAX(0.05,NORMINV(RAND(),$B$7,$C$7))</f>
        <v>0.297347631162626</v>
      </c>
      <c r="D419" s="33" t="n">
        <f aca="true">MAX(0.08,NORMINV(RAND(),$B$8,$C$8))</f>
        <v>0.125688650396322</v>
      </c>
      <c r="E419" s="56" t="n">
        <f aca="true">MAX(5,NORMINV(RAND(),$B$9,$C$9))</f>
        <v>20.2197012965677</v>
      </c>
      <c r="F419" s="26" t="n">
        <f aca="false">$B$18*(1+(B419+$B$17)/2)^9</f>
        <v>5364.19162461439</v>
      </c>
      <c r="G419" s="26" t="n">
        <f aca="false">F419*(C419-Assumptions!$F$18)+$B$20</f>
        <v>1075.71340269822</v>
      </c>
      <c r="H419" s="26" t="n">
        <f aca="false">E419*G419/(1+D419)^9</f>
        <v>7493.87990024016</v>
      </c>
      <c r="I419" s="26" t="n">
        <f aca="false">$B$13*F419/$B$19*((1+$B$8)/(1+D419))^4.5</f>
        <v>-2753.84248971815</v>
      </c>
      <c r="J419" s="26" t="n">
        <f aca="false">H419+I419+$B$14</f>
        <v>6505.21549271379</v>
      </c>
      <c r="K419" s="44" t="n">
        <f aca="false">J419/$B$15</f>
        <v>16.0226982579157</v>
      </c>
    </row>
    <row r="420" customFormat="false" ht="15" hidden="false" customHeight="false" outlineLevel="0" collapsed="false">
      <c r="A420" s="55" t="n">
        <v>380</v>
      </c>
      <c r="B420" s="21" t="n">
        <f aca="true">NORMINV(RAND(),$B$6,$C$6)</f>
        <v>0.368153057008208</v>
      </c>
      <c r="C420" s="21" t="n">
        <f aca="true">MAX(0.05,NORMINV(RAND(),$B$7,$C$7))</f>
        <v>0.292244751709004</v>
      </c>
      <c r="D420" s="33" t="n">
        <f aca="true">MAX(0.08,NORMINV(RAND(),$B$8,$C$8))</f>
        <v>0.129882631255227</v>
      </c>
      <c r="E420" s="56" t="n">
        <f aca="true">MAX(5,NORMINV(RAND(),$B$9,$C$9))</f>
        <v>13.8259317234662</v>
      </c>
      <c r="F420" s="26" t="n">
        <f aca="false">$B$18*(1+(B420+$B$17)/2)^9</f>
        <v>2032.15967914053</v>
      </c>
      <c r="G420" s="26" t="n">
        <f aca="false">F420*(C420-Assumptions!$F$18)+$B$20</f>
        <v>207.853008699164</v>
      </c>
      <c r="H420" s="26" t="n">
        <f aca="false">E420*G420/(1+D420)^9</f>
        <v>957.526339714721</v>
      </c>
      <c r="I420" s="26" t="n">
        <f aca="false">$B$13*F420/$B$19*((1+$B$8)/(1+D420))^4.5</f>
        <v>-1025.94703156243</v>
      </c>
      <c r="J420" s="26" t="n">
        <f aca="false">H420+I420+$B$14</f>
        <v>1696.75739034407</v>
      </c>
      <c r="K420" s="44" t="n">
        <f aca="false">J420/$B$15</f>
        <v>4.17920539493614</v>
      </c>
    </row>
    <row r="421" customFormat="false" ht="15" hidden="false" customHeight="false" outlineLevel="0" collapsed="false">
      <c r="A421" s="55" t="n">
        <v>381</v>
      </c>
      <c r="B421" s="21" t="n">
        <f aca="true">NORMINV(RAND(),$B$6,$C$6)</f>
        <v>0.387131194797826</v>
      </c>
      <c r="C421" s="21" t="n">
        <f aca="true">MAX(0.05,NORMINV(RAND(),$B$7,$C$7))</f>
        <v>0.315857536708366</v>
      </c>
      <c r="D421" s="33" t="n">
        <f aca="true">MAX(0.08,NORMINV(RAND(),$B$8,$C$8))</f>
        <v>0.148731917789786</v>
      </c>
      <c r="E421" s="56" t="n">
        <f aca="true">MAX(5,NORMINV(RAND(),$B$9,$C$9))</f>
        <v>13.4533547934607</v>
      </c>
      <c r="F421" s="26" t="n">
        <f aca="false">$B$18*(1+(B421+$B$17)/2)^9</f>
        <v>2168.64351953275</v>
      </c>
      <c r="G421" s="26" t="n">
        <f aca="false">F421*(C421-Assumptions!$F$18)+$B$20</f>
        <v>293.488054298176</v>
      </c>
      <c r="H421" s="26" t="n">
        <f aca="false">E421*G421/(1+D421)^9</f>
        <v>1133.58171181843</v>
      </c>
      <c r="I421" s="26" t="n">
        <f aca="false">$B$13*F421/$B$19*((1+$B$8)/(1+D421))^4.5</f>
        <v>-1016.29825029658</v>
      </c>
      <c r="J421" s="26" t="n">
        <f aca="false">H421+I421+$B$14</f>
        <v>1882.46154371363</v>
      </c>
      <c r="K421" s="44" t="n">
        <f aca="false">J421/$B$15</f>
        <v>4.636604787472</v>
      </c>
    </row>
    <row r="422" customFormat="false" ht="15" hidden="false" customHeight="false" outlineLevel="0" collapsed="false">
      <c r="A422" s="55" t="n">
        <v>382</v>
      </c>
      <c r="B422" s="21" t="n">
        <f aca="true">NORMINV(RAND(),$B$6,$C$6)</f>
        <v>0.606327180850679</v>
      </c>
      <c r="C422" s="21" t="n">
        <f aca="true">MAX(0.05,NORMINV(RAND(),$B$7,$C$7))</f>
        <v>0.308787862209862</v>
      </c>
      <c r="D422" s="33" t="n">
        <f aca="true">MAX(0.08,NORMINV(RAND(),$B$8,$C$8))</f>
        <v>0.15318380702822</v>
      </c>
      <c r="E422" s="56" t="n">
        <f aca="true">MAX(5,NORMINV(RAND(),$B$9,$C$9))</f>
        <v>12.0588795593779</v>
      </c>
      <c r="F422" s="26" t="n">
        <f aca="false">$B$18*(1+(B422+$B$17)/2)^9</f>
        <v>4449.11998394327</v>
      </c>
      <c r="G422" s="26" t="n">
        <f aca="false">F422*(C422-Assumptions!$F$18)+$B$20</f>
        <v>891.120844200595</v>
      </c>
      <c r="H422" s="26" t="n">
        <f aca="false">E422*G422/(1+D422)^9</f>
        <v>2979.59160004189</v>
      </c>
      <c r="I422" s="26" t="n">
        <f aca="false">$B$13*F422/$B$19*((1+$B$8)/(1+D422))^4.5</f>
        <v>-2049.02763003006</v>
      </c>
      <c r="J422" s="26" t="n">
        <f aca="false">H422+I422+$B$14</f>
        <v>2695.74205220361</v>
      </c>
      <c r="K422" s="44" t="n">
        <f aca="false">J422/$B$15</f>
        <v>6.63975874926998</v>
      </c>
    </row>
    <row r="423" customFormat="false" ht="15" hidden="false" customHeight="false" outlineLevel="0" collapsed="false">
      <c r="A423" s="55" t="n">
        <v>383</v>
      </c>
      <c r="B423" s="21" t="n">
        <f aca="true">NORMINV(RAND(),$B$6,$C$6)</f>
        <v>0.562918970850703</v>
      </c>
      <c r="C423" s="21" t="n">
        <f aca="true">MAX(0.05,NORMINV(RAND(),$B$7,$C$7))</f>
        <v>0.329551071926056</v>
      </c>
      <c r="D423" s="33" t="n">
        <f aca="true">MAX(0.08,NORMINV(RAND(),$B$8,$C$8))</f>
        <v>0.120245530258737</v>
      </c>
      <c r="E423" s="56" t="n">
        <f aca="true">MAX(5,NORMINV(RAND(),$B$9,$C$9))</f>
        <v>14.2367787150673</v>
      </c>
      <c r="F423" s="26" t="n">
        <f aca="false">$B$18*(1+(B423+$B$17)/2)^9</f>
        <v>3876.30143849761</v>
      </c>
      <c r="G423" s="26" t="n">
        <f aca="false">F423*(C423-Assumptions!$F$18)+$B$20</f>
        <v>817.638631626809</v>
      </c>
      <c r="H423" s="26" t="n">
        <f aca="false">E423*G423/(1+D423)^9</f>
        <v>4189.42248801046</v>
      </c>
      <c r="I423" s="26" t="n">
        <f aca="false">$B$13*F423/$B$19*((1+$B$8)/(1+D423))^4.5</f>
        <v>-2033.87922125521</v>
      </c>
      <c r="J423" s="26" t="n">
        <f aca="false">H423+I423+$B$14</f>
        <v>3920.72134894704</v>
      </c>
      <c r="K423" s="44" t="n">
        <f aca="false">J423/$B$15</f>
        <v>9.65694913533753</v>
      </c>
    </row>
    <row r="424" customFormat="false" ht="15" hidden="false" customHeight="false" outlineLevel="0" collapsed="false">
      <c r="A424" s="55" t="n">
        <v>384</v>
      </c>
      <c r="B424" s="21" t="n">
        <f aca="true">NORMINV(RAND(),$B$6,$C$6)</f>
        <v>0.547538716215897</v>
      </c>
      <c r="C424" s="21" t="n">
        <f aca="true">MAX(0.05,NORMINV(RAND(),$B$7,$C$7))</f>
        <v>0.336170920376576</v>
      </c>
      <c r="D424" s="33" t="n">
        <f aca="true">MAX(0.08,NORMINV(RAND(),$B$8,$C$8))</f>
        <v>0.144874356030938</v>
      </c>
      <c r="E424" s="56" t="n">
        <f aca="true">MAX(5,NORMINV(RAND(),$B$9,$C$9))</f>
        <v>14.1472277394415</v>
      </c>
      <c r="F424" s="26" t="n">
        <f aca="false">$B$18*(1+(B424+$B$17)/2)^9</f>
        <v>3689.66974125736</v>
      </c>
      <c r="G424" s="26" t="n">
        <f aca="false">F424*(C424-Assumptions!$F$18)+$B$20</f>
        <v>788.024278155104</v>
      </c>
      <c r="H424" s="26" t="n">
        <f aca="false">E424*G424/(1+D424)^9</f>
        <v>3299.0621176772</v>
      </c>
      <c r="I424" s="26" t="n">
        <f aca="false">$B$13*F424/$B$19*((1+$B$8)/(1+D424))^4.5</f>
        <v>-1755.4738957948</v>
      </c>
      <c r="J424" s="26" t="n">
        <f aca="false">H424+I424+$B$14</f>
        <v>3308.76630407418</v>
      </c>
      <c r="K424" s="44" t="n">
        <f aca="false">J424/$B$15</f>
        <v>8.1496706996901</v>
      </c>
    </row>
    <row r="425" customFormat="false" ht="15" hidden="false" customHeight="false" outlineLevel="0" collapsed="false">
      <c r="A425" s="55" t="n">
        <v>385</v>
      </c>
      <c r="B425" s="21" t="n">
        <f aca="true">NORMINV(RAND(),$B$6,$C$6)</f>
        <v>0.575355768081134</v>
      </c>
      <c r="C425" s="21" t="n">
        <f aca="true">MAX(0.05,NORMINV(RAND(),$B$7,$C$7))</f>
        <v>0.248042625806723</v>
      </c>
      <c r="D425" s="33" t="n">
        <f aca="true">MAX(0.08,NORMINV(RAND(),$B$8,$C$8))</f>
        <v>0.160915225120189</v>
      </c>
      <c r="E425" s="56" t="n">
        <f aca="true">MAX(5,NORMINV(RAND(),$B$9,$C$9))</f>
        <v>16.969671716416</v>
      </c>
      <c r="F425" s="26" t="n">
        <f aca="false">$B$18*(1+(B425+$B$17)/2)^9</f>
        <v>4033.30273413082</v>
      </c>
      <c r="G425" s="26" t="n">
        <f aca="false">F425*(C425-Assumptions!$F$18)+$B$20</f>
        <v>534.350286483324</v>
      </c>
      <c r="H425" s="26" t="n">
        <f aca="false">E425*G425/(1+D425)^9</f>
        <v>2367.5269170413</v>
      </c>
      <c r="I425" s="26" t="n">
        <f aca="false">$B$13*F425/$B$19*((1+$B$8)/(1+D425))^4.5</f>
        <v>-1802.50154552651</v>
      </c>
      <c r="J425" s="26" t="n">
        <f aca="false">H425+I425+$B$14</f>
        <v>2330.20345370657</v>
      </c>
      <c r="K425" s="44" t="n">
        <f aca="false">J425/$B$15</f>
        <v>5.7394173736615</v>
      </c>
    </row>
    <row r="426" customFormat="false" ht="15" hidden="false" customHeight="false" outlineLevel="0" collapsed="false">
      <c r="A426" s="55" t="n">
        <v>386</v>
      </c>
      <c r="B426" s="21" t="n">
        <f aca="true">NORMINV(RAND(),$B$6,$C$6)</f>
        <v>0.710856645210074</v>
      </c>
      <c r="C426" s="21" t="n">
        <f aca="true">MAX(0.05,NORMINV(RAND(),$B$7,$C$7))</f>
        <v>0.210023269068062</v>
      </c>
      <c r="D426" s="33" t="n">
        <f aca="true">MAX(0.08,NORMINV(RAND(),$B$8,$C$8))</f>
        <v>0.144613750820764</v>
      </c>
      <c r="E426" s="56" t="n">
        <f aca="true">MAX(5,NORMINV(RAND(),$B$9,$C$9))</f>
        <v>15.6159426982945</v>
      </c>
      <c r="F426" s="26" t="n">
        <f aca="false">$B$18*(1+(B426+$B$17)/2)^9</f>
        <v>6148.35551145853</v>
      </c>
      <c r="G426" s="26" t="n">
        <f aca="false">F426*(C426-Assumptions!$F$18)+$B$20</f>
        <v>740.614898452125</v>
      </c>
      <c r="H426" s="26" t="n">
        <f aca="false">E426*G426/(1+D426)^9</f>
        <v>3429.4937830049</v>
      </c>
      <c r="I426" s="26" t="n">
        <f aca="false">$B$13*F426/$B$19*((1+$B$8)/(1+D426))^4.5</f>
        <v>-2928.26759804467</v>
      </c>
      <c r="J426" s="26" t="n">
        <f aca="false">H426+I426+$B$14</f>
        <v>2266.40426715201</v>
      </c>
      <c r="K426" s="44" t="n">
        <f aca="false">J426/$B$15</f>
        <v>5.58227652007885</v>
      </c>
    </row>
    <row r="427" customFormat="false" ht="15" hidden="false" customHeight="false" outlineLevel="0" collapsed="false">
      <c r="A427" s="55" t="n">
        <v>387</v>
      </c>
      <c r="B427" s="21" t="n">
        <f aca="true">NORMINV(RAND(),$B$6,$C$6)</f>
        <v>0.358514659464142</v>
      </c>
      <c r="C427" s="21" t="n">
        <f aca="true">MAX(0.05,NORMINV(RAND(),$B$7,$C$7))</f>
        <v>0.317138632397927</v>
      </c>
      <c r="D427" s="33" t="n">
        <f aca="true">MAX(0.08,NORMINV(RAND(),$B$8,$C$8))</f>
        <v>0.138836678798804</v>
      </c>
      <c r="E427" s="56" t="n">
        <f aca="true">MAX(5,NORMINV(RAND(),$B$9,$C$9))</f>
        <v>16.8753210054237</v>
      </c>
      <c r="F427" s="26" t="n">
        <f aca="false">$B$18*(1+(B427+$B$17)/2)^9</f>
        <v>1965.81244324584</v>
      </c>
      <c r="G427" s="26" t="n">
        <f aca="false">F427*(C427-Assumptions!$F$18)+$B$20</f>
        <v>240.05396707329</v>
      </c>
      <c r="H427" s="26" t="n">
        <f aca="false">E427*G427/(1+D427)^9</f>
        <v>1257.21025545518</v>
      </c>
      <c r="I427" s="26" t="n">
        <f aca="false">$B$13*F427/$B$19*((1+$B$8)/(1+D427))^4.5</f>
        <v>-957.817302726455</v>
      </c>
      <c r="J427" s="26" t="n">
        <f aca="false">H427+I427+$B$14</f>
        <v>2064.5710349205</v>
      </c>
      <c r="K427" s="44" t="n">
        <f aca="false">J427/$B$15</f>
        <v>5.08515033231651</v>
      </c>
    </row>
    <row r="428" customFormat="false" ht="15" hidden="false" customHeight="false" outlineLevel="0" collapsed="false">
      <c r="A428" s="55" t="n">
        <v>388</v>
      </c>
      <c r="B428" s="21" t="n">
        <f aca="true">NORMINV(RAND(),$B$6,$C$6)</f>
        <v>0.543165976267835</v>
      </c>
      <c r="C428" s="21" t="n">
        <f aca="true">MAX(0.05,NORMINV(RAND(),$B$7,$C$7))</f>
        <v>0.267069993457479</v>
      </c>
      <c r="D428" s="33" t="n">
        <f aca="true">MAX(0.08,NORMINV(RAND(),$B$8,$C$8))</f>
        <v>0.137304107588446</v>
      </c>
      <c r="E428" s="56" t="n">
        <f aca="true">MAX(5,NORMINV(RAND(),$B$9,$C$9))</f>
        <v>17.8448500254987</v>
      </c>
      <c r="F428" s="26" t="n">
        <f aca="false">$B$18*(1+(B428+$B$17)/2)^9</f>
        <v>3638.08827996557</v>
      </c>
      <c r="G428" s="26" t="n">
        <f aca="false">F428*(C428-Assumptions!$F$18)+$B$20</f>
        <v>521.352076930826</v>
      </c>
      <c r="H428" s="26" t="n">
        <f aca="false">E428*G428/(1+D428)^9</f>
        <v>2922.50014356722</v>
      </c>
      <c r="I428" s="26" t="n">
        <f aca="false">$B$13*F428/$B$19*((1+$B$8)/(1+D428))^4.5</f>
        <v>-1783.38703346483</v>
      </c>
      <c r="J428" s="26" t="n">
        <f aca="false">H428+I428+$B$14</f>
        <v>2904.29119229416</v>
      </c>
      <c r="K428" s="44" t="n">
        <f aca="false">J428/$B$15</f>
        <v>7.15342658200533</v>
      </c>
    </row>
    <row r="429" customFormat="false" ht="15" hidden="false" customHeight="false" outlineLevel="0" collapsed="false">
      <c r="A429" s="55" t="n">
        <v>389</v>
      </c>
      <c r="B429" s="21" t="n">
        <f aca="true">NORMINV(RAND(),$B$6,$C$6)</f>
        <v>0.617502035999195</v>
      </c>
      <c r="C429" s="21" t="n">
        <f aca="true">MAX(0.05,NORMINV(RAND(),$B$7,$C$7))</f>
        <v>0.321859690183408</v>
      </c>
      <c r="D429" s="33" t="n">
        <f aca="true">MAX(0.08,NORMINV(RAND(),$B$8,$C$8))</f>
        <v>0.121106569022645</v>
      </c>
      <c r="E429" s="56" t="n">
        <f aca="true">MAX(5,NORMINV(RAND(),$B$9,$C$9))</f>
        <v>14.7814436699232</v>
      </c>
      <c r="F429" s="26" t="n">
        <f aca="false">$B$18*(1+(B429+$B$17)/2)^9</f>
        <v>4608.25134513694</v>
      </c>
      <c r="G429" s="26" t="n">
        <f aca="false">F429*(C429-Assumptions!$F$18)+$B$20</f>
        <v>994.131691428882</v>
      </c>
      <c r="H429" s="26" t="n">
        <f aca="false">E429*G429/(1+D429)^9</f>
        <v>5252.16904558098</v>
      </c>
      <c r="I429" s="26" t="n">
        <f aca="false">$B$13*F429/$B$19*((1+$B$8)/(1+D429))^4.5</f>
        <v>-2409.5848657174</v>
      </c>
      <c r="J429" s="26" t="n">
        <f aca="false">H429+I429+$B$14</f>
        <v>4607.76226205535</v>
      </c>
      <c r="K429" s="44" t="n">
        <f aca="false">J429/$B$15</f>
        <v>11.3491681331413</v>
      </c>
    </row>
    <row r="430" customFormat="false" ht="15" hidden="false" customHeight="false" outlineLevel="0" collapsed="false">
      <c r="A430" s="55" t="n">
        <v>390</v>
      </c>
      <c r="B430" s="21" t="n">
        <f aca="true">NORMINV(RAND(),$B$6,$C$6)</f>
        <v>0.505648134502806</v>
      </c>
      <c r="C430" s="21" t="n">
        <f aca="true">MAX(0.05,NORMINV(RAND(),$B$7,$C$7))</f>
        <v>0.354233557803597</v>
      </c>
      <c r="D430" s="33" t="n">
        <f aca="true">MAX(0.08,NORMINV(RAND(),$B$8,$C$8))</f>
        <v>0.145379287171827</v>
      </c>
      <c r="E430" s="56" t="n">
        <f aca="true">MAX(5,NORMINV(RAND(),$B$9,$C$9))</f>
        <v>14.1145319363903</v>
      </c>
      <c r="F430" s="26" t="n">
        <f aca="false">$B$18*(1+(B430+$B$17)/2)^9</f>
        <v>3221.19045930226</v>
      </c>
      <c r="G430" s="26" t="n">
        <f aca="false">F430*(C430-Assumptions!$F$18)+$B$20</f>
        <v>707.457533390863</v>
      </c>
      <c r="H430" s="26" t="n">
        <f aca="false">E430*G430/(1+D430)^9</f>
        <v>2943.22138229271</v>
      </c>
      <c r="I430" s="26" t="n">
        <f aca="false">$B$13*F430/$B$19*((1+$B$8)/(1+D430))^4.5</f>
        <v>-1529.54249349578</v>
      </c>
      <c r="J430" s="26" t="n">
        <f aca="false">H430+I430+$B$14</f>
        <v>3178.85697098871</v>
      </c>
      <c r="K430" s="44" t="n">
        <f aca="false">J430/$B$15</f>
        <v>7.8296969728786</v>
      </c>
    </row>
    <row r="431" customFormat="false" ht="15" hidden="false" customHeight="false" outlineLevel="0" collapsed="false">
      <c r="A431" s="55" t="n">
        <v>391</v>
      </c>
      <c r="B431" s="21" t="n">
        <f aca="true">NORMINV(RAND(),$B$6,$C$6)</f>
        <v>0.390552500857342</v>
      </c>
      <c r="C431" s="21" t="n">
        <f aca="true">MAX(0.05,NORMINV(RAND(),$B$7,$C$7))</f>
        <v>0.357568016064701</v>
      </c>
      <c r="D431" s="33" t="n">
        <f aca="true">MAX(0.08,NORMINV(RAND(),$B$8,$C$8))</f>
        <v>0.125036503683701</v>
      </c>
      <c r="E431" s="56" t="n">
        <f aca="true">MAX(5,NORMINV(RAND(),$B$9,$C$9))</f>
        <v>14.4472276221545</v>
      </c>
      <c r="F431" s="26" t="n">
        <f aca="false">$B$18*(1+(B431+$B$17)/2)^9</f>
        <v>2194.09690678552</v>
      </c>
      <c r="G431" s="26" t="n">
        <f aca="false">F431*(C431-Assumptions!$F$18)+$B$20</f>
        <v>392.026396742885</v>
      </c>
      <c r="H431" s="26" t="n">
        <f aca="false">E431*G431/(1+D431)^9</f>
        <v>1961.5541400236</v>
      </c>
      <c r="I431" s="26" t="n">
        <f aca="false">$B$13*F431/$B$19*((1+$B$8)/(1+D431))^4.5</f>
        <v>-1129.33593604234</v>
      </c>
      <c r="J431" s="26" t="n">
        <f aca="false">H431+I431+$B$14</f>
        <v>2597.39628617304</v>
      </c>
      <c r="K431" s="44" t="n">
        <f aca="false">J431/$B$15</f>
        <v>6.39752779845577</v>
      </c>
    </row>
    <row r="432" customFormat="false" ht="15" hidden="false" customHeight="false" outlineLevel="0" collapsed="false">
      <c r="A432" s="55" t="n">
        <v>392</v>
      </c>
      <c r="B432" s="21" t="n">
        <f aca="true">NORMINV(RAND(),$B$6,$C$6)</f>
        <v>0.522666321385175</v>
      </c>
      <c r="C432" s="21" t="n">
        <f aca="true">MAX(0.05,NORMINV(RAND(),$B$7,$C$7))</f>
        <v>0.316580842267394</v>
      </c>
      <c r="D432" s="33" t="n">
        <f aca="true">MAX(0.08,NORMINV(RAND(),$B$8,$C$8))</f>
        <v>0.15923429968884</v>
      </c>
      <c r="E432" s="56" t="n">
        <f aca="true">MAX(5,NORMINV(RAND(),$B$9,$C$9))</f>
        <v>15.2511308425783</v>
      </c>
      <c r="F432" s="26" t="n">
        <f aca="false">$B$18*(1+(B432+$B$17)/2)^9</f>
        <v>3404.71692131478</v>
      </c>
      <c r="G432" s="26" t="n">
        <f aca="false">F432*(C432-Assumptions!$F$18)+$B$20</f>
        <v>636.930868780601</v>
      </c>
      <c r="H432" s="26" t="n">
        <f aca="false">E432*G432/(1+D432)^9</f>
        <v>2569.52791701883</v>
      </c>
      <c r="I432" s="26" t="n">
        <f aca="false">$B$13*F432/$B$19*((1+$B$8)/(1+D432))^4.5</f>
        <v>-1531.5374230804</v>
      </c>
      <c r="J432" s="26" t="n">
        <f aca="false">H432+I432+$B$14</f>
        <v>2803.16857613021</v>
      </c>
      <c r="K432" s="44" t="n">
        <f aca="false">J432/$B$15</f>
        <v>6.90435609884289</v>
      </c>
    </row>
    <row r="433" customFormat="false" ht="15" hidden="false" customHeight="false" outlineLevel="0" collapsed="false">
      <c r="A433" s="55" t="n">
        <v>393</v>
      </c>
      <c r="B433" s="21" t="n">
        <f aca="true">NORMINV(RAND(),$B$6,$C$6)</f>
        <v>0.560622388959017</v>
      </c>
      <c r="C433" s="21" t="n">
        <f aca="true">MAX(0.05,NORMINV(RAND(),$B$7,$C$7))</f>
        <v>0.299043265046429</v>
      </c>
      <c r="D433" s="33" t="n">
        <f aca="true">MAX(0.08,NORMINV(RAND(),$B$8,$C$8))</f>
        <v>0.135286841045788</v>
      </c>
      <c r="E433" s="56" t="n">
        <f aca="true">MAX(5,NORMINV(RAND(),$B$9,$C$9))</f>
        <v>15.5596227258835</v>
      </c>
      <c r="F433" s="26" t="n">
        <f aca="false">$B$18*(1+(B433+$B$17)/2)^9</f>
        <v>3847.91134326161</v>
      </c>
      <c r="G433" s="26" t="n">
        <f aca="false">F433*(C433-Assumptions!$F$18)+$B$20</f>
        <v>692.026912968987</v>
      </c>
      <c r="H433" s="26" t="n">
        <f aca="false">E433*G433/(1+D433)^9</f>
        <v>3436.93731003576</v>
      </c>
      <c r="I433" s="26" t="n">
        <f aca="false">$B$13*F433/$B$19*((1+$B$8)/(1+D433))^4.5</f>
        <v>-1901.37134771341</v>
      </c>
      <c r="J433" s="26" t="n">
        <f aca="false">H433+I433+$B$14</f>
        <v>3300.74404451414</v>
      </c>
      <c r="K433" s="44" t="n">
        <f aca="false">J433/$B$15</f>
        <v>8.12991143969</v>
      </c>
    </row>
    <row r="434" customFormat="false" ht="15" hidden="false" customHeight="false" outlineLevel="0" collapsed="false">
      <c r="A434" s="55" t="n">
        <v>394</v>
      </c>
      <c r="B434" s="21" t="n">
        <f aca="true">NORMINV(RAND(),$B$6,$C$6)</f>
        <v>0.501678086390695</v>
      </c>
      <c r="C434" s="21" t="n">
        <f aca="true">MAX(0.05,NORMINV(RAND(),$B$7,$C$7))</f>
        <v>0.244865869468613</v>
      </c>
      <c r="D434" s="33" t="n">
        <f aca="true">MAX(0.08,NORMINV(RAND(),$B$8,$C$8))</f>
        <v>0.113571419156885</v>
      </c>
      <c r="E434" s="56" t="n">
        <f aca="true">MAX(5,NORMINV(RAND(),$B$9,$C$9))</f>
        <v>19.5298877583749</v>
      </c>
      <c r="F434" s="26" t="n">
        <f aca="false">$B$18*(1+(B434+$B$17)/2)^9</f>
        <v>3179.66357169904</v>
      </c>
      <c r="G434" s="26" t="n">
        <f aca="false">F434*(C434-Assumptions!$F$18)+$B$20</f>
        <v>346.655937235108</v>
      </c>
      <c r="H434" s="26" t="n">
        <f aca="false">E434*G434/(1+D434)^9</f>
        <v>2571.1991012482</v>
      </c>
      <c r="I434" s="26" t="n">
        <f aca="false">$B$13*F434/$B$19*((1+$B$8)/(1+D434))^4.5</f>
        <v>-1713.82682474864</v>
      </c>
      <c r="J434" s="26" t="n">
        <f aca="false">H434+I434+$B$14</f>
        <v>2622.55035869134</v>
      </c>
      <c r="K434" s="44" t="n">
        <f aca="false">J434/$B$15</f>
        <v>6.45948364209689</v>
      </c>
    </row>
    <row r="435" customFormat="false" ht="15" hidden="false" customHeight="false" outlineLevel="0" collapsed="false">
      <c r="A435" s="55" t="n">
        <v>395</v>
      </c>
      <c r="B435" s="21" t="n">
        <f aca="true">NORMINV(RAND(),$B$6,$C$6)</f>
        <v>0.513087133003095</v>
      </c>
      <c r="C435" s="21" t="n">
        <f aca="true">MAX(0.05,NORMINV(RAND(),$B$7,$C$7))</f>
        <v>0.273393709524945</v>
      </c>
      <c r="D435" s="33" t="n">
        <f aca="true">MAX(0.08,NORMINV(RAND(),$B$8,$C$8))</f>
        <v>0.133951354229345</v>
      </c>
      <c r="E435" s="56" t="n">
        <f aca="true">MAX(5,NORMINV(RAND(),$B$9,$C$9))</f>
        <v>14.8612134454789</v>
      </c>
      <c r="F435" s="26" t="n">
        <f aca="false">$B$18*(1+(B435+$B$17)/2)^9</f>
        <v>3300.3026511009</v>
      </c>
      <c r="G435" s="26" t="n">
        <f aca="false">F435*(C435-Assumptions!$F$18)+$B$20</f>
        <v>465.521273296761</v>
      </c>
      <c r="H435" s="26" t="n">
        <f aca="false">E435*G435/(1+D435)^9</f>
        <v>2231.74200597985</v>
      </c>
      <c r="I435" s="26" t="n">
        <f aca="false">$B$13*F435/$B$19*((1+$B$8)/(1+D435))^4.5</f>
        <v>-1639.44165805441</v>
      </c>
      <c r="J435" s="26" t="n">
        <f aca="false">H435+I435+$B$14</f>
        <v>2357.47843011722</v>
      </c>
      <c r="K435" s="44" t="n">
        <f aca="false">J435/$B$15</f>
        <v>5.80659711851532</v>
      </c>
    </row>
    <row r="436" customFormat="false" ht="15" hidden="false" customHeight="false" outlineLevel="0" collapsed="false">
      <c r="A436" s="55" t="n">
        <v>396</v>
      </c>
      <c r="B436" s="21" t="n">
        <f aca="true">NORMINV(RAND(),$B$6,$C$6)</f>
        <v>0.589311009850583</v>
      </c>
      <c r="C436" s="21" t="n">
        <f aca="true">MAX(0.05,NORMINV(RAND(),$B$7,$C$7))</f>
        <v>0.31973649376226</v>
      </c>
      <c r="D436" s="33" t="n">
        <f aca="true">MAX(0.08,NORMINV(RAND(),$B$8,$C$8))</f>
        <v>0.144458147037876</v>
      </c>
      <c r="E436" s="56" t="n">
        <f aca="true">MAX(5,NORMINV(RAND(),$B$9,$C$9))</f>
        <v>13.6277230461372</v>
      </c>
      <c r="F436" s="26" t="n">
        <f aca="false">$B$18*(1+(B436+$B$17)/2)^9</f>
        <v>4216.18095800131</v>
      </c>
      <c r="G436" s="26" t="n">
        <f aca="false">F436*(C436-Assumptions!$F$18)+$B$20</f>
        <v>874.671073259803</v>
      </c>
      <c r="H436" s="26" t="n">
        <f aca="false">E436*G436/(1+D436)^9</f>
        <v>3538.90436878141</v>
      </c>
      <c r="I436" s="26" t="n">
        <f aca="false">$B$13*F436/$B$19*((1+$B$8)/(1+D436))^4.5</f>
        <v>-2009.26273925496</v>
      </c>
      <c r="J436" s="26" t="n">
        <f aca="false">H436+I436+$B$14</f>
        <v>3294.81971171823</v>
      </c>
      <c r="K436" s="44" t="n">
        <f aca="false">J436/$B$15</f>
        <v>8.11531948699072</v>
      </c>
    </row>
    <row r="437" customFormat="false" ht="15" hidden="false" customHeight="false" outlineLevel="0" collapsed="false">
      <c r="A437" s="55" t="n">
        <v>397</v>
      </c>
      <c r="B437" s="21" t="n">
        <f aca="true">NORMINV(RAND(),$B$6,$C$6)</f>
        <v>0.493691287012696</v>
      </c>
      <c r="C437" s="21" t="n">
        <f aca="true">MAX(0.05,NORMINV(RAND(),$B$7,$C$7))</f>
        <v>0.285080362238909</v>
      </c>
      <c r="D437" s="33" t="n">
        <f aca="true">MAX(0.08,NORMINV(RAND(),$B$8,$C$8))</f>
        <v>0.14823669279766</v>
      </c>
      <c r="E437" s="56" t="n">
        <f aca="true">MAX(5,NORMINV(RAND(),$B$9,$C$9))</f>
        <v>14.0874077782133</v>
      </c>
      <c r="F437" s="26" t="n">
        <f aca="false">$B$18*(1+(B437+$B$17)/2)^9</f>
        <v>3097.56009691856</v>
      </c>
      <c r="G437" s="26" t="n">
        <f aca="false">F437*(C437-Assumptions!$F$18)+$B$20</f>
        <v>454.402545610902</v>
      </c>
      <c r="H437" s="26" t="n">
        <f aca="false">E437*G437/(1+D437)^9</f>
        <v>1844.96891325849</v>
      </c>
      <c r="I437" s="26" t="n">
        <f aca="false">$B$13*F437/$B$19*((1+$B$8)/(1+D437))^4.5</f>
        <v>-1454.43880341705</v>
      </c>
      <c r="J437" s="26" t="n">
        <f aca="false">H437+I437+$B$14</f>
        <v>2155.70819203322</v>
      </c>
      <c r="K437" s="44" t="n">
        <f aca="false">J437/$B$15</f>
        <v>5.30962608875178</v>
      </c>
    </row>
    <row r="438" customFormat="false" ht="15" hidden="false" customHeight="false" outlineLevel="0" collapsed="false">
      <c r="A438" s="55" t="n">
        <v>398</v>
      </c>
      <c r="B438" s="21" t="n">
        <f aca="true">NORMINV(RAND(),$B$6,$C$6)</f>
        <v>0.500776027220134</v>
      </c>
      <c r="C438" s="21" t="n">
        <f aca="true">MAX(0.05,NORMINV(RAND(),$B$7,$C$7))</f>
        <v>0.307629481507063</v>
      </c>
      <c r="D438" s="33" t="n">
        <f aca="true">MAX(0.08,NORMINV(RAND(),$B$8,$C$8))</f>
        <v>0.15392304829994</v>
      </c>
      <c r="E438" s="56" t="n">
        <f aca="true">MAX(5,NORMINV(RAND(),$B$9,$C$9))</f>
        <v>15.9818167820035</v>
      </c>
      <c r="F438" s="26" t="n">
        <f aca="false">$B$18*(1+(B438+$B$17)/2)^9</f>
        <v>3170.29460577056</v>
      </c>
      <c r="G438" s="26" t="n">
        <f aca="false">F438*(C438-Assumptions!$F$18)+$B$20</f>
        <v>543.715696568323</v>
      </c>
      <c r="H438" s="26" t="n">
        <f aca="false">E438*G438/(1+D438)^9</f>
        <v>2395.55632524437</v>
      </c>
      <c r="I438" s="26" t="n">
        <f aca="false">$B$13*F438/$B$19*((1+$B$8)/(1+D438))^4.5</f>
        <v>-1455.86435125553</v>
      </c>
      <c r="J438" s="26" t="n">
        <f aca="false">H438+I438+$B$14</f>
        <v>2704.87005618062</v>
      </c>
      <c r="K438" s="44" t="n">
        <f aca="false">J438/$B$15</f>
        <v>6.66224151768625</v>
      </c>
    </row>
    <row r="439" customFormat="false" ht="15" hidden="false" customHeight="false" outlineLevel="0" collapsed="false">
      <c r="A439" s="55" t="n">
        <v>399</v>
      </c>
      <c r="B439" s="21" t="n">
        <f aca="true">NORMINV(RAND(),$B$6,$C$6)</f>
        <v>0.519291645768302</v>
      </c>
      <c r="C439" s="21" t="n">
        <f aca="true">MAX(0.05,NORMINV(RAND(),$B$7,$C$7))</f>
        <v>0.258480459566496</v>
      </c>
      <c r="D439" s="33" t="n">
        <f aca="true">MAX(0.08,NORMINV(RAND(),$B$8,$C$8))</f>
        <v>0.164474056121544</v>
      </c>
      <c r="E439" s="56" t="n">
        <f aca="true">MAX(5,NORMINV(RAND(),$B$9,$C$9))</f>
        <v>21.5015614194321</v>
      </c>
      <c r="F439" s="26" t="n">
        <f aca="false">$B$18*(1+(B439+$B$17)/2)^9</f>
        <v>3367.60235028487</v>
      </c>
      <c r="G439" s="26" t="n">
        <f aca="false">F439*(C439-Assumptions!$F$18)+$B$20</f>
        <v>431.006704128761</v>
      </c>
      <c r="H439" s="26" t="n">
        <f aca="false">E439*G439/(1+D439)^9</f>
        <v>2353.8873253405</v>
      </c>
      <c r="I439" s="26" t="n">
        <f aca="false">$B$13*F439/$B$19*((1+$B$8)/(1+D439))^4.5</f>
        <v>-1484.40952676404</v>
      </c>
      <c r="J439" s="26" t="n">
        <f aca="false">H439+I439+$B$14</f>
        <v>2634.65588076824</v>
      </c>
      <c r="K439" s="44" t="n">
        <f aca="false">J439/$B$15</f>
        <v>6.48930019893654</v>
      </c>
    </row>
    <row r="440" customFormat="false" ht="15" hidden="false" customHeight="false" outlineLevel="0" collapsed="false">
      <c r="A440" s="55" t="n">
        <v>400</v>
      </c>
      <c r="B440" s="21" t="n">
        <f aca="true">NORMINV(RAND(),$B$6,$C$6)</f>
        <v>0.655648653331475</v>
      </c>
      <c r="C440" s="21" t="n">
        <f aca="true">MAX(0.05,NORMINV(RAND(),$B$7,$C$7))</f>
        <v>0.279910399341795</v>
      </c>
      <c r="D440" s="33" t="n">
        <f aca="true">MAX(0.08,NORMINV(RAND(),$B$8,$C$8))</f>
        <v>0.142731311178588</v>
      </c>
      <c r="E440" s="56" t="n">
        <f aca="true">MAX(5,NORMINV(RAND(),$B$9,$C$9))</f>
        <v>11.6512364124093</v>
      </c>
      <c r="F440" s="26" t="n">
        <f aca="false">$B$18*(1+(B440+$B$17)/2)^9</f>
        <v>5190.27577973795</v>
      </c>
      <c r="G440" s="26" t="n">
        <f aca="false">F440*(C440-Assumptions!$F$18)+$B$20</f>
        <v>940.452530012287</v>
      </c>
      <c r="H440" s="26" t="n">
        <f aca="false">E440*G440/(1+D440)^9</f>
        <v>3297.70458107234</v>
      </c>
      <c r="I440" s="26" t="n">
        <f aca="false">$B$13*F440/$B$19*((1+$B$8)/(1+D440))^4.5</f>
        <v>-2490.34185177387</v>
      </c>
      <c r="J440" s="26" t="n">
        <f aca="false">H440+I440+$B$14</f>
        <v>2572.54081149025</v>
      </c>
      <c r="K440" s="44" t="n">
        <f aca="false">J440/$B$15</f>
        <v>6.33630741746367</v>
      </c>
    </row>
    <row r="441" customFormat="false" ht="15" hidden="false" customHeight="false" outlineLevel="0" collapsed="false">
      <c r="A441" s="55" t="n">
        <v>401</v>
      </c>
      <c r="B441" s="21" t="n">
        <f aca="true">NORMINV(RAND(),$B$6,$C$6)</f>
        <v>0.855306944189793</v>
      </c>
      <c r="C441" s="21" t="n">
        <f aca="true">MAX(0.05,NORMINV(RAND(),$B$7,$C$7))</f>
        <v>0.259098738069971</v>
      </c>
      <c r="D441" s="33" t="n">
        <f aca="true">MAX(0.08,NORMINV(RAND(),$B$8,$C$8))</f>
        <v>0.131403877263129</v>
      </c>
      <c r="E441" s="56" t="n">
        <f aca="true">MAX(5,NORMINV(RAND(),$B$9,$C$9))</f>
        <v>11.4723771921099</v>
      </c>
      <c r="F441" s="26" t="n">
        <f aca="false">$B$18*(1+(B441+$B$17)/2)^9</f>
        <v>9439.37749511493</v>
      </c>
      <c r="G441" s="26" t="n">
        <f aca="false">F441*(C441-Assumptions!$F$18)+$B$20</f>
        <v>1763.40709234708</v>
      </c>
      <c r="H441" s="26" t="n">
        <f aca="false">E441*G441/(1+D441)^9</f>
        <v>6659.5830027098</v>
      </c>
      <c r="I441" s="26" t="n">
        <f aca="false">$B$13*F441/$B$19*((1+$B$8)/(1+D441))^4.5</f>
        <v>-4736.75561245937</v>
      </c>
      <c r="J441" s="26" t="n">
        <f aca="false">H441+I441+$B$14</f>
        <v>3688.00547244222</v>
      </c>
      <c r="K441" s="44" t="n">
        <f aca="false">J441/$B$15</f>
        <v>9.08375732128625</v>
      </c>
    </row>
    <row r="442" customFormat="false" ht="15" hidden="false" customHeight="false" outlineLevel="0" collapsed="false">
      <c r="A442" s="55" t="n">
        <v>402</v>
      </c>
      <c r="B442" s="21" t="n">
        <f aca="true">NORMINV(RAND(),$B$6,$C$6)</f>
        <v>0.6009755427449</v>
      </c>
      <c r="C442" s="21" t="n">
        <f aca="true">MAX(0.05,NORMINV(RAND(),$B$7,$C$7))</f>
        <v>0.320455243495629</v>
      </c>
      <c r="D442" s="33" t="n">
        <f aca="true">MAX(0.08,NORMINV(RAND(),$B$8,$C$8))</f>
        <v>0.136307446448157</v>
      </c>
      <c r="E442" s="56" t="n">
        <f aca="true">MAX(5,NORMINV(RAND(),$B$9,$C$9))</f>
        <v>12.0257025429241</v>
      </c>
      <c r="F442" s="26" t="n">
        <f aca="false">$B$18*(1+(B442+$B$17)/2)^9</f>
        <v>4374.65661865623</v>
      </c>
      <c r="G442" s="26" t="n">
        <f aca="false">F442*(C442-Assumptions!$F$18)+$B$20</f>
        <v>922.146782196309</v>
      </c>
      <c r="H442" s="26" t="n">
        <f aca="false">E442*G442/(1+D442)^9</f>
        <v>3511.1375069844</v>
      </c>
      <c r="I442" s="26" t="n">
        <f aca="false">$B$13*F442/$B$19*((1+$B$8)/(1+D442))^4.5</f>
        <v>-2152.92915165916</v>
      </c>
      <c r="J442" s="26" t="n">
        <f aca="false">H442+I442+$B$14</f>
        <v>3123.38643751703</v>
      </c>
      <c r="K442" s="44" t="n">
        <f aca="false">J442/$B$15</f>
        <v>7.69307004314539</v>
      </c>
    </row>
    <row r="443" customFormat="false" ht="15" hidden="false" customHeight="false" outlineLevel="0" collapsed="false">
      <c r="A443" s="55" t="n">
        <v>403</v>
      </c>
      <c r="B443" s="21" t="n">
        <f aca="true">NORMINV(RAND(),$B$6,$C$6)</f>
        <v>0.622909900266905</v>
      </c>
      <c r="C443" s="21" t="n">
        <f aca="true">MAX(0.05,NORMINV(RAND(),$B$7,$C$7))</f>
        <v>0.267161838627447</v>
      </c>
      <c r="D443" s="33" t="n">
        <f aca="true">MAX(0.08,NORMINV(RAND(),$B$8,$C$8))</f>
        <v>0.14296844946613</v>
      </c>
      <c r="E443" s="56" t="n">
        <f aca="true">MAX(5,NORMINV(RAND(),$B$9,$C$9))</f>
        <v>12.612650987739</v>
      </c>
      <c r="F443" s="26" t="n">
        <f aca="false">$B$18*(1+(B443+$B$17)/2)^9</f>
        <v>4687.0609116725</v>
      </c>
      <c r="G443" s="26" t="n">
        <f aca="false">F443*(C443-Assumptions!$F$18)+$B$20</f>
        <v>759.972769455672</v>
      </c>
      <c r="H443" s="26" t="n">
        <f aca="false">E443*G443/(1+D443)^9</f>
        <v>2879.36173672428</v>
      </c>
      <c r="I443" s="26" t="n">
        <f aca="false">$B$13*F443/$B$19*((1+$B$8)/(1+D443))^4.5</f>
        <v>-2246.79585132642</v>
      </c>
      <c r="J443" s="26" t="n">
        <f aca="false">H443+I443+$B$14</f>
        <v>2397.74396758963</v>
      </c>
      <c r="K443" s="44" t="n">
        <f aca="false">J443/$B$15</f>
        <v>5.90577331918629</v>
      </c>
    </row>
    <row r="444" customFormat="false" ht="15" hidden="false" customHeight="false" outlineLevel="0" collapsed="false">
      <c r="A444" s="55" t="n">
        <v>404</v>
      </c>
      <c r="B444" s="21" t="n">
        <f aca="true">NORMINV(RAND(),$B$6,$C$6)</f>
        <v>0.527383696252237</v>
      </c>
      <c r="C444" s="21" t="n">
        <f aca="true">MAX(0.05,NORMINV(RAND(),$B$7,$C$7))</f>
        <v>0.311983680620546</v>
      </c>
      <c r="D444" s="33" t="n">
        <f aca="true">MAX(0.08,NORMINV(RAND(),$B$8,$C$8))</f>
        <v>0.121933630762343</v>
      </c>
      <c r="E444" s="56" t="n">
        <f aca="true">MAX(5,NORMINV(RAND(),$B$9,$C$9))</f>
        <v>11.8490790932691</v>
      </c>
      <c r="F444" s="26" t="n">
        <f aca="false">$B$18*(1+(B444+$B$17)/2)^9</f>
        <v>3457.20776846722</v>
      </c>
      <c r="G444" s="26" t="n">
        <f aca="false">F444*(C444-Assumptions!$F$18)+$B$20</f>
        <v>635.555488538969</v>
      </c>
      <c r="H444" s="26" t="n">
        <f aca="false">E444*G444/(1+D444)^9</f>
        <v>2673.82865623563</v>
      </c>
      <c r="I444" s="26" t="n">
        <f aca="false">$B$13*F444/$B$19*((1+$B$8)/(1+D444))^4.5</f>
        <v>-1801.73260151711</v>
      </c>
      <c r="J444" s="26" t="n">
        <f aca="false">H444+I444+$B$14</f>
        <v>2637.2741369103</v>
      </c>
      <c r="K444" s="44" t="n">
        <f aca="false">J444/$B$15</f>
        <v>6.49574910569039</v>
      </c>
    </row>
    <row r="445" customFormat="false" ht="15" hidden="false" customHeight="false" outlineLevel="0" collapsed="false">
      <c r="A445" s="55" t="n">
        <v>405</v>
      </c>
      <c r="B445" s="21" t="n">
        <f aca="true">NORMINV(RAND(),$B$6,$C$6)</f>
        <v>0.419589804523328</v>
      </c>
      <c r="C445" s="21" t="n">
        <f aca="true">MAX(0.05,NORMINV(RAND(),$B$7,$C$7))</f>
        <v>0.405313746765015</v>
      </c>
      <c r="D445" s="33" t="n">
        <f aca="true">MAX(0.08,NORMINV(RAND(),$B$8,$C$8))</f>
        <v>0.112096159228129</v>
      </c>
      <c r="E445" s="56" t="n">
        <f aca="true">MAX(5,NORMINV(RAND(),$B$9,$C$9))</f>
        <v>20.5795501908967</v>
      </c>
      <c r="F445" s="26" t="n">
        <f aca="false">$B$18*(1+(B445+$B$17)/2)^9</f>
        <v>2421.04777410698</v>
      </c>
      <c r="G445" s="26" t="n">
        <f aca="false">F445*(C445-Assumptions!$F$18)+$B$20</f>
        <v>579.693428457431</v>
      </c>
      <c r="H445" s="26" t="n">
        <f aca="false">E445*G445/(1+D445)^9</f>
        <v>4585.14619548492</v>
      </c>
      <c r="I445" s="26" t="n">
        <f aca="false">$B$13*F445/$B$19*((1+$B$8)/(1+D445))^4.5</f>
        <v>-1312.74366621992</v>
      </c>
      <c r="J445" s="26" t="n">
        <f aca="false">H445+I445+$B$14</f>
        <v>5037.58061145678</v>
      </c>
      <c r="K445" s="44" t="n">
        <f aca="false">J445/$B$15</f>
        <v>12.4078340183665</v>
      </c>
    </row>
    <row r="446" customFormat="false" ht="15" hidden="false" customHeight="false" outlineLevel="0" collapsed="false">
      <c r="A446" s="55" t="n">
        <v>406</v>
      </c>
      <c r="B446" s="21" t="n">
        <f aca="true">NORMINV(RAND(),$B$6,$C$6)</f>
        <v>0.565715646373726</v>
      </c>
      <c r="C446" s="21" t="n">
        <f aca="true">MAX(0.05,NORMINV(RAND(),$B$7,$C$7))</f>
        <v>0.223863723884099</v>
      </c>
      <c r="D446" s="33" t="n">
        <f aca="true">MAX(0.08,NORMINV(RAND(),$B$8,$C$8))</f>
        <v>0.12467010428682</v>
      </c>
      <c r="E446" s="56" t="n">
        <f aca="true">MAX(5,NORMINV(RAND(),$B$9,$C$9))</f>
        <v>18.5816475110729</v>
      </c>
      <c r="F446" s="26" t="n">
        <f aca="false">$B$18*(1+(B446+$B$17)/2)^9</f>
        <v>3911.12495538668</v>
      </c>
      <c r="G446" s="26" t="n">
        <f aca="false">F446*(C446-Assumptions!$F$18)+$B$20</f>
        <v>414.365393874735</v>
      </c>
      <c r="H446" s="26" t="n">
        <f aca="false">E446*G446/(1+D446)^9</f>
        <v>2674.4922038184</v>
      </c>
      <c r="I446" s="26" t="n">
        <f aca="false">$B$13*F446/$B$19*((1+$B$8)/(1+D446))^4.5</f>
        <v>-2016.0700499589</v>
      </c>
      <c r="J446" s="26" t="n">
        <f aca="false">H446+I446+$B$14</f>
        <v>2423.60023605128</v>
      </c>
      <c r="K446" s="44" t="n">
        <f aca="false">J446/$B$15</f>
        <v>5.96945870948592</v>
      </c>
    </row>
    <row r="447" customFormat="false" ht="15" hidden="false" customHeight="false" outlineLevel="0" collapsed="false">
      <c r="A447" s="55" t="n">
        <v>407</v>
      </c>
      <c r="B447" s="21" t="n">
        <f aca="true">NORMINV(RAND(),$B$6,$C$6)</f>
        <v>0.633727839693587</v>
      </c>
      <c r="C447" s="21" t="n">
        <f aca="true">MAX(0.05,NORMINV(RAND(),$B$7,$C$7))</f>
        <v>0.26294204706542</v>
      </c>
      <c r="D447" s="33" t="n">
        <f aca="true">MAX(0.08,NORMINV(RAND(),$B$8,$C$8))</f>
        <v>0.157884772052292</v>
      </c>
      <c r="E447" s="56" t="n">
        <f aca="true">MAX(5,NORMINV(RAND(),$B$9,$C$9))</f>
        <v>12.6297523936</v>
      </c>
      <c r="F447" s="26" t="n">
        <f aca="false">$B$18*(1+(B447+$B$17)/2)^9</f>
        <v>4848.31664041432</v>
      </c>
      <c r="G447" s="26" t="n">
        <f aca="false">F447*(C447-Assumptions!$F$18)+$B$20</f>
        <v>776.145031636621</v>
      </c>
      <c r="H447" s="26" t="n">
        <f aca="false">E447*G447/(1+D447)^9</f>
        <v>2620.29167502819</v>
      </c>
      <c r="I447" s="26" t="n">
        <f aca="false">$B$13*F447/$B$19*((1+$B$8)/(1+D447))^4.5</f>
        <v>-2192.37096155706</v>
      </c>
      <c r="J447" s="26" t="n">
        <f aca="false">H447+I447+$B$14</f>
        <v>2193.09879566291</v>
      </c>
      <c r="K447" s="44" t="n">
        <f aca="false">J447/$B$15</f>
        <v>5.40172117158352</v>
      </c>
    </row>
    <row r="448" customFormat="false" ht="15" hidden="false" customHeight="false" outlineLevel="0" collapsed="false">
      <c r="A448" s="55" t="n">
        <v>408</v>
      </c>
      <c r="B448" s="21" t="n">
        <f aca="true">NORMINV(RAND(),$B$6,$C$6)</f>
        <v>0.611677306084619</v>
      </c>
      <c r="C448" s="21" t="n">
        <f aca="true">MAX(0.05,NORMINV(RAND(),$B$7,$C$7))</f>
        <v>0.213953689155526</v>
      </c>
      <c r="D448" s="33" t="n">
        <f aca="true">MAX(0.08,NORMINV(RAND(),$B$8,$C$8))</f>
        <v>0.166035637912111</v>
      </c>
      <c r="E448" s="56" t="n">
        <f aca="true">MAX(5,NORMINV(RAND(),$B$9,$C$9))</f>
        <v>15.4558477450108</v>
      </c>
      <c r="F448" s="26" t="n">
        <f aca="false">$B$18*(1+(B448+$B$17)/2)^9</f>
        <v>4524.68634679784</v>
      </c>
      <c r="G448" s="26" t="n">
        <f aca="false">F448*(C448-Assumptions!$F$18)+$B$20</f>
        <v>482.337277298437</v>
      </c>
      <c r="H448" s="26" t="n">
        <f aca="false">E448*G448/(1+D448)^9</f>
        <v>1870.84256137895</v>
      </c>
      <c r="I448" s="26" t="n">
        <f aca="false">$B$13*F448/$B$19*((1+$B$8)/(1+D448))^4.5</f>
        <v>-1982.45061180926</v>
      </c>
      <c r="J448" s="26" t="n">
        <f aca="false">H448+I448+$B$14</f>
        <v>1653.57003176147</v>
      </c>
      <c r="K448" s="44" t="n">
        <f aca="false">J448/$B$15</f>
        <v>4.07283259054549</v>
      </c>
    </row>
    <row r="449" customFormat="false" ht="15" hidden="false" customHeight="false" outlineLevel="0" collapsed="false">
      <c r="A449" s="55" t="n">
        <v>409</v>
      </c>
      <c r="B449" s="21" t="n">
        <f aca="true">NORMINV(RAND(),$B$6,$C$6)</f>
        <v>0.772927476528017</v>
      </c>
      <c r="C449" s="21" t="n">
        <f aca="true">MAX(0.05,NORMINV(RAND(),$B$7,$C$7))</f>
        <v>0.386442565204288</v>
      </c>
      <c r="D449" s="33" t="n">
        <f aca="true">MAX(0.08,NORMINV(RAND(),$B$8,$C$8))</f>
        <v>0.154268583192712</v>
      </c>
      <c r="E449" s="56" t="n">
        <f aca="true">MAX(5,NORMINV(RAND(),$B$9,$C$9))</f>
        <v>15.0327113565506</v>
      </c>
      <c r="F449" s="26" t="n">
        <f aca="false">$B$18*(1+(B449+$B$17)/2)^9</f>
        <v>7410.57824026835</v>
      </c>
      <c r="G449" s="26" t="n">
        <f aca="false">F449*(C449-Assumptions!$F$18)+$B$20</f>
        <v>2262.59113020695</v>
      </c>
      <c r="H449" s="26" t="n">
        <f aca="false">E449*G449/(1+D449)^9</f>
        <v>9351.50524828321</v>
      </c>
      <c r="I449" s="26" t="n">
        <f aca="false">$B$13*F449/$B$19*((1+$B$8)/(1+D449))^4.5</f>
        <v>-3398.50774842759</v>
      </c>
      <c r="J449" s="26" t="n">
        <f aca="false">H449+I449+$B$14</f>
        <v>7718.1755820474</v>
      </c>
      <c r="K449" s="44" t="n">
        <f aca="false">J449/$B$15</f>
        <v>19.0102846848458</v>
      </c>
    </row>
    <row r="450" customFormat="false" ht="15" hidden="false" customHeight="false" outlineLevel="0" collapsed="false">
      <c r="A450" s="55" t="n">
        <v>410</v>
      </c>
      <c r="B450" s="21" t="n">
        <f aca="true">NORMINV(RAND(),$B$6,$C$6)</f>
        <v>0.592476677446814</v>
      </c>
      <c r="C450" s="21" t="n">
        <f aca="true">MAX(0.05,NORMINV(RAND(),$B$7,$C$7))</f>
        <v>0.347737179410822</v>
      </c>
      <c r="D450" s="33" t="n">
        <f aca="true">MAX(0.08,NORMINV(RAND(),$B$8,$C$8))</f>
        <v>0.114256978172707</v>
      </c>
      <c r="E450" s="56" t="n">
        <f aca="true">MAX(5,NORMINV(RAND(),$B$9,$C$9))</f>
        <v>12.4344852536608</v>
      </c>
      <c r="F450" s="26" t="n">
        <f aca="false">$B$18*(1+(B450+$B$17)/2)^9</f>
        <v>4258.67731167907</v>
      </c>
      <c r="G450" s="26" t="n">
        <f aca="false">F450*(C450-Assumptions!$F$18)+$B$20</f>
        <v>1005.80473891829</v>
      </c>
      <c r="H450" s="26" t="n">
        <f aca="false">E450*G450/(1+D450)^9</f>
        <v>4723.60121695714</v>
      </c>
      <c r="I450" s="26" t="n">
        <f aca="false">$B$13*F450/$B$19*((1+$B$8)/(1+D450))^4.5</f>
        <v>-2289.06280389912</v>
      </c>
      <c r="J450" s="26" t="n">
        <f aca="false">H450+I450+$B$14</f>
        <v>4199.71649524981</v>
      </c>
      <c r="K450" s="44" t="n">
        <f aca="false">J450/$B$15</f>
        <v>10.3441292986449</v>
      </c>
    </row>
    <row r="451" customFormat="false" ht="15" hidden="false" customHeight="false" outlineLevel="0" collapsed="false">
      <c r="A451" s="55" t="n">
        <v>411</v>
      </c>
      <c r="B451" s="21" t="n">
        <f aca="true">NORMINV(RAND(),$B$6,$C$6)</f>
        <v>0.640353035985364</v>
      </c>
      <c r="C451" s="21" t="n">
        <f aca="true">MAX(0.05,NORMINV(RAND(),$B$7,$C$7))</f>
        <v>0.308494718810867</v>
      </c>
      <c r="D451" s="33" t="n">
        <f aca="true">MAX(0.08,NORMINV(RAND(),$B$8,$C$8))</f>
        <v>0.100254423699286</v>
      </c>
      <c r="E451" s="56" t="n">
        <f aca="true">MAX(5,NORMINV(RAND(),$B$9,$C$9))</f>
        <v>23.0465127091339</v>
      </c>
      <c r="F451" s="26" t="n">
        <f aca="false">$B$18*(1+(B451+$B$17)/2)^9</f>
        <v>4949.49137544261</v>
      </c>
      <c r="G451" s="26" t="n">
        <f aca="false">F451*(C451-Assumptions!$F$18)+$B$20</f>
        <v>1024.16369010759</v>
      </c>
      <c r="H451" s="26" t="n">
        <f aca="false">E451*G451/(1+D451)^9</f>
        <v>9989.3328337919</v>
      </c>
      <c r="I451" s="26" t="n">
        <f aca="false">$B$13*F451/$B$19*((1+$B$8)/(1+D451))^4.5</f>
        <v>-2816.1684110689</v>
      </c>
      <c r="J451" s="26" t="n">
        <f aca="false">H451+I451+$B$14</f>
        <v>8938.34250491479</v>
      </c>
      <c r="K451" s="44" t="n">
        <f aca="false">J451/$B$15</f>
        <v>22.0156219332876</v>
      </c>
    </row>
    <row r="452" customFormat="false" ht="15" hidden="false" customHeight="false" outlineLevel="0" collapsed="false">
      <c r="A452" s="55" t="n">
        <v>412</v>
      </c>
      <c r="B452" s="21" t="n">
        <f aca="true">NORMINV(RAND(),$B$6,$C$6)</f>
        <v>0.492543233157113</v>
      </c>
      <c r="C452" s="21" t="n">
        <f aca="true">MAX(0.05,NORMINV(RAND(),$B$7,$C$7))</f>
        <v>0.270705604873018</v>
      </c>
      <c r="D452" s="33" t="n">
        <f aca="true">MAX(0.08,NORMINV(RAND(),$B$8,$C$8))</f>
        <v>0.127056667811466</v>
      </c>
      <c r="E452" s="56" t="n">
        <f aca="true">MAX(5,NORMINV(RAND(),$B$9,$C$9))</f>
        <v>17.9667454655426</v>
      </c>
      <c r="F452" s="26" t="n">
        <f aca="false">$B$18*(1+(B452+$B$17)/2)^9</f>
        <v>3085.9144806721</v>
      </c>
      <c r="G452" s="26" t="n">
        <f aca="false">F452*(C452-Assumptions!$F$18)+$B$20</f>
        <v>407.189161851172</v>
      </c>
      <c r="H452" s="26" t="n">
        <f aca="false">E452*G452/(1+D452)^9</f>
        <v>2493.18124278249</v>
      </c>
      <c r="I452" s="26" t="n">
        <f aca="false">$B$13*F452/$B$19*((1+$B$8)/(1+D452))^4.5</f>
        <v>-1575.59685519023</v>
      </c>
      <c r="J452" s="26" t="n">
        <f aca="false">H452+I452+$B$14</f>
        <v>2682.76246978403</v>
      </c>
      <c r="K452" s="44" t="n">
        <f aca="false">J452/$B$15</f>
        <v>6.60778933444344</v>
      </c>
    </row>
    <row r="453" customFormat="false" ht="15" hidden="false" customHeight="false" outlineLevel="0" collapsed="false">
      <c r="A453" s="55" t="n">
        <v>413</v>
      </c>
      <c r="B453" s="21" t="n">
        <f aca="true">NORMINV(RAND(),$B$6,$C$6)</f>
        <v>0.6514046669721</v>
      </c>
      <c r="C453" s="21" t="n">
        <f aca="true">MAX(0.05,NORMINV(RAND(),$B$7,$C$7))</f>
        <v>0.189407850971876</v>
      </c>
      <c r="D453" s="33" t="n">
        <f aca="true">MAX(0.08,NORMINV(RAND(),$B$8,$C$8))</f>
        <v>0.155920293648243</v>
      </c>
      <c r="E453" s="56" t="n">
        <f aca="true">MAX(5,NORMINV(RAND(),$B$9,$C$9))</f>
        <v>12.6218603570208</v>
      </c>
      <c r="F453" s="26" t="n">
        <f aca="false">$B$18*(1+(B453+$B$17)/2)^9</f>
        <v>5122.44485426765</v>
      </c>
      <c r="G453" s="26" t="n">
        <f aca="false">F453*(C453-Assumptions!$F$18)+$B$20</f>
        <v>460.584872399384</v>
      </c>
      <c r="H453" s="26" t="n">
        <f aca="false">E453*G453/(1+D453)^9</f>
        <v>1577.90933413066</v>
      </c>
      <c r="I453" s="26" t="n">
        <f aca="false">$B$13*F453/$B$19*((1+$B$8)/(1+D453))^4.5</f>
        <v>-2334.09699764003</v>
      </c>
      <c r="J453" s="26" t="n">
        <f aca="false">H453+I453+$B$14</f>
        <v>1008.9904186824</v>
      </c>
      <c r="K453" s="44" t="n">
        <f aca="false">J453/$B$15</f>
        <v>2.48519807557243</v>
      </c>
    </row>
    <row r="454" customFormat="false" ht="15" hidden="false" customHeight="false" outlineLevel="0" collapsed="false">
      <c r="A454" s="55" t="n">
        <v>414</v>
      </c>
      <c r="B454" s="21" t="n">
        <f aca="true">NORMINV(RAND(),$B$6,$C$6)</f>
        <v>0.479254631584183</v>
      </c>
      <c r="C454" s="21" t="n">
        <f aca="true">MAX(0.05,NORMINV(RAND(),$B$7,$C$7))</f>
        <v>0.333283475179761</v>
      </c>
      <c r="D454" s="33" t="n">
        <f aca="true">MAX(0.08,NORMINV(RAND(),$B$8,$C$8))</f>
        <v>0.139538687021086</v>
      </c>
      <c r="E454" s="56" t="n">
        <f aca="true">MAX(5,NORMINV(RAND(),$B$9,$C$9))</f>
        <v>11.1981358006979</v>
      </c>
      <c r="F454" s="26" t="n">
        <f aca="false">$B$18*(1+(B454+$B$17)/2)^9</f>
        <v>2953.92216757223</v>
      </c>
      <c r="G454" s="26" t="n">
        <f aca="false">F454*(C454-Assumptions!$F$18)+$B$20</f>
        <v>561.587953717425</v>
      </c>
      <c r="H454" s="26" t="n">
        <f aca="false">E454*G454/(1+D454)^9</f>
        <v>1940.89413579247</v>
      </c>
      <c r="I454" s="26" t="n">
        <f aca="false">$B$13*F454/$B$19*((1+$B$8)/(1+D454))^4.5</f>
        <v>-1435.27566428749</v>
      </c>
      <c r="J454" s="26" t="n">
        <f aca="false">H454+I454+$B$14</f>
        <v>2270.79655369676</v>
      </c>
      <c r="K454" s="44" t="n">
        <f aca="false">J454/$B$15</f>
        <v>5.59309495984423</v>
      </c>
    </row>
    <row r="455" customFormat="false" ht="15" hidden="false" customHeight="false" outlineLevel="0" collapsed="false">
      <c r="A455" s="55" t="n">
        <v>415</v>
      </c>
      <c r="B455" s="21" t="n">
        <f aca="true">NORMINV(RAND(),$B$6,$C$6)</f>
        <v>0.657818111002988</v>
      </c>
      <c r="C455" s="21" t="n">
        <f aca="true">MAX(0.05,NORMINV(RAND(),$B$7,$C$7))</f>
        <v>0.260227445487416</v>
      </c>
      <c r="D455" s="33" t="n">
        <f aca="true">MAX(0.08,NORMINV(RAND(),$B$8,$C$8))</f>
        <v>0.105249599349187</v>
      </c>
      <c r="E455" s="56" t="n">
        <f aca="true">MAX(5,NORMINV(RAND(),$B$9,$C$9))</f>
        <v>17.3224918097023</v>
      </c>
      <c r="F455" s="26" t="n">
        <f aca="false">$B$18*(1+(B455+$B$17)/2)^9</f>
        <v>5225.25727629496</v>
      </c>
      <c r="G455" s="26" t="n">
        <f aca="false">F455*(C455-Assumptions!$F$18)+$B$20</f>
        <v>845.996456974282</v>
      </c>
      <c r="H455" s="26" t="n">
        <f aca="false">E455*G455/(1+D455)^9</f>
        <v>5954.36719878052</v>
      </c>
      <c r="I455" s="26" t="n">
        <f aca="false">$B$13*F455/$B$19*((1+$B$8)/(1+D455))^4.5</f>
        <v>-2913.08486662312</v>
      </c>
      <c r="J455" s="26" t="n">
        <f aca="false">H455+I455+$B$14</f>
        <v>4806.46041434918</v>
      </c>
      <c r="K455" s="44" t="n">
        <f aca="false">J455/$B$15</f>
        <v>11.8385724491359</v>
      </c>
    </row>
    <row r="456" customFormat="false" ht="15" hidden="false" customHeight="false" outlineLevel="0" collapsed="false">
      <c r="A456" s="55" t="n">
        <v>416</v>
      </c>
      <c r="B456" s="21" t="n">
        <f aca="true">NORMINV(RAND(),$B$6,$C$6)</f>
        <v>0.618830293727963</v>
      </c>
      <c r="C456" s="21" t="n">
        <f aca="true">MAX(0.05,NORMINV(RAND(),$B$7,$C$7))</f>
        <v>0.271627914195112</v>
      </c>
      <c r="D456" s="33" t="n">
        <f aca="true">MAX(0.08,NORMINV(RAND(),$B$8,$C$8))</f>
        <v>0.14980141254654</v>
      </c>
      <c r="E456" s="56" t="n">
        <f aca="true">MAX(5,NORMINV(RAND(),$B$9,$C$9))</f>
        <v>15.3450787592538</v>
      </c>
      <c r="F456" s="26" t="n">
        <f aca="false">$B$18*(1+(B456+$B$17)/2)^9</f>
        <v>4627.49830267947</v>
      </c>
      <c r="G456" s="26" t="n">
        <f aca="false">F456*(C456-Assumptions!$F$18)+$B$20</f>
        <v>767.109174792376</v>
      </c>
      <c r="H456" s="26" t="n">
        <f aca="false">E456*G456/(1+D456)^9</f>
        <v>3351.35750258081</v>
      </c>
      <c r="I456" s="26" t="n">
        <f aca="false">$B$13*F456/$B$19*((1+$B$8)/(1+D456))^4.5</f>
        <v>-2159.53677382171</v>
      </c>
      <c r="J456" s="26" t="n">
        <f aca="false">H456+I456+$B$14</f>
        <v>2956.99881095088</v>
      </c>
      <c r="K456" s="44" t="n">
        <f aca="false">J456/$B$15</f>
        <v>7.28324830283468</v>
      </c>
    </row>
    <row r="457" customFormat="false" ht="15" hidden="false" customHeight="false" outlineLevel="0" collapsed="false">
      <c r="A457" s="55" t="n">
        <v>417</v>
      </c>
      <c r="B457" s="21" t="n">
        <f aca="true">NORMINV(RAND(),$B$6,$C$6)</f>
        <v>0.570278190245245</v>
      </c>
      <c r="C457" s="21" t="n">
        <f aca="true">MAX(0.05,NORMINV(RAND(),$B$7,$C$7))</f>
        <v>0.331610783535659</v>
      </c>
      <c r="D457" s="33" t="n">
        <f aca="true">MAX(0.08,NORMINV(RAND(),$B$8,$C$8))</f>
        <v>0.152840414349932</v>
      </c>
      <c r="E457" s="56" t="n">
        <f aca="true">MAX(5,NORMINV(RAND(),$B$9,$C$9))</f>
        <v>18.2426858534869</v>
      </c>
      <c r="F457" s="26" t="n">
        <f aca="false">$B$18*(1+(B457+$B$17)/2)^9</f>
        <v>3968.53380894141</v>
      </c>
      <c r="G457" s="26" t="n">
        <f aca="false">F457*(C457-Assumptions!$F$18)+$B$20</f>
        <v>852.518648514466</v>
      </c>
      <c r="H457" s="26" t="n">
        <f aca="false">E457*G457/(1+D457)^9</f>
        <v>4323.84315405872</v>
      </c>
      <c r="I457" s="26" t="n">
        <f aca="false">$B$13*F457/$B$19*((1+$B$8)/(1+D457))^4.5</f>
        <v>-1830.1463615463</v>
      </c>
      <c r="J457" s="26" t="n">
        <f aca="false">H457+I457+$B$14</f>
        <v>4258.8748747042</v>
      </c>
      <c r="K457" s="44" t="n">
        <f aca="false">J457/$B$15</f>
        <v>10.4898395928675</v>
      </c>
    </row>
    <row r="458" customFormat="false" ht="15" hidden="false" customHeight="false" outlineLevel="0" collapsed="false">
      <c r="A458" s="55" t="n">
        <v>418</v>
      </c>
      <c r="B458" s="21" t="n">
        <f aca="true">NORMINV(RAND(),$B$6,$C$6)</f>
        <v>0.63084582004164</v>
      </c>
      <c r="C458" s="21" t="n">
        <f aca="true">MAX(0.05,NORMINV(RAND(),$B$7,$C$7))</f>
        <v>0.346452829117861</v>
      </c>
      <c r="D458" s="33" t="n">
        <f aca="true">MAX(0.08,NORMINV(RAND(),$B$8,$C$8))</f>
        <v>0.139215726871094</v>
      </c>
      <c r="E458" s="56" t="n">
        <f aca="true">MAX(5,NORMINV(RAND(),$B$9,$C$9))</f>
        <v>18.8841686078026</v>
      </c>
      <c r="F458" s="26" t="n">
        <f aca="false">$B$18*(1+(B458+$B$17)/2)^9</f>
        <v>4804.88156468438</v>
      </c>
      <c r="G458" s="26" t="n">
        <f aca="false">F458*(C458-Assumptions!$F$18)+$B$20</f>
        <v>1167.72094407509</v>
      </c>
      <c r="H458" s="26" t="n">
        <f aca="false">E458*G458/(1+D458)^9</f>
        <v>6823.12288751312</v>
      </c>
      <c r="I458" s="26" t="n">
        <f aca="false">$B$13*F458/$B$19*((1+$B$8)/(1+D458))^4.5</f>
        <v>-2337.61464977999</v>
      </c>
      <c r="J458" s="26" t="n">
        <f aca="false">H458+I458+$B$14</f>
        <v>6250.68631992491</v>
      </c>
      <c r="K458" s="44" t="n">
        <f aca="false">J458/$B$15</f>
        <v>15.3957791131155</v>
      </c>
    </row>
    <row r="459" customFormat="false" ht="15" hidden="false" customHeight="false" outlineLevel="0" collapsed="false">
      <c r="A459" s="55" t="n">
        <v>419</v>
      </c>
      <c r="B459" s="21" t="n">
        <f aca="true">NORMINV(RAND(),$B$6,$C$6)</f>
        <v>0.788923531343284</v>
      </c>
      <c r="C459" s="21" t="n">
        <f aca="true">MAX(0.05,NORMINV(RAND(),$B$7,$C$7))</f>
        <v>0.295494567869779</v>
      </c>
      <c r="D459" s="33" t="n">
        <f aca="true">MAX(0.08,NORMINV(RAND(),$B$8,$C$8))</f>
        <v>0.163215345691431</v>
      </c>
      <c r="E459" s="56" t="n">
        <f aca="true">MAX(5,NORMINV(RAND(),$B$9,$C$9))</f>
        <v>19.1961054135384</v>
      </c>
      <c r="F459" s="26" t="n">
        <f aca="false">$B$18*(1+(B459+$B$17)/2)^9</f>
        <v>7771.064120647</v>
      </c>
      <c r="G459" s="26" t="n">
        <f aca="false">F459*(C459-Assumptions!$F$18)+$B$20</f>
        <v>1680.71606439436</v>
      </c>
      <c r="H459" s="26" t="n">
        <f aca="false">E459*G459/(1+D459)^9</f>
        <v>8274.96890520447</v>
      </c>
      <c r="I459" s="26" t="n">
        <f aca="false">$B$13*F459/$B$19*((1+$B$8)/(1+D459))^4.5</f>
        <v>-3442.12822981827</v>
      </c>
      <c r="J459" s="26" t="n">
        <f aca="false">H459+I459+$B$14</f>
        <v>6598.01875757797</v>
      </c>
      <c r="K459" s="44" t="n">
        <f aca="false">J459/$B$15</f>
        <v>16.2512777280246</v>
      </c>
    </row>
    <row r="460" customFormat="false" ht="15" hidden="false" customHeight="false" outlineLevel="0" collapsed="false">
      <c r="A460" s="55" t="n">
        <v>420</v>
      </c>
      <c r="B460" s="21" t="n">
        <f aca="true">NORMINV(RAND(),$B$6,$C$6)</f>
        <v>0.731591337412686</v>
      </c>
      <c r="C460" s="21" t="n">
        <f aca="true">MAX(0.05,NORMINV(RAND(),$B$7,$C$7))</f>
        <v>0.301511120113611</v>
      </c>
      <c r="D460" s="33" t="n">
        <f aca="true">MAX(0.08,NORMINV(RAND(),$B$8,$C$8))</f>
        <v>0.112364482511677</v>
      </c>
      <c r="E460" s="56" t="n">
        <f aca="true">MAX(5,NORMINV(RAND(),$B$9,$C$9))</f>
        <v>17.3947698900691</v>
      </c>
      <c r="F460" s="26" t="n">
        <f aca="false">$B$18*(1+(B460+$B$17)/2)^9</f>
        <v>6546.89846912988</v>
      </c>
      <c r="G460" s="26" t="n">
        <f aca="false">F460*(C460-Assumptions!$F$18)+$B$20</f>
        <v>1407.33814693355</v>
      </c>
      <c r="H460" s="26" t="n">
        <f aca="false">E460*G460/(1+D460)^9</f>
        <v>9388.43331922137</v>
      </c>
      <c r="I460" s="26" t="n">
        <f aca="false">$B$13*F460/$B$19*((1+$B$8)/(1+D460))^4.5</f>
        <v>-3546.01608343371</v>
      </c>
      <c r="J460" s="26" t="n">
        <f aca="false">H460+I460+$B$14</f>
        <v>7607.59531797944</v>
      </c>
      <c r="K460" s="44" t="n">
        <f aca="false">J460/$B$15</f>
        <v>18.7379195024124</v>
      </c>
    </row>
    <row r="461" customFormat="false" ht="15" hidden="false" customHeight="false" outlineLevel="0" collapsed="false">
      <c r="A461" s="55" t="n">
        <v>421</v>
      </c>
      <c r="B461" s="21" t="n">
        <f aca="true">NORMINV(RAND(),$B$6,$C$6)</f>
        <v>0.482564134026063</v>
      </c>
      <c r="C461" s="21" t="n">
        <f aca="true">MAX(0.05,NORMINV(RAND(),$B$7,$C$7))</f>
        <v>0.249348657296674</v>
      </c>
      <c r="D461" s="33" t="n">
        <f aca="true">MAX(0.08,NORMINV(RAND(),$B$8,$C$8))</f>
        <v>0.171098636733985</v>
      </c>
      <c r="E461" s="56" t="n">
        <f aca="true">MAX(5,NORMINV(RAND(),$B$9,$C$9))</f>
        <v>16.8925915171026</v>
      </c>
      <c r="F461" s="26" t="n">
        <f aca="false">$B$18*(1+(B461+$B$17)/2)^9</f>
        <v>2986.31639034045</v>
      </c>
      <c r="G461" s="26" t="n">
        <f aca="false">F461*(C461-Assumptions!$F$18)+$B$20</f>
        <v>320.432721582134</v>
      </c>
      <c r="H461" s="26" t="n">
        <f aca="false">E461*G461/(1+D461)^9</f>
        <v>1306.44719308857</v>
      </c>
      <c r="I461" s="26" t="n">
        <f aca="false">$B$13*F461/$B$19*((1+$B$8)/(1+D461))^4.5</f>
        <v>-1283.16434820276</v>
      </c>
      <c r="J461" s="26" t="n">
        <f aca="false">H461+I461+$B$14</f>
        <v>1788.4609270776</v>
      </c>
      <c r="K461" s="44" t="n">
        <f aca="false">J461/$B$15</f>
        <v>4.40507617506797</v>
      </c>
    </row>
    <row r="462" customFormat="false" ht="15" hidden="false" customHeight="false" outlineLevel="0" collapsed="false">
      <c r="A462" s="55" t="n">
        <v>422</v>
      </c>
      <c r="B462" s="21" t="n">
        <f aca="true">NORMINV(RAND(),$B$6,$C$6)</f>
        <v>0.519462969067468</v>
      </c>
      <c r="C462" s="21" t="n">
        <f aca="true">MAX(0.05,NORMINV(RAND(),$B$7,$C$7))</f>
        <v>0.378247282494675</v>
      </c>
      <c r="D462" s="33" t="n">
        <f aca="true">MAX(0.08,NORMINV(RAND(),$B$8,$C$8))</f>
        <v>0.152252682720996</v>
      </c>
      <c r="E462" s="56" t="n">
        <f aca="true">MAX(5,NORMINV(RAND(),$B$9,$C$9))</f>
        <v>10.4878854267918</v>
      </c>
      <c r="F462" s="26" t="n">
        <f aca="false">$B$18*(1+(B462+$B$17)/2)^9</f>
        <v>3369.4778565543</v>
      </c>
      <c r="G462" s="26" t="n">
        <f aca="false">F462*(C462-Assumptions!$F$18)+$B$20</f>
        <v>834.968123406785</v>
      </c>
      <c r="H462" s="26" t="n">
        <f aca="false">E462*G462/(1+D462)^9</f>
        <v>2445.84132516455</v>
      </c>
      <c r="I462" s="26" t="n">
        <f aca="false">$B$13*F462/$B$19*((1+$B$8)/(1+D462))^4.5</f>
        <v>-1557.45295455363</v>
      </c>
      <c r="J462" s="26" t="n">
        <f aca="false">H462+I462+$B$14</f>
        <v>2653.5664528027</v>
      </c>
      <c r="K462" s="44" t="n">
        <f aca="false">J462/$B$15</f>
        <v>6.53587796256822</v>
      </c>
    </row>
    <row r="463" customFormat="false" ht="15" hidden="false" customHeight="false" outlineLevel="0" collapsed="false">
      <c r="A463" s="55" t="n">
        <v>423</v>
      </c>
      <c r="B463" s="21" t="n">
        <f aca="true">NORMINV(RAND(),$B$6,$C$6)</f>
        <v>0.368933534014628</v>
      </c>
      <c r="C463" s="21" t="n">
        <f aca="true">MAX(0.05,NORMINV(RAND(),$B$7,$C$7))</f>
        <v>0.334197649047081</v>
      </c>
      <c r="D463" s="33" t="n">
        <f aca="true">MAX(0.08,NORMINV(RAND(),$B$8,$C$8))</f>
        <v>0.133929348422238</v>
      </c>
      <c r="E463" s="56" t="n">
        <f aca="true">MAX(5,NORMINV(RAND(),$B$9,$C$9))</f>
        <v>16.784683950491</v>
      </c>
      <c r="F463" s="26" t="n">
        <f aca="false">$B$18*(1+(B463+$B$17)/2)^9</f>
        <v>2037.618305003</v>
      </c>
      <c r="G463" s="26" t="n">
        <f aca="false">F463*(C463-Assumptions!$F$18)+$B$20</f>
        <v>294.713909988492</v>
      </c>
      <c r="H463" s="26" t="n">
        <f aca="false">E463*G463/(1+D463)^9</f>
        <v>1596.02554996482</v>
      </c>
      <c r="I463" s="26" t="n">
        <f aca="false">$B$13*F463/$B$19*((1+$B$8)/(1+D463))^4.5</f>
        <v>-1012.28536487573</v>
      </c>
      <c r="J463" s="26" t="n">
        <f aca="false">H463+I463+$B$14</f>
        <v>2348.91826728087</v>
      </c>
      <c r="K463" s="44" t="n">
        <f aca="false">J463/$B$15</f>
        <v>5.7855129735982</v>
      </c>
    </row>
    <row r="464" customFormat="false" ht="15" hidden="false" customHeight="false" outlineLevel="0" collapsed="false">
      <c r="A464" s="55" t="n">
        <v>424</v>
      </c>
      <c r="B464" s="21" t="n">
        <f aca="true">NORMINV(RAND(),$B$6,$C$6)</f>
        <v>0.575749498882434</v>
      </c>
      <c r="C464" s="21" t="n">
        <f aca="true">MAX(0.05,NORMINV(RAND(),$B$7,$C$7))</f>
        <v>0.305530759029611</v>
      </c>
      <c r="D464" s="33" t="n">
        <f aca="true">MAX(0.08,NORMINV(RAND(),$B$8,$C$8))</f>
        <v>0.149748643503688</v>
      </c>
      <c r="E464" s="56" t="n">
        <f aca="true">MAX(5,NORMINV(RAND(),$B$9,$C$9))</f>
        <v>15.8048781492478</v>
      </c>
      <c r="F464" s="26" t="n">
        <f aca="false">$B$18*(1+(B464+$B$17)/2)^9</f>
        <v>4038.36414597204</v>
      </c>
      <c r="G464" s="26" t="n">
        <f aca="false">F464*(C464-Assumptions!$F$18)+$B$20</f>
        <v>767.561291919232</v>
      </c>
      <c r="H464" s="26" t="n">
        <f aca="false">E464*G464/(1+D464)^9</f>
        <v>3455.23877184863</v>
      </c>
      <c r="I464" s="26" t="n">
        <f aca="false">$B$13*F464/$B$19*((1+$B$8)/(1+D464))^4.5</f>
        <v>-1884.99198146998</v>
      </c>
      <c r="J464" s="26" t="n">
        <f aca="false">H464+I464+$B$14</f>
        <v>3335.42487257044</v>
      </c>
      <c r="K464" s="44" t="n">
        <f aca="false">J464/$B$15</f>
        <v>8.21533219844935</v>
      </c>
    </row>
    <row r="465" customFormat="false" ht="15" hidden="false" customHeight="false" outlineLevel="0" collapsed="false">
      <c r="A465" s="55" t="n">
        <v>425</v>
      </c>
      <c r="B465" s="21" t="n">
        <f aca="true">NORMINV(RAND(),$B$6,$C$6)</f>
        <v>0.618623001816791</v>
      </c>
      <c r="C465" s="21" t="n">
        <f aca="true">MAX(0.05,NORMINV(RAND(),$B$7,$C$7))</f>
        <v>0.412610238302996</v>
      </c>
      <c r="D465" s="33" t="n">
        <f aca="true">MAX(0.08,NORMINV(RAND(),$B$8,$C$8))</f>
        <v>0.144671247475864</v>
      </c>
      <c r="E465" s="56" t="n">
        <f aca="true">MAX(5,NORMINV(RAND(),$B$9,$C$9))</f>
        <v>7.31868127246563</v>
      </c>
      <c r="F465" s="26" t="n">
        <f aca="false">$B$18*(1+(B465+$B$17)/2)^9</f>
        <v>4624.48986682855</v>
      </c>
      <c r="G465" s="26" t="n">
        <f aca="false">F465*(C465-Assumptions!$F$18)+$B$20</f>
        <v>1418.38366631009</v>
      </c>
      <c r="H465" s="26" t="n">
        <f aca="false">E465*G465/(1+D465)^9</f>
        <v>3076.8022797739</v>
      </c>
      <c r="I465" s="26" t="n">
        <f aca="false">$B$13*F465/$B$19*((1+$B$8)/(1+D465))^4.5</f>
        <v>-2202.00071058677</v>
      </c>
      <c r="J465" s="26" t="n">
        <f aca="false">H465+I465+$B$14</f>
        <v>2639.97965137891</v>
      </c>
      <c r="K465" s="44" t="n">
        <f aca="false">J465/$B$15</f>
        <v>6.50241293443082</v>
      </c>
    </row>
    <row r="466" customFormat="false" ht="15" hidden="false" customHeight="false" outlineLevel="0" collapsed="false">
      <c r="A466" s="55" t="n">
        <v>426</v>
      </c>
      <c r="B466" s="21" t="n">
        <f aca="true">NORMINV(RAND(),$B$6,$C$6)</f>
        <v>0.612161586484372</v>
      </c>
      <c r="C466" s="21" t="n">
        <f aca="true">MAX(0.05,NORMINV(RAND(),$B$7,$C$7))</f>
        <v>0.264107571600954</v>
      </c>
      <c r="D466" s="33" t="n">
        <f aca="true">MAX(0.08,NORMINV(RAND(),$B$8,$C$8))</f>
        <v>0.151756954081778</v>
      </c>
      <c r="E466" s="56" t="n">
        <f aca="true">MAX(5,NORMINV(RAND(),$B$9,$C$9))</f>
        <v>19.5917574131005</v>
      </c>
      <c r="F466" s="26" t="n">
        <f aca="false">$B$18*(1+(B466+$B$17)/2)^9</f>
        <v>4531.58240978797</v>
      </c>
      <c r="G466" s="26" t="n">
        <f aca="false">F466*(C466-Assumptions!$F$18)+$B$20</f>
        <v>710.813324368493</v>
      </c>
      <c r="H466" s="26" t="n">
        <f aca="false">E466*G466/(1+D466)^9</f>
        <v>3904.64330689953</v>
      </c>
      <c r="I466" s="26" t="n">
        <f aca="false">$B$13*F466/$B$19*((1+$B$8)/(1+D466))^4.5</f>
        <v>-2098.66536053921</v>
      </c>
      <c r="J466" s="26" t="n">
        <f aca="false">H466+I466+$B$14</f>
        <v>3571.1560285521</v>
      </c>
      <c r="K466" s="44" t="n">
        <f aca="false">J466/$B$15</f>
        <v>8.79595080924163</v>
      </c>
    </row>
    <row r="467" customFormat="false" ht="15" hidden="false" customHeight="false" outlineLevel="0" collapsed="false">
      <c r="A467" s="55" t="n">
        <v>427</v>
      </c>
      <c r="B467" s="21" t="n">
        <f aca="true">NORMINV(RAND(),$B$6,$C$6)</f>
        <v>0.462103073959162</v>
      </c>
      <c r="C467" s="21" t="n">
        <f aca="true">MAX(0.05,NORMINV(RAND(),$B$7,$C$7))</f>
        <v>0.297427780150678</v>
      </c>
      <c r="D467" s="33" t="n">
        <f aca="true">MAX(0.08,NORMINV(RAND(),$B$8,$C$8))</f>
        <v>0.141463333884278</v>
      </c>
      <c r="E467" s="56" t="n">
        <f aca="true">MAX(5,NORMINV(RAND(),$B$9,$C$9))</f>
        <v>14.1422090290684</v>
      </c>
      <c r="F467" s="26" t="n">
        <f aca="false">$B$18*(1+(B467+$B$17)/2)^9</f>
        <v>2790.98988575978</v>
      </c>
      <c r="G467" s="26" t="n">
        <f aca="false">F467*(C467-Assumptions!$F$18)+$B$20</f>
        <v>413.729725715446</v>
      </c>
      <c r="H467" s="26" t="n">
        <f aca="false">E467*G467/(1+D467)^9</f>
        <v>1778.59180377287</v>
      </c>
      <c r="I467" s="26" t="n">
        <f aca="false">$B$13*F467/$B$19*((1+$B$8)/(1+D467))^4.5</f>
        <v>-1345.84958012607</v>
      </c>
      <c r="J467" s="26" t="n">
        <f aca="false">H467+I467+$B$14</f>
        <v>2197.92030583859</v>
      </c>
      <c r="K467" s="44" t="n">
        <f aca="false">J467/$B$15</f>
        <v>5.41359681241031</v>
      </c>
    </row>
    <row r="468" customFormat="false" ht="15" hidden="false" customHeight="false" outlineLevel="0" collapsed="false">
      <c r="A468" s="55" t="n">
        <v>428</v>
      </c>
      <c r="B468" s="21" t="n">
        <f aca="true">NORMINV(RAND(),$B$6,$C$6)</f>
        <v>0.568133034741801</v>
      </c>
      <c r="C468" s="21" t="n">
        <f aca="true">MAX(0.05,NORMINV(RAND(),$B$7,$C$7))</f>
        <v>0.308334258978592</v>
      </c>
      <c r="D468" s="33" t="n">
        <f aca="true">MAX(0.08,NORMINV(RAND(),$B$8,$C$8))</f>
        <v>0.121515844509924</v>
      </c>
      <c r="E468" s="56" t="n">
        <f aca="true">MAX(5,NORMINV(RAND(),$B$9,$C$9))</f>
        <v>14.9850687838504</v>
      </c>
      <c r="F468" s="26" t="n">
        <f aca="false">$B$18*(1+(B468+$B$17)/2)^9</f>
        <v>3941.44945810346</v>
      </c>
      <c r="G468" s="26" t="n">
        <f aca="false">F468*(C468-Assumptions!$F$18)+$B$20</f>
        <v>752.877314643076</v>
      </c>
      <c r="H468" s="26" t="n">
        <f aca="false">E468*G468/(1+D468)^9</f>
        <v>4019.15013932746</v>
      </c>
      <c r="I468" s="26" t="n">
        <f aca="false">$B$13*F468/$B$19*((1+$B$8)/(1+D468))^4.5</f>
        <v>-2057.54198942654</v>
      </c>
      <c r="J468" s="26" t="n">
        <f aca="false">H468+I468+$B$14</f>
        <v>3726.7862320927</v>
      </c>
      <c r="K468" s="44" t="n">
        <f aca="false">J468/$B$15</f>
        <v>9.17927643372586</v>
      </c>
    </row>
    <row r="469" customFormat="false" ht="15" hidden="false" customHeight="false" outlineLevel="0" collapsed="false">
      <c r="A469" s="55" t="n">
        <v>429</v>
      </c>
      <c r="B469" s="21" t="n">
        <f aca="true">NORMINV(RAND(),$B$6,$C$6)</f>
        <v>0.584967136947215</v>
      </c>
      <c r="C469" s="21" t="n">
        <f aca="true">MAX(0.05,NORMINV(RAND(),$B$7,$C$7))</f>
        <v>0.407513584745853</v>
      </c>
      <c r="D469" s="33" t="n">
        <f aca="true">MAX(0.08,NORMINV(RAND(),$B$8,$C$8))</f>
        <v>0.149143476964218</v>
      </c>
      <c r="E469" s="56" t="n">
        <f aca="true">MAX(5,NORMINV(RAND(),$B$9,$C$9))</f>
        <v>19.8697141463917</v>
      </c>
      <c r="F469" s="26" t="n">
        <f aca="false">$B$18*(1+(B469+$B$17)/2)^9</f>
        <v>4158.48179164432</v>
      </c>
      <c r="G469" s="26" t="n">
        <f aca="false">F469*(C469-Assumptions!$F$18)+$B$20</f>
        <v>1223.54994534887</v>
      </c>
      <c r="H469" s="26" t="n">
        <f aca="false">E469*G469/(1+D469)^9</f>
        <v>6957.36864732489</v>
      </c>
      <c r="I469" s="26" t="n">
        <f aca="false">$B$13*F469/$B$19*((1+$B$8)/(1+D469))^4.5</f>
        <v>-1945.66361554284</v>
      </c>
      <c r="J469" s="26" t="n">
        <f aca="false">H469+I469+$B$14</f>
        <v>6776.88311397383</v>
      </c>
      <c r="K469" s="44" t="n">
        <f aca="false">J469/$B$15</f>
        <v>16.6918303299848</v>
      </c>
    </row>
    <row r="470" customFormat="false" ht="15" hidden="false" customHeight="false" outlineLevel="0" collapsed="false">
      <c r="A470" s="55" t="n">
        <v>430</v>
      </c>
      <c r="B470" s="21" t="n">
        <f aca="true">NORMINV(RAND(),$B$6,$C$6)</f>
        <v>0.590368141241502</v>
      </c>
      <c r="C470" s="21" t="n">
        <f aca="true">MAX(0.05,NORMINV(RAND(),$B$7,$C$7))</f>
        <v>0.398215498773577</v>
      </c>
      <c r="D470" s="33" t="n">
        <f aca="true">MAX(0.08,NORMINV(RAND(),$B$8,$C$8))</f>
        <v>0.138676294143656</v>
      </c>
      <c r="E470" s="56" t="n">
        <f aca="true">MAX(5,NORMINV(RAND(),$B$9,$C$9))</f>
        <v>16.2383231835453</v>
      </c>
      <c r="F470" s="26" t="n">
        <f aca="false">$B$18*(1+(B470+$B$17)/2)^9</f>
        <v>4230.32992130933</v>
      </c>
      <c r="G470" s="26" t="n">
        <f aca="false">F470*(C470-Assumptions!$F$18)+$B$20</f>
        <v>1210.62113773992</v>
      </c>
      <c r="H470" s="26" t="n">
        <f aca="false">E470*G470/(1+D470)^9</f>
        <v>6108.67359239857</v>
      </c>
      <c r="I470" s="26" t="n">
        <f aca="false">$B$13*F470/$B$19*((1+$B$8)/(1+D470))^4.5</f>
        <v>-2062.48162707337</v>
      </c>
      <c r="J470" s="26" t="n">
        <f aca="false">H470+I470+$B$14</f>
        <v>5811.37004751698</v>
      </c>
      <c r="K470" s="44" t="n">
        <f aca="false">J470/$B$15</f>
        <v>14.3137193288596</v>
      </c>
    </row>
    <row r="471" customFormat="false" ht="15" hidden="false" customHeight="false" outlineLevel="0" collapsed="false">
      <c r="A471" s="55" t="n">
        <v>431</v>
      </c>
      <c r="B471" s="21" t="n">
        <f aca="true">NORMINV(RAND(),$B$6,$C$6)</f>
        <v>0.4898489491633</v>
      </c>
      <c r="C471" s="21" t="n">
        <f aca="true">MAX(0.05,NORMINV(RAND(),$B$7,$C$7))</f>
        <v>0.245935083749408</v>
      </c>
      <c r="D471" s="33" t="n">
        <f aca="true">MAX(0.08,NORMINV(RAND(),$B$8,$C$8))</f>
        <v>0.161633485949297</v>
      </c>
      <c r="E471" s="56" t="n">
        <f aca="true">MAX(5,NORMINV(RAND(),$B$9,$C$9))</f>
        <v>9.59347876634969</v>
      </c>
      <c r="F471" s="26" t="n">
        <f aca="false">$B$18*(1+(B471+$B$17)/2)^9</f>
        <v>3058.7369349867</v>
      </c>
      <c r="G471" s="26" t="n">
        <f aca="false">F471*(C471-Assumptions!$F$18)+$B$20</f>
        <v>325.152641875205</v>
      </c>
      <c r="H471" s="26" t="n">
        <f aca="false">E471*G471/(1+D471)^9</f>
        <v>809.918465625244</v>
      </c>
      <c r="I471" s="26" t="n">
        <f aca="false">$B$13*F471/$B$19*((1+$B$8)/(1+D471))^4.5</f>
        <v>-1363.16422809792</v>
      </c>
      <c r="J471" s="26" t="n">
        <f aca="false">H471+I471+$B$14</f>
        <v>1211.9323197191</v>
      </c>
      <c r="K471" s="44" t="n">
        <f aca="false">J471/$B$15</f>
        <v>2.98505497467759</v>
      </c>
    </row>
    <row r="472" customFormat="false" ht="15" hidden="false" customHeight="false" outlineLevel="0" collapsed="false">
      <c r="A472" s="55" t="n">
        <v>432</v>
      </c>
      <c r="B472" s="21" t="n">
        <f aca="true">NORMINV(RAND(),$B$6,$C$6)</f>
        <v>0.656445165414865</v>
      </c>
      <c r="C472" s="21" t="n">
        <f aca="true">MAX(0.05,NORMINV(RAND(),$B$7,$C$7))</f>
        <v>0.320699400971604</v>
      </c>
      <c r="D472" s="33" t="n">
        <f aca="true">MAX(0.08,NORMINV(RAND(),$B$8,$C$8))</f>
        <v>0.127877056566818</v>
      </c>
      <c r="E472" s="56" t="n">
        <f aca="true">MAX(5,NORMINV(RAND(),$B$9,$C$9))</f>
        <v>17.3503168191463</v>
      </c>
      <c r="F472" s="26" t="n">
        <f aca="false">$B$18*(1+(B472+$B$17)/2)^9</f>
        <v>5203.09490707169</v>
      </c>
      <c r="G472" s="26" t="n">
        <f aca="false">F472*(C472-Assumptions!$F$18)+$B$20</f>
        <v>1155.75701861474</v>
      </c>
      <c r="H472" s="26" t="n">
        <f aca="false">E472*G472/(1+D472)^9</f>
        <v>6789.19196473812</v>
      </c>
      <c r="I472" s="26" t="n">
        <f aca="false">$B$13*F472/$B$19*((1+$B$8)/(1+D472))^4.5</f>
        <v>-2647.89600004074</v>
      </c>
      <c r="J472" s="26" t="n">
        <f aca="false">H472+I472+$B$14</f>
        <v>5906.47404688916</v>
      </c>
      <c r="K472" s="44" t="n">
        <f aca="false">J472/$B$15</f>
        <v>14.5479656327319</v>
      </c>
    </row>
    <row r="473" customFormat="false" ht="15" hidden="false" customHeight="false" outlineLevel="0" collapsed="false">
      <c r="A473" s="55" t="n">
        <v>433</v>
      </c>
      <c r="B473" s="21" t="n">
        <f aca="true">NORMINV(RAND(),$B$6,$C$6)</f>
        <v>0.700568349451665</v>
      </c>
      <c r="C473" s="21" t="n">
        <f aca="true">MAX(0.05,NORMINV(RAND(),$B$7,$C$7))</f>
        <v>0.194153857469532</v>
      </c>
      <c r="D473" s="33" t="n">
        <f aca="true">MAX(0.08,NORMINV(RAND(),$B$8,$C$8))</f>
        <v>0.177872410632163</v>
      </c>
      <c r="E473" s="56" t="n">
        <f aca="true">MAX(5,NORMINV(RAND(),$B$9,$C$9))</f>
        <v>12.9601450411837</v>
      </c>
      <c r="F473" s="26" t="n">
        <f aca="false">$B$18*(1+(B473+$B$17)/2)^9</f>
        <v>5958.72934084963</v>
      </c>
      <c r="G473" s="26" t="n">
        <f aca="false">F473*(C473-Assumptions!$F$18)+$B$20</f>
        <v>613.812508510161</v>
      </c>
      <c r="H473" s="26" t="n">
        <f aca="false">E473*G473/(1+D473)^9</f>
        <v>1822.89373236773</v>
      </c>
      <c r="I473" s="26" t="n">
        <f aca="false">$B$13*F473/$B$19*((1+$B$8)/(1+D473))^4.5</f>
        <v>-2494.75925805057</v>
      </c>
      <c r="J473" s="26" t="n">
        <f aca="false">H473+I473+$B$14</f>
        <v>1093.31255650894</v>
      </c>
      <c r="K473" s="44" t="n">
        <f aca="false">J473/$B$15</f>
        <v>2.69288807021907</v>
      </c>
    </row>
    <row r="474" customFormat="false" ht="15" hidden="false" customHeight="false" outlineLevel="0" collapsed="false">
      <c r="A474" s="55" t="n">
        <v>434</v>
      </c>
      <c r="B474" s="21" t="n">
        <f aca="true">NORMINV(RAND(),$B$6,$C$6)</f>
        <v>0.511328339507842</v>
      </c>
      <c r="C474" s="21" t="n">
        <f aca="true">MAX(0.05,NORMINV(RAND(),$B$7,$C$7))</f>
        <v>0.249492680208298</v>
      </c>
      <c r="D474" s="33" t="n">
        <f aca="true">MAX(0.08,NORMINV(RAND(),$B$8,$C$8))</f>
        <v>0.16403369048509</v>
      </c>
      <c r="E474" s="56" t="n">
        <f aca="true">MAX(5,NORMINV(RAND(),$B$9,$C$9))</f>
        <v>13.9007491581552</v>
      </c>
      <c r="F474" s="26" t="n">
        <f aca="false">$B$18*(1+(B474+$B$17)/2)^9</f>
        <v>3281.4439831686</v>
      </c>
      <c r="G474" s="26" t="n">
        <f aca="false">F474*(C474-Assumptions!$F$18)+$B$20</f>
        <v>382.689889988695</v>
      </c>
      <c r="H474" s="26" t="n">
        <f aca="false">E474*G474/(1+D474)^9</f>
        <v>1355.79879468949</v>
      </c>
      <c r="I474" s="26" t="n">
        <f aca="false">$B$13*F474/$B$19*((1+$B$8)/(1+D474))^4.5</f>
        <v>-1448.89570462874</v>
      </c>
      <c r="J474" s="26" t="n">
        <f aca="false">H474+I474+$B$14</f>
        <v>1672.08117225253</v>
      </c>
      <c r="K474" s="44" t="n">
        <f aca="false">J474/$B$15</f>
        <v>4.1184265326417</v>
      </c>
    </row>
    <row r="475" customFormat="false" ht="15" hidden="false" customHeight="false" outlineLevel="0" collapsed="false">
      <c r="A475" s="55" t="n">
        <v>435</v>
      </c>
      <c r="B475" s="21" t="n">
        <f aca="true">NORMINV(RAND(),$B$6,$C$6)</f>
        <v>0.659928037033878</v>
      </c>
      <c r="C475" s="21" t="n">
        <f aca="true">MAX(0.05,NORMINV(RAND(),$B$7,$C$7))</f>
        <v>0.346675261115585</v>
      </c>
      <c r="D475" s="33" t="n">
        <f aca="true">MAX(0.08,NORMINV(RAND(),$B$8,$C$8))</f>
        <v>0.141116727369508</v>
      </c>
      <c r="E475" s="56" t="n">
        <f aca="true">MAX(5,NORMINV(RAND(),$B$9,$C$9))</f>
        <v>16.666096715033</v>
      </c>
      <c r="F475" s="26" t="n">
        <f aca="false">$B$18*(1+(B475+$B$17)/2)^9</f>
        <v>5259.47971780485</v>
      </c>
      <c r="G475" s="26" t="n">
        <f aca="false">F475*(C475-Assumptions!$F$18)+$B$20</f>
        <v>1308.20371079123</v>
      </c>
      <c r="H475" s="26" t="n">
        <f aca="false">E475*G475/(1+D475)^9</f>
        <v>6645.66782268174</v>
      </c>
      <c r="I475" s="26" t="n">
        <f aca="false">$B$13*F475/$B$19*((1+$B$8)/(1+D475))^4.5</f>
        <v>-2539.6540909136</v>
      </c>
      <c r="J475" s="26" t="n">
        <f aca="false">H475+I475+$B$14</f>
        <v>5871.19181395992</v>
      </c>
      <c r="K475" s="44" t="n">
        <f aca="false">J475/$B$15</f>
        <v>14.4610635811821</v>
      </c>
    </row>
    <row r="476" customFormat="false" ht="15" hidden="false" customHeight="false" outlineLevel="0" collapsed="false">
      <c r="A476" s="55" t="n">
        <v>436</v>
      </c>
      <c r="B476" s="21" t="n">
        <f aca="true">NORMINV(RAND(),$B$6,$C$6)</f>
        <v>0.656256376727464</v>
      </c>
      <c r="C476" s="21" t="n">
        <f aca="true">MAX(0.05,NORMINV(RAND(),$B$7,$C$7))</f>
        <v>0.255128799850966</v>
      </c>
      <c r="D476" s="33" t="n">
        <f aca="true">MAX(0.08,NORMINV(RAND(),$B$8,$C$8))</f>
        <v>0.125939167193095</v>
      </c>
      <c r="E476" s="56" t="n">
        <f aca="true">MAX(5,NORMINV(RAND(),$B$9,$C$9))</f>
        <v>11.9610792300484</v>
      </c>
      <c r="F476" s="26" t="n">
        <f aca="false">$B$18*(1+(B476+$B$17)/2)^9</f>
        <v>5200.05398525716</v>
      </c>
      <c r="G476" s="26" t="n">
        <f aca="false">F476*(C476-Assumptions!$F$18)+$B$20</f>
        <v>813.932768009917</v>
      </c>
      <c r="H476" s="26" t="n">
        <f aca="false">E476*G476/(1+D476)^9</f>
        <v>3347.53062122626</v>
      </c>
      <c r="I476" s="26" t="n">
        <f aca="false">$B$13*F476/$B$19*((1+$B$8)/(1+D476))^4.5</f>
        <v>-2666.90648536776</v>
      </c>
      <c r="J476" s="26" t="n">
        <f aca="false">H476+I476+$B$14</f>
        <v>2445.80221805028</v>
      </c>
      <c r="K476" s="44" t="n">
        <f aca="false">J476/$B$15</f>
        <v>6.0241433942125</v>
      </c>
    </row>
    <row r="477" customFormat="false" ht="15" hidden="false" customHeight="false" outlineLevel="0" collapsed="false">
      <c r="A477" s="55" t="n">
        <v>437</v>
      </c>
      <c r="B477" s="21" t="n">
        <f aca="true">NORMINV(RAND(),$B$6,$C$6)</f>
        <v>0.665052012712585</v>
      </c>
      <c r="C477" s="21" t="n">
        <f aca="true">MAX(0.05,NORMINV(RAND(),$B$7,$C$7))</f>
        <v>0.221423985238185</v>
      </c>
      <c r="D477" s="33" t="n">
        <f aca="true">MAX(0.08,NORMINV(RAND(),$B$8,$C$8))</f>
        <v>0.152960653623714</v>
      </c>
      <c r="E477" s="56" t="n">
        <f aca="true">MAX(5,NORMINV(RAND(),$B$9,$C$9))</f>
        <v>13.476168107651</v>
      </c>
      <c r="F477" s="26" t="n">
        <f aca="false">$B$18*(1+(B477+$B$17)/2)^9</f>
        <v>5343.42007685339</v>
      </c>
      <c r="G477" s="26" t="n">
        <f aca="false">F477*(C477-Assumptions!$F$18)+$B$20</f>
        <v>664.675960145781</v>
      </c>
      <c r="H477" s="26" t="n">
        <f aca="false">E477*G477/(1+D477)^9</f>
        <v>2487.97499757633</v>
      </c>
      <c r="I477" s="26" t="n">
        <f aca="false">$B$13*F477/$B$19*((1+$B$8)/(1+D477))^4.5</f>
        <v>-2463.03869075223</v>
      </c>
      <c r="J477" s="26" t="n">
        <f aca="false">H477+I477+$B$14</f>
        <v>1790.11438901588</v>
      </c>
      <c r="K477" s="44" t="n">
        <f aca="false">J477/$B$15</f>
        <v>4.40914874141843</v>
      </c>
    </row>
    <row r="478" customFormat="false" ht="15" hidden="false" customHeight="false" outlineLevel="0" collapsed="false">
      <c r="A478" s="55" t="n">
        <v>438</v>
      </c>
      <c r="B478" s="21" t="n">
        <f aca="true">NORMINV(RAND(),$B$6,$C$6)</f>
        <v>0.478260969400969</v>
      </c>
      <c r="C478" s="21" t="n">
        <f aca="true">MAX(0.05,NORMINV(RAND(),$B$7,$C$7))</f>
        <v>0.336650192635638</v>
      </c>
      <c r="D478" s="33" t="n">
        <f aca="true">MAX(0.08,NORMINV(RAND(),$B$8,$C$8))</f>
        <v>0.172826338613378</v>
      </c>
      <c r="E478" s="56" t="n">
        <f aca="true">MAX(5,NORMINV(RAND(),$B$9,$C$9))</f>
        <v>11.632308523318</v>
      </c>
      <c r="F478" s="26" t="n">
        <f aca="false">$B$18*(1+(B478+$B$17)/2)^9</f>
        <v>2944.25712277469</v>
      </c>
      <c r="G478" s="26" t="n">
        <f aca="false">F478*(C478-Assumptions!$F$18)+$B$20</f>
        <v>568.665837641271</v>
      </c>
      <c r="H478" s="26" t="n">
        <f aca="false">E478*G478/(1+D478)^9</f>
        <v>1575.50453171219</v>
      </c>
      <c r="I478" s="26" t="n">
        <f aca="false">$B$13*F478/$B$19*((1+$B$8)/(1+D478))^4.5</f>
        <v>-1256.72757100597</v>
      </c>
      <c r="J478" s="26" t="n">
        <f aca="false">H478+I478+$B$14</f>
        <v>2083.95504289801</v>
      </c>
      <c r="K478" s="44" t="n">
        <f aca="false">J478/$B$15</f>
        <v>5.13289419433007</v>
      </c>
    </row>
    <row r="479" customFormat="false" ht="15" hidden="false" customHeight="false" outlineLevel="0" collapsed="false">
      <c r="A479" s="55" t="n">
        <v>439</v>
      </c>
      <c r="B479" s="21" t="n">
        <f aca="true">NORMINV(RAND(),$B$6,$C$6)</f>
        <v>0.418656880399465</v>
      </c>
      <c r="C479" s="21" t="n">
        <f aca="true">MAX(0.05,NORMINV(RAND(),$B$7,$C$7))</f>
        <v>0.322900133250854</v>
      </c>
      <c r="D479" s="33" t="n">
        <f aca="true">MAX(0.08,NORMINV(RAND(),$B$8,$C$8))</f>
        <v>0.134223061108639</v>
      </c>
      <c r="E479" s="56" t="n">
        <f aca="true">MAX(5,NORMINV(RAND(),$B$9,$C$9))</f>
        <v>19.6950218705128</v>
      </c>
      <c r="F479" s="26" t="n">
        <f aca="false">$B$18*(1+(B479+$B$17)/2)^9</f>
        <v>2413.44379967905</v>
      </c>
      <c r="G479" s="26" t="n">
        <f aca="false">F479*(C479-Assumptions!$F$18)+$B$20</f>
        <v>378.01496752396</v>
      </c>
      <c r="H479" s="26" t="n">
        <f aca="false">E479*G479/(1+D479)^9</f>
        <v>2396.50977732027</v>
      </c>
      <c r="I479" s="26" t="n">
        <f aca="false">$B$13*F479/$B$19*((1+$B$8)/(1+D479))^4.5</f>
        <v>-1197.59828941016</v>
      </c>
      <c r="J479" s="26" t="n">
        <f aca="false">H479+I479+$B$14</f>
        <v>2964.08957010189</v>
      </c>
      <c r="K479" s="44" t="n">
        <f aca="false">J479/$B$15</f>
        <v>7.30071322685194</v>
      </c>
    </row>
    <row r="480" customFormat="false" ht="15" hidden="false" customHeight="false" outlineLevel="0" collapsed="false">
      <c r="A480" s="55" t="n">
        <v>440</v>
      </c>
      <c r="B480" s="21" t="n">
        <f aca="true">NORMINV(RAND(),$B$6,$C$6)</f>
        <v>0.479868289714888</v>
      </c>
      <c r="C480" s="21" t="n">
        <f aca="true">MAX(0.05,NORMINV(RAND(),$B$7,$C$7))</f>
        <v>0.358254332357443</v>
      </c>
      <c r="D480" s="33" t="n">
        <f aca="true">MAX(0.08,NORMINV(RAND(),$B$8,$C$8))</f>
        <v>0.122311712696327</v>
      </c>
      <c r="E480" s="56" t="n">
        <f aca="true">MAX(5,NORMINV(RAND(),$B$9,$C$9))</f>
        <v>19.0064592208336</v>
      </c>
      <c r="F480" s="26" t="n">
        <f aca="false">$B$18*(1+(B480+$B$17)/2)^9</f>
        <v>2959.90510717294</v>
      </c>
      <c r="G480" s="26" t="n">
        <f aca="false">F480*(C480-Assumptions!$F$18)+$B$20</f>
        <v>637.254018726022</v>
      </c>
      <c r="H480" s="26" t="n">
        <f aca="false">E480*G480/(1+D480)^9</f>
        <v>4287.38360726513</v>
      </c>
      <c r="I480" s="26" t="n">
        <f aca="false">$B$13*F480/$B$19*((1+$B$8)/(1+D480))^4.5</f>
        <v>-1540.2249885336</v>
      </c>
      <c r="J480" s="26" t="n">
        <f aca="false">H480+I480+$B$14</f>
        <v>4512.33670092331</v>
      </c>
      <c r="K480" s="44" t="n">
        <f aca="false">J480/$B$15</f>
        <v>11.1141298052298</v>
      </c>
    </row>
    <row r="481" customFormat="false" ht="15" hidden="false" customHeight="false" outlineLevel="0" collapsed="false">
      <c r="A481" s="55" t="n">
        <v>441</v>
      </c>
      <c r="B481" s="21" t="n">
        <f aca="true">NORMINV(RAND(),$B$6,$C$6)</f>
        <v>0.553597964491835</v>
      </c>
      <c r="C481" s="21" t="n">
        <f aca="true">MAX(0.05,NORMINV(RAND(),$B$7,$C$7))</f>
        <v>0.278176431801003</v>
      </c>
      <c r="D481" s="33" t="n">
        <f aca="true">MAX(0.08,NORMINV(RAND(),$B$8,$C$8))</f>
        <v>0.149151378802158</v>
      </c>
      <c r="E481" s="56" t="n">
        <f aca="true">MAX(5,NORMINV(RAND(),$B$9,$C$9))</f>
        <v>12.9020607571917</v>
      </c>
      <c r="F481" s="26" t="n">
        <f aca="false">$B$18*(1+(B481+$B$17)/2)^9</f>
        <v>3762.21982941258</v>
      </c>
      <c r="G481" s="26" t="n">
        <f aca="false">F481*(C481-Assumptions!$F$18)+$B$20</f>
        <v>591.323489621779</v>
      </c>
      <c r="H481" s="26" t="n">
        <f aca="false">E481*G481/(1+D481)^9</f>
        <v>2183.1774232529</v>
      </c>
      <c r="I481" s="26" t="n">
        <f aca="false">$B$13*F481/$B$19*((1+$B$8)/(1+D481))^4.5</f>
        <v>-1760.20675369736</v>
      </c>
      <c r="J481" s="26" t="n">
        <f aca="false">H481+I481+$B$14</f>
        <v>2188.14875174733</v>
      </c>
      <c r="K481" s="44" t="n">
        <f aca="false">J481/$B$15</f>
        <v>5.38952894519046</v>
      </c>
    </row>
    <row r="482" customFormat="false" ht="15" hidden="false" customHeight="false" outlineLevel="0" collapsed="false">
      <c r="A482" s="55" t="n">
        <v>442</v>
      </c>
      <c r="B482" s="21" t="n">
        <f aca="true">NORMINV(RAND(),$B$6,$C$6)</f>
        <v>0.477642564867736</v>
      </c>
      <c r="C482" s="21" t="n">
        <f aca="true">MAX(0.05,NORMINV(RAND(),$B$7,$C$7))</f>
        <v>0.372364642465301</v>
      </c>
      <c r="D482" s="33" t="n">
        <f aca="true">MAX(0.08,NORMINV(RAND(),$B$8,$C$8))</f>
        <v>0.137805494875101</v>
      </c>
      <c r="E482" s="56" t="n">
        <f aca="true">MAX(5,NORMINV(RAND(),$B$9,$C$9))</f>
        <v>22.0590587333588</v>
      </c>
      <c r="F482" s="26" t="n">
        <f aca="false">$B$18*(1+(B482+$B$17)/2)^9</f>
        <v>2938.25629353552</v>
      </c>
      <c r="G482" s="26" t="n">
        <f aca="false">F482*(C482-Assumptions!$F$18)+$B$20</f>
        <v>671.823897473663</v>
      </c>
      <c r="H482" s="26" t="n">
        <f aca="false">E482*G482/(1+D482)^9</f>
        <v>4636.92620049561</v>
      </c>
      <c r="I482" s="26" t="n">
        <f aca="false">$B$13*F482/$B$19*((1+$B$8)/(1+D482))^4.5</f>
        <v>-1437.47619201672</v>
      </c>
      <c r="J482" s="26" t="n">
        <f aca="false">H482+I482+$B$14</f>
        <v>4964.62809067067</v>
      </c>
      <c r="K482" s="44" t="n">
        <f aca="false">J482/$B$15</f>
        <v>12.228148006578</v>
      </c>
    </row>
    <row r="483" customFormat="false" ht="15" hidden="false" customHeight="false" outlineLevel="0" collapsed="false">
      <c r="A483" s="55" t="n">
        <v>443</v>
      </c>
      <c r="B483" s="21" t="n">
        <f aca="true">NORMINV(RAND(),$B$6,$C$6)</f>
        <v>0.634254069374352</v>
      </c>
      <c r="C483" s="21" t="n">
        <f aca="true">MAX(0.05,NORMINV(RAND(),$B$7,$C$7))</f>
        <v>0.29509774722798</v>
      </c>
      <c r="D483" s="33" t="n">
        <f aca="true">MAX(0.08,NORMINV(RAND(),$B$8,$C$8))</f>
        <v>0.129986014885224</v>
      </c>
      <c r="E483" s="56" t="n">
        <f aca="true">MAX(5,NORMINV(RAND(),$B$9,$C$9))</f>
        <v>16.03413271467</v>
      </c>
      <c r="F483" s="26" t="n">
        <f aca="false">$B$18*(1+(B483+$B$17)/2)^9</f>
        <v>4856.28504870032</v>
      </c>
      <c r="G483" s="26" t="n">
        <f aca="false">F483*(C483-Assumptions!$F$18)+$B$20</f>
        <v>934.078770821684</v>
      </c>
      <c r="H483" s="26" t="n">
        <f aca="false">E483*G483/(1+D483)^9</f>
        <v>4986.21911140759</v>
      </c>
      <c r="I483" s="26" t="n">
        <f aca="false">$B$13*F483/$B$19*((1+$B$8)/(1+D483))^4.5</f>
        <v>-2450.71307705173</v>
      </c>
      <c r="J483" s="26" t="n">
        <f aca="false">H483+I483+$B$14</f>
        <v>4300.68411654764</v>
      </c>
      <c r="K483" s="44" t="n">
        <f aca="false">J483/$B$15</f>
        <v>10.5928180210533</v>
      </c>
    </row>
    <row r="484" customFormat="false" ht="15" hidden="false" customHeight="false" outlineLevel="0" collapsed="false">
      <c r="A484" s="55" t="n">
        <v>444</v>
      </c>
      <c r="B484" s="21" t="n">
        <f aca="true">NORMINV(RAND(),$B$6,$C$6)</f>
        <v>0.620023264945454</v>
      </c>
      <c r="C484" s="21" t="n">
        <f aca="true">MAX(0.05,NORMINV(RAND(),$B$7,$C$7))</f>
        <v>0.317722481940821</v>
      </c>
      <c r="D484" s="33" t="n">
        <f aca="true">MAX(0.08,NORMINV(RAND(),$B$8,$C$8))</f>
        <v>0.125714723589585</v>
      </c>
      <c r="E484" s="56" t="n">
        <f aca="true">MAX(5,NORMINV(RAND(),$B$9,$C$9))</f>
        <v>13.0204123378022</v>
      </c>
      <c r="F484" s="26" t="n">
        <f aca="false">$B$18*(1+(B484+$B$17)/2)^9</f>
        <v>4644.84578171237</v>
      </c>
      <c r="G484" s="26" t="n">
        <f aca="false">F484*(C484-Assumptions!$F$18)+$B$20</f>
        <v>985.229493730824</v>
      </c>
      <c r="H484" s="26" t="n">
        <f aca="false">E484*G484/(1+D484)^9</f>
        <v>4418.82726114296</v>
      </c>
      <c r="I484" s="26" t="n">
        <f aca="false">$B$13*F484/$B$19*((1+$B$8)/(1+D484))^4.5</f>
        <v>-2384.29971204334</v>
      </c>
      <c r="J484" s="26" t="n">
        <f aca="false">H484+I484+$B$14</f>
        <v>3799.7056312914</v>
      </c>
      <c r="K484" s="44" t="n">
        <f aca="false">J484/$B$15</f>
        <v>9.35888086524975</v>
      </c>
    </row>
    <row r="485" customFormat="false" ht="15" hidden="false" customHeight="false" outlineLevel="0" collapsed="false">
      <c r="A485" s="55" t="n">
        <v>445</v>
      </c>
      <c r="B485" s="21" t="n">
        <f aca="true">NORMINV(RAND(),$B$6,$C$6)</f>
        <v>0.578997549518076</v>
      </c>
      <c r="C485" s="21" t="n">
        <f aca="true">MAX(0.05,NORMINV(RAND(),$B$7,$C$7))</f>
        <v>0.296087428348954</v>
      </c>
      <c r="D485" s="33" t="n">
        <f aca="true">MAX(0.08,NORMINV(RAND(),$B$8,$C$8))</f>
        <v>0.139954218344398</v>
      </c>
      <c r="E485" s="56" t="n">
        <f aca="true">MAX(5,NORMINV(RAND(),$B$9,$C$9))</f>
        <v>10.2152498636652</v>
      </c>
      <c r="F485" s="26" t="n">
        <f aca="false">$B$18*(1+(B485+$B$17)/2)^9</f>
        <v>4080.33373119864</v>
      </c>
      <c r="G485" s="26" t="n">
        <f aca="false">F485*(C485-Assumptions!$F$18)+$B$20</f>
        <v>740.173567029462</v>
      </c>
      <c r="H485" s="26" t="n">
        <f aca="false">E485*G485/(1+D485)^9</f>
        <v>2325.92590369856</v>
      </c>
      <c r="I485" s="26" t="n">
        <f aca="false">$B$13*F485/$B$19*((1+$B$8)/(1+D485))^4.5</f>
        <v>-1979.33564880778</v>
      </c>
      <c r="J485" s="26" t="n">
        <f aca="false">H485+I485+$B$14</f>
        <v>2111.76833708257</v>
      </c>
      <c r="K485" s="44" t="n">
        <f aca="false">J485/$B$15</f>
        <v>5.20139984503095</v>
      </c>
    </row>
    <row r="486" customFormat="false" ht="15" hidden="false" customHeight="false" outlineLevel="0" collapsed="false">
      <c r="A486" s="55" t="n">
        <v>446</v>
      </c>
      <c r="B486" s="21" t="n">
        <f aca="true">NORMINV(RAND(),$B$6,$C$6)</f>
        <v>0.542193342600163</v>
      </c>
      <c r="C486" s="21" t="n">
        <f aca="true">MAX(0.05,NORMINV(RAND(),$B$7,$C$7))</f>
        <v>0.344490665992902</v>
      </c>
      <c r="D486" s="33" t="n">
        <f aca="true">MAX(0.08,NORMINV(RAND(),$B$8,$C$8))</f>
        <v>0.173814439774051</v>
      </c>
      <c r="E486" s="56" t="n">
        <f aca="true">MAX(5,NORMINV(RAND(),$B$9,$C$9))</f>
        <v>21.3534354395863</v>
      </c>
      <c r="F486" s="26" t="n">
        <f aca="false">$B$18*(1+(B486+$B$17)/2)^9</f>
        <v>3626.70248261534</v>
      </c>
      <c r="G486" s="26" t="n">
        <f aca="false">F486*(C486-Assumptions!$F$18)+$B$20</f>
        <v>799.548449290967</v>
      </c>
      <c r="H486" s="26" t="n">
        <f aca="false">E486*G486/(1+D486)^9</f>
        <v>4035.68733717063</v>
      </c>
      <c r="I486" s="26" t="n">
        <f aca="false">$B$13*F486/$B$19*((1+$B$8)/(1+D486))^4.5</f>
        <v>-1542.16740921951</v>
      </c>
      <c r="J486" s="26" t="n">
        <f aca="false">H486+I486+$B$14</f>
        <v>4258.6980101429</v>
      </c>
      <c r="K486" s="44" t="n">
        <f aca="false">J486/$B$15</f>
        <v>10.4894039658692</v>
      </c>
    </row>
    <row r="487" customFormat="false" ht="15" hidden="false" customHeight="false" outlineLevel="0" collapsed="false">
      <c r="A487" s="55" t="n">
        <v>447</v>
      </c>
      <c r="B487" s="21" t="n">
        <f aca="true">NORMINV(RAND(),$B$6,$C$6)</f>
        <v>0.500081009744833</v>
      </c>
      <c r="C487" s="21" t="n">
        <f aca="true">MAX(0.05,NORMINV(RAND(),$B$7,$C$7))</f>
        <v>0.278954938256727</v>
      </c>
      <c r="D487" s="33" t="n">
        <f aca="true">MAX(0.08,NORMINV(RAND(),$B$8,$C$8))</f>
        <v>0.148512073087821</v>
      </c>
      <c r="E487" s="56" t="n">
        <f aca="true">MAX(5,NORMINV(RAND(),$B$9,$C$9))</f>
        <v>16.1164023758009</v>
      </c>
      <c r="F487" s="26" t="n">
        <f aca="false">$B$18*(1+(B487+$B$17)/2)^9</f>
        <v>3163.0927612306</v>
      </c>
      <c r="G487" s="26" t="n">
        <f aca="false">F487*(C487-Assumptions!$F$18)+$B$20</f>
        <v>451.088030461467</v>
      </c>
      <c r="H487" s="26" t="n">
        <f aca="false">E487*G487/(1+D487)^9</f>
        <v>2090.78474001251</v>
      </c>
      <c r="I487" s="26" t="n">
        <f aca="false">$B$13*F487/$B$19*((1+$B$8)/(1+D487))^4.5</f>
        <v>-1483.60740586714</v>
      </c>
      <c r="J487" s="26" t="n">
        <f aca="false">H487+I487+$B$14</f>
        <v>2372.35541633715</v>
      </c>
      <c r="K487" s="44" t="n">
        <f aca="false">J487/$B$15</f>
        <v>5.84323994171711</v>
      </c>
    </row>
    <row r="488" customFormat="false" ht="15" hidden="false" customHeight="false" outlineLevel="0" collapsed="false">
      <c r="A488" s="55" t="n">
        <v>448</v>
      </c>
      <c r="B488" s="21" t="n">
        <f aca="true">NORMINV(RAND(),$B$6,$C$6)</f>
        <v>0.418242823329606</v>
      </c>
      <c r="C488" s="21" t="n">
        <f aca="true">MAX(0.05,NORMINV(RAND(),$B$7,$C$7))</f>
        <v>0.318307569637923</v>
      </c>
      <c r="D488" s="33" t="n">
        <f aca="true">MAX(0.08,NORMINV(RAND(),$B$8,$C$8))</f>
        <v>0.123582582339647</v>
      </c>
      <c r="E488" s="56" t="n">
        <f aca="true">MAX(5,NORMINV(RAND(),$B$9,$C$9))</f>
        <v>16.7516619701715</v>
      </c>
      <c r="F488" s="26" t="n">
        <f aca="false">$B$18*(1+(B488+$B$17)/2)^9</f>
        <v>2410.0757565309</v>
      </c>
      <c r="G488" s="26" t="n">
        <f aca="false">F488*(C488-Assumptions!$F$18)+$B$20</f>
        <v>365.993721444705</v>
      </c>
      <c r="H488" s="26" t="n">
        <f aca="false">E488*G488/(1+D488)^9</f>
        <v>2148.25856667541</v>
      </c>
      <c r="I488" s="26" t="n">
        <f aca="false">$B$13*F488/$B$19*((1+$B$8)/(1+D488))^4.5</f>
        <v>-1247.74347736024</v>
      </c>
      <c r="J488" s="26" t="n">
        <f aca="false">H488+I488+$B$14</f>
        <v>2665.69317150694</v>
      </c>
      <c r="K488" s="44" t="n">
        <f aca="false">J488/$B$15</f>
        <v>6.56574672784962</v>
      </c>
    </row>
    <row r="489" customFormat="false" ht="15" hidden="false" customHeight="false" outlineLevel="0" collapsed="false">
      <c r="A489" s="55" t="n">
        <v>449</v>
      </c>
      <c r="B489" s="21" t="n">
        <f aca="true">NORMINV(RAND(),$B$6,$C$6)</f>
        <v>0.502737082877507</v>
      </c>
      <c r="C489" s="21" t="n">
        <f aca="true">MAX(0.05,NORMINV(RAND(),$B$7,$C$7))</f>
        <v>0.265042696120592</v>
      </c>
      <c r="D489" s="33" t="n">
        <f aca="true">MAX(0.08,NORMINV(RAND(),$B$8,$C$8))</f>
        <v>0.161411530754905</v>
      </c>
      <c r="E489" s="56" t="n">
        <f aca="true">MAX(5,NORMINV(RAND(),$B$9,$C$9))</f>
        <v>17.3133038253053</v>
      </c>
      <c r="F489" s="26" t="n">
        <f aca="false">$B$18*(1+(B489+$B$17)/2)^9</f>
        <v>3190.69391988936</v>
      </c>
      <c r="G489" s="26" t="n">
        <f aca="false">F489*(C489-Assumptions!$F$18)+$B$20</f>
        <v>413.293757228793</v>
      </c>
      <c r="H489" s="26" t="n">
        <f aca="false">E489*G489/(1+D489)^9</f>
        <v>1861.07379608055</v>
      </c>
      <c r="I489" s="26" t="n">
        <f aca="false">$B$13*F489/$B$19*((1+$B$8)/(1+D489))^4.5</f>
        <v>-1423.19578902097</v>
      </c>
      <c r="J489" s="26" t="n">
        <f aca="false">H489+I489+$B$14</f>
        <v>2203.05608925136</v>
      </c>
      <c r="K489" s="44" t="n">
        <f aca="false">J489/$B$15</f>
        <v>5.42624652524966</v>
      </c>
    </row>
    <row r="490" customFormat="false" ht="15" hidden="false" customHeight="false" outlineLevel="0" collapsed="false">
      <c r="A490" s="55" t="n">
        <v>450</v>
      </c>
      <c r="B490" s="21" t="n">
        <f aca="true">NORMINV(RAND(),$B$6,$C$6)</f>
        <v>0.653349526522019</v>
      </c>
      <c r="C490" s="21" t="n">
        <f aca="true">MAX(0.05,NORMINV(RAND(),$B$7,$C$7))</f>
        <v>0.337035691711449</v>
      </c>
      <c r="D490" s="33" t="n">
        <f aca="true">MAX(0.08,NORMINV(RAND(),$B$8,$C$8))</f>
        <v>0.151221004327529</v>
      </c>
      <c r="E490" s="56" t="n">
        <f aca="true">MAX(5,NORMINV(RAND(),$B$9,$C$9))</f>
        <v>16.572410207821</v>
      </c>
      <c r="F490" s="26" t="n">
        <f aca="false">$B$18*(1+(B490+$B$17)/2)^9</f>
        <v>5153.43077878875</v>
      </c>
      <c r="G490" s="26" t="n">
        <f aca="false">F490*(C490-Assumptions!$F$18)+$B$20</f>
        <v>1226.0042710659</v>
      </c>
      <c r="H490" s="26" t="n">
        <f aca="false">E490*G490/(1+D490)^9</f>
        <v>5720.70185655329</v>
      </c>
      <c r="I490" s="26" t="n">
        <f aca="false">$B$13*F490/$B$19*((1+$B$8)/(1+D490))^4.5</f>
        <v>-2391.6596762282</v>
      </c>
      <c r="J490" s="26" t="n">
        <f aca="false">H490+I490+$B$14</f>
        <v>5094.22026251687</v>
      </c>
      <c r="K490" s="44" t="n">
        <f aca="false">J490/$B$15</f>
        <v>12.5473405480711</v>
      </c>
    </row>
    <row r="491" customFormat="false" ht="15" hidden="false" customHeight="false" outlineLevel="0" collapsed="false">
      <c r="A491" s="55" t="n">
        <v>451</v>
      </c>
      <c r="B491" s="21" t="n">
        <f aca="true">NORMINV(RAND(),$B$6,$C$6)</f>
        <v>0.371307045425496</v>
      </c>
      <c r="C491" s="21" t="n">
        <f aca="true">MAX(0.05,NORMINV(RAND(),$B$7,$C$7))</f>
        <v>0.335540409414303</v>
      </c>
      <c r="D491" s="33" t="n">
        <f aca="true">MAX(0.08,NORMINV(RAND(),$B$8,$C$8))</f>
        <v>0.133143945978173</v>
      </c>
      <c r="E491" s="56" t="n">
        <f aca="true">MAX(5,NORMINV(RAND(),$B$9,$C$9))</f>
        <v>11.9654069635035</v>
      </c>
      <c r="F491" s="26" t="n">
        <f aca="false">$B$18*(1+(B491+$B$17)/2)^9</f>
        <v>2054.29872766725</v>
      </c>
      <c r="G491" s="26" t="n">
        <f aca="false">F491*(C491-Assumptions!$F$18)+$B$20</f>
        <v>302.379682035371</v>
      </c>
      <c r="H491" s="26" t="n">
        <f aca="false">E491*G491/(1+D491)^9</f>
        <v>1174.66582764031</v>
      </c>
      <c r="I491" s="26" t="n">
        <f aca="false">$B$13*F491/$B$19*((1+$B$8)/(1+D491))^4.5</f>
        <v>-1023.75923040899</v>
      </c>
      <c r="J491" s="26" t="n">
        <f aca="false">H491+I491+$B$14</f>
        <v>1916.0846794231</v>
      </c>
      <c r="K491" s="44" t="n">
        <f aca="false">J491/$B$15</f>
        <v>4.71942039266774</v>
      </c>
    </row>
    <row r="492" customFormat="false" ht="15" hidden="false" customHeight="false" outlineLevel="0" collapsed="false">
      <c r="A492" s="55" t="n">
        <v>452</v>
      </c>
      <c r="B492" s="21" t="n">
        <f aca="true">NORMINV(RAND(),$B$6,$C$6)</f>
        <v>0.500600863731243</v>
      </c>
      <c r="C492" s="21" t="n">
        <f aca="true">MAX(0.05,NORMINV(RAND(),$B$7,$C$7))</f>
        <v>0.266970853907118</v>
      </c>
      <c r="D492" s="33" t="n">
        <f aca="true">MAX(0.08,NORMINV(RAND(),$B$8,$C$8))</f>
        <v>0.127796465705334</v>
      </c>
      <c r="E492" s="56" t="n">
        <f aca="true">MAX(5,NORMINV(RAND(),$B$9,$C$9))</f>
        <v>16.0196204502436</v>
      </c>
      <c r="F492" s="26" t="n">
        <f aca="false">$B$18*(1+(B492+$B$17)/2)^9</f>
        <v>3168.47817073596</v>
      </c>
      <c r="G492" s="26" t="n">
        <f aca="false">F492*(C492-Assumptions!$F$18)+$B$20</f>
        <v>414.403590999315</v>
      </c>
      <c r="H492" s="26" t="n">
        <f aca="false">E492*G492/(1+D492)^9</f>
        <v>2249.05030234509</v>
      </c>
      <c r="I492" s="26" t="n">
        <f aca="false">$B$13*F492/$B$19*((1+$B$8)/(1+D492))^4.5</f>
        <v>-1612.98208482746</v>
      </c>
      <c r="J492" s="26" t="n">
        <f aca="false">H492+I492+$B$14</f>
        <v>2401.24629970941</v>
      </c>
      <c r="K492" s="44" t="n">
        <f aca="false">J492/$B$15</f>
        <v>5.91439975297885</v>
      </c>
    </row>
    <row r="493" customFormat="false" ht="15" hidden="false" customHeight="false" outlineLevel="0" collapsed="false">
      <c r="A493" s="55" t="n">
        <v>453</v>
      </c>
      <c r="B493" s="21" t="n">
        <f aca="true">NORMINV(RAND(),$B$6,$C$6)</f>
        <v>0.647296605076623</v>
      </c>
      <c r="C493" s="21" t="n">
        <f aca="true">MAX(0.05,NORMINV(RAND(),$B$7,$C$7))</f>
        <v>0.261236591164002</v>
      </c>
      <c r="D493" s="33" t="n">
        <f aca="true">MAX(0.08,NORMINV(RAND(),$B$8,$C$8))</f>
        <v>0.151066505832563</v>
      </c>
      <c r="E493" s="56" t="n">
        <f aca="true">MAX(5,NORMINV(RAND(),$B$9,$C$9))</f>
        <v>16.7401613406421</v>
      </c>
      <c r="F493" s="26" t="n">
        <f aca="false">$B$18*(1+(B493+$B$17)/2)^9</f>
        <v>5057.53808547417</v>
      </c>
      <c r="G493" s="26" t="n">
        <f aca="false">F493*(C493-Assumptions!$F$18)+$B$20</f>
        <v>814.163880713728</v>
      </c>
      <c r="H493" s="26" t="n">
        <f aca="false">E493*G493/(1+D493)^9</f>
        <v>3842.09164143679</v>
      </c>
      <c r="I493" s="26" t="n">
        <f aca="false">$B$13*F493/$B$19*((1+$B$8)/(1+D493))^4.5</f>
        <v>-2348.57477581361</v>
      </c>
      <c r="J493" s="26" t="n">
        <f aca="false">H493+I493+$B$14</f>
        <v>3258.69494781495</v>
      </c>
      <c r="K493" s="44" t="n">
        <f aca="false">J493/$B$15</f>
        <v>8.02634223599742</v>
      </c>
    </row>
    <row r="494" customFormat="false" ht="15" hidden="false" customHeight="false" outlineLevel="0" collapsed="false">
      <c r="A494" s="55" t="n">
        <v>454</v>
      </c>
      <c r="B494" s="21" t="n">
        <f aca="true">NORMINV(RAND(),$B$6,$C$6)</f>
        <v>0.58289426427911</v>
      </c>
      <c r="C494" s="21" t="n">
        <f aca="true">MAX(0.05,NORMINV(RAND(),$B$7,$C$7))</f>
        <v>0.310606157311955</v>
      </c>
      <c r="D494" s="33" t="n">
        <f aca="true">MAX(0.08,NORMINV(RAND(),$B$8,$C$8))</f>
        <v>0.129281209404949</v>
      </c>
      <c r="E494" s="56" t="n">
        <f aca="true">MAX(5,NORMINV(RAND(),$B$9,$C$9))</f>
        <v>16.98247448274</v>
      </c>
      <c r="F494" s="26" t="n">
        <f aca="false">$B$18*(1+(B494+$B$17)/2)^9</f>
        <v>4131.19628456264</v>
      </c>
      <c r="G494" s="26" t="n">
        <f aca="false">F494*(C494-Assumptions!$F$18)+$B$20</f>
        <v>813.178546668232</v>
      </c>
      <c r="H494" s="26" t="n">
        <f aca="false">E494*G494/(1+D494)^9</f>
        <v>4623.46918183352</v>
      </c>
      <c r="I494" s="26" t="n">
        <f aca="false">$B$13*F494/$B$19*((1+$B$8)/(1+D494))^4.5</f>
        <v>-2090.66032689431</v>
      </c>
      <c r="J494" s="26" t="n">
        <f aca="false">H494+I494+$B$14</f>
        <v>4297.98693713099</v>
      </c>
      <c r="K494" s="44" t="n">
        <f aca="false">J494/$B$15</f>
        <v>10.5861747219975</v>
      </c>
    </row>
    <row r="495" customFormat="false" ht="15" hidden="false" customHeight="false" outlineLevel="0" collapsed="false">
      <c r="A495" s="55" t="n">
        <v>455</v>
      </c>
      <c r="B495" s="21" t="n">
        <f aca="true">NORMINV(RAND(),$B$6,$C$6)</f>
        <v>0.648474294294937</v>
      </c>
      <c r="C495" s="21" t="n">
        <f aca="true">MAX(0.05,NORMINV(RAND(),$B$7,$C$7))</f>
        <v>0.259960269950203</v>
      </c>
      <c r="D495" s="33" t="n">
        <f aca="true">MAX(0.08,NORMINV(RAND(),$B$8,$C$8))</f>
        <v>0.157861654460211</v>
      </c>
      <c r="E495" s="56" t="n">
        <f aca="true">MAX(5,NORMINV(RAND(),$B$9,$C$9))</f>
        <v>13.9028174165356</v>
      </c>
      <c r="F495" s="26" t="n">
        <f aca="false">$B$18*(1+(B495+$B$17)/2)^9</f>
        <v>5076.07022811488</v>
      </c>
      <c r="G495" s="26" t="n">
        <f aca="false">F495*(C495-Assumptions!$F$18)+$B$20</f>
        <v>811.785172663649</v>
      </c>
      <c r="H495" s="26" t="n">
        <f aca="false">E495*G495/(1+D495)^9</f>
        <v>3017.4069846252</v>
      </c>
      <c r="I495" s="26" t="n">
        <f aca="false">$B$13*F495/$B$19*((1+$B$8)/(1+D495))^4.5</f>
        <v>-2295.5655930543</v>
      </c>
      <c r="J495" s="26" t="n">
        <f aca="false">H495+I495+$B$14</f>
        <v>2487.01947376268</v>
      </c>
      <c r="K495" s="44" t="n">
        <f aca="false">J495/$B$15</f>
        <v>6.1256637284795</v>
      </c>
    </row>
    <row r="496" customFormat="false" ht="15" hidden="false" customHeight="false" outlineLevel="0" collapsed="false">
      <c r="A496" s="55" t="n">
        <v>456</v>
      </c>
      <c r="B496" s="21" t="n">
        <f aca="true">NORMINV(RAND(),$B$6,$C$6)</f>
        <v>0.590253926941784</v>
      </c>
      <c r="C496" s="21" t="n">
        <f aca="true">MAX(0.05,NORMINV(RAND(),$B$7,$C$7))</f>
        <v>0.299943843529838</v>
      </c>
      <c r="D496" s="33" t="n">
        <f aca="true">MAX(0.08,NORMINV(RAND(),$B$8,$C$8))</f>
        <v>0.128112160584213</v>
      </c>
      <c r="E496" s="56" t="n">
        <f aca="true">MAX(5,NORMINV(RAND(),$B$9,$C$9))</f>
        <v>13.002770293468</v>
      </c>
      <c r="F496" s="26" t="n">
        <f aca="false">$B$18*(1+(B496+$B$17)/2)^9</f>
        <v>4228.7992119269</v>
      </c>
      <c r="G496" s="26" t="n">
        <f aca="false">F496*(C496-Assumptions!$F$18)+$B$20</f>
        <v>794.501715665539</v>
      </c>
      <c r="H496" s="26" t="n">
        <f aca="false">E496*G496/(1+D496)^9</f>
        <v>3491.08323020667</v>
      </c>
      <c r="I496" s="26" t="n">
        <f aca="false">$B$13*F496/$B$19*((1+$B$8)/(1+D496))^4.5</f>
        <v>-2150.05172174586</v>
      </c>
      <c r="J496" s="26" t="n">
        <f aca="false">H496+I496+$B$14</f>
        <v>3106.20959065259</v>
      </c>
      <c r="K496" s="44" t="n">
        <f aca="false">J496/$B$15</f>
        <v>7.65076253855318</v>
      </c>
    </row>
    <row r="497" customFormat="false" ht="15" hidden="false" customHeight="false" outlineLevel="0" collapsed="false">
      <c r="A497" s="55" t="n">
        <v>457</v>
      </c>
      <c r="B497" s="21" t="n">
        <f aca="true">NORMINV(RAND(),$B$6,$C$6)</f>
        <v>0.363085802830644</v>
      </c>
      <c r="C497" s="21" t="n">
        <f aca="true">MAX(0.05,NORMINV(RAND(),$B$7,$C$7))</f>
        <v>0.206440151767047</v>
      </c>
      <c r="D497" s="33" t="n">
        <f aca="true">MAX(0.08,NORMINV(RAND(),$B$8,$C$8))</f>
        <v>0.132815057098783</v>
      </c>
      <c r="E497" s="56" t="n">
        <f aca="true">MAX(5,NORMINV(RAND(),$B$9,$C$9))</f>
        <v>15.5469530502551</v>
      </c>
      <c r="F497" s="26" t="n">
        <f aca="false">$B$18*(1+(B497+$B$17)/2)^9</f>
        <v>1997.03454553666</v>
      </c>
      <c r="G497" s="26" t="n">
        <f aca="false">F497*(C497-Assumptions!$F$18)+$B$20</f>
        <v>27.6381278444696</v>
      </c>
      <c r="H497" s="26" t="n">
        <f aca="false">E497*G497/(1+D497)^9</f>
        <v>139.869425858088</v>
      </c>
      <c r="I497" s="26" t="n">
        <f aca="false">$B$13*F497/$B$19*((1+$B$8)/(1+D497))^4.5</f>
        <v>-996.522538031308</v>
      </c>
      <c r="J497" s="26" t="n">
        <f aca="false">H497+I497+$B$14</f>
        <v>908.524970018561</v>
      </c>
      <c r="K497" s="44" t="n">
        <f aca="false">J497/$B$15</f>
        <v>2.23774623157281</v>
      </c>
    </row>
    <row r="498" customFormat="false" ht="15" hidden="false" customHeight="false" outlineLevel="0" collapsed="false">
      <c r="A498" s="55" t="n">
        <v>458</v>
      </c>
      <c r="B498" s="21" t="n">
        <f aca="true">NORMINV(RAND(),$B$6,$C$6)</f>
        <v>0.497719955400563</v>
      </c>
      <c r="C498" s="21" t="n">
        <f aca="true">MAX(0.05,NORMINV(RAND(),$B$7,$C$7))</f>
        <v>0.350137052713661</v>
      </c>
      <c r="D498" s="33" t="n">
        <f aca="true">MAX(0.08,NORMINV(RAND(),$B$8,$C$8))</f>
        <v>0.141092721947718</v>
      </c>
      <c r="E498" s="56" t="n">
        <f aca="true">MAX(5,NORMINV(RAND(),$B$9,$C$9))</f>
        <v>15.3755970271844</v>
      </c>
      <c r="F498" s="26" t="n">
        <f aca="false">$B$18*(1+(B498+$B$17)/2)^9</f>
        <v>3138.73575402102</v>
      </c>
      <c r="G498" s="26" t="n">
        <f aca="false">F498*(C498-Assumptions!$F$18)+$B$20</f>
        <v>668.68965100038</v>
      </c>
      <c r="H498" s="26" t="n">
        <f aca="false">E498*G498/(1+D498)^9</f>
        <v>3134.49925988128</v>
      </c>
      <c r="I498" s="26" t="n">
        <f aca="false">$B$13*F498/$B$19*((1+$B$8)/(1+D498))^4.5</f>
        <v>-1515.75025988715</v>
      </c>
      <c r="J498" s="26" t="n">
        <f aca="false">H498+I498+$B$14</f>
        <v>3383.92708218591</v>
      </c>
      <c r="K498" s="44" t="n">
        <f aca="false">J498/$B$15</f>
        <v>8.33479576893082</v>
      </c>
    </row>
    <row r="499" customFormat="false" ht="15" hidden="false" customHeight="false" outlineLevel="0" collapsed="false">
      <c r="A499" s="55" t="n">
        <v>459</v>
      </c>
      <c r="B499" s="21" t="n">
        <f aca="true">NORMINV(RAND(),$B$6,$C$6)</f>
        <v>0.564698575439482</v>
      </c>
      <c r="C499" s="21" t="n">
        <f aca="true">MAX(0.05,NORMINV(RAND(),$B$7,$C$7))</f>
        <v>0.25570626489983</v>
      </c>
      <c r="D499" s="33" t="n">
        <f aca="true">MAX(0.08,NORMINV(RAND(),$B$8,$C$8))</f>
        <v>0.14604181317594</v>
      </c>
      <c r="E499" s="56" t="n">
        <f aca="true">MAX(5,NORMINV(RAND(),$B$9,$C$9))</f>
        <v>14.4638829364663</v>
      </c>
      <c r="F499" s="26" t="n">
        <f aca="false">$B$18*(1+(B499+$B$17)/2)^9</f>
        <v>3898.42859517016</v>
      </c>
      <c r="G499" s="26" t="n">
        <f aca="false">F499*(C499-Assumptions!$F$18)+$B$20</f>
        <v>536.166866244157</v>
      </c>
      <c r="H499" s="26" t="n">
        <f aca="false">E499*G499/(1+D499)^9</f>
        <v>2273.94890774354</v>
      </c>
      <c r="I499" s="26" t="n">
        <f aca="false">$B$13*F499/$B$19*((1+$B$8)/(1+D499))^4.5</f>
        <v>-1846.30993260981</v>
      </c>
      <c r="J499" s="26" t="n">
        <f aca="false">H499+I499+$B$14</f>
        <v>2192.8170573255</v>
      </c>
      <c r="K499" s="44" t="n">
        <f aca="false">J499/$B$15</f>
        <v>5.40102723479188</v>
      </c>
    </row>
    <row r="500" customFormat="false" ht="15" hidden="false" customHeight="false" outlineLevel="0" collapsed="false">
      <c r="A500" s="55" t="n">
        <v>460</v>
      </c>
      <c r="B500" s="21" t="n">
        <f aca="true">NORMINV(RAND(),$B$6,$C$6)</f>
        <v>0.819961165547733</v>
      </c>
      <c r="C500" s="21" t="n">
        <f aca="true">MAX(0.05,NORMINV(RAND(),$B$7,$C$7))</f>
        <v>0.27017584269221</v>
      </c>
      <c r="D500" s="33" t="n">
        <f aca="true">MAX(0.08,NORMINV(RAND(),$B$8,$C$8))</f>
        <v>0.16427173816517</v>
      </c>
      <c r="E500" s="56" t="n">
        <f aca="true">MAX(5,NORMINV(RAND(),$B$9,$C$9))</f>
        <v>12.777500799854</v>
      </c>
      <c r="F500" s="26" t="n">
        <f aca="false">$B$18*(1+(B500+$B$17)/2)^9</f>
        <v>8515.27111763585</v>
      </c>
      <c r="G500" s="26" t="n">
        <f aca="false">F500*(C500-Assumptions!$F$18)+$B$20</f>
        <v>1655.26110025578</v>
      </c>
      <c r="H500" s="26" t="n">
        <f aca="false">E500*G500/(1+D500)^9</f>
        <v>5380.50732626431</v>
      </c>
      <c r="I500" s="26" t="n">
        <f aca="false">$B$13*F500/$B$19*((1+$B$8)/(1+D500))^4.5</f>
        <v>-3756.39268981688</v>
      </c>
      <c r="J500" s="26" t="n">
        <f aca="false">H500+I500+$B$14</f>
        <v>3389.29271863921</v>
      </c>
      <c r="K500" s="44" t="n">
        <f aca="false">J500/$B$15</f>
        <v>8.34801162226405</v>
      </c>
    </row>
    <row r="501" customFormat="false" ht="15" hidden="false" customHeight="false" outlineLevel="0" collapsed="false">
      <c r="A501" s="55" t="n">
        <v>461</v>
      </c>
      <c r="B501" s="21" t="n">
        <f aca="true">NORMINV(RAND(),$B$6,$C$6)</f>
        <v>0.486170999139614</v>
      </c>
      <c r="C501" s="21" t="n">
        <f aca="true">MAX(0.05,NORMINV(RAND(),$B$7,$C$7))</f>
        <v>0.245884959229733</v>
      </c>
      <c r="D501" s="33" t="n">
        <f aca="true">MAX(0.08,NORMINV(RAND(),$B$8,$C$8))</f>
        <v>0.138142786334562</v>
      </c>
      <c r="E501" s="56" t="n">
        <f aca="true">MAX(5,NORMINV(RAND(),$B$9,$C$9))</f>
        <v>15.8853326946358</v>
      </c>
      <c r="F501" s="26" t="n">
        <f aca="false">$B$18*(1+(B501+$B$17)/2)^9</f>
        <v>3021.98053975259</v>
      </c>
      <c r="G501" s="26" t="n">
        <f aca="false">F501*(C501-Assumptions!$F$18)+$B$20</f>
        <v>317.431735221317</v>
      </c>
      <c r="H501" s="26" t="n">
        <f aca="false">E501*G501/(1+D501)^9</f>
        <v>1573.533186762</v>
      </c>
      <c r="I501" s="26" t="n">
        <f aca="false">$B$13*F501/$B$19*((1+$B$8)/(1+D501))^4.5</f>
        <v>-1476.46580720245</v>
      </c>
      <c r="J501" s="26" t="n">
        <f aca="false">H501+I501+$B$14</f>
        <v>1862.24546175133</v>
      </c>
      <c r="K501" s="44" t="n">
        <f aca="false">J501/$B$15</f>
        <v>4.58681148214614</v>
      </c>
    </row>
    <row r="502" customFormat="false" ht="15" hidden="false" customHeight="false" outlineLevel="0" collapsed="false">
      <c r="A502" s="55" t="n">
        <v>462</v>
      </c>
      <c r="B502" s="21" t="n">
        <f aca="true">NORMINV(RAND(),$B$6,$C$6)</f>
        <v>0.517236691516636</v>
      </c>
      <c r="C502" s="21" t="n">
        <f aca="true">MAX(0.05,NORMINV(RAND(),$B$7,$C$7))</f>
        <v>0.229609592013509</v>
      </c>
      <c r="D502" s="33" t="n">
        <f aca="true">MAX(0.08,NORMINV(RAND(),$B$8,$C$8))</f>
        <v>0.140531526819454</v>
      </c>
      <c r="E502" s="56" t="n">
        <f aca="true">MAX(5,NORMINV(RAND(),$B$9,$C$9))</f>
        <v>16.3054550560292</v>
      </c>
      <c r="F502" s="26" t="n">
        <f aca="false">$B$18*(1+(B502+$B$17)/2)^9</f>
        <v>3345.17861173245</v>
      </c>
      <c r="G502" s="26" t="n">
        <f aca="false">F502*(C502-Assumptions!$F$18)+$B$20</f>
        <v>329.529346784219</v>
      </c>
      <c r="H502" s="26" t="n">
        <f aca="false">E502*G502/(1+D502)^9</f>
        <v>1645.36164552734</v>
      </c>
      <c r="I502" s="26" t="n">
        <f aca="false">$B$13*F502/$B$19*((1+$B$8)/(1+D502))^4.5</f>
        <v>-1619.0251364003</v>
      </c>
      <c r="J502" s="26" t="n">
        <f aca="false">H502+I502+$B$14</f>
        <v>1791.51459131882</v>
      </c>
      <c r="K502" s="44" t="n">
        <f aca="false">J502/$B$15</f>
        <v>4.4125975155636</v>
      </c>
    </row>
    <row r="503" customFormat="false" ht="15" hidden="false" customHeight="false" outlineLevel="0" collapsed="false">
      <c r="A503" s="55" t="n">
        <v>463</v>
      </c>
      <c r="B503" s="21" t="n">
        <f aca="true">NORMINV(RAND(),$B$6,$C$6)</f>
        <v>0.558683202260798</v>
      </c>
      <c r="C503" s="21" t="n">
        <f aca="true">MAX(0.05,NORMINV(RAND(),$B$7,$C$7))</f>
        <v>0.267620412435675</v>
      </c>
      <c r="D503" s="33" t="n">
        <f aca="true">MAX(0.08,NORMINV(RAND(),$B$8,$C$8))</f>
        <v>0.147245528447939</v>
      </c>
      <c r="E503" s="56" t="n">
        <f aca="true">MAX(5,NORMINV(RAND(),$B$9,$C$9))</f>
        <v>17.3885226082812</v>
      </c>
      <c r="F503" s="26" t="n">
        <f aca="false">$B$18*(1+(B503+$B$17)/2)^9</f>
        <v>3824.08340862563</v>
      </c>
      <c r="G503" s="26" t="n">
        <f aca="false">F503*(C503-Assumptions!$F$18)+$B$20</f>
        <v>565.690837661098</v>
      </c>
      <c r="H503" s="26" t="n">
        <f aca="false">E503*G503/(1+D503)^9</f>
        <v>2857.15937349979</v>
      </c>
      <c r="I503" s="26" t="n">
        <f aca="false">$B$13*F503/$B$19*((1+$B$8)/(1+D503))^4.5</f>
        <v>-1802.5643637245</v>
      </c>
      <c r="J503" s="26" t="n">
        <f aca="false">H503+I503+$B$14</f>
        <v>2819.77309196708</v>
      </c>
      <c r="K503" s="44" t="n">
        <f aca="false">J503/$B$15</f>
        <v>6.94525392110117</v>
      </c>
    </row>
    <row r="504" customFormat="false" ht="15" hidden="false" customHeight="false" outlineLevel="0" collapsed="false">
      <c r="A504" s="55" t="n">
        <v>464</v>
      </c>
      <c r="B504" s="21" t="n">
        <f aca="true">NORMINV(RAND(),$B$6,$C$6)</f>
        <v>0.586028469761614</v>
      </c>
      <c r="C504" s="21" t="n">
        <f aca="true">MAX(0.05,NORMINV(RAND(),$B$7,$C$7))</f>
        <v>0.262247462689873</v>
      </c>
      <c r="D504" s="33" t="n">
        <f aca="true">MAX(0.08,NORMINV(RAND(),$B$8,$C$8))</f>
        <v>0.141366813181681</v>
      </c>
      <c r="E504" s="56" t="n">
        <f aca="true">MAX(5,NORMINV(RAND(),$B$9,$C$9))</f>
        <v>10.7729835514709</v>
      </c>
      <c r="F504" s="26" t="n">
        <f aca="false">$B$18*(1+(B504+$B$17)/2)^9</f>
        <v>4172.5141707389</v>
      </c>
      <c r="G504" s="26" t="n">
        <f aca="false">F504*(C504-Assumptions!$F$18)+$B$20</f>
        <v>622.582082485568</v>
      </c>
      <c r="H504" s="26" t="n">
        <f aca="false">E504*G504/(1+D504)^9</f>
        <v>2040.35364600514</v>
      </c>
      <c r="I504" s="26" t="n">
        <f aca="false">$B$13*F504/$B$19*((1+$B$8)/(1+D504))^4.5</f>
        <v>-2012.80333466503</v>
      </c>
      <c r="J504" s="26" t="n">
        <f aca="false">H504+I504+$B$14</f>
        <v>1792.72839353189</v>
      </c>
      <c r="K504" s="44" t="n">
        <f aca="false">J504/$B$15</f>
        <v>4.41558717618693</v>
      </c>
    </row>
    <row r="505" customFormat="false" ht="15" hidden="false" customHeight="false" outlineLevel="0" collapsed="false">
      <c r="A505" s="55" t="n">
        <v>465</v>
      </c>
      <c r="B505" s="21" t="n">
        <f aca="true">NORMINV(RAND(),$B$6,$C$6)</f>
        <v>0.638340949752834</v>
      </c>
      <c r="C505" s="21" t="n">
        <f aca="true">MAX(0.05,NORMINV(RAND(),$B$7,$C$7))</f>
        <v>0.344298041279617</v>
      </c>
      <c r="D505" s="33" t="n">
        <f aca="true">MAX(0.08,NORMINV(RAND(),$B$8,$C$8))</f>
        <v>0.12630912601175</v>
      </c>
      <c r="E505" s="56" t="n">
        <f aca="true">MAX(5,NORMINV(RAND(),$B$9,$C$9))</f>
        <v>11.6830534800089</v>
      </c>
      <c r="F505" s="26" t="n">
        <f aca="false">$B$18*(1+(B505+$B$17)/2)^9</f>
        <v>4918.56779708032</v>
      </c>
      <c r="G505" s="26" t="n">
        <f aca="false">F505*(C505-Assumptions!$F$18)+$B$20</f>
        <v>1191.96194155385</v>
      </c>
      <c r="H505" s="26" t="n">
        <f aca="false">E505*G505/(1+D505)^9</f>
        <v>4774.19689877338</v>
      </c>
      <c r="I505" s="26" t="n">
        <f aca="false">$B$13*F505/$B$19*((1+$B$8)/(1+D505))^4.5</f>
        <v>-2518.81664417462</v>
      </c>
      <c r="J505" s="26" t="n">
        <f aca="false">H505+I505+$B$14</f>
        <v>4020.55833679054</v>
      </c>
      <c r="K505" s="44" t="n">
        <f aca="false">J505/$B$15</f>
        <v>9.90285304628212</v>
      </c>
    </row>
    <row r="506" customFormat="false" ht="15" hidden="false" customHeight="false" outlineLevel="0" collapsed="false">
      <c r="A506" s="55" t="n">
        <v>466</v>
      </c>
      <c r="B506" s="21" t="n">
        <f aca="true">NORMINV(RAND(),$B$6,$C$6)</f>
        <v>0.513030768157554</v>
      </c>
      <c r="C506" s="21" t="n">
        <f aca="true">MAX(0.05,NORMINV(RAND(),$B$7,$C$7))</f>
        <v>0.255266175888437</v>
      </c>
      <c r="D506" s="33" t="n">
        <f aca="true">MAX(0.08,NORMINV(RAND(),$B$8,$C$8))</f>
        <v>0.136380992066401</v>
      </c>
      <c r="E506" s="56" t="n">
        <f aca="true">MAX(5,NORMINV(RAND(),$B$9,$C$9))</f>
        <v>14.774496372378</v>
      </c>
      <c r="F506" s="26" t="n">
        <f aca="false">$B$18*(1+(B506+$B$17)/2)^9</f>
        <v>3299.69678789075</v>
      </c>
      <c r="G506" s="26" t="n">
        <f aca="false">F506*(C506-Assumptions!$F$18)+$B$20</f>
        <v>405.56450412191</v>
      </c>
      <c r="H506" s="26" t="n">
        <f aca="false">E506*G506/(1+D506)^9</f>
        <v>1896.08139261728</v>
      </c>
      <c r="I506" s="26" t="n">
        <f aca="false">$B$13*F506/$B$19*((1+$B$8)/(1+D506))^4.5</f>
        <v>-1623.42906285297</v>
      </c>
      <c r="J506" s="26" t="n">
        <f aca="false">H506+I506+$B$14</f>
        <v>2037.83041195608</v>
      </c>
      <c r="K506" s="44" t="n">
        <f aca="false">J506/$B$15</f>
        <v>5.01928672895587</v>
      </c>
    </row>
    <row r="507" customFormat="false" ht="15" hidden="false" customHeight="false" outlineLevel="0" collapsed="false">
      <c r="A507" s="55" t="n">
        <v>467</v>
      </c>
      <c r="B507" s="21" t="n">
        <f aca="true">NORMINV(RAND(),$B$6,$C$6)</f>
        <v>0.718769915623989</v>
      </c>
      <c r="C507" s="21" t="n">
        <f aca="true">MAX(0.05,NORMINV(RAND(),$B$7,$C$7))</f>
        <v>0.387021609462743</v>
      </c>
      <c r="D507" s="33" t="n">
        <f aca="true">MAX(0.08,NORMINV(RAND(),$B$8,$C$8))</f>
        <v>0.16363911934119</v>
      </c>
      <c r="E507" s="56" t="n">
        <f aca="true">MAX(5,NORMINV(RAND(),$B$9,$C$9))</f>
        <v>13.0358376088779</v>
      </c>
      <c r="F507" s="26" t="n">
        <f aca="false">$B$18*(1+(B507+$B$17)/2)^9</f>
        <v>6297.8368774946</v>
      </c>
      <c r="G507" s="26" t="n">
        <f aca="false">F507*(C507-Assumptions!$F$18)+$B$20</f>
        <v>1880.7368843633</v>
      </c>
      <c r="H507" s="26" t="n">
        <f aca="false">E507*G507/(1+D507)^9</f>
        <v>6267.61291478426</v>
      </c>
      <c r="I507" s="26" t="n">
        <f aca="false">$B$13*F507/$B$19*((1+$B$8)/(1+D507))^4.5</f>
        <v>-2785.00580839309</v>
      </c>
      <c r="J507" s="26" t="n">
        <f aca="false">H507+I507+$B$14</f>
        <v>5247.78518858295</v>
      </c>
      <c r="K507" s="44" t="n">
        <f aca="false">J507/$B$15</f>
        <v>12.925579282224</v>
      </c>
    </row>
    <row r="508" customFormat="false" ht="15" hidden="false" customHeight="false" outlineLevel="0" collapsed="false">
      <c r="A508" s="55" t="n">
        <v>468</v>
      </c>
      <c r="B508" s="21" t="n">
        <f aca="true">NORMINV(RAND(),$B$6,$C$6)</f>
        <v>0.492636795752389</v>
      </c>
      <c r="C508" s="21" t="n">
        <f aca="true">MAX(0.05,NORMINV(RAND(),$B$7,$C$7))</f>
        <v>0.203252985470082</v>
      </c>
      <c r="D508" s="33" t="n">
        <f aca="true">MAX(0.08,NORMINV(RAND(),$B$8,$C$8))</f>
        <v>0.106047970690545</v>
      </c>
      <c r="E508" s="56" t="n">
        <f aca="true">MAX(5,NORMINV(RAND(),$B$9,$C$9))</f>
        <v>12.6151661705949</v>
      </c>
      <c r="F508" s="26" t="n">
        <f aca="false">$B$18*(1+(B508+$B$17)/2)^9</f>
        <v>3086.86210115232</v>
      </c>
      <c r="G508" s="26" t="n">
        <f aca="false">F508*(C508-Assumptions!$F$18)+$B$20</f>
        <v>199.190848748876</v>
      </c>
      <c r="H508" s="26" t="n">
        <f aca="false">E508*G508/(1+D508)^9</f>
        <v>1014.37068140965</v>
      </c>
      <c r="I508" s="26" t="n">
        <f aca="false">$B$13*F508/$B$19*((1+$B$8)/(1+D508))^4.5</f>
        <v>-1715.34507545954</v>
      </c>
      <c r="J508" s="26" t="n">
        <f aca="false">H508+I508+$B$14</f>
        <v>1064.20368814189</v>
      </c>
      <c r="K508" s="44" t="n">
        <f aca="false">J508/$B$15</f>
        <v>2.62119135010319</v>
      </c>
    </row>
    <row r="509" customFormat="false" ht="15" hidden="false" customHeight="false" outlineLevel="0" collapsed="false">
      <c r="A509" s="55" t="n">
        <v>469</v>
      </c>
      <c r="B509" s="21" t="n">
        <f aca="true">NORMINV(RAND(),$B$6,$C$6)</f>
        <v>0.530502995263536</v>
      </c>
      <c r="C509" s="21" t="n">
        <f aca="true">MAX(0.05,NORMINV(RAND(),$B$7,$C$7))</f>
        <v>0.310416966343908</v>
      </c>
      <c r="D509" s="33" t="n">
        <f aca="true">MAX(0.08,NORMINV(RAND(),$B$8,$C$8))</f>
        <v>0.143166971925911</v>
      </c>
      <c r="E509" s="56" t="n">
        <f aca="true">MAX(5,NORMINV(RAND(),$B$9,$C$9))</f>
        <v>16.9177552889058</v>
      </c>
      <c r="F509" s="26" t="n">
        <f aca="false">$B$18*(1+(B509+$B$17)/2)^9</f>
        <v>3492.31049746838</v>
      </c>
      <c r="G509" s="26" t="n">
        <f aca="false">F509*(C509-Assumptions!$F$18)+$B$20</f>
        <v>639.631405257694</v>
      </c>
      <c r="H509" s="26" t="n">
        <f aca="false">E509*G509/(1+D509)^9</f>
        <v>3245.52905726581</v>
      </c>
      <c r="I509" s="26" t="n">
        <f aca="false">$B$13*F509/$B$19*((1+$B$8)/(1+D509))^4.5</f>
        <v>-1672.77083325079</v>
      </c>
      <c r="J509" s="26" t="n">
        <f aca="false">H509+I509+$B$14</f>
        <v>3337.9363062068</v>
      </c>
      <c r="K509" s="44" t="n">
        <f aca="false">J509/$B$15</f>
        <v>8.22151799558325</v>
      </c>
    </row>
    <row r="510" customFormat="false" ht="15" hidden="false" customHeight="false" outlineLevel="0" collapsed="false">
      <c r="A510" s="55" t="n">
        <v>470</v>
      </c>
      <c r="B510" s="21" t="n">
        <f aca="true">NORMINV(RAND(),$B$6,$C$6)</f>
        <v>0.599679561496796</v>
      </c>
      <c r="C510" s="21" t="n">
        <f aca="true">MAX(0.05,NORMINV(RAND(),$B$7,$C$7))</f>
        <v>0.320839580018195</v>
      </c>
      <c r="D510" s="33" t="n">
        <f aca="true">MAX(0.08,NORMINV(RAND(),$B$8,$C$8))</f>
        <v>0.151604858936722</v>
      </c>
      <c r="E510" s="56" t="n">
        <f aca="true">MAX(5,NORMINV(RAND(),$B$9,$C$9))</f>
        <v>16.6162866816326</v>
      </c>
      <c r="F510" s="26" t="n">
        <f aca="false">$B$18*(1+(B510+$B$17)/2)^9</f>
        <v>4356.79165456777</v>
      </c>
      <c r="G510" s="26" t="n">
        <f aca="false">F510*(C510-Assumptions!$F$18)+$B$20</f>
        <v>918.8109334969</v>
      </c>
      <c r="H510" s="26" t="n">
        <f aca="false">E510*G510/(1+D510)^9</f>
        <v>4285.76874606395</v>
      </c>
      <c r="I510" s="26" t="n">
        <f aca="false">$B$13*F510/$B$19*((1+$B$8)/(1+D510))^4.5</f>
        <v>-2018.9157653151</v>
      </c>
      <c r="J510" s="26" t="n">
        <f aca="false">H510+I510+$B$14</f>
        <v>4032.03106294063</v>
      </c>
      <c r="K510" s="44" t="n">
        <f aca="false">J510/$B$15</f>
        <v>9.9311109924646</v>
      </c>
    </row>
    <row r="511" customFormat="false" ht="15" hidden="false" customHeight="false" outlineLevel="0" collapsed="false">
      <c r="A511" s="55" t="n">
        <v>471</v>
      </c>
      <c r="B511" s="21" t="n">
        <f aca="true">NORMINV(RAND(),$B$6,$C$6)</f>
        <v>0.572601846333349</v>
      </c>
      <c r="C511" s="21" t="n">
        <f aca="true">MAX(0.05,NORMINV(RAND(),$B$7,$C$7))</f>
        <v>0.26632497434622</v>
      </c>
      <c r="D511" s="33" t="n">
        <f aca="true">MAX(0.08,NORMINV(RAND(),$B$8,$C$8))</f>
        <v>0.14535049942188</v>
      </c>
      <c r="E511" s="56" t="n">
        <f aca="true">MAX(5,NORMINV(RAND(),$B$9,$C$9))</f>
        <v>10.7929693921987</v>
      </c>
      <c r="F511" s="26" t="n">
        <f aca="false">$B$18*(1+(B511+$B$17)/2)^9</f>
        <v>3998.05841877803</v>
      </c>
      <c r="G511" s="26" t="n">
        <f aca="false">F511*(C511-Assumptions!$F$18)+$B$20</f>
        <v>600.11186406594</v>
      </c>
      <c r="H511" s="26" t="n">
        <f aca="false">E511*G511/(1+D511)^9</f>
        <v>1909.53433783464</v>
      </c>
      <c r="I511" s="26" t="n">
        <f aca="false">$B$13*F511/$B$19*((1+$B$8)/(1+D511))^4.5</f>
        <v>-1898.64337748787</v>
      </c>
      <c r="J511" s="26" t="n">
        <f aca="false">H511+I511+$B$14</f>
        <v>1776.06904253855</v>
      </c>
      <c r="K511" s="44" t="n">
        <f aca="false">J511/$B$15</f>
        <v>4.37455429196687</v>
      </c>
    </row>
    <row r="512" customFormat="false" ht="15" hidden="false" customHeight="false" outlineLevel="0" collapsed="false">
      <c r="A512" s="55" t="n">
        <v>472</v>
      </c>
      <c r="B512" s="21" t="n">
        <f aca="true">NORMINV(RAND(),$B$6,$C$6)</f>
        <v>0.759881109511051</v>
      </c>
      <c r="C512" s="21" t="n">
        <f aca="true">MAX(0.05,NORMINV(RAND(),$B$7,$C$7))</f>
        <v>0.31488987493421</v>
      </c>
      <c r="D512" s="33" t="n">
        <f aca="true">MAX(0.08,NORMINV(RAND(),$B$8,$C$8))</f>
        <v>0.120565756513446</v>
      </c>
      <c r="E512" s="56" t="n">
        <f aca="true">MAX(5,NORMINV(RAND(),$B$9,$C$9))</f>
        <v>17.0363426104312</v>
      </c>
      <c r="F512" s="26" t="n">
        <f aca="false">$B$18*(1+(B512+$B$17)/2)^9</f>
        <v>7127.65410091255</v>
      </c>
      <c r="G512" s="26" t="n">
        <f aca="false">F512*(C512-Assumptions!$F$18)+$B$20</f>
        <v>1654.57133937547</v>
      </c>
      <c r="H512" s="26" t="n">
        <f aca="false">E512*G512/(1+D512)^9</f>
        <v>10118.7238190036</v>
      </c>
      <c r="I512" s="26" t="n">
        <f aca="false">$B$13*F512/$B$19*((1+$B$8)/(1+D512))^4.5</f>
        <v>-3735.04347752785</v>
      </c>
      <c r="J512" s="26" t="n">
        <f aca="false">H512+I512+$B$14</f>
        <v>8148.85842366757</v>
      </c>
      <c r="K512" s="44" t="n">
        <f aca="false">J512/$B$15</f>
        <v>20.0710798612502</v>
      </c>
    </row>
    <row r="513" customFormat="false" ht="15" hidden="false" customHeight="false" outlineLevel="0" collapsed="false">
      <c r="A513" s="55" t="n">
        <v>473</v>
      </c>
      <c r="B513" s="21" t="n">
        <f aca="true">NORMINV(RAND(),$B$6,$C$6)</f>
        <v>0.49235119573536</v>
      </c>
      <c r="C513" s="21" t="n">
        <f aca="true">MAX(0.05,NORMINV(RAND(),$B$7,$C$7))</f>
        <v>0.274475197985574</v>
      </c>
      <c r="D513" s="33" t="n">
        <f aca="true">MAX(0.08,NORMINV(RAND(),$B$8,$C$8))</f>
        <v>0.127893746997143</v>
      </c>
      <c r="E513" s="56" t="n">
        <f aca="true">MAX(5,NORMINV(RAND(),$B$9,$C$9))</f>
        <v>14.7442485943887</v>
      </c>
      <c r="F513" s="26" t="n">
        <f aca="false">$B$18*(1+(B513+$B$17)/2)^9</f>
        <v>3083.97029766588</v>
      </c>
      <c r="G513" s="26" t="n">
        <f aca="false">F513*(C513-Assumptions!$F$18)+$B$20</f>
        <v>418.365941128147</v>
      </c>
      <c r="H513" s="26" t="n">
        <f aca="false">E513*G513/(1+D513)^9</f>
        <v>2088.16718092283</v>
      </c>
      <c r="I513" s="26" t="n">
        <f aca="false">$B$13*F513/$B$19*((1+$B$8)/(1+D513))^4.5</f>
        <v>-1569.35227891861</v>
      </c>
      <c r="J513" s="26" t="n">
        <f aca="false">H513+I513+$B$14</f>
        <v>2283.99298419601</v>
      </c>
      <c r="K513" s="44" t="n">
        <f aca="false">J513/$B$15</f>
        <v>5.6255984832414</v>
      </c>
    </row>
    <row r="514" customFormat="false" ht="15" hidden="false" customHeight="false" outlineLevel="0" collapsed="false">
      <c r="A514" s="55" t="n">
        <v>474</v>
      </c>
      <c r="B514" s="21" t="n">
        <f aca="true">NORMINV(RAND(),$B$6,$C$6)</f>
        <v>0.594170520895142</v>
      </c>
      <c r="C514" s="21" t="n">
        <f aca="true">MAX(0.05,NORMINV(RAND(),$B$7,$C$7))</f>
        <v>0.403277661395443</v>
      </c>
      <c r="D514" s="33" t="n">
        <f aca="true">MAX(0.08,NORMINV(RAND(),$B$8,$C$8))</f>
        <v>0.135162313418933</v>
      </c>
      <c r="E514" s="56" t="n">
        <f aca="true">MAX(5,NORMINV(RAND(),$B$9,$C$9))</f>
        <v>12.8585251360283</v>
      </c>
      <c r="F514" s="26" t="n">
        <f aca="false">$B$18*(1+(B514+$B$17)/2)^9</f>
        <v>4281.57169758268</v>
      </c>
      <c r="G514" s="26" t="n">
        <f aca="false">F514*(C514-Assumptions!$F$18)+$B$20</f>
        <v>1250.65074839607</v>
      </c>
      <c r="H514" s="26" t="n">
        <f aca="false">E514*G514/(1+D514)^9</f>
        <v>5138.13517648439</v>
      </c>
      <c r="I514" s="26" t="n">
        <f aca="false">$B$13*F514/$B$19*((1+$B$8)/(1+D514))^4.5</f>
        <v>-2116.70086411632</v>
      </c>
      <c r="J514" s="26" t="n">
        <f aca="false">H514+I514+$B$14</f>
        <v>4786.61239455985</v>
      </c>
      <c r="K514" s="44" t="n">
        <f aca="false">J514/$B$15</f>
        <v>11.7896857008863</v>
      </c>
    </row>
    <row r="515" customFormat="false" ht="15" hidden="false" customHeight="false" outlineLevel="0" collapsed="false">
      <c r="A515" s="55" t="n">
        <v>475</v>
      </c>
      <c r="B515" s="21" t="n">
        <f aca="true">NORMINV(RAND(),$B$6,$C$6)</f>
        <v>0.602140345644126</v>
      </c>
      <c r="C515" s="21" t="n">
        <f aca="true">MAX(0.05,NORMINV(RAND(),$B$7,$C$7))</f>
        <v>0.362150442102543</v>
      </c>
      <c r="D515" s="33" t="n">
        <f aca="true">MAX(0.08,NORMINV(RAND(),$B$8,$C$8))</f>
        <v>0.139118602432032</v>
      </c>
      <c r="E515" s="56" t="n">
        <f aca="true">MAX(5,NORMINV(RAND(),$B$9,$C$9))</f>
        <v>11.3369033197207</v>
      </c>
      <c r="F515" s="26" t="n">
        <f aca="false">$B$18*(1+(B515+$B$17)/2)^9</f>
        <v>4390.76883457657</v>
      </c>
      <c r="G515" s="26" t="n">
        <f aca="false">F515*(C515-Assumptions!$F$18)+$B$20</f>
        <v>1109.73951623022</v>
      </c>
      <c r="H515" s="26" t="n">
        <f aca="false">E515*G515/(1+D515)^9</f>
        <v>3895.78513620036</v>
      </c>
      <c r="I515" s="26" t="n">
        <f aca="false">$B$13*F515/$B$19*((1+$B$8)/(1+D515))^4.5</f>
        <v>-2136.9651031891</v>
      </c>
      <c r="J515" s="26" t="n">
        <f aca="false">H515+I515+$B$14</f>
        <v>3523.99811520304</v>
      </c>
      <c r="K515" s="44" t="n">
        <f aca="false">J515/$B$15</f>
        <v>8.67979831330797</v>
      </c>
    </row>
    <row r="516" customFormat="false" ht="15" hidden="false" customHeight="false" outlineLevel="0" collapsed="false">
      <c r="A516" s="55" t="n">
        <v>476</v>
      </c>
      <c r="B516" s="21" t="n">
        <f aca="true">NORMINV(RAND(),$B$6,$C$6)</f>
        <v>0.485371564238653</v>
      </c>
      <c r="C516" s="21" t="n">
        <f aca="true">MAX(0.05,NORMINV(RAND(),$B$7,$C$7))</f>
        <v>0.324253942690158</v>
      </c>
      <c r="D516" s="33" t="n">
        <f aca="true">MAX(0.08,NORMINV(RAND(),$B$8,$C$8))</f>
        <v>0.148646258877127</v>
      </c>
      <c r="E516" s="56" t="n">
        <f aca="true">MAX(5,NORMINV(RAND(),$B$9,$C$9))</f>
        <v>18.3253547074042</v>
      </c>
      <c r="F516" s="26" t="n">
        <f aca="false">$B$18*(1+(B516+$B$17)/2)^9</f>
        <v>3014.04335416937</v>
      </c>
      <c r="G516" s="26" t="n">
        <f aca="false">F516*(C516-Assumptions!$F$18)+$B$20</f>
        <v>552.005101863023</v>
      </c>
      <c r="H516" s="26" t="n">
        <f aca="false">E516*G516/(1+D516)^9</f>
        <v>2906.15490461354</v>
      </c>
      <c r="I516" s="26" t="n">
        <f aca="false">$B$13*F516/$B$19*((1+$B$8)/(1+D516))^4.5</f>
        <v>-1412.95470541207</v>
      </c>
      <c r="J516" s="26" t="n">
        <f aca="false">H516+I516+$B$14</f>
        <v>3258.37828139326</v>
      </c>
      <c r="K516" s="44" t="n">
        <f aca="false">J516/$B$15</f>
        <v>8.02556226944152</v>
      </c>
    </row>
    <row r="517" customFormat="false" ht="15" hidden="false" customHeight="false" outlineLevel="0" collapsed="false">
      <c r="A517" s="55" t="n">
        <v>477</v>
      </c>
      <c r="B517" s="21" t="n">
        <f aca="true">NORMINV(RAND(),$B$6,$C$6)</f>
        <v>0.506324808485596</v>
      </c>
      <c r="C517" s="21" t="n">
        <f aca="true">MAX(0.05,NORMINV(RAND(),$B$7,$C$7))</f>
        <v>0.279117187541505</v>
      </c>
      <c r="D517" s="33" t="n">
        <f aca="true">MAX(0.08,NORMINV(RAND(),$B$8,$C$8))</f>
        <v>0.143018452065184</v>
      </c>
      <c r="E517" s="56" t="n">
        <f aca="true">MAX(5,NORMINV(RAND(),$B$9,$C$9))</f>
        <v>10.3691301309213</v>
      </c>
      <c r="F517" s="26" t="n">
        <f aca="false">$B$18*(1+(B517+$B$17)/2)^9</f>
        <v>3228.31638425987</v>
      </c>
      <c r="G517" s="26" t="n">
        <f aca="false">F517*(C517-Assumptions!$F$18)+$B$20</f>
        <v>467.197329299692</v>
      </c>
      <c r="H517" s="26" t="n">
        <f aca="false">E517*G517/(1+D517)^9</f>
        <v>1454.66672240672</v>
      </c>
      <c r="I517" s="26" t="n">
        <f aca="false">$B$13*F517/$B$19*((1+$B$8)/(1+D517))^4.5</f>
        <v>-1547.22548424425</v>
      </c>
      <c r="J517" s="26" t="n">
        <f aca="false">H517+I517+$B$14</f>
        <v>1672.61932035425</v>
      </c>
      <c r="K517" s="44" t="n">
        <f aca="false">J517/$B$15</f>
        <v>4.11975202057696</v>
      </c>
    </row>
    <row r="518" customFormat="false" ht="15" hidden="false" customHeight="false" outlineLevel="0" collapsed="false">
      <c r="A518" s="55" t="n">
        <v>478</v>
      </c>
      <c r="B518" s="21" t="n">
        <f aca="true">NORMINV(RAND(),$B$6,$C$6)</f>
        <v>0.579228378009795</v>
      </c>
      <c r="C518" s="21" t="n">
        <f aca="true">MAX(0.05,NORMINV(RAND(),$B$7,$C$7))</f>
        <v>0.327363542255093</v>
      </c>
      <c r="D518" s="33" t="n">
        <f aca="true">MAX(0.08,NORMINV(RAND(),$B$8,$C$8))</f>
        <v>0.116935183988934</v>
      </c>
      <c r="E518" s="56" t="n">
        <f aca="true">MAX(5,NORMINV(RAND(),$B$9,$C$9))</f>
        <v>16.4887109848643</v>
      </c>
      <c r="F518" s="26" t="n">
        <f aca="false">$B$18*(1+(B518+$B$17)/2)^9</f>
        <v>4083.33107654591</v>
      </c>
      <c r="G518" s="26" t="n">
        <f aca="false">F518*(C518-Assumptions!$F$18)+$B$20</f>
        <v>868.651877357846</v>
      </c>
      <c r="H518" s="26" t="n">
        <f aca="false">E518*G518/(1+D518)^9</f>
        <v>5293.96082970688</v>
      </c>
      <c r="I518" s="26" t="n">
        <f aca="false">$B$13*F518/$B$19*((1+$B$8)/(1+D518))^4.5</f>
        <v>-2171.22998303127</v>
      </c>
      <c r="J518" s="26" t="n">
        <f aca="false">H518+I518+$B$14</f>
        <v>4887.9089288674</v>
      </c>
      <c r="K518" s="44" t="n">
        <f aca="false">J518/$B$15</f>
        <v>12.0391845538606</v>
      </c>
    </row>
    <row r="519" customFormat="false" ht="15" hidden="false" customHeight="false" outlineLevel="0" collapsed="false">
      <c r="A519" s="55" t="n">
        <v>479</v>
      </c>
      <c r="B519" s="21" t="n">
        <f aca="true">NORMINV(RAND(),$B$6,$C$6)</f>
        <v>0.594254373485019</v>
      </c>
      <c r="C519" s="21" t="n">
        <f aca="true">MAX(0.05,NORMINV(RAND(),$B$7,$C$7))</f>
        <v>0.289222526550671</v>
      </c>
      <c r="D519" s="33" t="n">
        <f aca="true">MAX(0.08,NORMINV(RAND(),$B$8,$C$8))</f>
        <v>0.124638985352519</v>
      </c>
      <c r="E519" s="56" t="n">
        <f aca="true">MAX(5,NORMINV(RAND(),$B$9,$C$9))</f>
        <v>17.3016626962803</v>
      </c>
      <c r="F519" s="26" t="n">
        <f aca="false">$B$18*(1+(B519+$B$17)/2)^9</f>
        <v>4282.70790546252</v>
      </c>
      <c r="G519" s="26" t="n">
        <f aca="false">F519*(C519-Assumptions!$F$18)+$B$20</f>
        <v>762.598679679209</v>
      </c>
      <c r="H519" s="26" t="n">
        <f aca="false">E519*G519/(1+D519)^9</f>
        <v>4584.22243921107</v>
      </c>
      <c r="I519" s="26" t="n">
        <f aca="false">$B$13*F519/$B$19*((1+$B$8)/(1+D519))^4.5</f>
        <v>-2207.88504324716</v>
      </c>
      <c r="J519" s="26" t="n">
        <f aca="false">H519+I519+$B$14</f>
        <v>4141.51547815569</v>
      </c>
      <c r="K519" s="44" t="n">
        <f aca="false">J519/$B$15</f>
        <v>10.2007770397923</v>
      </c>
    </row>
    <row r="520" customFormat="false" ht="15" hidden="false" customHeight="false" outlineLevel="0" collapsed="false">
      <c r="A520" s="55" t="n">
        <v>480</v>
      </c>
      <c r="B520" s="21" t="n">
        <f aca="true">NORMINV(RAND(),$B$6,$C$6)</f>
        <v>0.383422176434582</v>
      </c>
      <c r="C520" s="21" t="n">
        <f aca="true">MAX(0.05,NORMINV(RAND(),$B$7,$C$7))</f>
        <v>0.349247695716394</v>
      </c>
      <c r="D520" s="33" t="n">
        <f aca="true">MAX(0.08,NORMINV(RAND(),$B$8,$C$8))</f>
        <v>0.166449598524099</v>
      </c>
      <c r="E520" s="56" t="n">
        <f aca="true">MAX(5,NORMINV(RAND(),$B$9,$C$9))</f>
        <v>9.92064587100796</v>
      </c>
      <c r="F520" s="26" t="n">
        <f aca="false">$B$18*(1+(B520+$B$17)/2)^9</f>
        <v>2141.34646401455</v>
      </c>
      <c r="G520" s="26" t="n">
        <f aca="false">F520*(C520-Assumptions!$F$18)+$B$20</f>
        <v>357.457854728259</v>
      </c>
      <c r="H520" s="26" t="n">
        <f aca="false">E520*G520/(1+D520)^9</f>
        <v>887.096754065316</v>
      </c>
      <c r="I520" s="26" t="n">
        <f aca="false">$B$13*F520/$B$19*((1+$B$8)/(1+D520))^4.5</f>
        <v>-936.714290359408</v>
      </c>
      <c r="J520" s="26" t="n">
        <f aca="false">H520+I520+$B$14</f>
        <v>1715.56054589769</v>
      </c>
      <c r="K520" s="44" t="n">
        <f aca="false">J520/$B$15</f>
        <v>4.2255185859549</v>
      </c>
    </row>
    <row r="521" customFormat="false" ht="15" hidden="false" customHeight="false" outlineLevel="0" collapsed="false">
      <c r="A521" s="55" t="n">
        <v>481</v>
      </c>
      <c r="B521" s="21" t="n">
        <f aca="true">NORMINV(RAND(),$B$6,$C$6)</f>
        <v>0.606998668421455</v>
      </c>
      <c r="C521" s="21" t="n">
        <f aca="true">MAX(0.05,NORMINV(RAND(),$B$7,$C$7))</f>
        <v>0.337824932585364</v>
      </c>
      <c r="D521" s="33" t="n">
        <f aca="true">MAX(0.08,NORMINV(RAND(),$B$8,$C$8))</f>
        <v>0.118013638998716</v>
      </c>
      <c r="E521" s="56" t="n">
        <f aca="true">MAX(5,NORMINV(RAND(),$B$9,$C$9))</f>
        <v>13.5937177904534</v>
      </c>
      <c r="F521" s="26" t="n">
        <f aca="false">$B$18*(1+(B521+$B$17)/2)^9</f>
        <v>4458.5422437313</v>
      </c>
      <c r="G521" s="26" t="n">
        <f aca="false">F521*(C521-Assumptions!$F$18)+$B$20</f>
        <v>1023.11643816958</v>
      </c>
      <c r="H521" s="26" t="n">
        <f aca="false">E521*G521/(1+D521)^9</f>
        <v>5096.11707831344</v>
      </c>
      <c r="I521" s="26" t="n">
        <f aca="false">$B$13*F521/$B$19*((1+$B$8)/(1+D521))^4.5</f>
        <v>-2360.46754943627</v>
      </c>
      <c r="J521" s="26" t="n">
        <f aca="false">H521+I521+$B$14</f>
        <v>4500.82761106895</v>
      </c>
      <c r="K521" s="44" t="n">
        <f aca="false">J521/$B$15</f>
        <v>11.0857822932733</v>
      </c>
    </row>
    <row r="522" customFormat="false" ht="15" hidden="false" customHeight="false" outlineLevel="0" collapsed="false">
      <c r="A522" s="55" t="n">
        <v>482</v>
      </c>
      <c r="B522" s="21" t="n">
        <f aca="true">NORMINV(RAND(),$B$6,$C$6)</f>
        <v>0.486002908196355</v>
      </c>
      <c r="C522" s="21" t="n">
        <f aca="true">MAX(0.05,NORMINV(RAND(),$B$7,$C$7))</f>
        <v>0.335461206889065</v>
      </c>
      <c r="D522" s="33" t="n">
        <f aca="true">MAX(0.08,NORMINV(RAND(),$B$8,$C$8))</f>
        <v>0.160867341201219</v>
      </c>
      <c r="E522" s="56" t="n">
        <f aca="true">MAX(5,NORMINV(RAND(),$B$9,$C$9))</f>
        <v>12.1246881353121</v>
      </c>
      <c r="F522" s="26" t="n">
        <f aca="false">$B$18*(1+(B522+$B$17)/2)^9</f>
        <v>3020.31010878022</v>
      </c>
      <c r="G522" s="26" t="n">
        <f aca="false">F522*(C522-Assumptions!$F$18)+$B$20</f>
        <v>587.635864920759</v>
      </c>
      <c r="H522" s="26" t="n">
        <f aca="false">E522*G522/(1+D522)^9</f>
        <v>1860.95354047053</v>
      </c>
      <c r="I522" s="26" t="n">
        <f aca="false">$B$13*F522/$B$19*((1+$B$8)/(1+D522))^4.5</f>
        <v>-1350.0410445961</v>
      </c>
      <c r="J522" s="26" t="n">
        <f aca="false">H522+I522+$B$14</f>
        <v>2276.09057806622</v>
      </c>
      <c r="K522" s="44" t="n">
        <f aca="false">J522/$B$15</f>
        <v>5.60613442873453</v>
      </c>
    </row>
    <row r="523" customFormat="false" ht="15" hidden="false" customHeight="false" outlineLevel="0" collapsed="false">
      <c r="A523" s="55" t="n">
        <v>483</v>
      </c>
      <c r="B523" s="21" t="n">
        <f aca="true">NORMINV(RAND(),$B$6,$C$6)</f>
        <v>0.492496546733536</v>
      </c>
      <c r="C523" s="21" t="n">
        <f aca="true">MAX(0.05,NORMINV(RAND(),$B$7,$C$7))</f>
        <v>0.321707496100056</v>
      </c>
      <c r="D523" s="33" t="n">
        <f aca="true">MAX(0.08,NORMINV(RAND(),$B$8,$C$8))</f>
        <v>0.134419872910446</v>
      </c>
      <c r="E523" s="56" t="n">
        <f aca="true">MAX(5,NORMINV(RAND(),$B$9,$C$9))</f>
        <v>18.1358270407295</v>
      </c>
      <c r="F523" s="26" t="n">
        <f aca="false">$B$18*(1+(B523+$B$17)/2)^9</f>
        <v>3085.44172804876</v>
      </c>
      <c r="G523" s="26" t="n">
        <f aca="false">F523*(C523-Assumptions!$F$18)+$B$20</f>
        <v>564.443458572556</v>
      </c>
      <c r="H523" s="26" t="n">
        <f aca="false">E523*G523/(1+D523)^9</f>
        <v>3289.98089680594</v>
      </c>
      <c r="I523" s="26" t="n">
        <f aca="false">$B$13*F523/$B$19*((1+$B$8)/(1+D523))^4.5</f>
        <v>-1529.86193187037</v>
      </c>
      <c r="J523" s="26" t="n">
        <f aca="false">H523+I523+$B$14</f>
        <v>3525.29704712735</v>
      </c>
      <c r="K523" s="44" t="n">
        <f aca="false">J523/$B$15</f>
        <v>8.68299765302303</v>
      </c>
    </row>
    <row r="524" customFormat="false" ht="15" hidden="false" customHeight="false" outlineLevel="0" collapsed="false">
      <c r="A524" s="55" t="n">
        <v>484</v>
      </c>
      <c r="B524" s="21" t="n">
        <f aca="true">NORMINV(RAND(),$B$6,$C$6)</f>
        <v>0.731702066839543</v>
      </c>
      <c r="C524" s="21" t="n">
        <f aca="true">MAX(0.05,NORMINV(RAND(),$B$7,$C$7))</f>
        <v>0.248187362069654</v>
      </c>
      <c r="D524" s="33" t="n">
        <f aca="true">MAX(0.08,NORMINV(RAND(),$B$8,$C$8))</f>
        <v>0.135314177005361</v>
      </c>
      <c r="E524" s="56" t="n">
        <f aca="true">MAX(5,NORMINV(RAND(),$B$9,$C$9))</f>
        <v>15.2733526227946</v>
      </c>
      <c r="F524" s="26" t="n">
        <f aca="false">$B$18*(1+(B524+$B$17)/2)^9</f>
        <v>6549.087024632</v>
      </c>
      <c r="G524" s="26" t="n">
        <f aca="false">F524*(C524-Assumptions!$F$18)+$B$20</f>
        <v>1058.68854662405</v>
      </c>
      <c r="H524" s="26" t="n">
        <f aca="false">E524*G524/(1+D524)^9</f>
        <v>5160.09911790758</v>
      </c>
      <c r="I524" s="26" t="n">
        <f aca="false">$B$13*F524/$B$19*((1+$B$8)/(1+D524))^4.5</f>
        <v>-3235.75471516257</v>
      </c>
      <c r="J524" s="26" t="n">
        <f aca="false">H524+I524+$B$14</f>
        <v>3689.52248493679</v>
      </c>
      <c r="K524" s="44" t="n">
        <f aca="false">J524/$B$15</f>
        <v>9.08749380526303</v>
      </c>
    </row>
    <row r="525" customFormat="false" ht="15" hidden="false" customHeight="false" outlineLevel="0" collapsed="false">
      <c r="A525" s="55" t="n">
        <v>485</v>
      </c>
      <c r="B525" s="21" t="n">
        <f aca="true">NORMINV(RAND(),$B$6,$C$6)</f>
        <v>0.603699491603886</v>
      </c>
      <c r="C525" s="21" t="n">
        <f aca="true">MAX(0.05,NORMINV(RAND(),$B$7,$C$7))</f>
        <v>0.263056383738239</v>
      </c>
      <c r="D525" s="33" t="n">
        <f aca="true">MAX(0.08,NORMINV(RAND(),$B$8,$C$8))</f>
        <v>0.123459907025544</v>
      </c>
      <c r="E525" s="56" t="n">
        <f aca="true">MAX(5,NORMINV(RAND(),$B$9,$C$9))</f>
        <v>15.1330737229617</v>
      </c>
      <c r="F525" s="26" t="n">
        <f aca="false">$B$18*(1+(B525+$B$17)/2)^9</f>
        <v>4412.41837987848</v>
      </c>
      <c r="G525" s="26" t="n">
        <f aca="false">F525*(C525-Assumptions!$F$18)+$B$20</f>
        <v>679.469482357142</v>
      </c>
      <c r="H525" s="26" t="n">
        <f aca="false">E525*G525/(1+D525)^9</f>
        <v>3606.44155374058</v>
      </c>
      <c r="I525" s="26" t="n">
        <f aca="false">$B$13*F525/$B$19*((1+$B$8)/(1+D525))^4.5</f>
        <v>-2285.51822352352</v>
      </c>
      <c r="J525" s="26" t="n">
        <f aca="false">H525+I525+$B$14</f>
        <v>3086.10141240884</v>
      </c>
      <c r="K525" s="44" t="n">
        <f aca="false">J525/$B$15</f>
        <v>7.6012350059331</v>
      </c>
    </row>
    <row r="526" customFormat="false" ht="15" hidden="false" customHeight="false" outlineLevel="0" collapsed="false">
      <c r="A526" s="55" t="n">
        <v>486</v>
      </c>
      <c r="B526" s="21" t="n">
        <f aca="true">NORMINV(RAND(),$B$6,$C$6)</f>
        <v>0.618492849381967</v>
      </c>
      <c r="C526" s="21" t="n">
        <f aca="true">MAX(0.05,NORMINV(RAND(),$B$7,$C$7))</f>
        <v>0.365051690905957</v>
      </c>
      <c r="D526" s="33" t="n">
        <f aca="true">MAX(0.08,NORMINV(RAND(),$B$8,$C$8))</f>
        <v>0.142773205085613</v>
      </c>
      <c r="E526" s="56" t="n">
        <f aca="true">MAX(5,NORMINV(RAND(),$B$9,$C$9))</f>
        <v>18.932944144011</v>
      </c>
      <c r="F526" s="26" t="n">
        <f aca="false">$B$18*(1+(B526+$B$17)/2)^9</f>
        <v>4622.60184789226</v>
      </c>
      <c r="G526" s="26" t="n">
        <f aca="false">F526*(C526-Assumptions!$F$18)+$B$20</f>
        <v>1197.83594204369</v>
      </c>
      <c r="H526" s="26" t="n">
        <f aca="false">E526*G526/(1+D526)^9</f>
        <v>6822.99502575638</v>
      </c>
      <c r="I526" s="26" t="n">
        <f aca="false">$B$13*F526/$B$19*((1+$B$8)/(1+D526))^4.5</f>
        <v>-2217.60082739696</v>
      </c>
      <c r="J526" s="26" t="n">
        <f aca="false">H526+I526+$B$14</f>
        <v>6370.57228055121</v>
      </c>
      <c r="K526" s="44" t="n">
        <f aca="false">J526/$B$15</f>
        <v>15.6910647304217</v>
      </c>
    </row>
    <row r="527" customFormat="false" ht="15" hidden="false" customHeight="false" outlineLevel="0" collapsed="false">
      <c r="A527" s="55" t="n">
        <v>487</v>
      </c>
      <c r="B527" s="21" t="n">
        <f aca="true">NORMINV(RAND(),$B$6,$C$6)</f>
        <v>0.653832809593643</v>
      </c>
      <c r="C527" s="21" t="n">
        <f aca="true">MAX(0.05,NORMINV(RAND(),$B$7,$C$7))</f>
        <v>0.355518593649512</v>
      </c>
      <c r="D527" s="33" t="n">
        <f aca="true">MAX(0.08,NORMINV(RAND(),$B$8,$C$8))</f>
        <v>0.152882712668174</v>
      </c>
      <c r="E527" s="56" t="n">
        <f aca="true">MAX(5,NORMINV(RAND(),$B$9,$C$9))</f>
        <v>14.9253696052595</v>
      </c>
      <c r="F527" s="26" t="n">
        <f aca="false">$B$18*(1+(B527+$B$17)/2)^9</f>
        <v>5161.15634641399</v>
      </c>
      <c r="G527" s="26" t="n">
        <f aca="false">F527*(C527-Assumptions!$F$18)+$B$20</f>
        <v>1323.69218702711</v>
      </c>
      <c r="H527" s="26" t="n">
        <f aca="false">E527*G527/(1+D527)^9</f>
        <v>5490.93062572892</v>
      </c>
      <c r="I527" s="26" t="n">
        <f aca="false">$B$13*F527/$B$19*((1+$B$8)/(1+D527))^4.5</f>
        <v>-2379.74843378778</v>
      </c>
      <c r="J527" s="26" t="n">
        <f aca="false">H527+I527+$B$14</f>
        <v>4876.36027413292</v>
      </c>
      <c r="K527" s="44" t="n">
        <f aca="false">J527/$B$15</f>
        <v>12.0107395914604</v>
      </c>
    </row>
    <row r="528" customFormat="false" ht="15" hidden="false" customHeight="false" outlineLevel="0" collapsed="false">
      <c r="A528" s="55" t="n">
        <v>488</v>
      </c>
      <c r="B528" s="21" t="n">
        <f aca="true">NORMINV(RAND(),$B$6,$C$6)</f>
        <v>0.675444773874565</v>
      </c>
      <c r="C528" s="21" t="n">
        <f aca="true">MAX(0.05,NORMINV(RAND(),$B$7,$C$7))</f>
        <v>0.232284251595029</v>
      </c>
      <c r="D528" s="33" t="n">
        <f aca="true">MAX(0.08,NORMINV(RAND(),$B$8,$C$8))</f>
        <v>0.128413621528239</v>
      </c>
      <c r="E528" s="56" t="n">
        <f aca="true">MAX(5,NORMINV(RAND(),$B$9,$C$9))</f>
        <v>9.82828702243494</v>
      </c>
      <c r="F528" s="26" t="n">
        <f aca="false">$B$18*(1+(B528+$B$17)/2)^9</f>
        <v>5517.33913871691</v>
      </c>
      <c r="G528" s="26" t="n">
        <f aca="false">F528*(C528-Assumptions!$F$18)+$B$20</f>
        <v>756.148822085455</v>
      </c>
      <c r="H528" s="26" t="n">
        <f aca="false">E528*G528/(1+D528)^9</f>
        <v>2505.3605258935</v>
      </c>
      <c r="I528" s="26" t="n">
        <f aca="false">$B$13*F528/$B$19*((1+$B$8)/(1+D528))^4.5</f>
        <v>-2801.81428820342</v>
      </c>
      <c r="J528" s="26" t="n">
        <f aca="false">H528+I528+$B$14</f>
        <v>1468.72431988186</v>
      </c>
      <c r="K528" s="44" t="n">
        <f aca="false">J528/$B$15</f>
        <v>3.61754758591591</v>
      </c>
    </row>
    <row r="529" customFormat="false" ht="15" hidden="false" customHeight="false" outlineLevel="0" collapsed="false">
      <c r="A529" s="55" t="n">
        <v>489</v>
      </c>
      <c r="B529" s="21" t="n">
        <f aca="true">NORMINV(RAND(),$B$6,$C$6)</f>
        <v>0.653123222093747</v>
      </c>
      <c r="C529" s="21" t="n">
        <f aca="true">MAX(0.05,NORMINV(RAND(),$B$7,$C$7))</f>
        <v>0.22473538189102</v>
      </c>
      <c r="D529" s="33" t="n">
        <f aca="true">MAX(0.08,NORMINV(RAND(),$B$8,$C$8))</f>
        <v>0.141208105064249</v>
      </c>
      <c r="E529" s="56" t="n">
        <f aca="true">MAX(5,NORMINV(RAND(),$B$9,$C$9))</f>
        <v>15.5232575336706</v>
      </c>
      <c r="F529" s="26" t="n">
        <f aca="false">$B$18*(1+(B529+$B$17)/2)^9</f>
        <v>5149.816702768</v>
      </c>
      <c r="G529" s="26" t="n">
        <f aca="false">F529*(C529-Assumptions!$F$18)+$B$20</f>
        <v>646.604750255908</v>
      </c>
      <c r="H529" s="26" t="n">
        <f aca="false">E529*G529/(1+D529)^9</f>
        <v>3057.30049401904</v>
      </c>
      <c r="I529" s="26" t="n">
        <f aca="false">$B$13*F529/$B$19*((1+$B$8)/(1+D529))^4.5</f>
        <v>-2485.80503920457</v>
      </c>
      <c r="J529" s="26" t="n">
        <f aca="false">H529+I529+$B$14</f>
        <v>2336.67353700624</v>
      </c>
      <c r="K529" s="44" t="n">
        <f aca="false">J529/$B$15</f>
        <v>5.75535353942425</v>
      </c>
    </row>
    <row r="530" customFormat="false" ht="15" hidden="false" customHeight="false" outlineLevel="0" collapsed="false">
      <c r="A530" s="55" t="n">
        <v>490</v>
      </c>
      <c r="B530" s="21" t="n">
        <f aca="true">NORMINV(RAND(),$B$6,$C$6)</f>
        <v>0.639557387408288</v>
      </c>
      <c r="C530" s="21" t="n">
        <f aca="true">MAX(0.05,NORMINV(RAND(),$B$7,$C$7))</f>
        <v>0.235858327797083</v>
      </c>
      <c r="D530" s="33" t="n">
        <f aca="true">MAX(0.08,NORMINV(RAND(),$B$8,$C$8))</f>
        <v>0.14329812667413</v>
      </c>
      <c r="E530" s="56" t="n">
        <f aca="true">MAX(5,NORMINV(RAND(),$B$9,$C$9))</f>
        <v>19.2683451267443</v>
      </c>
      <c r="F530" s="26" t="n">
        <f aca="false">$B$18*(1+(B530+$B$17)/2)^9</f>
        <v>4937.24252539485</v>
      </c>
      <c r="G530" s="26" t="n">
        <f aca="false">F530*(C530-Assumptions!$F$18)+$B$20</f>
        <v>662.251459953795</v>
      </c>
      <c r="H530" s="26" t="n">
        <f aca="false">E530*G530/(1+D530)^9</f>
        <v>3823.24310525246</v>
      </c>
      <c r="I530" s="26" t="n">
        <f aca="false">$B$13*F530/$B$19*((1+$B$8)/(1+D530))^4.5</f>
        <v>-2363.65372913722</v>
      </c>
      <c r="J530" s="26" t="n">
        <f aca="false">H530+I530+$B$14</f>
        <v>3224.76745830702</v>
      </c>
      <c r="K530" s="44" t="n">
        <f aca="false">J530/$B$15</f>
        <v>7.94277699090399</v>
      </c>
    </row>
    <row r="531" customFormat="false" ht="15" hidden="false" customHeight="false" outlineLevel="0" collapsed="false">
      <c r="A531" s="55" t="n">
        <v>491</v>
      </c>
      <c r="B531" s="21" t="n">
        <f aca="true">NORMINV(RAND(),$B$6,$C$6)</f>
        <v>0.53026591449005</v>
      </c>
      <c r="C531" s="21" t="n">
        <f aca="true">MAX(0.05,NORMINV(RAND(),$B$7,$C$7))</f>
        <v>0.300674647124585</v>
      </c>
      <c r="D531" s="33" t="n">
        <f aca="true">MAX(0.08,NORMINV(RAND(),$B$8,$C$8))</f>
        <v>0.16383458723092</v>
      </c>
      <c r="E531" s="56" t="n">
        <f aca="true">MAX(5,NORMINV(RAND(),$B$9,$C$9))</f>
        <v>16.9247906997677</v>
      </c>
      <c r="F531" s="26" t="n">
        <f aca="false">$B$18*(1+(B531+$B$17)/2)^9</f>
        <v>3489.63145122525</v>
      </c>
      <c r="G531" s="26" t="n">
        <f aca="false">F531*(C531-Assumptions!$F$18)+$B$20</f>
        <v>604.909842144306</v>
      </c>
      <c r="H531" s="26" t="n">
        <f aca="false">E531*G531/(1+D531)^9</f>
        <v>2613.32017574692</v>
      </c>
      <c r="I531" s="26" t="n">
        <f aca="false">$B$13*F531/$B$19*((1+$B$8)/(1+D531))^4.5</f>
        <v>-1542.00577593734</v>
      </c>
      <c r="J531" s="26" t="n">
        <f aca="false">H531+I531+$B$14</f>
        <v>2836.49248200135</v>
      </c>
      <c r="K531" s="44" t="n">
        <f aca="false">J531/$B$15</f>
        <v>6.9864346847324</v>
      </c>
    </row>
    <row r="532" customFormat="false" ht="15" hidden="false" customHeight="false" outlineLevel="0" collapsed="false">
      <c r="A532" s="55" t="n">
        <v>492</v>
      </c>
      <c r="B532" s="21" t="n">
        <f aca="true">NORMINV(RAND(),$B$6,$C$6)</f>
        <v>0.411341533142353</v>
      </c>
      <c r="C532" s="21" t="n">
        <f aca="true">MAX(0.05,NORMINV(RAND(),$B$7,$C$7))</f>
        <v>0.259681289775435</v>
      </c>
      <c r="D532" s="33" t="n">
        <f aca="true">MAX(0.08,NORMINV(RAND(),$B$8,$C$8))</f>
        <v>0.133053587428257</v>
      </c>
      <c r="E532" s="56" t="n">
        <f aca="true">MAX(5,NORMINV(RAND(),$B$9,$C$9))</f>
        <v>17.9545172015878</v>
      </c>
      <c r="F532" s="26" t="n">
        <f aca="false">$B$18*(1+(B532+$B$17)/2)^9</f>
        <v>2354.55071414268</v>
      </c>
      <c r="G532" s="26" t="n">
        <f aca="false">F532*(C532-Assumptions!$F$18)+$B$20</f>
        <v>212.502132725846</v>
      </c>
      <c r="H532" s="26" t="n">
        <f aca="false">E532*G532/(1+D532)^9</f>
        <v>1239.60401128732</v>
      </c>
      <c r="I532" s="26" t="n">
        <f aca="false">$B$13*F532/$B$19*((1+$B$8)/(1+D532))^4.5</f>
        <v>-1173.81087634876</v>
      </c>
      <c r="J532" s="26" t="n">
        <f aca="false">H532+I532+$B$14</f>
        <v>1830.97121713034</v>
      </c>
      <c r="K532" s="44" t="n">
        <f aca="false">J532/$B$15</f>
        <v>4.50978132298113</v>
      </c>
    </row>
    <row r="533" customFormat="false" ht="15" hidden="false" customHeight="false" outlineLevel="0" collapsed="false">
      <c r="A533" s="55" t="n">
        <v>493</v>
      </c>
      <c r="B533" s="21" t="n">
        <f aca="true">NORMINV(RAND(),$B$6,$C$6)</f>
        <v>0.508195618744938</v>
      </c>
      <c r="C533" s="21" t="n">
        <f aca="true">MAX(0.05,NORMINV(RAND(),$B$7,$C$7))</f>
        <v>0.287669633777867</v>
      </c>
      <c r="D533" s="33" t="n">
        <f aca="true">MAX(0.08,NORMINV(RAND(),$B$8,$C$8))</f>
        <v>0.138009704225247</v>
      </c>
      <c r="E533" s="56" t="n">
        <f aca="true">MAX(5,NORMINV(RAND(),$B$9,$C$9))</f>
        <v>20.5841542486584</v>
      </c>
      <c r="F533" s="26" t="n">
        <f aca="false">$B$18*(1+(B533+$B$17)/2)^9</f>
        <v>3248.09051021064</v>
      </c>
      <c r="G533" s="26" t="n">
        <f aca="false">F533*(C533-Assumptions!$F$18)+$B$20</f>
        <v>499.704782142545</v>
      </c>
      <c r="H533" s="26" t="n">
        <f aca="false">E533*G533/(1+D533)^9</f>
        <v>3213.16364170394</v>
      </c>
      <c r="I533" s="26" t="n">
        <f aca="false">$B$13*F533/$B$19*((1+$B$8)/(1+D533))^4.5</f>
        <v>-1587.77289612101</v>
      </c>
      <c r="J533" s="26" t="n">
        <f aca="false">H533+I533+$B$14</f>
        <v>3390.56882777471</v>
      </c>
      <c r="K533" s="44" t="n">
        <f aca="false">J533/$B$15</f>
        <v>8.35115474821357</v>
      </c>
    </row>
    <row r="534" customFormat="false" ht="15" hidden="false" customHeight="false" outlineLevel="0" collapsed="false">
      <c r="A534" s="55" t="n">
        <v>494</v>
      </c>
      <c r="B534" s="21" t="n">
        <f aca="true">NORMINV(RAND(),$B$6,$C$6)</f>
        <v>0.471452491581081</v>
      </c>
      <c r="C534" s="21" t="n">
        <f aca="true">MAX(0.05,NORMINV(RAND(),$B$7,$C$7))</f>
        <v>0.345043035460372</v>
      </c>
      <c r="D534" s="33" t="n">
        <f aca="true">MAX(0.08,NORMINV(RAND(),$B$8,$C$8))</f>
        <v>0.14993746152238</v>
      </c>
      <c r="E534" s="56" t="n">
        <f aca="true">MAX(5,NORMINV(RAND(),$B$9,$C$9))</f>
        <v>13.8586890095571</v>
      </c>
      <c r="F534" s="26" t="n">
        <f aca="false">$B$18*(1+(B534+$B$17)/2)^9</f>
        <v>2878.78584941471</v>
      </c>
      <c r="G534" s="26" t="n">
        <f aca="false">F534*(C534-Assumptions!$F$18)+$B$20</f>
        <v>573.404968947138</v>
      </c>
      <c r="H534" s="26" t="n">
        <f aca="false">E534*G534/(1+D534)^9</f>
        <v>2260.03727140241</v>
      </c>
      <c r="I534" s="26" t="n">
        <f aca="false">$B$13*F534/$B$19*((1+$B$8)/(1+D534))^4.5</f>
        <v>-1342.7416653638</v>
      </c>
      <c r="J534" s="26" t="n">
        <f aca="false">H534+I534+$B$14</f>
        <v>2682.47368823039</v>
      </c>
      <c r="K534" s="44" t="n">
        <f aca="false">J534/$B$15</f>
        <v>6.60707804982854</v>
      </c>
    </row>
    <row r="535" customFormat="false" ht="15" hidden="false" customHeight="false" outlineLevel="0" collapsed="false">
      <c r="A535" s="55" t="n">
        <v>495</v>
      </c>
      <c r="B535" s="21" t="n">
        <f aca="true">NORMINV(RAND(),$B$6,$C$6)</f>
        <v>0.466981565081603</v>
      </c>
      <c r="C535" s="21" t="n">
        <f aca="true">MAX(0.05,NORMINV(RAND(),$B$7,$C$7))</f>
        <v>0.245046909146754</v>
      </c>
      <c r="D535" s="33" t="n">
        <f aca="true">MAX(0.08,NORMINV(RAND(),$B$8,$C$8))</f>
        <v>0.138443841332201</v>
      </c>
      <c r="E535" s="56" t="n">
        <f aca="true">MAX(5,NORMINV(RAND(),$B$9,$C$9))</f>
        <v>16.6042111540462</v>
      </c>
      <c r="F535" s="26" t="n">
        <f aca="false">$B$18*(1+(B535+$B$17)/2)^9</f>
        <v>2836.49987982227</v>
      </c>
      <c r="G535" s="26" t="n">
        <f aca="false">F535*(C535-Assumptions!$F$18)+$B$20</f>
        <v>276.866928154006</v>
      </c>
      <c r="H535" s="26" t="n">
        <f aca="false">E535*G535/(1+D535)^9</f>
        <v>1431.14890170117</v>
      </c>
      <c r="I535" s="26" t="n">
        <f aca="false">$B$13*F535/$B$19*((1+$B$8)/(1+D535))^4.5</f>
        <v>-1384.19610049274</v>
      </c>
      <c r="J535" s="26" t="n">
        <f aca="false">H535+I535+$B$14</f>
        <v>1812.13088340021</v>
      </c>
      <c r="K535" s="44" t="n">
        <f aca="false">J535/$B$15</f>
        <v>4.46337656009903</v>
      </c>
    </row>
    <row r="536" customFormat="false" ht="15" hidden="false" customHeight="false" outlineLevel="0" collapsed="false">
      <c r="A536" s="55" t="n">
        <v>496</v>
      </c>
      <c r="B536" s="21" t="n">
        <f aca="true">NORMINV(RAND(),$B$6,$C$6)</f>
        <v>0.607488732197359</v>
      </c>
      <c r="C536" s="21" t="n">
        <f aca="true">MAX(0.05,NORMINV(RAND(),$B$7,$C$7))</f>
        <v>0.350664051266106</v>
      </c>
      <c r="D536" s="33" t="n">
        <f aca="true">MAX(0.08,NORMINV(RAND(),$B$8,$C$8))</f>
        <v>0.119220525857712</v>
      </c>
      <c r="E536" s="56" t="n">
        <f aca="true">MAX(5,NORMINV(RAND(),$B$9,$C$9))</f>
        <v>16.4142806809262</v>
      </c>
      <c r="F536" s="26" t="n">
        <f aca="false">$B$18*(1+(B536+$B$17)/2)^9</f>
        <v>4465.42997122092</v>
      </c>
      <c r="G536" s="26" t="n">
        <f aca="false">F536*(C536-Assumptions!$F$18)+$B$20</f>
        <v>1082.49996050589</v>
      </c>
      <c r="H536" s="26" t="n">
        <f aca="false">E536*G536/(1+D536)^9</f>
        <v>6447.75828658243</v>
      </c>
      <c r="I536" s="26" t="n">
        <f aca="false">$B$13*F536/$B$19*((1+$B$8)/(1+D536))^4.5</f>
        <v>-2352.66391202172</v>
      </c>
      <c r="J536" s="26" t="n">
        <f aca="false">H536+I536+$B$14</f>
        <v>5860.27245675249</v>
      </c>
      <c r="K536" s="44" t="n">
        <f aca="false">J536/$B$15</f>
        <v>14.4341686126909</v>
      </c>
    </row>
    <row r="537" customFormat="false" ht="15" hidden="false" customHeight="false" outlineLevel="0" collapsed="false">
      <c r="A537" s="55" t="n">
        <v>497</v>
      </c>
      <c r="B537" s="21" t="n">
        <f aca="true">NORMINV(RAND(),$B$6,$C$6)</f>
        <v>0.555426715589341</v>
      </c>
      <c r="C537" s="21" t="n">
        <f aca="true">MAX(0.05,NORMINV(RAND(),$B$7,$C$7))</f>
        <v>0.256725790808274</v>
      </c>
      <c r="D537" s="33" t="n">
        <f aca="true">MAX(0.08,NORMINV(RAND(),$B$8,$C$8))</f>
        <v>0.139388583593148</v>
      </c>
      <c r="E537" s="56" t="n">
        <f aca="true">MAX(5,NORMINV(RAND(),$B$9,$C$9))</f>
        <v>10.9362008155622</v>
      </c>
      <c r="F537" s="26" t="n">
        <f aca="false">$B$18*(1+(B537+$B$17)/2)^9</f>
        <v>3784.36397491545</v>
      </c>
      <c r="G537" s="26" t="n">
        <f aca="false">F537*(C537-Assumptions!$F$18)+$B$20</f>
        <v>515.420670171204</v>
      </c>
      <c r="H537" s="26" t="n">
        <f aca="false">E537*G537/(1+D537)^9</f>
        <v>1741.73281863379</v>
      </c>
      <c r="I537" s="26" t="n">
        <f aca="false">$B$13*F537/$B$19*((1+$B$8)/(1+D537))^4.5</f>
        <v>-1839.86780250119</v>
      </c>
      <c r="J537" s="26" t="n">
        <f aca="false">H537+I537+$B$14</f>
        <v>1667.04309832439</v>
      </c>
      <c r="K537" s="44" t="n">
        <f aca="false">J537/$B$15</f>
        <v>4.1060174835576</v>
      </c>
    </row>
    <row r="538" customFormat="false" ht="15" hidden="false" customHeight="false" outlineLevel="0" collapsed="false">
      <c r="A538" s="55" t="n">
        <v>498</v>
      </c>
      <c r="B538" s="21" t="n">
        <f aca="true">NORMINV(RAND(),$B$6,$C$6)</f>
        <v>0.35310492889665</v>
      </c>
      <c r="C538" s="21" t="n">
        <f aca="true">MAX(0.05,NORMINV(RAND(),$B$7,$C$7))</f>
        <v>0.258478340167277</v>
      </c>
      <c r="D538" s="33" t="n">
        <f aca="true">MAX(0.08,NORMINV(RAND(),$B$8,$C$8))</f>
        <v>0.166982872642274</v>
      </c>
      <c r="E538" s="56" t="n">
        <f aca="true">MAX(5,NORMINV(RAND(),$B$9,$C$9))</f>
        <v>17.3688648179165</v>
      </c>
      <c r="F538" s="26" t="n">
        <f aca="false">$B$18*(1+(B538+$B$17)/2)^9</f>
        <v>1929.42372542545</v>
      </c>
      <c r="G538" s="26" t="n">
        <f aca="false">F538*(C538-Assumptions!$F$18)+$B$20</f>
        <v>116.788688011627</v>
      </c>
      <c r="H538" s="26" t="n">
        <f aca="false">E538*G538/(1+D538)^9</f>
        <v>505.34954108133</v>
      </c>
      <c r="I538" s="26" t="n">
        <f aca="false">$B$13*F538/$B$19*((1+$B$8)/(1+D538))^4.5</f>
        <v>-842.276242625779</v>
      </c>
      <c r="J538" s="26" t="n">
        <f aca="false">H538+I538+$B$14</f>
        <v>1428.25138064733</v>
      </c>
      <c r="K538" s="44" t="n">
        <f aca="false">J538/$B$15</f>
        <v>3.51786054346634</v>
      </c>
    </row>
    <row r="539" customFormat="false" ht="15" hidden="false" customHeight="false" outlineLevel="0" collapsed="false">
      <c r="A539" s="55" t="n">
        <v>499</v>
      </c>
      <c r="B539" s="21" t="n">
        <f aca="true">NORMINV(RAND(),$B$6,$C$6)</f>
        <v>0.505704783728003</v>
      </c>
      <c r="C539" s="21" t="n">
        <f aca="true">MAX(0.05,NORMINV(RAND(),$B$7,$C$7))</f>
        <v>0.257350734930373</v>
      </c>
      <c r="D539" s="33" t="n">
        <f aca="true">MAX(0.08,NORMINV(RAND(),$B$8,$C$8))</f>
        <v>0.131962267139879</v>
      </c>
      <c r="E539" s="56" t="n">
        <f aca="true">MAX(5,NORMINV(RAND(),$B$9,$C$9))</f>
        <v>19.994075620084</v>
      </c>
      <c r="F539" s="26" t="n">
        <f aca="false">$B$18*(1+(B539+$B$17)/2)^9</f>
        <v>3221.78648479837</v>
      </c>
      <c r="G539" s="26" t="n">
        <f aca="false">F539*(C539-Assumptions!$F$18)+$B$20</f>
        <v>395.509055260981</v>
      </c>
      <c r="H539" s="26" t="n">
        <f aca="false">E539*G539/(1+D539)^9</f>
        <v>2591.61335191786</v>
      </c>
      <c r="I539" s="26" t="n">
        <f aca="false">$B$13*F539/$B$19*((1+$B$8)/(1+D539))^4.5</f>
        <v>-1613.1326631157</v>
      </c>
      <c r="J539" s="26" t="n">
        <f aca="false">H539+I539+$B$14</f>
        <v>2743.65877099394</v>
      </c>
      <c r="K539" s="44" t="n">
        <f aca="false">J539/$B$15</f>
        <v>6.757780224123</v>
      </c>
    </row>
    <row r="540" customFormat="false" ht="15" hidden="false" customHeight="false" outlineLevel="0" collapsed="false">
      <c r="A540" s="55" t="n">
        <v>500</v>
      </c>
      <c r="B540" s="21" t="n">
        <f aca="true">NORMINV(RAND(),$B$6,$C$6)</f>
        <v>0.657889638465425</v>
      </c>
      <c r="C540" s="21" t="n">
        <f aca="true">MAX(0.05,NORMINV(RAND(),$B$7,$C$7))</f>
        <v>0.282183372639204</v>
      </c>
      <c r="D540" s="33" t="n">
        <f aca="true">MAX(0.08,NORMINV(RAND(),$B$8,$C$8))</f>
        <v>0.122043258889159</v>
      </c>
      <c r="E540" s="56" t="n">
        <f aca="true">MAX(5,NORMINV(RAND(),$B$9,$C$9))</f>
        <v>12.8707974156805</v>
      </c>
      <c r="F540" s="26" t="n">
        <f aca="false">$B$18*(1+(B540+$B$17)/2)^9</f>
        <v>5226.41418343377</v>
      </c>
      <c r="G540" s="26" t="n">
        <f aca="false">F540*(C540-Assumptions!$F$18)+$B$20</f>
        <v>961.002008754672</v>
      </c>
      <c r="H540" s="26" t="n">
        <f aca="false">E540*G540/(1+D540)^9</f>
        <v>4387.76482330185</v>
      </c>
      <c r="I540" s="26" t="n">
        <f aca="false">$B$13*F540/$B$19*((1+$B$8)/(1+D540))^4.5</f>
        <v>-2722.56166913053</v>
      </c>
      <c r="J540" s="26" t="n">
        <f aca="false">H540+I540+$B$14</f>
        <v>3430.3812363631</v>
      </c>
      <c r="K540" s="44" t="n">
        <f aca="false">J540/$B$15</f>
        <v>8.44921486788941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0"/>
    <col collapsed="false" customWidth="true" hidden="false" outlineLevel="0" max="5" min="4" style="0" width="9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418</v>
      </c>
    </row>
    <row r="2" customFormat="false" ht="15" hidden="false" customHeight="false" outlineLevel="0" collapsed="false">
      <c r="A2" s="11" t="str">
        <f aca="false">CONCATENATE("Current price: $",TEXT(Assumptions!B46,"0.00"),"   ·   Scenario: ",CHOOSE(Assumptions!B4,"BASE","BULL","BEAR"),"   ·   Probability-weighted value: $",TEXT(Monte_Carlo!C37,"0.00"))</f>
        <v>Current price: $14.02   ·   Scenario: BASE   ·   Probability-weighted value: $8.40</v>
      </c>
    </row>
    <row r="4" customFormat="false" ht="15" hidden="false" customHeight="false" outlineLevel="0" collapsed="false">
      <c r="A4" s="12" t="s">
        <v>419</v>
      </c>
      <c r="B4" s="12" t="s">
        <v>282</v>
      </c>
      <c r="C4" s="12" t="s">
        <v>283</v>
      </c>
      <c r="D4" s="12" t="s">
        <v>420</v>
      </c>
      <c r="E4" s="12" t="s">
        <v>421</v>
      </c>
      <c r="F4" s="12" t="s">
        <v>422</v>
      </c>
    </row>
    <row r="5" customFormat="false" ht="15" hidden="false" customHeight="false" outlineLevel="0" collapsed="false">
      <c r="A5" s="3" t="s">
        <v>423</v>
      </c>
      <c r="B5" s="57" t="n">
        <v>13.2</v>
      </c>
      <c r="C5" s="57" t="n">
        <v>30.7</v>
      </c>
      <c r="D5" s="58" t="n">
        <f aca="false">B5</f>
        <v>13.2</v>
      </c>
      <c r="E5" s="58" t="n">
        <f aca="false">C5-B5</f>
        <v>17.5</v>
      </c>
      <c r="F5" s="40" t="n">
        <f aca="false">(B5+C5)/2</f>
        <v>21.95</v>
      </c>
    </row>
    <row r="6" customFormat="false" ht="15" hidden="false" customHeight="false" outlineLevel="0" collapsed="false">
      <c r="A6" s="3" t="s">
        <v>424</v>
      </c>
      <c r="B6" s="57" t="n">
        <v>28</v>
      </c>
      <c r="C6" s="57" t="n">
        <v>57</v>
      </c>
      <c r="D6" s="58" t="n">
        <f aca="false">B6</f>
        <v>28</v>
      </c>
      <c r="E6" s="58" t="n">
        <f aca="false">C6-B6</f>
        <v>29</v>
      </c>
      <c r="F6" s="40" t="n">
        <f aca="false">(B6+C6)/2</f>
        <v>42.5</v>
      </c>
    </row>
    <row r="7" customFormat="false" ht="15" hidden="false" customHeight="false" outlineLevel="0" collapsed="false">
      <c r="A7" s="3" t="s">
        <v>425</v>
      </c>
      <c r="B7" s="54" t="n">
        <f aca="false">(SUMPRODUCT(DCF!$B$10:$J$10,(1+(WACC!$B$20+0.015))^-DCF!$B$11:$J$11)+DCF!$J$10*(1+0.03)/((WACC!$B$20+0.015)-0.03)/(1+(WACC!$B$20+0.015))^9+DCF!$B$31)/DCF!$B$32</f>
        <v>1.45578493540695</v>
      </c>
      <c r="C7" s="54" t="n">
        <f aca="false">(SUMPRODUCT(DCF!$B$10:$J$10,(1+(WACC!$B$20-0.015))^-DCF!$B$11:$J$11)+DCF!$J$10*(1+0.04)/((WACC!$B$20-0.015)-0.04)/(1+(WACC!$B$20-0.015))^9+DCF!$B$31)/DCF!$B$32</f>
        <v>2.3751307437613</v>
      </c>
      <c r="D7" s="58" t="n">
        <f aca="false">B7</f>
        <v>1.45578493540695</v>
      </c>
      <c r="E7" s="58" t="n">
        <f aca="false">C7-B7</f>
        <v>0.919345808354354</v>
      </c>
      <c r="F7" s="40" t="n">
        <f aca="false">(B7+C7)/2</f>
        <v>1.91545783958412</v>
      </c>
    </row>
    <row r="8" customFormat="false" ht="15" hidden="false" customHeight="false" outlineLevel="0" collapsed="false">
      <c r="A8" s="3" t="s">
        <v>426</v>
      </c>
      <c r="B8" s="54" t="n">
        <f aca="false">(SUMPRODUCT(DCF!$B$10:$J$10,(1+(WACC!$B$20+0.015))^-DCF!$B$11:$J$11)+12.5*Model_3S!$L$20/(1+(WACC!$B$20+0.015))^9+DCF!$B$31)/DCF!$B$32</f>
        <v>5.50708931783845</v>
      </c>
      <c r="C8" s="54" t="n">
        <f aca="false">(SUMPRODUCT(DCF!$B$10:$J$10,(1+(WACC!$B$20-0.015))^-DCF!$B$11:$J$11)+17.5*Model_3S!$L$20/(1+(WACC!$B$20-0.015))^9+DCF!$B$31)/DCF!$B$32</f>
        <v>9.42400840069321</v>
      </c>
      <c r="D8" s="58" t="n">
        <f aca="false">B8</f>
        <v>5.50708931783845</v>
      </c>
      <c r="E8" s="58" t="n">
        <f aca="false">C8-B8</f>
        <v>3.91691908285476</v>
      </c>
      <c r="F8" s="40" t="n">
        <f aca="false">(B8+C8)/2</f>
        <v>7.46554885926583</v>
      </c>
    </row>
    <row r="9" customFormat="false" ht="15" hidden="false" customHeight="false" outlineLevel="0" collapsed="false">
      <c r="A9" s="3" t="s">
        <v>427</v>
      </c>
      <c r="B9" s="54" t="n">
        <f aca="false">Comps!E13</f>
        <v>14.2615223699305</v>
      </c>
      <c r="C9" s="54" t="n">
        <f aca="false">Comps!F13</f>
        <v>24.1753154733788</v>
      </c>
      <c r="D9" s="58" t="n">
        <f aca="false">B9</f>
        <v>14.2615223699305</v>
      </c>
      <c r="E9" s="58" t="n">
        <f aca="false">C9-B9</f>
        <v>9.91379310344828</v>
      </c>
      <c r="F9" s="40" t="n">
        <f aca="false">(B9+C9)/2</f>
        <v>19.2184189216546</v>
      </c>
    </row>
    <row r="10" customFormat="false" ht="15" hidden="false" customHeight="false" outlineLevel="0" collapsed="false">
      <c r="A10" s="3" t="s">
        <v>428</v>
      </c>
      <c r="B10" s="54" t="n">
        <f aca="false">Comps!E14</f>
        <v>9.55790365335774</v>
      </c>
      <c r="C10" s="54" t="n">
        <f aca="false">Comps!F14</f>
        <v>14.7680780402333</v>
      </c>
      <c r="D10" s="58" t="n">
        <f aca="false">B10</f>
        <v>9.55790365335774</v>
      </c>
      <c r="E10" s="58" t="n">
        <f aca="false">C10-B10</f>
        <v>5.21017438687552</v>
      </c>
      <c r="F10" s="40" t="n">
        <f aca="false">(B10+C10)/2</f>
        <v>12.1629908467955</v>
      </c>
    </row>
    <row r="11" customFormat="false" ht="15" hidden="false" customHeight="false" outlineLevel="0" collapsed="false">
      <c r="A11" s="3" t="s">
        <v>429</v>
      </c>
      <c r="B11" s="54" t="n">
        <f aca="false">Precedents!B16</f>
        <v>11.4290100546596</v>
      </c>
      <c r="C11" s="54" t="n">
        <f aca="false">Precedents!C16</f>
        <v>19.9265470004724</v>
      </c>
      <c r="D11" s="58" t="n">
        <f aca="false">B11</f>
        <v>11.4290100546596</v>
      </c>
      <c r="E11" s="58" t="n">
        <f aca="false">C11-B11</f>
        <v>8.49753694581281</v>
      </c>
      <c r="F11" s="40" t="n">
        <f aca="false">(B11+C11)/2</f>
        <v>15.677778527566</v>
      </c>
    </row>
    <row r="12" customFormat="false" ht="15" hidden="false" customHeight="false" outlineLevel="0" collapsed="false">
      <c r="A12" s="3" t="s">
        <v>430</v>
      </c>
      <c r="B12" s="54" t="n">
        <f aca="false">LBO!D32</f>
        <v>3.88022442724951</v>
      </c>
      <c r="C12" s="54" t="n">
        <f aca="false">LBO!D30</f>
        <v>6.49499027765722</v>
      </c>
      <c r="D12" s="58" t="n">
        <f aca="false">B12</f>
        <v>3.88022442724951</v>
      </c>
      <c r="E12" s="58" t="n">
        <f aca="false">C12-B12</f>
        <v>2.61476585040772</v>
      </c>
      <c r="F12" s="40" t="n">
        <f aca="false">(B12+C12)/2</f>
        <v>5.18760735245337</v>
      </c>
    </row>
    <row r="13" customFormat="false" ht="15" hidden="false" customHeight="false" outlineLevel="0" collapsed="false">
      <c r="A13" s="3" t="s">
        <v>431</v>
      </c>
      <c r="B13" s="54" t="n">
        <f aca="false">Monte_Carlo!B27</f>
        <v>5.2382987621299</v>
      </c>
      <c r="C13" s="54" t="n">
        <f aca="false">Monte_Carlo!B28</f>
        <v>9.35919195215578</v>
      </c>
      <c r="D13" s="58" t="n">
        <f aca="false">B13</f>
        <v>5.2382987621299</v>
      </c>
      <c r="E13" s="58" t="n">
        <f aca="false">C13-B13</f>
        <v>4.12089319002587</v>
      </c>
      <c r="F13" s="40" t="n">
        <f aca="false">(B13+C13)/2</f>
        <v>7.29874535714284</v>
      </c>
    </row>
    <row r="14" customFormat="false" ht="15" hidden="false" customHeight="false" outlineLevel="0" collapsed="false">
      <c r="A14" s="3" t="s">
        <v>432</v>
      </c>
      <c r="B14" s="54" t="n">
        <f aca="false">Assumptions!B46-0.35</f>
        <v>13.67</v>
      </c>
      <c r="C14" s="54" t="n">
        <f aca="false">Assumptions!B46+0.35</f>
        <v>14.37</v>
      </c>
      <c r="D14" s="58" t="n">
        <f aca="false">B14</f>
        <v>13.67</v>
      </c>
      <c r="E14" s="58" t="n">
        <f aca="false">C14-B14</f>
        <v>0.699999999999999</v>
      </c>
      <c r="F14" s="40" t="n">
        <f aca="false">(B14+C14)/2</f>
        <v>14.02</v>
      </c>
    </row>
    <row r="16" customFormat="false" ht="15" hidden="false" customHeight="false" outlineLevel="0" collapsed="false">
      <c r="A16" s="15" t="s">
        <v>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2026-07-20T19:50:39Z</dcterms:created>
  <dc:creator>openpyxl</dc:creator>
  <dc:description/>
  <dc:language>en-US</dc:language>
  <cp:lastModifiedBy/>
  <dcterms:modified xsi:type="dcterms:W3CDTF">2026-07-20T19:50:41Z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