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Model_3S" sheetId="4" state="visible" r:id="rId6"/>
    <sheet name="WACC" sheetId="5" state="visible" r:id="rId7"/>
    <sheet name="DCF" sheetId="6" state="visible" r:id="rId8"/>
    <sheet name="Comps" sheetId="7" state="visible" r:id="rId9"/>
    <sheet name="Precedents" sheetId="8" state="visible" r:id="rId10"/>
    <sheet name="LBO" sheetId="9" state="visible" r:id="rId11"/>
    <sheet name="Monte_Carlo" sheetId="10" state="visible" r:id="rId12"/>
    <sheet name="Football_Fiel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<sst xmlns="http://schemas.openxmlformats.org/spreadsheetml/2006/main" count="500" uniqueCount="451">
  <si>
    <t xml:space="preserve">PROGRESS SOFTWARE (NASDAQ: PRGS) — DCF VALUATION &amp; 3-STATEMENT OPERATING MODEL</t>
  </si>
  <si>
    <t xml:space="preserve">Prepared July 21, 2026 · $ millions except per-share · Fiscal year ends November 30</t>
  </si>
  <si>
    <t xml:space="preserve">CONTENTS</t>
  </si>
  <si>
    <t xml:space="preserve">Assumptions</t>
  </si>
  <si>
    <t xml:space="preserve">Scenario switch &amp; levers (edit yellow cells)</t>
  </si>
  <si>
    <t xml:space="preserve">Historicals</t>
  </si>
  <si>
    <t xml:space="preserve">FY2022–FY2025 actuals, Q2 FY2026, FY2026E guidance build</t>
  </si>
  <si>
    <t xml:space="preserve">Model_3S</t>
  </si>
  <si>
    <t xml:space="preserve">Linked IS/BS/CF FY2026E–FY2035E with deleveraging debt schedule and buybacks</t>
  </si>
  <si>
    <t xml:space="preserve">WACC</t>
  </si>
  <si>
    <t xml:space="preserve">CAPM + company-specific premium (levered small-cap, breach history)</t>
  </si>
  <si>
    <t xml:space="preserve">DCF</t>
  </si>
  <si>
    <t xml:space="preserve">Unlevered FCF, Gordon + exit-multiple terminal values, sensitivities</t>
  </si>
  <si>
    <t xml:space="preserve">Comps</t>
  </si>
  <si>
    <t xml:space="preserve">Infrastructure-software value peers (OpenText, Dropbox…)</t>
  </si>
  <si>
    <t xml:space="preserve">Precedents</t>
  </si>
  <si>
    <t xml:space="preserve">Software take-privates — the natural exit for this profile</t>
  </si>
  <si>
    <t xml:space="preserve">LBO</t>
  </si>
  <si>
    <t xml:space="preserve">6.5x entry, 5.5x leverage — the first name in this series where an LBO actually pencils</t>
  </si>
  <si>
    <t xml:space="preserve">Monte_Carlo</t>
  </si>
  <si>
    <t xml:space="preserve">500 live trials + scenario probability weights</t>
  </si>
  <si>
    <t xml:space="preserve">Football_Field</t>
  </si>
  <si>
    <t xml:space="preserve">Valuation summary chart vs. current price</t>
  </si>
  <si>
    <t xml:space="preserve">LEGEND</t>
  </si>
  <si>
    <t xml:space="preserve">Blue font / yellow fill</t>
  </si>
  <si>
    <t xml:space="preserve">Hardcoded input or scenario lever — edit these</t>
  </si>
  <si>
    <t xml:space="preserve">Black font</t>
  </si>
  <si>
    <t xml:space="preserve">Formula — do not overwrite</t>
  </si>
  <si>
    <t xml:space="preserve">Green font</t>
  </si>
  <si>
    <t xml:space="preserve">Link to another sheet</t>
  </si>
  <si>
    <t xml:space="preserve">'e'</t>
  </si>
  <si>
    <t xml:space="preserve">Estimated figure — see notes</t>
  </si>
  <si>
    <t xml:space="preserve">KEY MODELING NOTES</t>
  </si>
  <si>
    <t xml:space="preserve">1.</t>
  </si>
  <si>
    <t xml:space="preserve">PRGS is a 'total growth' M&amp;A roll-up (ShareFile Oct-2024 $875mm being the latest): organic growth is ~0-3% (ARR +2% cc) and reported growth is acquisition-driven. The model projects the ORGANIC business only — future M&amp;A is optionality/risk outside the model, noted, not projected.</t>
  </si>
  <si>
    <t xml:space="preserve">2.</t>
  </si>
  <si>
    <t xml:space="preserve">Heavily levered: ~$1.2B debt (revolver+term from ShareFile) vs. $1.6B market cap; $150mm/yr paydown modeled FY26–29. Dividend was eliminated in 2024 to fund M&amp;A/deleveraging; buybacks ~$90mm/yr.</t>
  </si>
  <si>
    <t xml:space="preserve">3.</t>
  </si>
  <si>
    <t xml:space="preserve">GAAP-normalized: EBITDA excludes SBC (~9% of revenue); D&amp;A is dominated by acquired-intangible amortization that rolls off over the window.</t>
  </si>
  <si>
    <t xml:space="preserve">4.</t>
  </si>
  <si>
    <t xml:space="preserve">Risk context: MOVEit breach (2023) litigation tail, OpenEdge/legacy decay risk, and the ARR growth question are why the stock trades at ~6.4x forward non-GAAP EPS.</t>
  </si>
  <si>
    <t xml:space="preserve">KEY SOURCES</t>
  </si>
  <si>
    <t xml:space="preserve">Q2 FY2026 results (June 2026)</t>
  </si>
  <si>
    <t xml:space="preserve">investors.progress.com Q2 FY26 release: revenue $253mm (+7%, beat), non-GAAP EPS $1.62, ARR $868mm (+2% cc); guidance RAISED: FY26 revenue $990-1,002mm, non-GAAP EPS $6.09-6.21, adj FCF $271-283mm</t>
  </si>
  <si>
    <t xml:space="preserve">Market data</t>
  </si>
  <si>
    <t xml:space="preserve">stockanalysis/yahoo 7/20/26: price $39.58, 41.01mm shares (mkt cap $1.62B), beta 0.82, 52-wk $23.82-$51.28, cash ~$103mm, debt ~$1.2B; 6-analyst avg target $66.33 ($45-83), 1-yr est $50.67</t>
  </si>
  <si>
    <t xml:space="preserve">FY2022 $602mm, FY2023 $694mm, FY2024 $753mm, FY2025 ~$962mm(e, first full ShareFile year)</t>
  </si>
  <si>
    <t xml:space="preserve">10Y UST 4.55% (7/17/2026)</t>
  </si>
  <si>
    <t xml:space="preserve">tradingeconomics.com / FRED DGS10</t>
  </si>
  <si>
    <t xml:space="preserve">DISCLAIMER</t>
  </si>
  <si>
    <t xml:space="preserve">Educational model, not investment advice. Estimated cells flagged; verify against Progress filings.</t>
  </si>
  <si>
    <t xml:space="preserve">ASSUMPTIONS &amp; SCENARIO LEVERS — PROGRESS SOFTWARE</t>
  </si>
  <si>
    <t xml:space="preserve">Edit yellow cells. Switch drives Model_3S, DCF, LBO, Monte Carlo.</t>
  </si>
  <si>
    <t xml:space="preserve">SCENARIO SWITCH  (1 = Base, 2 = Bull, 3 = Bear)</t>
  </si>
  <si>
    <t xml:space="preserve">Scenario probability weights</t>
  </si>
  <si>
    <t xml:space="preserve">Base</t>
  </si>
  <si>
    <t xml:space="preserve">Bull</t>
  </si>
  <si>
    <t xml:space="preserve">Bear</t>
  </si>
  <si>
    <t xml:space="preserve">Total</t>
  </si>
  <si>
    <t xml:space="preserve">Probability</t>
  </si>
  <si>
    <t xml:space="preserve">Heavy bear weight — the market's central fear (legacy decay) deserves real probability</t>
  </si>
  <si>
    <t xml:space="preserve">Revenue growth — decays linearly FY2027 → FY2035  (ORGANIC only; no future M&amp;A projected)</t>
  </si>
  <si>
    <t xml:space="preserve">Selected</t>
  </si>
  <si>
    <t xml:space="preserve">FY2027 revenue growth</t>
  </si>
  <si>
    <t xml:space="preserve">FY2035 revenue growth (terminal-year)</t>
  </si>
  <si>
    <t xml:space="preserve">FY2026E revenue $996mm = raised guidance midpoint. ARR +2% cc is the honest organic signal.</t>
  </si>
  <si>
    <t xml:space="preserve">Operating drivers — FY2026 start ramps linearly to FY2035 target</t>
  </si>
  <si>
    <t xml:space="preserve">Driver</t>
  </si>
  <si>
    <t xml:space="preserve">FY26 start</t>
  </si>
  <si>
    <t xml:space="preserve">Base target</t>
  </si>
  <si>
    <t xml:space="preserve">Bull target</t>
  </si>
  <si>
    <t xml:space="preserve">Bear target</t>
  </si>
  <si>
    <t xml:space="preserve">Gross margin (excl. D&amp;A)</t>
  </si>
  <si>
    <t xml:space="preserve">Cash opex — R&amp;D + S&amp;M + G&amp;A (% revenue)</t>
  </si>
  <si>
    <t xml:space="preserve">Stock-based compensation (% revenue)</t>
  </si>
  <si>
    <t xml:space="preserve">D&amp;A — mostly acquired-intangible amort (% revenue)</t>
  </si>
  <si>
    <t xml:space="preserve">Capex (% revenue)</t>
  </si>
  <si>
    <t xml:space="preserve">Cash tax rate</t>
  </si>
  <si>
    <t xml:space="preserve">Other current assets (% revenue)</t>
  </si>
  <si>
    <t xml:space="preserve">Deferred revenue (% revenue)</t>
  </si>
  <si>
    <t xml:space="preserve">Implied Adj. EBITDA margin (pre-SBC): FY26 42% → Base 44% / Bull 46% / Bear 38%. Guided adj FCF $271-283mm cross-checks the FY26 start.</t>
  </si>
  <si>
    <t xml:space="preserve">Working capital (held constant)</t>
  </si>
  <si>
    <t xml:space="preserve">Days sales outstanding (DSO)</t>
  </si>
  <si>
    <t xml:space="preserve">Days inventory (none — software)</t>
  </si>
  <si>
    <t xml:space="preserve">Days payable (DPO, on COGS + cash opex)</t>
  </si>
  <si>
    <t xml:space="preserve">Capital &amp; shareholder returns</t>
  </si>
  <si>
    <t xml:space="preserve">Interest earned on cash</t>
  </si>
  <si>
    <t xml:space="preserve">Revolver interest rate</t>
  </si>
  <si>
    <t xml:space="preserve">Minimum cash balance ($mm)</t>
  </si>
  <si>
    <t xml:space="preserve">Diluted shares outstanding (mm)</t>
  </si>
  <si>
    <t xml:space="preserve">Marginal tax rate (valuation)</t>
  </si>
  <si>
    <t xml:space="preserve">Average rate on debt</t>
  </si>
  <si>
    <t xml:space="preserve">Share buybacks per year ($mm)</t>
  </si>
  <si>
    <t xml:space="preserve">Acquisitions FY2026, net cash ($mm)</t>
  </si>
  <si>
    <t xml:space="preserve">New debt issued / (repaid) FY2026 ($mm)</t>
  </si>
  <si>
    <t xml:space="preserve">$150mm/yr paydown also prefilled FY27-29 in the Model_3S issuance row (editable). Serial M&amp;A NOT projected — the roll-up engine is optionality outside this model.</t>
  </si>
  <si>
    <t xml:space="preserve">Terminal value &amp; market inputs</t>
  </si>
  <si>
    <t xml:space="preserve">Terminal (perpetuity) growth rate g</t>
  </si>
  <si>
    <t xml:space="preserve">Exit EV / Adj. EBITDA multiple (FY2035)</t>
  </si>
  <si>
    <t xml:space="preserve">Current share price (7/20/2026)</t>
  </si>
  <si>
    <t xml:space="preserve">HISTORICAL FINANCIALS  ($mm; FY ends November 30)</t>
  </si>
  <si>
    <t xml:space="preserve">FY2022A</t>
  </si>
  <si>
    <t xml:space="preserve">FY2023A</t>
  </si>
  <si>
    <t xml:space="preserve">FY2024A</t>
  </si>
  <si>
    <t xml:space="preserve">FY2025A e</t>
  </si>
  <si>
    <t xml:space="preserve">Q2-26A</t>
  </si>
  <si>
    <t xml:space="preserve">FY2026E</t>
  </si>
  <si>
    <t xml:space="preserve">Revenue</t>
  </si>
  <si>
    <t xml:space="preserve">FY26E = raised guidance midpoint ($990-1,002mm). Reported growth is M&amp;A-driven (ShareFile); ARR +2% cc is the organic truth.</t>
  </si>
  <si>
    <t xml:space="preserve">  % growth y/y</t>
  </si>
  <si>
    <t xml:space="preserve">Q2 FY26</t>
  </si>
  <si>
    <t xml:space="preserve">Revenue $253mm (+7%, beat high end) · non-GAAP EPS $1.62 (beat by $0.22) · ARR $868mm (+2% cc)</t>
  </si>
  <si>
    <t xml:space="preserve">FY2026 guidance (raised 2x)</t>
  </si>
  <si>
    <t xml:space="preserve">Revenue $990-1,002mm · non-GAAP EPS $6.09-6.21 · adjusted FCF $271-283mm</t>
  </si>
  <si>
    <t xml:space="preserve">Capital structure</t>
  </si>
  <si>
    <t xml:space="preserve">~$1.2B debt (ShareFile financing) vs $103mm cash; dividend eliminated 2024; buybacks ~$90mm/yr</t>
  </si>
  <si>
    <t xml:space="preserve">Valuation snapshot</t>
  </si>
  <si>
    <t xml:space="preserve">~6.4x forward non-GAAP EPS · ~6.5x EV/EBITDA · ~17% FCF yield on market cap</t>
  </si>
  <si>
    <t xml:space="preserve">Risk file</t>
  </si>
  <si>
    <t xml:space="preserve">MOVEit breach (2023) litigation tail · OpenEdge legacy decay · M&amp;A execution dependence</t>
  </si>
  <si>
    <t xml:space="preserve">Opening balance sheet, 11/30/2025 (estimated):</t>
  </si>
  <si>
    <t xml:space="preserve">  Cash e</t>
  </si>
  <si>
    <t xml:space="preserve">  Receivables e</t>
  </si>
  <si>
    <t xml:space="preserve">  Inventory</t>
  </si>
  <si>
    <t xml:space="preserve">  Other current assets e</t>
  </si>
  <si>
    <t xml:space="preserve">  PP&amp;E net e</t>
  </si>
  <si>
    <t xml:space="preserve">  Goodwill + intangibles + other LT e</t>
  </si>
  <si>
    <t xml:space="preserve">  AP + accrued e</t>
  </si>
  <si>
    <t xml:space="preserve">  Deferred revenue e</t>
  </si>
  <si>
    <t xml:space="preserve">  Total debt e</t>
  </si>
  <si>
    <t xml:space="preserve">  Other LT liabilities e</t>
  </si>
  <si>
    <t xml:space="preserve">Balance sheet estimated from ShareFile-era disclosures; equity is the plug (~$530mm). Sources on Cover.</t>
  </si>
  <si>
    <t xml:space="preserve">3-STATEMENT OPERATING MODEL — FY2026E–FY2035E  ($mm; FY ends November; organic business only)</t>
  </si>
  <si>
    <t xml:space="preserve">FY2025A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</si>
  <si>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</si>
  <si>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</si>
  <si>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</si>
  <si>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</si>
  <si>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</si>
  <si>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</si>
  <si>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</si>
  <si>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</si>
  <si>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</si>
  <si>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DRIVERS (linked to Assumptions; linear ramps FY26 → FY35)</t>
  </si>
  <si>
    <t xml:space="preserve">Revenue growth %</t>
  </si>
  <si>
    <t xml:space="preserve">Gross margin %</t>
  </si>
  <si>
    <t xml:space="preserve">Cash opex % rev</t>
  </si>
  <si>
    <t xml:space="preserve">SBC % rev</t>
  </si>
  <si>
    <t xml:space="preserve">D&amp;A % rev</t>
  </si>
  <si>
    <t xml:space="preserve">Capex % rev</t>
  </si>
  <si>
    <t xml:space="preserve">Cash tax rate %</t>
  </si>
  <si>
    <t xml:space="preserve">Other current assets % rev</t>
  </si>
  <si>
    <t xml:space="preserve">Deferred revenue % rev</t>
  </si>
  <si>
    <t xml:space="preserve">INCOME STATEMENT</t>
  </si>
  <si>
    <t xml:space="preserve">Cost of revenue (excl. D&amp;A)</t>
  </si>
  <si>
    <t xml:space="preserve">Gross profit</t>
  </si>
  <si>
    <t xml:space="preserve">Cash opex (R&amp;D + S&amp;M + G&amp;A)</t>
  </si>
  <si>
    <t xml:space="preserve">Adjusted EBITDA (pre-SBC)</t>
  </si>
  <si>
    <t xml:space="preserve">Stock-based compensation</t>
  </si>
  <si>
    <t xml:space="preserve">D&amp;A (acquired-intangible amort dominant)</t>
  </si>
  <si>
    <t xml:space="preserve">EBIT</t>
  </si>
  <si>
    <t xml:space="preserve">Interest income (on beginning cash)</t>
  </si>
  <si>
    <t xml:space="preserve">Interest expense (beginning debt)</t>
  </si>
  <si>
    <t xml:space="preserve">Pre-tax income</t>
  </si>
  <si>
    <t xml:space="preserve">Taxes</t>
  </si>
  <si>
    <t xml:space="preserve">Net income (GAAP-normalized)</t>
  </si>
  <si>
    <t xml:space="preserve">  EPS (constant shares; non-GAAP consensus higher via SBC/amort addbacks)</t>
  </si>
  <si>
    <t xml:space="preserve">  Adj. EBITDA margin %</t>
  </si>
  <si>
    <t xml:space="preserve">WORKING CAPITAL</t>
  </si>
  <si>
    <t xml:space="preserve">Accounts receivable</t>
  </si>
  <si>
    <t xml:space="preserve">Inventory (none)</t>
  </si>
  <si>
    <t xml:space="preserve">Other current assets</t>
  </si>
  <si>
    <t xml:space="preserve">AP + accrued</t>
  </si>
  <si>
    <t xml:space="preserve">Deferred revenue</t>
  </si>
  <si>
    <t xml:space="preserve">Net working capital</t>
  </si>
  <si>
    <t xml:space="preserve">(Increase) / decrease in NWC — cash impact</t>
  </si>
  <si>
    <t xml:space="preserve">CAPEX &amp; PP&amp;E</t>
  </si>
  <si>
    <t xml:space="preserve">Capex</t>
  </si>
  <si>
    <t xml:space="preserve">PP&amp;E, net</t>
  </si>
  <si>
    <t xml:space="preserve">90% of D&amp;A = acquired-intangible amortization (goodwill/intangibles line), 10% depreciation; PP&amp;E floored at $5mm</t>
  </si>
  <si>
    <t xml:space="preserve">DEBT SCHEDULE (ShareFile financing; $150mm/yr paydown prefilled FY26–29)</t>
  </si>
  <si>
    <t xml:space="preserve">Revolver &amp; term debt — beginning</t>
  </si>
  <si>
    <t xml:space="preserve">  Net issuance / (repayment) — input</t>
  </si>
  <si>
    <t xml:space="preserve">Revolver &amp; term debt — ending</t>
  </si>
  <si>
    <t xml:space="preserve">Backstop revolver — beginning</t>
  </si>
  <si>
    <t xml:space="preserve">  Draw (if cash &lt; minimum)</t>
  </si>
  <si>
    <t xml:space="preserve">  (Repayment)</t>
  </si>
  <si>
    <t xml:space="preserve">Backstop revolver — ending</t>
  </si>
  <si>
    <t xml:space="preserve">Total debt — ending</t>
  </si>
  <si>
    <t xml:space="preserve">CASH FLOW STATEMENT</t>
  </si>
  <si>
    <t xml:space="preserve">Net income</t>
  </si>
  <si>
    <t xml:space="preserve">+ D&amp;A</t>
  </si>
  <si>
    <t xml:space="preserve">+ Stock-based compensation</t>
  </si>
  <si>
    <t xml:space="preserve">+/- Change in NWC</t>
  </si>
  <si>
    <t xml:space="preserve">Cash from operations</t>
  </si>
  <si>
    <t xml:space="preserve">- Capex</t>
  </si>
  <si>
    <t xml:space="preserve">Free cash flow</t>
  </si>
  <si>
    <t xml:space="preserve">- Acquisitions, net (M&amp;A optionality NOT modeled)</t>
  </si>
  <si>
    <t xml:space="preserve">- Share buybacks</t>
  </si>
  <si>
    <t xml:space="preserve">+ Debt draws / (repayments)</t>
  </si>
  <si>
    <t xml:space="preserve">Net change in cash</t>
  </si>
  <si>
    <t xml:space="preserve">Cash — beginning</t>
  </si>
  <si>
    <t xml:space="preserve">Cash — ending</t>
  </si>
  <si>
    <t xml:space="preserve">BALANCE SHEET</t>
  </si>
  <si>
    <t xml:space="preserve">Cash &amp; equivalents</t>
  </si>
  <si>
    <t xml:space="preserve">Inventory</t>
  </si>
  <si>
    <t xml:space="preserve">Goodwill + intangibles + other LT</t>
  </si>
  <si>
    <t xml:space="preserve">TOTAL ASSETS</t>
  </si>
  <si>
    <t xml:space="preserve">Total debt</t>
  </si>
  <si>
    <t xml:space="preserve">Other LT liabilities</t>
  </si>
  <si>
    <t xml:space="preserve">TOTAL LIABILITIES</t>
  </si>
  <si>
    <t xml:space="preserve">Total equity (opening = plug; rolls with NI + SBC − buybacks)</t>
  </si>
  <si>
    <t xml:space="preserve">TOTAL LIABILITIES + EQUITY</t>
  </si>
  <si>
    <t xml:space="preserve">Balance check (must be 0)</t>
  </si>
  <si>
    <t xml:space="preserve">WEIGHTED AVERAGE COST OF CAPITAL — CURRENT MARKET DATA (JULY 2026)</t>
  </si>
  <si>
    <t xml:space="preserve">COST OF EQUITY (CAPM)</t>
  </si>
  <si>
    <t xml:space="preserve">Risk-free rate — 10Y UST, 7/17/2026</t>
  </si>
  <si>
    <t xml:space="preserve">Levered beta</t>
  </si>
  <si>
    <t xml:space="preserve">Yahoo 5Y monthly — low beta reflects defensive recurring revenue</t>
  </si>
  <si>
    <t xml:space="preserve">Equity risk premium</t>
  </si>
  <si>
    <t xml:space="preserve">Damodaran implied ERP, mid-2026</t>
  </si>
  <si>
    <t xml:space="preserve">Company-specific premium</t>
  </si>
  <si>
    <t xml:space="preserve">Added: small-cap, high leverage, MOVEit litigation tail, M&amp;A dependence — beta alone understates risk</t>
  </si>
  <si>
    <t xml:space="preserve">Cost of equity</t>
  </si>
  <si>
    <t xml:space="preserve">COST OF DEBT</t>
  </si>
  <si>
    <t xml:space="preserve">Pre-tax cost of debt</t>
  </si>
  <si>
    <t xml:space="preserve">Revolver/term (ShareFile financing)</t>
  </si>
  <si>
    <t xml:space="preserve">Tax rate</t>
  </si>
  <si>
    <t xml:space="preserve">After-tax cost of debt</t>
  </si>
  <si>
    <t xml:space="preserve">CAPITAL STRUCTURE (market weights)</t>
  </si>
  <si>
    <t xml:space="preserve">Debt / total capitalization</t>
  </si>
  <si>
    <t xml:space="preserve">$1.2B debt vs $1.62B market cap</t>
  </si>
  <si>
    <t xml:space="preserve">Equity / total capitalization</t>
  </si>
  <si>
    <t xml:space="preserve">WACC ≈ 8.1%. Sensitivity range in DCF tables: 7.1% – 9.1%. High debt weight lowers WACC — and raises equity risk; both effects are real.</t>
  </si>
  <si>
    <t xml:space="preserve">DISCOUNTED CASH FLOW — UNLEVERED FCF  ($mm; valuation as of FY2026 year-end, mid-year convention)</t>
  </si>
  <si>
    <t xml:space="preserve">EBIT (post-SBC)</t>
  </si>
  <si>
    <t xml:space="preserve">Cash taxes on EBIT</t>
  </si>
  <si>
    <t xml:space="preserve">− Capex</t>
  </si>
  <si>
    <t xml:space="preserve">+/− Change in NWC</t>
  </si>
  <si>
    <t xml:space="preserve">Unlevered free cash flow</t>
  </si>
  <si>
    <t xml:space="preserve">Discount period (mid-year)</t>
  </si>
  <si>
    <t xml:space="preserve">Discount factor @ WACC</t>
  </si>
  <si>
    <t xml:space="preserve">PV of FCF</t>
  </si>
  <si>
    <t xml:space="preserve">Sum of PV of explicit FCF (FY27–35)</t>
  </si>
  <si>
    <t xml:space="preserve">TERMINAL VALUE — METHOD 1: GORDON GROWTH</t>
  </si>
  <si>
    <t xml:space="preserve">Terminal growth g</t>
  </si>
  <si>
    <t xml:space="preserve">Terminal value</t>
  </si>
  <si>
    <t xml:space="preserve">PV of terminal value (9.0 yrs)</t>
  </si>
  <si>
    <t xml:space="preserve">  Implied exit EV/EBITDA</t>
  </si>
  <si>
    <t xml:space="preserve">TERMINAL VALUE — METHOD 2: EXIT MULTIPLE</t>
  </si>
  <si>
    <t xml:space="preserve">Exit EV/Adj. EBITDA multiple</t>
  </si>
  <si>
    <t xml:space="preserve">PV of terminal value</t>
  </si>
  <si>
    <t xml:space="preserve">  Implied perpetuity growth</t>
  </si>
  <si>
    <t xml:space="preserve">ENTERPRISE → EQUITY VALUE BRIDGE</t>
  </si>
  <si>
    <t xml:space="preserve">Net debt, FY2026E year-end (debt − cash)</t>
  </si>
  <si>
    <t xml:space="preserve">Diluted shares (mm)</t>
  </si>
  <si>
    <t xml:space="preserve">Gordon growth</t>
  </si>
  <si>
    <t xml:space="preserve">Exit multiple</t>
  </si>
  <si>
    <t xml:space="preserve">Average</t>
  </si>
  <si>
    <t xml:space="preserve">Enterprise value</t>
  </si>
  <si>
    <t xml:space="preserve">− Net debt</t>
  </si>
  <si>
    <t xml:space="preserve">Equity value</t>
  </si>
  <si>
    <t xml:space="preserve">Implied value per share</t>
  </si>
  <si>
    <t xml:space="preserve">Upside / (downside) vs current price</t>
  </si>
  <si>
    <t xml:space="preserve">SENSITIVITY — VALUE PER SHARE: WACC × TERMINAL GROWTH (Gordon)</t>
  </si>
  <si>
    <t xml:space="preserve">WACC \ g</t>
  </si>
  <si>
    <t xml:space="preserve">SENSITIVITY — VALUE PER SHARE: WACC × EXIT EV/EBITDA MULTIPLE</t>
  </si>
  <si>
    <t xml:space="preserve">WACC \ x</t>
  </si>
  <si>
    <t xml:space="preserve">SENSITIVITY — VALUE PER SHARE: FY2027 GROWTH × TERMINAL ADJ. EBITDA MARGIN  (compact approximation, exit-multiple TV)</t>
  </si>
  <si>
    <t xml:space="preserve">FY27 g \ margin</t>
  </si>
  <si>
    <t xml:space="preserve">TRADING COMPARABLES — INFRASTRUCTURE-SOFTWARE VALUE  (July 2026; peer multiples estimated)</t>
  </si>
  <si>
    <t xml:space="preserve">Company</t>
  </si>
  <si>
    <t xml:space="preserve">Ticker</t>
  </si>
  <si>
    <t xml:space="preserve">EV/Revenue</t>
  </si>
  <si>
    <t xml:space="preserve">EV/EBITDA</t>
  </si>
  <si>
    <t xml:space="preserve">Note</t>
  </si>
  <si>
    <t xml:space="preserve">OpenText</t>
  </si>
  <si>
    <t xml:space="preserve">OTEX</t>
  </si>
  <si>
    <t xml:space="preserve">e — the closest analog: levered software roll-up</t>
  </si>
  <si>
    <t xml:space="preserve">Dropbox</t>
  </si>
  <si>
    <t xml:space="preserve">DBX</t>
  </si>
  <si>
    <t xml:space="preserve">e — low-growth cash cow, buyback story</t>
  </si>
  <si>
    <t xml:space="preserve">Gen Digital</t>
  </si>
  <si>
    <t xml:space="preserve">GEN</t>
  </si>
  <si>
    <t xml:space="preserve">e — recurring consumer software, levered</t>
  </si>
  <si>
    <t xml:space="preserve">Progress (self, current)</t>
  </si>
  <si>
    <t xml:space="preserve">PRGS</t>
  </si>
  <si>
    <t xml:space="preserve">computed below</t>
  </si>
  <si>
    <t xml:space="preserve">Peer median (ex-PRGS)</t>
  </si>
  <si>
    <t xml:space="preserve">IMPLIED VALUE PER SHARE</t>
  </si>
  <si>
    <t xml:space="preserve">Method</t>
  </si>
  <si>
    <t xml:space="preserve">Low x</t>
  </si>
  <si>
    <t xml:space="preserve">High x</t>
  </si>
  <si>
    <t xml:space="preserve">Metric</t>
  </si>
  <si>
    <t xml:space="preserve">$/sh low</t>
  </si>
  <si>
    <t xml:space="preserve">$/sh high</t>
  </si>
  <si>
    <t xml:space="preserve">EV/Adj. EBITDA × FY2026E ($mm)</t>
  </si>
  <si>
    <t xml:space="preserve">P/E × FY2026E non-GAAP EPS guide ($6.15)</t>
  </si>
  <si>
    <t xml:space="preserve">PRECEDENT TRANSACTIONS — SOFTWARE TAKE-PRIVATES  (PRGS's natural end-state)</t>
  </si>
  <si>
    <t xml:space="preserve">Date</t>
  </si>
  <si>
    <t xml:space="preserve">Acquirer</t>
  </si>
  <si>
    <t xml:space="preserve">Target</t>
  </si>
  <si>
    <t xml:space="preserve">EV ($mm)</t>
  </si>
  <si>
    <t xml:space="preserve">Jan-2022</t>
  </si>
  <si>
    <t xml:space="preserve">Vista / Evergreen</t>
  </si>
  <si>
    <t xml:space="preserve">Citrix</t>
  </si>
  <si>
    <t xml:space="preserve">e — mature infrastructure software</t>
  </si>
  <si>
    <t xml:space="preserve">Aug-2022</t>
  </si>
  <si>
    <t xml:space="preserve">Micro Focus</t>
  </si>
  <si>
    <t xml:space="preserve">e — the closest analog: declining legacy roll-up</t>
  </si>
  <si>
    <t xml:space="preserve">Jul-2023</t>
  </si>
  <si>
    <t xml:space="preserve">Francisco Partners/TPG</t>
  </si>
  <si>
    <t xml:space="preserve">New Relic</t>
  </si>
  <si>
    <t xml:space="preserve">e</t>
  </si>
  <si>
    <t xml:space="preserve">Feb-2024</t>
  </si>
  <si>
    <t xml:space="preserve">Thoma Bravo</t>
  </si>
  <si>
    <t xml:space="preserve">Everbridge</t>
  </si>
  <si>
    <t xml:space="preserve">Sep-2024</t>
  </si>
  <si>
    <t xml:space="preserve">Vista / Blackstone</t>
  </si>
  <si>
    <t xml:space="preserve">Smartsheet</t>
  </si>
  <si>
    <t xml:space="preserve">e — higher growth than PRGS</t>
  </si>
  <si>
    <t xml:space="preserve">Median EV/EBITDA</t>
  </si>
  <si>
    <t xml:space="preserve">APPLIED RANGE</t>
  </si>
  <si>
    <t xml:space="preserve">PE has bought this exact profile (FCF-rich, low-growth, recurring software) at 6.5–14x EBITDA all cycle. PRGS at ~6.5x trades at the BOTTOM of the take-private band — the private-equity bid is a real valuation floor here, unlike the mega-caps.</t>
  </si>
  <si>
    <t xml:space="preserve">Low</t>
  </si>
  <si>
    <t xml:space="preserve">High</t>
  </si>
  <si>
    <t xml:space="preserve">EV/Adj. EBITDA applied to FY2026E</t>
  </si>
  <si>
    <t xml:space="preserve">Implied EV</t>
  </si>
  <si>
    <t xml:space="preserve">LBO ANALYSIS — 5-YEAR HOLD (ENTRY END-FY2026, EXIT END-FY2031)  ($mm)</t>
  </si>
  <si>
    <t xml:space="preserve">Unlike every mega-cap in this series, PRGS is a textbook LBO candidate: ~6.5x entry EBITDA, ~17% FCF yield, recurring revenue, low capex.</t>
  </si>
  <si>
    <t xml:space="preserve">ENTRY &amp; FINANCING</t>
  </si>
  <si>
    <t xml:space="preserve">Entry premium to current price</t>
  </si>
  <si>
    <t xml:space="preserve">Entry price per share</t>
  </si>
  <si>
    <t xml:space="preserve">Equity purchase price</t>
  </si>
  <si>
    <t xml:space="preserve">Plus: net debt assumed/refinanced</t>
  </si>
  <si>
    <t xml:space="preserve">Entry enterprise value</t>
  </si>
  <si>
    <t xml:space="preserve">Transaction fees (% of EV)</t>
  </si>
  <si>
    <t xml:space="preserve">FY2026E Adj. EBITDA (debt sizing basis)</t>
  </si>
  <si>
    <t xml:space="preserve">  Entry EV / EBITDA</t>
  </si>
  <si>
    <t xml:space="preserve">Debt tranche</t>
  </si>
  <si>
    <t xml:space="preserve">Multiple</t>
  </si>
  <si>
    <t xml:space="preserve">Rate</t>
  </si>
  <si>
    <t xml:space="preserve">Amount</t>
  </si>
  <si>
    <t xml:space="preserve">Term Loan B</t>
  </si>
  <si>
    <t xml:space="preserve">Senior notes</t>
  </si>
  <si>
    <t xml:space="preserve">Total new debt</t>
  </si>
  <si>
    <t xml:space="preserve">Sponsor equity = EV×(1+fees) − debt</t>
  </si>
  <si>
    <t xml:space="preserve">DEBT PAYDOWN — 100% FCF SWEEP</t>
  </si>
  <si>
    <t xml:space="preserve">Unlevered FCF (DCF sheet)</t>
  </si>
  <si>
    <t xml:space="preserve">Cash interest — TLB (beginning)</t>
  </si>
  <si>
    <t xml:space="preserve">Cash interest — notes</t>
  </si>
  <si>
    <t xml:space="preserve">Interest tax shield</t>
  </si>
  <si>
    <t xml:space="preserve">Levered FCF for paydown</t>
  </si>
  <si>
    <t xml:space="preserve">TLB — beginning</t>
  </si>
  <si>
    <t xml:space="preserve">TLB — (paydown)</t>
  </si>
  <si>
    <t xml:space="preserve">TLB — ending</t>
  </si>
  <si>
    <t xml:space="preserve">Notes — ending (bullet)</t>
  </si>
  <si>
    <t xml:space="preserve">EXIT &amp; RETURNS</t>
  </si>
  <si>
    <t xml:space="preserve">FY2031E Adj. EBITDA</t>
  </si>
  <si>
    <t xml:space="preserve">Exit EV/EBITDA multiple</t>
  </si>
  <si>
    <t xml:space="preserve">Exit enterprise value</t>
  </si>
  <si>
    <t xml:space="preserve">Less: exit net debt</t>
  </si>
  <si>
    <t xml:space="preserve">Exit equity value</t>
  </si>
  <si>
    <t xml:space="preserve">MOIC</t>
  </si>
  <si>
    <t xml:space="preserve">IRR (5-yr)</t>
  </si>
  <si>
    <t xml:space="preserve">MAXIMUM ENTRY PRICE AT TARGET IRR THRESHOLDS</t>
  </si>
  <si>
    <t xml:space="preserve">Target IRR</t>
  </si>
  <si>
    <t xml:space="preserve">Max sponsor equity</t>
  </si>
  <si>
    <t xml:space="preserve">Implied entry EV</t>
  </si>
  <si>
    <t xml:space="preserve">Implied price/share</t>
  </si>
  <si>
    <t xml:space="preserve">Prem/(disc) to market</t>
  </si>
  <si>
    <t xml:space="preserve">Read the threshold table against the current price: when a sponsor can pay a PREMIUM and still clear 20%+, the take-private bid is a live floor under the stock.</t>
  </si>
  <si>
    <t xml:space="preserve">MONTE CARLO SIMULATION — 500 LIVE TRIALS  (press F9 / recalc to refresh draws)</t>
  </si>
  <si>
    <t xml:space="preserve">Distribution parameters — Normal(mean, σ)</t>
  </si>
  <si>
    <t xml:space="preserve">Variable</t>
  </si>
  <si>
    <t xml:space="preserve">Mean (linked)</t>
  </si>
  <si>
    <t xml:space="preserve">σ (input)</t>
  </si>
  <si>
    <t xml:space="preserve">Terminal Adj. EBITDA margin (FY35)</t>
  </si>
  <si>
    <t xml:space="preserve">Calibration statics (linked)</t>
  </si>
  <si>
    <t xml:space="preserve">Base FY2035 Adj. EBITDA</t>
  </si>
  <si>
    <t xml:space="preserve">Base PV of explicit FCF (DCF)</t>
  </si>
  <si>
    <t xml:space="preserve">Net debt FY2026E</t>
  </si>
  <si>
    <t xml:space="preserve">Current share price</t>
  </si>
  <si>
    <t xml:space="preserve">FY2035 growth (selected)</t>
  </si>
  <si>
    <t xml:space="preserve">FY2026E revenue</t>
  </si>
  <si>
    <t xml:space="preserve">Simulation results ($/share)</t>
  </si>
  <si>
    <t xml:space="preserve">Mean</t>
  </si>
  <si>
    <t xml:space="preserve">Median</t>
  </si>
  <si>
    <t xml:space="preserve">Standard deviation</t>
  </si>
  <si>
    <t xml:space="preserve">5th percentile</t>
  </si>
  <si>
    <t xml:space="preserve">25th percentile</t>
  </si>
  <si>
    <t xml:space="preserve">75th percentile</t>
  </si>
  <si>
    <t xml:space="preserve">95th percentile</t>
  </si>
  <si>
    <t xml:space="preserve">P(value &gt; current price)</t>
  </si>
  <si>
    <t xml:space="preserve">Scenario probability-weighted value (compact DCF per scenario)</t>
  </si>
  <si>
    <t xml:space="preserve">Scenario</t>
  </si>
  <si>
    <t xml:space="preserve">Value / share</t>
  </si>
  <si>
    <t xml:space="preserve">Probability-weighted value</t>
  </si>
  <si>
    <t xml:space="preserve">TRIALS</t>
  </si>
  <si>
    <t xml:space="preserve">#</t>
  </si>
  <si>
    <t xml:space="preserve">g FY27</t>
  </si>
  <si>
    <t xml:space="preserve">Term margin</t>
  </si>
  <si>
    <t xml:space="preserve">Exit x</t>
  </si>
  <si>
    <t xml:space="preserve">Rev FY35</t>
  </si>
  <si>
    <t xml:space="preserve">EBITDA FY35</t>
  </si>
  <si>
    <t xml:space="preserve">PV(TV)</t>
  </si>
  <si>
    <t xml:space="preserve">PV(FCF)</t>
  </si>
  <si>
    <t xml:space="preserve">Equity</t>
  </si>
  <si>
    <t xml:space="preserve">$ / share</t>
  </si>
  <si>
    <t xml:space="preserve">Bin ($/sh)</t>
  </si>
  <si>
    <t xml:space="preserve">low</t>
  </si>
  <si>
    <t xml:space="preserve">high</t>
  </si>
  <si>
    <t xml:space="preserve">Count</t>
  </si>
  <si>
    <t xml:space="preserve">&lt;25</t>
  </si>
  <si>
    <t xml:space="preserve">25-30</t>
  </si>
  <si>
    <t xml:space="preserve">30-35</t>
  </si>
  <si>
    <t xml:space="preserve">35-40</t>
  </si>
  <si>
    <t xml:space="preserve">40-45</t>
  </si>
  <si>
    <t xml:space="preserve">45-50</t>
  </si>
  <si>
    <t xml:space="preserve">50-55</t>
  </si>
  <si>
    <t xml:space="preserve">55-60</t>
  </si>
  <si>
    <t xml:space="preserve">60-65</t>
  </si>
  <si>
    <t xml:space="preserve">65-70</t>
  </si>
  <si>
    <t xml:space="preserve">70-75</t>
  </si>
  <si>
    <t xml:space="preserve">75-80</t>
  </si>
  <si>
    <t xml:space="preserve">80-85</t>
  </si>
  <si>
    <t xml:space="preserve">85-90</t>
  </si>
  <si>
    <t xml:space="preserve">90-95</t>
  </si>
  <si>
    <t xml:space="preserve">95-100</t>
  </si>
  <si>
    <t xml:space="preserve">100-105</t>
  </si>
  <si>
    <t xml:space="preserve">105-110</t>
  </si>
  <si>
    <t xml:space="preserve">110-115</t>
  </si>
  <si>
    <t xml:space="preserve">115-120</t>
  </si>
  <si>
    <t xml:space="preserve">120-125</t>
  </si>
  <si>
    <t xml:space="preserve">125+</t>
  </si>
  <si>
    <t xml:space="preserve">FOOTBALL FIELD — VALUATION SUMMARY  ($ per share)</t>
  </si>
  <si>
    <t xml:space="preserve">Methodology</t>
  </si>
  <si>
    <t xml:space="preserve">(base)</t>
  </si>
  <si>
    <t xml:space="preserve">(span)</t>
  </si>
  <si>
    <t xml:space="preserve">Midpoint</t>
  </si>
  <si>
    <t xml:space="preserve">52-week trading range</t>
  </si>
  <si>
    <t xml:space="preserve">Analyst targets (avg $66, n=6)</t>
  </si>
  <si>
    <t xml:space="preserve">DCF — Gordon growth (WACC ±0.5%, g 1.0–2.0%)</t>
  </si>
  <si>
    <t xml:space="preserve">DCF — exit multiple (7–9x, WACC ±0.5%)</t>
  </si>
  <si>
    <t xml:space="preserve">Trading comps — EV/EBITDA (7–10x FY26E)</t>
  </si>
  <si>
    <t xml:space="preserve">Trading comps — P/E (8–12x FY26E non-GAAP EPS)</t>
  </si>
  <si>
    <t xml:space="preserve">Precedent take-privates (8–11x FY26E EBITDA)</t>
  </si>
  <si>
    <t xml:space="preserve">LBO capacity (25% → 15% IRR)</t>
  </si>
  <si>
    <t xml:space="preserve">Monte Carlo P25–P75 (live)</t>
  </si>
  <si>
    <t xml:space="preserve">Current price (marker)</t>
  </si>
  <si>
    <t xml:space="preserve">52-wk range &amp; analyst targets: stockanalysis/yahoo, July 2026. All other rows are live model outputs.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</si>
</sst>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\x"/>
    <numFmt numFmtId="169" formatCode="\$#,##0.00"/>
    <numFmt numFmtId="170" formatCode="0.00%;\(0.00%\);\-"/>
    <numFmt numFmtId="171" formatCode="0.00"/>
    <numFmt numFmtId="172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value per share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"Trials"</c:f>
              <c:strCache>
                <c:ptCount val="1"/>
                <c:pt idx="0">
                  <c:v>Trials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Monte_Carlo!$N$41:$N$62</c:f>
              <c:strCache>
                <c:ptCount val="22"/>
                <c:pt idx="0">
                  <c:v>&lt;25</c:v>
                </c:pt>
                <c:pt idx="1">
                  <c:v>25-30</c:v>
                </c:pt>
                <c:pt idx="2">
                  <c:v>30-35</c:v>
                </c:pt>
                <c:pt idx="3">
                  <c:v>35-40</c:v>
                </c:pt>
                <c:pt idx="4">
                  <c:v>40-45</c:v>
                </c:pt>
                <c:pt idx="5">
                  <c:v>45-50</c:v>
                </c:pt>
                <c:pt idx="6">
                  <c:v>50-55</c:v>
                </c:pt>
                <c:pt idx="7">
                  <c:v>55-60</c:v>
                </c:pt>
                <c:pt idx="8">
                  <c:v>60-65</c:v>
                </c:pt>
                <c:pt idx="9">
                  <c:v>65-70</c:v>
                </c:pt>
                <c:pt idx="10">
                  <c:v>70-75</c:v>
                </c:pt>
                <c:pt idx="11">
                  <c:v>75-80</c:v>
                </c:pt>
                <c:pt idx="12">
                  <c:v>80-85</c:v>
                </c:pt>
                <c:pt idx="13">
                  <c:v>85-90</c:v>
                </c:pt>
                <c:pt idx="14">
                  <c:v>90-95</c:v>
                </c:pt>
                <c:pt idx="15">
                  <c:v>95-100</c:v>
                </c:pt>
                <c:pt idx="16">
                  <c:v>100-105</c:v>
                </c:pt>
                <c:pt idx="17">
                  <c:v>105-110</c:v>
                </c:pt>
                <c:pt idx="18">
                  <c:v>110-115</c:v>
                </c:pt>
                <c:pt idx="19">
                  <c:v>115-120</c:v>
                </c:pt>
                <c:pt idx="20">
                  <c:v>120-125</c:v>
                </c:pt>
                <c:pt idx="21">
                  <c:v>125+</c:v>
                </c:pt>
              </c:strCache>
            </c:strRef>
          </c:cat>
          <c:val>
            <c:numRef>
              <c:f>Monte_Carlo!$Q$41:$Q$62</c:f>
              <c:numCache>
                <c:formatCode>#,##0;\(#,##0\);\-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15</c:v>
                </c:pt>
                <c:pt idx="6">
                  <c:v>25</c:v>
                </c:pt>
                <c:pt idx="7">
                  <c:v>30</c:v>
                </c:pt>
                <c:pt idx="8">
                  <c:v>52</c:v>
                </c:pt>
                <c:pt idx="9">
                  <c:v>50</c:v>
                </c:pt>
                <c:pt idx="10">
                  <c:v>64</c:v>
                </c:pt>
                <c:pt idx="11">
                  <c:v>61</c:v>
                </c:pt>
                <c:pt idx="12">
                  <c:v>51</c:v>
                </c:pt>
                <c:pt idx="13">
                  <c:v>40</c:v>
                </c:pt>
                <c:pt idx="14">
                  <c:v>27</c:v>
                </c:pt>
                <c:pt idx="15">
                  <c:v>31</c:v>
                </c:pt>
                <c:pt idx="16">
                  <c:v>20</c:v>
                </c:pt>
                <c:pt idx="17">
                  <c:v>14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</c:numCache>
            </c:numRef>
          </c:val>
        </c:ser>
        <c:gapWidth val="20"/>
        <c:overlap val="0"/>
        <c:axId val="64520286"/>
        <c:axId val="32277000"/>
      </c:barChart>
      <c:catAx>
        <c:axId val="645202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77000"/>
        <c:crosses val="autoZero"/>
        <c:auto val="1"/>
        <c:lblAlgn val="ctr"/>
        <c:lblOffset val="100"/>
        <c:noMultiLvlLbl val="0"/>
      </c:catAx>
      <c:valAx>
        <c:axId val="32277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Trials (of 500)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202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PRGS valuation ranges ($/share) — red = current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</c:v>
                </c:pt>
                <c:pt idx="1">
                  <c:v>Analyst targets (avg $66, n=6)</c:v>
                </c:pt>
                <c:pt idx="2">
                  <c:v>DCF — Gordon growth (WACC ±0.5%, g 1.0–2.0%)</c:v>
                </c:pt>
                <c:pt idx="3">
                  <c:v>DCF — exit multiple (7–9x, WACC ±0.5%)</c:v>
                </c:pt>
                <c:pt idx="4">
                  <c:v>Trading comps — EV/EBITDA (7–10x FY26E)</c:v>
                </c:pt>
                <c:pt idx="5">
                  <c:v>Trading comps — P/E (8–12x FY26E non-GAAP EPS)</c:v>
                </c:pt>
                <c:pt idx="6">
                  <c:v>Precedent take-privates (8–11x FY26E EBITDA)</c:v>
                </c:pt>
                <c:pt idx="7">
                  <c:v>LBO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Football_Field!$D$5:$D$14</c:f>
              <c:numCache>
                <c:formatCode>\$#,##0.00</c:formatCode>
                <c:ptCount val="10"/>
                <c:pt idx="0">
                  <c:v>23.82</c:v>
                </c:pt>
                <c:pt idx="1">
                  <c:v>45</c:v>
                </c:pt>
                <c:pt idx="2">
                  <c:v>78.6197358018055</c:v>
                </c:pt>
                <c:pt idx="3">
                  <c:v>68.0981795641167</c:v>
                </c:pt>
                <c:pt idx="4">
                  <c:v>48.5963346475109</c:v>
                </c:pt>
                <c:pt idx="5">
                  <c:v>49.2</c:v>
                </c:pt>
                <c:pt idx="6">
                  <c:v>58.7992614767792</c:v>
                </c:pt>
                <c:pt idx="7">
                  <c:v>51.2716776650223</c:v>
                </c:pt>
                <c:pt idx="8">
                  <c:v>64.9231825174034</c:v>
                </c:pt>
                <c:pt idx="9">
                  <c:v>39.18</c:v>
                </c:pt>
              </c:numCache>
            </c:numRef>
          </c:val>
        </c:ser>
        <c:ser>
          <c:idx val="1"/>
          <c:order val="1"/>
          <c:tx>
            <c:strRef>
              <c:f>"range"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9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</c:v>
                </c:pt>
                <c:pt idx="1">
                  <c:v>Analyst targets (avg $66, n=6)</c:v>
                </c:pt>
                <c:pt idx="2">
                  <c:v>DCF — Gordon growth (WACC ±0.5%, g 1.0–2.0%)</c:v>
                </c:pt>
                <c:pt idx="3">
                  <c:v>DCF — exit multiple (7–9x, WACC ±0.5%)</c:v>
                </c:pt>
                <c:pt idx="4">
                  <c:v>Trading comps — EV/EBITDA (7–10x FY26E)</c:v>
                </c:pt>
                <c:pt idx="5">
                  <c:v>Trading comps — P/E (8–12x FY26E non-GAAP EPS)</c:v>
                </c:pt>
                <c:pt idx="6">
                  <c:v>Precedent take-privates (8–11x FY26E EBITDA)</c:v>
                </c:pt>
                <c:pt idx="7">
                  <c:v>LBO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Football_Field!$E$5:$E$14</c:f>
              <c:numCache>
                <c:formatCode>\$#,##0.00</c:formatCode>
                <c:ptCount val="10"/>
                <c:pt idx="0">
                  <c:v>27.46</c:v>
                </c:pt>
                <c:pt idx="1">
                  <c:v>38</c:v>
                </c:pt>
                <c:pt idx="2">
                  <c:v>28.0828776920696</c:v>
                </c:pt>
                <c:pt idx="3">
                  <c:v>18.8494876706241</c:v>
                </c:pt>
                <c:pt idx="4">
                  <c:v>30.6087804878049</c:v>
                </c:pt>
                <c:pt idx="5">
                  <c:v>24.6</c:v>
                </c:pt>
                <c:pt idx="6">
                  <c:v>30.6087804878049</c:v>
                </c:pt>
                <c:pt idx="7">
                  <c:v>9.86940306963724</c:v>
                </c:pt>
                <c:pt idx="8">
                  <c:v>22.5208677628712</c:v>
                </c:pt>
                <c:pt idx="9">
                  <c:v>0.799999999999997</c:v>
                </c:pt>
              </c:numCache>
            </c:numRef>
          </c:val>
        </c:ser>
        <c:gapWidth val="60"/>
        <c:overlap val="100"/>
        <c:axId val="92417399"/>
        <c:axId val="92359690"/>
      </c:barChart>
      <c:catAx>
        <c:axId val="92417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59690"/>
        <c:crosses val="autoZero"/>
        <c:auto val="1"/>
        <c:lblAlgn val="ctr"/>
        <c:lblOffset val="100"/>
        <c:noMultiLvlLbl val="0"/>
      </c:catAx>
      <c:valAx>
        <c:axId val="92359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173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21</xdr:col>
      <xdr:colOff>240120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1409400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6</xdr:col>
      <xdr:colOff>105120</xdr:colOff>
      <xdr:row>41</xdr:row>
      <xdr:rowOff>77760</xdr:rowOff>
    </xdr:to>
    <xdr:graphicFrame>
      <xdr:nvGraphicFramePr>
        <xdr:cNvPr id="1" name="Chart 1"/>
        <xdr:cNvGraphicFramePr/>
      </xdr:nvGraphicFramePr>
      <xdr:xfrm>
        <a:off x="0" y="323856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" min="3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C3" s="4"/>
    </row>
    <row r="4" customFormat="false" ht="15" hidden="false" customHeight="false" outlineLevel="0" collapsed="false">
      <c r="A4" s="5" t="s">
        <v>2</v>
      </c>
      <c r="C4" s="4"/>
    </row>
    <row r="5" customFormat="false" ht="15" hidden="false" customHeight="false" outlineLevel="0" collapsed="false">
      <c r="A5" s="3" t="s">
        <v>3</v>
      </c>
      <c r="C5" s="4" t="s">
        <v>4</v>
      </c>
    </row>
    <row r="6" customFormat="false" ht="15" hidden="false" customHeight="false" outlineLevel="0" collapsed="false">
      <c r="A6" s="3" t="s">
        <v>5</v>
      </c>
      <c r="C6" s="4" t="s">
        <v>6</v>
      </c>
    </row>
    <row r="7" customFormat="false" ht="15" hidden="false" customHeight="false" outlineLevel="0" collapsed="false">
      <c r="A7" s="3" t="s">
        <v>7</v>
      </c>
      <c r="C7" s="4" t="s">
        <v>8</v>
      </c>
    </row>
    <row r="8" customFormat="false" ht="15" hidden="false" customHeight="false" outlineLevel="0" collapsed="false">
      <c r="A8" s="3" t="s">
        <v>9</v>
      </c>
      <c r="C8" s="4" t="s">
        <v>10</v>
      </c>
    </row>
    <row r="9" customFormat="false" ht="15" hidden="false" customHeight="false" outlineLevel="0" collapsed="false">
      <c r="A9" s="3" t="s">
        <v>11</v>
      </c>
      <c r="C9" s="4" t="s">
        <v>12</v>
      </c>
    </row>
    <row r="10" customFormat="false" ht="15" hidden="false" customHeight="false" outlineLevel="0" collapsed="false">
      <c r="A10" s="3" t="s">
        <v>13</v>
      </c>
      <c r="C10" s="4" t="s">
        <v>14</v>
      </c>
    </row>
    <row r="11" customFormat="false" ht="15" hidden="false" customHeight="false" outlineLevel="0" collapsed="false">
      <c r="A11" s="3" t="s">
        <v>15</v>
      </c>
      <c r="C11" s="4" t="s">
        <v>16</v>
      </c>
    </row>
    <row r="12" customFormat="false" ht="15" hidden="false" customHeight="false" outlineLevel="0" collapsed="false">
      <c r="A12" s="3" t="s">
        <v>17</v>
      </c>
      <c r="C12" s="4" t="s">
        <v>18</v>
      </c>
    </row>
    <row r="13" customFormat="false" ht="15" hidden="false" customHeight="false" outlineLevel="0" collapsed="false">
      <c r="A13" s="3" t="s">
        <v>19</v>
      </c>
      <c r="C13" s="4" t="s">
        <v>20</v>
      </c>
    </row>
    <row r="14" customFormat="false" ht="15" hidden="false" customHeight="false" outlineLevel="0" collapsed="false">
      <c r="A14" s="3" t="s">
        <v>21</v>
      </c>
      <c r="C14" s="4" t="s">
        <v>22</v>
      </c>
    </row>
    <row r="15" customFormat="false" ht="15" hidden="false" customHeight="false" outlineLevel="0" collapsed="false">
      <c r="A15" s="3"/>
      <c r="C15" s="4"/>
    </row>
    <row r="16" customFormat="false" ht="15" hidden="false" customHeight="false" outlineLevel="0" collapsed="false">
      <c r="A16" s="5" t="s">
        <v>23</v>
      </c>
      <c r="C16" s="4"/>
    </row>
    <row r="17" customFormat="false" ht="15" hidden="false" customHeight="false" outlineLevel="0" collapsed="false">
      <c r="A17" s="6" t="s">
        <v>24</v>
      </c>
      <c r="C17" s="4" t="s">
        <v>25</v>
      </c>
    </row>
    <row r="18" customFormat="false" ht="15" hidden="false" customHeight="false" outlineLevel="0" collapsed="false">
      <c r="A18" s="3" t="s">
        <v>26</v>
      </c>
      <c r="C18" s="4" t="s">
        <v>27</v>
      </c>
    </row>
    <row r="19" customFormat="false" ht="15" hidden="false" customHeight="false" outlineLevel="0" collapsed="false">
      <c r="A19" s="3" t="s">
        <v>28</v>
      </c>
      <c r="C19" s="4" t="s">
        <v>29</v>
      </c>
    </row>
    <row r="20" customFormat="false" ht="15" hidden="false" customHeight="false" outlineLevel="0" collapsed="false">
      <c r="A20" s="3" t="s">
        <v>30</v>
      </c>
      <c r="C20" s="4" t="s">
        <v>31</v>
      </c>
    </row>
    <row r="21" customFormat="false" ht="15" hidden="false" customHeight="false" outlineLevel="0" collapsed="false">
      <c r="A21" s="3"/>
      <c r="C21" s="4"/>
    </row>
    <row r="22" customFormat="false" ht="15" hidden="false" customHeight="false" outlineLevel="0" collapsed="false">
      <c r="A22" s="5" t="s">
        <v>32</v>
      </c>
      <c r="C22" s="4"/>
    </row>
    <row r="23" customFormat="false" ht="15" hidden="false" customHeight="false" outlineLevel="0" collapsed="false">
      <c r="A23" s="3" t="s">
        <v>33</v>
      </c>
      <c r="C23" s="4" t="s">
        <v>34</v>
      </c>
    </row>
    <row r="24" customFormat="false" ht="15" hidden="false" customHeight="false" outlineLevel="0" collapsed="false">
      <c r="A24" s="3" t="s">
        <v>35</v>
      </c>
      <c r="C24" s="4" t="s">
        <v>36</v>
      </c>
    </row>
    <row r="25" customFormat="false" ht="15" hidden="false" customHeight="false" outlineLevel="0" collapsed="false">
      <c r="A25" s="3" t="s">
        <v>37</v>
      </c>
      <c r="C25" s="4" t="s">
        <v>38</v>
      </c>
    </row>
    <row r="26" customFormat="false" ht="15" hidden="false" customHeight="false" outlineLevel="0" collapsed="false">
      <c r="A26" s="3" t="s">
        <v>39</v>
      </c>
      <c r="C26" s="4" t="s">
        <v>40</v>
      </c>
    </row>
    <row r="27" customFormat="false" ht="15" hidden="false" customHeight="false" outlineLevel="0" collapsed="false">
      <c r="A27" s="3"/>
      <c r="C27" s="4"/>
    </row>
    <row r="28" customFormat="false" ht="15" hidden="false" customHeight="false" outlineLevel="0" collapsed="false">
      <c r="A28" s="5" t="s">
        <v>41</v>
      </c>
      <c r="C28" s="4"/>
    </row>
    <row r="29" customFormat="false" ht="15" hidden="false" customHeight="false" outlineLevel="0" collapsed="false">
      <c r="A29" s="3" t="s">
        <v>42</v>
      </c>
      <c r="C29" s="4" t="s">
        <v>43</v>
      </c>
    </row>
    <row r="30" customFormat="false" ht="15" hidden="false" customHeight="false" outlineLevel="0" collapsed="false">
      <c r="A30" s="3" t="s">
        <v>44</v>
      </c>
      <c r="C30" s="4" t="s">
        <v>45</v>
      </c>
    </row>
    <row r="31" customFormat="false" ht="15" hidden="false" customHeight="false" outlineLevel="0" collapsed="false">
      <c r="A31" s="3" t="s">
        <v>5</v>
      </c>
      <c r="C31" s="4" t="s">
        <v>46</v>
      </c>
    </row>
    <row r="32" customFormat="false" ht="15" hidden="false" customHeight="false" outlineLevel="0" collapsed="false">
      <c r="A32" s="3" t="s">
        <v>47</v>
      </c>
      <c r="C32" s="4" t="s">
        <v>48</v>
      </c>
    </row>
    <row r="33" customFormat="false" ht="15" hidden="false" customHeight="false" outlineLevel="0" collapsed="false">
      <c r="A33" s="3"/>
      <c r="C33" s="4"/>
    </row>
    <row r="34" customFormat="false" ht="15" hidden="false" customHeight="false" outlineLevel="0" collapsed="false">
      <c r="A34" s="5" t="s">
        <v>49</v>
      </c>
      <c r="C34" s="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7" t="s">
        <v>53</v>
      </c>
      <c r="B4" s="8" t="n">
        <v>1</v>
      </c>
      <c r="C4" s="9" t="str">
        <f aca="false">CHOOSE($B$4,"BASE — flat-to-low organic growth, margins hold","BULL — AI products + ShareFile reaccelerate ARR","BEAR — legacy decay wins, ARR shrinks")</f>
        <v>BASE — flat-to-low organic growth, margins hold</v>
      </c>
    </row>
    <row r="6" customFormat="false" ht="15" hidden="false" customHeight="false" outlineLevel="0" collapsed="false">
      <c r="A6" s="5" t="s">
        <v>54</v>
      </c>
    </row>
    <row r="7" customFormat="false" ht="15" hidden="false" customHeight="false" outlineLevel="0" collapsed="false">
      <c r="A7" s="10"/>
      <c r="B7" s="10" t="s">
        <v>55</v>
      </c>
      <c r="C7" s="10" t="s">
        <v>56</v>
      </c>
      <c r="D7" s="10" t="s">
        <v>57</v>
      </c>
      <c r="E7" s="10" t="s">
        <v>58</v>
      </c>
    </row>
    <row r="8" customFormat="false" ht="15" hidden="false" customHeight="false" outlineLevel="0" collapsed="false">
      <c r="A8" s="3" t="s">
        <v>59</v>
      </c>
      <c r="B8" s="11" t="n">
        <v>0.45</v>
      </c>
      <c r="C8" s="11" t="n">
        <v>0.2</v>
      </c>
      <c r="D8" s="11" t="n">
        <v>0.35</v>
      </c>
      <c r="E8" s="12" t="n">
        <f aca="false">SUM(B8:D8)</f>
        <v>1</v>
      </c>
      <c r="F8" s="13" t="s">
        <v>60</v>
      </c>
    </row>
    <row r="10" customFormat="false" ht="15" hidden="false" customHeight="false" outlineLevel="0" collapsed="false">
      <c r="A10" s="5" t="s">
        <v>61</v>
      </c>
    </row>
    <row r="11" customFormat="false" ht="15" hidden="false" customHeight="false" outlineLevel="0" collapsed="false">
      <c r="A11" s="10"/>
      <c r="B11" s="10" t="s">
        <v>55</v>
      </c>
      <c r="C11" s="10" t="s">
        <v>56</v>
      </c>
      <c r="D11" s="10" t="s">
        <v>57</v>
      </c>
      <c r="E11" s="10" t="s">
        <v>62</v>
      </c>
    </row>
    <row r="12" customFormat="false" ht="15" hidden="false" customHeight="false" outlineLevel="0" collapsed="false">
      <c r="A12" s="3" t="s">
        <v>63</v>
      </c>
      <c r="B12" s="11" t="n">
        <v>0.03</v>
      </c>
      <c r="C12" s="11" t="n">
        <v>0.06</v>
      </c>
      <c r="D12" s="11" t="n">
        <v>-0.02</v>
      </c>
      <c r="E12" s="12" t="n">
        <f aca="false">CHOOSE($B$4,B12,C12,D12)</f>
        <v>0.03</v>
      </c>
    </row>
    <row r="13" customFormat="false" ht="15" hidden="false" customHeight="false" outlineLevel="0" collapsed="false">
      <c r="A13" s="3" t="s">
        <v>64</v>
      </c>
      <c r="B13" s="11" t="n">
        <v>0.01</v>
      </c>
      <c r="C13" s="11" t="n">
        <v>0.03</v>
      </c>
      <c r="D13" s="11" t="n">
        <v>-0.04</v>
      </c>
      <c r="E13" s="12" t="n">
        <f aca="false">CHOOSE($B$4,B13,C13,D13)</f>
        <v>0.01</v>
      </c>
    </row>
    <row r="14" customFormat="false" ht="15" hidden="false" customHeight="false" outlineLevel="0" collapsed="false">
      <c r="A14" s="13" t="s">
        <v>65</v>
      </c>
    </row>
    <row r="15" customFormat="false" ht="15" hidden="false" customHeight="false" outlineLevel="0" collapsed="false">
      <c r="A15" s="5" t="s">
        <v>66</v>
      </c>
    </row>
    <row r="16" customFormat="false" ht="15" hidden="false" customHeight="false" outlineLevel="0" collapsed="false">
      <c r="A16" s="10" t="s">
        <v>67</v>
      </c>
      <c r="B16" s="10" t="s">
        <v>68</v>
      </c>
      <c r="C16" s="10" t="s">
        <v>69</v>
      </c>
      <c r="D16" s="10" t="s">
        <v>70</v>
      </c>
      <c r="E16" s="10" t="s">
        <v>71</v>
      </c>
      <c r="F16" s="10" t="s">
        <v>62</v>
      </c>
    </row>
    <row r="17" customFormat="false" ht="15" hidden="false" customHeight="false" outlineLevel="0" collapsed="false">
      <c r="A17" s="3" t="s">
        <v>72</v>
      </c>
      <c r="B17" s="11" t="n">
        <v>0.84</v>
      </c>
      <c r="C17" s="11" t="n">
        <v>0.84</v>
      </c>
      <c r="D17" s="11" t="n">
        <v>0.85</v>
      </c>
      <c r="E17" s="11" t="n">
        <v>0.82</v>
      </c>
      <c r="F17" s="12" t="n">
        <f aca="false">CHOOSE($B$4,C17,D17,E17)</f>
        <v>0.84</v>
      </c>
    </row>
    <row r="18" customFormat="false" ht="15" hidden="false" customHeight="false" outlineLevel="0" collapsed="false">
      <c r="A18" s="3" t="s">
        <v>73</v>
      </c>
      <c r="B18" s="11" t="n">
        <v>0.42</v>
      </c>
      <c r="C18" s="11" t="n">
        <v>0.4</v>
      </c>
      <c r="D18" s="11" t="n">
        <v>0.39</v>
      </c>
      <c r="E18" s="11" t="n">
        <v>0.44</v>
      </c>
      <c r="F18" s="12" t="n">
        <f aca="false">CHOOSE($B$4,C18,D18,E18)</f>
        <v>0.4</v>
      </c>
    </row>
    <row r="19" customFormat="false" ht="15" hidden="false" customHeight="false" outlineLevel="0" collapsed="false">
      <c r="A19" s="3" t="s">
        <v>74</v>
      </c>
      <c r="B19" s="11" t="n">
        <v>0.09</v>
      </c>
      <c r="C19" s="11" t="n">
        <v>0.07</v>
      </c>
      <c r="D19" s="11" t="n">
        <v>0.07</v>
      </c>
      <c r="E19" s="11" t="n">
        <v>0.09</v>
      </c>
      <c r="F19" s="12" t="n">
        <f aca="false">CHOOSE($B$4,C19,D19,E19)</f>
        <v>0.07</v>
      </c>
    </row>
    <row r="20" customFormat="false" ht="15" hidden="false" customHeight="false" outlineLevel="0" collapsed="false">
      <c r="A20" s="3" t="s">
        <v>75</v>
      </c>
      <c r="B20" s="11" t="n">
        <v>0.09</v>
      </c>
      <c r="C20" s="11" t="n">
        <v>0.05</v>
      </c>
      <c r="D20" s="11" t="n">
        <v>0.05</v>
      </c>
      <c r="E20" s="11" t="n">
        <v>0.06</v>
      </c>
      <c r="F20" s="12" t="n">
        <f aca="false">CHOOSE($B$4,C20,D20,E20)</f>
        <v>0.05</v>
      </c>
    </row>
    <row r="21" customFormat="false" ht="15" hidden="false" customHeight="false" outlineLevel="0" collapsed="false">
      <c r="A21" s="3" t="s">
        <v>76</v>
      </c>
      <c r="B21" s="11" t="n">
        <v>0.01</v>
      </c>
      <c r="C21" s="11" t="n">
        <v>0.01</v>
      </c>
      <c r="D21" s="11" t="n">
        <v>0.012</v>
      </c>
      <c r="E21" s="11" t="n">
        <v>0.008</v>
      </c>
      <c r="F21" s="12" t="n">
        <f aca="false">CHOOSE($B$4,C21,D21,E21)</f>
        <v>0.01</v>
      </c>
    </row>
    <row r="22" customFormat="false" ht="15" hidden="false" customHeight="false" outlineLevel="0" collapsed="false">
      <c r="A22" s="3" t="s">
        <v>77</v>
      </c>
      <c r="B22" s="11" t="n">
        <v>0.21</v>
      </c>
      <c r="C22" s="11" t="n">
        <v>0.23</v>
      </c>
      <c r="D22" s="11" t="n">
        <v>0.23</v>
      </c>
      <c r="E22" s="11" t="n">
        <v>0.21</v>
      </c>
      <c r="F22" s="12" t="n">
        <f aca="false">CHOOSE($B$4,C22,D22,E22)</f>
        <v>0.23</v>
      </c>
    </row>
    <row r="23" customFormat="false" ht="15" hidden="false" customHeight="false" outlineLevel="0" collapsed="false">
      <c r="A23" s="3" t="s">
        <v>78</v>
      </c>
      <c r="B23" s="11" t="n">
        <v>0.06</v>
      </c>
      <c r="C23" s="11" t="n">
        <v>0.06</v>
      </c>
      <c r="D23" s="11" t="n">
        <v>0.06</v>
      </c>
      <c r="E23" s="11" t="n">
        <v>0.06</v>
      </c>
      <c r="F23" s="12" t="n">
        <f aca="false">CHOOSE($B$4,C23,D23,E23)</f>
        <v>0.06</v>
      </c>
    </row>
    <row r="24" customFormat="false" ht="15" hidden="false" customHeight="false" outlineLevel="0" collapsed="false">
      <c r="A24" s="3" t="s">
        <v>79</v>
      </c>
      <c r="B24" s="11" t="n">
        <v>0.3</v>
      </c>
      <c r="C24" s="11" t="n">
        <v>0.3</v>
      </c>
      <c r="D24" s="11" t="n">
        <v>0.31</v>
      </c>
      <c r="E24" s="11" t="n">
        <v>0.28</v>
      </c>
      <c r="F24" s="12" t="n">
        <f aca="false">CHOOSE($B$4,C24,D24,E24)</f>
        <v>0.3</v>
      </c>
    </row>
    <row r="25" customFormat="false" ht="15" hidden="false" customHeight="false" outlineLevel="0" collapsed="false">
      <c r="A25" s="13" t="s">
        <v>80</v>
      </c>
    </row>
    <row r="26" customFormat="false" ht="15" hidden="false" customHeight="false" outlineLevel="0" collapsed="false">
      <c r="A26" s="5" t="s">
        <v>81</v>
      </c>
    </row>
    <row r="27" customFormat="false" ht="15" hidden="false" customHeight="false" outlineLevel="0" collapsed="false">
      <c r="A27" s="3" t="s">
        <v>82</v>
      </c>
      <c r="B27" s="14" t="n">
        <v>60</v>
      </c>
    </row>
    <row r="28" customFormat="false" ht="15" hidden="false" customHeight="false" outlineLevel="0" collapsed="false">
      <c r="A28" s="3" t="s">
        <v>83</v>
      </c>
      <c r="B28" s="14" t="n">
        <v>0</v>
      </c>
    </row>
    <row r="29" customFormat="false" ht="15" hidden="false" customHeight="false" outlineLevel="0" collapsed="false">
      <c r="A29" s="3" t="s">
        <v>84</v>
      </c>
      <c r="B29" s="14" t="n">
        <v>30</v>
      </c>
    </row>
    <row r="33" customFormat="false" ht="15" hidden="false" customHeight="false" outlineLevel="0" collapsed="false">
      <c r="A33" s="5" t="s">
        <v>85</v>
      </c>
    </row>
    <row r="34" customFormat="false" ht="15" hidden="false" customHeight="false" outlineLevel="0" collapsed="false">
      <c r="A34" s="3" t="s">
        <v>86</v>
      </c>
      <c r="B34" s="11" t="n">
        <v>0.04</v>
      </c>
    </row>
    <row r="35" customFormat="false" ht="15" hidden="false" customHeight="false" outlineLevel="0" collapsed="false">
      <c r="A35" s="3" t="s">
        <v>87</v>
      </c>
      <c r="B35" s="11" t="n">
        <v>0.07</v>
      </c>
    </row>
    <row r="36" customFormat="false" ht="15" hidden="false" customHeight="false" outlineLevel="0" collapsed="false">
      <c r="A36" s="3" t="s">
        <v>88</v>
      </c>
      <c r="B36" s="15" t="n">
        <v>75</v>
      </c>
    </row>
    <row r="37" customFormat="false" ht="15" hidden="false" customHeight="false" outlineLevel="0" collapsed="false">
      <c r="A37" s="3" t="s">
        <v>89</v>
      </c>
      <c r="B37" s="14" t="n">
        <v>41</v>
      </c>
    </row>
    <row r="38" customFormat="false" ht="15" hidden="false" customHeight="false" outlineLevel="0" collapsed="false">
      <c r="A38" s="3" t="s">
        <v>90</v>
      </c>
      <c r="B38" s="11" t="n">
        <v>0.23</v>
      </c>
    </row>
    <row r="39" customFormat="false" ht="15" hidden="false" customHeight="false" outlineLevel="0" collapsed="false">
      <c r="A39" s="3" t="s">
        <v>91</v>
      </c>
      <c r="B39" s="11" t="n">
        <v>0.068</v>
      </c>
    </row>
    <row r="40" customFormat="false" ht="15" hidden="false" customHeight="false" outlineLevel="0" collapsed="false">
      <c r="A40" s="3" t="s">
        <v>92</v>
      </c>
      <c r="B40" s="15" t="n">
        <v>90</v>
      </c>
    </row>
    <row r="41" customFormat="false" ht="15" hidden="false" customHeight="false" outlineLevel="0" collapsed="false">
      <c r="A41" s="3" t="s">
        <v>93</v>
      </c>
      <c r="B41" s="15" t="n">
        <v>0</v>
      </c>
    </row>
    <row r="42" customFormat="false" ht="15" hidden="false" customHeight="false" outlineLevel="0" collapsed="false">
      <c r="A42" s="3" t="s">
        <v>94</v>
      </c>
      <c r="B42" s="15" t="n">
        <v>-150</v>
      </c>
      <c r="C42" s="13" t="s">
        <v>95</v>
      </c>
    </row>
    <row r="46" customFormat="false" ht="15" hidden="false" customHeight="false" outlineLevel="0" collapsed="false">
      <c r="A46" s="5" t="s">
        <v>96</v>
      </c>
    </row>
    <row r="47" customFormat="false" ht="15" hidden="false" customHeight="false" outlineLevel="0" collapsed="false">
      <c r="A47" s="3" t="s">
        <v>97</v>
      </c>
      <c r="B47" s="11" t="n">
        <v>0.015</v>
      </c>
    </row>
    <row r="48" customFormat="false" ht="15" hidden="false" customHeight="false" outlineLevel="0" collapsed="false">
      <c r="A48" s="3" t="s">
        <v>98</v>
      </c>
      <c r="B48" s="16" t="n">
        <v>8</v>
      </c>
    </row>
    <row r="49" customFormat="false" ht="15" hidden="false" customHeight="false" outlineLevel="0" collapsed="false">
      <c r="A49" s="3" t="s">
        <v>99</v>
      </c>
      <c r="B49" s="17" t="n">
        <v>39.58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1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100</v>
      </c>
    </row>
    <row r="4" customFormat="false" ht="15" hidden="false" customHeight="false" outlineLevel="0" collapsed="false">
      <c r="A4" s="10"/>
      <c r="B4" s="10" t="s">
        <v>101</v>
      </c>
      <c r="C4" s="10" t="s">
        <v>102</v>
      </c>
      <c r="D4" s="10" t="s">
        <v>103</v>
      </c>
      <c r="E4" s="10" t="s">
        <v>104</v>
      </c>
      <c r="F4" s="10"/>
      <c r="G4" s="10" t="s">
        <v>105</v>
      </c>
      <c r="H4" s="10" t="s">
        <v>106</v>
      </c>
    </row>
    <row r="5" customFormat="false" ht="15" hidden="false" customHeight="false" outlineLevel="0" collapsed="false">
      <c r="A5" s="7" t="s">
        <v>107</v>
      </c>
      <c r="B5" s="18" t="n">
        <v>602</v>
      </c>
      <c r="C5" s="18" t="n">
        <v>694</v>
      </c>
      <c r="D5" s="18" t="n">
        <v>753</v>
      </c>
      <c r="E5" s="18" t="n">
        <v>962</v>
      </c>
      <c r="G5" s="18" t="n">
        <v>253</v>
      </c>
      <c r="H5" s="15" t="n">
        <v>996</v>
      </c>
      <c r="I5" s="13" t="s">
        <v>108</v>
      </c>
    </row>
    <row r="6" customFormat="false" ht="15" hidden="false" customHeight="false" outlineLevel="0" collapsed="false">
      <c r="A6" s="3" t="s">
        <v>109</v>
      </c>
      <c r="C6" s="19" t="n">
        <f aca="false">C5/B5-1</f>
        <v>0.152823920265781</v>
      </c>
      <c r="D6" s="19" t="n">
        <f aca="false">D5/C5-1</f>
        <v>0.0850144092219021</v>
      </c>
      <c r="E6" s="19" t="n">
        <f aca="false">E5/D5-1</f>
        <v>0.277556440903054</v>
      </c>
      <c r="H6" s="19" t="n">
        <f aca="false">H5/E5-1</f>
        <v>0.0353430353430353</v>
      </c>
    </row>
    <row r="8" customFormat="false" ht="15" hidden="false" customHeight="false" outlineLevel="0" collapsed="false">
      <c r="A8" s="3" t="s">
        <v>110</v>
      </c>
      <c r="B8" s="4" t="s">
        <v>111</v>
      </c>
    </row>
    <row r="9" customFormat="false" ht="15" hidden="false" customHeight="false" outlineLevel="0" collapsed="false">
      <c r="A9" s="3" t="s">
        <v>112</v>
      </c>
      <c r="B9" s="4" t="s">
        <v>113</v>
      </c>
    </row>
    <row r="10" customFormat="false" ht="15" hidden="false" customHeight="false" outlineLevel="0" collapsed="false">
      <c r="A10" s="3" t="s">
        <v>114</v>
      </c>
      <c r="B10" s="4" t="s">
        <v>115</v>
      </c>
    </row>
    <row r="11" customFormat="false" ht="15" hidden="false" customHeight="false" outlineLevel="0" collapsed="false">
      <c r="A11" s="3" t="s">
        <v>116</v>
      </c>
      <c r="B11" s="4" t="s">
        <v>117</v>
      </c>
    </row>
    <row r="12" customFormat="false" ht="15" hidden="false" customHeight="false" outlineLevel="0" collapsed="false">
      <c r="A12" s="3" t="s">
        <v>118</v>
      </c>
      <c r="B12" s="4" t="s">
        <v>119</v>
      </c>
    </row>
    <row r="15" customFormat="false" ht="15" hidden="false" customHeight="false" outlineLevel="0" collapsed="false">
      <c r="A15" s="7" t="s">
        <v>120</v>
      </c>
    </row>
    <row r="16" customFormat="false" ht="15" hidden="false" customHeight="false" outlineLevel="0" collapsed="false">
      <c r="A16" s="3" t="s">
        <v>121</v>
      </c>
      <c r="B16" s="18" t="n">
        <v>120</v>
      </c>
    </row>
    <row r="17" customFormat="false" ht="15" hidden="false" customHeight="false" outlineLevel="0" collapsed="false">
      <c r="A17" s="3" t="s">
        <v>122</v>
      </c>
      <c r="B17" s="18" t="n">
        <v>165</v>
      </c>
    </row>
    <row r="18" customFormat="false" ht="15" hidden="false" customHeight="false" outlineLevel="0" collapsed="false">
      <c r="A18" s="3" t="s">
        <v>123</v>
      </c>
      <c r="B18" s="18" t="n">
        <v>0</v>
      </c>
    </row>
    <row r="19" customFormat="false" ht="15" hidden="false" customHeight="false" outlineLevel="0" collapsed="false">
      <c r="A19" s="3" t="s">
        <v>124</v>
      </c>
      <c r="B19" s="18" t="n">
        <v>60</v>
      </c>
    </row>
    <row r="20" customFormat="false" ht="15" hidden="false" customHeight="false" outlineLevel="0" collapsed="false">
      <c r="A20" s="3" t="s">
        <v>125</v>
      </c>
      <c r="B20" s="18" t="n">
        <v>15</v>
      </c>
    </row>
    <row r="21" customFormat="false" ht="15" hidden="false" customHeight="false" outlineLevel="0" collapsed="false">
      <c r="A21" s="3" t="s">
        <v>126</v>
      </c>
      <c r="B21" s="18" t="n">
        <v>1900</v>
      </c>
    </row>
    <row r="22" customFormat="false" ht="15" hidden="false" customHeight="false" outlineLevel="0" collapsed="false">
      <c r="A22" s="3" t="s">
        <v>127</v>
      </c>
      <c r="B22" s="18" t="n">
        <v>100</v>
      </c>
    </row>
    <row r="23" customFormat="false" ht="15" hidden="false" customHeight="false" outlineLevel="0" collapsed="false">
      <c r="A23" s="3" t="s">
        <v>128</v>
      </c>
      <c r="B23" s="18" t="n">
        <v>290</v>
      </c>
    </row>
    <row r="24" customFormat="false" ht="15" hidden="false" customHeight="false" outlineLevel="0" collapsed="false">
      <c r="A24" s="3" t="s">
        <v>129</v>
      </c>
      <c r="B24" s="18" t="n">
        <v>1220</v>
      </c>
    </row>
    <row r="25" customFormat="false" ht="15" hidden="false" customHeight="false" outlineLevel="0" collapsed="false">
      <c r="A25" s="3" t="s">
        <v>130</v>
      </c>
      <c r="B25" s="18" t="n">
        <v>120</v>
      </c>
    </row>
    <row r="27" customFormat="false" ht="15" hidden="false" customHeight="false" outlineLevel="0" collapsed="false">
      <c r="A27" s="1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2" min="2" style="0" width="11"/>
    <col collapsed="false" customWidth="true" hidden="false" outlineLevel="0" max="13" min="13" style="0" width="50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9" t="str">
        <f aca="false">CONCATENATE("Active scenario: ",CHOOSE(Assumptions!$B$4,"BASE","BULL","BEAR"))</f>
        <v>Active scenario: BASE</v>
      </c>
    </row>
    <row r="4" customFormat="false" ht="15" hidden="false" customHeight="false" outlineLevel="0" collapsed="false">
      <c r="A4" s="10"/>
      <c r="B4" s="10" t="s">
        <v>133</v>
      </c>
      <c r="C4" s="10" t="s">
        <v>106</v>
      </c>
      <c r="D4" s="10" t="s">
        <v>134</v>
      </c>
      <c r="E4" s="10" t="s">
        <v>135</v>
      </c>
      <c r="F4" s="10" t="s">
        <v>136</v>
      </c>
      <c r="G4" s="10" t="s">
        <v>137</v>
      </c>
      <c r="H4" s="10" t="s">
        <v>138</v>
      </c>
      <c r="I4" s="10" t="s">
        <v>139</v>
      </c>
      <c r="J4" s="10" t="s">
        <v>140</v>
      </c>
      <c r="K4" s="10" t="s">
        <v>141</v>
      </c>
      <c r="L4" s="10" t="s">
        <v>142</v>
      </c>
    </row>
    <row r="6" customFormat="false" ht="15" hidden="false" customHeight="false" outlineLevel="0" collapsed="false">
      <c r="A6" s="5" t="s">
        <v>143</v>
      </c>
    </row>
    <row r="7" customFormat="false" ht="15" hidden="false" customHeight="false" outlineLevel="0" collapsed="false">
      <c r="A7" s="3" t="s">
        <v>144</v>
      </c>
      <c r="C7" s="19" t="n">
        <f aca="false">C18/B18-1</f>
        <v>0.0353430353430353</v>
      </c>
      <c r="D7" s="20" t="n">
        <f aca="false">Assumptions!$E$12+(Assumptions!$E$13-Assumptions!$E$12)*0/8</f>
        <v>0.03</v>
      </c>
      <c r="E7" s="20" t="n">
        <f aca="false">Assumptions!$E$12+(Assumptions!$E$13-Assumptions!$E$12)*1/8</f>
        <v>0.0275</v>
      </c>
      <c r="F7" s="20" t="n">
        <f aca="false">Assumptions!$E$12+(Assumptions!$E$13-Assumptions!$E$12)*2/8</f>
        <v>0.025</v>
      </c>
      <c r="G7" s="20" t="n">
        <f aca="false">Assumptions!$E$12+(Assumptions!$E$13-Assumptions!$E$12)*3/8</f>
        <v>0.0225</v>
      </c>
      <c r="H7" s="20" t="n">
        <f aca="false">Assumptions!$E$12+(Assumptions!$E$13-Assumptions!$E$12)*4/8</f>
        <v>0.02</v>
      </c>
      <c r="I7" s="20" t="n">
        <f aca="false">Assumptions!$E$12+(Assumptions!$E$13-Assumptions!$E$12)*5/8</f>
        <v>0.0175</v>
      </c>
      <c r="J7" s="20" t="n">
        <f aca="false">Assumptions!$E$12+(Assumptions!$E$13-Assumptions!$E$12)*6/8</f>
        <v>0.015</v>
      </c>
      <c r="K7" s="20" t="n">
        <f aca="false">Assumptions!$E$12+(Assumptions!$E$13-Assumptions!$E$12)*7/8</f>
        <v>0.0125</v>
      </c>
      <c r="L7" s="20" t="n">
        <f aca="false">Assumptions!$E$12+(Assumptions!$E$13-Assumptions!$E$12)*8/8</f>
        <v>0.01</v>
      </c>
    </row>
    <row r="8" customFormat="false" ht="15" hidden="false" customHeight="false" outlineLevel="0" collapsed="false">
      <c r="A8" s="3" t="s">
        <v>145</v>
      </c>
      <c r="C8" s="20" t="n">
        <f aca="false">Assumptions!$B$17</f>
        <v>0.84</v>
      </c>
      <c r="D8" s="20" t="n">
        <f aca="false">Assumptions!$B$17+(Assumptions!$F$17-Assumptions!$B$17)*1/9</f>
        <v>0.84</v>
      </c>
      <c r="E8" s="20" t="n">
        <f aca="false">Assumptions!$B$17+(Assumptions!$F$17-Assumptions!$B$17)*2/9</f>
        <v>0.84</v>
      </c>
      <c r="F8" s="20" t="n">
        <f aca="false">Assumptions!$B$17+(Assumptions!$F$17-Assumptions!$B$17)*3/9</f>
        <v>0.84</v>
      </c>
      <c r="G8" s="20" t="n">
        <f aca="false">Assumptions!$B$17+(Assumptions!$F$17-Assumptions!$B$17)*4/9</f>
        <v>0.84</v>
      </c>
      <c r="H8" s="20" t="n">
        <f aca="false">Assumptions!$B$17+(Assumptions!$F$17-Assumptions!$B$17)*5/9</f>
        <v>0.84</v>
      </c>
      <c r="I8" s="20" t="n">
        <f aca="false">Assumptions!$B$17+(Assumptions!$F$17-Assumptions!$B$17)*6/9</f>
        <v>0.84</v>
      </c>
      <c r="J8" s="20" t="n">
        <f aca="false">Assumptions!$B$17+(Assumptions!$F$17-Assumptions!$B$17)*7/9</f>
        <v>0.84</v>
      </c>
      <c r="K8" s="20" t="n">
        <f aca="false">Assumptions!$B$17+(Assumptions!$F$17-Assumptions!$B$17)*8/9</f>
        <v>0.84</v>
      </c>
      <c r="L8" s="20" t="n">
        <f aca="false">Assumptions!$B$17+(Assumptions!$F$17-Assumptions!$B$17)*9/9</f>
        <v>0.84</v>
      </c>
    </row>
    <row r="9" customFormat="false" ht="15" hidden="false" customHeight="false" outlineLevel="0" collapsed="false">
      <c r="A9" s="3" t="s">
        <v>146</v>
      </c>
      <c r="C9" s="20" t="n">
        <f aca="false">Assumptions!$B$18</f>
        <v>0.42</v>
      </c>
      <c r="D9" s="20" t="n">
        <f aca="false">Assumptions!$B$18+(Assumptions!$F$18-Assumptions!$B$18)*1/9</f>
        <v>0.417777777777778</v>
      </c>
      <c r="E9" s="20" t="n">
        <f aca="false">Assumptions!$B$18+(Assumptions!$F$18-Assumptions!$B$18)*2/9</f>
        <v>0.415555555555556</v>
      </c>
      <c r="F9" s="20" t="n">
        <f aca="false">Assumptions!$B$18+(Assumptions!$F$18-Assumptions!$B$18)*3/9</f>
        <v>0.413333333333333</v>
      </c>
      <c r="G9" s="20" t="n">
        <f aca="false">Assumptions!$B$18+(Assumptions!$F$18-Assumptions!$B$18)*4/9</f>
        <v>0.411111111111111</v>
      </c>
      <c r="H9" s="20" t="n">
        <f aca="false">Assumptions!$B$18+(Assumptions!$F$18-Assumptions!$B$18)*5/9</f>
        <v>0.408888888888889</v>
      </c>
      <c r="I9" s="20" t="n">
        <f aca="false">Assumptions!$B$18+(Assumptions!$F$18-Assumptions!$B$18)*6/9</f>
        <v>0.406666666666667</v>
      </c>
      <c r="J9" s="20" t="n">
        <f aca="false">Assumptions!$B$18+(Assumptions!$F$18-Assumptions!$B$18)*7/9</f>
        <v>0.404444444444444</v>
      </c>
      <c r="K9" s="20" t="n">
        <f aca="false">Assumptions!$B$18+(Assumptions!$F$18-Assumptions!$B$18)*8/9</f>
        <v>0.402222222222222</v>
      </c>
      <c r="L9" s="20" t="n">
        <f aca="false">Assumptions!$B$18+(Assumptions!$F$18-Assumptions!$B$18)*9/9</f>
        <v>0.4</v>
      </c>
    </row>
    <row r="10" customFormat="false" ht="15" hidden="false" customHeight="false" outlineLevel="0" collapsed="false">
      <c r="A10" s="3" t="s">
        <v>147</v>
      </c>
      <c r="C10" s="20" t="n">
        <f aca="false">Assumptions!$B$19</f>
        <v>0.09</v>
      </c>
      <c r="D10" s="20" t="n">
        <f aca="false">Assumptions!$B$19+(Assumptions!$F$19-Assumptions!$B$19)*1/9</f>
        <v>0.0877777777777778</v>
      </c>
      <c r="E10" s="20" t="n">
        <f aca="false">Assumptions!$B$19+(Assumptions!$F$19-Assumptions!$B$19)*2/9</f>
        <v>0.0855555555555556</v>
      </c>
      <c r="F10" s="20" t="n">
        <f aca="false">Assumptions!$B$19+(Assumptions!$F$19-Assumptions!$B$19)*3/9</f>
        <v>0.0833333333333333</v>
      </c>
      <c r="G10" s="20" t="n">
        <f aca="false">Assumptions!$B$19+(Assumptions!$F$19-Assumptions!$B$19)*4/9</f>
        <v>0.0811111111111111</v>
      </c>
      <c r="H10" s="20" t="n">
        <f aca="false">Assumptions!$B$19+(Assumptions!$F$19-Assumptions!$B$19)*5/9</f>
        <v>0.0788888888888889</v>
      </c>
      <c r="I10" s="20" t="n">
        <f aca="false">Assumptions!$B$19+(Assumptions!$F$19-Assumptions!$B$19)*6/9</f>
        <v>0.0766666666666667</v>
      </c>
      <c r="J10" s="20" t="n">
        <f aca="false">Assumptions!$B$19+(Assumptions!$F$19-Assumptions!$B$19)*7/9</f>
        <v>0.0744444444444445</v>
      </c>
      <c r="K10" s="20" t="n">
        <f aca="false">Assumptions!$B$19+(Assumptions!$F$19-Assumptions!$B$19)*8/9</f>
        <v>0.0722222222222222</v>
      </c>
      <c r="L10" s="20" t="n">
        <f aca="false">Assumptions!$B$19+(Assumptions!$F$19-Assumptions!$B$19)*9/9</f>
        <v>0.07</v>
      </c>
    </row>
    <row r="11" customFormat="false" ht="15" hidden="false" customHeight="false" outlineLevel="0" collapsed="false">
      <c r="A11" s="3" t="s">
        <v>148</v>
      </c>
      <c r="C11" s="20" t="n">
        <f aca="false">Assumptions!$B$20</f>
        <v>0.09</v>
      </c>
      <c r="D11" s="20" t="n">
        <f aca="false">Assumptions!$B$20+(Assumptions!$F$20-Assumptions!$B$20)*1/9</f>
        <v>0.0855555555555556</v>
      </c>
      <c r="E11" s="20" t="n">
        <f aca="false">Assumptions!$B$20+(Assumptions!$F$20-Assumptions!$B$20)*2/9</f>
        <v>0.0811111111111111</v>
      </c>
      <c r="F11" s="20" t="n">
        <f aca="false">Assumptions!$B$20+(Assumptions!$F$20-Assumptions!$B$20)*3/9</f>
        <v>0.0766666666666667</v>
      </c>
      <c r="G11" s="20" t="n">
        <f aca="false">Assumptions!$B$20+(Assumptions!$F$20-Assumptions!$B$20)*4/9</f>
        <v>0.0722222222222222</v>
      </c>
      <c r="H11" s="20" t="n">
        <f aca="false">Assumptions!$B$20+(Assumptions!$F$20-Assumptions!$B$20)*5/9</f>
        <v>0.0677777777777778</v>
      </c>
      <c r="I11" s="20" t="n">
        <f aca="false">Assumptions!$B$20+(Assumptions!$F$20-Assumptions!$B$20)*6/9</f>
        <v>0.0633333333333333</v>
      </c>
      <c r="J11" s="20" t="n">
        <f aca="false">Assumptions!$B$20+(Assumptions!$F$20-Assumptions!$B$20)*7/9</f>
        <v>0.0588888888888889</v>
      </c>
      <c r="K11" s="20" t="n">
        <f aca="false">Assumptions!$B$20+(Assumptions!$F$20-Assumptions!$B$20)*8/9</f>
        <v>0.0544444444444445</v>
      </c>
      <c r="L11" s="20" t="n">
        <f aca="false">Assumptions!$B$20+(Assumptions!$F$20-Assumptions!$B$20)*9/9</f>
        <v>0.05</v>
      </c>
    </row>
    <row r="12" customFormat="false" ht="15" hidden="false" customHeight="false" outlineLevel="0" collapsed="false">
      <c r="A12" s="3" t="s">
        <v>149</v>
      </c>
      <c r="C12" s="20" t="n">
        <f aca="false">Assumptions!$B$21</f>
        <v>0.01</v>
      </c>
      <c r="D12" s="20" t="n">
        <f aca="false">Assumptions!$B$21+(Assumptions!$F$21-Assumptions!$B$21)*1/9</f>
        <v>0.01</v>
      </c>
      <c r="E12" s="20" t="n">
        <f aca="false">Assumptions!$B$21+(Assumptions!$F$21-Assumptions!$B$21)*2/9</f>
        <v>0.01</v>
      </c>
      <c r="F12" s="20" t="n">
        <f aca="false">Assumptions!$B$21+(Assumptions!$F$21-Assumptions!$B$21)*3/9</f>
        <v>0.01</v>
      </c>
      <c r="G12" s="20" t="n">
        <f aca="false">Assumptions!$B$21+(Assumptions!$F$21-Assumptions!$B$21)*4/9</f>
        <v>0.01</v>
      </c>
      <c r="H12" s="20" t="n">
        <f aca="false">Assumptions!$B$21+(Assumptions!$F$21-Assumptions!$B$21)*5/9</f>
        <v>0.01</v>
      </c>
      <c r="I12" s="20" t="n">
        <f aca="false">Assumptions!$B$21+(Assumptions!$F$21-Assumptions!$B$21)*6/9</f>
        <v>0.01</v>
      </c>
      <c r="J12" s="20" t="n">
        <f aca="false">Assumptions!$B$21+(Assumptions!$F$21-Assumptions!$B$21)*7/9</f>
        <v>0.01</v>
      </c>
      <c r="K12" s="20" t="n">
        <f aca="false">Assumptions!$B$21+(Assumptions!$F$21-Assumptions!$B$21)*8/9</f>
        <v>0.01</v>
      </c>
      <c r="L12" s="20" t="n">
        <f aca="false">Assumptions!$B$21+(Assumptions!$F$21-Assumptions!$B$21)*9/9</f>
        <v>0.01</v>
      </c>
    </row>
    <row r="13" customFormat="false" ht="15" hidden="false" customHeight="false" outlineLevel="0" collapsed="false">
      <c r="A13" s="3" t="s">
        <v>150</v>
      </c>
      <c r="C13" s="20" t="n">
        <f aca="false">Assumptions!$B$22</f>
        <v>0.21</v>
      </c>
      <c r="D13" s="20" t="n">
        <f aca="false">Assumptions!$B$22+(Assumptions!$F$22-Assumptions!$B$22)*1/9</f>
        <v>0.212222222222222</v>
      </c>
      <c r="E13" s="20" t="n">
        <f aca="false">Assumptions!$B$22+(Assumptions!$F$22-Assumptions!$B$22)*2/9</f>
        <v>0.214444444444444</v>
      </c>
      <c r="F13" s="20" t="n">
        <f aca="false">Assumptions!$B$22+(Assumptions!$F$22-Assumptions!$B$22)*3/9</f>
        <v>0.216666666666667</v>
      </c>
      <c r="G13" s="20" t="n">
        <f aca="false">Assumptions!$B$22+(Assumptions!$F$22-Assumptions!$B$22)*4/9</f>
        <v>0.218888888888889</v>
      </c>
      <c r="H13" s="20" t="n">
        <f aca="false">Assumptions!$B$22+(Assumptions!$F$22-Assumptions!$B$22)*5/9</f>
        <v>0.221111111111111</v>
      </c>
      <c r="I13" s="20" t="n">
        <f aca="false">Assumptions!$B$22+(Assumptions!$F$22-Assumptions!$B$22)*6/9</f>
        <v>0.223333333333333</v>
      </c>
      <c r="J13" s="20" t="n">
        <f aca="false">Assumptions!$B$22+(Assumptions!$F$22-Assumptions!$B$22)*7/9</f>
        <v>0.225555555555556</v>
      </c>
      <c r="K13" s="20" t="n">
        <f aca="false">Assumptions!$B$22+(Assumptions!$F$22-Assumptions!$B$22)*8/9</f>
        <v>0.227777777777778</v>
      </c>
      <c r="L13" s="20" t="n">
        <f aca="false">Assumptions!$B$22+(Assumptions!$F$22-Assumptions!$B$22)*9/9</f>
        <v>0.23</v>
      </c>
    </row>
    <row r="14" customFormat="false" ht="15" hidden="false" customHeight="false" outlineLevel="0" collapsed="false">
      <c r="A14" s="3" t="s">
        <v>151</v>
      </c>
      <c r="C14" s="20" t="n">
        <f aca="false">Assumptions!$B$23</f>
        <v>0.06</v>
      </c>
      <c r="D14" s="20" t="n">
        <f aca="false">Assumptions!$B$23+(Assumptions!$F$23-Assumptions!$B$23)*1/9</f>
        <v>0.06</v>
      </c>
      <c r="E14" s="20" t="n">
        <f aca="false">Assumptions!$B$23+(Assumptions!$F$23-Assumptions!$B$23)*2/9</f>
        <v>0.06</v>
      </c>
      <c r="F14" s="20" t="n">
        <f aca="false">Assumptions!$B$23+(Assumptions!$F$23-Assumptions!$B$23)*3/9</f>
        <v>0.06</v>
      </c>
      <c r="G14" s="20" t="n">
        <f aca="false">Assumptions!$B$23+(Assumptions!$F$23-Assumptions!$B$23)*4/9</f>
        <v>0.06</v>
      </c>
      <c r="H14" s="20" t="n">
        <f aca="false">Assumptions!$B$23+(Assumptions!$F$23-Assumptions!$B$23)*5/9</f>
        <v>0.06</v>
      </c>
      <c r="I14" s="20" t="n">
        <f aca="false">Assumptions!$B$23+(Assumptions!$F$23-Assumptions!$B$23)*6/9</f>
        <v>0.06</v>
      </c>
      <c r="J14" s="20" t="n">
        <f aca="false">Assumptions!$B$23+(Assumptions!$F$23-Assumptions!$B$23)*7/9</f>
        <v>0.06</v>
      </c>
      <c r="K14" s="20" t="n">
        <f aca="false">Assumptions!$B$23+(Assumptions!$F$23-Assumptions!$B$23)*8/9</f>
        <v>0.06</v>
      </c>
      <c r="L14" s="20" t="n">
        <f aca="false">Assumptions!$B$23+(Assumptions!$F$23-Assumptions!$B$23)*9/9</f>
        <v>0.06</v>
      </c>
    </row>
    <row r="15" customFormat="false" ht="15" hidden="false" customHeight="false" outlineLevel="0" collapsed="false">
      <c r="A15" s="3" t="s">
        <v>152</v>
      </c>
      <c r="C15" s="20" t="n">
        <f aca="false">Assumptions!$B$24</f>
        <v>0.3</v>
      </c>
      <c r="D15" s="20" t="n">
        <f aca="false">Assumptions!$B$24+(Assumptions!$F$24-Assumptions!$B$24)*1/9</f>
        <v>0.3</v>
      </c>
      <c r="E15" s="20" t="n">
        <f aca="false">Assumptions!$B$24+(Assumptions!$F$24-Assumptions!$B$24)*2/9</f>
        <v>0.3</v>
      </c>
      <c r="F15" s="20" t="n">
        <f aca="false">Assumptions!$B$24+(Assumptions!$F$24-Assumptions!$B$24)*3/9</f>
        <v>0.3</v>
      </c>
      <c r="G15" s="20" t="n">
        <f aca="false">Assumptions!$B$24+(Assumptions!$F$24-Assumptions!$B$24)*4/9</f>
        <v>0.3</v>
      </c>
      <c r="H15" s="20" t="n">
        <f aca="false">Assumptions!$B$24+(Assumptions!$F$24-Assumptions!$B$24)*5/9</f>
        <v>0.3</v>
      </c>
      <c r="I15" s="20" t="n">
        <f aca="false">Assumptions!$B$24+(Assumptions!$F$24-Assumptions!$B$24)*6/9</f>
        <v>0.3</v>
      </c>
      <c r="J15" s="20" t="n">
        <f aca="false">Assumptions!$B$24+(Assumptions!$F$24-Assumptions!$B$24)*7/9</f>
        <v>0.3</v>
      </c>
      <c r="K15" s="20" t="n">
        <f aca="false">Assumptions!$B$24+(Assumptions!$F$24-Assumptions!$B$24)*8/9</f>
        <v>0.3</v>
      </c>
      <c r="L15" s="20" t="n">
        <f aca="false">Assumptions!$B$24+(Assumptions!$F$24-Assumptions!$B$24)*9/9</f>
        <v>0.3</v>
      </c>
    </row>
    <row r="17" customFormat="false" ht="15" hidden="false" customHeight="false" outlineLevel="0" collapsed="false">
      <c r="A17" s="5" t="s">
        <v>153</v>
      </c>
    </row>
    <row r="18" customFormat="false" ht="15" hidden="false" customHeight="false" outlineLevel="0" collapsed="false">
      <c r="A18" s="7" t="s">
        <v>107</v>
      </c>
      <c r="B18" s="21" t="n">
        <f aca="false">Historicals!E5</f>
        <v>962</v>
      </c>
      <c r="C18" s="22" t="n">
        <f aca="false">Historicals!H5</f>
        <v>996</v>
      </c>
      <c r="D18" s="23" t="n">
        <f aca="false">C18*(1+D7)</f>
        <v>1025.88</v>
      </c>
      <c r="E18" s="23" t="n">
        <f aca="false">D18*(1+E7)</f>
        <v>1054.0917</v>
      </c>
      <c r="F18" s="23" t="n">
        <f aca="false">E18*(1+F7)</f>
        <v>1080.4439925</v>
      </c>
      <c r="G18" s="23" t="n">
        <f aca="false">F18*(1+G7)</f>
        <v>1104.75398233125</v>
      </c>
      <c r="H18" s="23" t="n">
        <f aca="false">G18*(1+H7)</f>
        <v>1126.84906197788</v>
      </c>
      <c r="I18" s="23" t="n">
        <f aca="false">H18*(1+I7)</f>
        <v>1146.56892056249</v>
      </c>
      <c r="J18" s="23" t="n">
        <f aca="false">I18*(1+J7)</f>
        <v>1163.76745437093</v>
      </c>
      <c r="K18" s="23" t="n">
        <f aca="false">J18*(1+K7)</f>
        <v>1178.31454755056</v>
      </c>
      <c r="L18" s="23" t="n">
        <f aca="false">K18*(1+L7)</f>
        <v>1190.09769302607</v>
      </c>
    </row>
    <row r="19" customFormat="false" ht="15" hidden="false" customHeight="false" outlineLevel="0" collapsed="false">
      <c r="A19" s="3" t="s">
        <v>154</v>
      </c>
      <c r="C19" s="24" t="n">
        <f aca="false">-C18*(1-C8)</f>
        <v>-159.36</v>
      </c>
      <c r="D19" s="24" t="n">
        <f aca="false">-D18*(1-D8)</f>
        <v>-164.1408</v>
      </c>
      <c r="E19" s="24" t="n">
        <f aca="false">-E18*(1-E8)</f>
        <v>-168.654672</v>
      </c>
      <c r="F19" s="24" t="n">
        <f aca="false">-F18*(1-F8)</f>
        <v>-172.8710388</v>
      </c>
      <c r="G19" s="24" t="n">
        <f aca="false">-G18*(1-G8)</f>
        <v>-176.760637173</v>
      </c>
      <c r="H19" s="24" t="n">
        <f aca="false">-H18*(1-H8)</f>
        <v>-180.29584991646</v>
      </c>
      <c r="I19" s="24" t="n">
        <f aca="false">-I18*(1-I8)</f>
        <v>-183.451027289998</v>
      </c>
      <c r="J19" s="24" t="n">
        <f aca="false">-J18*(1-J8)</f>
        <v>-186.202792699348</v>
      </c>
      <c r="K19" s="24" t="n">
        <f aca="false">-K18*(1-K8)</f>
        <v>-188.53032760809</v>
      </c>
      <c r="L19" s="24" t="n">
        <f aca="false">-L18*(1-L8)</f>
        <v>-190.415630884171</v>
      </c>
    </row>
    <row r="20" customFormat="false" ht="15" hidden="false" customHeight="false" outlineLevel="0" collapsed="false">
      <c r="A20" s="7" t="s">
        <v>155</v>
      </c>
      <c r="C20" s="23" t="n">
        <f aca="false">C18+C19</f>
        <v>836.64</v>
      </c>
      <c r="D20" s="23" t="n">
        <f aca="false">D18+D19</f>
        <v>861.7392</v>
      </c>
      <c r="E20" s="23" t="n">
        <f aca="false">E18+E19</f>
        <v>885.437028</v>
      </c>
      <c r="F20" s="23" t="n">
        <f aca="false">F18+F19</f>
        <v>907.5729537</v>
      </c>
      <c r="G20" s="23" t="n">
        <f aca="false">G18+G19</f>
        <v>927.99334515825</v>
      </c>
      <c r="H20" s="23" t="n">
        <f aca="false">H18+H19</f>
        <v>946.553212061415</v>
      </c>
      <c r="I20" s="23" t="n">
        <f aca="false">I18+I19</f>
        <v>963.11789327249</v>
      </c>
      <c r="J20" s="23" t="n">
        <f aca="false">J18+J19</f>
        <v>977.564661671577</v>
      </c>
      <c r="K20" s="23" t="n">
        <f aca="false">K18+K19</f>
        <v>989.784219942472</v>
      </c>
      <c r="L20" s="23" t="n">
        <f aca="false">L18+L19</f>
        <v>999.682062141896</v>
      </c>
    </row>
    <row r="21" customFormat="false" ht="15" hidden="false" customHeight="false" outlineLevel="0" collapsed="false">
      <c r="A21" s="3" t="s">
        <v>156</v>
      </c>
      <c r="C21" s="24" t="n">
        <f aca="false">-C18*C9</f>
        <v>-418.32</v>
      </c>
      <c r="D21" s="24" t="n">
        <f aca="false">-D18*D9</f>
        <v>-428.589866666667</v>
      </c>
      <c r="E21" s="24" t="n">
        <f aca="false">-E18*E9</f>
        <v>-438.033662</v>
      </c>
      <c r="F21" s="24" t="n">
        <f aca="false">-F18*F9</f>
        <v>-446.5835169</v>
      </c>
      <c r="G21" s="24" t="n">
        <f aca="false">-G18*G9</f>
        <v>-454.176637180625</v>
      </c>
      <c r="H21" s="24" t="n">
        <f aca="false">-H18*H9</f>
        <v>-460.75606089762</v>
      </c>
      <c r="I21" s="24" t="n">
        <f aca="false">-I18*I9</f>
        <v>-466.271361028745</v>
      </c>
      <c r="J21" s="24" t="n">
        <f aca="false">-J18*J9</f>
        <v>-470.679281545574</v>
      </c>
      <c r="K21" s="24" t="n">
        <f aca="false">-K18*K9</f>
        <v>-473.944295792559</v>
      </c>
      <c r="L21" s="24" t="n">
        <f aca="false">-L18*L9</f>
        <v>-476.039077210427</v>
      </c>
    </row>
    <row r="22" customFormat="false" ht="15" hidden="false" customHeight="false" outlineLevel="0" collapsed="false">
      <c r="A22" s="7" t="s">
        <v>157</v>
      </c>
      <c r="C22" s="23" t="n">
        <f aca="false">C20+C21</f>
        <v>418.32</v>
      </c>
      <c r="D22" s="23" t="n">
        <f aca="false">D20+D21</f>
        <v>433.149333333333</v>
      </c>
      <c r="E22" s="23" t="n">
        <f aca="false">E20+E21</f>
        <v>447.403366</v>
      </c>
      <c r="F22" s="23" t="n">
        <f aca="false">F20+F21</f>
        <v>460.9894368</v>
      </c>
      <c r="G22" s="23" t="n">
        <f aca="false">G20+G21</f>
        <v>473.816707977625</v>
      </c>
      <c r="H22" s="23" t="n">
        <f aca="false">H20+H21</f>
        <v>485.797151163795</v>
      </c>
      <c r="I22" s="23" t="n">
        <f aca="false">I20+I21</f>
        <v>496.846532243745</v>
      </c>
      <c r="J22" s="23" t="n">
        <f aca="false">J20+J21</f>
        <v>506.885380126003</v>
      </c>
      <c r="K22" s="23" t="n">
        <f aca="false">K20+K21</f>
        <v>515.839924149913</v>
      </c>
      <c r="L22" s="23" t="n">
        <f aca="false">L20+L21</f>
        <v>523.64298493147</v>
      </c>
    </row>
    <row r="23" customFormat="false" ht="15" hidden="false" customHeight="false" outlineLevel="0" collapsed="false">
      <c r="A23" s="3" t="s">
        <v>158</v>
      </c>
      <c r="C23" s="24" t="n">
        <f aca="false">-C18*C10</f>
        <v>-89.64</v>
      </c>
      <c r="D23" s="24" t="n">
        <f aca="false">-D18*D10</f>
        <v>-90.0494666666667</v>
      </c>
      <c r="E23" s="24" t="n">
        <f aca="false">-E18*E10</f>
        <v>-90.183401</v>
      </c>
      <c r="F23" s="24" t="n">
        <f aca="false">-F18*F10</f>
        <v>-90.036999375</v>
      </c>
      <c r="G23" s="24" t="n">
        <f aca="false">-G18*G10</f>
        <v>-89.6078230113125</v>
      </c>
      <c r="H23" s="24" t="n">
        <f aca="false">-H18*H10</f>
        <v>-88.8958704449213</v>
      </c>
      <c r="I23" s="24" t="n">
        <f aca="false">-I18*I10</f>
        <v>-87.9036172431241</v>
      </c>
      <c r="J23" s="24" t="n">
        <f aca="false">-J18*J10</f>
        <v>-86.6360216031689</v>
      </c>
      <c r="K23" s="24" t="n">
        <f aca="false">-K18*K10</f>
        <v>-85.1004951008739</v>
      </c>
      <c r="L23" s="24" t="n">
        <f aca="false">-L18*L10</f>
        <v>-83.3068385118247</v>
      </c>
    </row>
    <row r="24" customFormat="false" ht="15" hidden="false" customHeight="false" outlineLevel="0" collapsed="false">
      <c r="A24" s="3" t="s">
        <v>159</v>
      </c>
      <c r="C24" s="24" t="n">
        <f aca="false">-C18*C11</f>
        <v>-89.64</v>
      </c>
      <c r="D24" s="24" t="n">
        <f aca="false">-D18*D11</f>
        <v>-87.7697333333333</v>
      </c>
      <c r="E24" s="24" t="n">
        <f aca="false">-E18*E11</f>
        <v>-85.498549</v>
      </c>
      <c r="F24" s="24" t="n">
        <f aca="false">-F18*F11</f>
        <v>-82.834039425</v>
      </c>
      <c r="G24" s="24" t="n">
        <f aca="false">-G18*G11</f>
        <v>-79.7877876128125</v>
      </c>
      <c r="H24" s="24" t="n">
        <f aca="false">-H18*H11</f>
        <v>-76.3753253118338</v>
      </c>
      <c r="I24" s="24" t="n">
        <f aca="false">-I18*I11</f>
        <v>-72.6160316356243</v>
      </c>
      <c r="J24" s="24" t="n">
        <f aca="false">-J18*J11</f>
        <v>-68.5329723129545</v>
      </c>
      <c r="K24" s="24" t="n">
        <f aca="false">-K18*K11</f>
        <v>-64.1526809221973</v>
      </c>
      <c r="L24" s="24" t="n">
        <f aca="false">-L18*L11</f>
        <v>-59.5048846513034</v>
      </c>
    </row>
    <row r="25" customFormat="false" ht="15" hidden="false" customHeight="false" outlineLevel="0" collapsed="false">
      <c r="A25" s="7" t="s">
        <v>160</v>
      </c>
      <c r="C25" s="23" t="n">
        <f aca="false">C22+C23+C24</f>
        <v>239.04</v>
      </c>
      <c r="D25" s="23" t="n">
        <f aca="false">D22+D23+D24</f>
        <v>255.330133333333</v>
      </c>
      <c r="E25" s="23" t="n">
        <f aca="false">E22+E23+E24</f>
        <v>271.721416</v>
      </c>
      <c r="F25" s="23" t="n">
        <f aca="false">F22+F23+F24</f>
        <v>288.118398</v>
      </c>
      <c r="G25" s="23" t="n">
        <f aca="false">G22+G23+G24</f>
        <v>304.4210973535</v>
      </c>
      <c r="H25" s="23" t="n">
        <f aca="false">H22+H23+H24</f>
        <v>320.52595540704</v>
      </c>
      <c r="I25" s="23" t="n">
        <f aca="false">I22+I23+I24</f>
        <v>336.326883364996</v>
      </c>
      <c r="J25" s="23" t="n">
        <f aca="false">J22+J23+J24</f>
        <v>351.71638620988</v>
      </c>
      <c r="K25" s="23" t="n">
        <f aca="false">K22+K23+K24</f>
        <v>366.586748126841</v>
      </c>
      <c r="L25" s="23" t="n">
        <f aca="false">L22+L23+L24</f>
        <v>380.831261768341</v>
      </c>
    </row>
    <row r="26" customFormat="false" ht="15" hidden="false" customHeight="false" outlineLevel="0" collapsed="false">
      <c r="A26" s="3" t="s">
        <v>161</v>
      </c>
      <c r="C26" s="24" t="n">
        <f aca="false">B70*Assumptions!$B$34</f>
        <v>4.8</v>
      </c>
      <c r="D26" s="24" t="n">
        <f aca="false">C70*Assumptions!$B$34</f>
        <v>5.36838882191781</v>
      </c>
      <c r="E26" s="24" t="n">
        <f aca="false">D70*Assumptions!$B$34</f>
        <v>8.53281488656885</v>
      </c>
      <c r="F26" s="24" t="n">
        <f aca="false">E70*Assumptions!$B$34</f>
        <v>12.5101116583111</v>
      </c>
      <c r="G26" s="24" t="n">
        <f aca="false">F70*Assumptions!$B$34</f>
        <v>17.2935333824953</v>
      </c>
      <c r="H26" s="24" t="n">
        <f aca="false">G70*Assumptions!$B$34</f>
        <v>28.8732661414391</v>
      </c>
      <c r="I26" s="24" t="n">
        <f aca="false">H70*Assumptions!$B$34</f>
        <v>41.1056666311624</v>
      </c>
      <c r="J26" s="24" t="n">
        <f aca="false">I70*Assumptions!$B$34</f>
        <v>53.971777069611</v>
      </c>
      <c r="K26" s="24" t="n">
        <f aca="false">J70*Assumptions!$B$34</f>
        <v>67.4498828708609</v>
      </c>
      <c r="L26" s="24" t="n">
        <f aca="false">K70*Assumptions!$B$34</f>
        <v>81.5157042437686</v>
      </c>
    </row>
    <row r="27" customFormat="false" ht="15" hidden="false" customHeight="false" outlineLevel="0" collapsed="false">
      <c r="A27" s="3" t="s">
        <v>162</v>
      </c>
      <c r="C27" s="24" t="n">
        <f aca="false">-(B50*Assumptions!$B$39+B54*Assumptions!$B$35)</f>
        <v>-82.96</v>
      </c>
      <c r="D27" s="24" t="n">
        <f aca="false">-(C50*Assumptions!$B$39+C54*Assumptions!$B$35)</f>
        <v>-72.76</v>
      </c>
      <c r="E27" s="24" t="n">
        <f aca="false">-(D50*Assumptions!$B$39+D54*Assumptions!$B$35)</f>
        <v>-62.56</v>
      </c>
      <c r="F27" s="24" t="n">
        <f aca="false">-(E50*Assumptions!$B$39+E54*Assumptions!$B$35)</f>
        <v>-52.36</v>
      </c>
      <c r="G27" s="24" t="n">
        <f aca="false">-(F50*Assumptions!$B$39+F54*Assumptions!$B$35)</f>
        <v>-42.16</v>
      </c>
      <c r="H27" s="24" t="n">
        <f aca="false">-(G50*Assumptions!$B$39+G54*Assumptions!$B$35)</f>
        <v>-42.16</v>
      </c>
      <c r="I27" s="24" t="n">
        <f aca="false">-(H50*Assumptions!$B$39+H54*Assumptions!$B$35)</f>
        <v>-42.16</v>
      </c>
      <c r="J27" s="24" t="n">
        <f aca="false">-(I50*Assumptions!$B$39+I54*Assumptions!$B$35)</f>
        <v>-42.16</v>
      </c>
      <c r="K27" s="24" t="n">
        <f aca="false">-(J50*Assumptions!$B$39+J54*Assumptions!$B$35)</f>
        <v>-42.16</v>
      </c>
      <c r="L27" s="24" t="n">
        <f aca="false">-(K50*Assumptions!$B$39+K54*Assumptions!$B$35)</f>
        <v>-42.16</v>
      </c>
    </row>
    <row r="28" customFormat="false" ht="15" hidden="false" customHeight="false" outlineLevel="0" collapsed="false">
      <c r="A28" s="3" t="s">
        <v>163</v>
      </c>
      <c r="C28" s="24" t="n">
        <f aca="false">C25+C26+C27</f>
        <v>160.88</v>
      </c>
      <c r="D28" s="24" t="n">
        <f aca="false">D25+D26+D27</f>
        <v>187.938522155251</v>
      </c>
      <c r="E28" s="24" t="n">
        <f aca="false">E25+E26+E27</f>
        <v>217.694230886569</v>
      </c>
      <c r="F28" s="24" t="n">
        <f aca="false">F25+F26+F27</f>
        <v>248.268509658311</v>
      </c>
      <c r="G28" s="24" t="n">
        <f aca="false">G25+G26+G27</f>
        <v>279.554630735995</v>
      </c>
      <c r="H28" s="24" t="n">
        <f aca="false">H25+H26+H27</f>
        <v>307.239221548479</v>
      </c>
      <c r="I28" s="24" t="n">
        <f aca="false">I25+I26+I27</f>
        <v>335.272549996159</v>
      </c>
      <c r="J28" s="24" t="n">
        <f aca="false">J25+J26+J27</f>
        <v>363.528163279491</v>
      </c>
      <c r="K28" s="24" t="n">
        <f aca="false">K25+K26+K27</f>
        <v>391.876630997702</v>
      </c>
      <c r="L28" s="24" t="n">
        <f aca="false">L25+L26+L27</f>
        <v>420.18696601211</v>
      </c>
    </row>
    <row r="29" customFormat="false" ht="15" hidden="false" customHeight="false" outlineLevel="0" collapsed="false">
      <c r="A29" s="3" t="s">
        <v>164</v>
      </c>
      <c r="C29" s="24" t="n">
        <f aca="false">-MAX(0,C28)*C13</f>
        <v>-33.7848</v>
      </c>
      <c r="D29" s="24" t="n">
        <f aca="false">-MAX(0,D28)*D13</f>
        <v>-39.8847308129478</v>
      </c>
      <c r="E29" s="24" t="n">
        <f aca="false">-MAX(0,E28)*E13</f>
        <v>-46.6833184012309</v>
      </c>
      <c r="F29" s="24" t="n">
        <f aca="false">-MAX(0,F28)*F13</f>
        <v>-53.7915104259674</v>
      </c>
      <c r="G29" s="24" t="n">
        <f aca="false">-MAX(0,G28)*G13</f>
        <v>-61.1914025055456</v>
      </c>
      <c r="H29" s="24" t="n">
        <f aca="false">-MAX(0,H28)*H13</f>
        <v>-67.934005653497</v>
      </c>
      <c r="I29" s="24" t="n">
        <f aca="false">-MAX(0,I28)*I13</f>
        <v>-74.8775361658088</v>
      </c>
      <c r="J29" s="24" t="n">
        <f aca="false">-MAX(0,J28)*J13</f>
        <v>-81.9957968285962</v>
      </c>
      <c r="K29" s="24" t="n">
        <f aca="false">-MAX(0,K28)*K13</f>
        <v>-89.2607881716989</v>
      </c>
      <c r="L29" s="24" t="n">
        <f aca="false">-MAX(0,L28)*L13</f>
        <v>-96.6430021827853</v>
      </c>
    </row>
    <row r="30" customFormat="false" ht="15" hidden="false" customHeight="false" outlineLevel="0" collapsed="false">
      <c r="A30" s="7" t="s">
        <v>165</v>
      </c>
      <c r="C30" s="23" t="n">
        <f aca="false">C28+C29</f>
        <v>127.0952</v>
      </c>
      <c r="D30" s="23" t="n">
        <f aca="false">D28+D29</f>
        <v>148.053791342303</v>
      </c>
      <c r="E30" s="23" t="n">
        <f aca="false">E28+E29</f>
        <v>171.010912485338</v>
      </c>
      <c r="F30" s="23" t="n">
        <f aca="false">F28+F29</f>
        <v>194.476999232344</v>
      </c>
      <c r="G30" s="23" t="n">
        <f aca="false">G28+G29</f>
        <v>218.36322823045</v>
      </c>
      <c r="H30" s="23" t="n">
        <f aca="false">H28+H29</f>
        <v>239.305215894982</v>
      </c>
      <c r="I30" s="23" t="n">
        <f aca="false">I28+I29</f>
        <v>260.39501383035</v>
      </c>
      <c r="J30" s="23" t="n">
        <f aca="false">J28+J29</f>
        <v>281.532366450894</v>
      </c>
      <c r="K30" s="23" t="n">
        <f aca="false">K28+K29</f>
        <v>302.615842826003</v>
      </c>
      <c r="L30" s="23" t="n">
        <f aca="false">L28+L29</f>
        <v>323.543963829325</v>
      </c>
    </row>
    <row r="31" customFormat="false" ht="15" hidden="false" customHeight="false" outlineLevel="0" collapsed="false">
      <c r="A31" s="25" t="s">
        <v>166</v>
      </c>
      <c r="C31" s="26" t="n">
        <f aca="false">C30/Assumptions!$B$37</f>
        <v>3.09988292682927</v>
      </c>
      <c r="D31" s="26" t="n">
        <f aca="false">D30/Assumptions!$B$37</f>
        <v>3.6110680815196</v>
      </c>
      <c r="E31" s="26" t="n">
        <f aca="false">E30/Assumptions!$B$37</f>
        <v>4.17099786549605</v>
      </c>
      <c r="F31" s="26" t="n">
        <f aca="false">F30/Assumptions!$B$37</f>
        <v>4.74334144469131</v>
      </c>
      <c r="G31" s="26" t="n">
        <f aca="false">G30/Assumptions!$B$37</f>
        <v>5.32593239586463</v>
      </c>
      <c r="H31" s="26" t="n">
        <f aca="false">H30/Assumptions!$B$37</f>
        <v>5.83671258280444</v>
      </c>
      <c r="I31" s="26" t="n">
        <f aca="false">I30/Assumptions!$B$37</f>
        <v>6.35109789830122</v>
      </c>
      <c r="J31" s="26" t="n">
        <f aca="false">J30/Assumptions!$B$37</f>
        <v>6.86664308416815</v>
      </c>
      <c r="K31" s="26" t="n">
        <f aca="false">K30/Assumptions!$B$37</f>
        <v>7.38087421526837</v>
      </c>
      <c r="L31" s="26" t="n">
        <f aca="false">L30/Assumptions!$B$37</f>
        <v>7.89131619095914</v>
      </c>
    </row>
    <row r="32" customFormat="false" ht="15" hidden="false" customHeight="false" outlineLevel="0" collapsed="false">
      <c r="A32" s="25" t="s">
        <v>167</v>
      </c>
      <c r="C32" s="27" t="n">
        <f aca="false">C22/C18</f>
        <v>0.42</v>
      </c>
      <c r="D32" s="27" t="n">
        <f aca="false">D22/D18</f>
        <v>0.422222222222222</v>
      </c>
      <c r="E32" s="27" t="n">
        <f aca="false">E22/E18</f>
        <v>0.424444444444444</v>
      </c>
      <c r="F32" s="27" t="n">
        <f aca="false">F22/F18</f>
        <v>0.426666666666667</v>
      </c>
      <c r="G32" s="27" t="n">
        <f aca="false">G22/G18</f>
        <v>0.428888888888889</v>
      </c>
      <c r="H32" s="27" t="n">
        <f aca="false">H22/H18</f>
        <v>0.431111111111111</v>
      </c>
      <c r="I32" s="27" t="n">
        <f aca="false">I22/I18</f>
        <v>0.433333333333333</v>
      </c>
      <c r="J32" s="27" t="n">
        <f aca="false">J22/J18</f>
        <v>0.435555555555556</v>
      </c>
      <c r="K32" s="27" t="n">
        <f aca="false">K22/K18</f>
        <v>0.437777777777778</v>
      </c>
      <c r="L32" s="27" t="n">
        <f aca="false">L22/L18</f>
        <v>0.44</v>
      </c>
    </row>
    <row r="34" customFormat="false" ht="15" hidden="false" customHeight="false" outlineLevel="0" collapsed="false">
      <c r="A34" s="5" t="s">
        <v>168</v>
      </c>
    </row>
    <row r="35" customFormat="false" ht="15" hidden="false" customHeight="false" outlineLevel="0" collapsed="false">
      <c r="A35" s="3" t="s">
        <v>169</v>
      </c>
      <c r="B35" s="18" t="n">
        <v>165</v>
      </c>
      <c r="C35" s="24" t="n">
        <f aca="false">C18*Assumptions!$B$27/365</f>
        <v>163.72602739726</v>
      </c>
      <c r="D35" s="24" t="n">
        <f aca="false">D18*Assumptions!$B$27/365</f>
        <v>168.637808219178</v>
      </c>
      <c r="E35" s="24" t="n">
        <f aca="false">E18*Assumptions!$B$27/365</f>
        <v>173.275347945206</v>
      </c>
      <c r="F35" s="24" t="n">
        <f aca="false">F18*Assumptions!$B$27/365</f>
        <v>177.607231643836</v>
      </c>
      <c r="G35" s="24" t="n">
        <f aca="false">G18*Assumptions!$B$27/365</f>
        <v>181.603394355822</v>
      </c>
      <c r="H35" s="24" t="n">
        <f aca="false">H18*Assumptions!$B$27/365</f>
        <v>185.235462242938</v>
      </c>
      <c r="I35" s="24" t="n">
        <f aca="false">I18*Assumptions!$B$27/365</f>
        <v>188.47708283219</v>
      </c>
      <c r="J35" s="24" t="n">
        <f aca="false">J18*Assumptions!$B$27/365</f>
        <v>191.304239074673</v>
      </c>
      <c r="K35" s="24" t="n">
        <f aca="false">K18*Assumptions!$B$27/365</f>
        <v>193.695542063106</v>
      </c>
      <c r="L35" s="24" t="n">
        <f aca="false">L18*Assumptions!$B$27/365</f>
        <v>195.632497483737</v>
      </c>
    </row>
    <row r="36" customFormat="false" ht="15" hidden="false" customHeight="false" outlineLevel="0" collapsed="false">
      <c r="A36" s="3" t="s">
        <v>170</v>
      </c>
      <c r="B36" s="18" t="n">
        <v>0</v>
      </c>
      <c r="C36" s="24" t="n">
        <f aca="false">-C19*Assumptions!$B$28/365</f>
        <v>0</v>
      </c>
      <c r="D36" s="24" t="n">
        <f aca="false">-D19*Assumptions!$B$28/365</f>
        <v>0</v>
      </c>
      <c r="E36" s="24" t="n">
        <f aca="false">-E19*Assumptions!$B$28/365</f>
        <v>0</v>
      </c>
      <c r="F36" s="24" t="n">
        <f aca="false">-F19*Assumptions!$B$28/365</f>
        <v>0</v>
      </c>
      <c r="G36" s="24" t="n">
        <f aca="false">-G19*Assumptions!$B$28/365</f>
        <v>0</v>
      </c>
      <c r="H36" s="24" t="n">
        <f aca="false">-H19*Assumptions!$B$28/365</f>
        <v>0</v>
      </c>
      <c r="I36" s="24" t="n">
        <f aca="false">-I19*Assumptions!$B$28/365</f>
        <v>0</v>
      </c>
      <c r="J36" s="24" t="n">
        <f aca="false">-J19*Assumptions!$B$28/365</f>
        <v>0</v>
      </c>
      <c r="K36" s="24" t="n">
        <f aca="false">-K19*Assumptions!$B$28/365</f>
        <v>0</v>
      </c>
      <c r="L36" s="24" t="n">
        <f aca="false">-L19*Assumptions!$B$28/365</f>
        <v>0</v>
      </c>
    </row>
    <row r="37" customFormat="false" ht="15" hidden="false" customHeight="false" outlineLevel="0" collapsed="false">
      <c r="A37" s="3" t="s">
        <v>171</v>
      </c>
      <c r="B37" s="18" t="n">
        <v>60</v>
      </c>
      <c r="C37" s="24" t="n">
        <f aca="false">C18*C14</f>
        <v>59.76</v>
      </c>
      <c r="D37" s="24" t="n">
        <f aca="false">D18*D14</f>
        <v>61.5528</v>
      </c>
      <c r="E37" s="24" t="n">
        <f aca="false">E18*E14</f>
        <v>63.245502</v>
      </c>
      <c r="F37" s="24" t="n">
        <f aca="false">F18*F14</f>
        <v>64.82663955</v>
      </c>
      <c r="G37" s="24" t="n">
        <f aca="false">G18*G14</f>
        <v>66.285238939875</v>
      </c>
      <c r="H37" s="24" t="n">
        <f aca="false">H18*H14</f>
        <v>67.6109437186725</v>
      </c>
      <c r="I37" s="24" t="n">
        <f aca="false">I18*I14</f>
        <v>68.7941352337493</v>
      </c>
      <c r="J37" s="24" t="n">
        <f aca="false">J18*J14</f>
        <v>69.8260472622555</v>
      </c>
      <c r="K37" s="24" t="n">
        <f aca="false">K18*K14</f>
        <v>70.6988728530337</v>
      </c>
      <c r="L37" s="24" t="n">
        <f aca="false">L18*L14</f>
        <v>71.405861581564</v>
      </c>
    </row>
    <row r="38" customFormat="false" ht="15" hidden="false" customHeight="false" outlineLevel="0" collapsed="false">
      <c r="A38" s="3" t="s">
        <v>172</v>
      </c>
      <c r="B38" s="18" t="n">
        <v>-100</v>
      </c>
      <c r="C38" s="24" t="n">
        <f aca="false">(C19+C21)*Assumptions!$B$29/365</f>
        <v>-47.4805479452055</v>
      </c>
      <c r="D38" s="24" t="n">
        <f aca="false">(D19+D21)*Assumptions!$B$29/365</f>
        <v>-48.7175890410959</v>
      </c>
      <c r="E38" s="24" t="n">
        <f aca="false">(E19+E21)*Assumptions!$B$29/365</f>
        <v>-49.8647945753425</v>
      </c>
      <c r="F38" s="24" t="n">
        <f aca="false">(F19+F21)*Assumptions!$B$29/365</f>
        <v>-50.9140730712329</v>
      </c>
      <c r="G38" s="24" t="n">
        <f aca="false">(G19+G21)*Assumptions!$B$29/365</f>
        <v>-51.8578581660514</v>
      </c>
      <c r="H38" s="24" t="n">
        <f aca="false">(H19+H21)*Assumptions!$B$29/365</f>
        <v>-52.6891981491025</v>
      </c>
      <c r="I38" s="24" t="n">
        <f aca="false">(I19+I21)*Assumptions!$B$29/365</f>
        <v>-53.4018401357871</v>
      </c>
      <c r="J38" s="24" t="n">
        <f aca="false">(J19+J21)*Assumptions!$B$29/365</f>
        <v>-53.9903074721854</v>
      </c>
      <c r="K38" s="24" t="n">
        <f aca="false">(K19+K21)*Assumptions!$B$29/365</f>
        <v>-54.4499690466287</v>
      </c>
      <c r="L38" s="24" t="n">
        <f aca="false">(L19+L21)*Assumptions!$B$29/365</f>
        <v>-54.7770992954464</v>
      </c>
    </row>
    <row r="39" customFormat="false" ht="15" hidden="false" customHeight="false" outlineLevel="0" collapsed="false">
      <c r="A39" s="3" t="s">
        <v>173</v>
      </c>
      <c r="B39" s="18" t="n">
        <v>-290</v>
      </c>
      <c r="C39" s="24" t="n">
        <f aca="false">-C18*C15</f>
        <v>-298.8</v>
      </c>
      <c r="D39" s="24" t="n">
        <f aca="false">-D18*D15</f>
        <v>-307.764</v>
      </c>
      <c r="E39" s="24" t="n">
        <f aca="false">-E18*E15</f>
        <v>-316.22751</v>
      </c>
      <c r="F39" s="24" t="n">
        <f aca="false">-F18*F15</f>
        <v>-324.13319775</v>
      </c>
      <c r="G39" s="24" t="n">
        <f aca="false">-G18*G15</f>
        <v>-331.426194699375</v>
      </c>
      <c r="H39" s="24" t="n">
        <f aca="false">-H18*H15</f>
        <v>-338.054718593363</v>
      </c>
      <c r="I39" s="24" t="n">
        <f aca="false">-I18*I15</f>
        <v>-343.970676168746</v>
      </c>
      <c r="J39" s="24" t="n">
        <f aca="false">-J18*J15</f>
        <v>-349.130236311278</v>
      </c>
      <c r="K39" s="24" t="n">
        <f aca="false">-K18*K15</f>
        <v>-353.494364265169</v>
      </c>
      <c r="L39" s="24" t="n">
        <f aca="false">-L18*L15</f>
        <v>-357.02930790782</v>
      </c>
    </row>
    <row r="40" customFormat="false" ht="15" hidden="false" customHeight="false" outlineLevel="0" collapsed="false">
      <c r="A40" s="7" t="s">
        <v>174</v>
      </c>
      <c r="B40" s="23" t="n">
        <f aca="false">SUM(B35:B39)</f>
        <v>-165</v>
      </c>
      <c r="C40" s="23" t="n">
        <f aca="false">SUM(C35:C39)</f>
        <v>-122.794520547945</v>
      </c>
      <c r="D40" s="23" t="n">
        <f aca="false">SUM(D35:D39)</f>
        <v>-126.290980821918</v>
      </c>
      <c r="E40" s="23" t="n">
        <f aca="false">SUM(E35:E39)</f>
        <v>-129.571454630137</v>
      </c>
      <c r="F40" s="23" t="n">
        <f aca="false">SUM(F35:F39)</f>
        <v>-132.613399627397</v>
      </c>
      <c r="G40" s="23" t="n">
        <f aca="false">SUM(G35:G39)</f>
        <v>-135.395419569729</v>
      </c>
      <c r="H40" s="23" t="n">
        <f aca="false">SUM(H35:H39)</f>
        <v>-137.897510780854</v>
      </c>
      <c r="I40" s="23" t="n">
        <f aca="false">SUM(I35:I39)</f>
        <v>-140.101298238594</v>
      </c>
      <c r="J40" s="23" t="n">
        <f aca="false">SUM(J35:J39)</f>
        <v>-141.990257446535</v>
      </c>
      <c r="K40" s="23" t="n">
        <f aca="false">SUM(K35:K39)</f>
        <v>-143.549918395657</v>
      </c>
      <c r="L40" s="23" t="n">
        <f aca="false">SUM(L35:L39)</f>
        <v>-144.768048137965</v>
      </c>
    </row>
    <row r="41" customFormat="false" ht="15" hidden="false" customHeight="false" outlineLevel="0" collapsed="false">
      <c r="A41" s="3" t="s">
        <v>175</v>
      </c>
      <c r="C41" s="24" t="n">
        <f aca="false">-(C40-B40)</f>
        <v>-42.2054794520548</v>
      </c>
      <c r="D41" s="24" t="n">
        <f aca="false">-(D40-C40)</f>
        <v>3.49646027397262</v>
      </c>
      <c r="E41" s="24" t="n">
        <f aca="false">-(E40-D40)</f>
        <v>3.28047380821917</v>
      </c>
      <c r="F41" s="24" t="n">
        <f aca="false">-(F40-E40)</f>
        <v>3.04194499726026</v>
      </c>
      <c r="G41" s="24" t="n">
        <f aca="false">-(G40-F40)</f>
        <v>2.78201994233223</v>
      </c>
      <c r="H41" s="24" t="n">
        <f aca="false">-(H40-G40)</f>
        <v>2.50209121112468</v>
      </c>
      <c r="I41" s="24" t="n">
        <f aca="false">-(I40-H40)</f>
        <v>2.20378745774025</v>
      </c>
      <c r="J41" s="24" t="n">
        <f aca="false">-(J40-I40)</f>
        <v>1.88895920794036</v>
      </c>
      <c r="K41" s="24" t="n">
        <f aca="false">-(K40-J40)</f>
        <v>1.5596609491227</v>
      </c>
      <c r="L41" s="24" t="n">
        <f aca="false">-(L40-K40)</f>
        <v>1.21812974230795</v>
      </c>
    </row>
    <row r="43" customFormat="false" ht="15" hidden="false" customHeight="false" outlineLevel="0" collapsed="false">
      <c r="A43" s="5" t="s">
        <v>176</v>
      </c>
    </row>
    <row r="44" customFormat="false" ht="15" hidden="false" customHeight="false" outlineLevel="0" collapsed="false">
      <c r="A44" s="3" t="s">
        <v>177</v>
      </c>
      <c r="C44" s="24" t="n">
        <f aca="false">C18*C12</f>
        <v>9.96</v>
      </c>
      <c r="D44" s="24" t="n">
        <f aca="false">D18*D12</f>
        <v>10.2588</v>
      </c>
      <c r="E44" s="24" t="n">
        <f aca="false">E18*E12</f>
        <v>10.540917</v>
      </c>
      <c r="F44" s="24" t="n">
        <f aca="false">F18*F12</f>
        <v>10.804439925</v>
      </c>
      <c r="G44" s="24" t="n">
        <f aca="false">G18*G12</f>
        <v>11.0475398233125</v>
      </c>
      <c r="H44" s="24" t="n">
        <f aca="false">H18*H12</f>
        <v>11.2684906197788</v>
      </c>
      <c r="I44" s="24" t="n">
        <f aca="false">I18*I12</f>
        <v>11.4656892056249</v>
      </c>
      <c r="J44" s="24" t="n">
        <f aca="false">J18*J12</f>
        <v>11.6376745437093</v>
      </c>
      <c r="K44" s="24" t="n">
        <f aca="false">K18*K12</f>
        <v>11.7831454755056</v>
      </c>
      <c r="L44" s="24" t="n">
        <f aca="false">L18*L12</f>
        <v>11.9009769302607</v>
      </c>
    </row>
    <row r="45" customFormat="false" ht="15" hidden="false" customHeight="false" outlineLevel="0" collapsed="false">
      <c r="A45" s="3" t="s">
        <v>178</v>
      </c>
      <c r="B45" s="18" t="n">
        <v>15</v>
      </c>
      <c r="C45" s="24" t="n">
        <f aca="false">MAX(5,B45+C44+C24*0.1)</f>
        <v>15.996</v>
      </c>
      <c r="D45" s="24" t="n">
        <f aca="false">MAX(5,C45+D44+D24*0.1)</f>
        <v>17.4778266666667</v>
      </c>
      <c r="E45" s="24" t="n">
        <f aca="false">MAX(5,D45+E44+E24*0.1)</f>
        <v>19.4688887666667</v>
      </c>
      <c r="F45" s="24" t="n">
        <f aca="false">MAX(5,E45+F44+F24*0.1)</f>
        <v>21.9899247491667</v>
      </c>
      <c r="G45" s="24" t="n">
        <f aca="false">MAX(5,F45+G44+G24*0.1)</f>
        <v>25.0586858111979</v>
      </c>
      <c r="H45" s="24" t="n">
        <f aca="false">MAX(5,G45+H44+H24*0.1)</f>
        <v>28.6896438997933</v>
      </c>
      <c r="I45" s="24" t="n">
        <f aca="false">MAX(5,H45+I44+I24*0.1)</f>
        <v>32.8937299418558</v>
      </c>
      <c r="J45" s="24" t="n">
        <f aca="false">MAX(5,I45+J44+J24*0.1)</f>
        <v>37.6781072542696</v>
      </c>
      <c r="K45" s="24" t="n">
        <f aca="false">MAX(5,J45+K44+K24*0.1)</f>
        <v>43.0459846375555</v>
      </c>
      <c r="L45" s="24" t="n">
        <f aca="false">MAX(5,K45+L44+L24*0.1)</f>
        <v>48.9964731026858</v>
      </c>
      <c r="M45" s="13" t="s">
        <v>179</v>
      </c>
    </row>
    <row r="47" customFormat="false" ht="15" hidden="false" customHeight="false" outlineLevel="0" collapsed="false">
      <c r="A47" s="5" t="s">
        <v>180</v>
      </c>
    </row>
    <row r="48" customFormat="false" ht="15" hidden="false" customHeight="false" outlineLevel="0" collapsed="false">
      <c r="A48" s="3" t="s">
        <v>181</v>
      </c>
      <c r="C48" s="24" t="n">
        <f aca="false">B50</f>
        <v>1220</v>
      </c>
      <c r="D48" s="24" t="n">
        <f aca="false">C50</f>
        <v>1070</v>
      </c>
      <c r="E48" s="24" t="n">
        <f aca="false">D50</f>
        <v>920</v>
      </c>
      <c r="F48" s="24" t="n">
        <f aca="false">E50</f>
        <v>770</v>
      </c>
      <c r="G48" s="24" t="n">
        <f aca="false">F50</f>
        <v>620</v>
      </c>
      <c r="H48" s="24" t="n">
        <f aca="false">G50</f>
        <v>620</v>
      </c>
      <c r="I48" s="24" t="n">
        <f aca="false">H50</f>
        <v>620</v>
      </c>
      <c r="J48" s="24" t="n">
        <f aca="false">I50</f>
        <v>620</v>
      </c>
      <c r="K48" s="24" t="n">
        <f aca="false">J50</f>
        <v>620</v>
      </c>
      <c r="L48" s="24" t="n">
        <f aca="false">K50</f>
        <v>620</v>
      </c>
    </row>
    <row r="49" customFormat="false" ht="15" hidden="false" customHeight="false" outlineLevel="0" collapsed="false">
      <c r="A49" s="3" t="s">
        <v>182</v>
      </c>
      <c r="C49" s="21" t="n">
        <f aca="false">Assumptions!$B$42</f>
        <v>-150</v>
      </c>
      <c r="D49" s="15" t="n">
        <v>-150</v>
      </c>
      <c r="E49" s="15" t="n">
        <v>-150</v>
      </c>
      <c r="F49" s="15" t="n">
        <v>-150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</row>
    <row r="50" customFormat="false" ht="15" hidden="false" customHeight="false" outlineLevel="0" collapsed="false">
      <c r="A50" s="3" t="s">
        <v>183</v>
      </c>
      <c r="B50" s="18" t="n">
        <v>1220</v>
      </c>
      <c r="C50" s="24" t="n">
        <f aca="false">MAX(0,C48+C49)</f>
        <v>1070</v>
      </c>
      <c r="D50" s="24" t="n">
        <f aca="false">MAX(0,D48+D49)</f>
        <v>920</v>
      </c>
      <c r="E50" s="24" t="n">
        <f aca="false">MAX(0,E48+E49)</f>
        <v>770</v>
      </c>
      <c r="F50" s="24" t="n">
        <f aca="false">MAX(0,F48+F49)</f>
        <v>620</v>
      </c>
      <c r="G50" s="24" t="n">
        <f aca="false">MAX(0,G48+G49)</f>
        <v>620</v>
      </c>
      <c r="H50" s="24" t="n">
        <f aca="false">MAX(0,H48+H49)</f>
        <v>620</v>
      </c>
      <c r="I50" s="24" t="n">
        <f aca="false">MAX(0,I48+I49)</f>
        <v>620</v>
      </c>
      <c r="J50" s="24" t="n">
        <f aca="false">MAX(0,J48+J49)</f>
        <v>620</v>
      </c>
      <c r="K50" s="24" t="n">
        <f aca="false">MAX(0,K48+K49)</f>
        <v>620</v>
      </c>
      <c r="L50" s="24" t="n">
        <f aca="false">MAX(0,L48+L49)</f>
        <v>620</v>
      </c>
    </row>
    <row r="51" customFormat="false" ht="15" hidden="false" customHeight="false" outlineLevel="0" collapsed="false">
      <c r="A51" s="3" t="s">
        <v>184</v>
      </c>
      <c r="C51" s="24" t="n">
        <f aca="false">B54</f>
        <v>0</v>
      </c>
      <c r="D51" s="24" t="n">
        <f aca="false">C54</f>
        <v>0</v>
      </c>
      <c r="E51" s="24" t="n">
        <f aca="false">D54</f>
        <v>0</v>
      </c>
      <c r="F51" s="24" t="n">
        <f aca="false">E54</f>
        <v>0</v>
      </c>
      <c r="G51" s="24" t="n">
        <f aca="false">F54</f>
        <v>0</v>
      </c>
      <c r="H51" s="24" t="n">
        <f aca="false">G54</f>
        <v>0</v>
      </c>
      <c r="I51" s="24" t="n">
        <f aca="false">H54</f>
        <v>0</v>
      </c>
      <c r="J51" s="24" t="n">
        <f aca="false">I54</f>
        <v>0</v>
      </c>
      <c r="K51" s="24" t="n">
        <f aca="false">J54</f>
        <v>0</v>
      </c>
      <c r="L51" s="24" t="n">
        <f aca="false">K54</f>
        <v>0</v>
      </c>
    </row>
    <row r="52" customFormat="false" ht="15" hidden="false" customHeight="false" outlineLevel="0" collapsed="false">
      <c r="A52" s="3" t="s">
        <v>185</v>
      </c>
      <c r="C52" s="24" t="n">
        <f aca="false">MAX(0,Assumptions!$B$36-(B70+C30-C23-C24+C41-C44+C65+C66+C49))</f>
        <v>0</v>
      </c>
      <c r="D52" s="24" t="n">
        <f aca="false">MAX(0,Assumptions!$B$36-(C70+D30-D23-D24+D41-D44+D65+D66+D49))</f>
        <v>0</v>
      </c>
      <c r="E52" s="24" t="n">
        <f aca="false">MAX(0,Assumptions!$B$36-(D70+E30-E23-E24+E41-E44+E65+E66+E49))</f>
        <v>0</v>
      </c>
      <c r="F52" s="24" t="n">
        <f aca="false">MAX(0,Assumptions!$B$36-(E70+F30-F23-F24+F41-F44+F65+F66+F49))</f>
        <v>0</v>
      </c>
      <c r="G52" s="24" t="n">
        <f aca="false">MAX(0,Assumptions!$B$36-(F70+G30-G23-G24+G41-G44+G65+G66+G49))</f>
        <v>0</v>
      </c>
      <c r="H52" s="24" t="n">
        <f aca="false">MAX(0,Assumptions!$B$36-(G70+H30-H23-H24+H41-H44+H65+H66+H49))</f>
        <v>0</v>
      </c>
      <c r="I52" s="24" t="n">
        <f aca="false">MAX(0,Assumptions!$B$36-(H70+I30-I23-I24+I41-I44+I65+I66+I49))</f>
        <v>0</v>
      </c>
      <c r="J52" s="24" t="n">
        <f aca="false">MAX(0,Assumptions!$B$36-(I70+J30-J23-J24+J41-J44+J65+J66+J49))</f>
        <v>0</v>
      </c>
      <c r="K52" s="24" t="n">
        <f aca="false">MAX(0,Assumptions!$B$36-(J70+K30-K23-K24+K41-K44+K65+K66+K49))</f>
        <v>0</v>
      </c>
      <c r="L52" s="24" t="n">
        <f aca="false">MAX(0,Assumptions!$B$36-(K70+L30-L23-L24+L41-L44+L65+L66+L49))</f>
        <v>0</v>
      </c>
    </row>
    <row r="53" customFormat="false" ht="15" hidden="false" customHeight="false" outlineLevel="0" collapsed="false">
      <c r="A53" s="3" t="s">
        <v>186</v>
      </c>
      <c r="C53" s="24" t="n">
        <f aca="false">-MIN(C51,MAX(0,(B70+C30-C23-C24+C41-C44+C65+C66+C49)-Assumptions!$B$36))</f>
        <v>-0</v>
      </c>
      <c r="D53" s="24" t="n">
        <f aca="false">-MIN(D51,MAX(0,(C70+D30-D23-D24+D41-D44+D65+D66+D49)-Assumptions!$B$36))</f>
        <v>-0</v>
      </c>
      <c r="E53" s="24" t="n">
        <f aca="false">-MIN(E51,MAX(0,(D70+E30-E23-E24+E41-E44+E65+E66+E49)-Assumptions!$B$36))</f>
        <v>-0</v>
      </c>
      <c r="F53" s="24" t="n">
        <f aca="false">-MIN(F51,MAX(0,(E70+F30-F23-F24+F41-F44+F65+F66+F49)-Assumptions!$B$36))</f>
        <v>-0</v>
      </c>
      <c r="G53" s="24" t="n">
        <f aca="false">-MIN(G51,MAX(0,(F70+G30-G23-G24+G41-G44+G65+G66+G49)-Assumptions!$B$36))</f>
        <v>-0</v>
      </c>
      <c r="H53" s="24" t="n">
        <f aca="false">-MIN(H51,MAX(0,(G70+H30-H23-H24+H41-H44+H65+H66+H49)-Assumptions!$B$36))</f>
        <v>-0</v>
      </c>
      <c r="I53" s="24" t="n">
        <f aca="false">-MIN(I51,MAX(0,(H70+I30-I23-I24+I41-I44+I65+I66+I49)-Assumptions!$B$36))</f>
        <v>-0</v>
      </c>
      <c r="J53" s="24" t="n">
        <f aca="false">-MIN(J51,MAX(0,(I70+J30-J23-J24+J41-J44+J65+J66+J49)-Assumptions!$B$36))</f>
        <v>-0</v>
      </c>
      <c r="K53" s="24" t="n">
        <f aca="false">-MIN(K51,MAX(0,(J70+K30-K23-K24+K41-K44+K65+K66+K49)-Assumptions!$B$36))</f>
        <v>-0</v>
      </c>
      <c r="L53" s="24" t="n">
        <f aca="false">-MIN(L51,MAX(0,(K70+L30-L23-L24+L41-L44+L65+L66+L49)-Assumptions!$B$36))</f>
        <v>-0</v>
      </c>
    </row>
    <row r="54" customFormat="false" ht="15" hidden="false" customHeight="false" outlineLevel="0" collapsed="false">
      <c r="A54" s="3" t="s">
        <v>187</v>
      </c>
      <c r="B54" s="24" t="n">
        <v>0</v>
      </c>
      <c r="C54" s="24" t="n">
        <f aca="false">C51+C52+C53</f>
        <v>0</v>
      </c>
      <c r="D54" s="24" t="n">
        <f aca="false">D51+D52+D53</f>
        <v>0</v>
      </c>
      <c r="E54" s="24" t="n">
        <f aca="false">E51+E52+E53</f>
        <v>0</v>
      </c>
      <c r="F54" s="24" t="n">
        <f aca="false">F51+F52+F53</f>
        <v>0</v>
      </c>
      <c r="G54" s="24" t="n">
        <f aca="false">G51+G52+G53</f>
        <v>0</v>
      </c>
      <c r="H54" s="24" t="n">
        <f aca="false">H51+H52+H53</f>
        <v>0</v>
      </c>
      <c r="I54" s="24" t="n">
        <f aca="false">I51+I52+I53</f>
        <v>0</v>
      </c>
      <c r="J54" s="24" t="n">
        <f aca="false">J51+J52+J53</f>
        <v>0</v>
      </c>
      <c r="K54" s="24" t="n">
        <f aca="false">K51+K52+K53</f>
        <v>0</v>
      </c>
      <c r="L54" s="24" t="n">
        <f aca="false">L51+L52+L53</f>
        <v>0</v>
      </c>
    </row>
    <row r="55" customFormat="false" ht="15" hidden="false" customHeight="false" outlineLevel="0" collapsed="false">
      <c r="A55" s="7" t="s">
        <v>188</v>
      </c>
      <c r="B55" s="24" t="n">
        <f aca="false">B50+B54</f>
        <v>1220</v>
      </c>
      <c r="C55" s="23" t="n">
        <f aca="false">C50+C54</f>
        <v>1070</v>
      </c>
      <c r="D55" s="23" t="n">
        <f aca="false">D50+D54</f>
        <v>920</v>
      </c>
      <c r="E55" s="23" t="n">
        <f aca="false">E50+E54</f>
        <v>770</v>
      </c>
      <c r="F55" s="23" t="n">
        <f aca="false">F50+F54</f>
        <v>620</v>
      </c>
      <c r="G55" s="23" t="n">
        <f aca="false">G50+G54</f>
        <v>620</v>
      </c>
      <c r="H55" s="23" t="n">
        <f aca="false">H50+H54</f>
        <v>620</v>
      </c>
      <c r="I55" s="23" t="n">
        <f aca="false">I50+I54</f>
        <v>620</v>
      </c>
      <c r="J55" s="23" t="n">
        <f aca="false">J50+J54</f>
        <v>620</v>
      </c>
      <c r="K55" s="23" t="n">
        <f aca="false">K50+K54</f>
        <v>620</v>
      </c>
      <c r="L55" s="23" t="n">
        <f aca="false">L50+L54</f>
        <v>620</v>
      </c>
    </row>
    <row r="57" customFormat="false" ht="15" hidden="false" customHeight="false" outlineLevel="0" collapsed="false">
      <c r="A57" s="5" t="s">
        <v>189</v>
      </c>
    </row>
    <row r="58" customFormat="false" ht="15" hidden="false" customHeight="false" outlineLevel="0" collapsed="false">
      <c r="A58" s="3" t="s">
        <v>190</v>
      </c>
      <c r="C58" s="24" t="n">
        <f aca="false">C30</f>
        <v>127.0952</v>
      </c>
      <c r="D58" s="24" t="n">
        <f aca="false">D30</f>
        <v>148.053791342303</v>
      </c>
      <c r="E58" s="24" t="n">
        <f aca="false">E30</f>
        <v>171.010912485338</v>
      </c>
      <c r="F58" s="24" t="n">
        <f aca="false">F30</f>
        <v>194.476999232344</v>
      </c>
      <c r="G58" s="24" t="n">
        <f aca="false">G30</f>
        <v>218.36322823045</v>
      </c>
      <c r="H58" s="24" t="n">
        <f aca="false">H30</f>
        <v>239.305215894982</v>
      </c>
      <c r="I58" s="24" t="n">
        <f aca="false">I30</f>
        <v>260.39501383035</v>
      </c>
      <c r="J58" s="24" t="n">
        <f aca="false">J30</f>
        <v>281.532366450894</v>
      </c>
      <c r="K58" s="24" t="n">
        <f aca="false">K30</f>
        <v>302.615842826003</v>
      </c>
      <c r="L58" s="24" t="n">
        <f aca="false">L30</f>
        <v>323.543963829325</v>
      </c>
    </row>
    <row r="59" customFormat="false" ht="15" hidden="false" customHeight="false" outlineLevel="0" collapsed="false">
      <c r="A59" s="3" t="s">
        <v>191</v>
      </c>
      <c r="C59" s="24" t="n">
        <f aca="false">-C24</f>
        <v>89.64</v>
      </c>
      <c r="D59" s="24" t="n">
        <f aca="false">-D24</f>
        <v>87.7697333333333</v>
      </c>
      <c r="E59" s="24" t="n">
        <f aca="false">-E24</f>
        <v>85.498549</v>
      </c>
      <c r="F59" s="24" t="n">
        <f aca="false">-F24</f>
        <v>82.834039425</v>
      </c>
      <c r="G59" s="24" t="n">
        <f aca="false">-G24</f>
        <v>79.7877876128125</v>
      </c>
      <c r="H59" s="24" t="n">
        <f aca="false">-H24</f>
        <v>76.3753253118338</v>
      </c>
      <c r="I59" s="24" t="n">
        <f aca="false">-I24</f>
        <v>72.6160316356243</v>
      </c>
      <c r="J59" s="24" t="n">
        <f aca="false">-J24</f>
        <v>68.5329723129545</v>
      </c>
      <c r="K59" s="24" t="n">
        <f aca="false">-K24</f>
        <v>64.1526809221973</v>
      </c>
      <c r="L59" s="24" t="n">
        <f aca="false">-L24</f>
        <v>59.5048846513034</v>
      </c>
    </row>
    <row r="60" customFormat="false" ht="15" hidden="false" customHeight="false" outlineLevel="0" collapsed="false">
      <c r="A60" s="3" t="s">
        <v>192</v>
      </c>
      <c r="C60" s="24" t="n">
        <f aca="false">-C23</f>
        <v>89.64</v>
      </c>
      <c r="D60" s="24" t="n">
        <f aca="false">-D23</f>
        <v>90.0494666666667</v>
      </c>
      <c r="E60" s="24" t="n">
        <f aca="false">-E23</f>
        <v>90.183401</v>
      </c>
      <c r="F60" s="24" t="n">
        <f aca="false">-F23</f>
        <v>90.036999375</v>
      </c>
      <c r="G60" s="24" t="n">
        <f aca="false">-G23</f>
        <v>89.6078230113125</v>
      </c>
      <c r="H60" s="24" t="n">
        <f aca="false">-H23</f>
        <v>88.8958704449213</v>
      </c>
      <c r="I60" s="24" t="n">
        <f aca="false">-I23</f>
        <v>87.9036172431241</v>
      </c>
      <c r="J60" s="24" t="n">
        <f aca="false">-J23</f>
        <v>86.6360216031689</v>
      </c>
      <c r="K60" s="24" t="n">
        <f aca="false">-K23</f>
        <v>85.1004951008739</v>
      </c>
      <c r="L60" s="24" t="n">
        <f aca="false">-L23</f>
        <v>83.3068385118247</v>
      </c>
    </row>
    <row r="61" customFormat="false" ht="15" hidden="false" customHeight="false" outlineLevel="0" collapsed="false">
      <c r="A61" s="3" t="s">
        <v>193</v>
      </c>
      <c r="C61" s="24" t="n">
        <f aca="false">C41</f>
        <v>-42.2054794520548</v>
      </c>
      <c r="D61" s="24" t="n">
        <f aca="false">D41</f>
        <v>3.49646027397262</v>
      </c>
      <c r="E61" s="24" t="n">
        <f aca="false">E41</f>
        <v>3.28047380821917</v>
      </c>
      <c r="F61" s="24" t="n">
        <f aca="false">F41</f>
        <v>3.04194499726026</v>
      </c>
      <c r="G61" s="24" t="n">
        <f aca="false">G41</f>
        <v>2.78201994233223</v>
      </c>
      <c r="H61" s="24" t="n">
        <f aca="false">H41</f>
        <v>2.50209121112468</v>
      </c>
      <c r="I61" s="24" t="n">
        <f aca="false">I41</f>
        <v>2.20378745774025</v>
      </c>
      <c r="J61" s="24" t="n">
        <f aca="false">J41</f>
        <v>1.88895920794036</v>
      </c>
      <c r="K61" s="24" t="n">
        <f aca="false">K41</f>
        <v>1.5596609491227</v>
      </c>
      <c r="L61" s="24" t="n">
        <f aca="false">L41</f>
        <v>1.21812974230795</v>
      </c>
    </row>
    <row r="62" customFormat="false" ht="15" hidden="false" customHeight="false" outlineLevel="0" collapsed="false">
      <c r="A62" s="7" t="s">
        <v>194</v>
      </c>
      <c r="C62" s="23" t="n">
        <f aca="false">SUM(C58:C61)</f>
        <v>264.169720547945</v>
      </c>
      <c r="D62" s="23" t="n">
        <f aca="false">SUM(D58:D61)</f>
        <v>329.369451616276</v>
      </c>
      <c r="E62" s="23" t="n">
        <f aca="false">SUM(E58:E61)</f>
        <v>349.973336293557</v>
      </c>
      <c r="F62" s="23" t="n">
        <f aca="false">SUM(F58:F61)</f>
        <v>370.389983029604</v>
      </c>
      <c r="G62" s="23" t="n">
        <f aca="false">SUM(G58:G61)</f>
        <v>390.540858796907</v>
      </c>
      <c r="H62" s="23" t="n">
        <f aca="false">SUM(H58:H61)</f>
        <v>407.078502862862</v>
      </c>
      <c r="I62" s="23" t="n">
        <f aca="false">SUM(I58:I61)</f>
        <v>423.118450166839</v>
      </c>
      <c r="J62" s="23" t="n">
        <f aca="false">SUM(J58:J61)</f>
        <v>438.590319574958</v>
      </c>
      <c r="K62" s="23" t="n">
        <f aca="false">SUM(K58:K61)</f>
        <v>453.428679798197</v>
      </c>
      <c r="L62" s="23" t="n">
        <f aca="false">SUM(L58:L61)</f>
        <v>467.573816734761</v>
      </c>
    </row>
    <row r="63" customFormat="false" ht="15" hidden="false" customHeight="false" outlineLevel="0" collapsed="false">
      <c r="A63" s="3" t="s">
        <v>195</v>
      </c>
      <c r="C63" s="24" t="n">
        <f aca="false">-C44</f>
        <v>-9.96</v>
      </c>
      <c r="D63" s="24" t="n">
        <f aca="false">-D44</f>
        <v>-10.2588</v>
      </c>
      <c r="E63" s="24" t="n">
        <f aca="false">-E44</f>
        <v>-10.540917</v>
      </c>
      <c r="F63" s="24" t="n">
        <f aca="false">-F44</f>
        <v>-10.804439925</v>
      </c>
      <c r="G63" s="24" t="n">
        <f aca="false">-G44</f>
        <v>-11.0475398233125</v>
      </c>
      <c r="H63" s="24" t="n">
        <f aca="false">-H44</f>
        <v>-11.2684906197788</v>
      </c>
      <c r="I63" s="24" t="n">
        <f aca="false">-I44</f>
        <v>-11.4656892056249</v>
      </c>
      <c r="J63" s="24" t="n">
        <f aca="false">-J44</f>
        <v>-11.6376745437093</v>
      </c>
      <c r="K63" s="24" t="n">
        <f aca="false">-K44</f>
        <v>-11.7831454755056</v>
      </c>
      <c r="L63" s="24" t="n">
        <f aca="false">-L44</f>
        <v>-11.9009769302607</v>
      </c>
    </row>
    <row r="64" customFormat="false" ht="15" hidden="false" customHeight="false" outlineLevel="0" collapsed="false">
      <c r="A64" s="7" t="s">
        <v>196</v>
      </c>
      <c r="C64" s="23" t="n">
        <f aca="false">C62+C63</f>
        <v>254.209720547945</v>
      </c>
      <c r="D64" s="23" t="n">
        <f aca="false">D62+D63</f>
        <v>319.110651616276</v>
      </c>
      <c r="E64" s="23" t="n">
        <f aca="false">E62+E63</f>
        <v>339.432419293557</v>
      </c>
      <c r="F64" s="23" t="n">
        <f aca="false">F62+F63</f>
        <v>359.585543104604</v>
      </c>
      <c r="G64" s="23" t="n">
        <f aca="false">G62+G63</f>
        <v>379.493318973594</v>
      </c>
      <c r="H64" s="23" t="n">
        <f aca="false">H62+H63</f>
        <v>395.810012243083</v>
      </c>
      <c r="I64" s="23" t="n">
        <f aca="false">I62+I63</f>
        <v>411.652760961214</v>
      </c>
      <c r="J64" s="23" t="n">
        <f aca="false">J62+J63</f>
        <v>426.952645031249</v>
      </c>
      <c r="K64" s="23" t="n">
        <f aca="false">K62+K63</f>
        <v>441.645534322692</v>
      </c>
      <c r="L64" s="23" t="n">
        <f aca="false">L62+L63</f>
        <v>455.6728398045</v>
      </c>
    </row>
    <row r="65" customFormat="false" ht="15" hidden="false" customHeight="false" outlineLevel="0" collapsed="false">
      <c r="A65" s="3" t="s">
        <v>197</v>
      </c>
      <c r="C65" s="21" t="n">
        <f aca="false">-Assumptions!$B$41</f>
        <v>-0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</row>
    <row r="66" customFormat="false" ht="15" hidden="false" customHeight="false" outlineLevel="0" collapsed="false">
      <c r="A66" s="3" t="s">
        <v>198</v>
      </c>
      <c r="C66" s="21" t="n">
        <f aca="false">-Assumptions!$B$40</f>
        <v>-90</v>
      </c>
      <c r="D66" s="21" t="n">
        <f aca="false">-Assumptions!$B$40</f>
        <v>-90</v>
      </c>
      <c r="E66" s="21" t="n">
        <f aca="false">-Assumptions!$B$40</f>
        <v>-90</v>
      </c>
      <c r="F66" s="21" t="n">
        <f aca="false">-Assumptions!$B$40</f>
        <v>-90</v>
      </c>
      <c r="G66" s="21" t="n">
        <f aca="false">-Assumptions!$B$40</f>
        <v>-90</v>
      </c>
      <c r="H66" s="21" t="n">
        <f aca="false">-Assumptions!$B$40</f>
        <v>-90</v>
      </c>
      <c r="I66" s="21" t="n">
        <f aca="false">-Assumptions!$B$40</f>
        <v>-90</v>
      </c>
      <c r="J66" s="21" t="n">
        <f aca="false">-Assumptions!$B$40</f>
        <v>-90</v>
      </c>
      <c r="K66" s="21" t="n">
        <f aca="false">-Assumptions!$B$40</f>
        <v>-90</v>
      </c>
      <c r="L66" s="21" t="n">
        <f aca="false">-Assumptions!$B$40</f>
        <v>-90</v>
      </c>
    </row>
    <row r="67" customFormat="false" ht="15" hidden="false" customHeight="false" outlineLevel="0" collapsed="false">
      <c r="A67" s="3" t="s">
        <v>199</v>
      </c>
      <c r="C67" s="24" t="n">
        <f aca="false">C49+C52+C53</f>
        <v>-150</v>
      </c>
      <c r="D67" s="24" t="n">
        <f aca="false">D49+D52+D53</f>
        <v>-150</v>
      </c>
      <c r="E67" s="24" t="n">
        <f aca="false">E49+E52+E53</f>
        <v>-150</v>
      </c>
      <c r="F67" s="24" t="n">
        <f aca="false">F49+F52+F53</f>
        <v>-150</v>
      </c>
      <c r="G67" s="24" t="n">
        <f aca="false">G49+G52+G53</f>
        <v>0</v>
      </c>
      <c r="H67" s="24" t="n">
        <f aca="false">H49+H52+H53</f>
        <v>0</v>
      </c>
      <c r="I67" s="24" t="n">
        <f aca="false">I49+I52+I53</f>
        <v>0</v>
      </c>
      <c r="J67" s="24" t="n">
        <f aca="false">J49+J52+J53</f>
        <v>0</v>
      </c>
      <c r="K67" s="24" t="n">
        <f aca="false">K49+K52+K53</f>
        <v>0</v>
      </c>
      <c r="L67" s="24" t="n">
        <f aca="false">L49+L52+L53</f>
        <v>0</v>
      </c>
    </row>
    <row r="68" customFormat="false" ht="15" hidden="false" customHeight="false" outlineLevel="0" collapsed="false">
      <c r="A68" s="7" t="s">
        <v>200</v>
      </c>
      <c r="C68" s="23" t="n">
        <f aca="false">C64+C65+C66+C67</f>
        <v>14.2097205479452</v>
      </c>
      <c r="D68" s="23" t="n">
        <f aca="false">D64+D65+D66+D67</f>
        <v>79.1106516162761</v>
      </c>
      <c r="E68" s="23" t="n">
        <f aca="false">E64+E65+E66+E67</f>
        <v>99.4324192935572</v>
      </c>
      <c r="F68" s="23" t="n">
        <f aca="false">F64+F65+F66+F67</f>
        <v>119.585543104604</v>
      </c>
      <c r="G68" s="23" t="n">
        <f aca="false">G64+G65+G66+G67</f>
        <v>289.493318973594</v>
      </c>
      <c r="H68" s="23" t="n">
        <f aca="false">H64+H65+H66+H67</f>
        <v>305.810012243083</v>
      </c>
      <c r="I68" s="23" t="n">
        <f aca="false">I64+I65+I66+I67</f>
        <v>321.652760961214</v>
      </c>
      <c r="J68" s="23" t="n">
        <f aca="false">J64+J65+J66+J67</f>
        <v>336.952645031249</v>
      </c>
      <c r="K68" s="23" t="n">
        <f aca="false">K64+K65+K66+K67</f>
        <v>351.645534322692</v>
      </c>
      <c r="L68" s="23" t="n">
        <f aca="false">L64+L65+L66+L67</f>
        <v>365.6728398045</v>
      </c>
    </row>
    <row r="69" customFormat="false" ht="15" hidden="false" customHeight="false" outlineLevel="0" collapsed="false">
      <c r="A69" s="3" t="s">
        <v>201</v>
      </c>
      <c r="C69" s="24" t="n">
        <f aca="false">B70</f>
        <v>120</v>
      </c>
      <c r="D69" s="24" t="n">
        <f aca="false">C70</f>
        <v>134.209720547945</v>
      </c>
      <c r="E69" s="24" t="n">
        <f aca="false">D70</f>
        <v>213.320372164221</v>
      </c>
      <c r="F69" s="24" t="n">
        <f aca="false">E70</f>
        <v>312.752791457778</v>
      </c>
      <c r="G69" s="24" t="n">
        <f aca="false">F70</f>
        <v>432.338334562382</v>
      </c>
      <c r="H69" s="24" t="n">
        <f aca="false">G70</f>
        <v>721.831653535977</v>
      </c>
      <c r="I69" s="24" t="n">
        <f aca="false">H70</f>
        <v>1027.64166577906</v>
      </c>
      <c r="J69" s="24" t="n">
        <f aca="false">I70</f>
        <v>1349.29442674027</v>
      </c>
      <c r="K69" s="24" t="n">
        <f aca="false">J70</f>
        <v>1686.24707177152</v>
      </c>
      <c r="L69" s="24" t="n">
        <f aca="false">K70</f>
        <v>2037.89260609421</v>
      </c>
    </row>
    <row r="70" customFormat="false" ht="15" hidden="false" customHeight="false" outlineLevel="0" collapsed="false">
      <c r="A70" s="7" t="s">
        <v>202</v>
      </c>
      <c r="B70" s="18" t="n">
        <v>120</v>
      </c>
      <c r="C70" s="23" t="n">
        <f aca="false">C69+C68</f>
        <v>134.209720547945</v>
      </c>
      <c r="D70" s="23" t="n">
        <f aca="false">D69+D68</f>
        <v>213.320372164221</v>
      </c>
      <c r="E70" s="23" t="n">
        <f aca="false">E69+E68</f>
        <v>312.752791457778</v>
      </c>
      <c r="F70" s="23" t="n">
        <f aca="false">F69+F68</f>
        <v>432.338334562382</v>
      </c>
      <c r="G70" s="23" t="n">
        <f aca="false">G69+G68</f>
        <v>721.831653535977</v>
      </c>
      <c r="H70" s="23" t="n">
        <f aca="false">H69+H68</f>
        <v>1027.64166577906</v>
      </c>
      <c r="I70" s="23" t="n">
        <f aca="false">I69+I68</f>
        <v>1349.29442674027</v>
      </c>
      <c r="J70" s="23" t="n">
        <f aca="false">J69+J68</f>
        <v>1686.24707177152</v>
      </c>
      <c r="K70" s="23" t="n">
        <f aca="false">K69+K68</f>
        <v>2037.89260609421</v>
      </c>
      <c r="L70" s="23" t="n">
        <f aca="false">L69+L68</f>
        <v>2403.56544589871</v>
      </c>
    </row>
    <row r="72" customFormat="false" ht="15" hidden="false" customHeight="false" outlineLevel="0" collapsed="false">
      <c r="A72" s="5" t="s">
        <v>203</v>
      </c>
    </row>
    <row r="73" customFormat="false" ht="15" hidden="false" customHeight="false" outlineLevel="0" collapsed="false">
      <c r="A73" s="3" t="s">
        <v>204</v>
      </c>
      <c r="B73" s="24" t="n">
        <f aca="false">B70</f>
        <v>120</v>
      </c>
      <c r="C73" s="24" t="n">
        <f aca="false">C70</f>
        <v>134.209720547945</v>
      </c>
      <c r="D73" s="24" t="n">
        <f aca="false">D70</f>
        <v>213.320372164221</v>
      </c>
      <c r="E73" s="24" t="n">
        <f aca="false">E70</f>
        <v>312.752791457778</v>
      </c>
      <c r="F73" s="24" t="n">
        <f aca="false">F70</f>
        <v>432.338334562382</v>
      </c>
      <c r="G73" s="24" t="n">
        <f aca="false">G70</f>
        <v>721.831653535977</v>
      </c>
      <c r="H73" s="24" t="n">
        <f aca="false">H70</f>
        <v>1027.64166577906</v>
      </c>
      <c r="I73" s="24" t="n">
        <f aca="false">I70</f>
        <v>1349.29442674027</v>
      </c>
      <c r="J73" s="24" t="n">
        <f aca="false">J70</f>
        <v>1686.24707177152</v>
      </c>
      <c r="K73" s="24" t="n">
        <f aca="false">K70</f>
        <v>2037.89260609421</v>
      </c>
      <c r="L73" s="24" t="n">
        <f aca="false">L70</f>
        <v>2403.56544589871</v>
      </c>
    </row>
    <row r="74" customFormat="false" ht="15" hidden="false" customHeight="false" outlineLevel="0" collapsed="false">
      <c r="A74" s="3" t="s">
        <v>169</v>
      </c>
      <c r="B74" s="24" t="n">
        <f aca="false">B35</f>
        <v>165</v>
      </c>
      <c r="C74" s="24" t="n">
        <f aca="false">C35</f>
        <v>163.72602739726</v>
      </c>
      <c r="D74" s="24" t="n">
        <f aca="false">D35</f>
        <v>168.637808219178</v>
      </c>
      <c r="E74" s="24" t="n">
        <f aca="false">E35</f>
        <v>173.275347945206</v>
      </c>
      <c r="F74" s="24" t="n">
        <f aca="false">F35</f>
        <v>177.607231643836</v>
      </c>
      <c r="G74" s="24" t="n">
        <f aca="false">G35</f>
        <v>181.603394355822</v>
      </c>
      <c r="H74" s="24" t="n">
        <f aca="false">H35</f>
        <v>185.235462242938</v>
      </c>
      <c r="I74" s="24" t="n">
        <f aca="false">I35</f>
        <v>188.47708283219</v>
      </c>
      <c r="J74" s="24" t="n">
        <f aca="false">J35</f>
        <v>191.304239074673</v>
      </c>
      <c r="K74" s="24" t="n">
        <f aca="false">K35</f>
        <v>193.695542063106</v>
      </c>
      <c r="L74" s="24" t="n">
        <f aca="false">L35</f>
        <v>195.632497483737</v>
      </c>
    </row>
    <row r="75" customFormat="false" ht="15" hidden="false" customHeight="false" outlineLevel="0" collapsed="false">
      <c r="A75" s="3" t="s">
        <v>205</v>
      </c>
      <c r="B75" s="24" t="n">
        <f aca="false">B36</f>
        <v>0</v>
      </c>
      <c r="C75" s="24" t="n">
        <f aca="false">C36</f>
        <v>0</v>
      </c>
      <c r="D75" s="24" t="n">
        <f aca="false">D36</f>
        <v>0</v>
      </c>
      <c r="E75" s="24" t="n">
        <f aca="false">E36</f>
        <v>0</v>
      </c>
      <c r="F75" s="24" t="n">
        <f aca="false">F36</f>
        <v>0</v>
      </c>
      <c r="G75" s="24" t="n">
        <f aca="false">G36</f>
        <v>0</v>
      </c>
      <c r="H75" s="24" t="n">
        <f aca="false">H36</f>
        <v>0</v>
      </c>
      <c r="I75" s="24" t="n">
        <f aca="false">I36</f>
        <v>0</v>
      </c>
      <c r="J75" s="24" t="n">
        <f aca="false">J36</f>
        <v>0</v>
      </c>
      <c r="K75" s="24" t="n">
        <f aca="false">K36</f>
        <v>0</v>
      </c>
      <c r="L75" s="24" t="n">
        <f aca="false">L36</f>
        <v>0</v>
      </c>
    </row>
    <row r="76" customFormat="false" ht="15" hidden="false" customHeight="false" outlineLevel="0" collapsed="false">
      <c r="A76" s="3" t="s">
        <v>171</v>
      </c>
      <c r="B76" s="24" t="n">
        <f aca="false">B37</f>
        <v>60</v>
      </c>
      <c r="C76" s="24" t="n">
        <f aca="false">C37</f>
        <v>59.76</v>
      </c>
      <c r="D76" s="24" t="n">
        <f aca="false">D37</f>
        <v>61.5528</v>
      </c>
      <c r="E76" s="24" t="n">
        <f aca="false">E37</f>
        <v>63.245502</v>
      </c>
      <c r="F76" s="24" t="n">
        <f aca="false">F37</f>
        <v>64.82663955</v>
      </c>
      <c r="G76" s="24" t="n">
        <f aca="false">G37</f>
        <v>66.285238939875</v>
      </c>
      <c r="H76" s="24" t="n">
        <f aca="false">H37</f>
        <v>67.6109437186725</v>
      </c>
      <c r="I76" s="24" t="n">
        <f aca="false">I37</f>
        <v>68.7941352337493</v>
      </c>
      <c r="J76" s="24" t="n">
        <f aca="false">J37</f>
        <v>69.8260472622555</v>
      </c>
      <c r="K76" s="24" t="n">
        <f aca="false">K37</f>
        <v>70.6988728530337</v>
      </c>
      <c r="L76" s="24" t="n">
        <f aca="false">L37</f>
        <v>71.405861581564</v>
      </c>
    </row>
    <row r="77" customFormat="false" ht="15" hidden="false" customHeight="false" outlineLevel="0" collapsed="false">
      <c r="A77" s="3" t="s">
        <v>178</v>
      </c>
      <c r="B77" s="24" t="n">
        <f aca="false">B45</f>
        <v>15</v>
      </c>
      <c r="C77" s="24" t="n">
        <f aca="false">C45</f>
        <v>15.996</v>
      </c>
      <c r="D77" s="24" t="n">
        <f aca="false">D45</f>
        <v>17.4778266666667</v>
      </c>
      <c r="E77" s="24" t="n">
        <f aca="false">E45</f>
        <v>19.4688887666667</v>
      </c>
      <c r="F77" s="24" t="n">
        <f aca="false">F45</f>
        <v>21.9899247491667</v>
      </c>
      <c r="G77" s="24" t="n">
        <f aca="false">G45</f>
        <v>25.0586858111979</v>
      </c>
      <c r="H77" s="24" t="n">
        <f aca="false">H45</f>
        <v>28.6896438997933</v>
      </c>
      <c r="I77" s="24" t="n">
        <f aca="false">I45</f>
        <v>32.8937299418558</v>
      </c>
      <c r="J77" s="24" t="n">
        <f aca="false">J45</f>
        <v>37.6781072542696</v>
      </c>
      <c r="K77" s="24" t="n">
        <f aca="false">K45</f>
        <v>43.0459846375555</v>
      </c>
      <c r="L77" s="24" t="n">
        <f aca="false">L45</f>
        <v>48.9964731026858</v>
      </c>
    </row>
    <row r="78" customFormat="false" ht="15" hidden="false" customHeight="false" outlineLevel="0" collapsed="false">
      <c r="A78" s="3" t="s">
        <v>206</v>
      </c>
      <c r="B78" s="18" t="n">
        <v>1900</v>
      </c>
      <c r="C78" s="24" t="n">
        <f aca="false">B78-C65+C24*0.9</f>
        <v>1819.324</v>
      </c>
      <c r="D78" s="24" t="n">
        <f aca="false">C78-D65+D24*0.9</f>
        <v>1740.33124</v>
      </c>
      <c r="E78" s="24" t="n">
        <f aca="false">D78-E65+E24*0.9</f>
        <v>1663.3825459</v>
      </c>
      <c r="F78" s="24" t="n">
        <f aca="false">E78-F65+F24*0.9</f>
        <v>1588.8319104175</v>
      </c>
      <c r="G78" s="24" t="n">
        <f aca="false">F78-G65+G24*0.9</f>
        <v>1517.02290156597</v>
      </c>
      <c r="H78" s="24" t="n">
        <f aca="false">G78-H65+H24*0.9</f>
        <v>1448.28510878532</v>
      </c>
      <c r="I78" s="24" t="n">
        <f aca="false">H78-I65+I24*0.9</f>
        <v>1382.93068031326</v>
      </c>
      <c r="J78" s="24" t="n">
        <f aca="false">I78-J65+J24*0.9</f>
        <v>1321.2510052316</v>
      </c>
      <c r="K78" s="24" t="n">
        <f aca="false">J78-K65+K24*0.9</f>
        <v>1263.51359240162</v>
      </c>
      <c r="L78" s="24" t="n">
        <f aca="false">K78-L65+L24*0.9</f>
        <v>1209.95919621545</v>
      </c>
    </row>
    <row r="79" customFormat="false" ht="15" hidden="false" customHeight="false" outlineLevel="0" collapsed="false">
      <c r="A79" s="7" t="s">
        <v>207</v>
      </c>
      <c r="B79" s="23" t="n">
        <f aca="false">SUM(B73:B78)</f>
        <v>2260</v>
      </c>
      <c r="C79" s="23" t="n">
        <f aca="false">SUM(C73:C78)</f>
        <v>2193.01574794521</v>
      </c>
      <c r="D79" s="23" t="n">
        <f aca="false">SUM(D73:D78)</f>
        <v>2201.32004705007</v>
      </c>
      <c r="E79" s="23" t="n">
        <f aca="false">SUM(E73:E78)</f>
        <v>2232.12507606965</v>
      </c>
      <c r="F79" s="23" t="n">
        <f aca="false">SUM(F73:F78)</f>
        <v>2285.59404092288</v>
      </c>
      <c r="G79" s="23" t="n">
        <f aca="false">SUM(G73:G78)</f>
        <v>2511.80187420884</v>
      </c>
      <c r="H79" s="23" t="n">
        <f aca="false">SUM(H73:H78)</f>
        <v>2757.46282442578</v>
      </c>
      <c r="I79" s="23" t="n">
        <f aca="false">SUM(I73:I78)</f>
        <v>3022.39005506133</v>
      </c>
      <c r="J79" s="23" t="n">
        <f aca="false">SUM(J73:J78)</f>
        <v>3306.30647059432</v>
      </c>
      <c r="K79" s="23" t="n">
        <f aca="false">SUM(K73:K78)</f>
        <v>3608.84659804953</v>
      </c>
      <c r="L79" s="23" t="n">
        <f aca="false">SUM(L73:L78)</f>
        <v>3929.55947428215</v>
      </c>
    </row>
    <row r="80" customFormat="false" ht="15" hidden="false" customHeight="false" outlineLevel="0" collapsed="false">
      <c r="A80" s="3" t="s">
        <v>172</v>
      </c>
      <c r="B80" s="24" t="n">
        <f aca="false">-B38</f>
        <v>100</v>
      </c>
      <c r="C80" s="24" t="n">
        <f aca="false">-C38</f>
        <v>47.4805479452055</v>
      </c>
      <c r="D80" s="24" t="n">
        <f aca="false">-D38</f>
        <v>48.7175890410959</v>
      </c>
      <c r="E80" s="24" t="n">
        <f aca="false">-E38</f>
        <v>49.8647945753425</v>
      </c>
      <c r="F80" s="24" t="n">
        <f aca="false">-F38</f>
        <v>50.9140730712329</v>
      </c>
      <c r="G80" s="24" t="n">
        <f aca="false">-G38</f>
        <v>51.8578581660514</v>
      </c>
      <c r="H80" s="24" t="n">
        <f aca="false">-H38</f>
        <v>52.6891981491025</v>
      </c>
      <c r="I80" s="24" t="n">
        <f aca="false">-I38</f>
        <v>53.4018401357871</v>
      </c>
      <c r="J80" s="24" t="n">
        <f aca="false">-J38</f>
        <v>53.9903074721854</v>
      </c>
      <c r="K80" s="24" t="n">
        <f aca="false">-K38</f>
        <v>54.4499690466287</v>
      </c>
      <c r="L80" s="24" t="n">
        <f aca="false">-L38</f>
        <v>54.7770992954464</v>
      </c>
    </row>
    <row r="81" customFormat="false" ht="15" hidden="false" customHeight="false" outlineLevel="0" collapsed="false">
      <c r="A81" s="3" t="s">
        <v>173</v>
      </c>
      <c r="B81" s="24" t="n">
        <f aca="false">-B39</f>
        <v>290</v>
      </c>
      <c r="C81" s="24" t="n">
        <f aca="false">-C39</f>
        <v>298.8</v>
      </c>
      <c r="D81" s="24" t="n">
        <f aca="false">-D39</f>
        <v>307.764</v>
      </c>
      <c r="E81" s="24" t="n">
        <f aca="false">-E39</f>
        <v>316.22751</v>
      </c>
      <c r="F81" s="24" t="n">
        <f aca="false">-F39</f>
        <v>324.13319775</v>
      </c>
      <c r="G81" s="24" t="n">
        <f aca="false">-G39</f>
        <v>331.426194699375</v>
      </c>
      <c r="H81" s="24" t="n">
        <f aca="false">-H39</f>
        <v>338.054718593363</v>
      </c>
      <c r="I81" s="24" t="n">
        <f aca="false">-I39</f>
        <v>343.970676168746</v>
      </c>
      <c r="J81" s="24" t="n">
        <f aca="false">-J39</f>
        <v>349.130236311278</v>
      </c>
      <c r="K81" s="24" t="n">
        <f aca="false">-K39</f>
        <v>353.494364265169</v>
      </c>
      <c r="L81" s="24" t="n">
        <f aca="false">-L39</f>
        <v>357.02930790782</v>
      </c>
    </row>
    <row r="82" customFormat="false" ht="15" hidden="false" customHeight="false" outlineLevel="0" collapsed="false">
      <c r="A82" s="3" t="s">
        <v>208</v>
      </c>
      <c r="B82" s="24" t="n">
        <f aca="false">B55</f>
        <v>1220</v>
      </c>
      <c r="C82" s="24" t="n">
        <f aca="false">C55</f>
        <v>1070</v>
      </c>
      <c r="D82" s="24" t="n">
        <f aca="false">D55</f>
        <v>920</v>
      </c>
      <c r="E82" s="24" t="n">
        <f aca="false">E55</f>
        <v>770</v>
      </c>
      <c r="F82" s="24" t="n">
        <f aca="false">F55</f>
        <v>620</v>
      </c>
      <c r="G82" s="24" t="n">
        <f aca="false">G55</f>
        <v>620</v>
      </c>
      <c r="H82" s="24" t="n">
        <f aca="false">H55</f>
        <v>620</v>
      </c>
      <c r="I82" s="24" t="n">
        <f aca="false">I55</f>
        <v>620</v>
      </c>
      <c r="J82" s="24" t="n">
        <f aca="false">J55</f>
        <v>620</v>
      </c>
      <c r="K82" s="24" t="n">
        <f aca="false">K55</f>
        <v>620</v>
      </c>
      <c r="L82" s="24" t="n">
        <f aca="false">L55</f>
        <v>620</v>
      </c>
    </row>
    <row r="83" customFormat="false" ht="15" hidden="false" customHeight="false" outlineLevel="0" collapsed="false">
      <c r="A83" s="3" t="s">
        <v>209</v>
      </c>
      <c r="B83" s="18" t="n">
        <v>120</v>
      </c>
      <c r="C83" s="24" t="n">
        <f aca="false">B83</f>
        <v>120</v>
      </c>
      <c r="D83" s="24" t="n">
        <f aca="false">B83</f>
        <v>120</v>
      </c>
      <c r="E83" s="24" t="n">
        <f aca="false">B83</f>
        <v>120</v>
      </c>
      <c r="F83" s="24" t="n">
        <f aca="false">B83</f>
        <v>120</v>
      </c>
      <c r="G83" s="24" t="n">
        <f aca="false">B83</f>
        <v>120</v>
      </c>
      <c r="H83" s="24" t="n">
        <f aca="false">B83</f>
        <v>120</v>
      </c>
      <c r="I83" s="24" t="n">
        <f aca="false">B83</f>
        <v>120</v>
      </c>
      <c r="J83" s="24" t="n">
        <f aca="false">B83</f>
        <v>120</v>
      </c>
      <c r="K83" s="24" t="n">
        <f aca="false">B83</f>
        <v>120</v>
      </c>
      <c r="L83" s="24" t="n">
        <f aca="false">B83</f>
        <v>120</v>
      </c>
    </row>
    <row r="84" customFormat="false" ht="15" hidden="false" customHeight="false" outlineLevel="0" collapsed="false">
      <c r="A84" s="7" t="s">
        <v>210</v>
      </c>
      <c r="B84" s="23" t="n">
        <f aca="false">SUM(B80:B83)</f>
        <v>1730</v>
      </c>
      <c r="C84" s="23" t="n">
        <f aca="false">SUM(C80:C83)</f>
        <v>1536.28054794521</v>
      </c>
      <c r="D84" s="23" t="n">
        <f aca="false">SUM(D80:D83)</f>
        <v>1396.4815890411</v>
      </c>
      <c r="E84" s="23" t="n">
        <f aca="false">SUM(E80:E83)</f>
        <v>1256.09230457534</v>
      </c>
      <c r="F84" s="23" t="n">
        <f aca="false">SUM(F80:F83)</f>
        <v>1115.04727082123</v>
      </c>
      <c r="G84" s="23" t="n">
        <f aca="false">SUM(G80:G83)</f>
        <v>1123.28405286543</v>
      </c>
      <c r="H84" s="23" t="n">
        <f aca="false">SUM(H80:H83)</f>
        <v>1130.74391674247</v>
      </c>
      <c r="I84" s="23" t="n">
        <f aca="false">SUM(I80:I83)</f>
        <v>1137.37251630453</v>
      </c>
      <c r="J84" s="23" t="n">
        <f aca="false">SUM(J80:J83)</f>
        <v>1143.12054378346</v>
      </c>
      <c r="K84" s="23" t="n">
        <f aca="false">SUM(K80:K83)</f>
        <v>1147.9443333118</v>
      </c>
      <c r="L84" s="23" t="n">
        <f aca="false">SUM(L80:L83)</f>
        <v>1151.80640720327</v>
      </c>
    </row>
    <row r="85" customFormat="false" ht="15" hidden="false" customHeight="false" outlineLevel="0" collapsed="false">
      <c r="A85" s="7" t="s">
        <v>211</v>
      </c>
      <c r="B85" s="23" t="n">
        <f aca="false">B79-B84</f>
        <v>530</v>
      </c>
      <c r="C85" s="23" t="n">
        <f aca="false">B85+C30-C23+C66</f>
        <v>656.7352</v>
      </c>
      <c r="D85" s="23" t="n">
        <f aca="false">C85+D30-D23+D66</f>
        <v>804.83845800897</v>
      </c>
      <c r="E85" s="23" t="n">
        <f aca="false">D85+E30-E23+E66</f>
        <v>976.032771494308</v>
      </c>
      <c r="F85" s="23" t="n">
        <f aca="false">E85+F30-F23+F66</f>
        <v>1170.54677010165</v>
      </c>
      <c r="G85" s="23" t="n">
        <f aca="false">F85+G30-G23+G66</f>
        <v>1388.51782134341</v>
      </c>
      <c r="H85" s="23" t="n">
        <f aca="false">G85+H30-H23+H66</f>
        <v>1626.71890768332</v>
      </c>
      <c r="I85" s="23" t="n">
        <f aca="false">H85+I30-I23+I66</f>
        <v>1885.01753875679</v>
      </c>
      <c r="J85" s="23" t="n">
        <f aca="false">I85+J30-J23+J66</f>
        <v>2163.18592681085</v>
      </c>
      <c r="K85" s="23" t="n">
        <f aca="false">J85+K30-K23+K66</f>
        <v>2460.90226473773</v>
      </c>
      <c r="L85" s="23" t="n">
        <f aca="false">K85+L30-L23+L66</f>
        <v>2777.75306707888</v>
      </c>
    </row>
    <row r="86" customFormat="false" ht="15" hidden="false" customHeight="false" outlineLevel="0" collapsed="false">
      <c r="A86" s="7" t="s">
        <v>212</v>
      </c>
      <c r="B86" s="23" t="n">
        <f aca="false">B84+B85</f>
        <v>2260</v>
      </c>
      <c r="C86" s="23" t="n">
        <f aca="false">C84+C85</f>
        <v>2193.01574794521</v>
      </c>
      <c r="D86" s="23" t="n">
        <f aca="false">D84+D85</f>
        <v>2201.32004705007</v>
      </c>
      <c r="E86" s="23" t="n">
        <f aca="false">E84+E85</f>
        <v>2232.12507606965</v>
      </c>
      <c r="F86" s="23" t="n">
        <f aca="false">F84+F85</f>
        <v>2285.59404092288</v>
      </c>
      <c r="G86" s="23" t="n">
        <f aca="false">G84+G85</f>
        <v>2511.80187420884</v>
      </c>
      <c r="H86" s="23" t="n">
        <f aca="false">H84+H85</f>
        <v>2757.46282442578</v>
      </c>
      <c r="I86" s="23" t="n">
        <f aca="false">I84+I85</f>
        <v>3022.39005506133</v>
      </c>
      <c r="J86" s="23" t="n">
        <f aca="false">J84+J85</f>
        <v>3306.30647059432</v>
      </c>
      <c r="K86" s="23" t="n">
        <f aca="false">K84+K85</f>
        <v>3608.84659804953</v>
      </c>
      <c r="L86" s="23" t="n">
        <f aca="false">L84+L85</f>
        <v>3929.55947428215</v>
      </c>
    </row>
    <row r="87" customFormat="false" ht="15" hidden="false" customHeight="false" outlineLevel="0" collapsed="false">
      <c r="A87" s="25" t="s">
        <v>213</v>
      </c>
      <c r="B87" s="28" t="n">
        <f aca="false">B79-B86</f>
        <v>0</v>
      </c>
      <c r="C87" s="28" t="n">
        <f aca="false">C79-C86</f>
        <v>0</v>
      </c>
      <c r="D87" s="28" t="n">
        <f aca="false">D79-D86</f>
        <v>0</v>
      </c>
      <c r="E87" s="28" t="n">
        <f aca="false">E79-E86</f>
        <v>0</v>
      </c>
      <c r="F87" s="28" t="n">
        <f aca="false">F79-F86</f>
        <v>0</v>
      </c>
      <c r="G87" s="28" t="n">
        <f aca="false">G79-G86</f>
        <v>0</v>
      </c>
      <c r="H87" s="28" t="n">
        <f aca="false">H79-H86</f>
        <v>0</v>
      </c>
      <c r="I87" s="28" t="n">
        <f aca="false">I79-I86</f>
        <v>0</v>
      </c>
      <c r="J87" s="28" t="n">
        <f aca="false">J79-J86</f>
        <v>0</v>
      </c>
      <c r="K87" s="28" t="n">
        <f aca="false">K79-K86</f>
        <v>0</v>
      </c>
      <c r="L87" s="28" t="n">
        <f aca="false">L79-L86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214</v>
      </c>
    </row>
    <row r="4" customFormat="false" ht="15" hidden="false" customHeight="false" outlineLevel="0" collapsed="false">
      <c r="A4" s="5" t="s">
        <v>215</v>
      </c>
    </row>
    <row r="5" customFormat="false" ht="15" hidden="false" customHeight="false" outlineLevel="0" collapsed="false">
      <c r="A5" s="3" t="s">
        <v>216</v>
      </c>
      <c r="B5" s="29" t="n">
        <v>0.0455</v>
      </c>
      <c r="C5" s="13" t="s">
        <v>48</v>
      </c>
    </row>
    <row r="6" customFormat="false" ht="15" hidden="false" customHeight="false" outlineLevel="0" collapsed="false">
      <c r="A6" s="3" t="s">
        <v>217</v>
      </c>
      <c r="B6" s="30" t="n">
        <v>0.82</v>
      </c>
      <c r="C6" s="13" t="s">
        <v>218</v>
      </c>
    </row>
    <row r="7" customFormat="false" ht="15" hidden="false" customHeight="false" outlineLevel="0" collapsed="false">
      <c r="A7" s="3" t="s">
        <v>219</v>
      </c>
      <c r="B7" s="29" t="n">
        <v>0.0475</v>
      </c>
      <c r="C7" s="13" t="s">
        <v>220</v>
      </c>
    </row>
    <row r="8" customFormat="false" ht="15" hidden="false" customHeight="false" outlineLevel="0" collapsed="false">
      <c r="A8" s="3" t="s">
        <v>221</v>
      </c>
      <c r="B8" s="29" t="n">
        <v>0.015</v>
      </c>
      <c r="C8" s="13" t="s">
        <v>222</v>
      </c>
    </row>
    <row r="9" customFormat="false" ht="15" hidden="false" customHeight="false" outlineLevel="0" collapsed="false">
      <c r="A9" s="7" t="s">
        <v>223</v>
      </c>
      <c r="B9" s="31" t="n">
        <f aca="false">B5+B6*B7+B8</f>
        <v>0.09945</v>
      </c>
    </row>
    <row r="11" customFormat="false" ht="15" hidden="false" customHeight="false" outlineLevel="0" collapsed="false">
      <c r="A11" s="5" t="s">
        <v>224</v>
      </c>
    </row>
    <row r="12" customFormat="false" ht="15" hidden="false" customHeight="false" outlineLevel="0" collapsed="false">
      <c r="A12" s="3" t="s">
        <v>225</v>
      </c>
      <c r="B12" s="29" t="n">
        <v>0.068</v>
      </c>
      <c r="C12" s="13" t="s">
        <v>226</v>
      </c>
    </row>
    <row r="13" customFormat="false" ht="15" hidden="false" customHeight="false" outlineLevel="0" collapsed="false">
      <c r="A13" s="3" t="s">
        <v>227</v>
      </c>
      <c r="B13" s="20" t="n">
        <f aca="false">Assumptions!B38</f>
        <v>0.23</v>
      </c>
    </row>
    <row r="14" customFormat="false" ht="15" hidden="false" customHeight="false" outlineLevel="0" collapsed="false">
      <c r="A14" s="3" t="s">
        <v>228</v>
      </c>
      <c r="B14" s="32" t="n">
        <f aca="false">B12*(1-B13)</f>
        <v>0.05236</v>
      </c>
    </row>
    <row r="16" customFormat="false" ht="15" hidden="false" customHeight="false" outlineLevel="0" collapsed="false">
      <c r="A16" s="5" t="s">
        <v>229</v>
      </c>
    </row>
    <row r="17" customFormat="false" ht="15" hidden="false" customHeight="false" outlineLevel="0" collapsed="false">
      <c r="A17" s="3" t="s">
        <v>230</v>
      </c>
      <c r="B17" s="11" t="n">
        <v>0.4</v>
      </c>
      <c r="C17" s="13" t="s">
        <v>231</v>
      </c>
    </row>
    <row r="18" customFormat="false" ht="15" hidden="false" customHeight="false" outlineLevel="0" collapsed="false">
      <c r="A18" s="3" t="s">
        <v>232</v>
      </c>
      <c r="B18" s="19" t="n">
        <f aca="false">1-B17</f>
        <v>0.6</v>
      </c>
    </row>
    <row r="20" customFormat="false" ht="15" hidden="false" customHeight="false" outlineLevel="0" collapsed="false">
      <c r="A20" s="7" t="s">
        <v>9</v>
      </c>
      <c r="B20" s="31" t="n">
        <f aca="false">B18*B9+B17*B14</f>
        <v>0.080614</v>
      </c>
    </row>
    <row r="22" customFormat="false" ht="15" hidden="false" customHeight="false" outlineLevel="0" collapsed="false">
      <c r="A22" s="13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0" min="2" style="0" width="11"/>
  </cols>
  <sheetData>
    <row r="1" customFormat="false" ht="17.35" hidden="false" customHeight="false" outlineLevel="0" collapsed="false">
      <c r="A1" s="1" t="s">
        <v>234</v>
      </c>
    </row>
    <row r="4" customFormat="false" ht="15" hidden="false" customHeight="false" outlineLevel="0" collapsed="false">
      <c r="A4" s="10"/>
      <c r="B4" s="10" t="s">
        <v>134</v>
      </c>
      <c r="C4" s="10" t="s">
        <v>135</v>
      </c>
      <c r="D4" s="10" t="s">
        <v>136</v>
      </c>
      <c r="E4" s="10" t="s">
        <v>137</v>
      </c>
      <c r="F4" s="10" t="s">
        <v>138</v>
      </c>
      <c r="G4" s="10" t="s">
        <v>139</v>
      </c>
      <c r="H4" s="10" t="s">
        <v>140</v>
      </c>
      <c r="I4" s="10" t="s">
        <v>141</v>
      </c>
      <c r="J4" s="10" t="s">
        <v>142</v>
      </c>
    </row>
    <row r="5" customFormat="false" ht="15" hidden="false" customHeight="false" outlineLevel="0" collapsed="false">
      <c r="A5" s="3" t="s">
        <v>235</v>
      </c>
      <c r="B5" s="21" t="n">
        <f aca="false">Model_3S!D25</f>
        <v>255.330133333333</v>
      </c>
      <c r="C5" s="21" t="n">
        <f aca="false">Model_3S!E25</f>
        <v>271.721416</v>
      </c>
      <c r="D5" s="21" t="n">
        <f aca="false">Model_3S!F25</f>
        <v>288.118398</v>
      </c>
      <c r="E5" s="21" t="n">
        <f aca="false">Model_3S!G25</f>
        <v>304.4210973535</v>
      </c>
      <c r="F5" s="21" t="n">
        <f aca="false">Model_3S!H25</f>
        <v>320.52595540704</v>
      </c>
      <c r="G5" s="21" t="n">
        <f aca="false">Model_3S!I25</f>
        <v>336.326883364996</v>
      </c>
      <c r="H5" s="21" t="n">
        <f aca="false">Model_3S!J25</f>
        <v>351.71638620988</v>
      </c>
      <c r="I5" s="21" t="n">
        <f aca="false">Model_3S!K25</f>
        <v>366.586748126841</v>
      </c>
      <c r="J5" s="21" t="n">
        <f aca="false">Model_3S!L25</f>
        <v>380.831261768341</v>
      </c>
    </row>
    <row r="6" customFormat="false" ht="15" hidden="false" customHeight="false" outlineLevel="0" collapsed="false">
      <c r="A6" s="3" t="s">
        <v>236</v>
      </c>
      <c r="B6" s="21" t="n">
        <f aca="false">-MAX(0,B5)*Model_3S!D13</f>
        <v>-54.1867282962963</v>
      </c>
      <c r="C6" s="21" t="n">
        <f aca="false">-MAX(0,C5)*Model_3S!E13</f>
        <v>-58.2691480977778</v>
      </c>
      <c r="D6" s="21" t="n">
        <f aca="false">-MAX(0,D5)*Model_3S!F13</f>
        <v>-62.4256529</v>
      </c>
      <c r="E6" s="21" t="n">
        <f aca="false">-MAX(0,E5)*Model_3S!G13</f>
        <v>-66.6343957540439</v>
      </c>
      <c r="F6" s="21" t="n">
        <f aca="false">-MAX(0,F5)*Model_3S!H13</f>
        <v>-70.8718501400011</v>
      </c>
      <c r="G6" s="21" t="n">
        <f aca="false">-MAX(0,G5)*Model_3S!I13</f>
        <v>-75.1130039515159</v>
      </c>
      <c r="H6" s="21" t="n">
        <f aca="false">-MAX(0,H5)*Model_3S!J13</f>
        <v>-79.3315848895617</v>
      </c>
      <c r="I6" s="21" t="n">
        <f aca="false">-MAX(0,I5)*Model_3S!K13</f>
        <v>-83.5003148511139</v>
      </c>
      <c r="J6" s="21" t="n">
        <f aca="false">-MAX(0,J5)*Model_3S!L13</f>
        <v>-87.5911902067185</v>
      </c>
    </row>
    <row r="7" customFormat="false" ht="15" hidden="false" customHeight="false" outlineLevel="0" collapsed="false">
      <c r="A7" s="3" t="s">
        <v>191</v>
      </c>
      <c r="B7" s="21" t="n">
        <f aca="false">-Model_3S!D24</f>
        <v>87.7697333333333</v>
      </c>
      <c r="C7" s="21" t="n">
        <f aca="false">-Model_3S!E24</f>
        <v>85.498549</v>
      </c>
      <c r="D7" s="21" t="n">
        <f aca="false">-Model_3S!F24</f>
        <v>82.834039425</v>
      </c>
      <c r="E7" s="21" t="n">
        <f aca="false">-Model_3S!G24</f>
        <v>79.7877876128125</v>
      </c>
      <c r="F7" s="21" t="n">
        <f aca="false">-Model_3S!H24</f>
        <v>76.3753253118338</v>
      </c>
      <c r="G7" s="21" t="n">
        <f aca="false">-Model_3S!I24</f>
        <v>72.6160316356243</v>
      </c>
      <c r="H7" s="21" t="n">
        <f aca="false">-Model_3S!J24</f>
        <v>68.5329723129545</v>
      </c>
      <c r="I7" s="21" t="n">
        <f aca="false">-Model_3S!K24</f>
        <v>64.1526809221973</v>
      </c>
      <c r="J7" s="21" t="n">
        <f aca="false">-Model_3S!L24</f>
        <v>59.5048846513034</v>
      </c>
    </row>
    <row r="8" customFormat="false" ht="15" hidden="false" customHeight="false" outlineLevel="0" collapsed="false">
      <c r="A8" s="3" t="s">
        <v>237</v>
      </c>
      <c r="B8" s="21" t="n">
        <f aca="false">-Model_3S!D44</f>
        <v>-10.2588</v>
      </c>
      <c r="C8" s="21" t="n">
        <f aca="false">-Model_3S!E44</f>
        <v>-10.540917</v>
      </c>
      <c r="D8" s="21" t="n">
        <f aca="false">-Model_3S!F44</f>
        <v>-10.804439925</v>
      </c>
      <c r="E8" s="21" t="n">
        <f aca="false">-Model_3S!G44</f>
        <v>-11.0475398233125</v>
      </c>
      <c r="F8" s="21" t="n">
        <f aca="false">-Model_3S!H44</f>
        <v>-11.2684906197788</v>
      </c>
      <c r="G8" s="21" t="n">
        <f aca="false">-Model_3S!I44</f>
        <v>-11.4656892056249</v>
      </c>
      <c r="H8" s="21" t="n">
        <f aca="false">-Model_3S!J44</f>
        <v>-11.6376745437093</v>
      </c>
      <c r="I8" s="21" t="n">
        <f aca="false">-Model_3S!K44</f>
        <v>-11.7831454755056</v>
      </c>
      <c r="J8" s="21" t="n">
        <f aca="false">-Model_3S!L44</f>
        <v>-11.9009769302607</v>
      </c>
    </row>
    <row r="9" customFormat="false" ht="15" hidden="false" customHeight="false" outlineLevel="0" collapsed="false">
      <c r="A9" s="3" t="s">
        <v>238</v>
      </c>
      <c r="B9" s="21" t="n">
        <f aca="false">Model_3S!D41</f>
        <v>3.49646027397262</v>
      </c>
      <c r="C9" s="21" t="n">
        <f aca="false">Model_3S!E41</f>
        <v>3.28047380821917</v>
      </c>
      <c r="D9" s="21" t="n">
        <f aca="false">Model_3S!F41</f>
        <v>3.04194499726026</v>
      </c>
      <c r="E9" s="21" t="n">
        <f aca="false">Model_3S!G41</f>
        <v>2.78201994233223</v>
      </c>
      <c r="F9" s="21" t="n">
        <f aca="false">Model_3S!H41</f>
        <v>2.50209121112468</v>
      </c>
      <c r="G9" s="21" t="n">
        <f aca="false">Model_3S!I41</f>
        <v>2.20378745774025</v>
      </c>
      <c r="H9" s="21" t="n">
        <f aca="false">Model_3S!J41</f>
        <v>1.88895920794036</v>
      </c>
      <c r="I9" s="21" t="n">
        <f aca="false">Model_3S!K41</f>
        <v>1.5596609491227</v>
      </c>
      <c r="J9" s="21" t="n">
        <f aca="false">Model_3S!L41</f>
        <v>1.21812974230795</v>
      </c>
    </row>
    <row r="10" customFormat="false" ht="15" hidden="false" customHeight="false" outlineLevel="0" collapsed="false">
      <c r="A10" s="7" t="s">
        <v>239</v>
      </c>
      <c r="B10" s="23" t="n">
        <f aca="false">SUM(B5:B9)</f>
        <v>282.150798644343</v>
      </c>
      <c r="C10" s="23" t="n">
        <f aca="false">SUM(C5:C9)</f>
        <v>291.690373710441</v>
      </c>
      <c r="D10" s="23" t="n">
        <f aca="false">SUM(D5:D9)</f>
        <v>300.76428959726</v>
      </c>
      <c r="E10" s="23" t="n">
        <f aca="false">SUM(E5:E9)</f>
        <v>309.308969331288</v>
      </c>
      <c r="F10" s="23" t="n">
        <f aca="false">SUM(F5:F9)</f>
        <v>317.263031170219</v>
      </c>
      <c r="G10" s="23" t="n">
        <f aca="false">SUM(G5:G9)</f>
        <v>324.56800930122</v>
      </c>
      <c r="H10" s="23" t="n">
        <f aca="false">SUM(H5:H9)</f>
        <v>331.169058297504</v>
      </c>
      <c r="I10" s="23" t="n">
        <f aca="false">SUM(I5:I9)</f>
        <v>337.015629671542</v>
      </c>
      <c r="J10" s="23" t="n">
        <f aca="false">SUM(J5:J9)</f>
        <v>342.062109024974</v>
      </c>
    </row>
    <row r="11" customFormat="false" ht="15" hidden="false" customHeight="false" outlineLevel="0" collapsed="false">
      <c r="A11" s="3" t="s">
        <v>240</v>
      </c>
      <c r="B11" s="33" t="n">
        <v>0.5</v>
      </c>
      <c r="C11" s="33" t="n">
        <v>1.5</v>
      </c>
      <c r="D11" s="33" t="n">
        <v>2.5</v>
      </c>
      <c r="E11" s="33" t="n">
        <v>3.5</v>
      </c>
      <c r="F11" s="33" t="n">
        <v>4.5</v>
      </c>
      <c r="G11" s="33" t="n">
        <v>5.5</v>
      </c>
      <c r="H11" s="33" t="n">
        <v>6.5</v>
      </c>
      <c r="I11" s="33" t="n">
        <v>7.5</v>
      </c>
      <c r="J11" s="33" t="n">
        <v>8.5</v>
      </c>
    </row>
    <row r="12" customFormat="false" ht="15" hidden="false" customHeight="false" outlineLevel="0" collapsed="false">
      <c r="A12" s="3" t="s">
        <v>241</v>
      </c>
      <c r="B12" s="34" t="n">
        <f aca="false">(1+$B$16)^-B11</f>
        <v>0.96197703662395</v>
      </c>
      <c r="C12" s="34" t="n">
        <f aca="false">(1+$B$16)^-C11</f>
        <v>0.890213375566067</v>
      </c>
      <c r="D12" s="34" t="n">
        <f aca="false">(1+$B$16)^-D11</f>
        <v>0.823803296612913</v>
      </c>
      <c r="E12" s="34" t="n">
        <f aca="false">(1+$B$16)^-E11</f>
        <v>0.762347421570434</v>
      </c>
      <c r="F12" s="34" t="n">
        <f aca="false">(1+$B$16)^-F11</f>
        <v>0.705476165930142</v>
      </c>
      <c r="G12" s="34" t="n">
        <f aca="false">(1+$B$16)^-G11</f>
        <v>0.652847516254779</v>
      </c>
      <c r="H12" s="34" t="n">
        <f aca="false">(1+$B$16)^-H11</f>
        <v>0.604144973371416</v>
      </c>
      <c r="I12" s="34" t="n">
        <f aca="false">(1+$B$16)^-I11</f>
        <v>0.559075649002711</v>
      </c>
      <c r="J12" s="34" t="n">
        <f aca="false">(1+$B$16)^-J11</f>
        <v>0.51736850438983</v>
      </c>
    </row>
    <row r="13" customFormat="false" ht="15" hidden="false" customHeight="false" outlineLevel="0" collapsed="false">
      <c r="A13" s="3" t="s">
        <v>242</v>
      </c>
      <c r="B13" s="24" t="n">
        <f aca="false">B10*B12</f>
        <v>271.422589160966</v>
      </c>
      <c r="C13" s="24" t="n">
        <f aca="false">C10*C12</f>
        <v>259.666672200899</v>
      </c>
      <c r="D13" s="24" t="n">
        <f aca="false">D10*D12</f>
        <v>247.770613273664</v>
      </c>
      <c r="E13" s="24" t="n">
        <f aca="false">E10*E12</f>
        <v>235.800895238316</v>
      </c>
      <c r="F13" s="24" t="n">
        <f aca="false">F10*F12</f>
        <v>223.821506821341</v>
      </c>
      <c r="G13" s="24" t="n">
        <f aca="false">G10*G12</f>
        <v>211.89341872806</v>
      </c>
      <c r="H13" s="24" t="n">
        <f aca="false">H10*H12</f>
        <v>200.074121906582</v>
      </c>
      <c r="I13" s="24" t="n">
        <f aca="false">I10*I12</f>
        <v>188.417231882675</v>
      </c>
      <c r="J13" s="24" t="n">
        <f aca="false">J10*J12</f>
        <v>176.972161754681</v>
      </c>
    </row>
    <row r="15" customFormat="false" ht="15" hidden="false" customHeight="false" outlineLevel="0" collapsed="false">
      <c r="A15" s="7" t="s">
        <v>243</v>
      </c>
      <c r="B15" s="23" t="n">
        <f aca="false">SUM(B13:J13)</f>
        <v>2015.83921096718</v>
      </c>
    </row>
    <row r="16" customFormat="false" ht="15" hidden="false" customHeight="false" outlineLevel="0" collapsed="false">
      <c r="A16" s="7" t="s">
        <v>9</v>
      </c>
      <c r="B16" s="35" t="n">
        <f aca="false">WACC!B20</f>
        <v>0.080614</v>
      </c>
    </row>
    <row r="18" customFormat="false" ht="15" hidden="false" customHeight="false" outlineLevel="0" collapsed="false">
      <c r="A18" s="5" t="s">
        <v>244</v>
      </c>
    </row>
    <row r="19" customFormat="false" ht="15" hidden="false" customHeight="false" outlineLevel="0" collapsed="false">
      <c r="A19" s="3" t="s">
        <v>245</v>
      </c>
      <c r="B19" s="20" t="n">
        <f aca="false">Assumptions!B47</f>
        <v>0.015</v>
      </c>
    </row>
    <row r="20" customFormat="false" ht="15" hidden="false" customHeight="false" outlineLevel="0" collapsed="false">
      <c r="A20" s="3" t="s">
        <v>246</v>
      </c>
      <c r="B20" s="24" t="n">
        <f aca="false">J10*(1+B19)/(B16-B19)</f>
        <v>5291.44756698796</v>
      </c>
    </row>
    <row r="21" customFormat="false" ht="15" hidden="false" customHeight="false" outlineLevel="0" collapsed="false">
      <c r="A21" s="3" t="s">
        <v>247</v>
      </c>
      <c r="B21" s="24" t="n">
        <f aca="false">B20/(1+B16)^9</f>
        <v>2633.5355726773</v>
      </c>
    </row>
    <row r="22" customFormat="false" ht="15" hidden="false" customHeight="false" outlineLevel="0" collapsed="false">
      <c r="A22" s="25" t="s">
        <v>248</v>
      </c>
      <c r="B22" s="36" t="n">
        <f aca="false">B20/Model_3S!L22</f>
        <v>10.1050672294989</v>
      </c>
    </row>
    <row r="24" customFormat="false" ht="15" hidden="false" customHeight="false" outlineLevel="0" collapsed="false">
      <c r="A24" s="5" t="s">
        <v>249</v>
      </c>
    </row>
    <row r="25" customFormat="false" ht="15" hidden="false" customHeight="false" outlineLevel="0" collapsed="false">
      <c r="A25" s="3" t="s">
        <v>250</v>
      </c>
      <c r="B25" s="37" t="n">
        <f aca="false">Assumptions!B48</f>
        <v>8</v>
      </c>
    </row>
    <row r="26" customFormat="false" ht="15" hidden="false" customHeight="false" outlineLevel="0" collapsed="false">
      <c r="A26" s="3" t="s">
        <v>246</v>
      </c>
      <c r="B26" s="24" t="n">
        <f aca="false">B25*Model_3S!L22</f>
        <v>4189.14387945176</v>
      </c>
    </row>
    <row r="27" customFormat="false" ht="15" hidden="false" customHeight="false" outlineLevel="0" collapsed="false">
      <c r="A27" s="3" t="s">
        <v>251</v>
      </c>
      <c r="B27" s="24" t="n">
        <f aca="false">B26/(1+B16)^9</f>
        <v>2084.92275241035</v>
      </c>
    </row>
    <row r="28" customFormat="false" ht="15" hidden="false" customHeight="false" outlineLevel="0" collapsed="false">
      <c r="A28" s="25" t="s">
        <v>252</v>
      </c>
      <c r="B28" s="27" t="n">
        <f aca="false">(B16*B26-J10)/(B26+J10)</f>
        <v>-0.000961877331980417</v>
      </c>
    </row>
    <row r="30" customFormat="false" ht="15" hidden="false" customHeight="false" outlineLevel="0" collapsed="false">
      <c r="A30" s="5" t="s">
        <v>253</v>
      </c>
    </row>
    <row r="31" customFormat="false" ht="15" hidden="false" customHeight="false" outlineLevel="0" collapsed="false">
      <c r="A31" s="3" t="s">
        <v>254</v>
      </c>
      <c r="B31" s="21" t="n">
        <f aca="false">Model_3S!C55-Model_3S!C70</f>
        <v>935.790279452055</v>
      </c>
    </row>
    <row r="32" customFormat="false" ht="15" hidden="false" customHeight="false" outlineLevel="0" collapsed="false">
      <c r="A32" s="3" t="s">
        <v>255</v>
      </c>
      <c r="B32" s="38" t="n">
        <f aca="false">Assumptions!B37</f>
        <v>41</v>
      </c>
    </row>
    <row r="33" customFormat="false" ht="15" hidden="false" customHeight="false" outlineLevel="0" collapsed="false">
      <c r="A33" s="10"/>
      <c r="B33" s="10" t="s">
        <v>256</v>
      </c>
      <c r="C33" s="10" t="s">
        <v>257</v>
      </c>
      <c r="D33" s="10" t="s">
        <v>258</v>
      </c>
    </row>
    <row r="34" customFormat="false" ht="15" hidden="false" customHeight="false" outlineLevel="0" collapsed="false">
      <c r="A34" s="3" t="s">
        <v>259</v>
      </c>
      <c r="B34" s="24" t="n">
        <f aca="false">B15+B21</f>
        <v>4649.37478364448</v>
      </c>
      <c r="C34" s="24" t="n">
        <f aca="false">B15+B27</f>
        <v>4100.76196337753</v>
      </c>
      <c r="D34" s="24" t="n">
        <f aca="false">AVERAGE(B34:C34)</f>
        <v>4375.06837351101</v>
      </c>
    </row>
    <row r="35" customFormat="false" ht="15" hidden="false" customHeight="false" outlineLevel="0" collapsed="false">
      <c r="A35" s="3" t="s">
        <v>260</v>
      </c>
      <c r="B35" s="24" t="n">
        <f aca="false">-$B$31</f>
        <v>-935.790279452055</v>
      </c>
      <c r="C35" s="24" t="n">
        <f aca="false">-$B$31</f>
        <v>-935.790279452055</v>
      </c>
      <c r="D35" s="24" t="n">
        <f aca="false">-$B$31</f>
        <v>-935.790279452055</v>
      </c>
    </row>
    <row r="36" customFormat="false" ht="15" hidden="false" customHeight="false" outlineLevel="0" collapsed="false">
      <c r="A36" s="7" t="s">
        <v>261</v>
      </c>
      <c r="B36" s="23" t="n">
        <f aca="false">B34+B35</f>
        <v>3713.58450419243</v>
      </c>
      <c r="C36" s="23" t="n">
        <f aca="false">C34+C35</f>
        <v>3164.97168392548</v>
      </c>
      <c r="D36" s="23" t="n">
        <f aca="false">D34+D35</f>
        <v>3439.27809405895</v>
      </c>
    </row>
    <row r="37" customFormat="false" ht="15" hidden="false" customHeight="false" outlineLevel="0" collapsed="false">
      <c r="A37" s="7" t="s">
        <v>262</v>
      </c>
      <c r="B37" s="39" t="n">
        <f aca="false">B36/$B$32</f>
        <v>90.5752318095714</v>
      </c>
      <c r="C37" s="39" t="n">
        <f aca="false">C36/$B$32</f>
        <v>77.1944313152555</v>
      </c>
      <c r="D37" s="39" t="n">
        <f aca="false">D36/$B$32</f>
        <v>83.8848315624134</v>
      </c>
    </row>
    <row r="38" customFormat="false" ht="15" hidden="false" customHeight="false" outlineLevel="0" collapsed="false">
      <c r="A38" s="25" t="s">
        <v>263</v>
      </c>
      <c r="B38" s="27" t="n">
        <f aca="false">B37/Assumptions!$B$49-1</f>
        <v>1.28840909069155</v>
      </c>
      <c r="C38" s="27" t="n">
        <f aca="false">C37/Assumptions!$B$49-1</f>
        <v>0.95033934601454</v>
      </c>
      <c r="D38" s="27" t="n">
        <f aca="false">D37/Assumptions!$B$49-1</f>
        <v>1.11937421835304</v>
      </c>
    </row>
    <row r="42" customFormat="false" ht="15" hidden="false" customHeight="false" outlineLevel="0" collapsed="false">
      <c r="A42" s="5" t="s">
        <v>264</v>
      </c>
    </row>
    <row r="43" customFormat="false" ht="15" hidden="false" customHeight="false" outlineLevel="0" collapsed="false">
      <c r="B43" s="40" t="s">
        <v>265</v>
      </c>
      <c r="C43" s="41" t="n">
        <v>0.005</v>
      </c>
      <c r="D43" s="41" t="n">
        <v>0.01</v>
      </c>
      <c r="E43" s="41" t="n">
        <v>0.015</v>
      </c>
      <c r="F43" s="41" t="n">
        <v>0.02</v>
      </c>
      <c r="G43" s="41" t="n">
        <v>0.025</v>
      </c>
    </row>
    <row r="44" customFormat="false" ht="15" hidden="false" customHeight="false" outlineLevel="0" collapsed="false">
      <c r="B44" s="42" t="n">
        <v>0.071</v>
      </c>
      <c r="C44" s="43" t="n">
        <f aca="false">(SUMPRODUCT($B$10:$J$10,(1+$B$44)^-($B$11:$J$11))+$J$10*(1+C$43)/($B$44-C$43)/(1+$B$44)^9-$B$31)/$B$32</f>
        <v>96.7357493756233</v>
      </c>
      <c r="D44" s="43" t="n">
        <f aca="false">(SUMPRODUCT($B$10:$J$10,(1+$B$44)^-($B$11:$J$11))+$J$10*(1+D$43)/($B$44-D$43)/(1+$B$44)^9-$B$31)/$B$32</f>
        <v>102.721265147368</v>
      </c>
      <c r="E44" s="43" t="n">
        <f aca="false">(SUMPRODUCT($B$10:$J$10,(1+$B$44)^-($B$11:$J$11))+$J$10*(1+E$43)/($B$44-E$43)/(1+$B$44)^9-$B$31)/$B$32</f>
        <v>109.77562302121</v>
      </c>
      <c r="F44" s="43" t="n">
        <f aca="false">(SUMPRODUCT($B$10:$J$10,(1+$B$44)^-($B$11:$J$11))+$J$10*(1+F$43)/($B$44-F$43)/(1+$B$44)^9-$B$31)/$B$32</f>
        <v>118.213188321296</v>
      </c>
      <c r="G44" s="43" t="n">
        <f aca="false">(SUMPRODUCT($B$10:$J$10,(1+$B$44)^-($B$11:$J$11))+$J$10*(1+G$43)/($B$44-G$43)/(1+$B$44)^9-$B$31)/$B$32</f>
        <v>128.485006947487</v>
      </c>
    </row>
    <row r="45" customFormat="false" ht="15" hidden="false" customHeight="false" outlineLevel="0" collapsed="false">
      <c r="B45" s="42" t="n">
        <v>0.076</v>
      </c>
      <c r="C45" s="43" t="n">
        <f aca="false">(SUMPRODUCT($B$10:$J$10,(1+$B$45)^-($B$11:$J$11))+$J$10*(1+C$43)/($B$45-C$43)/(1+$B$45)^9-$B$31)/$B$32</f>
        <v>88.3086981630705</v>
      </c>
      <c r="D45" s="43" t="n">
        <f aca="false">(SUMPRODUCT($B$10:$J$10,(1+$B$45)^-($B$11:$J$11))+$J$10*(1+D$43)/($B$45-D$43)/(1+$B$45)^9-$B$31)/$B$32</f>
        <v>93.263093540599</v>
      </c>
      <c r="E45" s="43" t="n">
        <f aca="false">(SUMPRODUCT($B$10:$J$10,(1+$B$45)^-($B$11:$J$11))+$J$10*(1+E$43)/($B$45-E$43)/(1+$B$45)^9-$B$31)/$B$32</f>
        <v>99.0296848816567</v>
      </c>
      <c r="F45" s="43" t="n">
        <f aca="false">(SUMPRODUCT($B$10:$J$10,(1+$B$45)^-($B$11:$J$11))+$J$10*(1+F$43)/($B$45-F$43)/(1+$B$45)^9-$B$31)/$B$32</f>
        <v>105.826024676475</v>
      </c>
      <c r="G45" s="43" t="n">
        <f aca="false">(SUMPRODUCT($B$10:$J$10,(1+$B$45)^-($B$11:$J$11))+$J$10*(1+G$43)/($B$45-G$43)/(1+$B$45)^9-$B$31)/$B$32</f>
        <v>113.954980117335</v>
      </c>
    </row>
    <row r="46" customFormat="false" ht="15" hidden="false" customHeight="false" outlineLevel="0" collapsed="false">
      <c r="B46" s="42" t="n">
        <v>0.081</v>
      </c>
      <c r="C46" s="43" t="n">
        <f aca="false">(SUMPRODUCT($B$10:$J$10,(1+$B$46)^-($B$11:$J$11))+$J$10*(1+C$43)/($B$46-C$43)/(1+$B$46)^9-$B$31)/$B$32</f>
        <v>81.0020340195793</v>
      </c>
      <c r="D46" s="43" t="n">
        <f aca="false">(SUMPRODUCT($B$10:$J$10,(1+$B$46)^-($B$11:$J$11))+$J$10*(1+D$43)/($B$46-D$43)/(1+$B$46)^9-$B$31)/$B$32</f>
        <v>85.1478843932416</v>
      </c>
      <c r="E46" s="43" t="n">
        <f aca="false">(SUMPRODUCT($B$10:$J$10,(1+$B$46)^-($B$11:$J$11))+$J$10*(1+E$43)/($B$46-E$43)/(1+$B$46)^9-$B$31)/$B$32</f>
        <v>89.9218939144284</v>
      </c>
      <c r="F46" s="43" t="n">
        <f aca="false">(SUMPRODUCT($B$10:$J$10,(1+$B$46)^-($B$11:$J$11))+$J$10*(1+F$43)/($B$46-F$43)/(1+$B$46)^9-$B$31)/$B$32</f>
        <v>95.4785279472852</v>
      </c>
      <c r="G46" s="43" t="n">
        <f aca="false">(SUMPRODUCT($B$10:$J$10,(1+$B$46)^-($B$11:$J$11))+$J$10*(1+G$43)/($B$46-G$43)/(1+$B$46)^9-$B$31)/$B$32</f>
        <v>102.027418057438</v>
      </c>
    </row>
    <row r="47" customFormat="false" ht="15" hidden="false" customHeight="false" outlineLevel="0" collapsed="false">
      <c r="B47" s="42" t="n">
        <v>0.086</v>
      </c>
      <c r="C47" s="43" t="n">
        <f aca="false">(SUMPRODUCT($B$10:$J$10,(1+$B$47)^-($B$11:$J$11))+$J$10*(1+C$43)/($B$47-C$43)/(1+$B$47)^9-$B$31)/$B$32</f>
        <v>74.6075733515085</v>
      </c>
      <c r="D47" s="43" t="n">
        <f aca="false">(SUMPRODUCT($B$10:$J$10,(1+$B$47)^-($B$11:$J$11))+$J$10*(1+D$43)/($B$47-D$43)/(1+$B$47)^9-$B$31)/$B$32</f>
        <v>78.1098778626175</v>
      </c>
      <c r="E47" s="43" t="n">
        <f aca="false">(SUMPRODUCT($B$10:$J$10,(1+$B$47)^-($B$11:$J$11))+$J$10*(1+E$43)/($B$47-E$43)/(1+$B$47)^9-$B$31)/$B$32</f>
        <v>82.1054646992349</v>
      </c>
      <c r="F47" s="43" t="n">
        <f aca="false">(SUMPRODUCT($B$10:$J$10,(1+$B$47)^-($B$11:$J$11))+$J$10*(1+F$43)/($B$47-F$43)/(1+$B$47)^9-$B$31)/$B$32</f>
        <v>86.7064434807944</v>
      </c>
      <c r="G47" s="43" t="n">
        <f aca="false">(SUMPRODUCT($B$10:$J$10,(1+$B$47)^-($B$11:$J$11))+$J$10*(1+G$43)/($B$47-G$43)/(1+$B$47)^9-$B$31)/$B$32</f>
        <v>92.0616810790029</v>
      </c>
    </row>
    <row r="48" customFormat="false" ht="15" hidden="false" customHeight="false" outlineLevel="0" collapsed="false">
      <c r="B48" s="42" t="n">
        <v>0.091</v>
      </c>
      <c r="C48" s="43" t="n">
        <f aca="false">(SUMPRODUCT($B$10:$J$10,(1+$B$48)^-($B$11:$J$11))+$J$10*(1+C$43)/($B$48-C$43)/(1+$B$48)^9-$B$31)/$B$32</f>
        <v>68.9655909318295</v>
      </c>
      <c r="D48" s="43" t="n">
        <f aca="false">(SUMPRODUCT($B$10:$J$10,(1+$B$48)^-($B$11:$J$11))+$J$10*(1+D$43)/($B$48-D$43)/(1+$B$48)^9-$B$31)/$B$32</f>
        <v>71.9489782677749</v>
      </c>
      <c r="E48" s="43" t="n">
        <f aca="false">(SUMPRODUCT($B$10:$J$10,(1+$B$48)^-($B$11:$J$11))+$J$10*(1+E$43)/($B$48-E$43)/(1+$B$48)^9-$B$31)/$B$32</f>
        <v>75.3249165689763</v>
      </c>
      <c r="F48" s="43" t="n">
        <f aca="false">(SUMPRODUCT($B$10:$J$10,(1+$B$48)^-($B$11:$J$11))+$J$10*(1+F$43)/($B$48-F$43)/(1+$B$48)^9-$B$31)/$B$32</f>
        <v>79.1763391379526</v>
      </c>
      <c r="G48" s="43" t="n">
        <f aca="false">(SUMPRODUCT($B$10:$J$10,(1+$B$48)^-($B$11:$J$11))+$J$10*(1+G$43)/($B$48-G$43)/(1+$B$48)^9-$B$31)/$B$32</f>
        <v>83.6113105810161</v>
      </c>
    </row>
    <row r="50" customFormat="false" ht="15" hidden="false" customHeight="false" outlineLevel="0" collapsed="false">
      <c r="A50" s="5" t="s">
        <v>266</v>
      </c>
    </row>
    <row r="51" customFormat="false" ht="15" hidden="false" customHeight="false" outlineLevel="0" collapsed="false">
      <c r="B51" s="40" t="s">
        <v>267</v>
      </c>
      <c r="C51" s="44" t="n">
        <v>6</v>
      </c>
      <c r="D51" s="44" t="n">
        <v>7</v>
      </c>
      <c r="E51" s="44" t="n">
        <v>8</v>
      </c>
      <c r="F51" s="44" t="n">
        <v>9</v>
      </c>
      <c r="G51" s="44" t="n">
        <v>10</v>
      </c>
    </row>
    <row r="52" customFormat="false" ht="15" hidden="false" customHeight="false" outlineLevel="0" collapsed="false">
      <c r="B52" s="42" t="n">
        <v>0.071</v>
      </c>
      <c r="C52" s="43" t="n">
        <f aca="false">(SUMPRODUCT($B$10:$J$10,(1+$B$52)^-($B$11:$J$11))+C$51*Model_3S!$L$22/(1+$B$52)^9-$B$31)/$B$32</f>
        <v>69.5455410804427</v>
      </c>
      <c r="D52" s="43" t="n">
        <f aca="false">(SUMPRODUCT($B$10:$J$10,(1+$B$52)^-($B$11:$J$11))+D$51*Model_3S!$L$22/(1+$B$52)^9-$B$31)/$B$32</f>
        <v>76.4343826293415</v>
      </c>
      <c r="E52" s="43" t="n">
        <f aca="false">(SUMPRODUCT($B$10:$J$10,(1+$B$52)^-($B$11:$J$11))+E$51*Model_3S!$L$22/(1+$B$52)^9-$B$31)/$B$32</f>
        <v>83.3232241782403</v>
      </c>
      <c r="F52" s="43" t="n">
        <f aca="false">(SUMPRODUCT($B$10:$J$10,(1+$B$52)^-($B$11:$J$11))+F$51*Model_3S!$L$22/(1+$B$52)^9-$B$31)/$B$32</f>
        <v>90.2120657271391</v>
      </c>
      <c r="G52" s="43" t="n">
        <f aca="false">(SUMPRODUCT($B$10:$J$10,(1+$B$52)^-($B$11:$J$11))+G$51*Model_3S!$L$22/(1+$B$52)^9-$B$31)/$B$32</f>
        <v>97.1009072760378</v>
      </c>
    </row>
    <row r="53" customFormat="false" ht="15" hidden="false" customHeight="false" outlineLevel="0" collapsed="false">
      <c r="B53" s="42" t="n">
        <v>0.076</v>
      </c>
      <c r="C53" s="43" t="n">
        <f aca="false">(SUMPRODUCT($B$10:$J$10,(1+$B$53)^-($B$11:$J$11))+C$51*Model_3S!$L$22/(1+$B$53)^9-$B$31)/$B$32</f>
        <v>66.8621969948573</v>
      </c>
      <c r="D53" s="43" t="n">
        <f aca="false">(SUMPRODUCT($B$10:$J$10,(1+$B$53)^-($B$11:$J$11))+D$51*Model_3S!$L$22/(1+$B$53)^9-$B$31)/$B$32</f>
        <v>73.4682338321087</v>
      </c>
      <c r="E53" s="43" t="n">
        <f aca="false">(SUMPRODUCT($B$10:$J$10,(1+$B$53)^-($B$11:$J$11))+E$51*Model_3S!$L$22/(1+$B$53)^9-$B$31)/$B$32</f>
        <v>80.0742706693601</v>
      </c>
      <c r="F53" s="43" t="n">
        <f aca="false">(SUMPRODUCT($B$10:$J$10,(1+$B$53)^-($B$11:$J$11))+F$51*Model_3S!$L$22/(1+$B$53)^9-$B$31)/$B$32</f>
        <v>86.6803075066114</v>
      </c>
      <c r="G53" s="43" t="n">
        <f aca="false">(SUMPRODUCT($B$10:$J$10,(1+$B$53)^-($B$11:$J$11))+G$51*Model_3S!$L$22/(1+$B$53)^9-$B$31)/$B$32</f>
        <v>93.2863443438628</v>
      </c>
    </row>
    <row r="54" customFormat="false" ht="15" hidden="false" customHeight="false" outlineLevel="0" collapsed="false">
      <c r="B54" s="42" t="n">
        <v>0.081</v>
      </c>
      <c r="C54" s="43" t="n">
        <f aca="false">(SUMPRODUCT($B$10:$J$10,(1+$B$54)^-($B$11:$J$11))+C$51*Model_3S!$L$22/(1+$B$54)^9-$B$31)/$B$32</f>
        <v>64.2863450636625</v>
      </c>
      <c r="D54" s="43" t="n">
        <f aca="false">(SUMPRODUCT($B$10:$J$10,(1+$B$54)^-($B$11:$J$11))+D$51*Model_3S!$L$22/(1+$B$54)^9-$B$31)/$B$32</f>
        <v>70.6224182861707</v>
      </c>
      <c r="E54" s="43" t="n">
        <f aca="false">(SUMPRODUCT($B$10:$J$10,(1+$B$54)^-($B$11:$J$11))+E$51*Model_3S!$L$22/(1+$B$54)^9-$B$31)/$B$32</f>
        <v>76.9584915086789</v>
      </c>
      <c r="F54" s="43" t="n">
        <f aca="false">(SUMPRODUCT($B$10:$J$10,(1+$B$54)^-($B$11:$J$11))+F$51*Model_3S!$L$22/(1+$B$54)^9-$B$31)/$B$32</f>
        <v>83.294564731187</v>
      </c>
      <c r="G54" s="43" t="n">
        <f aca="false">(SUMPRODUCT($B$10:$J$10,(1+$B$54)^-($B$11:$J$11))+G$51*Model_3S!$L$22/(1+$B$54)^9-$B$31)/$B$32</f>
        <v>89.6306379536952</v>
      </c>
    </row>
    <row r="55" customFormat="false" ht="15" hidden="false" customHeight="false" outlineLevel="0" collapsed="false">
      <c r="B55" s="42" t="n">
        <v>0.086</v>
      </c>
      <c r="C55" s="43" t="n">
        <f aca="false">(SUMPRODUCT($B$10:$J$10,(1+$B$55)^-($B$11:$J$11))+C$51*Model_3S!$L$22/(1+$B$55)^9-$B$31)/$B$32</f>
        <v>61.812986651784</v>
      </c>
      <c r="D55" s="43" t="n">
        <f aca="false">(SUMPRODUCT($B$10:$J$10,(1+$B$55)^-($B$11:$J$11))+D$51*Model_3S!$L$22/(1+$B$55)^9-$B$31)/$B$32</f>
        <v>67.8912988917781</v>
      </c>
      <c r="E55" s="43" t="n">
        <f aca="false">(SUMPRODUCT($B$10:$J$10,(1+$B$55)^-($B$11:$J$11))+E$51*Model_3S!$L$22/(1+$B$55)^9-$B$31)/$B$32</f>
        <v>73.9696111317723</v>
      </c>
      <c r="F55" s="43" t="n">
        <f aca="false">(SUMPRODUCT($B$10:$J$10,(1+$B$55)^-($B$11:$J$11))+F$51*Model_3S!$L$22/(1+$B$55)^9-$B$31)/$B$32</f>
        <v>80.0479233717664</v>
      </c>
      <c r="G55" s="43" t="n">
        <f aca="false">(SUMPRODUCT($B$10:$J$10,(1+$B$55)^-($B$11:$J$11))+G$51*Model_3S!$L$22/(1+$B$55)^9-$B$31)/$B$32</f>
        <v>86.1262356117605</v>
      </c>
    </row>
    <row r="56" customFormat="false" ht="15" hidden="false" customHeight="false" outlineLevel="0" collapsed="false">
      <c r="B56" s="42" t="n">
        <v>0.091</v>
      </c>
      <c r="C56" s="43" t="n">
        <f aca="false">(SUMPRODUCT($B$10:$J$10,(1+$B$56)^-($B$11:$J$11))+C$51*Model_3S!$L$22/(1+$B$56)^9-$B$31)/$B$32</f>
        <v>59.4373819718402</v>
      </c>
      <c r="D56" s="43" t="n">
        <f aca="false">(SUMPRODUCT($B$10:$J$10,(1+$B$56)^-($B$11:$J$11))+D$51*Model_3S!$L$22/(1+$B$56)^9-$B$31)/$B$32</f>
        <v>65.2695318711954</v>
      </c>
      <c r="E56" s="43" t="n">
        <f aca="false">(SUMPRODUCT($B$10:$J$10,(1+$B$56)^-($B$11:$J$11))+E$51*Model_3S!$L$22/(1+$B$56)^9-$B$31)/$B$32</f>
        <v>71.1016817705506</v>
      </c>
      <c r="F56" s="43" t="n">
        <f aca="false">(SUMPRODUCT($B$10:$J$10,(1+$B$56)^-($B$11:$J$11))+F$51*Model_3S!$L$22/(1+$B$56)^9-$B$31)/$B$32</f>
        <v>76.9338316699058</v>
      </c>
      <c r="G56" s="43" t="n">
        <f aca="false">(SUMPRODUCT($B$10:$J$10,(1+$B$56)^-($B$11:$J$11))+G$51*Model_3S!$L$22/(1+$B$56)^9-$B$31)/$B$32</f>
        <v>82.765981569261</v>
      </c>
    </row>
    <row r="58" customFormat="false" ht="15" hidden="false" customHeight="false" outlineLevel="0" collapsed="false">
      <c r="A58" s="5" t="s">
        <v>268</v>
      </c>
    </row>
    <row r="60" customFormat="false" ht="15" hidden="false" customHeight="false" outlineLevel="0" collapsed="false">
      <c r="B60" s="40" t="s">
        <v>269</v>
      </c>
      <c r="C60" s="41" t="n">
        <v>0.38</v>
      </c>
      <c r="D60" s="41" t="n">
        <v>0.41</v>
      </c>
      <c r="E60" s="41" t="n">
        <v>0.44</v>
      </c>
      <c r="F60" s="41" t="n">
        <v>0.45</v>
      </c>
      <c r="G60" s="41" t="n">
        <v>0.46</v>
      </c>
    </row>
    <row r="61" customFormat="false" ht="15" hidden="false" customHeight="false" outlineLevel="0" collapsed="false">
      <c r="B61" s="41" t="n">
        <v>-0.02</v>
      </c>
      <c r="C61" s="43" t="n">
        <f aca="false">($B$15*(Model_3S!$C$18*(1+($B$61+Assumptions!$E$13)/2)^9*C$60)/Model_3S!$L$22+$B$25*(Model_3S!$C$18*(1+($B$61+Assumptions!$E$13)/2)^9*C$60)/(1+$B$16)^9-$B$31)/$B$32</f>
        <v>46.2787153771338</v>
      </c>
      <c r="D61" s="43" t="n">
        <f aca="false">($B$15*(Model_3S!$C$18*(1+($B$61+Assumptions!$E$13)/2)^9*D$60)/Model_3S!$L$22+$B$25*(Model_3S!$C$18*(1+($B$61+Assumptions!$E$13)/2)^9*D$60)/(1+$B$16)^9-$B$31)/$B$32</f>
        <v>51.7342049982786</v>
      </c>
      <c r="E61" s="43" t="n">
        <f aca="false">($B$15*(Model_3S!$C$18*(1+($B$61+Assumptions!$E$13)/2)^9*E$60)/Model_3S!$L$22+$B$25*(Model_3S!$C$18*(1+($B$61+Assumptions!$E$13)/2)^9*E$60)/(1+$B$16)^9-$B$31)/$B$32</f>
        <v>57.1896946194235</v>
      </c>
      <c r="F61" s="43" t="n">
        <f aca="false">($B$15*(Model_3S!$C$18*(1+($B$61+Assumptions!$E$13)/2)^9*F$60)/Model_3S!$L$22+$B$25*(Model_3S!$C$18*(1+($B$61+Assumptions!$E$13)/2)^9*F$60)/(1+$B$16)^9-$B$31)/$B$32</f>
        <v>59.008191159805</v>
      </c>
      <c r="G61" s="43" t="n">
        <f aca="false">($B$15*(Model_3S!$C$18*(1+($B$61+Assumptions!$E$13)/2)^9*G$60)/Model_3S!$L$22+$B$25*(Model_3S!$C$18*(1+($B$61+Assumptions!$E$13)/2)^9*G$60)/(1+$B$16)^9-$B$31)/$B$32</f>
        <v>60.8266877001867</v>
      </c>
    </row>
    <row r="62" customFormat="false" ht="15" hidden="false" customHeight="false" outlineLevel="0" collapsed="false">
      <c r="B62" s="41" t="n">
        <v>0.005</v>
      </c>
      <c r="C62" s="43" t="n">
        <f aca="false">($B$15*(Model_3S!$C$18*(1+($B$62+Assumptions!$E$13)/2)^9*C$60)/Model_3S!$L$22+$B$25*(Model_3S!$C$18*(1+($B$62+Assumptions!$E$13)/2)^9*C$60)/(1+$B$16)^9-$B$31)/$B$32</f>
        <v>54.4962023865094</v>
      </c>
      <c r="D62" s="43" t="n">
        <f aca="false">($B$15*(Model_3S!$C$18*(1+($B$62+Assumptions!$E$13)/2)^9*D$60)/Model_3S!$L$22+$B$25*(Model_3S!$C$18*(1+($B$62+Assumptions!$E$13)/2)^9*D$60)/(1+$B$16)^9-$B$31)/$B$32</f>
        <v>60.6004409820786</v>
      </c>
      <c r="E62" s="43" t="n">
        <f aca="false">($B$15*(Model_3S!$C$18*(1+($B$62+Assumptions!$E$13)/2)^9*E$60)/Model_3S!$L$22+$B$25*(Model_3S!$C$18*(1+($B$62+Assumptions!$E$13)/2)^9*E$60)/(1+$B$16)^9-$B$31)/$B$32</f>
        <v>66.7046795776478</v>
      </c>
      <c r="F62" s="43" t="n">
        <f aca="false">($B$15*(Model_3S!$C$18*(1+($B$62+Assumptions!$E$13)/2)^9*F$60)/Model_3S!$L$22+$B$25*(Model_3S!$C$18*(1+($B$62+Assumptions!$E$13)/2)^9*F$60)/(1+$B$16)^9-$B$31)/$B$32</f>
        <v>68.7394257761709</v>
      </c>
      <c r="G62" s="43" t="n">
        <f aca="false">($B$15*(Model_3S!$C$18*(1+($B$62+Assumptions!$E$13)/2)^9*G$60)/Model_3S!$L$22+$B$25*(Model_3S!$C$18*(1+($B$62+Assumptions!$E$13)/2)^9*G$60)/(1+$B$16)^9-$B$31)/$B$32</f>
        <v>70.7741719746939</v>
      </c>
    </row>
    <row r="63" customFormat="false" ht="15" hidden="false" customHeight="false" outlineLevel="0" collapsed="false">
      <c r="B63" s="41" t="n">
        <v>0.03</v>
      </c>
      <c r="C63" s="43" t="n">
        <f aca="false">($B$15*(Model_3S!$C$18*(1+($B$63+Assumptions!$E$13)/2)^9*C$60)/Model_3S!$L$22+$B$25*(Model_3S!$C$18*(1+($B$63+Assumptions!$E$13)/2)^9*C$60)/(1+$B$16)^9-$B$31)/$B$32</f>
        <v>63.5711026607428</v>
      </c>
      <c r="D63" s="43" t="n">
        <f aca="false">($B$15*(Model_3S!$C$18*(1+($B$63+Assumptions!$E$13)/2)^9*D$60)/Model_3S!$L$22+$B$25*(Model_3S!$C$18*(1+($B$63+Assumptions!$E$13)/2)^9*D$60)/(1+$B$16)^9-$B$31)/$B$32</f>
        <v>70.3917807516462</v>
      </c>
      <c r="E63" s="43" t="n">
        <f aca="false">($B$15*(Model_3S!$C$18*(1+($B$63+Assumptions!$E$13)/2)^9*E$60)/Model_3S!$L$22+$B$25*(Model_3S!$C$18*(1+($B$63+Assumptions!$E$13)/2)^9*E$60)/(1+$B$16)^9-$B$31)/$B$32</f>
        <v>77.2124588425497</v>
      </c>
      <c r="F63" s="43" t="n">
        <f aca="false">($B$15*(Model_3S!$C$18*(1+($B$63+Assumptions!$E$13)/2)^9*F$60)/Model_3S!$L$22+$B$25*(Model_3S!$C$18*(1+($B$63+Assumptions!$E$13)/2)^9*F$60)/(1+$B$16)^9-$B$31)/$B$32</f>
        <v>79.4860182061842</v>
      </c>
      <c r="G63" s="43" t="n">
        <f aca="false">($B$15*(Model_3S!$C$18*(1+($B$63+Assumptions!$E$13)/2)^9*G$60)/Model_3S!$L$22+$B$25*(Model_3S!$C$18*(1+($B$63+Assumptions!$E$13)/2)^9*G$60)/(1+$B$16)^9-$B$31)/$B$32</f>
        <v>81.7595775698186</v>
      </c>
    </row>
    <row r="64" customFormat="false" ht="15" hidden="false" customHeight="false" outlineLevel="0" collapsed="false">
      <c r="B64" s="41" t="n">
        <v>0.045</v>
      </c>
      <c r="C64" s="43" t="n">
        <f aca="false">($B$15*(Model_3S!$C$18*(1+($B$64+Assumptions!$E$13)/2)^9*C$60)/Model_3S!$L$22+$B$25*(Model_3S!$C$18*(1+($B$64+Assumptions!$E$13)/2)^9*C$60)/(1+$B$16)^9-$B$31)/$B$32</f>
        <v>69.4595097219623</v>
      </c>
      <c r="D64" s="43" t="n">
        <f aca="false">($B$15*(Model_3S!$C$18*(1+($B$64+Assumptions!$E$13)/2)^9*D$60)/Model_3S!$L$22+$B$25*(Model_3S!$C$18*(1+($B$64+Assumptions!$E$13)/2)^9*D$60)/(1+$B$16)^9-$B$31)/$B$32</f>
        <v>76.7450620545409</v>
      </c>
      <c r="E64" s="43" t="n">
        <f aca="false">($B$15*(Model_3S!$C$18*(1+($B$64+Assumptions!$E$13)/2)^9*E$60)/Model_3S!$L$22+$B$25*(Model_3S!$C$18*(1+($B$64+Assumptions!$E$13)/2)^9*E$60)/(1+$B$16)^9-$B$31)/$B$32</f>
        <v>84.0306143871196</v>
      </c>
      <c r="F64" s="43" t="n">
        <f aca="false">($B$15*(Model_3S!$C$18*(1+($B$64+Assumptions!$E$13)/2)^9*F$60)/Model_3S!$L$22+$B$25*(Model_3S!$C$18*(1+($B$64+Assumptions!$E$13)/2)^9*F$60)/(1+$B$16)^9-$B$31)/$B$32</f>
        <v>86.4591318313125</v>
      </c>
      <c r="G64" s="43" t="n">
        <f aca="false">($B$15*(Model_3S!$C$18*(1+($B$64+Assumptions!$E$13)/2)^9*G$60)/Model_3S!$L$22+$B$25*(Model_3S!$C$18*(1+($B$64+Assumptions!$E$13)/2)^9*G$60)/(1+$B$16)^9-$B$31)/$B$32</f>
        <v>88.8876492755053</v>
      </c>
    </row>
    <row r="65" customFormat="false" ht="15" hidden="false" customHeight="false" outlineLevel="0" collapsed="false">
      <c r="B65" s="41" t="n">
        <v>0.06</v>
      </c>
      <c r="C65" s="43" t="n">
        <f aca="false">($B$15*(Model_3S!$C$18*(1+($B$65+Assumptions!$E$13)/2)^9*C$60)/Model_3S!$L$22+$B$25*(Model_3S!$C$18*(1+($B$65+Assumptions!$E$13)/2)^9*C$60)/(1+$B$16)^9-$B$31)/$B$32</f>
        <v>75.701993335379</v>
      </c>
      <c r="D65" s="43" t="n">
        <f aca="false">($B$15*(Model_3S!$C$18*(1+($B$65+Assumptions!$E$13)/2)^9*D$60)/Model_3S!$L$22+$B$25*(Model_3S!$C$18*(1+($B$65+Assumptions!$E$13)/2)^9*D$60)/(1+$B$16)^9-$B$31)/$B$32</f>
        <v>83.4803733216484</v>
      </c>
      <c r="E65" s="43" t="n">
        <f aca="false">($B$15*(Model_3S!$C$18*(1+($B$65+Assumptions!$E$13)/2)^9*E$60)/Model_3S!$L$22+$B$25*(Model_3S!$C$18*(1+($B$65+Assumptions!$E$13)/2)^9*E$60)/(1+$B$16)^9-$B$31)/$B$32</f>
        <v>91.2587533079179</v>
      </c>
      <c r="F65" s="43" t="n">
        <f aca="false">($B$15*(Model_3S!$C$18*(1+($B$65+Assumptions!$E$13)/2)^9*F$60)/Model_3S!$L$22+$B$25*(Model_3S!$C$18*(1+($B$65+Assumptions!$E$13)/2)^9*F$60)/(1+$B$16)^9-$B$31)/$B$32</f>
        <v>93.8515466366743</v>
      </c>
      <c r="G65" s="43" t="n">
        <f aca="false">($B$15*(Model_3S!$C$18*(1+($B$65+Assumptions!$E$13)/2)^9*G$60)/Model_3S!$L$22+$B$25*(Model_3S!$C$18*(1+($B$65+Assumptions!$E$13)/2)^9*G$60)/(1+$B$16)^9-$B$31)/$B$32</f>
        <v>96.4443399654308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270</v>
      </c>
    </row>
    <row r="4" customFormat="false" ht="15" hidden="false" customHeight="false" outlineLevel="0" collapsed="false">
      <c r="A4" s="10" t="s">
        <v>271</v>
      </c>
      <c r="B4" s="10" t="s">
        <v>272</v>
      </c>
      <c r="C4" s="10" t="s">
        <v>273</v>
      </c>
      <c r="D4" s="10" t="s">
        <v>274</v>
      </c>
      <c r="E4" s="10" t="s">
        <v>275</v>
      </c>
    </row>
    <row r="5" customFormat="false" ht="15" hidden="false" customHeight="false" outlineLevel="0" collapsed="false">
      <c r="A5" s="3" t="s">
        <v>276</v>
      </c>
      <c r="B5" s="3" t="s">
        <v>277</v>
      </c>
      <c r="C5" s="45" t="n">
        <v>2.3</v>
      </c>
      <c r="D5" s="45" t="n">
        <v>7</v>
      </c>
      <c r="E5" s="13" t="s">
        <v>278</v>
      </c>
    </row>
    <row r="6" customFormat="false" ht="15" hidden="false" customHeight="false" outlineLevel="0" collapsed="false">
      <c r="A6" s="3" t="s">
        <v>279</v>
      </c>
      <c r="B6" s="3" t="s">
        <v>280</v>
      </c>
      <c r="C6" s="45" t="n">
        <v>3</v>
      </c>
      <c r="D6" s="45" t="n">
        <v>10</v>
      </c>
      <c r="E6" s="13" t="s">
        <v>281</v>
      </c>
    </row>
    <row r="7" customFormat="false" ht="15" hidden="false" customHeight="false" outlineLevel="0" collapsed="false">
      <c r="A7" s="3" t="s">
        <v>282</v>
      </c>
      <c r="B7" s="3" t="s">
        <v>283</v>
      </c>
      <c r="C7" s="45" t="n">
        <v>5</v>
      </c>
      <c r="D7" s="45" t="n">
        <v>10</v>
      </c>
      <c r="E7" s="13" t="s">
        <v>284</v>
      </c>
    </row>
    <row r="8" customFormat="false" ht="15" hidden="false" customHeight="false" outlineLevel="0" collapsed="false">
      <c r="A8" s="3" t="s">
        <v>285</v>
      </c>
      <c r="B8" s="3" t="s">
        <v>286</v>
      </c>
      <c r="C8" s="46" t="n">
        <f aca="false">(Assumptions!B49*Assumptions!B37+DCF!B31)/Model_3S!C18</f>
        <v>2.56884566210046</v>
      </c>
      <c r="D8" s="46" t="n">
        <f aca="false">(Assumptions!B49*Assumptions!B37+DCF!B31)/Model_3S!C22</f>
        <v>6.11629919547728</v>
      </c>
      <c r="E8" s="13" t="s">
        <v>287</v>
      </c>
    </row>
    <row r="9" customFormat="false" ht="15" hidden="false" customHeight="false" outlineLevel="0" collapsed="false">
      <c r="A9" s="7" t="s">
        <v>288</v>
      </c>
      <c r="C9" s="46" t="n">
        <f aca="false">MEDIAN(C5:C7)</f>
        <v>3</v>
      </c>
      <c r="D9" s="46" t="n">
        <f aca="false">MEDIAN(D5:D7)</f>
        <v>10</v>
      </c>
    </row>
    <row r="12" customFormat="false" ht="15" hidden="false" customHeight="false" outlineLevel="0" collapsed="false">
      <c r="A12" s="5" t="s">
        <v>289</v>
      </c>
    </row>
    <row r="13" customFormat="false" ht="15" hidden="false" customHeight="false" outlineLevel="0" collapsed="false">
      <c r="A13" s="10" t="s">
        <v>290</v>
      </c>
      <c r="B13" s="10" t="s">
        <v>291</v>
      </c>
      <c r="C13" s="10" t="s">
        <v>292</v>
      </c>
      <c r="D13" s="10" t="s">
        <v>293</v>
      </c>
      <c r="E13" s="10" t="s">
        <v>294</v>
      </c>
      <c r="F13" s="10" t="s">
        <v>295</v>
      </c>
    </row>
    <row r="14" customFormat="false" ht="15" hidden="false" customHeight="false" outlineLevel="0" collapsed="false">
      <c r="A14" s="3" t="s">
        <v>296</v>
      </c>
      <c r="B14" s="16" t="n">
        <v>7</v>
      </c>
      <c r="C14" s="16" t="n">
        <v>10</v>
      </c>
      <c r="D14" s="21" t="n">
        <f aca="false">Model_3S!C22</f>
        <v>418.32</v>
      </c>
      <c r="E14" s="39" t="n">
        <f aca="false">(B14*D14-DCF!$B$31)/Assumptions!$B$37</f>
        <v>48.5963346475109</v>
      </c>
      <c r="F14" s="39" t="n">
        <f aca="false">(C14*D14-DCF!$B$31)/Assumptions!$B$37</f>
        <v>79.2051151353157</v>
      </c>
    </row>
    <row r="15" customFormat="false" ht="15" hidden="false" customHeight="false" outlineLevel="0" collapsed="false">
      <c r="A15" s="3" t="s">
        <v>297</v>
      </c>
      <c r="B15" s="16" t="n">
        <v>8</v>
      </c>
      <c r="C15" s="16" t="n">
        <v>12</v>
      </c>
      <c r="D15" s="17" t="n">
        <v>6.15</v>
      </c>
      <c r="E15" s="39" t="n">
        <f aca="false">B15*D15</f>
        <v>49.2</v>
      </c>
      <c r="F15" s="39" t="n">
        <f aca="false">C15*D15</f>
        <v>73.8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298</v>
      </c>
    </row>
    <row r="4" customFormat="false" ht="15" hidden="false" customHeight="false" outlineLevel="0" collapsed="false">
      <c r="A4" s="10" t="s">
        <v>299</v>
      </c>
      <c r="B4" s="10" t="s">
        <v>300</v>
      </c>
      <c r="C4" s="10" t="s">
        <v>301</v>
      </c>
      <c r="D4" s="10" t="s">
        <v>302</v>
      </c>
      <c r="E4" s="10" t="s">
        <v>274</v>
      </c>
      <c r="F4" s="10" t="s">
        <v>275</v>
      </c>
    </row>
    <row r="5" customFormat="false" ht="15" hidden="false" customHeight="false" outlineLevel="0" collapsed="false">
      <c r="A5" s="3" t="s">
        <v>303</v>
      </c>
      <c r="B5" s="3" t="s">
        <v>304</v>
      </c>
      <c r="C5" s="3" t="s">
        <v>305</v>
      </c>
      <c r="D5" s="18" t="n">
        <v>16500</v>
      </c>
      <c r="E5" s="45" t="n">
        <v>13</v>
      </c>
      <c r="F5" s="13" t="s">
        <v>306</v>
      </c>
    </row>
    <row r="6" customFormat="false" ht="15" hidden="false" customHeight="false" outlineLevel="0" collapsed="false">
      <c r="A6" s="3" t="s">
        <v>307</v>
      </c>
      <c r="B6" s="3" t="s">
        <v>276</v>
      </c>
      <c r="C6" s="3" t="s">
        <v>308</v>
      </c>
      <c r="D6" s="18" t="n">
        <v>6000</v>
      </c>
      <c r="E6" s="45" t="n">
        <v>6.5</v>
      </c>
      <c r="F6" s="13" t="s">
        <v>309</v>
      </c>
    </row>
    <row r="7" customFormat="false" ht="15" hidden="false" customHeight="false" outlineLevel="0" collapsed="false">
      <c r="A7" s="3" t="s">
        <v>310</v>
      </c>
      <c r="B7" s="3" t="s">
        <v>311</v>
      </c>
      <c r="C7" s="3" t="s">
        <v>312</v>
      </c>
      <c r="D7" s="18" t="n">
        <v>6500</v>
      </c>
      <c r="E7" s="45" t="n">
        <v>12</v>
      </c>
      <c r="F7" s="13" t="s">
        <v>313</v>
      </c>
    </row>
    <row r="8" customFormat="false" ht="15" hidden="false" customHeight="false" outlineLevel="0" collapsed="false">
      <c r="A8" s="3" t="s">
        <v>314</v>
      </c>
      <c r="B8" s="3" t="s">
        <v>315</v>
      </c>
      <c r="C8" s="3" t="s">
        <v>316</v>
      </c>
      <c r="D8" s="18" t="n">
        <v>1800</v>
      </c>
      <c r="E8" s="45" t="n">
        <v>12</v>
      </c>
      <c r="F8" s="13" t="s">
        <v>313</v>
      </c>
    </row>
    <row r="9" customFormat="false" ht="15" hidden="false" customHeight="false" outlineLevel="0" collapsed="false">
      <c r="A9" s="3" t="s">
        <v>317</v>
      </c>
      <c r="B9" s="3" t="s">
        <v>318</v>
      </c>
      <c r="C9" s="3" t="s">
        <v>319</v>
      </c>
      <c r="D9" s="18" t="n">
        <v>8400</v>
      </c>
      <c r="E9" s="45" t="n">
        <v>14</v>
      </c>
      <c r="F9" s="13" t="s">
        <v>320</v>
      </c>
    </row>
    <row r="10" customFormat="false" ht="15" hidden="false" customHeight="false" outlineLevel="0" collapsed="false">
      <c r="A10" s="7" t="s">
        <v>321</v>
      </c>
      <c r="E10" s="46" t="n">
        <f aca="false">MEDIAN(E5:E9)</f>
        <v>12</v>
      </c>
    </row>
    <row r="12" customFormat="false" ht="15" hidden="false" customHeight="false" outlineLevel="0" collapsed="false">
      <c r="A12" s="5" t="s">
        <v>322</v>
      </c>
    </row>
    <row r="13" customFormat="false" ht="15" hidden="false" customHeight="false" outlineLevel="0" collapsed="false">
      <c r="A13" s="13" t="s">
        <v>323</v>
      </c>
    </row>
    <row r="14" customFormat="false" ht="15" hidden="false" customHeight="false" outlineLevel="0" collapsed="false">
      <c r="A14" s="10"/>
      <c r="B14" s="10" t="s">
        <v>324</v>
      </c>
      <c r="C14" s="10" t="s">
        <v>325</v>
      </c>
    </row>
    <row r="15" customFormat="false" ht="15" hidden="false" customHeight="false" outlineLevel="0" collapsed="false">
      <c r="A15" s="3" t="s">
        <v>326</v>
      </c>
      <c r="B15" s="16" t="n">
        <v>8</v>
      </c>
      <c r="C15" s="16" t="n">
        <v>11</v>
      </c>
    </row>
    <row r="16" customFormat="false" ht="15" hidden="false" customHeight="false" outlineLevel="0" collapsed="false">
      <c r="A16" s="3" t="s">
        <v>327</v>
      </c>
      <c r="B16" s="24" t="n">
        <f aca="false">B15*Model_3S!C22</f>
        <v>3346.56</v>
      </c>
      <c r="C16" s="24" t="n">
        <f aca="false">C15*Model_3S!C22</f>
        <v>4601.52</v>
      </c>
    </row>
    <row r="17" customFormat="false" ht="15" hidden="false" customHeight="false" outlineLevel="0" collapsed="false">
      <c r="A17" s="7" t="s">
        <v>262</v>
      </c>
      <c r="B17" s="39" t="n">
        <f aca="false">(B16-DCF!$B$31)/Assumptions!$B$37</f>
        <v>58.7992614767792</v>
      </c>
      <c r="C17" s="39" t="n">
        <f aca="false">(C16-DCF!$B$31)/Assumptions!$B$37</f>
        <v>89.408041964584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328</v>
      </c>
    </row>
    <row r="2" customFormat="false" ht="15" hidden="false" customHeight="false" outlineLevel="0" collapsed="false">
      <c r="A2" s="13" t="s">
        <v>329</v>
      </c>
    </row>
    <row r="4" customFormat="false" ht="15" hidden="false" customHeight="false" outlineLevel="0" collapsed="false">
      <c r="A4" s="5" t="s">
        <v>330</v>
      </c>
    </row>
    <row r="5" customFormat="false" ht="15" hidden="false" customHeight="false" outlineLevel="0" collapsed="false">
      <c r="A5" s="3" t="s">
        <v>331</v>
      </c>
      <c r="B5" s="11" t="n">
        <v>0.25</v>
      </c>
    </row>
    <row r="6" customFormat="false" ht="15" hidden="false" customHeight="false" outlineLevel="0" collapsed="false">
      <c r="A6" s="3" t="s">
        <v>332</v>
      </c>
      <c r="B6" s="39" t="n">
        <f aca="false">Assumptions!B49*(1+B5)</f>
        <v>49.475</v>
      </c>
    </row>
    <row r="7" customFormat="false" ht="15" hidden="false" customHeight="false" outlineLevel="0" collapsed="false">
      <c r="A7" s="3" t="s">
        <v>255</v>
      </c>
      <c r="B7" s="38" t="n">
        <f aca="false">Assumptions!B37</f>
        <v>41</v>
      </c>
    </row>
    <row r="8" customFormat="false" ht="15" hidden="false" customHeight="false" outlineLevel="0" collapsed="false">
      <c r="A8" s="3" t="s">
        <v>333</v>
      </c>
      <c r="B8" s="24" t="n">
        <f aca="false">B6*B7</f>
        <v>2028.475</v>
      </c>
    </row>
    <row r="9" customFormat="false" ht="15" hidden="false" customHeight="false" outlineLevel="0" collapsed="false">
      <c r="A9" s="3" t="s">
        <v>334</v>
      </c>
      <c r="B9" s="21" t="n">
        <f aca="false">DCF!B31</f>
        <v>935.790279452055</v>
      </c>
    </row>
    <row r="10" customFormat="false" ht="15" hidden="false" customHeight="false" outlineLevel="0" collapsed="false">
      <c r="A10" s="3" t="s">
        <v>335</v>
      </c>
      <c r="B10" s="23" t="n">
        <f aca="false">B8+B9</f>
        <v>2964.26527945205</v>
      </c>
    </row>
    <row r="11" customFormat="false" ht="15" hidden="false" customHeight="false" outlineLevel="0" collapsed="false">
      <c r="A11" s="3" t="s">
        <v>336</v>
      </c>
      <c r="B11" s="11" t="n">
        <v>0.02</v>
      </c>
    </row>
    <row r="12" customFormat="false" ht="15" hidden="false" customHeight="false" outlineLevel="0" collapsed="false">
      <c r="A12" s="3" t="s">
        <v>337</v>
      </c>
      <c r="B12" s="21" t="n">
        <f aca="false">Model_3S!C22</f>
        <v>418.32</v>
      </c>
    </row>
    <row r="13" customFormat="false" ht="15" hidden="false" customHeight="false" outlineLevel="0" collapsed="false">
      <c r="A13" s="25" t="s">
        <v>338</v>
      </c>
      <c r="B13" s="36" t="n">
        <f aca="false">B10/B12</f>
        <v>7.0861189506886</v>
      </c>
    </row>
    <row r="14" customFormat="false" ht="15" hidden="false" customHeight="false" outlineLevel="0" collapsed="false">
      <c r="A14" s="10" t="s">
        <v>339</v>
      </c>
      <c r="B14" s="10" t="s">
        <v>340</v>
      </c>
      <c r="C14" s="10" t="s">
        <v>341</v>
      </c>
      <c r="D14" s="10" t="s">
        <v>342</v>
      </c>
    </row>
    <row r="15" customFormat="false" ht="15" hidden="false" customHeight="false" outlineLevel="0" collapsed="false">
      <c r="A15" s="3" t="s">
        <v>343</v>
      </c>
      <c r="B15" s="16" t="n">
        <v>4</v>
      </c>
      <c r="C15" s="11" t="n">
        <v>0.08</v>
      </c>
      <c r="D15" s="24" t="n">
        <f aca="false">B15*$B$12</f>
        <v>1673.28</v>
      </c>
    </row>
    <row r="16" customFormat="false" ht="15" hidden="false" customHeight="false" outlineLevel="0" collapsed="false">
      <c r="A16" s="3" t="s">
        <v>344</v>
      </c>
      <c r="B16" s="16" t="n">
        <v>1.5</v>
      </c>
      <c r="C16" s="11" t="n">
        <v>0.095</v>
      </c>
      <c r="D16" s="24" t="n">
        <f aca="false">B16*$B$12</f>
        <v>627.48</v>
      </c>
    </row>
    <row r="17" customFormat="false" ht="15" hidden="false" customHeight="false" outlineLevel="0" collapsed="false">
      <c r="A17" s="7" t="s">
        <v>345</v>
      </c>
      <c r="B17" s="46" t="n">
        <f aca="false">B15+B16</f>
        <v>5.5</v>
      </c>
      <c r="D17" s="23" t="n">
        <f aca="false">D15+D16</f>
        <v>2300.76</v>
      </c>
    </row>
    <row r="18" customFormat="false" ht="15" hidden="false" customHeight="false" outlineLevel="0" collapsed="false">
      <c r="A18" s="7" t="s">
        <v>346</v>
      </c>
      <c r="B18" s="23" t="n">
        <f aca="false">B10*(1+B11)-D17</f>
        <v>722.790585041095</v>
      </c>
    </row>
    <row r="20" customFormat="false" ht="15" hidden="false" customHeight="false" outlineLevel="0" collapsed="false">
      <c r="A20" s="5" t="s">
        <v>347</v>
      </c>
    </row>
    <row r="21" customFormat="false" ht="15" hidden="false" customHeight="false" outlineLevel="0" collapsed="false">
      <c r="A21" s="10"/>
      <c r="B21" s="10" t="s">
        <v>134</v>
      </c>
      <c r="C21" s="10" t="s">
        <v>135</v>
      </c>
      <c r="D21" s="10" t="s">
        <v>136</v>
      </c>
      <c r="E21" s="10" t="s">
        <v>137</v>
      </c>
      <c r="F21" s="10" t="s">
        <v>138</v>
      </c>
    </row>
    <row r="22" customFormat="false" ht="15" hidden="false" customHeight="false" outlineLevel="0" collapsed="false">
      <c r="A22" s="3" t="s">
        <v>348</v>
      </c>
      <c r="B22" s="21" t="n">
        <f aca="false">DCF!B10</f>
        <v>282.150798644343</v>
      </c>
      <c r="C22" s="21" t="n">
        <f aca="false">DCF!C10</f>
        <v>291.690373710441</v>
      </c>
      <c r="D22" s="21" t="n">
        <f aca="false">DCF!D10</f>
        <v>300.76428959726</v>
      </c>
      <c r="E22" s="21" t="n">
        <f aca="false">DCF!E10</f>
        <v>309.308969331288</v>
      </c>
      <c r="F22" s="21" t="n">
        <f aca="false">DCF!F10</f>
        <v>317.263031170219</v>
      </c>
    </row>
    <row r="23" customFormat="false" ht="15" hidden="false" customHeight="false" outlineLevel="0" collapsed="false">
      <c r="A23" s="3" t="s">
        <v>349</v>
      </c>
      <c r="B23" s="24" t="n">
        <f aca="false">-$D$15*$C$15</f>
        <v>-133.8624</v>
      </c>
      <c r="C23" s="24" t="n">
        <f aca="false">-B29*$C$15</f>
        <v>-123.208272908453</v>
      </c>
      <c r="D23" s="24" t="n">
        <f aca="false">-C29*$C$15</f>
        <v>-111.134685582778</v>
      </c>
      <c r="E23" s="24" t="n">
        <f aca="false">-D29*$C$15</f>
        <v>-97.5914520068962</v>
      </c>
      <c r="F23" s="24" t="n">
        <f aca="false">-E29*$C$15</f>
        <v>-82.530380864018</v>
      </c>
    </row>
    <row r="24" customFormat="false" ht="15" hidden="false" customHeight="false" outlineLevel="0" collapsed="false">
      <c r="A24" s="3" t="s">
        <v>350</v>
      </c>
      <c r="B24" s="24" t="n">
        <f aca="false">-$D$16*$C$16</f>
        <v>-59.6106</v>
      </c>
      <c r="C24" s="24" t="n">
        <f aca="false">-$D$16*$C$16</f>
        <v>-59.6106</v>
      </c>
      <c r="D24" s="24" t="n">
        <f aca="false">-$D$16*$C$16</f>
        <v>-59.6106</v>
      </c>
      <c r="E24" s="24" t="n">
        <f aca="false">-$D$16*$C$16</f>
        <v>-59.6106</v>
      </c>
      <c r="F24" s="24" t="n">
        <f aca="false">-$D$16*$C$16</f>
        <v>-59.6106</v>
      </c>
    </row>
    <row r="25" customFormat="false" ht="15" hidden="false" customHeight="false" outlineLevel="0" collapsed="false">
      <c r="A25" s="3" t="s">
        <v>351</v>
      </c>
      <c r="B25" s="24" t="n">
        <f aca="false">-(B23+B24)*Assumptions!$B$38</f>
        <v>44.49879</v>
      </c>
      <c r="C25" s="24" t="n">
        <f aca="false">-(C23+C24)*Assumptions!$B$38</f>
        <v>42.0483407689441</v>
      </c>
      <c r="D25" s="24" t="n">
        <f aca="false">-(D23+D24)*Assumptions!$B$38</f>
        <v>39.2714156840389</v>
      </c>
      <c r="E25" s="24" t="n">
        <f aca="false">-(E23+E24)*Assumptions!$B$38</f>
        <v>36.1564719615861</v>
      </c>
      <c r="F25" s="24" t="n">
        <f aca="false">-(F23+F24)*Assumptions!$B$38</f>
        <v>32.6924255987241</v>
      </c>
    </row>
    <row r="26" customFormat="false" ht="15" hidden="false" customHeight="false" outlineLevel="0" collapsed="false">
      <c r="A26" s="3" t="s">
        <v>352</v>
      </c>
      <c r="B26" s="24" t="n">
        <f aca="false">MAX(0,B22+B23+B24+B25)</f>
        <v>133.176588644343</v>
      </c>
      <c r="C26" s="24" t="n">
        <f aca="false">MAX(0,C22+C23+C24+C25)</f>
        <v>150.919841570933</v>
      </c>
      <c r="D26" s="24" t="n">
        <f aca="false">MAX(0,D22+D23+D24+D25)</f>
        <v>169.290419698521</v>
      </c>
      <c r="E26" s="24" t="n">
        <f aca="false">MAX(0,E22+E23+E24+E25)</f>
        <v>188.263389285978</v>
      </c>
      <c r="F26" s="24" t="n">
        <f aca="false">MAX(0,F22+F23+F24+F25)</f>
        <v>207.814475904925</v>
      </c>
    </row>
    <row r="27" customFormat="false" ht="15" hidden="false" customHeight="false" outlineLevel="0" collapsed="false">
      <c r="A27" s="3" t="s">
        <v>353</v>
      </c>
      <c r="B27" s="24" t="n">
        <f aca="false">$D$15</f>
        <v>1673.28</v>
      </c>
      <c r="C27" s="24" t="n">
        <f aca="false">B29</f>
        <v>1540.10341135566</v>
      </c>
      <c r="D27" s="24" t="n">
        <f aca="false">C29</f>
        <v>1389.18356978472</v>
      </c>
      <c r="E27" s="24" t="n">
        <f aca="false">D29</f>
        <v>1219.8931500862</v>
      </c>
      <c r="F27" s="24" t="n">
        <f aca="false">E29</f>
        <v>1031.62976080022</v>
      </c>
    </row>
    <row r="28" customFormat="false" ht="15" hidden="false" customHeight="false" outlineLevel="0" collapsed="false">
      <c r="A28" s="3" t="s">
        <v>354</v>
      </c>
      <c r="B28" s="24" t="n">
        <f aca="false">-MIN(B27,B26)</f>
        <v>-133.176588644343</v>
      </c>
      <c r="C28" s="24" t="n">
        <f aca="false">-MIN(C27,C26)</f>
        <v>-150.919841570933</v>
      </c>
      <c r="D28" s="24" t="n">
        <f aca="false">-MIN(D27,D26)</f>
        <v>-169.290419698521</v>
      </c>
      <c r="E28" s="24" t="n">
        <f aca="false">-MIN(E27,E26)</f>
        <v>-188.263389285978</v>
      </c>
      <c r="F28" s="24" t="n">
        <f aca="false">-MIN(F27,F26)</f>
        <v>-207.814475904925</v>
      </c>
    </row>
    <row r="29" customFormat="false" ht="15" hidden="false" customHeight="false" outlineLevel="0" collapsed="false">
      <c r="A29" s="3" t="s">
        <v>355</v>
      </c>
      <c r="B29" s="24" t="n">
        <f aca="false">B27+B28</f>
        <v>1540.10341135566</v>
      </c>
      <c r="C29" s="24" t="n">
        <f aca="false">C27+C28</f>
        <v>1389.18356978472</v>
      </c>
      <c r="D29" s="24" t="n">
        <f aca="false">D27+D28</f>
        <v>1219.8931500862</v>
      </c>
      <c r="E29" s="24" t="n">
        <f aca="false">E27+E28</f>
        <v>1031.62976080022</v>
      </c>
      <c r="F29" s="24" t="n">
        <f aca="false">F27+F28</f>
        <v>823.8152848953</v>
      </c>
    </row>
    <row r="30" customFormat="false" ht="15" hidden="false" customHeight="false" outlineLevel="0" collapsed="false">
      <c r="A30" s="3" t="s">
        <v>356</v>
      </c>
      <c r="B30" s="24" t="n">
        <f aca="false">$D$16</f>
        <v>627.48</v>
      </c>
      <c r="C30" s="24" t="n">
        <f aca="false">$D$16</f>
        <v>627.48</v>
      </c>
      <c r="D30" s="24" t="n">
        <f aca="false">$D$16</f>
        <v>627.48</v>
      </c>
      <c r="E30" s="24" t="n">
        <f aca="false">$D$16</f>
        <v>627.48</v>
      </c>
      <c r="F30" s="24" t="n">
        <f aca="false">$D$16</f>
        <v>627.48</v>
      </c>
    </row>
    <row r="31" customFormat="false" ht="15" hidden="false" customHeight="false" outlineLevel="0" collapsed="false">
      <c r="A31" s="7" t="s">
        <v>188</v>
      </c>
      <c r="B31" s="23" t="n">
        <f aca="false">B29+B30</f>
        <v>2167.58341135566</v>
      </c>
      <c r="C31" s="23" t="n">
        <f aca="false">C29+C30</f>
        <v>2016.66356978472</v>
      </c>
      <c r="D31" s="23" t="n">
        <f aca="false">D29+D30</f>
        <v>1847.3731500862</v>
      </c>
      <c r="E31" s="23" t="n">
        <f aca="false">E29+E30</f>
        <v>1659.10976080022</v>
      </c>
      <c r="F31" s="23" t="n">
        <f aca="false">F29+F30</f>
        <v>1451.2952848953</v>
      </c>
    </row>
    <row r="33" customFormat="false" ht="15" hidden="false" customHeight="false" outlineLevel="0" collapsed="false">
      <c r="A33" s="5" t="s">
        <v>357</v>
      </c>
    </row>
    <row r="34" customFormat="false" ht="15" hidden="false" customHeight="false" outlineLevel="0" collapsed="false">
      <c r="A34" s="3" t="s">
        <v>358</v>
      </c>
      <c r="B34" s="21" t="n">
        <f aca="false">Model_3S!H22</f>
        <v>485.797151163795</v>
      </c>
    </row>
    <row r="35" customFormat="false" ht="15" hidden="false" customHeight="false" outlineLevel="0" collapsed="false">
      <c r="A35" s="3" t="s">
        <v>359</v>
      </c>
      <c r="B35" s="16" t="n">
        <v>8</v>
      </c>
    </row>
    <row r="36" customFormat="false" ht="15" hidden="false" customHeight="false" outlineLevel="0" collapsed="false">
      <c r="A36" s="3" t="s">
        <v>360</v>
      </c>
      <c r="B36" s="24" t="n">
        <f aca="false">B34*B35</f>
        <v>3886.37720931036</v>
      </c>
    </row>
    <row r="37" customFormat="false" ht="15" hidden="false" customHeight="false" outlineLevel="0" collapsed="false">
      <c r="A37" s="3" t="s">
        <v>361</v>
      </c>
      <c r="B37" s="24" t="n">
        <f aca="false">-F31</f>
        <v>-1451.2952848953</v>
      </c>
    </row>
    <row r="38" customFormat="false" ht="15" hidden="false" customHeight="false" outlineLevel="0" collapsed="false">
      <c r="A38" s="7" t="s">
        <v>362</v>
      </c>
      <c r="B38" s="23" t="n">
        <f aca="false">B36+B37</f>
        <v>2435.08192441506</v>
      </c>
    </row>
    <row r="39" customFormat="false" ht="15" hidden="false" customHeight="false" outlineLevel="0" collapsed="false">
      <c r="A39" s="7" t="s">
        <v>363</v>
      </c>
      <c r="B39" s="46" t="n">
        <f aca="false">B38/B18</f>
        <v>3.36900061347176</v>
      </c>
    </row>
    <row r="40" customFormat="false" ht="15" hidden="false" customHeight="false" outlineLevel="0" collapsed="false">
      <c r="A40" s="7" t="s">
        <v>364</v>
      </c>
      <c r="B40" s="12" t="n">
        <f aca="false">(B38/B18)^(1/5)-1</f>
        <v>0.274970739969474</v>
      </c>
    </row>
    <row r="42" customFormat="false" ht="15" hidden="false" customHeight="false" outlineLevel="0" collapsed="false">
      <c r="A42" s="5" t="s">
        <v>365</v>
      </c>
    </row>
    <row r="43" customFormat="false" ht="15" hidden="false" customHeight="false" outlineLevel="0" collapsed="false">
      <c r="A43" s="10" t="s">
        <v>366</v>
      </c>
      <c r="B43" s="10" t="s">
        <v>367</v>
      </c>
      <c r="C43" s="10" t="s">
        <v>368</v>
      </c>
      <c r="D43" s="10" t="s">
        <v>369</v>
      </c>
      <c r="E43" s="10" t="s">
        <v>370</v>
      </c>
    </row>
    <row r="44" customFormat="false" ht="15" hidden="false" customHeight="false" outlineLevel="0" collapsed="false">
      <c r="A44" s="11" t="n">
        <v>0.15</v>
      </c>
      <c r="B44" s="24" t="n">
        <f aca="false">$B$38/(1+A44)^5</f>
        <v>1210.66608136456</v>
      </c>
      <c r="C44" s="24" t="n">
        <f aca="false">(B44+$D$17)/(1+$B$11)</f>
        <v>3442.5745895731</v>
      </c>
      <c r="D44" s="39" t="n">
        <f aca="false">(C44-$B$9)/$B$7</f>
        <v>61.1410807346595</v>
      </c>
      <c r="E44" s="27" t="n">
        <f aca="false">D44/Assumptions!$B$49-1</f>
        <v>0.544746860400695</v>
      </c>
    </row>
    <row r="45" customFormat="false" ht="15" hidden="false" customHeight="false" outlineLevel="0" collapsed="false">
      <c r="A45" s="11" t="n">
        <v>0.2</v>
      </c>
      <c r="B45" s="24" t="n">
        <f aca="false">$B$38/(1+A45)^5</f>
        <v>978.604811445096</v>
      </c>
      <c r="C45" s="24" t="n">
        <f aca="false">(B45+$D$17)/(1+$B$11)</f>
        <v>3215.06354063245</v>
      </c>
      <c r="D45" s="39" t="n">
        <f aca="false">(C45-$B$9)/$B$7</f>
        <v>55.5920307604974</v>
      </c>
      <c r="E45" s="27" t="n">
        <f aca="false">D45/Assumptions!$B$49-1</f>
        <v>0.404548528562339</v>
      </c>
    </row>
    <row r="46" customFormat="false" ht="15" hidden="false" customHeight="false" outlineLevel="0" collapsed="false">
      <c r="A46" s="11" t="n">
        <v>0.25</v>
      </c>
      <c r="B46" s="24" t="n">
        <f aca="false">$B$38/(1+A46)^5</f>
        <v>797.927644992327</v>
      </c>
      <c r="C46" s="24" t="n">
        <f aca="false">(B46+$D$17)/(1+$B$11)</f>
        <v>3037.92906371797</v>
      </c>
      <c r="D46" s="39" t="n">
        <f aca="false">(C46-$B$9)/$B$7</f>
        <v>51.2716776650223</v>
      </c>
      <c r="E46" s="27" t="n">
        <f aca="false">D46/Assumptions!$B$49-1</f>
        <v>0.295393574154176</v>
      </c>
    </row>
    <row r="47" customFormat="false" ht="15" hidden="false" customHeight="false" outlineLevel="0" collapsed="false">
      <c r="A47" s="11" t="n">
        <v>0.3</v>
      </c>
      <c r="B47" s="24" t="n">
        <f aca="false">$B$38/(1+A47)^5</f>
        <v>655.838360651847</v>
      </c>
      <c r="C47" s="24" t="n">
        <f aca="false">(B47+$D$17)/(1+$B$11)</f>
        <v>2898.62584377632</v>
      </c>
      <c r="D47" s="39" t="n">
        <f aca="false">(C47-$B$9)/$B$7</f>
        <v>47.8740381542504</v>
      </c>
      <c r="E47" s="27" t="n">
        <f aca="false">D47/Assumptions!$B$49-1</f>
        <v>0.209551241896169</v>
      </c>
    </row>
    <row r="49" customFormat="false" ht="15" hidden="false" customHeight="false" outlineLevel="0" collapsed="false">
      <c r="A49" s="13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372</v>
      </c>
    </row>
    <row r="4" customFormat="false" ht="15" hidden="false" customHeight="false" outlineLevel="0" collapsed="false">
      <c r="A4" s="5" t="s">
        <v>373</v>
      </c>
    </row>
    <row r="5" customFormat="false" ht="15" hidden="false" customHeight="false" outlineLevel="0" collapsed="false">
      <c r="A5" s="10" t="s">
        <v>374</v>
      </c>
      <c r="B5" s="10" t="s">
        <v>375</v>
      </c>
      <c r="C5" s="10" t="s">
        <v>376</v>
      </c>
    </row>
    <row r="6" customFormat="false" ht="15" hidden="false" customHeight="false" outlineLevel="0" collapsed="false">
      <c r="A6" s="3" t="s">
        <v>63</v>
      </c>
      <c r="B6" s="20" t="n">
        <f aca="false">Assumptions!E12</f>
        <v>0.03</v>
      </c>
      <c r="C6" s="11" t="n">
        <v>0.025</v>
      </c>
    </row>
    <row r="7" customFormat="false" ht="15" hidden="false" customHeight="false" outlineLevel="0" collapsed="false">
      <c r="A7" s="3" t="s">
        <v>377</v>
      </c>
      <c r="B7" s="20" t="n">
        <f aca="false">Assumptions!F17-Assumptions!F18</f>
        <v>0.44</v>
      </c>
      <c r="C7" s="11" t="n">
        <v>0.025</v>
      </c>
    </row>
    <row r="8" customFormat="false" ht="15" hidden="false" customHeight="false" outlineLevel="0" collapsed="false">
      <c r="A8" s="3" t="s">
        <v>9</v>
      </c>
      <c r="B8" s="47" t="n">
        <f aca="false">WACC!B20</f>
        <v>0.080614</v>
      </c>
      <c r="C8" s="29" t="n">
        <v>0.0075</v>
      </c>
    </row>
    <row r="9" customFormat="false" ht="15" hidden="false" customHeight="false" outlineLevel="0" collapsed="false">
      <c r="A9" s="3" t="s">
        <v>359</v>
      </c>
      <c r="B9" s="37" t="n">
        <f aca="false">Assumptions!B48</f>
        <v>8</v>
      </c>
      <c r="C9" s="16" t="n">
        <v>1.5</v>
      </c>
    </row>
    <row r="11" customFormat="false" ht="15" hidden="false" customHeight="false" outlineLevel="0" collapsed="false">
      <c r="A11" s="5" t="s">
        <v>378</v>
      </c>
    </row>
    <row r="12" customFormat="false" ht="15" hidden="false" customHeight="false" outlineLevel="0" collapsed="false">
      <c r="A12" s="3" t="s">
        <v>379</v>
      </c>
      <c r="B12" s="21" t="n">
        <f aca="false">Model_3S!L22</f>
        <v>523.64298493147</v>
      </c>
    </row>
    <row r="13" customFormat="false" ht="15" hidden="false" customHeight="false" outlineLevel="0" collapsed="false">
      <c r="A13" s="3" t="s">
        <v>380</v>
      </c>
      <c r="B13" s="21" t="n">
        <f aca="false">DCF!B15</f>
        <v>2015.83921096718</v>
      </c>
    </row>
    <row r="14" customFormat="false" ht="15" hidden="false" customHeight="false" outlineLevel="0" collapsed="false">
      <c r="A14" s="3" t="s">
        <v>381</v>
      </c>
      <c r="B14" s="21" t="n">
        <f aca="false">DCF!B31</f>
        <v>935.790279452055</v>
      </c>
    </row>
    <row r="15" customFormat="false" ht="15" hidden="false" customHeight="false" outlineLevel="0" collapsed="false">
      <c r="A15" s="3" t="s">
        <v>255</v>
      </c>
      <c r="B15" s="38" t="n">
        <f aca="false">Assumptions!B37</f>
        <v>41</v>
      </c>
    </row>
    <row r="16" customFormat="false" ht="15" hidden="false" customHeight="false" outlineLevel="0" collapsed="false">
      <c r="A16" s="3" t="s">
        <v>382</v>
      </c>
      <c r="B16" s="48" t="n">
        <f aca="false">Assumptions!B49</f>
        <v>39.58</v>
      </c>
    </row>
    <row r="17" customFormat="false" ht="15" hidden="false" customHeight="false" outlineLevel="0" collapsed="false">
      <c r="A17" s="3" t="s">
        <v>383</v>
      </c>
      <c r="B17" s="20" t="n">
        <f aca="false">Assumptions!E13</f>
        <v>0.01</v>
      </c>
    </row>
    <row r="18" customFormat="false" ht="15" hidden="false" customHeight="false" outlineLevel="0" collapsed="false">
      <c r="A18" s="3" t="s">
        <v>384</v>
      </c>
      <c r="B18" s="21" t="n">
        <f aca="false">Model_3S!C18</f>
        <v>996</v>
      </c>
    </row>
    <row r="20" customFormat="false" ht="15" hidden="false" customHeight="false" outlineLevel="0" collapsed="false">
      <c r="A20" s="5" t="s">
        <v>385</v>
      </c>
    </row>
    <row r="21" customFormat="false" ht="15" hidden="false" customHeight="false" outlineLevel="0" collapsed="false">
      <c r="A21" s="7" t="s">
        <v>386</v>
      </c>
      <c r="B21" s="39" t="n">
        <f aca="false">AVERAGE($K$41:$K$540)</f>
        <v>77.0106355871046</v>
      </c>
    </row>
    <row r="22" customFormat="false" ht="15" hidden="false" customHeight="false" outlineLevel="0" collapsed="false">
      <c r="A22" s="3" t="s">
        <v>387</v>
      </c>
      <c r="B22" s="43" t="n">
        <f aca="false">MEDIAN($K$41:$K$540)</f>
        <v>75.5238606446111</v>
      </c>
    </row>
    <row r="23" customFormat="false" ht="15" hidden="false" customHeight="false" outlineLevel="0" collapsed="false">
      <c r="A23" s="3" t="s">
        <v>388</v>
      </c>
      <c r="B23" s="43" t="n">
        <f aca="false">STDEV($K$41:$K$540)</f>
        <v>17.0134193345476</v>
      </c>
    </row>
    <row r="24" customFormat="false" ht="15" hidden="false" customHeight="false" outlineLevel="0" collapsed="false">
      <c r="A24" s="3" t="s">
        <v>389</v>
      </c>
      <c r="B24" s="43" t="n">
        <f aca="false">PERCENTILE($K$41:$K$540,0.05)</f>
        <v>51.4144233524377</v>
      </c>
    </row>
    <row r="25" customFormat="false" ht="15" hidden="false" customHeight="false" outlineLevel="0" collapsed="false">
      <c r="A25" s="3" t="s">
        <v>390</v>
      </c>
      <c r="B25" s="43" t="n">
        <f aca="false">PERCENTILE($K$41:$K$540,0.25)</f>
        <v>64.9231825174034</v>
      </c>
    </row>
    <row r="26" customFormat="false" ht="15" hidden="false" customHeight="false" outlineLevel="0" collapsed="false">
      <c r="A26" s="3" t="s">
        <v>391</v>
      </c>
      <c r="B26" s="43" t="n">
        <f aca="false">PERCENTILE($K$41:$K$540,0.75)</f>
        <v>87.4440502802747</v>
      </c>
    </row>
    <row r="27" customFormat="false" ht="15" hidden="false" customHeight="false" outlineLevel="0" collapsed="false">
      <c r="A27" s="3" t="s">
        <v>392</v>
      </c>
      <c r="B27" s="43" t="n">
        <f aca="false">PERCENTILE($K$41:$K$540,0.95)</f>
        <v>105.948243324591</v>
      </c>
    </row>
    <row r="28" customFormat="false" ht="15" hidden="false" customHeight="false" outlineLevel="0" collapsed="false">
      <c r="A28" s="7" t="s">
        <v>393</v>
      </c>
      <c r="B28" s="12" t="n">
        <f aca="false">COUNTIF($K$41:$K$540,"&gt;"&amp;B16)/500</f>
        <v>0.998</v>
      </c>
    </row>
    <row r="30" customFormat="false" ht="15" hidden="false" customHeight="false" outlineLevel="0" collapsed="false">
      <c r="A30" s="5" t="s">
        <v>394</v>
      </c>
    </row>
    <row r="31" customFormat="false" ht="15" hidden="false" customHeight="false" outlineLevel="0" collapsed="false">
      <c r="A31" s="10" t="s">
        <v>395</v>
      </c>
      <c r="B31" s="10" t="s">
        <v>59</v>
      </c>
      <c r="C31" s="10" t="s">
        <v>396</v>
      </c>
    </row>
    <row r="32" customFormat="false" ht="15" hidden="false" customHeight="false" outlineLevel="0" collapsed="false">
      <c r="A32" s="3" t="s">
        <v>55</v>
      </c>
      <c r="B32" s="20" t="n">
        <f aca="false">Assumptions!B8</f>
        <v>0.45</v>
      </c>
      <c r="C32" s="39" t="n">
        <f aca="false">($B$13*($B$18*(1+(Assumptions!B12+Assumptions!B13)/2)^9*(Assumptions!C17-Assumptions!C18))/$B$12+Assumptions!$B$48*($B$18*(1+(Assumptions!B12+Assumptions!B13)/2)^9*(Assumptions!C17-Assumptions!C18))/(1+$B$8)^9-$B$14)/$B$15</f>
        <v>77.2124588425497</v>
      </c>
    </row>
    <row r="33" customFormat="false" ht="15" hidden="false" customHeight="false" outlineLevel="0" collapsed="false">
      <c r="A33" s="3" t="s">
        <v>56</v>
      </c>
      <c r="B33" s="20" t="n">
        <f aca="false">Assumptions!C8</f>
        <v>0.2</v>
      </c>
      <c r="C33" s="39" t="n">
        <f aca="false">($B$13*($B$18*(1+(Assumptions!C12+Assumptions!C13)/2)^9*(Assumptions!D17-Assumptions!D18))/$B$12+Assumptions!$B$48*($B$18*(1+(Assumptions!C12+Assumptions!C13)/2)^9*(Assumptions!D17-Assumptions!D18))/(1+$B$8)^9-$B$14)/$B$15</f>
        <v>107.22549996635</v>
      </c>
    </row>
    <row r="34" customFormat="false" ht="15" hidden="false" customHeight="false" outlineLevel="0" collapsed="false">
      <c r="A34" s="3" t="s">
        <v>57</v>
      </c>
      <c r="B34" s="20" t="n">
        <f aca="false">Assumptions!D8</f>
        <v>0.35</v>
      </c>
      <c r="C34" s="39" t="n">
        <f aca="false">($B$13*($B$18*(1+(Assumptions!D12+Assumptions!D13)/2)^9*(Assumptions!E17-Assumptions!E18))/$B$12+Assumptions!$B$48*($B$18*(1+(Assumptions!D12+Assumptions!D13)/2)^9*(Assumptions!E17-Assumptions!E18))/(1+$B$8)^9-$B$14)/$B$15</f>
        <v>32.1342312538499</v>
      </c>
    </row>
    <row r="35" customFormat="false" ht="15" hidden="false" customHeight="false" outlineLevel="0" collapsed="false">
      <c r="A35" s="7" t="s">
        <v>397</v>
      </c>
      <c r="C35" s="39" t="n">
        <f aca="false">SUMPRODUCT(B32:B34,C32:C34)</f>
        <v>67.4376874112648</v>
      </c>
    </row>
    <row r="39" customFormat="false" ht="15" hidden="false" customHeight="false" outlineLevel="0" collapsed="false">
      <c r="A39" s="5" t="s">
        <v>398</v>
      </c>
    </row>
    <row r="40" customFormat="false" ht="15" hidden="false" customHeight="false" outlineLevel="0" collapsed="false">
      <c r="A40" s="10" t="s">
        <v>399</v>
      </c>
      <c r="B40" s="10" t="s">
        <v>400</v>
      </c>
      <c r="C40" s="10" t="s">
        <v>401</v>
      </c>
      <c r="D40" s="10" t="s">
        <v>9</v>
      </c>
      <c r="E40" s="10" t="s">
        <v>402</v>
      </c>
      <c r="F40" s="10" t="s">
        <v>403</v>
      </c>
      <c r="G40" s="10" t="s">
        <v>404</v>
      </c>
      <c r="H40" s="10" t="s">
        <v>405</v>
      </c>
      <c r="I40" s="10" t="s">
        <v>406</v>
      </c>
      <c r="J40" s="10" t="s">
        <v>407</v>
      </c>
      <c r="K40" s="10" t="s">
        <v>408</v>
      </c>
      <c r="N40" s="40" t="s">
        <v>409</v>
      </c>
      <c r="O40" s="40" t="s">
        <v>410</v>
      </c>
      <c r="P40" s="40" t="s">
        <v>411</v>
      </c>
      <c r="Q40" s="40" t="s">
        <v>412</v>
      </c>
    </row>
    <row r="41" customFormat="false" ht="15" hidden="false" customHeight="false" outlineLevel="0" collapsed="false">
      <c r="A41" s="49" t="n">
        <v>1</v>
      </c>
      <c r="B41" s="19" t="n">
        <f aca="true">NORMINV(RAND(),$B$6,$C$6)</f>
        <v>0.0173686543607089</v>
      </c>
      <c r="C41" s="19" t="n">
        <f aca="true">MAX(0.3,NORMINV(RAND(),$B$7,$C$7))</f>
        <v>0.436999173922787</v>
      </c>
      <c r="D41" s="32" t="n">
        <f aca="true">MAX(0.06,NORMINV(RAND(),$B$8,$C$8))</f>
        <v>0.0907916430537467</v>
      </c>
      <c r="E41" s="50" t="n">
        <f aca="true">MAX(4,NORMINV(RAND(),$B$9,$C$9))</f>
        <v>7.68711481017638</v>
      </c>
      <c r="F41" s="24" t="n">
        <f aca="false">$B$18*(1+(B41+$B$17)/2)^9</f>
        <v>1125.59958615032</v>
      </c>
      <c r="G41" s="24" t="n">
        <f aca="false">F41*C41</f>
        <v>491.88608931552</v>
      </c>
      <c r="H41" s="24" t="n">
        <f aca="false">E41*G41/(1+D41)^9</f>
        <v>1729.62394987798</v>
      </c>
      <c r="I41" s="24" t="n">
        <f aca="false">$B$13*G41/$B$12*((1+$B$8)/(1+D41))^4.5</f>
        <v>1815.36803695931</v>
      </c>
      <c r="J41" s="24" t="n">
        <f aca="false">H41+I41-$B$14</f>
        <v>2609.20170738524</v>
      </c>
      <c r="K41" s="43" t="n">
        <f aca="false">J41/$B$15</f>
        <v>63.6390660337862</v>
      </c>
      <c r="N41" s="3" t="s">
        <v>413</v>
      </c>
      <c r="O41" s="49" t="n">
        <v>20</v>
      </c>
      <c r="P41" s="49" t="n">
        <v>25</v>
      </c>
      <c r="Q41" s="49" t="n">
        <f aca="false">COUNTIF($K$41:$K$540,"&lt;"&amp;P41)</f>
        <v>0</v>
      </c>
    </row>
    <row r="42" customFormat="false" ht="15" hidden="false" customHeight="false" outlineLevel="0" collapsed="false">
      <c r="A42" s="49" t="n">
        <v>2</v>
      </c>
      <c r="B42" s="19" t="n">
        <f aca="true">NORMINV(RAND(),$B$6,$C$6)</f>
        <v>0.0481087002595271</v>
      </c>
      <c r="C42" s="19" t="n">
        <f aca="true">MAX(0.3,NORMINV(RAND(),$B$7,$C$7))</f>
        <v>0.429426117765854</v>
      </c>
      <c r="D42" s="32" t="n">
        <f aca="true">MAX(0.06,NORMINV(RAND(),$B$8,$C$8))</f>
        <v>0.068928897640463</v>
      </c>
      <c r="E42" s="50" t="n">
        <f aca="true">MAX(4,NORMINV(RAND(),$B$9,$C$9))</f>
        <v>8.21359417710668</v>
      </c>
      <c r="F42" s="24" t="n">
        <f aca="false">$B$18*(1+(B42+$B$17)/2)^9</f>
        <v>1288.85527833543</v>
      </c>
      <c r="G42" s="24" t="n">
        <f aca="false">F42*C42</f>
        <v>553.468118537612</v>
      </c>
      <c r="H42" s="24" t="n">
        <f aca="false">E42*G42/(1+D42)^9</f>
        <v>2495.09156525894</v>
      </c>
      <c r="I42" s="24" t="n">
        <f aca="false">$B$13*G42/$B$12*((1+$B$8)/(1+D42))^4.5</f>
        <v>2237.49040133417</v>
      </c>
      <c r="J42" s="24" t="n">
        <f aca="false">H42+I42-$B$14</f>
        <v>3796.79168714105</v>
      </c>
      <c r="K42" s="43" t="n">
        <f aca="false">J42/$B$15</f>
        <v>92.6046752961233</v>
      </c>
      <c r="N42" s="3" t="s">
        <v>414</v>
      </c>
      <c r="O42" s="49" t="n">
        <v>25</v>
      </c>
      <c r="P42" s="49" t="n">
        <v>30</v>
      </c>
      <c r="Q42" s="49" t="n">
        <f aca="false">COUNTIFS($K$41:$K$540,"&gt;="&amp;O42,$K$41:$K$540,"&lt;"&amp;P42)</f>
        <v>0</v>
      </c>
    </row>
    <row r="43" customFormat="false" ht="15" hidden="false" customHeight="false" outlineLevel="0" collapsed="false">
      <c r="A43" s="49" t="n">
        <v>3</v>
      </c>
      <c r="B43" s="19" t="n">
        <f aca="true">NORMINV(RAND(),$B$6,$C$6)</f>
        <v>0.0138075368050051</v>
      </c>
      <c r="C43" s="19" t="n">
        <f aca="true">MAX(0.3,NORMINV(RAND(),$B$7,$C$7))</f>
        <v>0.402377519359844</v>
      </c>
      <c r="D43" s="32" t="n">
        <f aca="true">MAX(0.06,NORMINV(RAND(),$B$8,$C$8))</f>
        <v>0.0765051114275865</v>
      </c>
      <c r="E43" s="50" t="n">
        <f aca="true">MAX(4,NORMINV(RAND(),$B$9,$C$9))</f>
        <v>9.64993661447077</v>
      </c>
      <c r="F43" s="24" t="n">
        <f aca="false">$B$18*(1+(B43+$B$17)/2)^9</f>
        <v>1107.92983565093</v>
      </c>
      <c r="G43" s="24" t="n">
        <f aca="false">F43*C43</f>
        <v>445.80605889398</v>
      </c>
      <c r="H43" s="24" t="n">
        <f aca="false">E43*G43/(1+D43)^9</f>
        <v>2215.77450447473</v>
      </c>
      <c r="I43" s="24" t="n">
        <f aca="false">$B$13*G43/$B$12*((1+$B$8)/(1+D43))^4.5</f>
        <v>1745.86953310579</v>
      </c>
      <c r="J43" s="24" t="n">
        <f aca="false">H43+I43-$B$14</f>
        <v>3025.85375812846</v>
      </c>
      <c r="K43" s="43" t="n">
        <f aca="false">J43/$B$15</f>
        <v>73.801311173865</v>
      </c>
      <c r="N43" s="3" t="s">
        <v>415</v>
      </c>
      <c r="O43" s="49" t="n">
        <v>30</v>
      </c>
      <c r="P43" s="49" t="n">
        <v>35</v>
      </c>
      <c r="Q43" s="49" t="n">
        <f aca="false">COUNTIFS($K$41:$K$540,"&gt;="&amp;O43,$K$41:$K$540,"&lt;"&amp;P43)</f>
        <v>0</v>
      </c>
    </row>
    <row r="44" customFormat="false" ht="15" hidden="false" customHeight="false" outlineLevel="0" collapsed="false">
      <c r="A44" s="49" t="n">
        <v>4</v>
      </c>
      <c r="B44" s="19" t="n">
        <f aca="true">NORMINV(RAND(),$B$6,$C$6)</f>
        <v>0.0362520319588342</v>
      </c>
      <c r="C44" s="19" t="n">
        <f aca="true">MAX(0.3,NORMINV(RAND(),$B$7,$C$7))</f>
        <v>0.44612544883326</v>
      </c>
      <c r="D44" s="32" t="n">
        <f aca="true">MAX(0.06,NORMINV(RAND(),$B$8,$C$8))</f>
        <v>0.0725457274247779</v>
      </c>
      <c r="E44" s="50" t="n">
        <f aca="true">MAX(4,NORMINV(RAND(),$B$9,$C$9))</f>
        <v>10.6432093544631</v>
      </c>
      <c r="F44" s="24" t="n">
        <f aca="false">$B$18*(1+(B44+$B$17)/2)^9</f>
        <v>1223.54934980342</v>
      </c>
      <c r="G44" s="24" t="n">
        <f aca="false">F44*C44</f>
        <v>545.856502850696</v>
      </c>
      <c r="H44" s="24" t="n">
        <f aca="false">E44*G44/(1+D44)^9</f>
        <v>3093.20525171715</v>
      </c>
      <c r="I44" s="24" t="n">
        <f aca="false">$B$13*G44/$B$12*((1+$B$8)/(1+D44))^4.5</f>
        <v>2173.42953290942</v>
      </c>
      <c r="J44" s="24" t="n">
        <f aca="false">H44+I44-$B$14</f>
        <v>4330.84450517451</v>
      </c>
      <c r="K44" s="43" t="n">
        <f aca="false">J44/$B$15</f>
        <v>105.630353784744</v>
      </c>
      <c r="N44" s="3" t="s">
        <v>416</v>
      </c>
      <c r="O44" s="49" t="n">
        <v>35</v>
      </c>
      <c r="P44" s="49" t="n">
        <v>40</v>
      </c>
      <c r="Q44" s="49" t="n">
        <f aca="false">COUNTIFS($K$41:$K$540,"&gt;="&amp;O44,$K$41:$K$540,"&lt;"&amp;P44)</f>
        <v>2</v>
      </c>
    </row>
    <row r="45" customFormat="false" ht="15" hidden="false" customHeight="false" outlineLevel="0" collapsed="false">
      <c r="A45" s="49" t="n">
        <v>5</v>
      </c>
      <c r="B45" s="19" t="n">
        <f aca="true">NORMINV(RAND(),$B$6,$C$6)</f>
        <v>0.0364777702747385</v>
      </c>
      <c r="C45" s="19" t="n">
        <f aca="true">MAX(0.3,NORMINV(RAND(),$B$7,$C$7))</f>
        <v>0.43415507785859</v>
      </c>
      <c r="D45" s="32" t="n">
        <f aca="true">MAX(0.06,NORMINV(RAND(),$B$8,$C$8))</f>
        <v>0.0805994134727077</v>
      </c>
      <c r="E45" s="50" t="n">
        <f aca="true">MAX(4,NORMINV(RAND(),$B$9,$C$9))</f>
        <v>10.8384849457391</v>
      </c>
      <c r="F45" s="24" t="n">
        <f aca="false">$B$18*(1+(B45+$B$17)/2)^9</f>
        <v>1224.76470103661</v>
      </c>
      <c r="G45" s="24" t="n">
        <f aca="false">F45*C45</f>
        <v>531.737814137003</v>
      </c>
      <c r="H45" s="24" t="n">
        <f aca="false">E45*G45/(1+D45)^9</f>
        <v>2868.68972170375</v>
      </c>
      <c r="I45" s="24" t="n">
        <f aca="false">$B$13*G45/$B$12*((1+$B$8)/(1+D45))^4.5</f>
        <v>2047.12576868471</v>
      </c>
      <c r="J45" s="24" t="n">
        <f aca="false">H45+I45-$B$14</f>
        <v>3980.0252109364</v>
      </c>
      <c r="K45" s="43" t="n">
        <f aca="false">J45/$B$15</f>
        <v>97.0737856325952</v>
      </c>
      <c r="N45" s="3" t="s">
        <v>417</v>
      </c>
      <c r="O45" s="49" t="n">
        <v>40</v>
      </c>
      <c r="P45" s="49" t="n">
        <v>45</v>
      </c>
      <c r="Q45" s="49" t="n">
        <f aca="false">COUNTIFS($K$41:$K$540,"&gt;="&amp;O45,$K$41:$K$540,"&lt;"&amp;P45)</f>
        <v>3</v>
      </c>
    </row>
    <row r="46" customFormat="false" ht="15" hidden="false" customHeight="false" outlineLevel="0" collapsed="false">
      <c r="A46" s="49" t="n">
        <v>6</v>
      </c>
      <c r="B46" s="19" t="n">
        <f aca="true">NORMINV(RAND(),$B$6,$C$6)</f>
        <v>0.0378175409186772</v>
      </c>
      <c r="C46" s="19" t="n">
        <f aca="true">MAX(0.3,NORMINV(RAND(),$B$7,$C$7))</f>
        <v>0.443634251923441</v>
      </c>
      <c r="D46" s="32" t="n">
        <f aca="true">MAX(0.06,NORMINV(RAND(),$B$8,$C$8))</f>
        <v>0.0758541490340165</v>
      </c>
      <c r="E46" s="50" t="n">
        <f aca="true">MAX(4,NORMINV(RAND(),$B$9,$C$9))</f>
        <v>8.65454260243822</v>
      </c>
      <c r="F46" s="24" t="n">
        <f aca="false">$B$18*(1+(B46+$B$17)/2)^9</f>
        <v>1231.99999407707</v>
      </c>
      <c r="G46" s="24" t="n">
        <f aca="false">F46*C46</f>
        <v>546.557395742065</v>
      </c>
      <c r="H46" s="24" t="n">
        <f aca="false">E46*G46/(1+D46)^9</f>
        <v>2449.62329809524</v>
      </c>
      <c r="I46" s="24" t="n">
        <f aca="false">$B$13*G46/$B$12*((1+$B$8)/(1+D46))^4.5</f>
        <v>2146.26692226155</v>
      </c>
      <c r="J46" s="24" t="n">
        <f aca="false">H46+I46-$B$14</f>
        <v>3660.09994090474</v>
      </c>
      <c r="K46" s="43" t="n">
        <f aca="false">J46/$B$15</f>
        <v>89.2707302659692</v>
      </c>
      <c r="N46" s="3" t="s">
        <v>418</v>
      </c>
      <c r="O46" s="49" t="n">
        <v>45</v>
      </c>
      <c r="P46" s="49" t="n">
        <v>50</v>
      </c>
      <c r="Q46" s="49" t="n">
        <f aca="false">COUNTIFS($K$41:$K$540,"&gt;="&amp;O46,$K$41:$K$540,"&lt;"&amp;P46)</f>
        <v>15</v>
      </c>
    </row>
    <row r="47" customFormat="false" ht="15" hidden="false" customHeight="false" outlineLevel="0" collapsed="false">
      <c r="A47" s="49" t="n">
        <v>7</v>
      </c>
      <c r="B47" s="19" t="n">
        <f aca="true">NORMINV(RAND(),$B$6,$C$6)</f>
        <v>0.0429818742140513</v>
      </c>
      <c r="C47" s="19" t="n">
        <f aca="true">MAX(0.3,NORMINV(RAND(),$B$7,$C$7))</f>
        <v>0.41594551343884</v>
      </c>
      <c r="D47" s="32" t="n">
        <f aca="true">MAX(0.06,NORMINV(RAND(),$B$8,$C$8))</f>
        <v>0.0934014315427521</v>
      </c>
      <c r="E47" s="50" t="n">
        <f aca="true">MAX(4,NORMINV(RAND(),$B$9,$C$9))</f>
        <v>9.75943736911373</v>
      </c>
      <c r="F47" s="24" t="n">
        <f aca="false">$B$18*(1+(B47+$B$17)/2)^9</f>
        <v>1260.2462460043</v>
      </c>
      <c r="G47" s="24" t="n">
        <f aca="false">F47*C47</f>
        <v>524.193771853631</v>
      </c>
      <c r="H47" s="24" t="n">
        <f aca="false">E47*G47/(1+D47)^9</f>
        <v>2290.33966553578</v>
      </c>
      <c r="I47" s="24" t="n">
        <f aca="false">$B$13*G47/$B$12*((1+$B$8)/(1+D47))^4.5</f>
        <v>1913.91099656131</v>
      </c>
      <c r="J47" s="24" t="n">
        <f aca="false">H47+I47-$B$14</f>
        <v>3268.46038264504</v>
      </c>
      <c r="K47" s="43" t="n">
        <f aca="false">J47/$B$15</f>
        <v>79.7185459181716</v>
      </c>
      <c r="N47" s="3" t="s">
        <v>419</v>
      </c>
      <c r="O47" s="49" t="n">
        <v>50</v>
      </c>
      <c r="P47" s="49" t="n">
        <v>55</v>
      </c>
      <c r="Q47" s="49" t="n">
        <f aca="false">COUNTIFS($K$41:$K$540,"&gt;="&amp;O47,$K$41:$K$540,"&lt;"&amp;P47)</f>
        <v>25</v>
      </c>
    </row>
    <row r="48" customFormat="false" ht="15" hidden="false" customHeight="false" outlineLevel="0" collapsed="false">
      <c r="A48" s="49" t="n">
        <v>8</v>
      </c>
      <c r="B48" s="19" t="n">
        <f aca="true">NORMINV(RAND(),$B$6,$C$6)</f>
        <v>0.0173743086690035</v>
      </c>
      <c r="C48" s="19" t="n">
        <f aca="true">MAX(0.3,NORMINV(RAND(),$B$7,$C$7))</f>
        <v>0.452499962690765</v>
      </c>
      <c r="D48" s="32" t="n">
        <f aca="true">MAX(0.06,NORMINV(RAND(),$B$8,$C$8))</f>
        <v>0.0808767648945639</v>
      </c>
      <c r="E48" s="50" t="n">
        <f aca="true">MAX(4,NORMINV(RAND(),$B$9,$C$9))</f>
        <v>5.55224432578137</v>
      </c>
      <c r="F48" s="24" t="n">
        <f aca="false">$B$18*(1+(B48+$B$17)/2)^9</f>
        <v>1125.62784002639</v>
      </c>
      <c r="G48" s="24" t="n">
        <f aca="false">F48*C48</f>
        <v>509.346555615627</v>
      </c>
      <c r="H48" s="24" t="n">
        <f aca="false">E48*G48/(1+D48)^9</f>
        <v>1404.41775906484</v>
      </c>
      <c r="I48" s="24" t="n">
        <f aca="false">$B$13*G48/$B$12*((1+$B$8)/(1+D48))^4.5</f>
        <v>1958.65890517947</v>
      </c>
      <c r="J48" s="24" t="n">
        <f aca="false">H48+I48-$B$14</f>
        <v>2427.28638479226</v>
      </c>
      <c r="K48" s="43" t="n">
        <f aca="false">J48/$B$15</f>
        <v>59.2021069461527</v>
      </c>
      <c r="N48" s="3" t="s">
        <v>420</v>
      </c>
      <c r="O48" s="49" t="n">
        <v>55</v>
      </c>
      <c r="P48" s="49" t="n">
        <v>60</v>
      </c>
      <c r="Q48" s="49" t="n">
        <f aca="false">COUNTIFS($K$41:$K$540,"&gt;="&amp;O48,$K$41:$K$540,"&lt;"&amp;P48)</f>
        <v>30</v>
      </c>
    </row>
    <row r="49" customFormat="false" ht="15" hidden="false" customHeight="false" outlineLevel="0" collapsed="false">
      <c r="A49" s="49" t="n">
        <v>9</v>
      </c>
      <c r="B49" s="19" t="n">
        <f aca="true">NORMINV(RAND(),$B$6,$C$6)</f>
        <v>0.0304604363225895</v>
      </c>
      <c r="C49" s="19" t="n">
        <f aca="true">MAX(0.3,NORMINV(RAND(),$B$7,$C$7))</f>
        <v>0.420058846157234</v>
      </c>
      <c r="D49" s="32" t="n">
        <f aca="true">MAX(0.06,NORMINV(RAND(),$B$8,$C$8))</f>
        <v>0.0834954840830263</v>
      </c>
      <c r="E49" s="50" t="n">
        <f aca="true">MAX(4,NORMINV(RAND(),$B$9,$C$9))</f>
        <v>4</v>
      </c>
      <c r="F49" s="24" t="n">
        <f aca="false">$B$18*(1+(B49+$B$17)/2)^9</f>
        <v>1192.73230731344</v>
      </c>
      <c r="G49" s="24" t="n">
        <f aca="false">F49*C49</f>
        <v>501.017756784538</v>
      </c>
      <c r="H49" s="24" t="n">
        <f aca="false">E49*G49/(1+D49)^9</f>
        <v>973.798630564756</v>
      </c>
      <c r="I49" s="24" t="n">
        <f aca="false">$B$13*G49/$B$12*((1+$B$8)/(1+D49))^4.5</f>
        <v>1905.76521607787</v>
      </c>
      <c r="J49" s="24" t="n">
        <f aca="false">H49+I49-$B$14</f>
        <v>1943.77356719057</v>
      </c>
      <c r="K49" s="43" t="n">
        <f aca="false">J49/$B$15</f>
        <v>47.4091113948919</v>
      </c>
      <c r="N49" s="3" t="s">
        <v>421</v>
      </c>
      <c r="O49" s="49" t="n">
        <v>60</v>
      </c>
      <c r="P49" s="49" t="n">
        <v>65</v>
      </c>
      <c r="Q49" s="49" t="n">
        <f aca="false">COUNTIFS($K$41:$K$540,"&gt;="&amp;O49,$K$41:$K$540,"&lt;"&amp;P49)</f>
        <v>52</v>
      </c>
    </row>
    <row r="50" customFormat="false" ht="15" hidden="false" customHeight="false" outlineLevel="0" collapsed="false">
      <c r="A50" s="49" t="n">
        <v>10</v>
      </c>
      <c r="B50" s="19" t="n">
        <f aca="true">NORMINV(RAND(),$B$6,$C$6)</f>
        <v>-0.00547070380243078</v>
      </c>
      <c r="C50" s="19" t="n">
        <f aca="true">MAX(0.3,NORMINV(RAND(),$B$7,$C$7))</f>
        <v>0.426037836258639</v>
      </c>
      <c r="D50" s="32" t="n">
        <f aca="true">MAX(0.06,NORMINV(RAND(),$B$8,$C$8))</f>
        <v>0.0872355184574967</v>
      </c>
      <c r="E50" s="50" t="n">
        <f aca="true">MAX(4,NORMINV(RAND(),$B$9,$C$9))</f>
        <v>7.59269236505999</v>
      </c>
      <c r="F50" s="24" t="n">
        <f aca="false">$B$18*(1+(B50+$B$17)/2)^9</f>
        <v>1016.48517277869</v>
      </c>
      <c r="G50" s="24" t="n">
        <f aca="false">F50*C50</f>
        <v>433.061143599621</v>
      </c>
      <c r="H50" s="24" t="n">
        <f aca="false">E50*G50/(1+D50)^9</f>
        <v>1548.93194433497</v>
      </c>
      <c r="I50" s="24" t="n">
        <f aca="false">$B$13*G50/$B$12*((1+$B$8)/(1+D50))^4.5</f>
        <v>1621.92634593565</v>
      </c>
      <c r="J50" s="24" t="n">
        <f aca="false">H50+I50-$B$14</f>
        <v>2235.06801081857</v>
      </c>
      <c r="K50" s="43" t="n">
        <f aca="false">J50/$B$15</f>
        <v>54.513853922404</v>
      </c>
      <c r="N50" s="3" t="s">
        <v>422</v>
      </c>
      <c r="O50" s="49" t="n">
        <v>65</v>
      </c>
      <c r="P50" s="49" t="n">
        <v>70</v>
      </c>
      <c r="Q50" s="49" t="n">
        <f aca="false">COUNTIFS($K$41:$K$540,"&gt;="&amp;O50,$K$41:$K$540,"&lt;"&amp;P50)</f>
        <v>50</v>
      </c>
    </row>
    <row r="51" customFormat="false" ht="15" hidden="false" customHeight="false" outlineLevel="0" collapsed="false">
      <c r="A51" s="49" t="n">
        <v>11</v>
      </c>
      <c r="B51" s="19" t="n">
        <f aca="true">NORMINV(RAND(),$B$6,$C$6)</f>
        <v>-0.0166771558917225</v>
      </c>
      <c r="C51" s="19" t="n">
        <f aca="true">MAX(0.3,NORMINV(RAND(),$B$7,$C$7))</f>
        <v>0.417044424948863</v>
      </c>
      <c r="D51" s="32" t="n">
        <f aca="true">MAX(0.06,NORMINV(RAND(),$B$8,$C$8))</f>
        <v>0.082804702623573</v>
      </c>
      <c r="E51" s="50" t="n">
        <f aca="true">MAX(4,NORMINV(RAND(),$B$9,$C$9))</f>
        <v>9.48476163032349</v>
      </c>
      <c r="F51" s="24" t="n">
        <f aca="false">$B$18*(1+(B51+$B$17)/2)^9</f>
        <v>966.469544175001</v>
      </c>
      <c r="G51" s="24" t="n">
        <f aca="false">F51*C51</f>
        <v>403.060735281053</v>
      </c>
      <c r="H51" s="24" t="n">
        <f aca="false">E51*G51/(1+D51)^9</f>
        <v>1868.29613063256</v>
      </c>
      <c r="I51" s="24" t="n">
        <f aca="false">$B$13*G51/$B$12*((1+$B$8)/(1+D51))^4.5</f>
        <v>1537.56380177824</v>
      </c>
      <c r="J51" s="24" t="n">
        <f aca="false">H51+I51-$B$14</f>
        <v>2470.06965295874</v>
      </c>
      <c r="K51" s="43" t="n">
        <f aca="false">J51/$B$15</f>
        <v>60.2456012916766</v>
      </c>
      <c r="N51" s="3" t="s">
        <v>423</v>
      </c>
      <c r="O51" s="49" t="n">
        <v>70</v>
      </c>
      <c r="P51" s="49" t="n">
        <v>75</v>
      </c>
      <c r="Q51" s="49" t="n">
        <f aca="false">COUNTIFS($K$41:$K$540,"&gt;="&amp;O51,$K$41:$K$540,"&lt;"&amp;P51)</f>
        <v>64</v>
      </c>
    </row>
    <row r="52" customFormat="false" ht="15" hidden="false" customHeight="false" outlineLevel="0" collapsed="false">
      <c r="A52" s="49" t="n">
        <v>12</v>
      </c>
      <c r="B52" s="19" t="n">
        <f aca="true">NORMINV(RAND(),$B$6,$C$6)</f>
        <v>0.0239740984001418</v>
      </c>
      <c r="C52" s="19" t="n">
        <f aca="true">MAX(0.3,NORMINV(RAND(),$B$7,$C$7))</f>
        <v>0.442498381416254</v>
      </c>
      <c r="D52" s="32" t="n">
        <f aca="true">MAX(0.06,NORMINV(RAND(),$B$8,$C$8))</f>
        <v>0.0758087458658412</v>
      </c>
      <c r="E52" s="50" t="n">
        <f aca="true">MAX(4,NORMINV(RAND(),$B$9,$C$9))</f>
        <v>5.7070703842152</v>
      </c>
      <c r="F52" s="24" t="n">
        <f aca="false">$B$18*(1+(B52+$B$17)/2)^9</f>
        <v>1159.03924239229</v>
      </c>
      <c r="G52" s="24" t="n">
        <f aca="false">F52*C52</f>
        <v>512.872988756512</v>
      </c>
      <c r="H52" s="24" t="n">
        <f aca="false">E52*G52/(1+D52)^9</f>
        <v>1516.37780897779</v>
      </c>
      <c r="I52" s="24" t="n">
        <f aca="false">$B$13*G52/$B$12*((1+$B$8)/(1+D52))^4.5</f>
        <v>2014.37471795519</v>
      </c>
      <c r="J52" s="24" t="n">
        <f aca="false">H52+I52-$B$14</f>
        <v>2594.96224748093</v>
      </c>
      <c r="K52" s="43" t="n">
        <f aca="false">J52/$B$15</f>
        <v>63.2917621336812</v>
      </c>
      <c r="N52" s="3" t="s">
        <v>424</v>
      </c>
      <c r="O52" s="49" t="n">
        <v>75</v>
      </c>
      <c r="P52" s="49" t="n">
        <v>80</v>
      </c>
      <c r="Q52" s="49" t="n">
        <f aca="false">COUNTIFS($K$41:$K$540,"&gt;="&amp;O52,$K$41:$K$540,"&lt;"&amp;P52)</f>
        <v>61</v>
      </c>
    </row>
    <row r="53" customFormat="false" ht="15" hidden="false" customHeight="false" outlineLevel="0" collapsed="false">
      <c r="A53" s="49" t="n">
        <v>13</v>
      </c>
      <c r="B53" s="19" t="n">
        <f aca="true">NORMINV(RAND(),$B$6,$C$6)</f>
        <v>0.0140024753771808</v>
      </c>
      <c r="C53" s="19" t="n">
        <f aca="true">MAX(0.3,NORMINV(RAND(),$B$7,$C$7))</f>
        <v>0.49524744592427</v>
      </c>
      <c r="D53" s="32" t="n">
        <f aca="true">MAX(0.06,NORMINV(RAND(),$B$8,$C$8))</f>
        <v>0.0880059039953297</v>
      </c>
      <c r="E53" s="50" t="n">
        <f aca="true">MAX(4,NORMINV(RAND(),$B$9,$C$9))</f>
        <v>7.792247908292</v>
      </c>
      <c r="F53" s="24" t="n">
        <f aca="false">$B$18*(1+(B53+$B$17)/2)^9</f>
        <v>1108.89067476477</v>
      </c>
      <c r="G53" s="24" t="n">
        <f aca="false">F53*C53</f>
        <v>549.175274486492</v>
      </c>
      <c r="H53" s="24" t="n">
        <f aca="false">E53*G53/(1+D53)^9</f>
        <v>2003.05312800113</v>
      </c>
      <c r="I53" s="24" t="n">
        <f aca="false">$B$13*G53/$B$12*((1+$B$8)/(1+D53))^4.5</f>
        <v>2050.25837407262</v>
      </c>
      <c r="J53" s="24" t="n">
        <f aca="false">H53+I53-$B$14</f>
        <v>3117.5212226217</v>
      </c>
      <c r="K53" s="43" t="n">
        <f aca="false">J53/$B$15</f>
        <v>76.0371029907732</v>
      </c>
      <c r="N53" s="3" t="s">
        <v>425</v>
      </c>
      <c r="O53" s="49" t="n">
        <v>80</v>
      </c>
      <c r="P53" s="49" t="n">
        <v>85</v>
      </c>
      <c r="Q53" s="49" t="n">
        <f aca="false">COUNTIFS($K$41:$K$540,"&gt;="&amp;O53,$K$41:$K$540,"&lt;"&amp;P53)</f>
        <v>51</v>
      </c>
    </row>
    <row r="54" customFormat="false" ht="15" hidden="false" customHeight="false" outlineLevel="0" collapsed="false">
      <c r="A54" s="49" t="n">
        <v>14</v>
      </c>
      <c r="B54" s="19" t="n">
        <f aca="true">NORMINV(RAND(),$B$6,$C$6)</f>
        <v>0.0422273952989229</v>
      </c>
      <c r="C54" s="19" t="n">
        <f aca="true">MAX(0.3,NORMINV(RAND(),$B$7,$C$7))</f>
        <v>0.462995965052253</v>
      </c>
      <c r="D54" s="32" t="n">
        <f aca="true">MAX(0.06,NORMINV(RAND(),$B$8,$C$8))</f>
        <v>0.0863809492702256</v>
      </c>
      <c r="E54" s="50" t="n">
        <f aca="true">MAX(4,NORMINV(RAND(),$B$9,$C$9))</f>
        <v>8.54723150125657</v>
      </c>
      <c r="F54" s="24" t="n">
        <f aca="false">$B$18*(1+(B54+$B$17)/2)^9</f>
        <v>1256.08405915425</v>
      </c>
      <c r="G54" s="24" t="n">
        <f aca="false">F54*C54</f>
        <v>581.561851154871</v>
      </c>
      <c r="H54" s="24" t="n">
        <f aca="false">E54*G54/(1+D54)^9</f>
        <v>2358.20798799534</v>
      </c>
      <c r="I54" s="24" t="n">
        <f aca="false">$B$13*G54/$B$12*((1+$B$8)/(1+D54))^4.5</f>
        <v>2185.82066510287</v>
      </c>
      <c r="J54" s="24" t="n">
        <f aca="false">H54+I54-$B$14</f>
        <v>3608.23837364616</v>
      </c>
      <c r="K54" s="43" t="n">
        <f aca="false">J54/$B$15</f>
        <v>88.0058139913696</v>
      </c>
      <c r="N54" s="3" t="s">
        <v>426</v>
      </c>
      <c r="O54" s="49" t="n">
        <v>85</v>
      </c>
      <c r="P54" s="49" t="n">
        <v>90</v>
      </c>
      <c r="Q54" s="49" t="n">
        <f aca="false">COUNTIFS($K$41:$K$540,"&gt;="&amp;O54,$K$41:$K$540,"&lt;"&amp;P54)</f>
        <v>40</v>
      </c>
    </row>
    <row r="55" customFormat="false" ht="15" hidden="false" customHeight="false" outlineLevel="0" collapsed="false">
      <c r="A55" s="49" t="n">
        <v>15</v>
      </c>
      <c r="B55" s="19" t="n">
        <f aca="true">NORMINV(RAND(),$B$6,$C$6)</f>
        <v>0.0375233950092314</v>
      </c>
      <c r="C55" s="19" t="n">
        <f aca="true">MAX(0.3,NORMINV(RAND(),$B$7,$C$7))</f>
        <v>0.431031821029763</v>
      </c>
      <c r="D55" s="32" t="n">
        <f aca="true">MAX(0.06,NORMINV(RAND(),$B$8,$C$8))</f>
        <v>0.0814970897873708</v>
      </c>
      <c r="E55" s="50" t="n">
        <f aca="true">MAX(4,NORMINV(RAND(),$B$9,$C$9))</f>
        <v>9.35633944165688</v>
      </c>
      <c r="F55" s="24" t="n">
        <f aca="false">$B$18*(1+(B55+$B$17)/2)^9</f>
        <v>1230.40824262167</v>
      </c>
      <c r="G55" s="24" t="n">
        <f aca="false">F55*C55</f>
        <v>530.34510542725</v>
      </c>
      <c r="H55" s="24" t="n">
        <f aca="false">E55*G55/(1+D55)^9</f>
        <v>2451.52506681693</v>
      </c>
      <c r="I55" s="24" t="n">
        <f aca="false">$B$13*G55/$B$12*((1+$B$8)/(1+D55))^4.5</f>
        <v>2034.1488047023</v>
      </c>
      <c r="J55" s="24" t="n">
        <f aca="false">H55+I55-$B$14</f>
        <v>3549.88359206717</v>
      </c>
      <c r="K55" s="43" t="n">
        <f aca="false">J55/$B$15</f>
        <v>86.5825266357846</v>
      </c>
      <c r="N55" s="3" t="s">
        <v>427</v>
      </c>
      <c r="O55" s="49" t="n">
        <v>90</v>
      </c>
      <c r="P55" s="49" t="n">
        <v>95</v>
      </c>
      <c r="Q55" s="49" t="n">
        <f aca="false">COUNTIFS($K$41:$K$540,"&gt;="&amp;O55,$K$41:$K$540,"&lt;"&amp;P55)</f>
        <v>27</v>
      </c>
    </row>
    <row r="56" customFormat="false" ht="15" hidden="false" customHeight="false" outlineLevel="0" collapsed="false">
      <c r="A56" s="49" t="n">
        <v>16</v>
      </c>
      <c r="B56" s="19" t="n">
        <f aca="true">NORMINV(RAND(),$B$6,$C$6)</f>
        <v>0.00222157124268946</v>
      </c>
      <c r="C56" s="19" t="n">
        <f aca="true">MAX(0.3,NORMINV(RAND(),$B$7,$C$7))</f>
        <v>0.445045480824184</v>
      </c>
      <c r="D56" s="32" t="n">
        <f aca="true">MAX(0.06,NORMINV(RAND(),$B$8,$C$8))</f>
        <v>0.072456384855032</v>
      </c>
      <c r="E56" s="50" t="n">
        <f aca="true">MAX(4,NORMINV(RAND(),$B$9,$C$9))</f>
        <v>5.33269096821874</v>
      </c>
      <c r="F56" s="24" t="n">
        <f aca="false">$B$18*(1+(B56+$B$17)/2)^9</f>
        <v>1052.13527345118</v>
      </c>
      <c r="G56" s="24" t="n">
        <f aca="false">F56*C56</f>
        <v>468.248048665166</v>
      </c>
      <c r="H56" s="24" t="n">
        <f aca="false">E56*G56/(1+D56)^9</f>
        <v>1330.47169889257</v>
      </c>
      <c r="I56" s="24" t="n">
        <f aca="false">$B$13*G56/$B$12*((1+$B$8)/(1+D56))^4.5</f>
        <v>1865.11602241533</v>
      </c>
      <c r="J56" s="24" t="n">
        <f aca="false">H56+I56-$B$14</f>
        <v>2259.79744185585</v>
      </c>
      <c r="K56" s="43" t="n">
        <f aca="false">J56/$B$15</f>
        <v>55.1170107769719</v>
      </c>
      <c r="N56" s="3" t="s">
        <v>428</v>
      </c>
      <c r="O56" s="49" t="n">
        <v>95</v>
      </c>
      <c r="P56" s="49" t="n">
        <v>100</v>
      </c>
      <c r="Q56" s="49" t="n">
        <f aca="false">COUNTIFS($K$41:$K$540,"&gt;="&amp;O56,$K$41:$K$540,"&lt;"&amp;P56)</f>
        <v>31</v>
      </c>
    </row>
    <row r="57" customFormat="false" ht="15" hidden="false" customHeight="false" outlineLevel="0" collapsed="false">
      <c r="A57" s="49" t="n">
        <v>17</v>
      </c>
      <c r="B57" s="19" t="n">
        <f aca="true">NORMINV(RAND(),$B$6,$C$6)</f>
        <v>0.0016919863170918</v>
      </c>
      <c r="C57" s="19" t="n">
        <f aca="true">MAX(0.3,NORMINV(RAND(),$B$7,$C$7))</f>
        <v>0.431437257623902</v>
      </c>
      <c r="D57" s="32" t="n">
        <f aca="true">MAX(0.06,NORMINV(RAND(),$B$8,$C$8))</f>
        <v>0.0775592830055892</v>
      </c>
      <c r="E57" s="50" t="n">
        <f aca="true">MAX(4,NORMINV(RAND(),$B$9,$C$9))</f>
        <v>8.24906171419906</v>
      </c>
      <c r="F57" s="24" t="n">
        <f aca="false">$B$18*(1+(B57+$B$17)/2)^9</f>
        <v>1049.64574698954</v>
      </c>
      <c r="G57" s="24" t="n">
        <f aca="false">F57*C57</f>
        <v>452.85628255776</v>
      </c>
      <c r="H57" s="24" t="n">
        <f aca="false">E57*G57/(1+D57)^9</f>
        <v>1907.19191134932</v>
      </c>
      <c r="I57" s="24" t="n">
        <f aca="false">$B$13*G57/$B$12*((1+$B$8)/(1+D57))^4.5</f>
        <v>1765.68559172363</v>
      </c>
      <c r="J57" s="24" t="n">
        <f aca="false">H57+I57-$B$14</f>
        <v>2737.08722362089</v>
      </c>
      <c r="K57" s="43" t="n">
        <f aca="false">J57/$B$15</f>
        <v>66.7582249663632</v>
      </c>
      <c r="N57" s="3" t="s">
        <v>429</v>
      </c>
      <c r="O57" s="49" t="n">
        <v>100</v>
      </c>
      <c r="P57" s="49" t="n">
        <v>105</v>
      </c>
      <c r="Q57" s="49" t="n">
        <f aca="false">COUNTIFS($K$41:$K$540,"&gt;="&amp;O57,$K$41:$K$540,"&lt;"&amp;P57)</f>
        <v>20</v>
      </c>
    </row>
    <row r="58" customFormat="false" ht="15" hidden="false" customHeight="false" outlineLevel="0" collapsed="false">
      <c r="A58" s="49" t="n">
        <v>18</v>
      </c>
      <c r="B58" s="19" t="n">
        <f aca="true">NORMINV(RAND(),$B$6,$C$6)</f>
        <v>0.0265098697969214</v>
      </c>
      <c r="C58" s="19" t="n">
        <f aca="true">MAX(0.3,NORMINV(RAND(),$B$7,$C$7))</f>
        <v>0.450950087198199</v>
      </c>
      <c r="D58" s="32" t="n">
        <f aca="true">MAX(0.06,NORMINV(RAND(),$B$8,$C$8))</f>
        <v>0.0771983151753209</v>
      </c>
      <c r="E58" s="50" t="n">
        <f aca="true">MAX(4,NORMINV(RAND(),$B$9,$C$9))</f>
        <v>9.58901656025739</v>
      </c>
      <c r="F58" s="24" t="n">
        <f aca="false">$B$18*(1+(B58+$B$17)/2)^9</f>
        <v>1172.10913388721</v>
      </c>
      <c r="G58" s="24" t="n">
        <f aca="false">F58*C58</f>
        <v>528.562716132242</v>
      </c>
      <c r="H58" s="24" t="n">
        <f aca="false">E58*G58/(1+D58)^9</f>
        <v>2595.43170153756</v>
      </c>
      <c r="I58" s="24" t="n">
        <f aca="false">$B$13*G58/$B$12*((1+$B$8)/(1+D58))^4.5</f>
        <v>2063.97429261695</v>
      </c>
      <c r="J58" s="24" t="n">
        <f aca="false">H58+I58-$B$14</f>
        <v>3723.61571470246</v>
      </c>
      <c r="K58" s="43" t="n">
        <f aca="false">J58/$B$15</f>
        <v>90.8198954805477</v>
      </c>
      <c r="N58" s="3" t="s">
        <v>430</v>
      </c>
      <c r="O58" s="49" t="n">
        <v>105</v>
      </c>
      <c r="P58" s="49" t="n">
        <v>110</v>
      </c>
      <c r="Q58" s="49" t="n">
        <f aca="false">COUNTIFS($K$41:$K$540,"&gt;="&amp;O58,$K$41:$K$540,"&lt;"&amp;P58)</f>
        <v>14</v>
      </c>
    </row>
    <row r="59" customFormat="false" ht="15" hidden="false" customHeight="false" outlineLevel="0" collapsed="false">
      <c r="A59" s="49" t="n">
        <v>19</v>
      </c>
      <c r="B59" s="19" t="n">
        <f aca="true">NORMINV(RAND(),$B$6,$C$6)</f>
        <v>0.0181977435002982</v>
      </c>
      <c r="C59" s="19" t="n">
        <f aca="true">MAX(0.3,NORMINV(RAND(),$B$7,$C$7))</f>
        <v>0.44286441906288</v>
      </c>
      <c r="D59" s="32" t="n">
        <f aca="true">MAX(0.06,NORMINV(RAND(),$B$8,$C$8))</f>
        <v>0.0764238697835926</v>
      </c>
      <c r="E59" s="50" t="n">
        <f aca="true">MAX(4,NORMINV(RAND(),$B$9,$C$9))</f>
        <v>7.8510709012019</v>
      </c>
      <c r="F59" s="24" t="n">
        <f aca="false">$B$18*(1+(B59+$B$17)/2)^9</f>
        <v>1129.74917861049</v>
      </c>
      <c r="G59" s="24" t="n">
        <f aca="false">F59*C59</f>
        <v>500.325713672101</v>
      </c>
      <c r="H59" s="24" t="n">
        <f aca="false">E59*G59/(1+D59)^9</f>
        <v>2024.5655634406</v>
      </c>
      <c r="I59" s="24" t="n">
        <f aca="false">$B$13*G59/$B$12*((1+$B$8)/(1+D59))^4.5</f>
        <v>1960.04543032758</v>
      </c>
      <c r="J59" s="24" t="n">
        <f aca="false">H59+I59-$B$14</f>
        <v>3048.82071431612</v>
      </c>
      <c r="K59" s="43" t="n">
        <f aca="false">J59/$B$15</f>
        <v>74.3614808369786</v>
      </c>
      <c r="N59" s="3" t="s">
        <v>431</v>
      </c>
      <c r="O59" s="49" t="n">
        <v>110</v>
      </c>
      <c r="P59" s="49" t="n">
        <v>115</v>
      </c>
      <c r="Q59" s="49" t="n">
        <f aca="false">COUNTIFS($K$41:$K$540,"&gt;="&amp;O59,$K$41:$K$540,"&lt;"&amp;P59)</f>
        <v>3</v>
      </c>
    </row>
    <row r="60" customFormat="false" ht="15" hidden="false" customHeight="false" outlineLevel="0" collapsed="false">
      <c r="A60" s="49" t="n">
        <v>20</v>
      </c>
      <c r="B60" s="19" t="n">
        <f aca="true">NORMINV(RAND(),$B$6,$C$6)</f>
        <v>0.0624455631836737</v>
      </c>
      <c r="C60" s="19" t="n">
        <f aca="true">MAX(0.3,NORMINV(RAND(),$B$7,$C$7))</f>
        <v>0.459784232387242</v>
      </c>
      <c r="D60" s="32" t="n">
        <f aca="true">MAX(0.06,NORMINV(RAND(),$B$8,$C$8))</f>
        <v>0.0733770418024206</v>
      </c>
      <c r="E60" s="50" t="n">
        <f aca="true">MAX(4,NORMINV(RAND(),$B$9,$C$9))</f>
        <v>5.3658576067526</v>
      </c>
      <c r="F60" s="24" t="n">
        <f aca="false">$B$18*(1+(B60+$B$17)/2)^9</f>
        <v>1371.94772380764</v>
      </c>
      <c r="G60" s="24" t="n">
        <f aca="false">F60*C60</f>
        <v>630.799931066318</v>
      </c>
      <c r="H60" s="24" t="n">
        <f aca="false">E60*G60/(1+D60)^9</f>
        <v>1789.61685984305</v>
      </c>
      <c r="I60" s="24" t="n">
        <f aca="false">$B$13*G60/$B$12*((1+$B$8)/(1+D60))^4.5</f>
        <v>2502.90595081614</v>
      </c>
      <c r="J60" s="24" t="n">
        <f aca="false">H60+I60-$B$14</f>
        <v>3356.73253120713</v>
      </c>
      <c r="K60" s="43" t="n">
        <f aca="false">J60/$B$15</f>
        <v>81.8715251513934</v>
      </c>
      <c r="N60" s="3" t="s">
        <v>432</v>
      </c>
      <c r="O60" s="49" t="n">
        <v>115</v>
      </c>
      <c r="P60" s="49" t="n">
        <v>120</v>
      </c>
      <c r="Q60" s="49" t="n">
        <f aca="false">COUNTIFS($K$41:$K$540,"&gt;="&amp;O60,$K$41:$K$540,"&lt;"&amp;P60)</f>
        <v>4</v>
      </c>
    </row>
    <row r="61" customFormat="false" ht="15" hidden="false" customHeight="false" outlineLevel="0" collapsed="false">
      <c r="A61" s="49" t="n">
        <v>21</v>
      </c>
      <c r="B61" s="19" t="n">
        <f aca="true">NORMINV(RAND(),$B$6,$C$6)</f>
        <v>0.0211482703146002</v>
      </c>
      <c r="C61" s="19" t="n">
        <f aca="true">MAX(0.3,NORMINV(RAND(),$B$7,$C$7))</f>
        <v>0.422009626911755</v>
      </c>
      <c r="D61" s="32" t="n">
        <f aca="true">MAX(0.06,NORMINV(RAND(),$B$8,$C$8))</f>
        <v>0.079855777895868</v>
      </c>
      <c r="E61" s="50" t="n">
        <f aca="true">MAX(4,NORMINV(RAND(),$B$9,$C$9))</f>
        <v>6.316231115165</v>
      </c>
      <c r="F61" s="24" t="n">
        <f aca="false">$B$18*(1+(B61+$B$17)/2)^9</f>
        <v>1144.62709802288</v>
      </c>
      <c r="G61" s="24" t="n">
        <f aca="false">F61*C61</f>
        <v>483.04365458972</v>
      </c>
      <c r="H61" s="24" t="n">
        <f aca="false">E61*G61/(1+D61)^9</f>
        <v>1528.10285413566</v>
      </c>
      <c r="I61" s="24" t="n">
        <f aca="false">$B$13*G61/$B$12*((1+$B$8)/(1+D61))^4.5</f>
        <v>1865.42902825361</v>
      </c>
      <c r="J61" s="24" t="n">
        <f aca="false">H61+I61-$B$14</f>
        <v>2457.74160293721</v>
      </c>
      <c r="K61" s="43" t="n">
        <f aca="false">J61/$B$15</f>
        <v>59.94491714481</v>
      </c>
      <c r="N61" s="3" t="s">
        <v>433</v>
      </c>
      <c r="O61" s="49" t="n">
        <v>120</v>
      </c>
      <c r="P61" s="49" t="n">
        <v>125</v>
      </c>
      <c r="Q61" s="49" t="n">
        <f aca="false">COUNTIFS($K$41:$K$540,"&gt;="&amp;O61,$K$41:$K$540,"&lt;"&amp;P61)</f>
        <v>4</v>
      </c>
    </row>
    <row r="62" customFormat="false" ht="15" hidden="false" customHeight="false" outlineLevel="0" collapsed="false">
      <c r="A62" s="49" t="n">
        <v>22</v>
      </c>
      <c r="B62" s="19" t="n">
        <f aca="true">NORMINV(RAND(),$B$6,$C$6)</f>
        <v>0.0156208031506382</v>
      </c>
      <c r="C62" s="19" t="n">
        <f aca="true">MAX(0.3,NORMINV(RAND(),$B$7,$C$7))</f>
        <v>0.442942713113516</v>
      </c>
      <c r="D62" s="32" t="n">
        <f aca="true">MAX(0.06,NORMINV(RAND(),$B$8,$C$8))</f>
        <v>0.0781860686286597</v>
      </c>
      <c r="E62" s="50" t="n">
        <f aca="true">MAX(4,NORMINV(RAND(),$B$9,$C$9))</f>
        <v>7.97212629857239</v>
      </c>
      <c r="F62" s="24" t="n">
        <f aca="false">$B$18*(1+(B62+$B$17)/2)^9</f>
        <v>1116.89594598812</v>
      </c>
      <c r="G62" s="24" t="n">
        <f aca="false">F62*C62</f>
        <v>494.720920581463</v>
      </c>
      <c r="H62" s="24" t="n">
        <f aca="false">E62*G62/(1+D62)^9</f>
        <v>2003.04636820148</v>
      </c>
      <c r="I62" s="24" t="n">
        <f aca="false">$B$13*G62/$B$12*((1+$B$8)/(1+D62))^4.5</f>
        <v>1923.87480446796</v>
      </c>
      <c r="J62" s="24" t="n">
        <f aca="false">H62+I62-$B$14</f>
        <v>2991.13089321738</v>
      </c>
      <c r="K62" s="43" t="n">
        <f aca="false">J62/$B$15</f>
        <v>72.9544120296923</v>
      </c>
      <c r="N62" s="3" t="s">
        <v>434</v>
      </c>
      <c r="O62" s="49" t="n">
        <v>125</v>
      </c>
      <c r="P62" s="49" t="n">
        <v>130</v>
      </c>
      <c r="Q62" s="49" t="n">
        <f aca="false">COUNTIF($K$41:$K$540,"&gt;="&amp;O62)</f>
        <v>4</v>
      </c>
    </row>
    <row r="63" customFormat="false" ht="15" hidden="false" customHeight="false" outlineLevel="0" collapsed="false">
      <c r="A63" s="49" t="n">
        <v>23</v>
      </c>
      <c r="B63" s="19" t="n">
        <f aca="true">NORMINV(RAND(),$B$6,$C$6)</f>
        <v>0.04538000012974</v>
      </c>
      <c r="C63" s="19" t="n">
        <f aca="true">MAX(0.3,NORMINV(RAND(),$B$7,$C$7))</f>
        <v>0.471435488144236</v>
      </c>
      <c r="D63" s="32" t="n">
        <f aca="true">MAX(0.06,NORMINV(RAND(),$B$8,$C$8))</f>
        <v>0.0817882336343153</v>
      </c>
      <c r="E63" s="50" t="n">
        <f aca="true">MAX(4,NORMINV(RAND(),$B$9,$C$9))</f>
        <v>8.20789562339487</v>
      </c>
      <c r="F63" s="24" t="n">
        <f aca="false">$B$18*(1+(B63+$B$17)/2)^9</f>
        <v>1273.55737240659</v>
      </c>
      <c r="G63" s="24" t="n">
        <f aca="false">F63*C63</f>
        <v>600.40014154019</v>
      </c>
      <c r="H63" s="24" t="n">
        <f aca="false">E63*G63/(1+D63)^9</f>
        <v>2428.80322188764</v>
      </c>
      <c r="I63" s="24" t="n">
        <f aca="false">$B$13*G63/$B$12*((1+$B$8)/(1+D63))^4.5</f>
        <v>2300.0585866753</v>
      </c>
      <c r="J63" s="24" t="n">
        <f aca="false">H63+I63-$B$14</f>
        <v>3793.07152911089</v>
      </c>
      <c r="K63" s="43" t="n">
        <f aca="false">J63/$B$15</f>
        <v>92.5139397344119</v>
      </c>
    </row>
    <row r="64" customFormat="false" ht="15" hidden="false" customHeight="false" outlineLevel="0" collapsed="false">
      <c r="A64" s="49" t="n">
        <v>24</v>
      </c>
      <c r="B64" s="19" t="n">
        <f aca="true">NORMINV(RAND(),$B$6,$C$6)</f>
        <v>0.0411494563482745</v>
      </c>
      <c r="C64" s="19" t="n">
        <f aca="true">MAX(0.3,NORMINV(RAND(),$B$7,$C$7))</f>
        <v>0.480203176047371</v>
      </c>
      <c r="D64" s="32" t="n">
        <f aca="true">MAX(0.06,NORMINV(RAND(),$B$8,$C$8))</f>
        <v>0.0921347091641201</v>
      </c>
      <c r="E64" s="50" t="n">
        <f aca="true">MAX(4,NORMINV(RAND(),$B$9,$C$9))</f>
        <v>5.84662385161998</v>
      </c>
      <c r="F64" s="24" t="n">
        <f aca="false">$B$18*(1+(B64+$B$17)/2)^9</f>
        <v>1250.15866015787</v>
      </c>
      <c r="G64" s="24" t="n">
        <f aca="false">F64*C64</f>
        <v>600.330159170936</v>
      </c>
      <c r="H64" s="24" t="n">
        <f aca="false">E64*G64/(1+D64)^9</f>
        <v>1587.84983760161</v>
      </c>
      <c r="I64" s="24" t="n">
        <f aca="false">$B$13*G64/$B$12*((1+$B$8)/(1+D64))^4.5</f>
        <v>2203.36005216696</v>
      </c>
      <c r="J64" s="24" t="n">
        <f aca="false">H64+I64-$B$14</f>
        <v>2855.41961031651</v>
      </c>
      <c r="K64" s="43" t="n">
        <f aca="false">J64/$B$15</f>
        <v>69.6443807394271</v>
      </c>
    </row>
    <row r="65" customFormat="false" ht="15" hidden="false" customHeight="false" outlineLevel="0" collapsed="false">
      <c r="A65" s="49" t="n">
        <v>25</v>
      </c>
      <c r="B65" s="19" t="n">
        <f aca="true">NORMINV(RAND(),$B$6,$C$6)</f>
        <v>0.00406252776057079</v>
      </c>
      <c r="C65" s="19" t="n">
        <f aca="true">MAX(0.3,NORMINV(RAND(),$B$7,$C$7))</f>
        <v>0.450648845157969</v>
      </c>
      <c r="D65" s="32" t="n">
        <f aca="true">MAX(0.06,NORMINV(RAND(),$B$8,$C$8))</f>
        <v>0.0812410189961284</v>
      </c>
      <c r="E65" s="50" t="n">
        <f aca="true">MAX(4,NORMINV(RAND(),$B$9,$C$9))</f>
        <v>9.82346518640145</v>
      </c>
      <c r="F65" s="24" t="n">
        <f aca="false">$B$18*(1+(B65+$B$17)/2)^9</f>
        <v>1060.83031431333</v>
      </c>
      <c r="G65" s="24" t="n">
        <f aca="false">F65*C65</f>
        <v>478.061956053865</v>
      </c>
      <c r="H65" s="24" t="n">
        <f aca="false">E65*G65/(1+D65)^9</f>
        <v>2325.12484140332</v>
      </c>
      <c r="I65" s="24" t="n">
        <f aca="false">$B$13*G65/$B$12*((1+$B$8)/(1+D65))^4.5</f>
        <v>1835.57074663207</v>
      </c>
      <c r="J65" s="24" t="n">
        <f aca="false">H65+I65-$B$14</f>
        <v>3224.90530858333</v>
      </c>
      <c r="K65" s="43" t="n">
        <f aca="false">J65/$B$15</f>
        <v>78.6562270386179</v>
      </c>
    </row>
    <row r="66" customFormat="false" ht="15" hidden="false" customHeight="false" outlineLevel="0" collapsed="false">
      <c r="A66" s="49" t="n">
        <v>26</v>
      </c>
      <c r="B66" s="19" t="n">
        <f aca="true">NORMINV(RAND(),$B$6,$C$6)</f>
        <v>0.0717249259098718</v>
      </c>
      <c r="C66" s="19" t="n">
        <f aca="true">MAX(0.3,NORMINV(RAND(),$B$7,$C$7))</f>
        <v>0.439436349183421</v>
      </c>
      <c r="D66" s="32" t="n">
        <f aca="true">MAX(0.06,NORMINV(RAND(),$B$8,$C$8))</f>
        <v>0.0841485138402553</v>
      </c>
      <c r="E66" s="50" t="n">
        <f aca="true">MAX(4,NORMINV(RAND(),$B$9,$C$9))</f>
        <v>7.20687639439732</v>
      </c>
      <c r="F66" s="24" t="n">
        <f aca="false">$B$18*(1+(B66+$B$17)/2)^9</f>
        <v>1428.23429938629</v>
      </c>
      <c r="G66" s="24" t="n">
        <f aca="false">F66*C66</f>
        <v>627.618066300854</v>
      </c>
      <c r="H66" s="24" t="n">
        <f aca="false">E66*G66/(1+D66)^9</f>
        <v>2185.9664929782</v>
      </c>
      <c r="I66" s="24" t="n">
        <f aca="false">$B$13*G66/$B$12*((1+$B$8)/(1+D66))^4.5</f>
        <v>2380.86178716597</v>
      </c>
      <c r="J66" s="24" t="n">
        <f aca="false">H66+I66-$B$14</f>
        <v>3631.03800069211</v>
      </c>
      <c r="K66" s="43" t="n">
        <f aca="false">J66/$B$15</f>
        <v>88.5619024559052</v>
      </c>
    </row>
    <row r="67" customFormat="false" ht="15" hidden="false" customHeight="false" outlineLevel="0" collapsed="false">
      <c r="A67" s="49" t="n">
        <v>27</v>
      </c>
      <c r="B67" s="19" t="n">
        <f aca="true">NORMINV(RAND(),$B$6,$C$6)</f>
        <v>0.0578768039677126</v>
      </c>
      <c r="C67" s="19" t="n">
        <f aca="true">MAX(0.3,NORMINV(RAND(),$B$7,$C$7))</f>
        <v>0.433614700249481</v>
      </c>
      <c r="D67" s="32" t="n">
        <f aca="true">MAX(0.06,NORMINV(RAND(),$B$8,$C$8))</f>
        <v>0.0819593432893998</v>
      </c>
      <c r="E67" s="50" t="n">
        <f aca="true">MAX(4,NORMINV(RAND(),$B$9,$C$9))</f>
        <v>5.02379234627545</v>
      </c>
      <c r="F67" s="24" t="n">
        <f aca="false">$B$18*(1+(B67+$B$17)/2)^9</f>
        <v>1344.9660814228</v>
      </c>
      <c r="G67" s="24" t="n">
        <f aca="false">F67*C67</f>
        <v>583.197064241868</v>
      </c>
      <c r="H67" s="24" t="n">
        <f aca="false">E67*G67/(1+D67)^9</f>
        <v>1441.94446549405</v>
      </c>
      <c r="I67" s="24" t="n">
        <f aca="false">$B$13*G67/$B$12*((1+$B$8)/(1+D67))^4.5</f>
        <v>2232.56619581799</v>
      </c>
      <c r="J67" s="24" t="n">
        <f aca="false">H67+I67-$B$14</f>
        <v>2738.72038185998</v>
      </c>
      <c r="K67" s="43" t="n">
        <f aca="false">J67/$B$15</f>
        <v>66.7980580941459</v>
      </c>
    </row>
    <row r="68" customFormat="false" ht="15" hidden="false" customHeight="false" outlineLevel="0" collapsed="false">
      <c r="A68" s="49" t="n">
        <v>28</v>
      </c>
      <c r="B68" s="19" t="n">
        <f aca="true">NORMINV(RAND(),$B$6,$C$6)</f>
        <v>-0.00471027524160011</v>
      </c>
      <c r="C68" s="19" t="n">
        <f aca="true">MAX(0.3,NORMINV(RAND(),$B$7,$C$7))</f>
        <v>0.420598942834383</v>
      </c>
      <c r="D68" s="32" t="n">
        <f aca="true">MAX(0.06,NORMINV(RAND(),$B$8,$C$8))</f>
        <v>0.0780568935616731</v>
      </c>
      <c r="E68" s="50" t="n">
        <f aca="true">MAX(4,NORMINV(RAND(),$B$9,$C$9))</f>
        <v>7.21699537004562</v>
      </c>
      <c r="F68" s="24" t="n">
        <f aca="false">$B$18*(1+(B68+$B$17)/2)^9</f>
        <v>1019.96092381156</v>
      </c>
      <c r="G68" s="24" t="n">
        <f aca="false">F68*C68</f>
        <v>428.994486287521</v>
      </c>
      <c r="H68" s="24" t="n">
        <f aca="false">E68*G68/(1+D68)^9</f>
        <v>1574.10249823433</v>
      </c>
      <c r="I68" s="24" t="n">
        <f aca="false">$B$13*G68/$B$12*((1+$B$8)/(1+D68))^4.5</f>
        <v>1669.17702663143</v>
      </c>
      <c r="J68" s="24" t="n">
        <f aca="false">H68+I68-$B$14</f>
        <v>2307.4892454137</v>
      </c>
      <c r="K68" s="43" t="n">
        <f aca="false">J68/$B$15</f>
        <v>56.2802254978951</v>
      </c>
    </row>
    <row r="69" customFormat="false" ht="15" hidden="false" customHeight="false" outlineLevel="0" collapsed="false">
      <c r="A69" s="49" t="n">
        <v>29</v>
      </c>
      <c r="B69" s="19" t="n">
        <f aca="true">NORMINV(RAND(),$B$6,$C$6)</f>
        <v>0.0629228777225613</v>
      </c>
      <c r="C69" s="19" t="n">
        <f aca="true">MAX(0.3,NORMINV(RAND(),$B$7,$C$7))</f>
        <v>0.478246253766469</v>
      </c>
      <c r="D69" s="32" t="n">
        <f aca="true">MAX(0.06,NORMINV(RAND(),$B$8,$C$8))</f>
        <v>0.0850888435818339</v>
      </c>
      <c r="E69" s="50" t="n">
        <f aca="true">MAX(4,NORMINV(RAND(),$B$9,$C$9))</f>
        <v>7.97167335781489</v>
      </c>
      <c r="F69" s="24" t="n">
        <f aca="false">$B$18*(1+(B69+$B$17)/2)^9</f>
        <v>1374.79416183257</v>
      </c>
      <c r="G69" s="24" t="n">
        <f aca="false">F69*C69</f>
        <v>657.490157596441</v>
      </c>
      <c r="H69" s="24" t="n">
        <f aca="false">E69*G69/(1+D69)^9</f>
        <v>2513.33897795852</v>
      </c>
      <c r="I69" s="24" t="n">
        <f aca="false">$B$13*G69/$B$12*((1+$B$8)/(1+D69))^4.5</f>
        <v>2484.46948254728</v>
      </c>
      <c r="J69" s="24" t="n">
        <f aca="false">H69+I69-$B$14</f>
        <v>4062.01818105374</v>
      </c>
      <c r="K69" s="43" t="n">
        <f aca="false">J69/$B$15</f>
        <v>99.0736141720425</v>
      </c>
    </row>
    <row r="70" customFormat="false" ht="15" hidden="false" customHeight="false" outlineLevel="0" collapsed="false">
      <c r="A70" s="49" t="n">
        <v>30</v>
      </c>
      <c r="B70" s="19" t="n">
        <f aca="true">NORMINV(RAND(),$B$6,$C$6)</f>
        <v>0.0322836283495695</v>
      </c>
      <c r="C70" s="19" t="n">
        <f aca="true">MAX(0.3,NORMINV(RAND(),$B$7,$C$7))</f>
        <v>0.373111497903076</v>
      </c>
      <c r="D70" s="32" t="n">
        <f aca="true">MAX(0.06,NORMINV(RAND(),$B$8,$C$8))</f>
        <v>0.0929078399111591</v>
      </c>
      <c r="E70" s="50" t="n">
        <f aca="true">MAX(4,NORMINV(RAND(),$B$9,$C$9))</f>
        <v>7.54509573693646</v>
      </c>
      <c r="F70" s="24" t="n">
        <f aca="false">$B$18*(1+(B70+$B$17)/2)^9</f>
        <v>1202.35823050149</v>
      </c>
      <c r="G70" s="24" t="n">
        <f aca="false">F70*C70</f>
        <v>448.613680398501</v>
      </c>
      <c r="H70" s="24" t="n">
        <f aca="false">E70*G70/(1+D70)^9</f>
        <v>1521.54708272663</v>
      </c>
      <c r="I70" s="24" t="n">
        <f aca="false">$B$13*G70/$B$12*((1+$B$8)/(1+D70))^4.5</f>
        <v>1641.28813472109</v>
      </c>
      <c r="J70" s="24" t="n">
        <f aca="false">H70+I70-$B$14</f>
        <v>2227.04493799566</v>
      </c>
      <c r="K70" s="43" t="n">
        <f aca="false">J70/$B$15</f>
        <v>54.3181692194064</v>
      </c>
    </row>
    <row r="71" customFormat="false" ht="15" hidden="false" customHeight="false" outlineLevel="0" collapsed="false">
      <c r="A71" s="49" t="n">
        <v>31</v>
      </c>
      <c r="B71" s="19" t="n">
        <f aca="true">NORMINV(RAND(),$B$6,$C$6)</f>
        <v>0.0360535490885641</v>
      </c>
      <c r="C71" s="19" t="n">
        <f aca="true">MAX(0.3,NORMINV(RAND(),$B$7,$C$7))</f>
        <v>0.406509925507868</v>
      </c>
      <c r="D71" s="32" t="n">
        <f aca="true">MAX(0.06,NORMINV(RAND(),$B$8,$C$8))</f>
        <v>0.0968287793664371</v>
      </c>
      <c r="E71" s="50" t="n">
        <f aca="true">MAX(4,NORMINV(RAND(),$B$9,$C$9))</f>
        <v>8.58860171638706</v>
      </c>
      <c r="F71" s="24" t="n">
        <f aca="false">$B$18*(1+(B71+$B$17)/2)^9</f>
        <v>1222.48162480663</v>
      </c>
      <c r="G71" s="24" t="n">
        <f aca="false">F71*C71</f>
        <v>496.950914234881</v>
      </c>
      <c r="H71" s="24" t="n">
        <f aca="false">E71*G71/(1+D71)^9</f>
        <v>1857.74637289756</v>
      </c>
      <c r="I71" s="24" t="n">
        <f aca="false">$B$13*G71/$B$12*((1+$B$8)/(1+D71))^4.5</f>
        <v>1789.06854071124</v>
      </c>
      <c r="J71" s="24" t="n">
        <f aca="false">H71+I71-$B$14</f>
        <v>2711.02463415674</v>
      </c>
      <c r="K71" s="43" t="n">
        <f aca="false">J71/$B$15</f>
        <v>66.1225520526034</v>
      </c>
    </row>
    <row r="72" customFormat="false" ht="15" hidden="false" customHeight="false" outlineLevel="0" collapsed="false">
      <c r="A72" s="49" t="n">
        <v>32</v>
      </c>
      <c r="B72" s="19" t="n">
        <f aca="true">NORMINV(RAND(),$B$6,$C$6)</f>
        <v>0.0334894798798583</v>
      </c>
      <c r="C72" s="19" t="n">
        <f aca="true">MAX(0.3,NORMINV(RAND(),$B$7,$C$7))</f>
        <v>0.434810890911137</v>
      </c>
      <c r="D72" s="32" t="n">
        <f aca="true">MAX(0.06,NORMINV(RAND(),$B$8,$C$8))</f>
        <v>0.0860850720490941</v>
      </c>
      <c r="E72" s="50" t="n">
        <f aca="true">MAX(4,NORMINV(RAND(),$B$9,$C$9))</f>
        <v>7.96210967764297</v>
      </c>
      <c r="F72" s="24" t="n">
        <f aca="false">$B$18*(1+(B72+$B$17)/2)^9</f>
        <v>1208.76265453754</v>
      </c>
      <c r="G72" s="24" t="n">
        <f aca="false">F72*C72</f>
        <v>525.58316671958</v>
      </c>
      <c r="H72" s="24" t="n">
        <f aca="false">E72*G72/(1+D72)^9</f>
        <v>1990.19212147656</v>
      </c>
      <c r="I72" s="24" t="n">
        <f aca="false">$B$13*G72/$B$12*((1+$B$8)/(1+D72))^4.5</f>
        <v>1977.8456658255</v>
      </c>
      <c r="J72" s="24" t="n">
        <f aca="false">H72+I72-$B$14</f>
        <v>3032.24750785</v>
      </c>
      <c r="K72" s="43" t="n">
        <f aca="false">J72/$B$15</f>
        <v>73.9572562890245</v>
      </c>
    </row>
    <row r="73" customFormat="false" ht="15" hidden="false" customHeight="false" outlineLevel="0" collapsed="false">
      <c r="A73" s="49" t="n">
        <v>33</v>
      </c>
      <c r="B73" s="19" t="n">
        <f aca="true">NORMINV(RAND(),$B$6,$C$6)</f>
        <v>0.0137733226721158</v>
      </c>
      <c r="C73" s="19" t="n">
        <f aca="true">MAX(0.3,NORMINV(RAND(),$B$7,$C$7))</f>
        <v>0.448078709019895</v>
      </c>
      <c r="D73" s="32" t="n">
        <f aca="true">MAX(0.06,NORMINV(RAND(),$B$8,$C$8))</f>
        <v>0.10353375076348</v>
      </c>
      <c r="E73" s="50" t="n">
        <f aca="true">MAX(4,NORMINV(RAND(),$B$9,$C$9))</f>
        <v>6.97299960256394</v>
      </c>
      <c r="F73" s="24" t="n">
        <f aca="false">$B$18*(1+(B73+$B$17)/2)^9</f>
        <v>1107.76127285438</v>
      </c>
      <c r="G73" s="24" t="n">
        <f aca="false">F73*C73</f>
        <v>496.364241042824</v>
      </c>
      <c r="H73" s="24" t="n">
        <f aca="false">E73*G73/(1+D73)^9</f>
        <v>1426.09857058329</v>
      </c>
      <c r="I73" s="24" t="n">
        <f aca="false">$B$13*G73/$B$12*((1+$B$8)/(1+D73))^4.5</f>
        <v>1738.61510400074</v>
      </c>
      <c r="J73" s="24" t="n">
        <f aca="false">H73+I73-$B$14</f>
        <v>2228.92339513197</v>
      </c>
      <c r="K73" s="43" t="n">
        <f aca="false">J73/$B$15</f>
        <v>54.3639852471213</v>
      </c>
    </row>
    <row r="74" customFormat="false" ht="15" hidden="false" customHeight="false" outlineLevel="0" collapsed="false">
      <c r="A74" s="49" t="n">
        <v>34</v>
      </c>
      <c r="B74" s="19" t="n">
        <f aca="true">NORMINV(RAND(),$B$6,$C$6)</f>
        <v>0.0294655128999056</v>
      </c>
      <c r="C74" s="19" t="n">
        <f aca="true">MAX(0.3,NORMINV(RAND(),$B$7,$C$7))</f>
        <v>0.410630712917736</v>
      </c>
      <c r="D74" s="32" t="n">
        <f aca="true">MAX(0.06,NORMINV(RAND(),$B$8,$C$8))</f>
        <v>0.0819958271839511</v>
      </c>
      <c r="E74" s="50" t="n">
        <f aca="true">MAX(4,NORMINV(RAND(),$B$9,$C$9))</f>
        <v>5.16426914976036</v>
      </c>
      <c r="F74" s="24" t="n">
        <f aca="false">$B$18*(1+(B74+$B$17)/2)^9</f>
        <v>1187.50834465986</v>
      </c>
      <c r="G74" s="24" t="n">
        <f aca="false">F74*C74</f>
        <v>487.62739816344</v>
      </c>
      <c r="H74" s="24" t="n">
        <f aca="false">E74*G74/(1+D74)^9</f>
        <v>1238.98684399902</v>
      </c>
      <c r="I74" s="24" t="n">
        <f aca="false">$B$13*G74/$B$12*((1+$B$8)/(1+D74))^4.5</f>
        <v>1866.42789032184</v>
      </c>
      <c r="J74" s="24" t="n">
        <f aca="false">H74+I74-$B$14</f>
        <v>2169.6244548688</v>
      </c>
      <c r="K74" s="43" t="n">
        <f aca="false">J74/$B$15</f>
        <v>52.9176696309464</v>
      </c>
    </row>
    <row r="75" customFormat="false" ht="15" hidden="false" customHeight="false" outlineLevel="0" collapsed="false">
      <c r="A75" s="49" t="n">
        <v>35</v>
      </c>
      <c r="B75" s="19" t="n">
        <f aca="true">NORMINV(RAND(),$B$6,$C$6)</f>
        <v>-0.00395056697697854</v>
      </c>
      <c r="C75" s="19" t="n">
        <f aca="true">MAX(0.3,NORMINV(RAND(),$B$7,$C$7))</f>
        <v>0.476050240593484</v>
      </c>
      <c r="D75" s="32" t="n">
        <f aca="true">MAX(0.06,NORMINV(RAND(),$B$8,$C$8))</f>
        <v>0.0957043786781508</v>
      </c>
      <c r="E75" s="50" t="n">
        <f aca="true">MAX(4,NORMINV(RAND(),$B$9,$C$9))</f>
        <v>7.81624017154179</v>
      </c>
      <c r="F75" s="24" t="n">
        <f aca="false">$B$18*(1+(B75+$B$17)/2)^9</f>
        <v>1023.4439278835</v>
      </c>
      <c r="G75" s="24" t="n">
        <f aca="false">F75*C75</f>
        <v>487.21072810288</v>
      </c>
      <c r="H75" s="24" t="n">
        <f aca="false">E75*G75/(1+D75)^9</f>
        <v>1672.91611053393</v>
      </c>
      <c r="I75" s="24" t="n">
        <f aca="false">$B$13*G75/$B$12*((1+$B$8)/(1+D75))^4.5</f>
        <v>1762.11727204479</v>
      </c>
      <c r="J75" s="24" t="n">
        <f aca="false">H75+I75-$B$14</f>
        <v>2499.24310312667</v>
      </c>
      <c r="K75" s="43" t="n">
        <f aca="false">J75/$B$15</f>
        <v>60.957148856748</v>
      </c>
    </row>
    <row r="76" customFormat="false" ht="15" hidden="false" customHeight="false" outlineLevel="0" collapsed="false">
      <c r="A76" s="49" t="n">
        <v>36</v>
      </c>
      <c r="B76" s="19" t="n">
        <f aca="true">NORMINV(RAND(),$B$6,$C$6)</f>
        <v>0.0136022405633811</v>
      </c>
      <c r="C76" s="19" t="n">
        <f aca="true">MAX(0.3,NORMINV(RAND(),$B$7,$C$7))</f>
        <v>0.476700338860497</v>
      </c>
      <c r="D76" s="32" t="n">
        <f aca="true">MAX(0.06,NORMINV(RAND(),$B$8,$C$8))</f>
        <v>0.0785682072967716</v>
      </c>
      <c r="E76" s="50" t="n">
        <f aca="true">MAX(4,NORMINV(RAND(),$B$9,$C$9))</f>
        <v>6.75834013883559</v>
      </c>
      <c r="F76" s="24" t="n">
        <f aca="false">$B$18*(1+(B76+$B$17)/2)^9</f>
        <v>1106.9187444228</v>
      </c>
      <c r="G76" s="24" t="n">
        <f aca="false">F76*C76</f>
        <v>527.668540557385</v>
      </c>
      <c r="H76" s="24" t="n">
        <f aca="false">E76*G76/(1+D76)^9</f>
        <v>1805.39700237435</v>
      </c>
      <c r="I76" s="24" t="n">
        <f aca="false">$B$13*G76/$B$12*((1+$B$8)/(1+D76))^4.5</f>
        <v>2048.73218346577</v>
      </c>
      <c r="J76" s="24" t="n">
        <f aca="false">H76+I76-$B$14</f>
        <v>2918.33890638806</v>
      </c>
      <c r="K76" s="43" t="n">
        <f aca="false">J76/$B$15</f>
        <v>71.1789977167821</v>
      </c>
    </row>
    <row r="77" customFormat="false" ht="15" hidden="false" customHeight="false" outlineLevel="0" collapsed="false">
      <c r="A77" s="49" t="n">
        <v>37</v>
      </c>
      <c r="B77" s="19" t="n">
        <f aca="true">NORMINV(RAND(),$B$6,$C$6)</f>
        <v>0.0230841534625468</v>
      </c>
      <c r="C77" s="19" t="n">
        <f aca="true">MAX(0.3,NORMINV(RAND(),$B$7,$C$7))</f>
        <v>0.421764866282581</v>
      </c>
      <c r="D77" s="32" t="n">
        <f aca="true">MAX(0.06,NORMINV(RAND(),$B$8,$C$8))</f>
        <v>0.0822410956561684</v>
      </c>
      <c r="E77" s="50" t="n">
        <f aca="true">MAX(4,NORMINV(RAND(),$B$9,$C$9))</f>
        <v>9.15993035683523</v>
      </c>
      <c r="F77" s="24" t="n">
        <f aca="false">$B$18*(1+(B77+$B$17)/2)^9</f>
        <v>1154.48308839369</v>
      </c>
      <c r="G77" s="24" t="n">
        <f aca="false">F77*C77</f>
        <v>486.920405401867</v>
      </c>
      <c r="H77" s="24" t="n">
        <f aca="false">E77*G77/(1+D77)^9</f>
        <v>2189.94876959763</v>
      </c>
      <c r="I77" s="24" t="n">
        <f aca="false">$B$13*G77/$B$12*((1+$B$8)/(1+D77))^4.5</f>
        <v>1861.82188978661</v>
      </c>
      <c r="J77" s="24" t="n">
        <f aca="false">H77+I77-$B$14</f>
        <v>3115.98037993219</v>
      </c>
      <c r="K77" s="43" t="n">
        <f aca="false">J77/$B$15</f>
        <v>75.9995214617607</v>
      </c>
    </row>
    <row r="78" customFormat="false" ht="15" hidden="false" customHeight="false" outlineLevel="0" collapsed="false">
      <c r="A78" s="49" t="n">
        <v>38</v>
      </c>
      <c r="B78" s="19" t="n">
        <f aca="true">NORMINV(RAND(),$B$6,$C$6)</f>
        <v>0.0385658051364751</v>
      </c>
      <c r="C78" s="19" t="n">
        <f aca="true">MAX(0.3,NORMINV(RAND(),$B$7,$C$7))</f>
        <v>0.423120140903389</v>
      </c>
      <c r="D78" s="32" t="n">
        <f aca="true">MAX(0.06,NORMINV(RAND(),$B$8,$C$8))</f>
        <v>0.0841800724593171</v>
      </c>
      <c r="E78" s="50" t="n">
        <f aca="true">MAX(4,NORMINV(RAND(),$B$9,$C$9))</f>
        <v>6.73876468087369</v>
      </c>
      <c r="F78" s="24" t="n">
        <f aca="false">$B$18*(1+(B78+$B$17)/2)^9</f>
        <v>1236.05743092676</v>
      </c>
      <c r="G78" s="24" t="n">
        <f aca="false">F78*C78</f>
        <v>523.00079433841</v>
      </c>
      <c r="H78" s="24" t="n">
        <f aca="false">E78*G78/(1+D78)^9</f>
        <v>1702.82435999166</v>
      </c>
      <c r="I78" s="24" t="n">
        <f aca="false">$B$13*G78/$B$12*((1+$B$8)/(1+D78))^4.5</f>
        <v>1983.73752554081</v>
      </c>
      <c r="J78" s="24" t="n">
        <f aca="false">H78+I78-$B$14</f>
        <v>2750.77160608042</v>
      </c>
      <c r="K78" s="43" t="n">
        <f aca="false">J78/$B$15</f>
        <v>67.0919903922053</v>
      </c>
    </row>
    <row r="79" customFormat="false" ht="15" hidden="false" customHeight="false" outlineLevel="0" collapsed="false">
      <c r="A79" s="49" t="n">
        <v>39</v>
      </c>
      <c r="B79" s="19" t="n">
        <f aca="true">NORMINV(RAND(),$B$6,$C$6)</f>
        <v>0.0109677908652692</v>
      </c>
      <c r="C79" s="19" t="n">
        <f aca="true">MAX(0.3,NORMINV(RAND(),$B$7,$C$7))</f>
        <v>0.469899410166284</v>
      </c>
      <c r="D79" s="32" t="n">
        <f aca="true">MAX(0.06,NORMINV(RAND(),$B$8,$C$8))</f>
        <v>0.0810724949387667</v>
      </c>
      <c r="E79" s="50" t="n">
        <f aca="true">MAX(4,NORMINV(RAND(),$B$9,$C$9))</f>
        <v>10.3247167753923</v>
      </c>
      <c r="F79" s="24" t="n">
        <f aca="false">$B$18*(1+(B79+$B$17)/2)^9</f>
        <v>1094.01658426331</v>
      </c>
      <c r="G79" s="24" t="n">
        <f aca="false">F79*C79</f>
        <v>514.077747657461</v>
      </c>
      <c r="H79" s="24" t="n">
        <f aca="false">E79*G79/(1+D79)^9</f>
        <v>2631.56190272357</v>
      </c>
      <c r="I79" s="24" t="n">
        <f aca="false">$B$13*G79/$B$12*((1+$B$8)/(1+D79))^4.5</f>
        <v>1975.24229887983</v>
      </c>
      <c r="J79" s="24" t="n">
        <f aca="false">H79+I79-$B$14</f>
        <v>3671.01392215135</v>
      </c>
      <c r="K79" s="43" t="n">
        <f aca="false">J79/$B$15</f>
        <v>89.5369249305207</v>
      </c>
    </row>
    <row r="80" customFormat="false" ht="15" hidden="false" customHeight="false" outlineLevel="0" collapsed="false">
      <c r="A80" s="49" t="n">
        <v>40</v>
      </c>
      <c r="B80" s="19" t="n">
        <f aca="true">NORMINV(RAND(),$B$6,$C$6)</f>
        <v>0.0393204886596941</v>
      </c>
      <c r="C80" s="19" t="n">
        <f aca="true">MAX(0.3,NORMINV(RAND(),$B$7,$C$7))</f>
        <v>0.439845907140314</v>
      </c>
      <c r="D80" s="32" t="n">
        <f aca="true">MAX(0.06,NORMINV(RAND(),$B$8,$C$8))</f>
        <v>0.0742397089572698</v>
      </c>
      <c r="E80" s="50" t="n">
        <f aca="true">MAX(4,NORMINV(RAND(),$B$9,$C$9))</f>
        <v>7.24327318181732</v>
      </c>
      <c r="F80" s="24" t="n">
        <f aca="false">$B$18*(1+(B80+$B$17)/2)^9</f>
        <v>1240.16170313095</v>
      </c>
      <c r="G80" s="24" t="n">
        <f aca="false">F80*C80</f>
        <v>545.480049314311</v>
      </c>
      <c r="H80" s="24" t="n">
        <f aca="false">E80*G80/(1+D80)^9</f>
        <v>2073.97214398074</v>
      </c>
      <c r="I80" s="24" t="n">
        <f aca="false">$B$13*G80/$B$12*((1+$B$8)/(1+D80))^4.5</f>
        <v>2156.56084270171</v>
      </c>
      <c r="J80" s="24" t="n">
        <f aca="false">H80+I80-$B$14</f>
        <v>3294.7427072304</v>
      </c>
      <c r="K80" s="43" t="n">
        <f aca="false">J80/$B$15</f>
        <v>80.3595782251316</v>
      </c>
    </row>
    <row r="81" customFormat="false" ht="15" hidden="false" customHeight="false" outlineLevel="0" collapsed="false">
      <c r="A81" s="49" t="n">
        <v>41</v>
      </c>
      <c r="B81" s="19" t="n">
        <f aca="true">NORMINV(RAND(),$B$6,$C$6)</f>
        <v>0.0272966456936586</v>
      </c>
      <c r="C81" s="19" t="n">
        <f aca="true">MAX(0.3,NORMINV(RAND(),$B$7,$C$7))</f>
        <v>0.463913242711843</v>
      </c>
      <c r="D81" s="32" t="n">
        <f aca="true">MAX(0.06,NORMINV(RAND(),$B$8,$C$8))</f>
        <v>0.0699404031061166</v>
      </c>
      <c r="E81" s="50" t="n">
        <f aca="true">MAX(4,NORMINV(RAND(),$B$9,$C$9))</f>
        <v>6.52753020176784</v>
      </c>
      <c r="F81" s="24" t="n">
        <f aca="false">$B$18*(1+(B81+$B$17)/2)^9</f>
        <v>1176.19088299872</v>
      </c>
      <c r="G81" s="24" t="n">
        <f aca="false">F81*C81</f>
        <v>545.65052658004</v>
      </c>
      <c r="H81" s="24" t="n">
        <f aca="false">E81*G81/(1+D81)^9</f>
        <v>1938.32759924288</v>
      </c>
      <c r="I81" s="24" t="n">
        <f aca="false">$B$13*G81/$B$12*((1+$B$8)/(1+D81))^4.5</f>
        <v>2196.51759749661</v>
      </c>
      <c r="J81" s="24" t="n">
        <f aca="false">H81+I81-$B$14</f>
        <v>3199.05491728744</v>
      </c>
      <c r="K81" s="43" t="n">
        <f aca="false">J81/$B$15</f>
        <v>78.0257296899375</v>
      </c>
    </row>
    <row r="82" customFormat="false" ht="15" hidden="false" customHeight="false" outlineLevel="0" collapsed="false">
      <c r="A82" s="49" t="n">
        <v>42</v>
      </c>
      <c r="B82" s="19" t="n">
        <f aca="true">NORMINV(RAND(),$B$6,$C$6)</f>
        <v>0.0373245133678768</v>
      </c>
      <c r="C82" s="19" t="n">
        <f aca="true">MAX(0.3,NORMINV(RAND(),$B$7,$C$7))</f>
        <v>0.489250401045669</v>
      </c>
      <c r="D82" s="32" t="n">
        <f aca="true">MAX(0.06,NORMINV(RAND(),$B$8,$C$8))</f>
        <v>0.0765672764518933</v>
      </c>
      <c r="E82" s="50" t="n">
        <f aca="true">MAX(4,NORMINV(RAND(),$B$9,$C$9))</f>
        <v>8.93286457406757</v>
      </c>
      <c r="F82" s="24" t="n">
        <f aca="false">$B$18*(1+(B82+$B$17)/2)^9</f>
        <v>1229.33304366911</v>
      </c>
      <c r="G82" s="24" t="n">
        <f aca="false">F82*C82</f>
        <v>601.451684633807</v>
      </c>
      <c r="H82" s="24" t="n">
        <f aca="false">E82*G82/(1+D82)^9</f>
        <v>2765.80095715512</v>
      </c>
      <c r="I82" s="24" t="n">
        <f aca="false">$B$13*G82/$B$12*((1+$B$8)/(1+D82))^4.5</f>
        <v>2354.79829105561</v>
      </c>
      <c r="J82" s="24" t="n">
        <f aca="false">H82+I82-$B$14</f>
        <v>4184.80896875867</v>
      </c>
      <c r="K82" s="43" t="n">
        <f aca="false">J82/$B$15</f>
        <v>102.068511433138</v>
      </c>
    </row>
    <row r="83" customFormat="false" ht="15" hidden="false" customHeight="false" outlineLevel="0" collapsed="false">
      <c r="A83" s="49" t="n">
        <v>43</v>
      </c>
      <c r="B83" s="19" t="n">
        <f aca="true">NORMINV(RAND(),$B$6,$C$6)</f>
        <v>0.00710790216673941</v>
      </c>
      <c r="C83" s="19" t="n">
        <f aca="true">MAX(0.3,NORMINV(RAND(),$B$7,$C$7))</f>
        <v>0.43682153404161</v>
      </c>
      <c r="D83" s="32" t="n">
        <f aca="true">MAX(0.06,NORMINV(RAND(),$B$8,$C$8))</f>
        <v>0.0857838567239387</v>
      </c>
      <c r="E83" s="50" t="n">
        <f aca="true">MAX(4,NORMINV(RAND(),$B$9,$C$9))</f>
        <v>8.03986763665813</v>
      </c>
      <c r="F83" s="24" t="n">
        <f aca="false">$B$18*(1+(B83+$B$17)/2)^9</f>
        <v>1075.3542462723</v>
      </c>
      <c r="G83" s="24" t="n">
        <f aca="false">F83*C83</f>
        <v>469.737891494827</v>
      </c>
      <c r="H83" s="24" t="n">
        <f aca="false">E83*G83/(1+D83)^9</f>
        <v>1800.5868323365</v>
      </c>
      <c r="I83" s="24" t="n">
        <f aca="false">$B$13*G83/$B$12*((1+$B$8)/(1+D83))^4.5</f>
        <v>1769.89961719389</v>
      </c>
      <c r="J83" s="24" t="n">
        <f aca="false">H83+I83-$B$14</f>
        <v>2634.69617007833</v>
      </c>
      <c r="K83" s="43" t="n">
        <f aca="false">J83/$B$15</f>
        <v>64.2608821970325</v>
      </c>
    </row>
    <row r="84" customFormat="false" ht="15" hidden="false" customHeight="false" outlineLevel="0" collapsed="false">
      <c r="A84" s="49" t="n">
        <v>44</v>
      </c>
      <c r="B84" s="19" t="n">
        <f aca="true">NORMINV(RAND(),$B$6,$C$6)</f>
        <v>0.0413938022172532</v>
      </c>
      <c r="C84" s="19" t="n">
        <f aca="true">MAX(0.3,NORMINV(RAND(),$B$7,$C$7))</f>
        <v>0.424762653941946</v>
      </c>
      <c r="D84" s="32" t="n">
        <f aca="true">MAX(0.06,NORMINV(RAND(),$B$8,$C$8))</f>
        <v>0.0938169155768232</v>
      </c>
      <c r="E84" s="50" t="n">
        <f aca="true">MAX(4,NORMINV(RAND(),$B$9,$C$9))</f>
        <v>9.17580615545565</v>
      </c>
      <c r="F84" s="24" t="n">
        <f aca="false">$B$18*(1+(B84+$B$17)/2)^9</f>
        <v>1251.49964012427</v>
      </c>
      <c r="G84" s="24" t="n">
        <f aca="false">F84*C84</f>
        <v>531.590308546575</v>
      </c>
      <c r="H84" s="24" t="n">
        <f aca="false">E84*G84/(1+D84)^9</f>
        <v>2176.3040333307</v>
      </c>
      <c r="I84" s="24" t="n">
        <f aca="false">$B$13*G84/$B$12*((1+$B$8)/(1+D84))^4.5</f>
        <v>1937.60143974655</v>
      </c>
      <c r="J84" s="24" t="n">
        <f aca="false">H84+I84-$B$14</f>
        <v>3178.11519362519</v>
      </c>
      <c r="K84" s="43" t="n">
        <f aca="false">J84/$B$15</f>
        <v>77.5150047225656</v>
      </c>
    </row>
    <row r="85" customFormat="false" ht="15" hidden="false" customHeight="false" outlineLevel="0" collapsed="false">
      <c r="A85" s="49" t="n">
        <v>45</v>
      </c>
      <c r="B85" s="19" t="n">
        <f aca="true">NORMINV(RAND(),$B$6,$C$6)</f>
        <v>0.0547773494195744</v>
      </c>
      <c r="C85" s="19" t="n">
        <f aca="true">MAX(0.3,NORMINV(RAND(),$B$7,$C$7))</f>
        <v>0.449223625914068</v>
      </c>
      <c r="D85" s="32" t="n">
        <f aca="true">MAX(0.06,NORMINV(RAND(),$B$8,$C$8))</f>
        <v>0.0813735899662002</v>
      </c>
      <c r="E85" s="50" t="n">
        <f aca="true">MAX(4,NORMINV(RAND(),$B$9,$C$9))</f>
        <v>8.06465280602692</v>
      </c>
      <c r="F85" s="24" t="n">
        <f aca="false">$B$18*(1+(B85+$B$17)/2)^9</f>
        <v>1326.93125478471</v>
      </c>
      <c r="G85" s="24" t="n">
        <f aca="false">F85*C85</f>
        <v>596.088869613092</v>
      </c>
      <c r="H85" s="24" t="n">
        <f aca="false">E85*G85/(1+D85)^9</f>
        <v>2377.46897973018</v>
      </c>
      <c r="I85" s="24" t="n">
        <f aca="false">$B$13*G85/$B$12*((1+$B$8)/(1+D85))^4.5</f>
        <v>2287.4855067243</v>
      </c>
      <c r="J85" s="24" t="n">
        <f aca="false">H85+I85-$B$14</f>
        <v>3729.16420700242</v>
      </c>
      <c r="K85" s="43" t="n">
        <f aca="false">J85/$B$15</f>
        <v>90.9552245610347</v>
      </c>
    </row>
    <row r="86" customFormat="false" ht="15" hidden="false" customHeight="false" outlineLevel="0" collapsed="false">
      <c r="A86" s="49" t="n">
        <v>46</v>
      </c>
      <c r="B86" s="19" t="n">
        <f aca="true">NORMINV(RAND(),$B$6,$C$6)</f>
        <v>0.046914324712451</v>
      </c>
      <c r="C86" s="19" t="n">
        <f aca="true">MAX(0.3,NORMINV(RAND(),$B$7,$C$7))</f>
        <v>0.433613217009565</v>
      </c>
      <c r="D86" s="32" t="n">
        <f aca="true">MAX(0.06,NORMINV(RAND(),$B$8,$C$8))</f>
        <v>0.0674370934842707</v>
      </c>
      <c r="E86" s="50" t="n">
        <f aca="true">MAX(4,NORMINV(RAND(),$B$9,$C$9))</f>
        <v>10.8837851410736</v>
      </c>
      <c r="F86" s="24" t="n">
        <f aca="false">$B$18*(1+(B86+$B$17)/2)^9</f>
        <v>1282.1392685069</v>
      </c>
      <c r="G86" s="24" t="n">
        <f aca="false">F86*C86</f>
        <v>555.952532871566</v>
      </c>
      <c r="H86" s="24" t="n">
        <f aca="false">E86*G86/(1+D86)^9</f>
        <v>3363.07891768317</v>
      </c>
      <c r="I86" s="24" t="n">
        <f aca="false">$B$13*G86/$B$12*((1+$B$8)/(1+D86))^4.5</f>
        <v>2261.70344127169</v>
      </c>
      <c r="J86" s="24" t="n">
        <f aca="false">H86+I86-$B$14</f>
        <v>4688.9920795028</v>
      </c>
      <c r="K86" s="43" t="n">
        <f aca="false">J86/$B$15</f>
        <v>114.365660475678</v>
      </c>
    </row>
    <row r="87" customFormat="false" ht="15" hidden="false" customHeight="false" outlineLevel="0" collapsed="false">
      <c r="A87" s="49" t="n">
        <v>47</v>
      </c>
      <c r="B87" s="19" t="n">
        <f aca="true">NORMINV(RAND(),$B$6,$C$6)</f>
        <v>0.0368772753829541</v>
      </c>
      <c r="C87" s="19" t="n">
        <f aca="true">MAX(0.3,NORMINV(RAND(),$B$7,$C$7))</f>
        <v>0.411509256988007</v>
      </c>
      <c r="D87" s="32" t="n">
        <f aca="true">MAX(0.06,NORMINV(RAND(),$B$8,$C$8))</f>
        <v>0.0731431684220641</v>
      </c>
      <c r="E87" s="50" t="n">
        <f aca="true">MAX(4,NORMINV(RAND(),$B$9,$C$9))</f>
        <v>11.5296925798318</v>
      </c>
      <c r="F87" s="24" t="n">
        <f aca="false">$B$18*(1+(B87+$B$17)/2)^9</f>
        <v>1226.91822457295</v>
      </c>
      <c r="G87" s="24" t="n">
        <f aca="false">F87*C87</f>
        <v>504.888206979058</v>
      </c>
      <c r="H87" s="24" t="n">
        <f aca="false">E87*G87/(1+D87)^9</f>
        <v>3083.8551258253</v>
      </c>
      <c r="I87" s="24" t="n">
        <f aca="false">$B$13*G87/$B$12*((1+$B$8)/(1+D87))^4.5</f>
        <v>2005.27521513963</v>
      </c>
      <c r="J87" s="24" t="n">
        <f aca="false">H87+I87-$B$14</f>
        <v>4153.34006151287</v>
      </c>
      <c r="K87" s="43" t="n">
        <f aca="false">J87/$B$15</f>
        <v>101.30097711007</v>
      </c>
    </row>
    <row r="88" customFormat="false" ht="15" hidden="false" customHeight="false" outlineLevel="0" collapsed="false">
      <c r="A88" s="49" t="n">
        <v>48</v>
      </c>
      <c r="B88" s="19" t="n">
        <f aca="true">NORMINV(RAND(),$B$6,$C$6)</f>
        <v>-0.000280248985325127</v>
      </c>
      <c r="C88" s="19" t="n">
        <f aca="true">MAX(0.3,NORMINV(RAND(),$B$7,$C$7))</f>
        <v>0.388875238161859</v>
      </c>
      <c r="D88" s="32" t="n">
        <f aca="true">MAX(0.06,NORMINV(RAND(),$B$8,$C$8))</f>
        <v>0.0937291420268664</v>
      </c>
      <c r="E88" s="50" t="n">
        <f aca="true">MAX(4,NORMINV(RAND(),$B$9,$C$9))</f>
        <v>7.76854324733398</v>
      </c>
      <c r="F88" s="24" t="n">
        <f aca="false">$B$18*(1+(B88+$B$17)/2)^9</f>
        <v>1040.42045854188</v>
      </c>
      <c r="G88" s="24" t="n">
        <f aca="false">F88*C88</f>
        <v>404.593753603945</v>
      </c>
      <c r="H88" s="24" t="n">
        <f aca="false">E88*G88/(1+D88)^9</f>
        <v>1403.36521105182</v>
      </c>
      <c r="I88" s="24" t="n">
        <f aca="false">$B$13*G88/$B$12*((1+$B$8)/(1+D88))^4.5</f>
        <v>1475.24244378308</v>
      </c>
      <c r="J88" s="24" t="n">
        <f aca="false">H88+I88-$B$14</f>
        <v>1942.81737538285</v>
      </c>
      <c r="K88" s="43" t="n">
        <f aca="false">J88/$B$15</f>
        <v>47.3857896434841</v>
      </c>
    </row>
    <row r="89" customFormat="false" ht="15" hidden="false" customHeight="false" outlineLevel="0" collapsed="false">
      <c r="A89" s="49" t="n">
        <v>49</v>
      </c>
      <c r="B89" s="19" t="n">
        <f aca="true">NORMINV(RAND(),$B$6,$C$6)</f>
        <v>0.0537118847427762</v>
      </c>
      <c r="C89" s="19" t="n">
        <f aca="true">MAX(0.3,NORMINV(RAND(),$B$7,$C$7))</f>
        <v>0.437187789749621</v>
      </c>
      <c r="D89" s="32" t="n">
        <f aca="true">MAX(0.06,NORMINV(RAND(),$B$8,$C$8))</f>
        <v>0.0794796455386975</v>
      </c>
      <c r="E89" s="50" t="n">
        <f aca="true">MAX(4,NORMINV(RAND(),$B$9,$C$9))</f>
        <v>8.8030535646209</v>
      </c>
      <c r="F89" s="24" t="n">
        <f aca="false">$B$18*(1+(B89+$B$17)/2)^9</f>
        <v>1320.78146176591</v>
      </c>
      <c r="G89" s="24" t="n">
        <f aca="false">F89*C89</f>
        <v>577.429528011713</v>
      </c>
      <c r="H89" s="24" t="n">
        <f aca="false">E89*G89/(1+D89)^9</f>
        <v>2553.89015006066</v>
      </c>
      <c r="I89" s="24" t="n">
        <f aca="false">$B$13*G89/$B$12*((1+$B$8)/(1+D89))^4.5</f>
        <v>2233.42915694308</v>
      </c>
      <c r="J89" s="24" t="n">
        <f aca="false">H89+I89-$B$14</f>
        <v>3851.52902755169</v>
      </c>
      <c r="K89" s="43" t="n">
        <f aca="false">J89/$B$15</f>
        <v>93.9397323793095</v>
      </c>
    </row>
    <row r="90" customFormat="false" ht="15" hidden="false" customHeight="false" outlineLevel="0" collapsed="false">
      <c r="A90" s="49" t="n">
        <v>50</v>
      </c>
      <c r="B90" s="19" t="n">
        <f aca="true">NORMINV(RAND(),$B$6,$C$6)</f>
        <v>0.0516772624217457</v>
      </c>
      <c r="C90" s="19" t="n">
        <f aca="true">MAX(0.3,NORMINV(RAND(),$B$7,$C$7))</f>
        <v>0.412808124754161</v>
      </c>
      <c r="D90" s="32" t="n">
        <f aca="true">MAX(0.06,NORMINV(RAND(),$B$8,$C$8))</f>
        <v>0.0911408539250195</v>
      </c>
      <c r="E90" s="50" t="n">
        <f aca="true">MAX(4,NORMINV(RAND(),$B$9,$C$9))</f>
        <v>8.09432250190643</v>
      </c>
      <c r="F90" s="24" t="n">
        <f aca="false">$B$18*(1+(B90+$B$17)/2)^9</f>
        <v>1309.10809620397</v>
      </c>
      <c r="G90" s="24" t="n">
        <f aca="false">F90*C90</f>
        <v>540.410458294452</v>
      </c>
      <c r="H90" s="24" t="n">
        <f aca="false">E90*G90/(1+D90)^9</f>
        <v>1995.15618461945</v>
      </c>
      <c r="I90" s="24" t="n">
        <f aca="false">$B$13*G90/$B$12*((1+$B$8)/(1+D90))^4.5</f>
        <v>1991.58259756155</v>
      </c>
      <c r="J90" s="24" t="n">
        <f aca="false">H90+I90-$B$14</f>
        <v>3050.94850272894</v>
      </c>
      <c r="K90" s="43" t="n">
        <f aca="false">J90/$B$15</f>
        <v>74.41337811534</v>
      </c>
    </row>
    <row r="91" customFormat="false" ht="15" hidden="false" customHeight="false" outlineLevel="0" collapsed="false">
      <c r="A91" s="49" t="n">
        <v>51</v>
      </c>
      <c r="B91" s="19" t="n">
        <f aca="true">NORMINV(RAND(),$B$6,$C$6)</f>
        <v>0.0400065789663241</v>
      </c>
      <c r="C91" s="19" t="n">
        <f aca="true">MAX(0.3,NORMINV(RAND(),$B$7,$C$7))</f>
        <v>0.438111093391974</v>
      </c>
      <c r="D91" s="32" t="n">
        <f aca="true">MAX(0.06,NORMINV(RAND(),$B$8,$C$8))</f>
        <v>0.0760980949733969</v>
      </c>
      <c r="E91" s="50" t="n">
        <f aca="true">MAX(4,NORMINV(RAND(),$B$9,$C$9))</f>
        <v>10.880881013947</v>
      </c>
      <c r="F91" s="24" t="n">
        <f aca="false">$B$18*(1+(B91+$B$17)/2)^9</f>
        <v>1243.90344548645</v>
      </c>
      <c r="G91" s="24" t="n">
        <f aca="false">F91*C91</f>
        <v>544.967898576111</v>
      </c>
      <c r="H91" s="24" t="n">
        <f aca="false">E91*G91/(1+D91)^9</f>
        <v>3064.56063711487</v>
      </c>
      <c r="I91" s="24" t="n">
        <f aca="false">$B$13*G91/$B$12*((1+$B$8)/(1+D91))^4.5</f>
        <v>2137.842921386</v>
      </c>
      <c r="J91" s="24" t="n">
        <f aca="false">H91+I91-$B$14</f>
        <v>4266.61327904882</v>
      </c>
      <c r="K91" s="43" t="n">
        <f aca="false">J91/$B$15</f>
        <v>104.063738513386</v>
      </c>
    </row>
    <row r="92" customFormat="false" ht="15" hidden="false" customHeight="false" outlineLevel="0" collapsed="false">
      <c r="A92" s="49" t="n">
        <v>52</v>
      </c>
      <c r="B92" s="19" t="n">
        <f aca="true">NORMINV(RAND(),$B$6,$C$6)</f>
        <v>0.0531922952172105</v>
      </c>
      <c r="C92" s="19" t="n">
        <f aca="true">MAX(0.3,NORMINV(RAND(),$B$7,$C$7))</f>
        <v>0.426274691681564</v>
      </c>
      <c r="D92" s="32" t="n">
        <f aca="true">MAX(0.06,NORMINV(RAND(),$B$8,$C$8))</f>
        <v>0.0815917096284412</v>
      </c>
      <c r="E92" s="50" t="n">
        <f aca="true">MAX(4,NORMINV(RAND(),$B$9,$C$9))</f>
        <v>7.47070912542658</v>
      </c>
      <c r="F92" s="24" t="n">
        <f aca="false">$B$18*(1+(B92+$B$17)/2)^9</f>
        <v>1317.79162514944</v>
      </c>
      <c r="G92" s="24" t="n">
        <f aca="false">F92*C92</f>
        <v>561.741218711127</v>
      </c>
      <c r="H92" s="24" t="n">
        <f aca="false">E92*G92/(1+D92)^9</f>
        <v>2071.70527418154</v>
      </c>
      <c r="I92" s="24" t="n">
        <f aca="false">$B$13*G92/$B$12*((1+$B$8)/(1+D92))^4.5</f>
        <v>2153.7211406704</v>
      </c>
      <c r="J92" s="24" t="n">
        <f aca="false">H92+I92-$B$14</f>
        <v>3289.63613539988</v>
      </c>
      <c r="K92" s="43" t="n">
        <f aca="false">J92/$B$15</f>
        <v>80.23502769268</v>
      </c>
    </row>
    <row r="93" customFormat="false" ht="15" hidden="false" customHeight="false" outlineLevel="0" collapsed="false">
      <c r="A93" s="49" t="n">
        <v>53</v>
      </c>
      <c r="B93" s="19" t="n">
        <f aca="true">NORMINV(RAND(),$B$6,$C$6)</f>
        <v>0.0743737623421489</v>
      </c>
      <c r="C93" s="19" t="n">
        <f aca="true">MAX(0.3,NORMINV(RAND(),$B$7,$C$7))</f>
        <v>0.403923260844094</v>
      </c>
      <c r="D93" s="32" t="n">
        <f aca="true">MAX(0.06,NORMINV(RAND(),$B$8,$C$8))</f>
        <v>0.0797213896848883</v>
      </c>
      <c r="E93" s="50" t="n">
        <f aca="true">MAX(4,NORMINV(RAND(),$B$9,$C$9))</f>
        <v>8.40721766138137</v>
      </c>
      <c r="F93" s="24" t="n">
        <f aca="false">$B$18*(1+(B93+$B$17)/2)^9</f>
        <v>1444.67366783021</v>
      </c>
      <c r="G93" s="24" t="n">
        <f aca="false">F93*C93</f>
        <v>583.537298765575</v>
      </c>
      <c r="H93" s="24" t="n">
        <f aca="false">E93*G93/(1+D93)^9</f>
        <v>2459.88932087333</v>
      </c>
      <c r="I93" s="24" t="n">
        <f aca="false">$B$13*G93/$B$12*((1+$B$8)/(1+D93))^4.5</f>
        <v>2254.780140504</v>
      </c>
      <c r="J93" s="24" t="n">
        <f aca="false">H93+I93-$B$14</f>
        <v>3778.87918192527</v>
      </c>
      <c r="K93" s="43" t="n">
        <f aca="false">J93/$B$15</f>
        <v>92.1677849250067</v>
      </c>
    </row>
    <row r="94" customFormat="false" ht="15" hidden="false" customHeight="false" outlineLevel="0" collapsed="false">
      <c r="A94" s="49" t="n">
        <v>54</v>
      </c>
      <c r="B94" s="19" t="n">
        <f aca="true">NORMINV(RAND(),$B$6,$C$6)</f>
        <v>0.0230945414332179</v>
      </c>
      <c r="C94" s="19" t="n">
        <f aca="true">MAX(0.3,NORMINV(RAND(),$B$7,$C$7))</f>
        <v>0.402125175680906</v>
      </c>
      <c r="D94" s="32" t="n">
        <f aca="true">MAX(0.06,NORMINV(RAND(),$B$8,$C$8))</f>
        <v>0.0762077826548229</v>
      </c>
      <c r="E94" s="50" t="n">
        <f aca="true">MAX(4,NORMINV(RAND(),$B$9,$C$9))</f>
        <v>8.52701475503982</v>
      </c>
      <c r="F94" s="24" t="n">
        <f aca="false">$B$18*(1+(B94+$B$17)/2)^9</f>
        <v>1154.53617858868</v>
      </c>
      <c r="G94" s="24" t="n">
        <f aca="false">F94*C94</f>
        <v>464.268063644937</v>
      </c>
      <c r="H94" s="24" t="n">
        <f aca="false">E94*G94/(1+D94)^9</f>
        <v>2044.09308736224</v>
      </c>
      <c r="I94" s="24" t="n">
        <f aca="false">$B$13*G94/$B$12*((1+$B$8)/(1+D94))^4.5</f>
        <v>1820.43210228955</v>
      </c>
      <c r="J94" s="24" t="n">
        <f aca="false">H94+I94-$B$14</f>
        <v>2928.73491019973</v>
      </c>
      <c r="K94" s="43" t="n">
        <f aca="false">J94/$B$15</f>
        <v>71.4325587853592</v>
      </c>
    </row>
    <row r="95" customFormat="false" ht="15" hidden="false" customHeight="false" outlineLevel="0" collapsed="false">
      <c r="A95" s="49" t="n">
        <v>55</v>
      </c>
      <c r="B95" s="19" t="n">
        <f aca="true">NORMINV(RAND(),$B$6,$C$6)</f>
        <v>0.0420867339923692</v>
      </c>
      <c r="C95" s="19" t="n">
        <f aca="true">MAX(0.3,NORMINV(RAND(),$B$7,$C$7))</f>
        <v>0.456324107468654</v>
      </c>
      <c r="D95" s="32" t="n">
        <f aca="true">MAX(0.06,NORMINV(RAND(),$B$8,$C$8))</f>
        <v>0.0773872019684346</v>
      </c>
      <c r="E95" s="50" t="n">
        <f aca="true">MAX(4,NORMINV(RAND(),$B$9,$C$9))</f>
        <v>6.31606952529376</v>
      </c>
      <c r="F95" s="24" t="n">
        <f aca="false">$B$18*(1+(B95+$B$17)/2)^9</f>
        <v>1255.30943450051</v>
      </c>
      <c r="G95" s="24" t="n">
        <f aca="false">F95*C95</f>
        <v>572.827957295429</v>
      </c>
      <c r="H95" s="24" t="n">
        <f aca="false">E95*G95/(1+D95)^9</f>
        <v>1849.80009154597</v>
      </c>
      <c r="I95" s="24" t="n">
        <f aca="false">$B$13*G95/$B$12*((1+$B$8)/(1+D95))^4.5</f>
        <v>2235.06060144139</v>
      </c>
      <c r="J95" s="24" t="n">
        <f aca="false">H95+I95-$B$14</f>
        <v>3149.07041353531</v>
      </c>
      <c r="K95" s="43" t="n">
        <f aca="false">J95/$B$15</f>
        <v>76.8065954520807</v>
      </c>
    </row>
    <row r="96" customFormat="false" ht="15" hidden="false" customHeight="false" outlineLevel="0" collapsed="false">
      <c r="A96" s="49" t="n">
        <v>56</v>
      </c>
      <c r="B96" s="19" t="n">
        <f aca="true">NORMINV(RAND(),$B$6,$C$6)</f>
        <v>0.0572338446366654</v>
      </c>
      <c r="C96" s="19" t="n">
        <f aca="true">MAX(0.3,NORMINV(RAND(),$B$7,$C$7))</f>
        <v>0.465920003947366</v>
      </c>
      <c r="D96" s="32" t="n">
        <f aca="true">MAX(0.06,NORMINV(RAND(),$B$8,$C$8))</f>
        <v>0.0795665354834305</v>
      </c>
      <c r="E96" s="50" t="n">
        <f aca="true">MAX(4,NORMINV(RAND(),$B$9,$C$9))</f>
        <v>11.5933129613416</v>
      </c>
      <c r="F96" s="24" t="n">
        <f aca="false">$B$18*(1+(B96+$B$17)/2)^9</f>
        <v>1341.20707902008</v>
      </c>
      <c r="G96" s="24" t="n">
        <f aca="false">F96*C96</f>
        <v>624.895207551273</v>
      </c>
      <c r="H96" s="24" t="n">
        <f aca="false">E96*G96/(1+D96)^9</f>
        <v>3637.22384597185</v>
      </c>
      <c r="I96" s="24" t="n">
        <f aca="false">$B$13*G96/$B$12*((1+$B$8)/(1+D96))^4.5</f>
        <v>2416.14550478987</v>
      </c>
      <c r="J96" s="24" t="n">
        <f aca="false">H96+I96-$B$14</f>
        <v>5117.57907130966</v>
      </c>
      <c r="K96" s="43" t="n">
        <f aca="false">J96/$B$15</f>
        <v>124.81900173926</v>
      </c>
    </row>
    <row r="97" customFormat="false" ht="15" hidden="false" customHeight="false" outlineLevel="0" collapsed="false">
      <c r="A97" s="49" t="n">
        <v>57</v>
      </c>
      <c r="B97" s="19" t="n">
        <f aca="true">NORMINV(RAND(),$B$6,$C$6)</f>
        <v>0.0266315038054292</v>
      </c>
      <c r="C97" s="19" t="n">
        <f aca="true">MAX(0.3,NORMINV(RAND(),$B$7,$C$7))</f>
        <v>0.441406867926876</v>
      </c>
      <c r="D97" s="32" t="n">
        <f aca="true">MAX(0.06,NORMINV(RAND(),$B$8,$C$8))</f>
        <v>0.0653832688195871</v>
      </c>
      <c r="E97" s="50" t="n">
        <f aca="true">MAX(4,NORMINV(RAND(),$B$9,$C$9))</f>
        <v>7.20318071939349</v>
      </c>
      <c r="F97" s="24" t="n">
        <f aca="false">$B$18*(1+(B97+$B$17)/2)^9</f>
        <v>1172.73934029962</v>
      </c>
      <c r="G97" s="24" t="n">
        <f aca="false">F97*C97</f>
        <v>517.655199096284</v>
      </c>
      <c r="H97" s="24" t="n">
        <f aca="false">E97*G97/(1+D97)^9</f>
        <v>2108.68661568763</v>
      </c>
      <c r="I97" s="24" t="n">
        <f aca="false">$B$13*G97/$B$12*((1+$B$8)/(1+D97))^4.5</f>
        <v>2124.234256623</v>
      </c>
      <c r="J97" s="24" t="n">
        <f aca="false">H97+I97-$B$14</f>
        <v>3297.13059285858</v>
      </c>
      <c r="K97" s="43" t="n">
        <f aca="false">J97/$B$15</f>
        <v>80.4178193380141</v>
      </c>
    </row>
    <row r="98" customFormat="false" ht="15" hidden="false" customHeight="false" outlineLevel="0" collapsed="false">
      <c r="A98" s="49" t="n">
        <v>58</v>
      </c>
      <c r="B98" s="19" t="n">
        <f aca="true">NORMINV(RAND(),$B$6,$C$6)</f>
        <v>0.0231943417687746</v>
      </c>
      <c r="C98" s="19" t="n">
        <f aca="true">MAX(0.3,NORMINV(RAND(),$B$7,$C$7))</f>
        <v>0.456936396468042</v>
      </c>
      <c r="D98" s="32" t="n">
        <f aca="true">MAX(0.06,NORMINV(RAND(),$B$8,$C$8))</f>
        <v>0.0828119676870263</v>
      </c>
      <c r="E98" s="50" t="n">
        <f aca="true">MAX(4,NORMINV(RAND(),$B$9,$C$9))</f>
        <v>6.43626494878048</v>
      </c>
      <c r="F98" s="24" t="n">
        <f aca="false">$B$18*(1+(B98+$B$17)/2)^9</f>
        <v>1155.04634252974</v>
      </c>
      <c r="G98" s="24" t="n">
        <f aca="false">F98*C98</f>
        <v>527.78271350913</v>
      </c>
      <c r="H98" s="24" t="n">
        <f aca="false">E98*G98/(1+D98)^9</f>
        <v>1660.01361881586</v>
      </c>
      <c r="I98" s="24" t="n">
        <f aca="false">$B$13*G98/$B$12*((1+$B$8)/(1+D98))^4.5</f>
        <v>2013.28242510976</v>
      </c>
      <c r="J98" s="24" t="n">
        <f aca="false">H98+I98-$B$14</f>
        <v>2737.50576447356</v>
      </c>
      <c r="K98" s="43" t="n">
        <f aca="false">J98/$B$15</f>
        <v>66.7684332798429</v>
      </c>
    </row>
    <row r="99" customFormat="false" ht="15" hidden="false" customHeight="false" outlineLevel="0" collapsed="false">
      <c r="A99" s="49" t="n">
        <v>59</v>
      </c>
      <c r="B99" s="19" t="n">
        <f aca="true">NORMINV(RAND(),$B$6,$C$6)</f>
        <v>0.0304374253456189</v>
      </c>
      <c r="C99" s="19" t="n">
        <f aca="true">MAX(0.3,NORMINV(RAND(),$B$7,$C$7))</f>
        <v>0.443410571134324</v>
      </c>
      <c r="D99" s="32" t="n">
        <f aca="true">MAX(0.06,NORMINV(RAND(),$B$8,$C$8))</f>
        <v>0.0773698742543595</v>
      </c>
      <c r="E99" s="50" t="n">
        <f aca="true">MAX(4,NORMINV(RAND(),$B$9,$C$9))</f>
        <v>5.67371889050896</v>
      </c>
      <c r="F99" s="24" t="n">
        <f aca="false">$B$18*(1+(B99+$B$17)/2)^9</f>
        <v>1192.6112550871</v>
      </c>
      <c r="G99" s="24" t="n">
        <f aca="false">F99*C99</f>
        <v>528.816437759394</v>
      </c>
      <c r="H99" s="24" t="n">
        <f aca="false">E99*G99/(1+D99)^9</f>
        <v>1534.2259115081</v>
      </c>
      <c r="I99" s="24" t="n">
        <f aca="false">$B$13*G99/$B$12*((1+$B$8)/(1+D99))^4.5</f>
        <v>2063.48575612363</v>
      </c>
      <c r="J99" s="24" t="n">
        <f aca="false">H99+I99-$B$14</f>
        <v>2661.92138817967</v>
      </c>
      <c r="K99" s="43" t="n">
        <f aca="false">J99/$B$15</f>
        <v>64.9249119068213</v>
      </c>
    </row>
    <row r="100" customFormat="false" ht="15" hidden="false" customHeight="false" outlineLevel="0" collapsed="false">
      <c r="A100" s="49" t="n">
        <v>60</v>
      </c>
      <c r="B100" s="19" t="n">
        <f aca="true">NORMINV(RAND(),$B$6,$C$6)</f>
        <v>0.0327056044233289</v>
      </c>
      <c r="C100" s="19" t="n">
        <f aca="true">MAX(0.3,NORMINV(RAND(),$B$7,$C$7))</f>
        <v>0.467083391880483</v>
      </c>
      <c r="D100" s="32" t="n">
        <f aca="true">MAX(0.06,NORMINV(RAND(),$B$8,$C$8))</f>
        <v>0.0841361519061703</v>
      </c>
      <c r="E100" s="50" t="n">
        <f aca="true">MAX(4,NORMINV(RAND(),$B$9,$C$9))</f>
        <v>9.24224603326567</v>
      </c>
      <c r="F100" s="24" t="n">
        <f aca="false">$B$18*(1+(B100+$B$17)/2)^9</f>
        <v>1204.59595759943</v>
      </c>
      <c r="G100" s="24" t="n">
        <f aca="false">F100*C100</f>
        <v>562.646765721062</v>
      </c>
      <c r="H100" s="24" t="n">
        <f aca="false">E100*G100/(1+D100)^9</f>
        <v>2513.38437759117</v>
      </c>
      <c r="I100" s="24" t="n">
        <f aca="false">$B$13*G100/$B$12*((1+$B$8)/(1+D100))^4.5</f>
        <v>2134.50344025692</v>
      </c>
      <c r="J100" s="24" t="n">
        <f aca="false">H100+I100-$B$14</f>
        <v>3712.09753839603</v>
      </c>
      <c r="K100" s="43" t="n">
        <f aca="false">J100/$B$15</f>
        <v>90.5389643511226</v>
      </c>
    </row>
    <row r="101" customFormat="false" ht="15" hidden="false" customHeight="false" outlineLevel="0" collapsed="false">
      <c r="A101" s="49" t="n">
        <v>61</v>
      </c>
      <c r="B101" s="19" t="n">
        <f aca="true">NORMINV(RAND(),$B$6,$C$6)</f>
        <v>0.0475929140771314</v>
      </c>
      <c r="C101" s="19" t="n">
        <f aca="true">MAX(0.3,NORMINV(RAND(),$B$7,$C$7))</f>
        <v>0.440685351510212</v>
      </c>
      <c r="D101" s="32" t="n">
        <f aca="true">MAX(0.06,NORMINV(RAND(),$B$8,$C$8))</f>
        <v>0.085370223331619</v>
      </c>
      <c r="E101" s="50" t="n">
        <f aca="true">MAX(4,NORMINV(RAND(),$B$9,$C$9))</f>
        <v>8.60178238924641</v>
      </c>
      <c r="F101" s="24" t="n">
        <f aca="false">$B$18*(1+(B101+$B$17)/2)^9</f>
        <v>1285.95117050351</v>
      </c>
      <c r="G101" s="24" t="n">
        <f aca="false">F101*C101</f>
        <v>566.699843598306</v>
      </c>
      <c r="H101" s="24" t="n">
        <f aca="false">E101*G101/(1+D101)^9</f>
        <v>2332.06375777658</v>
      </c>
      <c r="I101" s="24" t="n">
        <f aca="false">$B$13*G101/$B$12*((1+$B$8)/(1+D101))^4.5</f>
        <v>2138.90149162762</v>
      </c>
      <c r="J101" s="24" t="n">
        <f aca="false">H101+I101-$B$14</f>
        <v>3535.17496995214</v>
      </c>
      <c r="K101" s="43" t="n">
        <f aca="false">J101/$B$15</f>
        <v>86.2237797549303</v>
      </c>
    </row>
    <row r="102" customFormat="false" ht="15" hidden="false" customHeight="false" outlineLevel="0" collapsed="false">
      <c r="A102" s="49" t="n">
        <v>62</v>
      </c>
      <c r="B102" s="19" t="n">
        <f aca="true">NORMINV(RAND(),$B$6,$C$6)</f>
        <v>-0.000607908107909835</v>
      </c>
      <c r="C102" s="19" t="n">
        <f aca="true">MAX(0.3,NORMINV(RAND(),$B$7,$C$7))</f>
        <v>0.43502904305704</v>
      </c>
      <c r="D102" s="32" t="n">
        <f aca="true">MAX(0.06,NORMINV(RAND(),$B$8,$C$8))</f>
        <v>0.0803039804943997</v>
      </c>
      <c r="E102" s="50" t="n">
        <f aca="true">MAX(4,NORMINV(RAND(),$B$9,$C$9))</f>
        <v>7.19477656903724</v>
      </c>
      <c r="F102" s="24" t="n">
        <f aca="false">$B$18*(1+(B102+$B$17)/2)^9</f>
        <v>1038.89480842403</v>
      </c>
      <c r="G102" s="24" t="n">
        <f aca="false">F102*C102</f>
        <v>451.949414345632</v>
      </c>
      <c r="H102" s="24" t="n">
        <f aca="false">E102*G102/(1+D102)^9</f>
        <v>1622.5323066642</v>
      </c>
      <c r="I102" s="24" t="n">
        <f aca="false">$B$13*G102/$B$12*((1+$B$8)/(1+D102))^4.5</f>
        <v>1742.09240526072</v>
      </c>
      <c r="J102" s="24" t="n">
        <f aca="false">H102+I102-$B$14</f>
        <v>2428.83443247287</v>
      </c>
      <c r="K102" s="43" t="n">
        <f aca="false">J102/$B$15</f>
        <v>59.2398642066553</v>
      </c>
    </row>
    <row r="103" customFormat="false" ht="15" hidden="false" customHeight="false" outlineLevel="0" collapsed="false">
      <c r="A103" s="49" t="n">
        <v>63</v>
      </c>
      <c r="B103" s="19" t="n">
        <f aca="true">NORMINV(RAND(),$B$6,$C$6)</f>
        <v>-0.0248981064759558</v>
      </c>
      <c r="C103" s="19" t="n">
        <f aca="true">MAX(0.3,NORMINV(RAND(),$B$7,$C$7))</f>
        <v>0.452295748183627</v>
      </c>
      <c r="D103" s="32" t="n">
        <f aca="true">MAX(0.06,NORMINV(RAND(),$B$8,$C$8))</f>
        <v>0.0808105892771287</v>
      </c>
      <c r="E103" s="50" t="n">
        <f aca="true">MAX(4,NORMINV(RAND(),$B$9,$C$9))</f>
        <v>7.02043490264141</v>
      </c>
      <c r="F103" s="24" t="n">
        <f aca="false">$B$18*(1+(B103+$B$17)/2)^9</f>
        <v>931.182080825209</v>
      </c>
      <c r="G103" s="24" t="n">
        <f aca="false">F103*C103</f>
        <v>421.169695942025</v>
      </c>
      <c r="H103" s="24" t="n">
        <f aca="false">E103*G103/(1+D103)^9</f>
        <v>1469.17933971199</v>
      </c>
      <c r="I103" s="24" t="n">
        <f aca="false">$B$13*G103/$B$12*((1+$B$8)/(1+D103))^4.5</f>
        <v>1620.02683435506</v>
      </c>
      <c r="J103" s="24" t="n">
        <f aca="false">H103+I103-$B$14</f>
        <v>2153.41589461499</v>
      </c>
      <c r="K103" s="43" t="n">
        <f aca="false">J103/$B$15</f>
        <v>52.5223388930487</v>
      </c>
    </row>
    <row r="104" customFormat="false" ht="15" hidden="false" customHeight="false" outlineLevel="0" collapsed="false">
      <c r="A104" s="49" t="n">
        <v>64</v>
      </c>
      <c r="B104" s="19" t="n">
        <f aca="true">NORMINV(RAND(),$B$6,$C$6)</f>
        <v>0.00568841828606498</v>
      </c>
      <c r="C104" s="19" t="n">
        <f aca="true">MAX(0.3,NORMINV(RAND(),$B$7,$C$7))</f>
        <v>0.416459603844107</v>
      </c>
      <c r="D104" s="32" t="n">
        <f aca="true">MAX(0.06,NORMINV(RAND(),$B$8,$C$8))</f>
        <v>0.0766948065971095</v>
      </c>
      <c r="E104" s="50" t="n">
        <f aca="true">MAX(4,NORMINV(RAND(),$B$9,$C$9))</f>
        <v>7.60399789765074</v>
      </c>
      <c r="F104" s="24" t="n">
        <f aca="false">$B$18*(1+(B104+$B$17)/2)^9</f>
        <v>1068.56262915355</v>
      </c>
      <c r="G104" s="24" t="n">
        <f aca="false">F104*C104</f>
        <v>445.013169219903</v>
      </c>
      <c r="H104" s="24" t="n">
        <f aca="false">E104*G104/(1+D104)^9</f>
        <v>1740.128367963</v>
      </c>
      <c r="I104" s="24" t="n">
        <f aca="false">$B$13*G104/$B$12*((1+$B$8)/(1+D104))^4.5</f>
        <v>1741.383134193</v>
      </c>
      <c r="J104" s="24" t="n">
        <f aca="false">H104+I104-$B$14</f>
        <v>2545.72122270395</v>
      </c>
      <c r="K104" s="43" t="n">
        <f aca="false">J104/$B$15</f>
        <v>62.0907615293646</v>
      </c>
    </row>
    <row r="105" customFormat="false" ht="15" hidden="false" customHeight="false" outlineLevel="0" collapsed="false">
      <c r="A105" s="49" t="n">
        <v>65</v>
      </c>
      <c r="B105" s="19" t="n">
        <f aca="true">NORMINV(RAND(),$B$6,$C$6)</f>
        <v>0.0727049017190699</v>
      </c>
      <c r="C105" s="19" t="n">
        <f aca="true">MAX(0.3,NORMINV(RAND(),$B$7,$C$7))</f>
        <v>0.413652571864437</v>
      </c>
      <c r="D105" s="32" t="n">
        <f aca="true">MAX(0.06,NORMINV(RAND(),$B$8,$C$8))</f>
        <v>0.0857122678323017</v>
      </c>
      <c r="E105" s="50" t="n">
        <f aca="true">MAX(4,NORMINV(RAND(),$B$9,$C$9))</f>
        <v>8.2786069433466</v>
      </c>
      <c r="F105" s="24" t="n">
        <f aca="false">$B$18*(1+(B105+$B$17)/2)^9</f>
        <v>1434.2968013011</v>
      </c>
      <c r="G105" s="24" t="n">
        <f aca="false">F105*C105</f>
        <v>593.300560675133</v>
      </c>
      <c r="H105" s="24" t="n">
        <f aca="false">E105*G105/(1+D105)^9</f>
        <v>2343.1458176639</v>
      </c>
      <c r="I105" s="24" t="n">
        <f aca="false">$B$13*G105/$B$12*((1+$B$8)/(1+D105))^4.5</f>
        <v>2236.12799436672</v>
      </c>
      <c r="J105" s="24" t="n">
        <f aca="false">H105+I105-$B$14</f>
        <v>3643.48353257857</v>
      </c>
      <c r="K105" s="43" t="n">
        <f aca="false">J105/$B$15</f>
        <v>88.8654520141114</v>
      </c>
    </row>
    <row r="106" customFormat="false" ht="15" hidden="false" customHeight="false" outlineLevel="0" collapsed="false">
      <c r="A106" s="49" t="n">
        <v>66</v>
      </c>
      <c r="B106" s="19" t="n">
        <f aca="true">NORMINV(RAND(),$B$6,$C$6)</f>
        <v>0.0134987852278823</v>
      </c>
      <c r="C106" s="19" t="n">
        <f aca="true">MAX(0.3,NORMINV(RAND(),$B$7,$C$7))</f>
        <v>0.466291902035975</v>
      </c>
      <c r="D106" s="32" t="n">
        <f aca="true">MAX(0.06,NORMINV(RAND(),$B$8,$C$8))</f>
        <v>0.0778431910880967</v>
      </c>
      <c r="E106" s="50" t="n">
        <f aca="true">MAX(4,NORMINV(RAND(),$B$9,$C$9))</f>
        <v>6.0336551295175</v>
      </c>
      <c r="F106" s="24" t="n">
        <f aca="false">$B$18*(1+(B106+$B$17)/2)^9</f>
        <v>1106.40953411953</v>
      </c>
      <c r="G106" s="24" t="n">
        <f aca="false">F106*C106</f>
        <v>515.909806095332</v>
      </c>
      <c r="H106" s="24" t="n">
        <f aca="false">E106*G106/(1+D106)^9</f>
        <v>1585.45537603216</v>
      </c>
      <c r="I106" s="24" t="n">
        <f aca="false">$B$13*G106/$B$12*((1+$B$8)/(1+D106))^4.5</f>
        <v>2009.14792905982</v>
      </c>
      <c r="J106" s="24" t="n">
        <f aca="false">H106+I106-$B$14</f>
        <v>2658.81302563993</v>
      </c>
      <c r="K106" s="43" t="n">
        <f aca="false">J106/$B$15</f>
        <v>64.8490981863397</v>
      </c>
    </row>
    <row r="107" customFormat="false" ht="15" hidden="false" customHeight="false" outlineLevel="0" collapsed="false">
      <c r="A107" s="49" t="n">
        <v>67</v>
      </c>
      <c r="B107" s="19" t="n">
        <f aca="true">NORMINV(RAND(),$B$6,$C$6)</f>
        <v>0.0364417449429472</v>
      </c>
      <c r="C107" s="19" t="n">
        <f aca="true">MAX(0.3,NORMINV(RAND(),$B$7,$C$7))</f>
        <v>0.44681983392093</v>
      </c>
      <c r="D107" s="32" t="n">
        <f aca="true">MAX(0.06,NORMINV(RAND(),$B$8,$C$8))</f>
        <v>0.0669537577862737</v>
      </c>
      <c r="E107" s="50" t="n">
        <f aca="true">MAX(4,NORMINV(RAND(),$B$9,$C$9))</f>
        <v>10.8394646418272</v>
      </c>
      <c r="F107" s="24" t="n">
        <f aca="false">$B$18*(1+(B107+$B$17)/2)^9</f>
        <v>1224.57067252691</v>
      </c>
      <c r="G107" s="24" t="n">
        <f aca="false">F107*C107</f>
        <v>547.162464522915</v>
      </c>
      <c r="H107" s="24" t="n">
        <f aca="false">E107*G107/(1+D107)^9</f>
        <v>3309.89147323392</v>
      </c>
      <c r="I107" s="24" t="n">
        <f aca="false">$B$13*G107/$B$12*((1+$B$8)/(1+D107))^4.5</f>
        <v>2230.48528192736</v>
      </c>
      <c r="J107" s="24" t="n">
        <f aca="false">H107+I107-$B$14</f>
        <v>4604.58647570922</v>
      </c>
      <c r="K107" s="43" t="n">
        <f aca="false">J107/$B$15</f>
        <v>112.30698721242</v>
      </c>
    </row>
    <row r="108" customFormat="false" ht="15" hidden="false" customHeight="false" outlineLevel="0" collapsed="false">
      <c r="A108" s="49" t="n">
        <v>68</v>
      </c>
      <c r="B108" s="19" t="n">
        <f aca="true">NORMINV(RAND(),$B$6,$C$6)</f>
        <v>-0.0148812815121694</v>
      </c>
      <c r="C108" s="19" t="n">
        <f aca="true">MAX(0.3,NORMINV(RAND(),$B$7,$C$7))</f>
        <v>0.389177165118372</v>
      </c>
      <c r="D108" s="32" t="n">
        <f aca="true">MAX(0.06,NORMINV(RAND(),$B$8,$C$8))</f>
        <v>0.09072960516696</v>
      </c>
      <c r="E108" s="50" t="n">
        <f aca="true">MAX(4,NORMINV(RAND(),$B$9,$C$9))</f>
        <v>11.1833329406628</v>
      </c>
      <c r="F108" s="24" t="n">
        <f aca="false">$B$18*(1+(B108+$B$17)/2)^9</f>
        <v>974.334468792016</v>
      </c>
      <c r="G108" s="24" t="n">
        <f aca="false">F108*C108</f>
        <v>379.188726441592</v>
      </c>
      <c r="H108" s="24" t="n">
        <f aca="false">E108*G108/(1+D108)^9</f>
        <v>1940.76414954596</v>
      </c>
      <c r="I108" s="24" t="n">
        <f aca="false">$B$13*G108/$B$12*((1+$B$8)/(1+D108))^4.5</f>
        <v>1399.80233819014</v>
      </c>
      <c r="J108" s="24" t="n">
        <f aca="false">H108+I108-$B$14</f>
        <v>2404.77620828405</v>
      </c>
      <c r="K108" s="43" t="n">
        <f aca="false">J108/$B$15</f>
        <v>58.6530782508304</v>
      </c>
    </row>
    <row r="109" customFormat="false" ht="15" hidden="false" customHeight="false" outlineLevel="0" collapsed="false">
      <c r="A109" s="49" t="n">
        <v>69</v>
      </c>
      <c r="B109" s="19" t="n">
        <f aca="true">NORMINV(RAND(),$B$6,$C$6)</f>
        <v>0.0896881520471519</v>
      </c>
      <c r="C109" s="19" t="n">
        <f aca="true">MAX(0.3,NORMINV(RAND(),$B$7,$C$7))</f>
        <v>0.400589615898959</v>
      </c>
      <c r="D109" s="32" t="n">
        <f aca="true">MAX(0.06,NORMINV(RAND(),$B$8,$C$8))</f>
        <v>0.0780624267566075</v>
      </c>
      <c r="E109" s="50" t="n">
        <f aca="true">MAX(4,NORMINV(RAND(),$B$9,$C$9))</f>
        <v>6.72809160534738</v>
      </c>
      <c r="F109" s="24" t="n">
        <f aca="false">$B$18*(1+(B109+$B$17)/2)^9</f>
        <v>1543.05908611342</v>
      </c>
      <c r="G109" s="24" t="n">
        <f aca="false">F109*C109</f>
        <v>618.133446615572</v>
      </c>
      <c r="H109" s="24" t="n">
        <f aca="false">E109*G109/(1+D109)^9</f>
        <v>2114.36007328137</v>
      </c>
      <c r="I109" s="24" t="n">
        <f aca="false">$B$13*G109/$B$12*((1+$B$8)/(1+D109))^4.5</f>
        <v>2405.04330799682</v>
      </c>
      <c r="J109" s="24" t="n">
        <f aca="false">H109+I109-$B$14</f>
        <v>3583.61310182614</v>
      </c>
      <c r="K109" s="43" t="n">
        <f aca="false">J109/$B$15</f>
        <v>87.4051976055156</v>
      </c>
    </row>
    <row r="110" customFormat="false" ht="15" hidden="false" customHeight="false" outlineLevel="0" collapsed="false">
      <c r="A110" s="49" t="n">
        <v>70</v>
      </c>
      <c r="B110" s="19" t="n">
        <f aca="true">NORMINV(RAND(),$B$6,$C$6)</f>
        <v>0.023325116582181</v>
      </c>
      <c r="C110" s="19" t="n">
        <f aca="true">MAX(0.3,NORMINV(RAND(),$B$7,$C$7))</f>
        <v>0.437497153255733</v>
      </c>
      <c r="D110" s="32" t="n">
        <f aca="true">MAX(0.06,NORMINV(RAND(),$B$8,$C$8))</f>
        <v>0.0922995136948798</v>
      </c>
      <c r="E110" s="50" t="n">
        <f aca="true">MAX(4,NORMINV(RAND(),$B$9,$C$9))</f>
        <v>6.83739258136295</v>
      </c>
      <c r="F110" s="24" t="n">
        <f aca="false">$B$18*(1+(B110+$B$17)/2)^9</f>
        <v>1155.71514654651</v>
      </c>
      <c r="G110" s="24" t="n">
        <f aca="false">F110*C110</f>
        <v>505.622086588631</v>
      </c>
      <c r="H110" s="24" t="n">
        <f aca="false">E110*G110/(1+D110)^9</f>
        <v>1561.85564023163</v>
      </c>
      <c r="I110" s="24" t="n">
        <f aca="false">$B$13*G110/$B$12*((1+$B$8)/(1+D110))^4.5</f>
        <v>1854.49837881374</v>
      </c>
      <c r="J110" s="24" t="n">
        <f aca="false">H110+I110-$B$14</f>
        <v>2480.56373959331</v>
      </c>
      <c r="K110" s="43" t="n">
        <f aca="false">J110/$B$15</f>
        <v>60.5015546242271</v>
      </c>
    </row>
    <row r="111" customFormat="false" ht="15" hidden="false" customHeight="false" outlineLevel="0" collapsed="false">
      <c r="A111" s="49" t="n">
        <v>71</v>
      </c>
      <c r="B111" s="19" t="n">
        <f aca="true">NORMINV(RAND(),$B$6,$C$6)</f>
        <v>0.0441367052823977</v>
      </c>
      <c r="C111" s="19" t="n">
        <f aca="true">MAX(0.3,NORMINV(RAND(),$B$7,$C$7))</f>
        <v>0.417222578675537</v>
      </c>
      <c r="D111" s="32" t="n">
        <f aca="true">MAX(0.06,NORMINV(RAND(),$B$8,$C$8))</f>
        <v>0.0864796397163007</v>
      </c>
      <c r="E111" s="50" t="n">
        <f aca="true">MAX(4,NORMINV(RAND(),$B$9,$C$9))</f>
        <v>7.00571596099878</v>
      </c>
      <c r="F111" s="24" t="n">
        <f aca="false">$B$18*(1+(B111+$B$17)/2)^9</f>
        <v>1266.64077610499</v>
      </c>
      <c r="G111" s="24" t="n">
        <f aca="false">F111*C111</f>
        <v>528.471130862109</v>
      </c>
      <c r="H111" s="24" t="n">
        <f aca="false">E111*G111/(1+D111)^9</f>
        <v>1755.00946664878</v>
      </c>
      <c r="I111" s="24" t="n">
        <f aca="false">$B$13*G111/$B$12*((1+$B$8)/(1+D111))^4.5</f>
        <v>1985.46554896735</v>
      </c>
      <c r="J111" s="24" t="n">
        <f aca="false">H111+I111-$B$14</f>
        <v>2804.68473616407</v>
      </c>
      <c r="K111" s="43" t="n">
        <f aca="false">J111/$B$15</f>
        <v>68.4069447844896</v>
      </c>
    </row>
    <row r="112" customFormat="false" ht="15" hidden="false" customHeight="false" outlineLevel="0" collapsed="false">
      <c r="A112" s="49" t="n">
        <v>72</v>
      </c>
      <c r="B112" s="19" t="n">
        <f aca="true">NORMINV(RAND(),$B$6,$C$6)</f>
        <v>0.0556760649460026</v>
      </c>
      <c r="C112" s="19" t="n">
        <f aca="true">MAX(0.3,NORMINV(RAND(),$B$7,$C$7))</f>
        <v>0.461534908817464</v>
      </c>
      <c r="D112" s="32" t="n">
        <f aca="true">MAX(0.06,NORMINV(RAND(),$B$8,$C$8))</f>
        <v>0.0829158773459211</v>
      </c>
      <c r="E112" s="50" t="n">
        <f aca="true">MAX(4,NORMINV(RAND(),$B$9,$C$9))</f>
        <v>6.56972965924846</v>
      </c>
      <c r="F112" s="24" t="n">
        <f aca="false">$B$18*(1+(B112+$B$17)/2)^9</f>
        <v>1332.13835797929</v>
      </c>
      <c r="G112" s="24" t="n">
        <f aca="false">F112*C112</f>
        <v>614.828355582216</v>
      </c>
      <c r="H112" s="24" t="n">
        <f aca="false">E112*G112/(1+D112)^9</f>
        <v>1972.19065464259</v>
      </c>
      <c r="I112" s="24" t="n">
        <f aca="false">$B$13*G112/$B$12*((1+$B$8)/(1+D112))^4.5</f>
        <v>2344.31461998769</v>
      </c>
      <c r="J112" s="24" t="n">
        <f aca="false">H112+I112-$B$14</f>
        <v>3380.71499517823</v>
      </c>
      <c r="K112" s="43" t="n">
        <f aca="false">J112/$B$15</f>
        <v>82.4564632970301</v>
      </c>
    </row>
    <row r="113" customFormat="false" ht="15" hidden="false" customHeight="false" outlineLevel="0" collapsed="false">
      <c r="A113" s="49" t="n">
        <v>73</v>
      </c>
      <c r="B113" s="19" t="n">
        <f aca="true">NORMINV(RAND(),$B$6,$C$6)</f>
        <v>0.0644989498679372</v>
      </c>
      <c r="C113" s="19" t="n">
        <f aca="true">MAX(0.3,NORMINV(RAND(),$B$7,$C$7))</f>
        <v>0.448330945238232</v>
      </c>
      <c r="D113" s="32" t="n">
        <f aca="true">MAX(0.06,NORMINV(RAND(),$B$8,$C$8))</f>
        <v>0.0916518561846178</v>
      </c>
      <c r="E113" s="50" t="n">
        <f aca="true">MAX(4,NORMINV(RAND(),$B$9,$C$9))</f>
        <v>8.48391480315477</v>
      </c>
      <c r="F113" s="24" t="n">
        <f aca="false">$B$18*(1+(B113+$B$17)/2)^9</f>
        <v>1384.23029959172</v>
      </c>
      <c r="G113" s="24" t="n">
        <f aca="false">F113*C113</f>
        <v>620.593278643356</v>
      </c>
      <c r="H113" s="24" t="n">
        <f aca="false">E113*G113/(1+D113)^9</f>
        <v>2391.36543826583</v>
      </c>
      <c r="I113" s="24" t="n">
        <f aca="false">$B$13*G113/$B$12*((1+$B$8)/(1+D113))^4.5</f>
        <v>2282.267844652</v>
      </c>
      <c r="J113" s="24" t="n">
        <f aca="false">H113+I113-$B$14</f>
        <v>3737.84300346578</v>
      </c>
      <c r="K113" s="43" t="n">
        <f aca="false">J113/$B$15</f>
        <v>91.1669025235556</v>
      </c>
    </row>
    <row r="114" customFormat="false" ht="15" hidden="false" customHeight="false" outlineLevel="0" collapsed="false">
      <c r="A114" s="49" t="n">
        <v>74</v>
      </c>
      <c r="B114" s="19" t="n">
        <f aca="true">NORMINV(RAND(),$B$6,$C$6)</f>
        <v>0.0687280488760441</v>
      </c>
      <c r="C114" s="19" t="n">
        <f aca="true">MAX(0.3,NORMINV(RAND(),$B$7,$C$7))</f>
        <v>0.460647637355951</v>
      </c>
      <c r="D114" s="32" t="n">
        <f aca="true">MAX(0.06,NORMINV(RAND(),$B$8,$C$8))</f>
        <v>0.0855926348321932</v>
      </c>
      <c r="E114" s="50" t="n">
        <f aca="true">MAX(4,NORMINV(RAND(),$B$9,$C$9))</f>
        <v>11.0724627357425</v>
      </c>
      <c r="F114" s="24" t="n">
        <f aca="false">$B$18*(1+(B114+$B$17)/2)^9</f>
        <v>1409.83556757325</v>
      </c>
      <c r="G114" s="24" t="n">
        <f aca="false">F114*C114</f>
        <v>649.437423263005</v>
      </c>
      <c r="H114" s="24" t="n">
        <f aca="false">E114*G114/(1+D114)^9</f>
        <v>3433.83595995284</v>
      </c>
      <c r="I114" s="24" t="n">
        <f aca="false">$B$13*G114/$B$12*((1+$B$8)/(1+D114))^4.5</f>
        <v>2448.91982342573</v>
      </c>
      <c r="J114" s="24" t="n">
        <f aca="false">H114+I114-$B$14</f>
        <v>4946.96550392652</v>
      </c>
      <c r="K114" s="43" t="n">
        <f aca="false">J114/$B$15</f>
        <v>120.65769521772</v>
      </c>
    </row>
    <row r="115" customFormat="false" ht="15" hidden="false" customHeight="false" outlineLevel="0" collapsed="false">
      <c r="A115" s="49" t="n">
        <v>75</v>
      </c>
      <c r="B115" s="19" t="n">
        <f aca="true">NORMINV(RAND(),$B$6,$C$6)</f>
        <v>0.0348899594773589</v>
      </c>
      <c r="C115" s="19" t="n">
        <f aca="true">MAX(0.3,NORMINV(RAND(),$B$7,$C$7))</f>
        <v>0.442637147687002</v>
      </c>
      <c r="D115" s="32" t="n">
        <f aca="true">MAX(0.06,NORMINV(RAND(),$B$8,$C$8))</f>
        <v>0.0933844553153475</v>
      </c>
      <c r="E115" s="50" t="n">
        <f aca="true">MAX(4,NORMINV(RAND(),$B$9,$C$9))</f>
        <v>5.59561581426708</v>
      </c>
      <c r="F115" s="24" t="n">
        <f aca="false">$B$18*(1+(B115+$B$17)/2)^9</f>
        <v>1216.23881730035</v>
      </c>
      <c r="G115" s="24" t="n">
        <f aca="false">F115*C115</f>
        <v>538.35248099604</v>
      </c>
      <c r="H115" s="24" t="n">
        <f aca="false">E115*G115/(1+D115)^9</f>
        <v>1348.83414318432</v>
      </c>
      <c r="I115" s="24" t="n">
        <f aca="false">$B$13*G115/$B$12*((1+$B$8)/(1+D115))^4.5</f>
        <v>1965.74392945113</v>
      </c>
      <c r="J115" s="24" t="n">
        <f aca="false">H115+I115-$B$14</f>
        <v>2378.78779318339</v>
      </c>
      <c r="K115" s="43" t="n">
        <f aca="false">J115/$B$15</f>
        <v>58.0192144678875</v>
      </c>
    </row>
    <row r="116" customFormat="false" ht="15" hidden="false" customHeight="false" outlineLevel="0" collapsed="false">
      <c r="A116" s="49" t="n">
        <v>76</v>
      </c>
      <c r="B116" s="19" t="n">
        <f aca="true">NORMINV(RAND(),$B$6,$C$6)</f>
        <v>0.00107661074791061</v>
      </c>
      <c r="C116" s="19" t="n">
        <f aca="true">MAX(0.3,NORMINV(RAND(),$B$7,$C$7))</f>
        <v>0.445494651328675</v>
      </c>
      <c r="D116" s="32" t="n">
        <f aca="true">MAX(0.06,NORMINV(RAND(),$B$8,$C$8))</f>
        <v>0.0747817107999143</v>
      </c>
      <c r="E116" s="50" t="n">
        <f aca="true">MAX(4,NORMINV(RAND(),$B$9,$C$9))</f>
        <v>7.10370593423445</v>
      </c>
      <c r="F116" s="24" t="n">
        <f aca="false">$B$18*(1+(B116+$B$17)/2)^9</f>
        <v>1046.75950542394</v>
      </c>
      <c r="G116" s="24" t="n">
        <f aca="false">F116*C116</f>
        <v>466.325760893815</v>
      </c>
      <c r="H116" s="24" t="n">
        <f aca="false">E116*G116/(1+D116)^9</f>
        <v>1730.97969846998</v>
      </c>
      <c r="I116" s="24" t="n">
        <f aca="false">$B$13*G116/$B$12*((1+$B$8)/(1+D116))^4.5</f>
        <v>1839.44351512139</v>
      </c>
      <c r="J116" s="24" t="n">
        <f aca="false">H116+I116-$B$14</f>
        <v>2634.63293413931</v>
      </c>
      <c r="K116" s="43" t="n">
        <f aca="false">J116/$B$15</f>
        <v>64.2593398570564</v>
      </c>
    </row>
    <row r="117" customFormat="false" ht="15" hidden="false" customHeight="false" outlineLevel="0" collapsed="false">
      <c r="A117" s="49" t="n">
        <v>77</v>
      </c>
      <c r="B117" s="19" t="n">
        <f aca="true">NORMINV(RAND(),$B$6,$C$6)</f>
        <v>0.00907317436035447</v>
      </c>
      <c r="C117" s="19" t="n">
        <f aca="true">MAX(0.3,NORMINV(RAND(),$B$7,$C$7))</f>
        <v>0.457286781943138</v>
      </c>
      <c r="D117" s="32" t="n">
        <f aca="true">MAX(0.06,NORMINV(RAND(),$B$8,$C$8))</f>
        <v>0.092753600357172</v>
      </c>
      <c r="E117" s="50" t="n">
        <f aca="true">MAX(4,NORMINV(RAND(),$B$9,$C$9))</f>
        <v>4.43439194473177</v>
      </c>
      <c r="F117" s="24" t="n">
        <f aca="false">$B$18*(1+(B117+$B$17)/2)^9</f>
        <v>1084.82055637416</v>
      </c>
      <c r="G117" s="24" t="n">
        <f aca="false">F117*C117</f>
        <v>496.074101210102</v>
      </c>
      <c r="H117" s="24" t="n">
        <f aca="false">E117*G117/(1+D117)^9</f>
        <v>990.103091007634</v>
      </c>
      <c r="I117" s="24" t="n">
        <f aca="false">$B$13*G117/$B$12*((1+$B$8)/(1+D117))^4.5</f>
        <v>1816.07884615232</v>
      </c>
      <c r="J117" s="24" t="n">
        <f aca="false">H117+I117-$B$14</f>
        <v>1870.39165770789</v>
      </c>
      <c r="K117" s="43" t="n">
        <f aca="false">J117/$B$15</f>
        <v>45.6193087245828</v>
      </c>
    </row>
    <row r="118" customFormat="false" ht="15" hidden="false" customHeight="false" outlineLevel="0" collapsed="false">
      <c r="A118" s="49" t="n">
        <v>78</v>
      </c>
      <c r="B118" s="19" t="n">
        <f aca="true">NORMINV(RAND(),$B$6,$C$6)</f>
        <v>0.00488044927803621</v>
      </c>
      <c r="C118" s="19" t="n">
        <f aca="true">MAX(0.3,NORMINV(RAND(),$B$7,$C$7))</f>
        <v>0.450450844666804</v>
      </c>
      <c r="D118" s="32" t="n">
        <f aca="true">MAX(0.06,NORMINV(RAND(),$B$8,$C$8))</f>
        <v>0.0866751891798665</v>
      </c>
      <c r="E118" s="50" t="n">
        <f aca="true">MAX(4,NORMINV(RAND(),$B$9,$C$9))</f>
        <v>5.0496503713364</v>
      </c>
      <c r="F118" s="24" t="n">
        <f aca="false">$B$18*(1+(B118+$B$17)/2)^9</f>
        <v>1064.71389817699</v>
      </c>
      <c r="G118" s="24" t="n">
        <f aca="false">F118*C118</f>
        <v>479.60127476231</v>
      </c>
      <c r="H118" s="24" t="n">
        <f aca="false">E118*G118/(1+D118)^9</f>
        <v>1146.15637776934</v>
      </c>
      <c r="I118" s="24" t="n">
        <f aca="false">$B$13*G118/$B$12*((1+$B$8)/(1+D118))^4.5</f>
        <v>1800.40288499433</v>
      </c>
      <c r="J118" s="24" t="n">
        <f aca="false">H118+I118-$B$14</f>
        <v>2010.76898331162</v>
      </c>
      <c r="K118" s="43" t="n">
        <f aca="false">J118/$B$15</f>
        <v>49.0431459344297</v>
      </c>
    </row>
    <row r="119" customFormat="false" ht="15" hidden="false" customHeight="false" outlineLevel="0" collapsed="false">
      <c r="A119" s="49" t="n">
        <v>79</v>
      </c>
      <c r="B119" s="19" t="n">
        <f aca="true">NORMINV(RAND(),$B$6,$C$6)</f>
        <v>0.0416740479678038</v>
      </c>
      <c r="C119" s="19" t="n">
        <f aca="true">MAX(0.3,NORMINV(RAND(),$B$7,$C$7))</f>
        <v>0.477188456267384</v>
      </c>
      <c r="D119" s="32" t="n">
        <f aca="true">MAX(0.06,NORMINV(RAND(),$B$8,$C$8))</f>
        <v>0.0878139422467815</v>
      </c>
      <c r="E119" s="50" t="n">
        <f aca="true">MAX(4,NORMINV(RAND(),$B$9,$C$9))</f>
        <v>5.18684699673891</v>
      </c>
      <c r="F119" s="24" t="n">
        <f aca="false">$B$18*(1+(B119+$B$17)/2)^9</f>
        <v>1253.03921411712</v>
      </c>
      <c r="G119" s="24" t="n">
        <f aca="false">F119*C119</f>
        <v>597.935848227046</v>
      </c>
      <c r="H119" s="24" t="n">
        <f aca="false">E119*G119/(1+D119)^9</f>
        <v>1454.00681457305</v>
      </c>
      <c r="I119" s="24" t="n">
        <f aca="false">$B$13*G119/$B$12*((1+$B$8)/(1+D119))^4.5</f>
        <v>2234.07141081785</v>
      </c>
      <c r="J119" s="24" t="n">
        <f aca="false">H119+I119-$B$14</f>
        <v>2752.28794593885</v>
      </c>
      <c r="K119" s="43" t="n">
        <f aca="false">J119/$B$15</f>
        <v>67.1289742911914</v>
      </c>
    </row>
    <row r="120" customFormat="false" ht="15" hidden="false" customHeight="false" outlineLevel="0" collapsed="false">
      <c r="A120" s="49" t="n">
        <v>80</v>
      </c>
      <c r="B120" s="19" t="n">
        <f aca="true">NORMINV(RAND(),$B$6,$C$6)</f>
        <v>0.0498602595048295</v>
      </c>
      <c r="C120" s="19" t="n">
        <f aca="true">MAX(0.3,NORMINV(RAND(),$B$7,$C$7))</f>
        <v>0.448271842688405</v>
      </c>
      <c r="D120" s="32" t="n">
        <f aca="true">MAX(0.06,NORMINV(RAND(),$B$8,$C$8))</f>
        <v>0.0864054831832611</v>
      </c>
      <c r="E120" s="50" t="n">
        <f aca="true">MAX(4,NORMINV(RAND(),$B$9,$C$9))</f>
        <v>8.03250533881776</v>
      </c>
      <c r="F120" s="24" t="n">
        <f aca="false">$B$18*(1+(B120+$B$17)/2)^9</f>
        <v>1298.76090683192</v>
      </c>
      <c r="G120" s="24" t="n">
        <f aca="false">F120*C120</f>
        <v>582.197944917209</v>
      </c>
      <c r="H120" s="24" t="n">
        <f aca="false">E120*G120/(1+D120)^9</f>
        <v>2218.16654677237</v>
      </c>
      <c r="I120" s="24" t="n">
        <f aca="false">$B$13*G120/$B$12*((1+$B$8)/(1+D120))^4.5</f>
        <v>2187.98908441773</v>
      </c>
      <c r="J120" s="24" t="n">
        <f aca="false">H120+I120-$B$14</f>
        <v>3470.36535173804</v>
      </c>
      <c r="K120" s="43" t="n">
        <f aca="false">J120/$B$15</f>
        <v>84.6430573594644</v>
      </c>
    </row>
    <row r="121" customFormat="false" ht="15" hidden="false" customHeight="false" outlineLevel="0" collapsed="false">
      <c r="A121" s="49" t="n">
        <v>81</v>
      </c>
      <c r="B121" s="19" t="n">
        <f aca="true">NORMINV(RAND(),$B$6,$C$6)</f>
        <v>0.0438173295953328</v>
      </c>
      <c r="C121" s="19" t="n">
        <f aca="true">MAX(0.3,NORMINV(RAND(),$B$7,$C$7))</f>
        <v>0.419494287226056</v>
      </c>
      <c r="D121" s="32" t="n">
        <f aca="true">MAX(0.06,NORMINV(RAND(),$B$8,$C$8))</f>
        <v>0.0857311228236043</v>
      </c>
      <c r="E121" s="50" t="n">
        <f aca="true">MAX(4,NORMINV(RAND(),$B$9,$C$9))</f>
        <v>7.95935549869173</v>
      </c>
      <c r="F121" s="24" t="n">
        <f aca="false">$B$18*(1+(B121+$B$17)/2)^9</f>
        <v>1264.86945049454</v>
      </c>
      <c r="G121" s="24" t="n">
        <f aca="false">F121*C121</f>
        <v>530.605508569222</v>
      </c>
      <c r="H121" s="24" t="n">
        <f aca="false">E121*G121/(1+D121)^9</f>
        <v>2014.41558222103</v>
      </c>
      <c r="I121" s="24" t="n">
        <f aca="false">$B$13*G121/$B$12*((1+$B$8)/(1+D121))^4.5</f>
        <v>1999.67637090734</v>
      </c>
      <c r="J121" s="24" t="n">
        <f aca="false">H121+I121-$B$14</f>
        <v>3078.30167367631</v>
      </c>
      <c r="K121" s="43" t="n">
        <f aca="false">J121/$B$15</f>
        <v>75.0805286262515</v>
      </c>
    </row>
    <row r="122" customFormat="false" ht="15" hidden="false" customHeight="false" outlineLevel="0" collapsed="false">
      <c r="A122" s="49" t="n">
        <v>82</v>
      </c>
      <c r="B122" s="19" t="n">
        <f aca="true">NORMINV(RAND(),$B$6,$C$6)</f>
        <v>0.0299242740009686</v>
      </c>
      <c r="C122" s="19" t="n">
        <f aca="true">MAX(0.3,NORMINV(RAND(),$B$7,$C$7))</f>
        <v>0.464627520993158</v>
      </c>
      <c r="D122" s="32" t="n">
        <f aca="true">MAX(0.06,NORMINV(RAND(),$B$8,$C$8))</f>
        <v>0.0910414158320896</v>
      </c>
      <c r="E122" s="50" t="n">
        <f aca="true">MAX(4,NORMINV(RAND(),$B$9,$C$9))</f>
        <v>6.96274787971877</v>
      </c>
      <c r="F122" s="24" t="n">
        <f aca="false">$B$18*(1+(B122+$B$17)/2)^9</f>
        <v>1189.91459159327</v>
      </c>
      <c r="G122" s="24" t="n">
        <f aca="false">F122*C122</f>
        <v>552.867066885568</v>
      </c>
      <c r="H122" s="24" t="n">
        <f aca="false">E122*G122/(1+D122)^9</f>
        <v>1757.23668116136</v>
      </c>
      <c r="I122" s="24" t="n">
        <f aca="false">$B$13*G122/$B$12*((1+$B$8)/(1+D122))^4.5</f>
        <v>2038.32489368426</v>
      </c>
      <c r="J122" s="24" t="n">
        <f aca="false">H122+I122-$B$14</f>
        <v>2859.77129539356</v>
      </c>
      <c r="K122" s="43" t="n">
        <f aca="false">J122/$B$15</f>
        <v>69.750519399843</v>
      </c>
    </row>
    <row r="123" customFormat="false" ht="15" hidden="false" customHeight="false" outlineLevel="0" collapsed="false">
      <c r="A123" s="49" t="n">
        <v>83</v>
      </c>
      <c r="B123" s="19" t="n">
        <f aca="true">NORMINV(RAND(),$B$6,$C$6)</f>
        <v>0.0108102722108556</v>
      </c>
      <c r="C123" s="19" t="n">
        <f aca="true">MAX(0.3,NORMINV(RAND(),$B$7,$C$7))</f>
        <v>0.410004024075818</v>
      </c>
      <c r="D123" s="32" t="n">
        <f aca="true">MAX(0.06,NORMINV(RAND(),$B$8,$C$8))</f>
        <v>0.0829143150655076</v>
      </c>
      <c r="E123" s="50" t="n">
        <f aca="true">MAX(4,NORMINV(RAND(),$B$9,$C$9))</f>
        <v>9.17690873237034</v>
      </c>
      <c r="F123" s="24" t="n">
        <f aca="false">$B$18*(1+(B123+$B$17)/2)^9</f>
        <v>1093.24939304985</v>
      </c>
      <c r="G123" s="24" t="n">
        <f aca="false">F123*C123</f>
        <v>448.236650468886</v>
      </c>
      <c r="H123" s="24" t="n">
        <f aca="false">E123*G123/(1+D123)^9</f>
        <v>2008.43103832946</v>
      </c>
      <c r="I123" s="24" t="n">
        <f aca="false">$B$13*G123/$B$12*((1+$B$8)/(1+D123))^4.5</f>
        <v>1709.11856164658</v>
      </c>
      <c r="J123" s="24" t="n">
        <f aca="false">H123+I123-$B$14</f>
        <v>2781.75932052398</v>
      </c>
      <c r="K123" s="43" t="n">
        <f aca="false">J123/$B$15</f>
        <v>67.8477883054629</v>
      </c>
    </row>
    <row r="124" customFormat="false" ht="15" hidden="false" customHeight="false" outlineLevel="0" collapsed="false">
      <c r="A124" s="49" t="n">
        <v>84</v>
      </c>
      <c r="B124" s="19" t="n">
        <f aca="true">NORMINV(RAND(),$B$6,$C$6)</f>
        <v>0.0114491016346378</v>
      </c>
      <c r="C124" s="19" t="n">
        <f aca="true">MAX(0.3,NORMINV(RAND(),$B$7,$C$7))</f>
        <v>0.430875799279826</v>
      </c>
      <c r="D124" s="32" t="n">
        <f aca="true">MAX(0.06,NORMINV(RAND(),$B$8,$C$8))</f>
        <v>0.0741843312763225</v>
      </c>
      <c r="E124" s="50" t="n">
        <f aca="true">MAX(4,NORMINV(RAND(),$B$9,$C$9))</f>
        <v>10.1512262999772</v>
      </c>
      <c r="F124" s="24" t="n">
        <f aca="false">$B$18*(1+(B124+$B$17)/2)^9</f>
        <v>1096.36376406226</v>
      </c>
      <c r="G124" s="24" t="n">
        <f aca="false">F124*C124</f>
        <v>472.396613141764</v>
      </c>
      <c r="H124" s="24" t="n">
        <f aca="false">E124*G124/(1+D124)^9</f>
        <v>2518.34929198875</v>
      </c>
      <c r="I124" s="24" t="n">
        <f aca="false">$B$13*G124/$B$12*((1+$B$8)/(1+D124))^4.5</f>
        <v>1868.05805378337</v>
      </c>
      <c r="J124" s="24" t="n">
        <f aca="false">H124+I124-$B$14</f>
        <v>3450.61706632007</v>
      </c>
      <c r="K124" s="43" t="n">
        <f aca="false">J124/$B$15</f>
        <v>84.161391861465</v>
      </c>
    </row>
    <row r="125" customFormat="false" ht="15" hidden="false" customHeight="false" outlineLevel="0" collapsed="false">
      <c r="A125" s="49" t="n">
        <v>85</v>
      </c>
      <c r="B125" s="19" t="n">
        <f aca="true">NORMINV(RAND(),$B$6,$C$6)</f>
        <v>0.0521082190006782</v>
      </c>
      <c r="C125" s="19" t="n">
        <f aca="true">MAX(0.3,NORMINV(RAND(),$B$7,$C$7))</f>
        <v>0.441559197291161</v>
      </c>
      <c r="D125" s="32" t="n">
        <f aca="true">MAX(0.06,NORMINV(RAND(),$B$8,$C$8))</f>
        <v>0.0879506720945469</v>
      </c>
      <c r="E125" s="50" t="n">
        <f aca="true">MAX(4,NORMINV(RAND(),$B$9,$C$9))</f>
        <v>10.1453846250251</v>
      </c>
      <c r="F125" s="24" t="n">
        <f aca="false">$B$18*(1+(B125+$B$17)/2)^9</f>
        <v>1311.57296611326</v>
      </c>
      <c r="G125" s="24" t="n">
        <f aca="false">F125*C125</f>
        <v>579.13710610576</v>
      </c>
      <c r="H125" s="24" t="n">
        <f aca="false">E125*G125/(1+D125)^9</f>
        <v>2751.48446276244</v>
      </c>
      <c r="I125" s="24" t="n">
        <f aca="false">$B$13*G125/$B$12*((1+$B$8)/(1+D125))^4.5</f>
        <v>2162.61007962476</v>
      </c>
      <c r="J125" s="24" t="n">
        <f aca="false">H125+I125-$B$14</f>
        <v>3978.30426293515</v>
      </c>
      <c r="K125" s="43" t="n">
        <f aca="false">J125/$B$15</f>
        <v>97.0318112911012</v>
      </c>
    </row>
    <row r="126" customFormat="false" ht="15" hidden="false" customHeight="false" outlineLevel="0" collapsed="false">
      <c r="A126" s="49" t="n">
        <v>86</v>
      </c>
      <c r="B126" s="19" t="n">
        <f aca="true">NORMINV(RAND(),$B$6,$C$6)</f>
        <v>0.0121795016905846</v>
      </c>
      <c r="C126" s="19" t="n">
        <f aca="true">MAX(0.3,NORMINV(RAND(),$B$7,$C$7))</f>
        <v>0.487640239543186</v>
      </c>
      <c r="D126" s="32" t="n">
        <f aca="true">MAX(0.06,NORMINV(RAND(),$B$8,$C$8))</f>
        <v>0.0770672322598908</v>
      </c>
      <c r="E126" s="50" t="n">
        <f aca="true">MAX(4,NORMINV(RAND(),$B$9,$C$9))</f>
        <v>10.3202755048197</v>
      </c>
      <c r="F126" s="24" t="n">
        <f aca="false">$B$18*(1+(B126+$B$17)/2)^9</f>
        <v>1099.93421386078</v>
      </c>
      <c r="G126" s="24" t="n">
        <f aca="false">F126*C126</f>
        <v>536.372183528818</v>
      </c>
      <c r="H126" s="24" t="n">
        <f aca="false">E126*G126/(1+D126)^9</f>
        <v>2837.73748306334</v>
      </c>
      <c r="I126" s="24" t="n">
        <f aca="false">$B$13*G126/$B$12*((1+$B$8)/(1+D126))^4.5</f>
        <v>2095.61664430023</v>
      </c>
      <c r="J126" s="24" t="n">
        <f aca="false">H126+I126-$B$14</f>
        <v>3997.56384791151</v>
      </c>
      <c r="K126" s="43" t="n">
        <f aca="false">J126/$B$15</f>
        <v>97.5015572661345</v>
      </c>
    </row>
    <row r="127" customFormat="false" ht="15" hidden="false" customHeight="false" outlineLevel="0" collapsed="false">
      <c r="A127" s="49" t="n">
        <v>87</v>
      </c>
      <c r="B127" s="19" t="n">
        <f aca="true">NORMINV(RAND(),$B$6,$C$6)</f>
        <v>-0.00900441877578068</v>
      </c>
      <c r="C127" s="19" t="n">
        <f aca="true">MAX(0.3,NORMINV(RAND(),$B$7,$C$7))</f>
        <v>0.417035940397381</v>
      </c>
      <c r="D127" s="32" t="n">
        <f aca="true">MAX(0.06,NORMINV(RAND(),$B$8,$C$8))</f>
        <v>0.0881109509508751</v>
      </c>
      <c r="E127" s="50" t="n">
        <f aca="true">MAX(4,NORMINV(RAND(),$B$9,$C$9))</f>
        <v>9.85644939962723</v>
      </c>
      <c r="F127" s="24" t="n">
        <f aca="false">$B$18*(1+(B127+$B$17)/2)^9</f>
        <v>1000.47109032985</v>
      </c>
      <c r="G127" s="24" t="n">
        <f aca="false">F127*C127</f>
        <v>417.232401996104</v>
      </c>
      <c r="H127" s="24" t="n">
        <f aca="false">E127*G127/(1+D127)^9</f>
        <v>1923.26839319176</v>
      </c>
      <c r="I127" s="24" t="n">
        <f aca="false">$B$13*G127/$B$12*((1+$B$8)/(1+D127))^4.5</f>
        <v>1556.99409601663</v>
      </c>
      <c r="J127" s="24" t="n">
        <f aca="false">H127+I127-$B$14</f>
        <v>2544.47220975634</v>
      </c>
      <c r="K127" s="43" t="n">
        <f aca="false">J127/$B$15</f>
        <v>62.060297798935</v>
      </c>
    </row>
    <row r="128" customFormat="false" ht="15" hidden="false" customHeight="false" outlineLevel="0" collapsed="false">
      <c r="A128" s="49" t="n">
        <v>88</v>
      </c>
      <c r="B128" s="19" t="n">
        <f aca="true">NORMINV(RAND(),$B$6,$C$6)</f>
        <v>0.0563185908640422</v>
      </c>
      <c r="C128" s="19" t="n">
        <f aca="true">MAX(0.3,NORMINV(RAND(),$B$7,$C$7))</f>
        <v>0.463469299254699</v>
      </c>
      <c r="D128" s="32" t="n">
        <f aca="true">MAX(0.06,NORMINV(RAND(),$B$8,$C$8))</f>
        <v>0.0781608686795848</v>
      </c>
      <c r="E128" s="50" t="n">
        <f aca="true">MAX(4,NORMINV(RAND(),$B$9,$C$9))</f>
        <v>9.4313763550221</v>
      </c>
      <c r="F128" s="24" t="n">
        <f aca="false">$B$18*(1+(B128+$B$17)/2)^9</f>
        <v>1335.87224075757</v>
      </c>
      <c r="G128" s="24" t="n">
        <f aca="false">F128*C128</f>
        <v>619.135771317715</v>
      </c>
      <c r="H128" s="24" t="n">
        <f aca="false">E128*G128/(1+D128)^9</f>
        <v>2966.25774170023</v>
      </c>
      <c r="I128" s="24" t="n">
        <f aca="false">$B$13*G128/$B$12*((1+$B$8)/(1+D128))^4.5</f>
        <v>2407.95355383035</v>
      </c>
      <c r="J128" s="24" t="n">
        <f aca="false">H128+I128-$B$14</f>
        <v>4438.42101607853</v>
      </c>
      <c r="K128" s="43" t="n">
        <f aca="false">J128/$B$15</f>
        <v>108.254171123867</v>
      </c>
    </row>
    <row r="129" customFormat="false" ht="15" hidden="false" customHeight="false" outlineLevel="0" collapsed="false">
      <c r="A129" s="49" t="n">
        <v>89</v>
      </c>
      <c r="B129" s="19" t="n">
        <f aca="true">NORMINV(RAND(),$B$6,$C$6)</f>
        <v>-0.0051006746759792</v>
      </c>
      <c r="C129" s="19" t="n">
        <f aca="true">MAX(0.3,NORMINV(RAND(),$B$7,$C$7))</f>
        <v>0.442903402670868</v>
      </c>
      <c r="D129" s="32" t="n">
        <f aca="true">MAX(0.06,NORMINV(RAND(),$B$8,$C$8))</f>
        <v>0.0902157467081387</v>
      </c>
      <c r="E129" s="50" t="n">
        <f aca="true">MAX(4,NORMINV(RAND(),$B$9,$C$9))</f>
        <v>9.64771201328571</v>
      </c>
      <c r="F129" s="24" t="n">
        <f aca="false">$B$18*(1+(B129+$B$17)/2)^9</f>
        <v>1018.17517687325</v>
      </c>
      <c r="G129" s="24" t="n">
        <f aca="false">F129*C129</f>
        <v>450.953250352175</v>
      </c>
      <c r="H129" s="24" t="n">
        <f aca="false">E129*G129/(1+D129)^9</f>
        <v>1999.60308393036</v>
      </c>
      <c r="I129" s="24" t="n">
        <f aca="false">$B$13*G129/$B$12*((1+$B$8)/(1+D129))^4.5</f>
        <v>1668.26003891733</v>
      </c>
      <c r="J129" s="24" t="n">
        <f aca="false">H129+I129-$B$14</f>
        <v>2732.07284339563</v>
      </c>
      <c r="K129" s="43" t="n">
        <f aca="false">J129/$B$15</f>
        <v>66.6359230096496</v>
      </c>
    </row>
    <row r="130" customFormat="false" ht="15" hidden="false" customHeight="false" outlineLevel="0" collapsed="false">
      <c r="A130" s="49" t="n">
        <v>90</v>
      </c>
      <c r="B130" s="19" t="n">
        <f aca="true">NORMINV(RAND(),$B$6,$C$6)</f>
        <v>0.0462849932026377</v>
      </c>
      <c r="C130" s="19" t="n">
        <f aca="true">MAX(0.3,NORMINV(RAND(),$B$7,$C$7))</f>
        <v>0.442331549579787</v>
      </c>
      <c r="D130" s="32" t="n">
        <f aca="true">MAX(0.06,NORMINV(RAND(),$B$8,$C$8))</f>
        <v>0.0886920608889563</v>
      </c>
      <c r="E130" s="50" t="n">
        <f aca="true">MAX(4,NORMINV(RAND(),$B$9,$C$9))</f>
        <v>7.73333098103583</v>
      </c>
      <c r="F130" s="24" t="n">
        <f aca="false">$B$18*(1+(B130+$B$17)/2)^9</f>
        <v>1278.6130474522</v>
      </c>
      <c r="G130" s="24" t="n">
        <f aca="false">F130*C130</f>
        <v>565.570890592467</v>
      </c>
      <c r="H130" s="24" t="n">
        <f aca="false">E130*G130/(1+D130)^9</f>
        <v>2035.6735956242</v>
      </c>
      <c r="I130" s="24" t="n">
        <f aca="false">$B$13*G130/$B$12*((1+$B$8)/(1+D130))^4.5</f>
        <v>2105.48693006035</v>
      </c>
      <c r="J130" s="24" t="n">
        <f aca="false">H130+I130-$B$14</f>
        <v>3205.37024623249</v>
      </c>
      <c r="K130" s="43" t="n">
        <f aca="false">J130/$B$15</f>
        <v>78.1797621032314</v>
      </c>
    </row>
    <row r="131" customFormat="false" ht="15" hidden="false" customHeight="false" outlineLevel="0" collapsed="false">
      <c r="A131" s="49" t="n">
        <v>91</v>
      </c>
      <c r="B131" s="19" t="n">
        <f aca="true">NORMINV(RAND(),$B$6,$C$6)</f>
        <v>0.023680544761787</v>
      </c>
      <c r="C131" s="19" t="n">
        <f aca="true">MAX(0.3,NORMINV(RAND(),$B$7,$C$7))</f>
        <v>0.440666537548317</v>
      </c>
      <c r="D131" s="32" t="n">
        <f aca="true">MAX(0.06,NORMINV(RAND(),$B$8,$C$8))</f>
        <v>0.0752267309193685</v>
      </c>
      <c r="E131" s="50" t="n">
        <f aca="true">MAX(4,NORMINV(RAND(),$B$9,$C$9))</f>
        <v>4.89488719600251</v>
      </c>
      <c r="F131" s="24" t="n">
        <f aca="false">$B$18*(1+(B131+$B$17)/2)^9</f>
        <v>1157.53460450674</v>
      </c>
      <c r="G131" s="24" t="n">
        <f aca="false">F131*C131</f>
        <v>510.086766260346</v>
      </c>
      <c r="H131" s="24" t="n">
        <f aca="false">E131*G131/(1+D131)^9</f>
        <v>1299.82914219779</v>
      </c>
      <c r="I131" s="24" t="n">
        <f aca="false">$B$13*G131/$B$12*((1+$B$8)/(1+D131))^4.5</f>
        <v>2008.31610926455</v>
      </c>
      <c r="J131" s="24" t="n">
        <f aca="false">H131+I131-$B$14</f>
        <v>2372.35497201028</v>
      </c>
      <c r="K131" s="43" t="n">
        <f aca="false">J131/$B$15</f>
        <v>57.8623163904947</v>
      </c>
    </row>
    <row r="132" customFormat="false" ht="15" hidden="false" customHeight="false" outlineLevel="0" collapsed="false">
      <c r="A132" s="49" t="n">
        <v>92</v>
      </c>
      <c r="B132" s="19" t="n">
        <f aca="true">NORMINV(RAND(),$B$6,$C$6)</f>
        <v>0.0142067320435987</v>
      </c>
      <c r="C132" s="19" t="n">
        <f aca="true">MAX(0.3,NORMINV(RAND(),$B$7,$C$7))</f>
        <v>0.458403084763509</v>
      </c>
      <c r="D132" s="32" t="n">
        <f aca="true">MAX(0.06,NORMINV(RAND(),$B$8,$C$8))</f>
        <v>0.0803829407633767</v>
      </c>
      <c r="E132" s="50" t="n">
        <f aca="true">MAX(4,NORMINV(RAND(),$B$9,$C$9))</f>
        <v>6.73191412004929</v>
      </c>
      <c r="F132" s="24" t="n">
        <f aca="false">$B$18*(1+(B132+$B$17)/2)^9</f>
        <v>1109.89823671451</v>
      </c>
      <c r="G132" s="24" t="n">
        <f aca="false">F132*C132</f>
        <v>508.780775483509</v>
      </c>
      <c r="H132" s="24" t="n">
        <f aca="false">E132*G132/(1+D132)^9</f>
        <v>1707.92893940426</v>
      </c>
      <c r="I132" s="24" t="n">
        <f aca="false">$B$13*G132/$B$12*((1+$B$8)/(1+D132))^4.5</f>
        <v>1960.51068891215</v>
      </c>
      <c r="J132" s="24" t="n">
        <f aca="false">H132+I132-$B$14</f>
        <v>2732.64934886435</v>
      </c>
      <c r="K132" s="43" t="n">
        <f aca="false">J132/$B$15</f>
        <v>66.6499841186427</v>
      </c>
    </row>
    <row r="133" customFormat="false" ht="15" hidden="false" customHeight="false" outlineLevel="0" collapsed="false">
      <c r="A133" s="49" t="n">
        <v>93</v>
      </c>
      <c r="B133" s="19" t="n">
        <f aca="true">NORMINV(RAND(),$B$6,$C$6)</f>
        <v>0.00793669124204674</v>
      </c>
      <c r="C133" s="19" t="n">
        <f aca="true">MAX(0.3,NORMINV(RAND(),$B$7,$C$7))</f>
        <v>0.428597043024371</v>
      </c>
      <c r="D133" s="32" t="n">
        <f aca="true">MAX(0.06,NORMINV(RAND(),$B$8,$C$8))</f>
        <v>0.0875810403104621</v>
      </c>
      <c r="E133" s="50" t="n">
        <f aca="true">MAX(4,NORMINV(RAND(),$B$9,$C$9))</f>
        <v>6.22380857695389</v>
      </c>
      <c r="F133" s="24" t="n">
        <f aca="false">$B$18*(1+(B133+$B$17)/2)^9</f>
        <v>1079.33736103838</v>
      </c>
      <c r="G133" s="24" t="n">
        <f aca="false">F133*C133</f>
        <v>462.600801366779</v>
      </c>
      <c r="H133" s="24" t="n">
        <f aca="false">E133*G133/(1+D133)^9</f>
        <v>1352.40869971324</v>
      </c>
      <c r="I133" s="24" t="n">
        <f aca="false">$B$13*G133/$B$12*((1+$B$8)/(1+D133))^4.5</f>
        <v>1730.08446995382</v>
      </c>
      <c r="J133" s="24" t="n">
        <f aca="false">H133+I133-$B$14</f>
        <v>2146.702890215</v>
      </c>
      <c r="K133" s="43" t="n">
        <f aca="false">J133/$B$15</f>
        <v>52.3586070784147</v>
      </c>
    </row>
    <row r="134" customFormat="false" ht="15" hidden="false" customHeight="false" outlineLevel="0" collapsed="false">
      <c r="A134" s="49" t="n">
        <v>94</v>
      </c>
      <c r="B134" s="19" t="n">
        <f aca="true">NORMINV(RAND(),$B$6,$C$6)</f>
        <v>0.0107618887132466</v>
      </c>
      <c r="C134" s="19" t="n">
        <f aca="true">MAX(0.3,NORMINV(RAND(),$B$7,$C$7))</f>
        <v>0.455141701290726</v>
      </c>
      <c r="D134" s="32" t="n">
        <f aca="true">MAX(0.06,NORMINV(RAND(),$B$8,$C$8))</f>
        <v>0.0769272096879028</v>
      </c>
      <c r="E134" s="50" t="n">
        <f aca="true">MAX(4,NORMINV(RAND(),$B$9,$C$9))</f>
        <v>7.77349194499221</v>
      </c>
      <c r="F134" s="24" t="n">
        <f aca="false">$B$18*(1+(B134+$B$17)/2)^9</f>
        <v>1093.01383829173</v>
      </c>
      <c r="G134" s="24" t="n">
        <f aca="false">F134*C134</f>
        <v>497.476177894405</v>
      </c>
      <c r="H134" s="24" t="n">
        <f aca="false">E134*G134/(1+D134)^9</f>
        <v>1984.77504966342</v>
      </c>
      <c r="I134" s="24" t="n">
        <f aca="false">$B$13*G134/$B$12*((1+$B$8)/(1+D134))^4.5</f>
        <v>1944.78665969135</v>
      </c>
      <c r="J134" s="24" t="n">
        <f aca="false">H134+I134-$B$14</f>
        <v>2993.77142990272</v>
      </c>
      <c r="K134" s="43" t="n">
        <f aca="false">J134/$B$15</f>
        <v>73.018815363481</v>
      </c>
    </row>
    <row r="135" customFormat="false" ht="15" hidden="false" customHeight="false" outlineLevel="0" collapsed="false">
      <c r="A135" s="49" t="n">
        <v>95</v>
      </c>
      <c r="B135" s="19" t="n">
        <f aca="true">NORMINV(RAND(),$B$6,$C$6)</f>
        <v>0.0201407355269377</v>
      </c>
      <c r="C135" s="19" t="n">
        <f aca="true">MAX(0.3,NORMINV(RAND(),$B$7,$C$7))</f>
        <v>0.412861438475132</v>
      </c>
      <c r="D135" s="32" t="n">
        <f aca="true">MAX(0.06,NORMINV(RAND(),$B$8,$C$8))</f>
        <v>0.077178449182454</v>
      </c>
      <c r="E135" s="50" t="n">
        <f aca="true">MAX(4,NORMINV(RAND(),$B$9,$C$9))</f>
        <v>9.17732924007565</v>
      </c>
      <c r="F135" s="24" t="n">
        <f aca="false">$B$18*(1+(B135+$B$17)/2)^9</f>
        <v>1139.5271777718</v>
      </c>
      <c r="G135" s="24" t="n">
        <f aca="false">F135*C135</f>
        <v>470.466829796374</v>
      </c>
      <c r="H135" s="24" t="n">
        <f aca="false">E135*G135/(1+D135)^9</f>
        <v>2211.34455988885</v>
      </c>
      <c r="I135" s="24" t="n">
        <f aca="false">$B$13*G135/$B$12*((1+$B$8)/(1+D135))^4.5</f>
        <v>1837.26926404034</v>
      </c>
      <c r="J135" s="24" t="n">
        <f aca="false">H135+I135-$B$14</f>
        <v>3112.82354447714</v>
      </c>
      <c r="K135" s="43" t="n">
        <f aca="false">J135/$B$15</f>
        <v>75.9225254750522</v>
      </c>
    </row>
    <row r="136" customFormat="false" ht="15" hidden="false" customHeight="false" outlineLevel="0" collapsed="false">
      <c r="A136" s="49" t="n">
        <v>96</v>
      </c>
      <c r="B136" s="19" t="n">
        <f aca="true">NORMINV(RAND(),$B$6,$C$6)</f>
        <v>0.01470408645738</v>
      </c>
      <c r="C136" s="19" t="n">
        <f aca="true">MAX(0.3,NORMINV(RAND(),$B$7,$C$7))</f>
        <v>0.443755326993791</v>
      </c>
      <c r="D136" s="32" t="n">
        <f aca="true">MAX(0.06,NORMINV(RAND(),$B$8,$C$8))</f>
        <v>0.0757975102423832</v>
      </c>
      <c r="E136" s="50" t="n">
        <f aca="true">MAX(4,NORMINV(RAND(),$B$9,$C$9))</f>
        <v>8.1454668870317</v>
      </c>
      <c r="F136" s="24" t="n">
        <f aca="false">$B$18*(1+(B136+$B$17)/2)^9</f>
        <v>1112.35500189268</v>
      </c>
      <c r="G136" s="24" t="n">
        <f aca="false">F136*C136</f>
        <v>493.613457598063</v>
      </c>
      <c r="H136" s="24" t="n">
        <f aca="false">E136*G136/(1+D136)^9</f>
        <v>2083.1865384176</v>
      </c>
      <c r="I136" s="24" t="n">
        <f aca="false">$B$13*G136/$B$12*((1+$B$8)/(1+D136))^4.5</f>
        <v>1938.82154690296</v>
      </c>
      <c r="J136" s="24" t="n">
        <f aca="false">H136+I136-$B$14</f>
        <v>3086.21780586851</v>
      </c>
      <c r="K136" s="43" t="n">
        <f aca="false">J136/$B$15</f>
        <v>75.2736050211833</v>
      </c>
    </row>
    <row r="137" customFormat="false" ht="15" hidden="false" customHeight="false" outlineLevel="0" collapsed="false">
      <c r="A137" s="49" t="n">
        <v>97</v>
      </c>
      <c r="B137" s="19" t="n">
        <f aca="true">NORMINV(RAND(),$B$6,$C$6)</f>
        <v>0.0384680674120351</v>
      </c>
      <c r="C137" s="19" t="n">
        <f aca="true">MAX(0.3,NORMINV(RAND(),$B$7,$C$7))</f>
        <v>0.408294327836613</v>
      </c>
      <c r="D137" s="32" t="n">
        <f aca="true">MAX(0.06,NORMINV(RAND(),$B$8,$C$8))</f>
        <v>0.0743112103628153</v>
      </c>
      <c r="E137" s="50" t="n">
        <f aca="true">MAX(4,NORMINV(RAND(),$B$9,$C$9))</f>
        <v>8.14374125800106</v>
      </c>
      <c r="F137" s="24" t="n">
        <f aca="false">$B$18*(1+(B137+$B$17)/2)^9</f>
        <v>1235.52677797594</v>
      </c>
      <c r="G137" s="24" t="n">
        <f aca="false">F137*C137</f>
        <v>504.458575337823</v>
      </c>
      <c r="H137" s="24" t="n">
        <f aca="false">E137*G137/(1+D137)^9</f>
        <v>2155.15498650285</v>
      </c>
      <c r="I137" s="24" t="n">
        <f aca="false">$B$13*G137/$B$12*((1+$B$8)/(1+D137))^4.5</f>
        <v>1993.78478607784</v>
      </c>
      <c r="J137" s="24" t="n">
        <f aca="false">H137+I137-$B$14</f>
        <v>3213.14949312864</v>
      </c>
      <c r="K137" s="43" t="n">
        <f aca="false">J137/$B$15</f>
        <v>78.3694998324058</v>
      </c>
    </row>
    <row r="138" customFormat="false" ht="15" hidden="false" customHeight="false" outlineLevel="0" collapsed="false">
      <c r="A138" s="49" t="n">
        <v>98</v>
      </c>
      <c r="B138" s="19" t="n">
        <f aca="true">NORMINV(RAND(),$B$6,$C$6)</f>
        <v>0.0543325100449142</v>
      </c>
      <c r="C138" s="19" t="n">
        <f aca="true">MAX(0.3,NORMINV(RAND(),$B$7,$C$7))</f>
        <v>0.421985522105275</v>
      </c>
      <c r="D138" s="32" t="n">
        <f aca="true">MAX(0.06,NORMINV(RAND(),$B$8,$C$8))</f>
        <v>0.0611163635458598</v>
      </c>
      <c r="E138" s="50" t="n">
        <f aca="true">MAX(4,NORMINV(RAND(),$B$9,$C$9))</f>
        <v>9.60973216439514</v>
      </c>
      <c r="F138" s="24" t="n">
        <f aca="false">$B$18*(1+(B138+$B$17)/2)^9</f>
        <v>1324.36058262945</v>
      </c>
      <c r="G138" s="24" t="n">
        <f aca="false">F138*C138</f>
        <v>558.860991916534</v>
      </c>
      <c r="H138" s="24" t="n">
        <f aca="false">E138*G138/(1+D138)^9</f>
        <v>3148.82100550483</v>
      </c>
      <c r="I138" s="24" t="n">
        <f aca="false">$B$13*G138/$B$12*((1+$B$8)/(1+D138))^4.5</f>
        <v>2335.11619918834</v>
      </c>
      <c r="J138" s="24" t="n">
        <f aca="false">H138+I138-$B$14</f>
        <v>4548.14692524111</v>
      </c>
      <c r="K138" s="43" t="n">
        <f aca="false">J138/$B$15</f>
        <v>110.930412810759</v>
      </c>
    </row>
    <row r="139" customFormat="false" ht="15" hidden="false" customHeight="false" outlineLevel="0" collapsed="false">
      <c r="A139" s="49" t="n">
        <v>99</v>
      </c>
      <c r="B139" s="19" t="n">
        <f aca="true">NORMINV(RAND(),$B$6,$C$6)</f>
        <v>0.0198531391020622</v>
      </c>
      <c r="C139" s="19" t="n">
        <f aca="true">MAX(0.3,NORMINV(RAND(),$B$7,$C$7))</f>
        <v>0.435482812262166</v>
      </c>
      <c r="D139" s="32" t="n">
        <f aca="true">MAX(0.06,NORMINV(RAND(),$B$8,$C$8))</f>
        <v>0.0720746253855442</v>
      </c>
      <c r="E139" s="50" t="n">
        <f aca="true">MAX(4,NORMINV(RAND(),$B$9,$C$9))</f>
        <v>7.04917781436114</v>
      </c>
      <c r="F139" s="24" t="n">
        <f aca="false">$B$18*(1+(B139+$B$17)/2)^9</f>
        <v>1138.07513820144</v>
      </c>
      <c r="G139" s="24" t="n">
        <f aca="false">F139*C139</f>
        <v>495.612161749614</v>
      </c>
      <c r="H139" s="24" t="n">
        <f aca="false">E139*G139/(1+D139)^9</f>
        <v>1867.47702748894</v>
      </c>
      <c r="I139" s="24" t="n">
        <f aca="false">$B$13*G139/$B$12*((1+$B$8)/(1+D139))^4.5</f>
        <v>1977.27753207074</v>
      </c>
      <c r="J139" s="24" t="n">
        <f aca="false">H139+I139-$B$14</f>
        <v>2908.96428010762</v>
      </c>
      <c r="K139" s="43" t="n">
        <f aca="false">J139/$B$15</f>
        <v>70.9503482953078</v>
      </c>
    </row>
    <row r="140" customFormat="false" ht="15" hidden="false" customHeight="false" outlineLevel="0" collapsed="false">
      <c r="A140" s="49" t="n">
        <v>100</v>
      </c>
      <c r="B140" s="19" t="n">
        <f aca="true">NORMINV(RAND(),$B$6,$C$6)</f>
        <v>0.0243618296575482</v>
      </c>
      <c r="C140" s="19" t="n">
        <f aca="true">MAX(0.3,NORMINV(RAND(),$B$7,$C$7))</f>
        <v>0.395534400273707</v>
      </c>
      <c r="D140" s="32" t="n">
        <f aca="true">MAX(0.06,NORMINV(RAND(),$B$8,$C$8))</f>
        <v>0.0717691976357252</v>
      </c>
      <c r="E140" s="50" t="n">
        <f aca="true">MAX(4,NORMINV(RAND(),$B$9,$C$9))</f>
        <v>10.4418900657324</v>
      </c>
      <c r="F140" s="24" t="n">
        <f aca="false">$B$18*(1+(B140+$B$17)/2)^9</f>
        <v>1161.0292613795</v>
      </c>
      <c r="G140" s="24" t="n">
        <f aca="false">F140*C140</f>
        <v>459.227012599964</v>
      </c>
      <c r="H140" s="24" t="n">
        <f aca="false">E140*G140/(1+D140)^9</f>
        <v>2569.77500322847</v>
      </c>
      <c r="I140" s="24" t="n">
        <f aca="false">$B$13*G140/$B$12*((1+$B$8)/(1+D140))^4.5</f>
        <v>1834.46722845709</v>
      </c>
      <c r="J140" s="24" t="n">
        <f aca="false">H140+I140-$B$14</f>
        <v>3468.4519522335</v>
      </c>
      <c r="K140" s="43" t="n">
        <f aca="false">J140/$B$15</f>
        <v>84.5963890788658</v>
      </c>
    </row>
    <row r="141" customFormat="false" ht="15" hidden="false" customHeight="false" outlineLevel="0" collapsed="false">
      <c r="A141" s="49" t="n">
        <v>101</v>
      </c>
      <c r="B141" s="19" t="n">
        <f aca="true">NORMINV(RAND(),$B$6,$C$6)</f>
        <v>0.0191209545402451</v>
      </c>
      <c r="C141" s="19" t="n">
        <f aca="true">MAX(0.3,NORMINV(RAND(),$B$7,$C$7))</f>
        <v>0.445110025452476</v>
      </c>
      <c r="D141" s="32" t="n">
        <f aca="true">MAX(0.06,NORMINV(RAND(),$B$8,$C$8))</f>
        <v>0.0915373678543364</v>
      </c>
      <c r="E141" s="50" t="n">
        <f aca="true">MAX(4,NORMINV(RAND(),$B$9,$C$9))</f>
        <v>9.71230716737116</v>
      </c>
      <c r="F141" s="24" t="n">
        <f aca="false">$B$18*(1+(B141+$B$17)/2)^9</f>
        <v>1134.38584767594</v>
      </c>
      <c r="G141" s="24" t="n">
        <f aca="false">F141*C141</f>
        <v>504.926513531966</v>
      </c>
      <c r="H141" s="24" t="n">
        <f aca="false">E141*G141/(1+D141)^9</f>
        <v>2229.47759941699</v>
      </c>
      <c r="I141" s="24" t="n">
        <f aca="false">$B$13*G141/$B$12*((1+$B$8)/(1+D141))^4.5</f>
        <v>1857.77319681578</v>
      </c>
      <c r="J141" s="24" t="n">
        <f aca="false">H141+I141-$B$14</f>
        <v>3151.46051678071</v>
      </c>
      <c r="K141" s="43" t="n">
        <f aca="false">J141/$B$15</f>
        <v>76.8648906531881</v>
      </c>
    </row>
    <row r="142" customFormat="false" ht="15" hidden="false" customHeight="false" outlineLevel="0" collapsed="false">
      <c r="A142" s="49" t="n">
        <v>102</v>
      </c>
      <c r="B142" s="19" t="n">
        <f aca="true">NORMINV(RAND(),$B$6,$C$6)</f>
        <v>0.0366994449481241</v>
      </c>
      <c r="C142" s="19" t="n">
        <f aca="true">MAX(0.3,NORMINV(RAND(),$B$7,$C$7))</f>
        <v>0.442607108533703</v>
      </c>
      <c r="D142" s="32" t="n">
        <f aca="true">MAX(0.06,NORMINV(RAND(),$B$8,$C$8))</f>
        <v>0.0692688407297875</v>
      </c>
      <c r="E142" s="50" t="n">
        <f aca="true">MAX(4,NORMINV(RAND(),$B$9,$C$9))</f>
        <v>8.88902300737725</v>
      </c>
      <c r="F142" s="24" t="n">
        <f aca="false">$B$18*(1+(B142+$B$17)/2)^9</f>
        <v>1225.9592182001</v>
      </c>
      <c r="G142" s="24" t="n">
        <f aca="false">F142*C142</f>
        <v>542.618264747785</v>
      </c>
      <c r="H142" s="24" t="n">
        <f aca="false">E142*G142/(1+D142)^9</f>
        <v>2639.77089567346</v>
      </c>
      <c r="I142" s="24" t="n">
        <f aca="false">$B$13*G142/$B$12*((1+$B$8)/(1+D142))^4.5</f>
        <v>2190.49143773001</v>
      </c>
      <c r="J142" s="24" t="n">
        <f aca="false">H142+I142-$B$14</f>
        <v>3894.47205395141</v>
      </c>
      <c r="K142" s="43" t="n">
        <f aca="false">J142/$B$15</f>
        <v>94.9871232671075</v>
      </c>
    </row>
    <row r="143" customFormat="false" ht="15" hidden="false" customHeight="false" outlineLevel="0" collapsed="false">
      <c r="A143" s="49" t="n">
        <v>103</v>
      </c>
      <c r="B143" s="19" t="n">
        <f aca="true">NORMINV(RAND(),$B$6,$C$6)</f>
        <v>0.0560255680168178</v>
      </c>
      <c r="C143" s="19" t="n">
        <f aca="true">MAX(0.3,NORMINV(RAND(),$B$7,$C$7))</f>
        <v>0.429091445595872</v>
      </c>
      <c r="D143" s="32" t="n">
        <f aca="true">MAX(0.06,NORMINV(RAND(),$B$8,$C$8))</f>
        <v>0.0760663774006689</v>
      </c>
      <c r="E143" s="50" t="n">
        <f aca="true">MAX(4,NORMINV(RAND(),$B$9,$C$9))</f>
        <v>8.81285302538449</v>
      </c>
      <c r="F143" s="24" t="n">
        <f aca="false">$B$18*(1+(B143+$B$17)/2)^9</f>
        <v>1334.16825759295</v>
      </c>
      <c r="G143" s="24" t="n">
        <f aca="false">F143*C143</f>
        <v>572.480186318687</v>
      </c>
      <c r="H143" s="24" t="n">
        <f aca="false">E143*G143/(1+D143)^9</f>
        <v>2608.107164525</v>
      </c>
      <c r="I143" s="24" t="n">
        <f aca="false">$B$13*G143/$B$12*((1+$B$8)/(1+D143))^4.5</f>
        <v>2246.06818050453</v>
      </c>
      <c r="J143" s="24" t="n">
        <f aca="false">H143+I143-$B$14</f>
        <v>3918.38506557747</v>
      </c>
      <c r="K143" s="43" t="n">
        <f aca="false">J143/$B$15</f>
        <v>95.5703674531091</v>
      </c>
    </row>
    <row r="144" customFormat="false" ht="15" hidden="false" customHeight="false" outlineLevel="0" collapsed="false">
      <c r="A144" s="49" t="n">
        <v>104</v>
      </c>
      <c r="B144" s="19" t="n">
        <f aca="true">NORMINV(RAND(),$B$6,$C$6)</f>
        <v>0.0475443748684023</v>
      </c>
      <c r="C144" s="19" t="n">
        <f aca="true">MAX(0.3,NORMINV(RAND(),$B$7,$C$7))</f>
        <v>0.449696214495364</v>
      </c>
      <c r="D144" s="32" t="n">
        <f aca="true">MAX(0.06,NORMINV(RAND(),$B$8,$C$8))</f>
        <v>0.0671196157844013</v>
      </c>
      <c r="E144" s="50" t="n">
        <f aca="true">MAX(4,NORMINV(RAND(),$B$9,$C$9))</f>
        <v>6.13402712177639</v>
      </c>
      <c r="F144" s="24" t="n">
        <f aca="false">$B$18*(1+(B144+$B$17)/2)^9</f>
        <v>1285.67817264266</v>
      </c>
      <c r="G144" s="24" t="n">
        <f aca="false">F144*C144</f>
        <v>578.16460729672</v>
      </c>
      <c r="H144" s="24" t="n">
        <f aca="false">E144*G144/(1+D144)^9</f>
        <v>1976.42011764899</v>
      </c>
      <c r="I144" s="24" t="n">
        <f aca="false">$B$13*G144/$B$12*((1+$B$8)/(1+D144))^4.5</f>
        <v>2355.21626056589</v>
      </c>
      <c r="J144" s="24" t="n">
        <f aca="false">H144+I144-$B$14</f>
        <v>3395.84609876283</v>
      </c>
      <c r="K144" s="43" t="n">
        <f aca="false">J144/$B$15</f>
        <v>82.8255146039714</v>
      </c>
    </row>
    <row r="145" customFormat="false" ht="15" hidden="false" customHeight="false" outlineLevel="0" collapsed="false">
      <c r="A145" s="49" t="n">
        <v>105</v>
      </c>
      <c r="B145" s="19" t="n">
        <f aca="true">NORMINV(RAND(),$B$6,$C$6)</f>
        <v>0.0331341282805816</v>
      </c>
      <c r="C145" s="19" t="n">
        <f aca="true">MAX(0.3,NORMINV(RAND(),$B$7,$C$7))</f>
        <v>0.463678202056418</v>
      </c>
      <c r="D145" s="32" t="n">
        <f aca="true">MAX(0.06,NORMINV(RAND(),$B$8,$C$8))</f>
        <v>0.0897701541506786</v>
      </c>
      <c r="E145" s="50" t="n">
        <f aca="true">MAX(4,NORMINV(RAND(),$B$9,$C$9))</f>
        <v>8.16357079252652</v>
      </c>
      <c r="F145" s="24" t="n">
        <f aca="false">$B$18*(1+(B145+$B$17)/2)^9</f>
        <v>1206.87219518843</v>
      </c>
      <c r="G145" s="24" t="n">
        <f aca="false">F145*C145</f>
        <v>559.600329576854</v>
      </c>
      <c r="H145" s="24" t="n">
        <f aca="false">E145*G145/(1+D145)^9</f>
        <v>2107.38526231907</v>
      </c>
      <c r="I145" s="24" t="n">
        <f aca="false">$B$13*G145/$B$12*((1+$B$8)/(1+D145))^4.5</f>
        <v>2074.0017633204</v>
      </c>
      <c r="J145" s="24" t="n">
        <f aca="false">H145+I145-$B$14</f>
        <v>3245.59674618742</v>
      </c>
      <c r="K145" s="43" t="n">
        <f aca="false">J145/$B$15</f>
        <v>79.1608962484736</v>
      </c>
    </row>
    <row r="146" customFormat="false" ht="15" hidden="false" customHeight="false" outlineLevel="0" collapsed="false">
      <c r="A146" s="49" t="n">
        <v>106</v>
      </c>
      <c r="B146" s="19" t="n">
        <f aca="true">NORMINV(RAND(),$B$6,$C$6)</f>
        <v>0.033749124670298</v>
      </c>
      <c r="C146" s="19" t="n">
        <f aca="true">MAX(0.3,NORMINV(RAND(),$B$7,$C$7))</f>
        <v>0.406890098292159</v>
      </c>
      <c r="D146" s="32" t="n">
        <f aca="true">MAX(0.06,NORMINV(RAND(),$B$8,$C$8))</f>
        <v>0.0838787845027179</v>
      </c>
      <c r="E146" s="50" t="n">
        <f aca="true">MAX(4,NORMINV(RAND(),$B$9,$C$9))</f>
        <v>8.01083876529633</v>
      </c>
      <c r="F146" s="24" t="n">
        <f aca="false">$B$18*(1+(B146+$B$17)/2)^9</f>
        <v>1210.14562047813</v>
      </c>
      <c r="G146" s="24" t="n">
        <f aca="false">F146*C146</f>
        <v>492.396270464172</v>
      </c>
      <c r="H146" s="24" t="n">
        <f aca="false">E146*G146/(1+D146)^9</f>
        <v>1910.58474097628</v>
      </c>
      <c r="I146" s="24" t="n">
        <f aca="false">$B$13*G146/$B$12*((1+$B$8)/(1+D146))^4.5</f>
        <v>1869.99216667622</v>
      </c>
      <c r="J146" s="24" t="n">
        <f aca="false">H146+I146-$B$14</f>
        <v>2844.78662820044</v>
      </c>
      <c r="K146" s="43" t="n">
        <f aca="false">J146/$B$15</f>
        <v>69.3850397122059</v>
      </c>
    </row>
    <row r="147" customFormat="false" ht="15" hidden="false" customHeight="false" outlineLevel="0" collapsed="false">
      <c r="A147" s="49" t="n">
        <v>107</v>
      </c>
      <c r="B147" s="19" t="n">
        <f aca="true">NORMINV(RAND(),$B$6,$C$6)</f>
        <v>0.0135340161698192</v>
      </c>
      <c r="C147" s="19" t="n">
        <f aca="true">MAX(0.3,NORMINV(RAND(),$B$7,$C$7))</f>
        <v>0.430599662016413</v>
      </c>
      <c r="D147" s="32" t="n">
        <f aca="true">MAX(0.06,NORMINV(RAND(),$B$8,$C$8))</f>
        <v>0.08930340599104</v>
      </c>
      <c r="E147" s="50" t="n">
        <f aca="true">MAX(4,NORMINV(RAND(),$B$9,$C$9))</f>
        <v>9.53854440620259</v>
      </c>
      <c r="F147" s="24" t="n">
        <f aca="false">$B$18*(1+(B147+$B$17)/2)^9</f>
        <v>1106.58291850025</v>
      </c>
      <c r="G147" s="24" t="n">
        <f aca="false">F147*C147</f>
        <v>476.494230699343</v>
      </c>
      <c r="H147" s="24" t="n">
        <f aca="false">E147*G147/(1+D147)^9</f>
        <v>2104.74748092782</v>
      </c>
      <c r="I147" s="24" t="n">
        <f aca="false">$B$13*G147/$B$12*((1+$B$8)/(1+D147))^4.5</f>
        <v>1769.39999783854</v>
      </c>
      <c r="J147" s="24" t="n">
        <f aca="false">H147+I147-$B$14</f>
        <v>2938.35719931431</v>
      </c>
      <c r="K147" s="43" t="n">
        <f aca="false">J147/$B$15</f>
        <v>71.6672487637635</v>
      </c>
    </row>
    <row r="148" customFormat="false" ht="15" hidden="false" customHeight="false" outlineLevel="0" collapsed="false">
      <c r="A148" s="49" t="n">
        <v>108</v>
      </c>
      <c r="B148" s="19" t="n">
        <f aca="true">NORMINV(RAND(),$B$6,$C$6)</f>
        <v>0.053525505210573</v>
      </c>
      <c r="C148" s="19" t="n">
        <f aca="true">MAX(0.3,NORMINV(RAND(),$B$7,$C$7))</f>
        <v>0.475663625194619</v>
      </c>
      <c r="D148" s="32" t="n">
        <f aca="true">MAX(0.06,NORMINV(RAND(),$B$8,$C$8))</f>
        <v>0.0708223051673979</v>
      </c>
      <c r="E148" s="50" t="n">
        <f aca="true">MAX(4,NORMINV(RAND(),$B$9,$C$9))</f>
        <v>11.5956857636154</v>
      </c>
      <c r="F148" s="24" t="n">
        <f aca="false">$B$18*(1+(B148+$B$17)/2)^9</f>
        <v>1319.70829864065</v>
      </c>
      <c r="G148" s="24" t="n">
        <f aca="false">F148*C148</f>
        <v>627.737233530833</v>
      </c>
      <c r="H148" s="24" t="n">
        <f aca="false">E148*G148/(1+D148)^9</f>
        <v>3932.03745753189</v>
      </c>
      <c r="I148" s="24" t="n">
        <f aca="false">$B$13*G148/$B$12*((1+$B$8)/(1+D148))^4.5</f>
        <v>2517.60621318339</v>
      </c>
      <c r="J148" s="24" t="n">
        <f aca="false">H148+I148-$B$14</f>
        <v>5513.85339126322</v>
      </c>
      <c r="K148" s="43" t="n">
        <f aca="false">J148/$B$15</f>
        <v>134.484229055201</v>
      </c>
    </row>
    <row r="149" customFormat="false" ht="15" hidden="false" customHeight="false" outlineLevel="0" collapsed="false">
      <c r="A149" s="49" t="n">
        <v>109</v>
      </c>
      <c r="B149" s="19" t="n">
        <f aca="true">NORMINV(RAND(),$B$6,$C$6)</f>
        <v>-0.0132299623672953</v>
      </c>
      <c r="C149" s="19" t="n">
        <f aca="true">MAX(0.3,NORMINV(RAND(),$B$7,$C$7))</f>
        <v>0.497567142312321</v>
      </c>
      <c r="D149" s="32" t="n">
        <f aca="true">MAX(0.06,NORMINV(RAND(),$B$8,$C$8))</f>
        <v>0.0776253706922798</v>
      </c>
      <c r="E149" s="50" t="n">
        <f aca="true">MAX(4,NORMINV(RAND(),$B$9,$C$9))</f>
        <v>9.03363754815448</v>
      </c>
      <c r="F149" s="24" t="n">
        <f aca="false">$B$18*(1+(B149+$B$17)/2)^9</f>
        <v>981.616475454335</v>
      </c>
      <c r="G149" s="24" t="n">
        <f aca="false">F149*C149</f>
        <v>488.420104538506</v>
      </c>
      <c r="H149" s="24" t="n">
        <f aca="false">E149*G149/(1+D149)^9</f>
        <v>2251.36508393593</v>
      </c>
      <c r="I149" s="24" t="n">
        <f aca="false">$B$13*G149/$B$12*((1+$B$8)/(1+D149))^4.5</f>
        <v>1903.82336001003</v>
      </c>
      <c r="J149" s="24" t="n">
        <f aca="false">H149+I149-$B$14</f>
        <v>3219.39816449391</v>
      </c>
      <c r="K149" s="43" t="n">
        <f aca="false">J149/$B$15</f>
        <v>78.521906451071</v>
      </c>
    </row>
    <row r="150" customFormat="false" ht="15" hidden="false" customHeight="false" outlineLevel="0" collapsed="false">
      <c r="A150" s="49" t="n">
        <v>110</v>
      </c>
      <c r="B150" s="19" t="n">
        <f aca="true">NORMINV(RAND(),$B$6,$C$6)</f>
        <v>0.0216380448984729</v>
      </c>
      <c r="C150" s="19" t="n">
        <f aca="true">MAX(0.3,NORMINV(RAND(),$B$7,$C$7))</f>
        <v>0.405307311938015</v>
      </c>
      <c r="D150" s="32" t="n">
        <f aca="true">MAX(0.06,NORMINV(RAND(),$B$8,$C$8))</f>
        <v>0.0763650857958388</v>
      </c>
      <c r="E150" s="50" t="n">
        <f aca="true">MAX(4,NORMINV(RAND(),$B$9,$C$9))</f>
        <v>7.49052051445103</v>
      </c>
      <c r="F150" s="24" t="n">
        <f aca="false">$B$18*(1+(B150+$B$17)/2)^9</f>
        <v>1147.11354998007</v>
      </c>
      <c r="G150" s="24" t="n">
        <f aca="false">F150*C150</f>
        <v>464.933509430096</v>
      </c>
      <c r="H150" s="24" t="n">
        <f aca="false">E150*G150/(1+D150)^9</f>
        <v>1795.83498465702</v>
      </c>
      <c r="I150" s="24" t="n">
        <f aca="false">$B$13*G150/$B$12*((1+$B$8)/(1+D150))^4.5</f>
        <v>1821.84276418248</v>
      </c>
      <c r="J150" s="24" t="n">
        <f aca="false">H150+I150-$B$14</f>
        <v>2681.88746938745</v>
      </c>
      <c r="K150" s="43" t="n">
        <f aca="false">J150/$B$15</f>
        <v>65.4118894972548</v>
      </c>
    </row>
    <row r="151" customFormat="false" ht="15" hidden="false" customHeight="false" outlineLevel="0" collapsed="false">
      <c r="A151" s="49" t="n">
        <v>111</v>
      </c>
      <c r="B151" s="19" t="n">
        <f aca="true">NORMINV(RAND(),$B$6,$C$6)</f>
        <v>0.0114858458040023</v>
      </c>
      <c r="C151" s="19" t="n">
        <f aca="true">MAX(0.3,NORMINV(RAND(),$B$7,$C$7))</f>
        <v>0.464216247227042</v>
      </c>
      <c r="D151" s="32" t="n">
        <f aca="true">MAX(0.06,NORMINV(RAND(),$B$8,$C$8))</f>
        <v>0.0795511747259837</v>
      </c>
      <c r="E151" s="50" t="n">
        <f aca="true">MAX(4,NORMINV(RAND(),$B$9,$C$9))</f>
        <v>7.06344381976831</v>
      </c>
      <c r="F151" s="24" t="n">
        <f aca="false">$B$18*(1+(B151+$B$17)/2)^9</f>
        <v>1096.5431359519</v>
      </c>
      <c r="G151" s="24" t="n">
        <f aca="false">F151*C151</f>
        <v>509.033139494162</v>
      </c>
      <c r="H151" s="24" t="n">
        <f aca="false">E151*G151/(1+D151)^9</f>
        <v>1805.4000219407</v>
      </c>
      <c r="I151" s="24" t="n">
        <f aca="false">$B$13*G151/$B$12*((1+$B$8)/(1+D151))^4.5</f>
        <v>1968.29303371928</v>
      </c>
      <c r="J151" s="24" t="n">
        <f aca="false">H151+I151-$B$14</f>
        <v>2837.90277620792</v>
      </c>
      <c r="K151" s="43" t="n">
        <f aca="false">J151/$B$15</f>
        <v>69.2171408831201</v>
      </c>
    </row>
    <row r="152" customFormat="false" ht="15" hidden="false" customHeight="false" outlineLevel="0" collapsed="false">
      <c r="A152" s="49" t="n">
        <v>112</v>
      </c>
      <c r="B152" s="19" t="n">
        <f aca="true">NORMINV(RAND(),$B$6,$C$6)</f>
        <v>0.0502328153550814</v>
      </c>
      <c r="C152" s="19" t="n">
        <f aca="true">MAX(0.3,NORMINV(RAND(),$B$7,$C$7))</f>
        <v>0.419637087916205</v>
      </c>
      <c r="D152" s="32" t="n">
        <f aca="true">MAX(0.06,NORMINV(RAND(),$B$8,$C$8))</f>
        <v>0.0779837777405329</v>
      </c>
      <c r="E152" s="50" t="n">
        <f aca="true">MAX(4,NORMINV(RAND(),$B$9,$C$9))</f>
        <v>6.13961917558914</v>
      </c>
      <c r="F152" s="24" t="n">
        <f aca="false">$B$18*(1+(B152+$B$17)/2)^9</f>
        <v>1300.87653606213</v>
      </c>
      <c r="G152" s="24" t="n">
        <f aca="false">F152*C152</f>
        <v>545.896041331635</v>
      </c>
      <c r="H152" s="24" t="n">
        <f aca="false">E152*G152/(1+D152)^9</f>
        <v>1705.0666140562</v>
      </c>
      <c r="I152" s="24" t="n">
        <f aca="false">$B$13*G152/$B$12*((1+$B$8)/(1+D152))^4.5</f>
        <v>2124.67830706251</v>
      </c>
      <c r="J152" s="24" t="n">
        <f aca="false">H152+I152-$B$14</f>
        <v>2893.95464166665</v>
      </c>
      <c r="K152" s="43" t="n">
        <f aca="false">J152/$B$15</f>
        <v>70.5842595528451</v>
      </c>
    </row>
    <row r="153" customFormat="false" ht="15" hidden="false" customHeight="false" outlineLevel="0" collapsed="false">
      <c r="A153" s="49" t="n">
        <v>113</v>
      </c>
      <c r="B153" s="19" t="n">
        <f aca="true">NORMINV(RAND(),$B$6,$C$6)</f>
        <v>0.0365680813619092</v>
      </c>
      <c r="C153" s="19" t="n">
        <f aca="true">MAX(0.3,NORMINV(RAND(),$B$7,$C$7))</f>
        <v>0.453477751932151</v>
      </c>
      <c r="D153" s="32" t="n">
        <f aca="true">MAX(0.06,NORMINV(RAND(),$B$8,$C$8))</f>
        <v>0.0798591276513712</v>
      </c>
      <c r="E153" s="50" t="n">
        <f aca="true">MAX(4,NORMINV(RAND(),$B$9,$C$9))</f>
        <v>8.25983208377677</v>
      </c>
      <c r="F153" s="24" t="n">
        <f aca="false">$B$18*(1+(B153+$B$17)/2)^9</f>
        <v>1225.25122683295</v>
      </c>
      <c r="G153" s="24" t="n">
        <f aca="false">F153*C153</f>
        <v>555.624171896318</v>
      </c>
      <c r="H153" s="24" t="n">
        <f aca="false">E153*G153/(1+D153)^9</f>
        <v>2298.52069047475</v>
      </c>
      <c r="I153" s="24" t="n">
        <f aca="false">$B$13*G153/$B$12*((1+$B$8)/(1+D153))^4.5</f>
        <v>2145.69217700305</v>
      </c>
      <c r="J153" s="24" t="n">
        <f aca="false">H153+I153-$B$14</f>
        <v>3508.42258802575</v>
      </c>
      <c r="K153" s="43" t="n">
        <f aca="false">J153/$B$15</f>
        <v>85.5712826347744</v>
      </c>
    </row>
    <row r="154" customFormat="false" ht="15" hidden="false" customHeight="false" outlineLevel="0" collapsed="false">
      <c r="A154" s="49" t="n">
        <v>114</v>
      </c>
      <c r="B154" s="19" t="n">
        <f aca="true">NORMINV(RAND(),$B$6,$C$6)</f>
        <v>0.0404033458392044</v>
      </c>
      <c r="C154" s="19" t="n">
        <f aca="true">MAX(0.3,NORMINV(RAND(),$B$7,$C$7))</f>
        <v>0.442095557516471</v>
      </c>
      <c r="D154" s="32" t="n">
        <f aca="true">MAX(0.06,NORMINV(RAND(),$B$8,$C$8))</f>
        <v>0.0756875196258789</v>
      </c>
      <c r="E154" s="50" t="n">
        <f aca="true">MAX(4,NORMINV(RAND(),$B$9,$C$9))</f>
        <v>9.37587426447848</v>
      </c>
      <c r="F154" s="24" t="n">
        <f aca="false">$B$18*(1+(B154+$B$17)/2)^9</f>
        <v>1246.07187631186</v>
      </c>
      <c r="G154" s="24" t="n">
        <f aca="false">F154*C154</f>
        <v>550.882840863689</v>
      </c>
      <c r="H154" s="24" t="n">
        <f aca="false">E154*G154/(1+D154)^9</f>
        <v>2678.52590379286</v>
      </c>
      <c r="I154" s="24" t="n">
        <f aca="false">$B$13*G154/$B$12*((1+$B$8)/(1+D154))^4.5</f>
        <v>2164.76079190589</v>
      </c>
      <c r="J154" s="24" t="n">
        <f aca="false">H154+I154-$B$14</f>
        <v>3907.4964162467</v>
      </c>
      <c r="K154" s="43" t="n">
        <f aca="false">J154/$B$15</f>
        <v>95.3047906401633</v>
      </c>
    </row>
    <row r="155" customFormat="false" ht="15" hidden="false" customHeight="false" outlineLevel="0" collapsed="false">
      <c r="A155" s="49" t="n">
        <v>115</v>
      </c>
      <c r="B155" s="19" t="n">
        <f aca="true">NORMINV(RAND(),$B$6,$C$6)</f>
        <v>0.0503372298359681</v>
      </c>
      <c r="C155" s="19" t="n">
        <f aca="true">MAX(0.3,NORMINV(RAND(),$B$7,$C$7))</f>
        <v>0.449546744987165</v>
      </c>
      <c r="D155" s="32" t="n">
        <f aca="true">MAX(0.06,NORMINV(RAND(),$B$8,$C$8))</f>
        <v>0.0793555851044922</v>
      </c>
      <c r="E155" s="50" t="n">
        <f aca="true">MAX(4,NORMINV(RAND(),$B$9,$C$9))</f>
        <v>9.25011098527324</v>
      </c>
      <c r="F155" s="24" t="n">
        <f aca="false">$B$18*(1+(B155+$B$17)/2)^9</f>
        <v>1301.47002286533</v>
      </c>
      <c r="G155" s="24" t="n">
        <f aca="false">F155*C155</f>
        <v>585.071612477481</v>
      </c>
      <c r="H155" s="24" t="n">
        <f aca="false">E155*G155/(1+D155)^9</f>
        <v>2721.91828010646</v>
      </c>
      <c r="I155" s="24" t="n">
        <f aca="false">$B$13*G155/$B$12*((1+$B$8)/(1+D155))^4.5</f>
        <v>2264.15855037508</v>
      </c>
      <c r="J155" s="24" t="n">
        <f aca="false">H155+I155-$B$14</f>
        <v>4050.28655102948</v>
      </c>
      <c r="K155" s="43" t="n">
        <f aca="false">J155/$B$15</f>
        <v>98.7874768543777</v>
      </c>
    </row>
    <row r="156" customFormat="false" ht="15" hidden="false" customHeight="false" outlineLevel="0" collapsed="false">
      <c r="A156" s="49" t="n">
        <v>116</v>
      </c>
      <c r="B156" s="19" t="n">
        <f aca="true">NORMINV(RAND(),$B$6,$C$6)</f>
        <v>0.016900003376729</v>
      </c>
      <c r="C156" s="19" t="n">
        <f aca="true">MAX(0.3,NORMINV(RAND(),$B$7,$C$7))</f>
        <v>0.468351185846083</v>
      </c>
      <c r="D156" s="32" t="n">
        <f aca="true">MAX(0.06,NORMINV(RAND(),$B$8,$C$8))</f>
        <v>0.0853123716601581</v>
      </c>
      <c r="E156" s="50" t="n">
        <f aca="true">MAX(4,NORMINV(RAND(),$B$9,$C$9))</f>
        <v>6.41935104822136</v>
      </c>
      <c r="F156" s="24" t="n">
        <f aca="false">$B$18*(1+(B156+$B$17)/2)^9</f>
        <v>1123.25998567452</v>
      </c>
      <c r="G156" s="24" t="n">
        <f aca="false">F156*C156</f>
        <v>526.080146304113</v>
      </c>
      <c r="H156" s="24" t="n">
        <f aca="false">E156*G156/(1+D156)^9</f>
        <v>1616.40526259357</v>
      </c>
      <c r="I156" s="24" t="n">
        <f aca="false">$B$13*G156/$B$12*((1+$B$8)/(1+D156))^4.5</f>
        <v>1986.06644402242</v>
      </c>
      <c r="J156" s="24" t="n">
        <f aca="false">H156+I156-$B$14</f>
        <v>2666.68142716393</v>
      </c>
      <c r="K156" s="43" t="n">
        <f aca="false">J156/$B$15</f>
        <v>65.0410104186325</v>
      </c>
    </row>
    <row r="157" customFormat="false" ht="15" hidden="false" customHeight="false" outlineLevel="0" collapsed="false">
      <c r="A157" s="49" t="n">
        <v>117</v>
      </c>
      <c r="B157" s="19" t="n">
        <f aca="true">NORMINV(RAND(),$B$6,$C$6)</f>
        <v>0.059802125620774</v>
      </c>
      <c r="C157" s="19" t="n">
        <f aca="true">MAX(0.3,NORMINV(RAND(),$B$7,$C$7))</f>
        <v>0.458225758358437</v>
      </c>
      <c r="D157" s="32" t="n">
        <f aca="true">MAX(0.06,NORMINV(RAND(),$B$8,$C$8))</f>
        <v>0.0793012905545822</v>
      </c>
      <c r="E157" s="50" t="n">
        <f aca="true">MAX(4,NORMINV(RAND(),$B$9,$C$9))</f>
        <v>9.54070367591942</v>
      </c>
      <c r="F157" s="24" t="n">
        <f aca="false">$B$18*(1+(B157+$B$17)/2)^9</f>
        <v>1356.27836794916</v>
      </c>
      <c r="G157" s="24" t="n">
        <f aca="false">F157*C157</f>
        <v>621.481683698647</v>
      </c>
      <c r="H157" s="24" t="n">
        <f aca="false">E157*G157/(1+D157)^9</f>
        <v>2983.48922516833</v>
      </c>
      <c r="I157" s="24" t="n">
        <f aca="false">$B$13*G157/$B$12*((1+$B$8)/(1+D157))^4.5</f>
        <v>2405.60574818014</v>
      </c>
      <c r="J157" s="24" t="n">
        <f aca="false">H157+I157-$B$14</f>
        <v>4453.30469389641</v>
      </c>
      <c r="K157" s="43" t="n">
        <f aca="false">J157/$B$15</f>
        <v>108.61718765601</v>
      </c>
    </row>
    <row r="158" customFormat="false" ht="15" hidden="false" customHeight="false" outlineLevel="0" collapsed="false">
      <c r="A158" s="49" t="n">
        <v>118</v>
      </c>
      <c r="B158" s="19" t="n">
        <f aca="true">NORMINV(RAND(),$B$6,$C$6)</f>
        <v>0.0208563874805497</v>
      </c>
      <c r="C158" s="19" t="n">
        <f aca="true">MAX(0.3,NORMINV(RAND(),$B$7,$C$7))</f>
        <v>0.419002979253917</v>
      </c>
      <c r="D158" s="32" t="n">
        <f aca="true">MAX(0.06,NORMINV(RAND(),$B$8,$C$8))</f>
        <v>0.0779477336472731</v>
      </c>
      <c r="E158" s="50" t="n">
        <f aca="true">MAX(4,NORMINV(RAND(),$B$9,$C$9))</f>
        <v>6.36786584932847</v>
      </c>
      <c r="F158" s="24" t="n">
        <f aca="false">$B$18*(1+(B158+$B$17)/2)^9</f>
        <v>1143.14756782609</v>
      </c>
      <c r="G158" s="24" t="n">
        <f aca="false">F158*C158</f>
        <v>478.982236645998</v>
      </c>
      <c r="H158" s="24" t="n">
        <f aca="false">E158*G158/(1+D158)^9</f>
        <v>1552.15103695792</v>
      </c>
      <c r="I158" s="24" t="n">
        <f aca="false">$B$13*G158/$B$12*((1+$B$8)/(1+D158))^4.5</f>
        <v>1864.52406685242</v>
      </c>
      <c r="J158" s="24" t="n">
        <f aca="false">H158+I158-$B$14</f>
        <v>2480.88482435828</v>
      </c>
      <c r="K158" s="43" t="n">
        <f aca="false">J158/$B$15</f>
        <v>60.5093859599581</v>
      </c>
    </row>
    <row r="159" customFormat="false" ht="15" hidden="false" customHeight="false" outlineLevel="0" collapsed="false">
      <c r="A159" s="49" t="n">
        <v>119</v>
      </c>
      <c r="B159" s="19" t="n">
        <f aca="true">NORMINV(RAND(),$B$6,$C$6)</f>
        <v>0.0592228359672602</v>
      </c>
      <c r="C159" s="19" t="n">
        <f aca="true">MAX(0.3,NORMINV(RAND(),$B$7,$C$7))</f>
        <v>0.419296235685141</v>
      </c>
      <c r="D159" s="32" t="n">
        <f aca="true">MAX(0.06,NORMINV(RAND(),$B$8,$C$8))</f>
        <v>0.092461499141393</v>
      </c>
      <c r="E159" s="50" t="n">
        <f aca="true">MAX(4,NORMINV(RAND(),$B$9,$C$9))</f>
        <v>7.63660595543749</v>
      </c>
      <c r="F159" s="24" t="n">
        <f aca="false">$B$18*(1+(B159+$B$17)/2)^9</f>
        <v>1352.86587205794</v>
      </c>
      <c r="G159" s="24" t="n">
        <f aca="false">F159*C159</f>
        <v>567.251567540789</v>
      </c>
      <c r="H159" s="24" t="n">
        <f aca="false">E159*G159/(1+D159)^9</f>
        <v>1954.43316285809</v>
      </c>
      <c r="I159" s="24" t="n">
        <f aca="false">$B$13*G159/$B$12*((1+$B$8)/(1+D159))^4.5</f>
        <v>2079.15240920859</v>
      </c>
      <c r="J159" s="24" t="n">
        <f aca="false">H159+I159-$B$14</f>
        <v>3097.79529261463</v>
      </c>
      <c r="K159" s="43" t="n">
        <f aca="false">J159/$B$15</f>
        <v>75.5559827466982</v>
      </c>
    </row>
    <row r="160" customFormat="false" ht="15" hidden="false" customHeight="false" outlineLevel="0" collapsed="false">
      <c r="A160" s="49" t="n">
        <v>120</v>
      </c>
      <c r="B160" s="19" t="n">
        <f aca="true">NORMINV(RAND(),$B$6,$C$6)</f>
        <v>0.00336407014217826</v>
      </c>
      <c r="C160" s="19" t="n">
        <f aca="true">MAX(0.3,NORMINV(RAND(),$B$7,$C$7))</f>
        <v>0.475080929242102</v>
      </c>
      <c r="D160" s="32" t="n">
        <f aca="true">MAX(0.06,NORMINV(RAND(),$B$8,$C$8))</f>
        <v>0.0750669475627709</v>
      </c>
      <c r="E160" s="50" t="n">
        <f aca="true">MAX(4,NORMINV(RAND(),$B$9,$C$9))</f>
        <v>6.40416489475743</v>
      </c>
      <c r="F160" s="24" t="n">
        <f aca="false">$B$18*(1+(B160+$B$17)/2)^9</f>
        <v>1057.52393120556</v>
      </c>
      <c r="G160" s="24" t="n">
        <f aca="false">F160*C160</f>
        <v>502.4094519329</v>
      </c>
      <c r="H160" s="24" t="n">
        <f aca="false">E160*G160/(1+D160)^9</f>
        <v>1677.26126717077</v>
      </c>
      <c r="I160" s="24" t="n">
        <f aca="false">$B$13*G160/$B$12*((1+$B$8)/(1+D160))^4.5</f>
        <v>1979.41227721227</v>
      </c>
      <c r="J160" s="24" t="n">
        <f aca="false">H160+I160-$B$14</f>
        <v>2720.88326493099</v>
      </c>
      <c r="K160" s="43" t="n">
        <f aca="false">J160/$B$15</f>
        <v>66.3630064617314</v>
      </c>
    </row>
    <row r="161" customFormat="false" ht="15" hidden="false" customHeight="false" outlineLevel="0" collapsed="false">
      <c r="A161" s="49" t="n">
        <v>121</v>
      </c>
      <c r="B161" s="19" t="n">
        <f aca="true">NORMINV(RAND(),$B$6,$C$6)</f>
        <v>0.0258260953476259</v>
      </c>
      <c r="C161" s="19" t="n">
        <f aca="true">MAX(0.3,NORMINV(RAND(),$B$7,$C$7))</f>
        <v>0.441948027292658</v>
      </c>
      <c r="D161" s="32" t="n">
        <f aca="true">MAX(0.06,NORMINV(RAND(),$B$8,$C$8))</f>
        <v>0.0820167543687767</v>
      </c>
      <c r="E161" s="50" t="n">
        <f aca="true">MAX(4,NORMINV(RAND(),$B$9,$C$9))</f>
        <v>4</v>
      </c>
      <c r="F161" s="24" t="n">
        <f aca="false">$B$18*(1+(B161+$B$17)/2)^9</f>
        <v>1168.57198205025</v>
      </c>
      <c r="G161" s="24" t="n">
        <f aca="false">F161*C161</f>
        <v>516.448082216577</v>
      </c>
      <c r="H161" s="24" t="n">
        <f aca="false">E161*G161/(1+D161)^9</f>
        <v>1016.20374227274</v>
      </c>
      <c r="I161" s="24" t="n">
        <f aca="false">$B$13*G161/$B$12*((1+$B$8)/(1+D161))^4.5</f>
        <v>1976.56903146227</v>
      </c>
      <c r="J161" s="24" t="n">
        <f aca="false">H161+I161-$B$14</f>
        <v>2056.98249428295</v>
      </c>
      <c r="K161" s="43" t="n">
        <f aca="false">J161/$B$15</f>
        <v>50.1703047386087</v>
      </c>
    </row>
    <row r="162" customFormat="false" ht="15" hidden="false" customHeight="false" outlineLevel="0" collapsed="false">
      <c r="A162" s="49" t="n">
        <v>122</v>
      </c>
      <c r="B162" s="19" t="n">
        <f aca="true">NORMINV(RAND(),$B$6,$C$6)</f>
        <v>0.0257002430324252</v>
      </c>
      <c r="C162" s="19" t="n">
        <f aca="true">MAX(0.3,NORMINV(RAND(),$B$7,$C$7))</f>
        <v>0.40181904520105</v>
      </c>
      <c r="D162" s="32" t="n">
        <f aca="true">MAX(0.06,NORMINV(RAND(),$B$8,$C$8))</f>
        <v>0.0741229204837711</v>
      </c>
      <c r="E162" s="50" t="n">
        <f aca="true">MAX(4,NORMINV(RAND(),$B$9,$C$9))</f>
        <v>8.23601851206113</v>
      </c>
      <c r="F162" s="24" t="n">
        <f aca="false">$B$18*(1+(B162+$B$17)/2)^9</f>
        <v>1167.92198539299</v>
      </c>
      <c r="G162" s="24" t="n">
        <f aca="false">F162*C162</f>
        <v>469.293297039927</v>
      </c>
      <c r="H162" s="24" t="n">
        <f aca="false">E162*G162/(1+D162)^9</f>
        <v>2030.84046986149</v>
      </c>
      <c r="I162" s="24" t="n">
        <f aca="false">$B$13*G162/$B$12*((1+$B$8)/(1+D162))^4.5</f>
        <v>1856.26371731082</v>
      </c>
      <c r="J162" s="24" t="n">
        <f aca="false">H162+I162-$B$14</f>
        <v>2951.31390772025</v>
      </c>
      <c r="K162" s="43" t="n">
        <f aca="false">J162/$B$15</f>
        <v>71.9832660419574</v>
      </c>
    </row>
    <row r="163" customFormat="false" ht="15" hidden="false" customHeight="false" outlineLevel="0" collapsed="false">
      <c r="A163" s="49" t="n">
        <v>123</v>
      </c>
      <c r="B163" s="19" t="n">
        <f aca="true">NORMINV(RAND(),$B$6,$C$6)</f>
        <v>0.0370121616729576</v>
      </c>
      <c r="C163" s="19" t="n">
        <f aca="true">MAX(0.3,NORMINV(RAND(),$B$7,$C$7))</f>
        <v>0.444895828790934</v>
      </c>
      <c r="D163" s="32" t="n">
        <f aca="true">MAX(0.06,NORMINV(RAND(),$B$8,$C$8))</f>
        <v>0.0761875500402744</v>
      </c>
      <c r="E163" s="50" t="n">
        <f aca="true">MAX(4,NORMINV(RAND(),$B$9,$C$9))</f>
        <v>5.54307737197304</v>
      </c>
      <c r="F163" s="24" t="n">
        <f aca="false">$B$18*(1+(B163+$B$17)/2)^9</f>
        <v>1227.64608584527</v>
      </c>
      <c r="G163" s="24" t="n">
        <f aca="false">F163*C163</f>
        <v>546.174622824078</v>
      </c>
      <c r="H163" s="24" t="n">
        <f aca="false">E163*G163/(1+D163)^9</f>
        <v>1563.4744409249</v>
      </c>
      <c r="I163" s="24" t="n">
        <f aca="false">$B$13*G163/$B$12*((1+$B$8)/(1+D163))^4.5</f>
        <v>2141.77544018538</v>
      </c>
      <c r="J163" s="24" t="n">
        <f aca="false">H163+I163-$B$14</f>
        <v>2769.45960165822</v>
      </c>
      <c r="K163" s="43" t="n">
        <f aca="false">J163/$B$15</f>
        <v>67.5477951623957</v>
      </c>
    </row>
    <row r="164" customFormat="false" ht="15" hidden="false" customHeight="false" outlineLevel="0" collapsed="false">
      <c r="A164" s="49" t="n">
        <v>124</v>
      </c>
      <c r="B164" s="19" t="n">
        <f aca="true">NORMINV(RAND(),$B$6,$C$6)</f>
        <v>0.014464511368702</v>
      </c>
      <c r="C164" s="19" t="n">
        <f aca="true">MAX(0.3,NORMINV(RAND(),$B$7,$C$7))</f>
        <v>0.419504703420415</v>
      </c>
      <c r="D164" s="32" t="n">
        <f aca="true">MAX(0.06,NORMINV(RAND(),$B$8,$C$8))</f>
        <v>0.0737446792083312</v>
      </c>
      <c r="E164" s="50" t="n">
        <f aca="true">MAX(4,NORMINV(RAND(),$B$9,$C$9))</f>
        <v>9.70766229022028</v>
      </c>
      <c r="F164" s="24" t="n">
        <f aca="false">$B$18*(1+(B164+$B$17)/2)^9</f>
        <v>1111.17097797743</v>
      </c>
      <c r="G164" s="24" t="n">
        <f aca="false">F164*C164</f>
        <v>466.141451565794</v>
      </c>
      <c r="H164" s="24" t="n">
        <f aca="false">E164*G164/(1+D164)^9</f>
        <v>2385.19099527114</v>
      </c>
      <c r="I164" s="24" t="n">
        <f aca="false">$B$13*G164/$B$12*((1+$B$8)/(1+D164))^4.5</f>
        <v>1846.72133094824</v>
      </c>
      <c r="J164" s="24" t="n">
        <f aca="false">H164+I164-$B$14</f>
        <v>3296.12204676732</v>
      </c>
      <c r="K164" s="43" t="n">
        <f aca="false">J164/$B$15</f>
        <v>80.3932206528616</v>
      </c>
    </row>
    <row r="165" customFormat="false" ht="15" hidden="false" customHeight="false" outlineLevel="0" collapsed="false">
      <c r="A165" s="49" t="n">
        <v>125</v>
      </c>
      <c r="B165" s="19" t="n">
        <f aca="true">NORMINV(RAND(),$B$6,$C$6)</f>
        <v>0.0342785572745407</v>
      </c>
      <c r="C165" s="19" t="n">
        <f aca="true">MAX(0.3,NORMINV(RAND(),$B$7,$C$7))</f>
        <v>0.448552274315297</v>
      </c>
      <c r="D165" s="32" t="n">
        <f aca="true">MAX(0.06,NORMINV(RAND(),$B$8,$C$8))</f>
        <v>0.0852405769080695</v>
      </c>
      <c r="E165" s="50" t="n">
        <f aca="true">MAX(4,NORMINV(RAND(),$B$9,$C$9))</f>
        <v>8.3171128257722</v>
      </c>
      <c r="F165" s="24" t="n">
        <f aca="false">$B$18*(1+(B165+$B$17)/2)^9</f>
        <v>1212.96993654247</v>
      </c>
      <c r="G165" s="24" t="n">
        <f aca="false">F165*C165</f>
        <v>544.080423712205</v>
      </c>
      <c r="H165" s="24" t="n">
        <f aca="false">E165*G165/(1+D165)^9</f>
        <v>2167.21241980746</v>
      </c>
      <c r="I165" s="24" t="n">
        <f aca="false">$B$13*G165/$B$12*((1+$B$8)/(1+D165))^4.5</f>
        <v>2054.63294160452</v>
      </c>
      <c r="J165" s="24" t="n">
        <f aca="false">H165+I165-$B$14</f>
        <v>3286.05508195992</v>
      </c>
      <c r="K165" s="43" t="n">
        <f aca="false">J165/$B$15</f>
        <v>80.1476849258517</v>
      </c>
    </row>
    <row r="166" customFormat="false" ht="15" hidden="false" customHeight="false" outlineLevel="0" collapsed="false">
      <c r="A166" s="49" t="n">
        <v>126</v>
      </c>
      <c r="B166" s="19" t="n">
        <f aca="true">NORMINV(RAND(),$B$6,$C$6)</f>
        <v>0.016534327251026</v>
      </c>
      <c r="C166" s="19" t="n">
        <f aca="true">MAX(0.3,NORMINV(RAND(),$B$7,$C$7))</f>
        <v>0.407433899190806</v>
      </c>
      <c r="D166" s="32" t="n">
        <f aca="true">MAX(0.06,NORMINV(RAND(),$B$8,$C$8))</f>
        <v>0.0802536769974509</v>
      </c>
      <c r="E166" s="50" t="n">
        <f aca="true">MAX(4,NORMINV(RAND(),$B$9,$C$9))</f>
        <v>8.39062030284557</v>
      </c>
      <c r="F166" s="24" t="n">
        <f aca="false">$B$18*(1+(B166+$B$17)/2)^9</f>
        <v>1121.43745984052</v>
      </c>
      <c r="G166" s="24" t="n">
        <f aca="false">F166*C166</f>
        <v>456.911636961457</v>
      </c>
      <c r="H166" s="24" t="n">
        <f aca="false">E166*G166/(1+D166)^9</f>
        <v>1913.79100258061</v>
      </c>
      <c r="I166" s="24" t="n">
        <f aca="false">$B$13*G166/$B$12*((1+$B$8)/(1+D166))^4.5</f>
        <v>1761.58896989245</v>
      </c>
      <c r="J166" s="24" t="n">
        <f aca="false">H166+I166-$B$14</f>
        <v>2739.589693021</v>
      </c>
      <c r="K166" s="43" t="n">
        <f aca="false">J166/$B$15</f>
        <v>66.8192608053902</v>
      </c>
    </row>
    <row r="167" customFormat="false" ht="15" hidden="false" customHeight="false" outlineLevel="0" collapsed="false">
      <c r="A167" s="49" t="n">
        <v>127</v>
      </c>
      <c r="B167" s="19" t="n">
        <f aca="true">NORMINV(RAND(),$B$6,$C$6)</f>
        <v>0.0299140118058602</v>
      </c>
      <c r="C167" s="19" t="n">
        <f aca="true">MAX(0.3,NORMINV(RAND(),$B$7,$C$7))</f>
        <v>0.440246101863206</v>
      </c>
      <c r="D167" s="32" t="n">
        <f aca="true">MAX(0.06,NORMINV(RAND(),$B$8,$C$8))</f>
        <v>0.0806015011990619</v>
      </c>
      <c r="E167" s="50" t="n">
        <f aca="true">MAX(4,NORMINV(RAND(),$B$9,$C$9))</f>
        <v>8.01256691844814</v>
      </c>
      <c r="F167" s="24" t="n">
        <f aca="false">$B$18*(1+(B167+$B$17)/2)^9</f>
        <v>1189.86071802</v>
      </c>
      <c r="G167" s="24" t="n">
        <f aca="false">F167*C167</f>
        <v>523.831542868459</v>
      </c>
      <c r="H167" s="24" t="n">
        <f aca="false">E167*G167/(1+D167)^9</f>
        <v>2089.16728772373</v>
      </c>
      <c r="I167" s="24" t="n">
        <f aca="false">$B$13*G167/$B$12*((1+$B$8)/(1+D167))^4.5</f>
        <v>2016.6700549709</v>
      </c>
      <c r="J167" s="24" t="n">
        <f aca="false">H167+I167-$B$14</f>
        <v>3170.04706324257</v>
      </c>
      <c r="K167" s="43" t="n">
        <f aca="false">J167/$B$15</f>
        <v>77.3182210546968</v>
      </c>
    </row>
    <row r="168" customFormat="false" ht="15" hidden="false" customHeight="false" outlineLevel="0" collapsed="false">
      <c r="A168" s="49" t="n">
        <v>128</v>
      </c>
      <c r="B168" s="19" t="n">
        <f aca="true">NORMINV(RAND(),$B$6,$C$6)</f>
        <v>0.0407894005265348</v>
      </c>
      <c r="C168" s="19" t="n">
        <f aca="true">MAX(0.3,NORMINV(RAND(),$B$7,$C$7))</f>
        <v>0.45806260165863</v>
      </c>
      <c r="D168" s="32" t="n">
        <f aca="true">MAX(0.06,NORMINV(RAND(),$B$8,$C$8))</f>
        <v>0.0780516407471735</v>
      </c>
      <c r="E168" s="50" t="n">
        <f aca="true">MAX(4,NORMINV(RAND(),$B$9,$C$9))</f>
        <v>6.95719423672061</v>
      </c>
      <c r="F168" s="24" t="n">
        <f aca="false">$B$18*(1+(B168+$B$17)/2)^9</f>
        <v>1248.18498692854</v>
      </c>
      <c r="G168" s="24" t="n">
        <f aca="false">F168*C168</f>
        <v>571.746862463729</v>
      </c>
      <c r="H168" s="24" t="n">
        <f aca="false">E168*G168/(1+D168)^9</f>
        <v>2022.4688183386</v>
      </c>
      <c r="I168" s="24" t="n">
        <f aca="false">$B$13*G168/$B$12*((1+$B$8)/(1+D168))^4.5</f>
        <v>2224.6618169544</v>
      </c>
      <c r="J168" s="24" t="n">
        <f aca="false">H168+I168-$B$14</f>
        <v>3311.34035584094</v>
      </c>
      <c r="K168" s="43" t="n">
        <f aca="false">J168/$B$15</f>
        <v>80.7643989229499</v>
      </c>
    </row>
    <row r="169" customFormat="false" ht="15" hidden="false" customHeight="false" outlineLevel="0" collapsed="false">
      <c r="A169" s="49" t="n">
        <v>129</v>
      </c>
      <c r="B169" s="19" t="n">
        <f aca="true">NORMINV(RAND(),$B$6,$C$6)</f>
        <v>0.0382258161953528</v>
      </c>
      <c r="C169" s="19" t="n">
        <f aca="true">MAX(0.3,NORMINV(RAND(),$B$7,$C$7))</f>
        <v>0.434906137151579</v>
      </c>
      <c r="D169" s="32" t="n">
        <f aca="true">MAX(0.06,NORMINV(RAND(),$B$8,$C$8))</f>
        <v>0.0749666654357504</v>
      </c>
      <c r="E169" s="50" t="n">
        <f aca="true">MAX(4,NORMINV(RAND(),$B$9,$C$9))</f>
        <v>8.42877143781846</v>
      </c>
      <c r="F169" s="24" t="n">
        <f aca="false">$B$18*(1+(B169+$B$17)/2)^9</f>
        <v>1234.21238263672</v>
      </c>
      <c r="G169" s="24" t="n">
        <f aca="false">F169*C169</f>
        <v>536.766539757183</v>
      </c>
      <c r="H169" s="24" t="n">
        <f aca="false">E169*G169/(1+D169)^9</f>
        <v>2360.44964068357</v>
      </c>
      <c r="I169" s="24" t="n">
        <f aca="false">$B$13*G169/$B$12*((1+$B$8)/(1+D169))^4.5</f>
        <v>2115.66159069576</v>
      </c>
      <c r="J169" s="24" t="n">
        <f aca="false">H169+I169-$B$14</f>
        <v>3540.32095192727</v>
      </c>
      <c r="K169" s="43" t="n">
        <f aca="false">J169/$B$15</f>
        <v>86.3492915104213</v>
      </c>
    </row>
    <row r="170" customFormat="false" ht="15" hidden="false" customHeight="false" outlineLevel="0" collapsed="false">
      <c r="A170" s="49" t="n">
        <v>130</v>
      </c>
      <c r="B170" s="19" t="n">
        <f aca="true">NORMINV(RAND(),$B$6,$C$6)</f>
        <v>0.0602130076905171</v>
      </c>
      <c r="C170" s="19" t="n">
        <f aca="true">MAX(0.3,NORMINV(RAND(),$B$7,$C$7))</f>
        <v>0.444313795185558</v>
      </c>
      <c r="D170" s="32" t="n">
        <f aca="true">MAX(0.06,NORMINV(RAND(),$B$8,$C$8))</f>
        <v>0.0862030471393288</v>
      </c>
      <c r="E170" s="50" t="n">
        <f aca="true">MAX(4,NORMINV(RAND(),$B$9,$C$9))</f>
        <v>9.22344176780468</v>
      </c>
      <c r="F170" s="24" t="n">
        <f aca="false">$B$18*(1+(B170+$B$17)/2)^9</f>
        <v>1358.70343963111</v>
      </c>
      <c r="G170" s="24" t="n">
        <f aca="false">F170*C170</f>
        <v>603.690681794169</v>
      </c>
      <c r="H170" s="24" t="n">
        <f aca="false">E170*G170/(1+D170)^9</f>
        <v>2645.50344539871</v>
      </c>
      <c r="I170" s="24" t="n">
        <f aca="false">$B$13*G170/$B$12*((1+$B$8)/(1+D170))^4.5</f>
        <v>2270.66543844392</v>
      </c>
      <c r="J170" s="24" t="n">
        <f aca="false">H170+I170-$B$14</f>
        <v>3980.37860439057</v>
      </c>
      <c r="K170" s="43" t="n">
        <f aca="false">J170/$B$15</f>
        <v>97.082404985136</v>
      </c>
    </row>
    <row r="171" customFormat="false" ht="15" hidden="false" customHeight="false" outlineLevel="0" collapsed="false">
      <c r="A171" s="49" t="n">
        <v>131</v>
      </c>
      <c r="B171" s="19" t="n">
        <f aca="true">NORMINV(RAND(),$B$6,$C$6)</f>
        <v>0.0551838530969134</v>
      </c>
      <c r="C171" s="19" t="n">
        <f aca="true">MAX(0.3,NORMINV(RAND(),$B$7,$C$7))</f>
        <v>0.441786020046574</v>
      </c>
      <c r="D171" s="32" t="n">
        <f aca="true">MAX(0.06,NORMINV(RAND(),$B$8,$C$8))</f>
        <v>0.0827395464217412</v>
      </c>
      <c r="E171" s="50" t="n">
        <f aca="true">MAX(4,NORMINV(RAND(),$B$9,$C$9))</f>
        <v>10.5553489399113</v>
      </c>
      <c r="F171" s="24" t="n">
        <f aca="false">$B$18*(1+(B171+$B$17)/2)^9</f>
        <v>1329.28426717641</v>
      </c>
      <c r="G171" s="24" t="n">
        <f aca="false">F171*C171</f>
        <v>587.259205906391</v>
      </c>
      <c r="H171" s="24" t="n">
        <f aca="false">E171*G171/(1+D171)^9</f>
        <v>3031.00347025995</v>
      </c>
      <c r="I171" s="24" t="n">
        <f aca="false">$B$13*G171/$B$12*((1+$B$8)/(1+D171))^4.5</f>
        <v>2240.83608235365</v>
      </c>
      <c r="J171" s="24" t="n">
        <f aca="false">H171+I171-$B$14</f>
        <v>4336.04927316154</v>
      </c>
      <c r="K171" s="43" t="n">
        <f aca="false">J171/$B$15</f>
        <v>105.757299345404</v>
      </c>
    </row>
    <row r="172" customFormat="false" ht="15" hidden="false" customHeight="false" outlineLevel="0" collapsed="false">
      <c r="A172" s="49" t="n">
        <v>132</v>
      </c>
      <c r="B172" s="19" t="n">
        <f aca="true">NORMINV(RAND(),$B$6,$C$6)</f>
        <v>0.0548853503708137</v>
      </c>
      <c r="C172" s="19" t="n">
        <f aca="true">MAX(0.3,NORMINV(RAND(),$B$7,$C$7))</f>
        <v>0.425060593554048</v>
      </c>
      <c r="D172" s="32" t="n">
        <f aca="true">MAX(0.06,NORMINV(RAND(),$B$8,$C$8))</f>
        <v>0.0826607434473023</v>
      </c>
      <c r="E172" s="50" t="n">
        <f aca="true">MAX(4,NORMINV(RAND(),$B$9,$C$9))</f>
        <v>7.50003330355441</v>
      </c>
      <c r="F172" s="24" t="n">
        <f aca="false">$B$18*(1+(B172+$B$17)/2)^9</f>
        <v>1327.55604778212</v>
      </c>
      <c r="G172" s="24" t="n">
        <f aca="false">F172*C172</f>
        <v>564.291761646535</v>
      </c>
      <c r="H172" s="24" t="n">
        <f aca="false">E172*G172/(1+D172)^9</f>
        <v>2070.78682486762</v>
      </c>
      <c r="I172" s="24" t="n">
        <f aca="false">$B$13*G172/$B$12*((1+$B$8)/(1+D172))^4.5</f>
        <v>2153.90333348828</v>
      </c>
      <c r="J172" s="24" t="n">
        <f aca="false">H172+I172-$B$14</f>
        <v>3288.89987890384</v>
      </c>
      <c r="K172" s="43" t="n">
        <f aca="false">J172/$B$15</f>
        <v>80.2170702171669</v>
      </c>
    </row>
    <row r="173" customFormat="false" ht="15" hidden="false" customHeight="false" outlineLevel="0" collapsed="false">
      <c r="A173" s="49" t="n">
        <v>133</v>
      </c>
      <c r="B173" s="19" t="n">
        <f aca="true">NORMINV(RAND(),$B$6,$C$6)</f>
        <v>0.0237186985828009</v>
      </c>
      <c r="C173" s="19" t="n">
        <f aca="true">MAX(0.3,NORMINV(RAND(),$B$7,$C$7))</f>
        <v>0.422618726714425</v>
      </c>
      <c r="D173" s="32" t="n">
        <f aca="true">MAX(0.06,NORMINV(RAND(),$B$8,$C$8))</f>
        <v>0.0652300749890509</v>
      </c>
      <c r="E173" s="50" t="n">
        <f aca="true">MAX(4,NORMINV(RAND(),$B$9,$C$9))</f>
        <v>7.98047958787397</v>
      </c>
      <c r="F173" s="24" t="n">
        <f aca="false">$B$18*(1+(B173+$B$17)/2)^9</f>
        <v>1157.73006742926</v>
      </c>
      <c r="G173" s="24" t="n">
        <f aca="false">F173*C173</f>
        <v>489.27840697596</v>
      </c>
      <c r="H173" s="24" t="n">
        <f aca="false">E173*G173/(1+D173)^9</f>
        <v>2211.02811583475</v>
      </c>
      <c r="I173" s="24" t="n">
        <f aca="false">$B$13*G173/$B$12*((1+$B$8)/(1+D173))^4.5</f>
        <v>2009.08779197102</v>
      </c>
      <c r="J173" s="24" t="n">
        <f aca="false">H173+I173-$B$14</f>
        <v>3284.32562835372</v>
      </c>
      <c r="K173" s="43" t="n">
        <f aca="false">J173/$B$15</f>
        <v>80.1055031305785</v>
      </c>
    </row>
    <row r="174" customFormat="false" ht="15" hidden="false" customHeight="false" outlineLevel="0" collapsed="false">
      <c r="A174" s="49" t="n">
        <v>134</v>
      </c>
      <c r="B174" s="19" t="n">
        <f aca="true">NORMINV(RAND(),$B$6,$C$6)</f>
        <v>0.0447636590245193</v>
      </c>
      <c r="C174" s="19" t="n">
        <f aca="true">MAX(0.3,NORMINV(RAND(),$B$7,$C$7))</f>
        <v>0.461402355534621</v>
      </c>
      <c r="D174" s="32" t="n">
        <f aca="true">MAX(0.06,NORMINV(RAND(),$B$8,$C$8))</f>
        <v>0.0779931884212877</v>
      </c>
      <c r="E174" s="50" t="n">
        <f aca="true">MAX(4,NORMINV(RAND(),$B$9,$C$9))</f>
        <v>6.38765942218812</v>
      </c>
      <c r="F174" s="24" t="n">
        <f aca="false">$B$18*(1+(B174+$B$17)/2)^9</f>
        <v>1270.12440911526</v>
      </c>
      <c r="G174" s="24" t="n">
        <f aca="false">F174*C174</f>
        <v>586.038394187801</v>
      </c>
      <c r="H174" s="24" t="n">
        <f aca="false">E174*G174/(1+D174)^9</f>
        <v>1904.24871885576</v>
      </c>
      <c r="I174" s="24" t="n">
        <f aca="false">$B$13*G174/$B$12*((1+$B$8)/(1+D174))^4.5</f>
        <v>2280.82648582645</v>
      </c>
      <c r="J174" s="24" t="n">
        <f aca="false">H174+I174-$B$14</f>
        <v>3249.28492523015</v>
      </c>
      <c r="K174" s="43" t="n">
        <f aca="false">J174/$B$15</f>
        <v>79.2508518348818</v>
      </c>
    </row>
    <row r="175" customFormat="false" ht="15" hidden="false" customHeight="false" outlineLevel="0" collapsed="false">
      <c r="A175" s="49" t="n">
        <v>135</v>
      </c>
      <c r="B175" s="19" t="n">
        <f aca="true">NORMINV(RAND(),$B$6,$C$6)</f>
        <v>-0.00048050902699133</v>
      </c>
      <c r="C175" s="19" t="n">
        <f aca="true">MAX(0.3,NORMINV(RAND(),$B$7,$C$7))</f>
        <v>0.475633436879845</v>
      </c>
      <c r="D175" s="32" t="n">
        <f aca="true">MAX(0.06,NORMINV(RAND(),$B$8,$C$8))</f>
        <v>0.0841504046235253</v>
      </c>
      <c r="E175" s="50" t="n">
        <f aca="true">MAX(4,NORMINV(RAND(),$B$9,$C$9))</f>
        <v>7.60888267737148</v>
      </c>
      <c r="F175" s="24" t="n">
        <f aca="false">$B$18*(1+(B175+$B$17)/2)^9</f>
        <v>1039.48776902007</v>
      </c>
      <c r="G175" s="24" t="n">
        <f aca="false">F175*C175</f>
        <v>494.415140173578</v>
      </c>
      <c r="H175" s="24" t="n">
        <f aca="false">E175*G175/(1+D175)^9</f>
        <v>1818.05418630591</v>
      </c>
      <c r="I175" s="24" t="n">
        <f aca="false">$B$13*G175/$B$12*((1+$B$8)/(1+D175))^4.5</f>
        <v>1875.54332674198</v>
      </c>
      <c r="J175" s="24" t="n">
        <f aca="false">H175+I175-$B$14</f>
        <v>2757.80723359583</v>
      </c>
      <c r="K175" s="43" t="n">
        <f aca="false">J175/$B$15</f>
        <v>67.2635910633129</v>
      </c>
    </row>
    <row r="176" customFormat="false" ht="15" hidden="false" customHeight="false" outlineLevel="0" collapsed="false">
      <c r="A176" s="49" t="n">
        <v>136</v>
      </c>
      <c r="B176" s="19" t="n">
        <f aca="true">NORMINV(RAND(),$B$6,$C$6)</f>
        <v>-0.0147032874447764</v>
      </c>
      <c r="C176" s="19" t="n">
        <f aca="true">MAX(0.3,NORMINV(RAND(),$B$7,$C$7))</f>
        <v>0.466860525089904</v>
      </c>
      <c r="D176" s="32" t="n">
        <f aca="true">MAX(0.06,NORMINV(RAND(),$B$8,$C$8))</f>
        <v>0.087156321767347</v>
      </c>
      <c r="E176" s="50" t="n">
        <f aca="true">MAX(4,NORMINV(RAND(),$B$9,$C$9))</f>
        <v>5.95485226376156</v>
      </c>
      <c r="F176" s="24" t="n">
        <f aca="false">$B$18*(1+(B176+$B$17)/2)^9</f>
        <v>975.117073302935</v>
      </c>
      <c r="G176" s="24" t="n">
        <f aca="false">F176*C176</f>
        <v>455.243668866339</v>
      </c>
      <c r="H176" s="24" t="n">
        <f aca="false">E176*G176/(1+D176)^9</f>
        <v>1277.87079780011</v>
      </c>
      <c r="I176" s="24" t="n">
        <f aca="false">$B$13*G176/$B$12*((1+$B$8)/(1+D176))^4.5</f>
        <v>1705.56465464501</v>
      </c>
      <c r="J176" s="24" t="n">
        <f aca="false">H176+I176-$B$14</f>
        <v>2047.64517299307</v>
      </c>
      <c r="K176" s="43" t="n">
        <f aca="false">J176/$B$15</f>
        <v>49.942565194953</v>
      </c>
    </row>
    <row r="177" customFormat="false" ht="15" hidden="false" customHeight="false" outlineLevel="0" collapsed="false">
      <c r="A177" s="49" t="n">
        <v>137</v>
      </c>
      <c r="B177" s="19" t="n">
        <f aca="true">NORMINV(RAND(),$B$6,$C$6)</f>
        <v>0.0488372132362011</v>
      </c>
      <c r="C177" s="19" t="n">
        <f aca="true">MAX(0.3,NORMINV(RAND(),$B$7,$C$7))</f>
        <v>0.410032565670846</v>
      </c>
      <c r="D177" s="32" t="n">
        <f aca="true">MAX(0.06,NORMINV(RAND(),$B$8,$C$8))</f>
        <v>0.0738739317369044</v>
      </c>
      <c r="E177" s="50" t="n">
        <f aca="true">MAX(4,NORMINV(RAND(),$B$9,$C$9))</f>
        <v>7.63918493579202</v>
      </c>
      <c r="F177" s="24" t="n">
        <f aca="false">$B$18*(1+(B177+$B$17)/2)^9</f>
        <v>1292.96706555574</v>
      </c>
      <c r="G177" s="24" t="n">
        <f aca="false">F177*C177</f>
        <v>530.158603217726</v>
      </c>
      <c r="H177" s="24" t="n">
        <f aca="false">E177*G177/(1+D177)^9</f>
        <v>2132.4219149208</v>
      </c>
      <c r="I177" s="24" t="n">
        <f aca="false">$B$13*G177/$B$12*((1+$B$8)/(1+D177))^4.5</f>
        <v>2099.20192574126</v>
      </c>
      <c r="J177" s="24" t="n">
        <f aca="false">H177+I177-$B$14</f>
        <v>3295.83356121001</v>
      </c>
      <c r="K177" s="43" t="n">
        <f aca="false">J177/$B$15</f>
        <v>80.3861844197563</v>
      </c>
    </row>
    <row r="178" customFormat="false" ht="15" hidden="false" customHeight="false" outlineLevel="0" collapsed="false">
      <c r="A178" s="49" t="n">
        <v>138</v>
      </c>
      <c r="B178" s="19" t="n">
        <f aca="true">NORMINV(RAND(),$B$6,$C$6)</f>
        <v>0.0598765041066586</v>
      </c>
      <c r="C178" s="19" t="n">
        <f aca="true">MAX(0.3,NORMINV(RAND(),$B$7,$C$7))</f>
        <v>0.469326708665776</v>
      </c>
      <c r="D178" s="32" t="n">
        <f aca="true">MAX(0.06,NORMINV(RAND(),$B$8,$C$8))</f>
        <v>0.0767472607142438</v>
      </c>
      <c r="E178" s="50" t="n">
        <f aca="true">MAX(4,NORMINV(RAND(),$B$9,$C$9))</f>
        <v>9.71518395249174</v>
      </c>
      <c r="F178" s="24" t="n">
        <f aca="false">$B$18*(1+(B178+$B$17)/2)^9</f>
        <v>1356.71707263726</v>
      </c>
      <c r="G178" s="24" t="n">
        <f aca="false">F178*C178</f>
        <v>636.743558291514</v>
      </c>
      <c r="H178" s="24" t="n">
        <f aca="false">E178*G178/(1+D178)^9</f>
        <v>3179.73998450452</v>
      </c>
      <c r="I178" s="24" t="n">
        <f aca="false">$B$13*G178/$B$12*((1+$B$8)/(1+D178))^4.5</f>
        <v>2491.09805582602</v>
      </c>
      <c r="J178" s="24" t="n">
        <f aca="false">H178+I178-$B$14</f>
        <v>4735.04776087848</v>
      </c>
      <c r="K178" s="43" t="n">
        <f aca="false">J178/$B$15</f>
        <v>115.488969777524</v>
      </c>
    </row>
    <row r="179" customFormat="false" ht="15" hidden="false" customHeight="false" outlineLevel="0" collapsed="false">
      <c r="A179" s="49" t="n">
        <v>139</v>
      </c>
      <c r="B179" s="19" t="n">
        <f aca="true">NORMINV(RAND(),$B$6,$C$6)</f>
        <v>0.0116707250389093</v>
      </c>
      <c r="C179" s="19" t="n">
        <f aca="true">MAX(0.3,NORMINV(RAND(),$B$7,$C$7))</f>
        <v>0.427215720530374</v>
      </c>
      <c r="D179" s="32" t="n">
        <f aca="true">MAX(0.06,NORMINV(RAND(),$B$8,$C$8))</f>
        <v>0.0798581674998995</v>
      </c>
      <c r="E179" s="50" t="n">
        <f aca="true">MAX(4,NORMINV(RAND(),$B$9,$C$9))</f>
        <v>7.41086919550581</v>
      </c>
      <c r="F179" s="24" t="n">
        <f aca="false">$B$18*(1+(B179+$B$17)/2)^9</f>
        <v>1097.44604611748</v>
      </c>
      <c r="G179" s="24" t="n">
        <f aca="false">F179*C179</f>
        <v>468.846203335288</v>
      </c>
      <c r="H179" s="24" t="n">
        <f aca="false">E179*G179/(1+D179)^9</f>
        <v>1740.19972076119</v>
      </c>
      <c r="I179" s="24" t="n">
        <f aca="false">$B$13*G179/$B$12*((1+$B$8)/(1+D179))^4.5</f>
        <v>1810.58295654954</v>
      </c>
      <c r="J179" s="24" t="n">
        <f aca="false">H179+I179-$B$14</f>
        <v>2614.99239785867</v>
      </c>
      <c r="K179" s="43" t="n">
        <f aca="false">J179/$B$15</f>
        <v>63.7803023867969</v>
      </c>
    </row>
    <row r="180" customFormat="false" ht="15" hidden="false" customHeight="false" outlineLevel="0" collapsed="false">
      <c r="A180" s="49" t="n">
        <v>140</v>
      </c>
      <c r="B180" s="19" t="n">
        <f aca="true">NORMINV(RAND(),$B$6,$C$6)</f>
        <v>0.0180860269715801</v>
      </c>
      <c r="C180" s="19" t="n">
        <f aca="true">MAX(0.3,NORMINV(RAND(),$B$7,$C$7))</f>
        <v>0.422967775023623</v>
      </c>
      <c r="D180" s="32" t="n">
        <f aca="true">MAX(0.06,NORMINV(RAND(),$B$8,$C$8))</f>
        <v>0.0750276168542134</v>
      </c>
      <c r="E180" s="50" t="n">
        <f aca="true">MAX(4,NORMINV(RAND(),$B$9,$C$9))</f>
        <v>6.46282881551552</v>
      </c>
      <c r="F180" s="24" t="n">
        <f aca="false">$B$18*(1+(B180+$B$17)/2)^9</f>
        <v>1129.18924569733</v>
      </c>
      <c r="G180" s="24" t="n">
        <f aca="false">F180*C180</f>
        <v>477.610662833201</v>
      </c>
      <c r="H180" s="24" t="n">
        <f aca="false">E180*G180/(1+D180)^9</f>
        <v>1609.6078303268</v>
      </c>
      <c r="I180" s="24" t="n">
        <f aca="false">$B$13*G180/$B$12*((1+$B$8)/(1+D180))^4.5</f>
        <v>1882.01886127398</v>
      </c>
      <c r="J180" s="24" t="n">
        <f aca="false">H180+I180-$B$14</f>
        <v>2555.83641214873</v>
      </c>
      <c r="K180" s="43" t="n">
        <f aca="false">J180/$B$15</f>
        <v>62.3374734670421</v>
      </c>
    </row>
    <row r="181" customFormat="false" ht="15" hidden="false" customHeight="false" outlineLevel="0" collapsed="false">
      <c r="A181" s="49" t="n">
        <v>141</v>
      </c>
      <c r="B181" s="19" t="n">
        <f aca="true">NORMINV(RAND(),$B$6,$C$6)</f>
        <v>0.0368870847995894</v>
      </c>
      <c r="C181" s="19" t="n">
        <f aca="true">MAX(0.3,NORMINV(RAND(),$B$7,$C$7))</f>
        <v>0.415869688159224</v>
      </c>
      <c r="D181" s="32" t="n">
        <f aca="true">MAX(0.06,NORMINV(RAND(),$B$8,$C$8))</f>
        <v>0.0806487393797871</v>
      </c>
      <c r="E181" s="50" t="n">
        <f aca="true">MAX(4,NORMINV(RAND(),$B$9,$C$9))</f>
        <v>9.63925929747038</v>
      </c>
      <c r="F181" s="24" t="n">
        <f aca="false">$B$18*(1+(B181+$B$17)/2)^9</f>
        <v>1226.97114432838</v>
      </c>
      <c r="G181" s="24" t="n">
        <f aca="false">F181*C181</f>
        <v>510.260107172209</v>
      </c>
      <c r="H181" s="24" t="n">
        <f aca="false">E181*G181/(1+D181)^9</f>
        <v>2447.22735389229</v>
      </c>
      <c r="I181" s="24" t="n">
        <f aca="false">$B$13*G181/$B$12*((1+$B$8)/(1+D181))^4.5</f>
        <v>1964.03574887326</v>
      </c>
      <c r="J181" s="24" t="n">
        <f aca="false">H181+I181-$B$14</f>
        <v>3475.4728233135</v>
      </c>
      <c r="K181" s="43" t="n">
        <f aca="false">J181/$B$15</f>
        <v>84.7676298369146</v>
      </c>
    </row>
    <row r="182" customFormat="false" ht="15" hidden="false" customHeight="false" outlineLevel="0" collapsed="false">
      <c r="A182" s="49" t="n">
        <v>142</v>
      </c>
      <c r="B182" s="19" t="n">
        <f aca="true">NORMINV(RAND(),$B$6,$C$6)</f>
        <v>0.0676161484992419</v>
      </c>
      <c r="C182" s="19" t="n">
        <f aca="true">MAX(0.3,NORMINV(RAND(),$B$7,$C$7))</f>
        <v>0.376731677544585</v>
      </c>
      <c r="D182" s="32" t="n">
        <f aca="true">MAX(0.06,NORMINV(RAND(),$B$8,$C$8))</f>
        <v>0.0798556022929839</v>
      </c>
      <c r="E182" s="50" t="n">
        <f aca="true">MAX(4,NORMINV(RAND(),$B$9,$C$9))</f>
        <v>7.69484010613349</v>
      </c>
      <c r="F182" s="24" t="n">
        <f aca="false">$B$18*(1+(B182+$B$17)/2)^9</f>
        <v>1403.06305013021</v>
      </c>
      <c r="G182" s="24" t="n">
        <f aca="false">F182*C182</f>
        <v>528.578296576376</v>
      </c>
      <c r="H182" s="24" t="n">
        <f aca="false">E182*G182/(1+D182)^9</f>
        <v>2037.12535958091</v>
      </c>
      <c r="I182" s="24" t="n">
        <f aca="false">$B$13*G182/$B$12*((1+$B$8)/(1+D182))^4.5</f>
        <v>2041.27724341246</v>
      </c>
      <c r="J182" s="24" t="n">
        <f aca="false">H182+I182-$B$14</f>
        <v>3142.61232354132</v>
      </c>
      <c r="K182" s="43" t="n">
        <f aca="false">J182/$B$15</f>
        <v>76.6490810619834</v>
      </c>
    </row>
    <row r="183" customFormat="false" ht="15" hidden="false" customHeight="false" outlineLevel="0" collapsed="false">
      <c r="A183" s="49" t="n">
        <v>143</v>
      </c>
      <c r="B183" s="19" t="n">
        <f aca="true">NORMINV(RAND(),$B$6,$C$6)</f>
        <v>0.0653478392319046</v>
      </c>
      <c r="C183" s="19" t="n">
        <f aca="true">MAX(0.3,NORMINV(RAND(),$B$7,$C$7))</f>
        <v>0.457563797127367</v>
      </c>
      <c r="D183" s="32" t="n">
        <f aca="true">MAX(0.06,NORMINV(RAND(),$B$8,$C$8))</f>
        <v>0.0870392571469057</v>
      </c>
      <c r="E183" s="50" t="n">
        <f aca="true">MAX(4,NORMINV(RAND(),$B$9,$C$9))</f>
        <v>6.95576770551914</v>
      </c>
      <c r="F183" s="24" t="n">
        <f aca="false">$B$18*(1+(B183+$B$17)/2)^9</f>
        <v>1389.33652153298</v>
      </c>
      <c r="G183" s="24" t="n">
        <f aca="false">F183*C183</f>
        <v>635.71009428036</v>
      </c>
      <c r="H183" s="24" t="n">
        <f aca="false">E183*G183/(1+D183)^9</f>
        <v>2086.39782727606</v>
      </c>
      <c r="I183" s="24" t="n">
        <f aca="false">$B$13*G183/$B$12*((1+$B$8)/(1+D183))^4.5</f>
        <v>2382.83424268921</v>
      </c>
      <c r="J183" s="24" t="n">
        <f aca="false">H183+I183-$B$14</f>
        <v>3533.44179051322</v>
      </c>
      <c r="K183" s="43" t="n">
        <f aca="false">J183/$B$15</f>
        <v>86.1815070856883</v>
      </c>
    </row>
    <row r="184" customFormat="false" ht="15" hidden="false" customHeight="false" outlineLevel="0" collapsed="false">
      <c r="A184" s="49" t="n">
        <v>144</v>
      </c>
      <c r="B184" s="19" t="n">
        <f aca="true">NORMINV(RAND(),$B$6,$C$6)</f>
        <v>0.0171169534589191</v>
      </c>
      <c r="C184" s="19" t="n">
        <f aca="true">MAX(0.3,NORMINV(RAND(),$B$7,$C$7))</f>
        <v>0.457737821309514</v>
      </c>
      <c r="D184" s="32" t="n">
        <f aca="true">MAX(0.06,NORMINV(RAND(),$B$8,$C$8))</f>
        <v>0.0772794704741507</v>
      </c>
      <c r="E184" s="50" t="n">
        <f aca="true">MAX(4,NORMINV(RAND(),$B$9,$C$9))</f>
        <v>7.65203077695492</v>
      </c>
      <c r="F184" s="24" t="n">
        <f aca="false">$B$18*(1+(B184+$B$17)/2)^9</f>
        <v>1124.34250644839</v>
      </c>
      <c r="G184" s="24" t="n">
        <f aca="false">F184*C184</f>
        <v>514.654089307365</v>
      </c>
      <c r="H184" s="24" t="n">
        <f aca="false">E184*G184/(1+D184)^9</f>
        <v>2015.28597808429</v>
      </c>
      <c r="I184" s="24" t="n">
        <f aca="false">$B$13*G184/$B$12*((1+$B$8)/(1+D184))^4.5</f>
        <v>2008.98157771995</v>
      </c>
      <c r="J184" s="24" t="n">
        <f aca="false">H184+I184-$B$14</f>
        <v>3088.47727635219</v>
      </c>
      <c r="K184" s="43" t="n">
        <f aca="false">J184/$B$15</f>
        <v>75.3287140573704</v>
      </c>
    </row>
    <row r="185" customFormat="false" ht="15" hidden="false" customHeight="false" outlineLevel="0" collapsed="false">
      <c r="A185" s="49" t="n">
        <v>145</v>
      </c>
      <c r="B185" s="19" t="n">
        <f aca="true">NORMINV(RAND(),$B$6,$C$6)</f>
        <v>0.0334455069486252</v>
      </c>
      <c r="C185" s="19" t="n">
        <f aca="true">MAX(0.3,NORMINV(RAND(),$B$7,$C$7))</f>
        <v>0.43271581856481</v>
      </c>
      <c r="D185" s="32" t="n">
        <f aca="true">MAX(0.06,NORMINV(RAND(),$B$8,$C$8))</f>
        <v>0.0731197074803905</v>
      </c>
      <c r="E185" s="50" t="n">
        <f aca="true">MAX(4,NORMINV(RAND(),$B$9,$C$9))</f>
        <v>6.54297094411815</v>
      </c>
      <c r="F185" s="24" t="n">
        <f aca="false">$B$18*(1+(B185+$B$17)/2)^9</f>
        <v>1208.52857730605</v>
      </c>
      <c r="G185" s="24" t="n">
        <f aca="false">F185*C185</f>
        <v>522.949432587952</v>
      </c>
      <c r="H185" s="24" t="n">
        <f aca="false">E185*G185/(1+D185)^9</f>
        <v>1813.01397739758</v>
      </c>
      <c r="I185" s="24" t="n">
        <f aca="false">$B$13*G185/$B$12*((1+$B$8)/(1+D185))^4.5</f>
        <v>2077.21371389309</v>
      </c>
      <c r="J185" s="24" t="n">
        <f aca="false">H185+I185-$B$14</f>
        <v>2954.43741183862</v>
      </c>
      <c r="K185" s="43" t="n">
        <f aca="false">J185/$B$15</f>
        <v>72.0594490692347</v>
      </c>
    </row>
    <row r="186" customFormat="false" ht="15" hidden="false" customHeight="false" outlineLevel="0" collapsed="false">
      <c r="A186" s="49" t="n">
        <v>146</v>
      </c>
      <c r="B186" s="19" t="n">
        <f aca="true">NORMINV(RAND(),$B$6,$C$6)</f>
        <v>0.0406374985385361</v>
      </c>
      <c r="C186" s="19" t="n">
        <f aca="true">MAX(0.3,NORMINV(RAND(),$B$7,$C$7))</f>
        <v>0.43581740272523</v>
      </c>
      <c r="D186" s="32" t="n">
        <f aca="true">MAX(0.06,NORMINV(RAND(),$B$8,$C$8))</f>
        <v>0.0717536492331417</v>
      </c>
      <c r="E186" s="50" t="n">
        <f aca="true">MAX(4,NORMINV(RAND(),$B$9,$C$9))</f>
        <v>9.42189351377649</v>
      </c>
      <c r="F186" s="24" t="n">
        <f aca="false">$B$18*(1+(B186+$B$17)/2)^9</f>
        <v>1247.35315576242</v>
      </c>
      <c r="G186" s="24" t="n">
        <f aca="false">F186*C186</f>
        <v>543.618212625496</v>
      </c>
      <c r="H186" s="24" t="n">
        <f aca="false">E186*G186/(1+D186)^9</f>
        <v>2745.22187926095</v>
      </c>
      <c r="I186" s="24" t="n">
        <f aca="false">$B$13*G186/$B$12*((1+$B$8)/(1+D186))^4.5</f>
        <v>2171.7252558836</v>
      </c>
      <c r="J186" s="24" t="n">
        <f aca="false">H186+I186-$B$14</f>
        <v>3981.15685569249</v>
      </c>
      <c r="K186" s="43" t="n">
        <f aca="false">J186/$B$15</f>
        <v>97.1013867242071</v>
      </c>
    </row>
    <row r="187" customFormat="false" ht="15" hidden="false" customHeight="false" outlineLevel="0" collapsed="false">
      <c r="A187" s="49" t="n">
        <v>147</v>
      </c>
      <c r="B187" s="19" t="n">
        <f aca="true">NORMINV(RAND(),$B$6,$C$6)</f>
        <v>0.0486460268174294</v>
      </c>
      <c r="C187" s="19" t="n">
        <f aca="true">MAX(0.3,NORMINV(RAND(),$B$7,$C$7))</f>
        <v>0.476638989528717</v>
      </c>
      <c r="D187" s="32" t="n">
        <f aca="true">MAX(0.06,NORMINV(RAND(),$B$8,$C$8))</f>
        <v>0.0766433356634016</v>
      </c>
      <c r="E187" s="50" t="n">
        <f aca="true">MAX(4,NORMINV(RAND(),$B$9,$C$9))</f>
        <v>6.70751039000559</v>
      </c>
      <c r="F187" s="24" t="n">
        <f aca="false">$B$18*(1+(B187+$B$17)/2)^9</f>
        <v>1291.88686675898</v>
      </c>
      <c r="G187" s="24" t="n">
        <f aca="false">F187*C187</f>
        <v>615.76365075742</v>
      </c>
      <c r="H187" s="24" t="n">
        <f aca="false">E187*G187/(1+D187)^9</f>
        <v>2124.85203932109</v>
      </c>
      <c r="I187" s="24" t="n">
        <f aca="false">$B$13*G187/$B$12*((1+$B$8)/(1+D187))^4.5</f>
        <v>2410.06606133814</v>
      </c>
      <c r="J187" s="24" t="n">
        <f aca="false">H187+I187-$B$14</f>
        <v>3599.12782120718</v>
      </c>
      <c r="K187" s="43" t="n">
        <f aca="false">J187/$B$15</f>
        <v>87.783605395297</v>
      </c>
    </row>
    <row r="188" customFormat="false" ht="15" hidden="false" customHeight="false" outlineLevel="0" collapsed="false">
      <c r="A188" s="49" t="n">
        <v>148</v>
      </c>
      <c r="B188" s="19" t="n">
        <f aca="true">NORMINV(RAND(),$B$6,$C$6)</f>
        <v>0.00652680068685993</v>
      </c>
      <c r="C188" s="19" t="n">
        <f aca="true">MAX(0.3,NORMINV(RAND(),$B$7,$C$7))</f>
        <v>0.399734353832222</v>
      </c>
      <c r="D188" s="32" t="n">
        <f aca="true">MAX(0.06,NORMINV(RAND(),$B$8,$C$8))</f>
        <v>0.0766630749984897</v>
      </c>
      <c r="E188" s="50" t="n">
        <f aca="true">MAX(4,NORMINV(RAND(),$B$9,$C$9))</f>
        <v>8.59175952248417</v>
      </c>
      <c r="F188" s="24" t="n">
        <f aca="false">$B$18*(1+(B188+$B$17)/2)^9</f>
        <v>1072.56930202633</v>
      </c>
      <c r="G188" s="24" t="n">
        <f aca="false">F188*C188</f>
        <v>428.742796885771</v>
      </c>
      <c r="H188" s="24" t="n">
        <f aca="false">E188*G188/(1+D188)^9</f>
        <v>1894.78780140128</v>
      </c>
      <c r="I188" s="24" t="n">
        <f aca="false">$B$13*G188/$B$12*((1+$B$8)/(1+D188))^4.5</f>
        <v>1677.93798147573</v>
      </c>
      <c r="J188" s="24" t="n">
        <f aca="false">H188+I188-$B$14</f>
        <v>2636.93550342496</v>
      </c>
      <c r="K188" s="43" t="n">
        <f aca="false">J188/$B$15</f>
        <v>64.3155000835356</v>
      </c>
    </row>
    <row r="189" customFormat="false" ht="15" hidden="false" customHeight="false" outlineLevel="0" collapsed="false">
      <c r="A189" s="49" t="n">
        <v>149</v>
      </c>
      <c r="B189" s="19" t="n">
        <f aca="true">NORMINV(RAND(),$B$6,$C$6)</f>
        <v>0.0666062310917886</v>
      </c>
      <c r="C189" s="19" t="n">
        <f aca="true">MAX(0.3,NORMINV(RAND(),$B$7,$C$7))</f>
        <v>0.467088510385682</v>
      </c>
      <c r="D189" s="32" t="n">
        <f aca="true">MAX(0.06,NORMINV(RAND(),$B$8,$C$8))</f>
        <v>0.0819381384518201</v>
      </c>
      <c r="E189" s="50" t="n">
        <f aca="true">MAX(4,NORMINV(RAND(),$B$9,$C$9))</f>
        <v>10.0334383522844</v>
      </c>
      <c r="F189" s="24" t="n">
        <f aca="false">$B$18*(1+(B189+$B$17)/2)^9</f>
        <v>1396.93678275356</v>
      </c>
      <c r="G189" s="24" t="n">
        <f aca="false">F189*C189</f>
        <v>652.493120959327</v>
      </c>
      <c r="H189" s="24" t="n">
        <f aca="false">E189*G189/(1+D189)^9</f>
        <v>3222.58108775001</v>
      </c>
      <c r="I189" s="24" t="n">
        <f aca="false">$B$13*G189/$B$12*((1+$B$8)/(1+D189))^4.5</f>
        <v>2498.06224271213</v>
      </c>
      <c r="J189" s="24" t="n">
        <f aca="false">H189+I189-$B$14</f>
        <v>4784.85305101008</v>
      </c>
      <c r="K189" s="43" t="n">
        <f aca="false">J189/$B$15</f>
        <v>116.703732951465</v>
      </c>
    </row>
    <row r="190" customFormat="false" ht="15" hidden="false" customHeight="false" outlineLevel="0" collapsed="false">
      <c r="A190" s="49" t="n">
        <v>150</v>
      </c>
      <c r="B190" s="19" t="n">
        <f aca="true">NORMINV(RAND(),$B$6,$C$6)</f>
        <v>0.0435939357575976</v>
      </c>
      <c r="C190" s="19" t="n">
        <f aca="true">MAX(0.3,NORMINV(RAND(),$B$7,$C$7))</f>
        <v>0.420752370010866</v>
      </c>
      <c r="D190" s="32" t="n">
        <f aca="true">MAX(0.06,NORMINV(RAND(),$B$8,$C$8))</f>
        <v>0.084292211949175</v>
      </c>
      <c r="E190" s="50" t="n">
        <f aca="true">MAX(4,NORMINV(RAND(),$B$9,$C$9))</f>
        <v>8.07774767659463</v>
      </c>
      <c r="F190" s="24" t="n">
        <f aca="false">$B$18*(1+(B190+$B$17)/2)^9</f>
        <v>1263.63176972865</v>
      </c>
      <c r="G190" s="24" t="n">
        <f aca="false">F190*C190</f>
        <v>531.676061934356</v>
      </c>
      <c r="H190" s="24" t="n">
        <f aca="false">E190*G190/(1+D190)^9</f>
        <v>2073.10044322801</v>
      </c>
      <c r="I190" s="24" t="n">
        <f aca="false">$B$13*G190/$B$12*((1+$B$8)/(1+D190))^4.5</f>
        <v>2015.70436893367</v>
      </c>
      <c r="J190" s="24" t="n">
        <f aca="false">H190+I190-$B$14</f>
        <v>3153.01453270963</v>
      </c>
      <c r="K190" s="43" t="n">
        <f aca="false">J190/$B$15</f>
        <v>76.9027934807226</v>
      </c>
    </row>
    <row r="191" customFormat="false" ht="15" hidden="false" customHeight="false" outlineLevel="0" collapsed="false">
      <c r="A191" s="49" t="n">
        <v>151</v>
      </c>
      <c r="B191" s="19" t="n">
        <f aca="true">NORMINV(RAND(),$B$6,$C$6)</f>
        <v>0.0606284591202174</v>
      </c>
      <c r="C191" s="19" t="n">
        <f aca="true">MAX(0.3,NORMINV(RAND(),$B$7,$C$7))</f>
        <v>0.467221304248834</v>
      </c>
      <c r="D191" s="32" t="n">
        <f aca="true">MAX(0.06,NORMINV(RAND(),$B$8,$C$8))</f>
        <v>0.0612576278688283</v>
      </c>
      <c r="E191" s="50" t="n">
        <f aca="true">MAX(4,NORMINV(RAND(),$B$9,$C$9))</f>
        <v>8.31271438609308</v>
      </c>
      <c r="F191" s="24" t="n">
        <f aca="false">$B$18*(1+(B191+$B$17)/2)^9</f>
        <v>1361.15939827938</v>
      </c>
      <c r="G191" s="24" t="n">
        <f aca="false">F191*C191</f>
        <v>635.962669354648</v>
      </c>
      <c r="H191" s="24" t="n">
        <f aca="false">E191*G191/(1+D191)^9</f>
        <v>3095.90096420849</v>
      </c>
      <c r="I191" s="24" t="n">
        <f aca="false">$B$13*G191/$B$12*((1+$B$8)/(1+D191))^4.5</f>
        <v>2655.68258003725</v>
      </c>
      <c r="J191" s="24" t="n">
        <f aca="false">H191+I191-$B$14</f>
        <v>4815.79326479369</v>
      </c>
      <c r="K191" s="43" t="n">
        <f aca="false">J191/$B$15</f>
        <v>117.458372312041</v>
      </c>
    </row>
    <row r="192" customFormat="false" ht="15" hidden="false" customHeight="false" outlineLevel="0" collapsed="false">
      <c r="A192" s="49" t="n">
        <v>152</v>
      </c>
      <c r="B192" s="19" t="n">
        <f aca="true">NORMINV(RAND(),$B$6,$C$6)</f>
        <v>0.022135864672687</v>
      </c>
      <c r="C192" s="19" t="n">
        <f aca="true">MAX(0.3,NORMINV(RAND(),$B$7,$C$7))</f>
        <v>0.444044585837117</v>
      </c>
      <c r="D192" s="32" t="n">
        <f aca="true">MAX(0.06,NORMINV(RAND(),$B$8,$C$8))</f>
        <v>0.0714363344816857</v>
      </c>
      <c r="E192" s="50" t="n">
        <f aca="true">MAX(4,NORMINV(RAND(),$B$9,$C$9))</f>
        <v>7.45725403155176</v>
      </c>
      <c r="F192" s="24" t="n">
        <f aca="false">$B$18*(1+(B192+$B$17)/2)^9</f>
        <v>1149.64576410898</v>
      </c>
      <c r="G192" s="24" t="n">
        <f aca="false">F192*C192</f>
        <v>510.493977183166</v>
      </c>
      <c r="H192" s="24" t="n">
        <f aca="false">E192*G192/(1+D192)^9</f>
        <v>2045.84265743954</v>
      </c>
      <c r="I192" s="24" t="n">
        <f aca="false">$B$13*G192/$B$12*((1+$B$8)/(1+D192))^4.5</f>
        <v>2042.11506979372</v>
      </c>
      <c r="J192" s="24" t="n">
        <f aca="false">H192+I192-$B$14</f>
        <v>3152.16744778121</v>
      </c>
      <c r="K192" s="43" t="n">
        <f aca="false">J192/$B$15</f>
        <v>76.8821328727124</v>
      </c>
    </row>
    <row r="193" customFormat="false" ht="15" hidden="false" customHeight="false" outlineLevel="0" collapsed="false">
      <c r="A193" s="49" t="n">
        <v>153</v>
      </c>
      <c r="B193" s="19" t="n">
        <f aca="true">NORMINV(RAND(),$B$6,$C$6)</f>
        <v>0.0463386538841524</v>
      </c>
      <c r="C193" s="19" t="n">
        <f aca="true">MAX(0.3,NORMINV(RAND(),$B$7,$C$7))</f>
        <v>0.401865540176701</v>
      </c>
      <c r="D193" s="32" t="n">
        <f aca="true">MAX(0.06,NORMINV(RAND(),$B$8,$C$8))</f>
        <v>0.0909532332946002</v>
      </c>
      <c r="E193" s="50" t="n">
        <f aca="true">MAX(4,NORMINV(RAND(),$B$9,$C$9))</f>
        <v>6.3541832405916</v>
      </c>
      <c r="F193" s="24" t="n">
        <f aca="false">$B$18*(1+(B193+$B$17)/2)^9</f>
        <v>1278.91337823842</v>
      </c>
      <c r="G193" s="24" t="n">
        <f aca="false">F193*C193</f>
        <v>513.951215584992</v>
      </c>
      <c r="H193" s="24" t="n">
        <f aca="false">E193*G193/(1+D193)^9</f>
        <v>1491.85436210586</v>
      </c>
      <c r="I193" s="24" t="n">
        <f aca="false">$B$13*G193/$B$12*((1+$B$8)/(1+D193))^4.5</f>
        <v>1895.53823255006</v>
      </c>
      <c r="J193" s="24" t="n">
        <f aca="false">H193+I193-$B$14</f>
        <v>2451.60231520386</v>
      </c>
      <c r="K193" s="43" t="n">
        <f aca="false">J193/$B$15</f>
        <v>59.7951784196064</v>
      </c>
    </row>
    <row r="194" customFormat="false" ht="15" hidden="false" customHeight="false" outlineLevel="0" collapsed="false">
      <c r="A194" s="49" t="n">
        <v>154</v>
      </c>
      <c r="B194" s="19" t="n">
        <f aca="true">NORMINV(RAND(),$B$6,$C$6)</f>
        <v>0.0492498678755167</v>
      </c>
      <c r="C194" s="19" t="n">
        <f aca="true">MAX(0.3,NORMINV(RAND(),$B$7,$C$7))</f>
        <v>0.441745355654685</v>
      </c>
      <c r="D194" s="32" t="n">
        <f aca="true">MAX(0.06,NORMINV(RAND(),$B$8,$C$8))</f>
        <v>0.0886182957528263</v>
      </c>
      <c r="E194" s="50" t="n">
        <f aca="true">MAX(4,NORMINV(RAND(),$B$9,$C$9))</f>
        <v>5.11900752667189</v>
      </c>
      <c r="F194" s="24" t="n">
        <f aca="false">$B$18*(1+(B194+$B$17)/2)^9</f>
        <v>1295.30129155558</v>
      </c>
      <c r="G194" s="24" t="n">
        <f aca="false">F194*C194</f>
        <v>572.19332971819</v>
      </c>
      <c r="H194" s="24" t="n">
        <f aca="false">E194*G194/(1+D194)^9</f>
        <v>1364.10530579879</v>
      </c>
      <c r="I194" s="24" t="n">
        <f aca="false">$B$13*G194/$B$12*((1+$B$8)/(1+D194))^4.5</f>
        <v>2130.79031048885</v>
      </c>
      <c r="J194" s="24" t="n">
        <f aca="false">H194+I194-$B$14</f>
        <v>2559.10533683559</v>
      </c>
      <c r="K194" s="43" t="n">
        <f aca="false">J194/$B$15</f>
        <v>62.4172033374534</v>
      </c>
    </row>
    <row r="195" customFormat="false" ht="15" hidden="false" customHeight="false" outlineLevel="0" collapsed="false">
      <c r="A195" s="49" t="n">
        <v>155</v>
      </c>
      <c r="B195" s="19" t="n">
        <f aca="true">NORMINV(RAND(),$B$6,$C$6)</f>
        <v>0.0343906413049721</v>
      </c>
      <c r="C195" s="19" t="n">
        <f aca="true">MAX(0.3,NORMINV(RAND(),$B$7,$C$7))</f>
        <v>0.475214982683315</v>
      </c>
      <c r="D195" s="32" t="n">
        <f aca="true">MAX(0.06,NORMINV(RAND(),$B$8,$C$8))</f>
        <v>0.076913432069293</v>
      </c>
      <c r="E195" s="50" t="n">
        <f aca="true">MAX(4,NORMINV(RAND(),$B$9,$C$9))</f>
        <v>10.4588113446462</v>
      </c>
      <c r="F195" s="24" t="n">
        <f aca="false">$B$18*(1+(B195+$B$17)/2)^9</f>
        <v>1213.56861200794</v>
      </c>
      <c r="G195" s="24" t="n">
        <f aca="false">F195*C195</f>
        <v>576.705986940367</v>
      </c>
      <c r="H195" s="24" t="n">
        <f aca="false">E195*G195/(1+D195)^9</f>
        <v>3096.06196902297</v>
      </c>
      <c r="I195" s="24" t="n">
        <f aca="false">$B$13*G195/$B$12*((1+$B$8)/(1+D195))^4.5</f>
        <v>2254.65003446923</v>
      </c>
      <c r="J195" s="24" t="n">
        <f aca="false">H195+I195-$B$14</f>
        <v>4414.92172404014</v>
      </c>
      <c r="K195" s="43" t="n">
        <f aca="false">J195/$B$15</f>
        <v>107.681017659516</v>
      </c>
    </row>
    <row r="196" customFormat="false" ht="15" hidden="false" customHeight="false" outlineLevel="0" collapsed="false">
      <c r="A196" s="49" t="n">
        <v>156</v>
      </c>
      <c r="B196" s="19" t="n">
        <f aca="true">NORMINV(RAND(),$B$6,$C$6)</f>
        <v>-0.0179656295492795</v>
      </c>
      <c r="C196" s="19" t="n">
        <f aca="true">MAX(0.3,NORMINV(RAND(),$B$7,$C$7))</f>
        <v>0.439481402537178</v>
      </c>
      <c r="D196" s="32" t="n">
        <f aca="true">MAX(0.06,NORMINV(RAND(),$B$8,$C$8))</f>
        <v>0.0760958593436436</v>
      </c>
      <c r="E196" s="50" t="n">
        <f aca="true">MAX(4,NORMINV(RAND(),$B$9,$C$9))</f>
        <v>4.88899840674281</v>
      </c>
      <c r="F196" s="24" t="n">
        <f aca="false">$B$18*(1+(B196+$B$17)/2)^9</f>
        <v>960.861571076591</v>
      </c>
      <c r="G196" s="24" t="n">
        <f aca="false">F196*C196</f>
        <v>422.280790900817</v>
      </c>
      <c r="H196" s="24" t="n">
        <f aca="false">E196*G196/(1+D196)^9</f>
        <v>1066.9954791639</v>
      </c>
      <c r="I196" s="24" t="n">
        <f aca="false">$B$13*G196/$B$12*((1+$B$8)/(1+D196))^4.5</f>
        <v>1656.57177602273</v>
      </c>
      <c r="J196" s="24" t="n">
        <f aca="false">H196+I196-$B$14</f>
        <v>1787.77697573458</v>
      </c>
      <c r="K196" s="43" t="n">
        <f aca="false">J196/$B$15</f>
        <v>43.6043164813311</v>
      </c>
    </row>
    <row r="197" customFormat="false" ht="15" hidden="false" customHeight="false" outlineLevel="0" collapsed="false">
      <c r="A197" s="49" t="n">
        <v>157</v>
      </c>
      <c r="B197" s="19" t="n">
        <f aca="true">NORMINV(RAND(),$B$6,$C$6)</f>
        <v>0.0310839783785788</v>
      </c>
      <c r="C197" s="19" t="n">
        <f aca="true">MAX(0.3,NORMINV(RAND(),$B$7,$C$7))</f>
        <v>0.452217228350573</v>
      </c>
      <c r="D197" s="32" t="n">
        <f aca="true">MAX(0.06,NORMINV(RAND(),$B$8,$C$8))</f>
        <v>0.078407457116318</v>
      </c>
      <c r="E197" s="50" t="n">
        <f aca="true">MAX(4,NORMINV(RAND(),$B$9,$C$9))</f>
        <v>9.82600287930616</v>
      </c>
      <c r="F197" s="24" t="n">
        <f aca="false">$B$18*(1+(B197+$B$17)/2)^9</f>
        <v>1196.01669171642</v>
      </c>
      <c r="G197" s="24" t="n">
        <f aca="false">F197*C197</f>
        <v>540.859353389021</v>
      </c>
      <c r="H197" s="24" t="n">
        <f aca="false">E197*G197/(1+D197)^9</f>
        <v>2694.10979458396</v>
      </c>
      <c r="I197" s="24" t="n">
        <f aca="false">$B$13*G197/$B$12*((1+$B$8)/(1+D197))^4.5</f>
        <v>2101.35596421749</v>
      </c>
      <c r="J197" s="24" t="n">
        <f aca="false">H197+I197-$B$14</f>
        <v>3859.6754793494</v>
      </c>
      <c r="K197" s="43" t="n">
        <f aca="false">J197/$B$15</f>
        <v>94.1384263255951</v>
      </c>
    </row>
    <row r="198" customFormat="false" ht="15" hidden="false" customHeight="false" outlineLevel="0" collapsed="false">
      <c r="A198" s="49" t="n">
        <v>158</v>
      </c>
      <c r="B198" s="19" t="n">
        <f aca="true">NORMINV(RAND(),$B$6,$C$6)</f>
        <v>0.00906199772198301</v>
      </c>
      <c r="C198" s="19" t="n">
        <f aca="true">MAX(0.3,NORMINV(RAND(),$B$7,$C$7))</f>
        <v>0.405169978517592</v>
      </c>
      <c r="D198" s="32" t="n">
        <f aca="true">MAX(0.06,NORMINV(RAND(),$B$8,$C$8))</f>
        <v>0.0757207806798311</v>
      </c>
      <c r="E198" s="50" t="n">
        <f aca="true">MAX(4,NORMINV(RAND(),$B$9,$C$9))</f>
        <v>8.10714458175332</v>
      </c>
      <c r="F198" s="24" t="n">
        <f aca="false">$B$18*(1+(B198+$B$17)/2)^9</f>
        <v>1084.76651206871</v>
      </c>
      <c r="G198" s="24" t="n">
        <f aca="false">F198*C198</f>
        <v>439.514824391483</v>
      </c>
      <c r="H198" s="24" t="n">
        <f aca="false">E198*G198/(1+D198)^9</f>
        <v>1847.33398908138</v>
      </c>
      <c r="I198" s="24" t="n">
        <f aca="false">$B$13*G198/$B$12*((1+$B$8)/(1+D198))^4.5</f>
        <v>1726.88639551608</v>
      </c>
      <c r="J198" s="24" t="n">
        <f aca="false">H198+I198-$B$14</f>
        <v>2638.43010514541</v>
      </c>
      <c r="K198" s="43" t="n">
        <f aca="false">J198/$B$15</f>
        <v>64.3519537840343</v>
      </c>
    </row>
    <row r="199" customFormat="false" ht="15" hidden="false" customHeight="false" outlineLevel="0" collapsed="false">
      <c r="A199" s="49" t="n">
        <v>159</v>
      </c>
      <c r="B199" s="19" t="n">
        <f aca="true">NORMINV(RAND(),$B$6,$C$6)</f>
        <v>0.0169197313008561</v>
      </c>
      <c r="C199" s="19" t="n">
        <f aca="true">MAX(0.3,NORMINV(RAND(),$B$7,$C$7))</f>
        <v>0.430003558112016</v>
      </c>
      <c r="D199" s="32" t="n">
        <f aca="true">MAX(0.06,NORMINV(RAND(),$B$8,$C$8))</f>
        <v>0.0802957289968994</v>
      </c>
      <c r="E199" s="50" t="n">
        <f aca="true">MAX(4,NORMINV(RAND(),$B$9,$C$9))</f>
        <v>9.03237960698257</v>
      </c>
      <c r="F199" s="24" t="n">
        <f aca="false">$B$18*(1+(B199+$B$17)/2)^9</f>
        <v>1123.35838424094</v>
      </c>
      <c r="G199" s="24" t="n">
        <f aca="false">F199*C199</f>
        <v>483.048102258571</v>
      </c>
      <c r="H199" s="24" t="n">
        <f aca="false">E199*G199/(1+D199)^9</f>
        <v>2177.25165821834</v>
      </c>
      <c r="I199" s="24" t="n">
        <f aca="false">$B$13*G199/$B$12*((1+$B$8)/(1+D199))^4.5</f>
        <v>1862.02997146133</v>
      </c>
      <c r="J199" s="24" t="n">
        <f aca="false">H199+I199-$B$14</f>
        <v>3103.49135022762</v>
      </c>
      <c r="K199" s="43" t="n">
        <f aca="false">J199/$B$15</f>
        <v>75.6949109811615</v>
      </c>
    </row>
    <row r="200" customFormat="false" ht="15" hidden="false" customHeight="false" outlineLevel="0" collapsed="false">
      <c r="A200" s="49" t="n">
        <v>160</v>
      </c>
      <c r="B200" s="19" t="n">
        <f aca="true">NORMINV(RAND(),$B$6,$C$6)</f>
        <v>-0.00694657603724702</v>
      </c>
      <c r="C200" s="19" t="n">
        <f aca="true">MAX(0.3,NORMINV(RAND(),$B$7,$C$7))</f>
        <v>0.381578856369359</v>
      </c>
      <c r="D200" s="32" t="n">
        <f aca="true">MAX(0.06,NORMINV(RAND(),$B$8,$C$8))</f>
        <v>0.0805921790373329</v>
      </c>
      <c r="E200" s="50" t="n">
        <f aca="true">MAX(4,NORMINV(RAND(),$B$9,$C$9))</f>
        <v>6.60577194310496</v>
      </c>
      <c r="F200" s="24" t="n">
        <f aca="false">$B$18*(1+(B200+$B$17)/2)^9</f>
        <v>1009.76931954399</v>
      </c>
      <c r="G200" s="24" t="n">
        <f aca="false">F200*C200</f>
        <v>385.30662214846</v>
      </c>
      <c r="H200" s="24" t="n">
        <f aca="false">E200*G200/(1+D200)^9</f>
        <v>1266.99140815303</v>
      </c>
      <c r="I200" s="24" t="n">
        <f aca="false">$B$13*G200/$B$12*((1+$B$8)/(1+D200))^4.5</f>
        <v>1483.42821900066</v>
      </c>
      <c r="J200" s="24" t="n">
        <f aca="false">H200+I200-$B$14</f>
        <v>1814.62934770163</v>
      </c>
      <c r="K200" s="43" t="n">
        <f aca="false">J200/$B$15</f>
        <v>44.2592523829666</v>
      </c>
    </row>
    <row r="201" customFormat="false" ht="15" hidden="false" customHeight="false" outlineLevel="0" collapsed="false">
      <c r="A201" s="49" t="n">
        <v>161</v>
      </c>
      <c r="B201" s="19" t="n">
        <f aca="true">NORMINV(RAND(),$B$6,$C$6)</f>
        <v>0.0261337492119293</v>
      </c>
      <c r="C201" s="19" t="n">
        <f aca="true">MAX(0.3,NORMINV(RAND(),$B$7,$C$7))</f>
        <v>0.400950598441119</v>
      </c>
      <c r="D201" s="32" t="n">
        <f aca="true">MAX(0.06,NORMINV(RAND(),$B$8,$C$8))</f>
        <v>0.0834238573106425</v>
      </c>
      <c r="E201" s="50" t="n">
        <f aca="true">MAX(4,NORMINV(RAND(),$B$9,$C$9))</f>
        <v>9.70275996786643</v>
      </c>
      <c r="F201" s="24" t="n">
        <f aca="false">$B$18*(1+(B201+$B$17)/2)^9</f>
        <v>1170.16229359524</v>
      </c>
      <c r="G201" s="24" t="n">
        <f aca="false">F201*C201</f>
        <v>469.177271890245</v>
      </c>
      <c r="H201" s="24" t="n">
        <f aca="false">E201*G201/(1+D201)^9</f>
        <v>2213.33270582358</v>
      </c>
      <c r="I201" s="24" t="n">
        <f aca="false">$B$13*G201/$B$12*((1+$B$8)/(1+D201))^4.5</f>
        <v>1785.1817671568</v>
      </c>
      <c r="J201" s="24" t="n">
        <f aca="false">H201+I201-$B$14</f>
        <v>3062.72419352833</v>
      </c>
      <c r="K201" s="43" t="n">
        <f aca="false">J201/$B$15</f>
        <v>74.7005900860569</v>
      </c>
    </row>
    <row r="202" customFormat="false" ht="15" hidden="false" customHeight="false" outlineLevel="0" collapsed="false">
      <c r="A202" s="49" t="n">
        <v>162</v>
      </c>
      <c r="B202" s="19" t="n">
        <f aca="true">NORMINV(RAND(),$B$6,$C$6)</f>
        <v>0.0479015557334712</v>
      </c>
      <c r="C202" s="19" t="n">
        <f aca="true">MAX(0.3,NORMINV(RAND(),$B$7,$C$7))</f>
        <v>0.456305213186992</v>
      </c>
      <c r="D202" s="32" t="n">
        <f aca="true">MAX(0.06,NORMINV(RAND(),$B$8,$C$8))</f>
        <v>0.0884142284284436</v>
      </c>
      <c r="E202" s="50" t="n">
        <f aca="true">MAX(4,NORMINV(RAND(),$B$9,$C$9))</f>
        <v>4.6653897651423</v>
      </c>
      <c r="F202" s="24" t="n">
        <f aca="false">$B$18*(1+(B202+$B$17)/2)^9</f>
        <v>1287.68826188228</v>
      </c>
      <c r="G202" s="24" t="n">
        <f aca="false">F202*C202</f>
        <v>587.578866856579</v>
      </c>
      <c r="H202" s="24" t="n">
        <f aca="false">E202*G202/(1+D202)^9</f>
        <v>1278.81053392396</v>
      </c>
      <c r="I202" s="24" t="n">
        <f aca="false">$B$13*G202/$B$12*((1+$B$8)/(1+D202))^4.5</f>
        <v>2189.93120921651</v>
      </c>
      <c r="J202" s="24" t="n">
        <f aca="false">H202+I202-$B$14</f>
        <v>2532.95146368841</v>
      </c>
      <c r="K202" s="43" t="n">
        <f aca="false">J202/$B$15</f>
        <v>61.7793039924003</v>
      </c>
    </row>
    <row r="203" customFormat="false" ht="15" hidden="false" customHeight="false" outlineLevel="0" collapsed="false">
      <c r="A203" s="49" t="n">
        <v>163</v>
      </c>
      <c r="B203" s="19" t="n">
        <f aca="true">NORMINV(RAND(),$B$6,$C$6)</f>
        <v>0.0468580001675061</v>
      </c>
      <c r="C203" s="19" t="n">
        <f aca="true">MAX(0.3,NORMINV(RAND(),$B$7,$C$7))</f>
        <v>0.482250623817225</v>
      </c>
      <c r="D203" s="32" t="n">
        <f aca="true">MAX(0.06,NORMINV(RAND(),$B$8,$C$8))</f>
        <v>0.091991713323715</v>
      </c>
      <c r="E203" s="50" t="n">
        <f aca="true">MAX(4,NORMINV(RAND(),$B$9,$C$9))</f>
        <v>6.85830778618683</v>
      </c>
      <c r="F203" s="24" t="n">
        <f aca="false">$B$18*(1+(B203+$B$17)/2)^9</f>
        <v>1281.82332340176</v>
      </c>
      <c r="G203" s="24" t="n">
        <f aca="false">F203*C203</f>
        <v>618.160097333966</v>
      </c>
      <c r="H203" s="24" t="n">
        <f aca="false">E203*G203/(1+D203)^9</f>
        <v>1920.18845745498</v>
      </c>
      <c r="I203" s="24" t="n">
        <f aca="false">$B$13*G203/$B$12*((1+$B$8)/(1+D203))^4.5</f>
        <v>2270.13758107708</v>
      </c>
      <c r="J203" s="24" t="n">
        <f aca="false">H203+I203-$B$14</f>
        <v>3254.53575908001</v>
      </c>
      <c r="K203" s="43" t="n">
        <f aca="false">J203/$B$15</f>
        <v>79.3789209531709</v>
      </c>
    </row>
    <row r="204" customFormat="false" ht="15" hidden="false" customHeight="false" outlineLevel="0" collapsed="false">
      <c r="A204" s="49" t="n">
        <v>164</v>
      </c>
      <c r="B204" s="19" t="n">
        <f aca="true">NORMINV(RAND(),$B$6,$C$6)</f>
        <v>0.0575232834301491</v>
      </c>
      <c r="C204" s="19" t="n">
        <f aca="true">MAX(0.3,NORMINV(RAND(),$B$7,$C$7))</f>
        <v>0.41378733040115</v>
      </c>
      <c r="D204" s="32" t="n">
        <f aca="true">MAX(0.06,NORMINV(RAND(),$B$8,$C$8))</f>
        <v>0.0819124440394694</v>
      </c>
      <c r="E204" s="50" t="n">
        <f aca="true">MAX(4,NORMINV(RAND(),$B$9,$C$9))</f>
        <v>9.0940459442754</v>
      </c>
      <c r="F204" s="24" t="n">
        <f aca="false">$B$18*(1+(B204+$B$17)/2)^9</f>
        <v>1342.89809891517</v>
      </c>
      <c r="G204" s="24" t="n">
        <f aca="false">F204*C204</f>
        <v>555.674219350888</v>
      </c>
      <c r="H204" s="24" t="n">
        <f aca="false">E204*G204/(1+D204)^9</f>
        <v>2487.98838048572</v>
      </c>
      <c r="I204" s="24" t="n">
        <f aca="false">$B$13*G204/$B$12*((1+$B$8)/(1+D204))^4.5</f>
        <v>2127.6195817041</v>
      </c>
      <c r="J204" s="24" t="n">
        <f aca="false">H204+I204-$B$14</f>
        <v>3679.81768273777</v>
      </c>
      <c r="K204" s="43" t="n">
        <f aca="false">J204/$B$15</f>
        <v>89.7516507984821</v>
      </c>
    </row>
    <row r="205" customFormat="false" ht="15" hidden="false" customHeight="false" outlineLevel="0" collapsed="false">
      <c r="A205" s="49" t="n">
        <v>165</v>
      </c>
      <c r="B205" s="19" t="n">
        <f aca="true">NORMINV(RAND(),$B$6,$C$6)</f>
        <v>-0.00294355206100667</v>
      </c>
      <c r="C205" s="19" t="n">
        <f aca="true">MAX(0.3,NORMINV(RAND(),$B$7,$C$7))</f>
        <v>0.4516973999484</v>
      </c>
      <c r="D205" s="32" t="n">
        <f aca="true">MAX(0.06,NORMINV(RAND(),$B$8,$C$8))</f>
        <v>0.098617269313489</v>
      </c>
      <c r="E205" s="50" t="n">
        <f aca="true">MAX(4,NORMINV(RAND(),$B$9,$C$9))</f>
        <v>9.97313726391125</v>
      </c>
      <c r="F205" s="24" t="n">
        <f aca="false">$B$18*(1+(B205+$B$17)/2)^9</f>
        <v>1028.07704230615</v>
      </c>
      <c r="G205" s="24" t="n">
        <f aca="false">F205*C205</f>
        <v>464.379726956328</v>
      </c>
      <c r="H205" s="24" t="n">
        <f aca="false">E205*G205/(1+D205)^9</f>
        <v>1986.49398797706</v>
      </c>
      <c r="I205" s="24" t="n">
        <f aca="false">$B$13*G205/$B$12*((1+$B$8)/(1+D205))^4.5</f>
        <v>1659.59687364597</v>
      </c>
      <c r="J205" s="24" t="n">
        <f aca="false">H205+I205-$B$14</f>
        <v>2710.30058217097</v>
      </c>
      <c r="K205" s="43" t="n">
        <f aca="false">J205/$B$15</f>
        <v>66.1048922480724</v>
      </c>
    </row>
    <row r="206" customFormat="false" ht="15" hidden="false" customHeight="false" outlineLevel="0" collapsed="false">
      <c r="A206" s="49" t="n">
        <v>166</v>
      </c>
      <c r="B206" s="19" t="n">
        <f aca="true">NORMINV(RAND(),$B$6,$C$6)</f>
        <v>-0.00639766911924956</v>
      </c>
      <c r="C206" s="19" t="n">
        <f aca="true">MAX(0.3,NORMINV(RAND(),$B$7,$C$7))</f>
        <v>0.435162107497023</v>
      </c>
      <c r="D206" s="32" t="n">
        <f aca="true">MAX(0.06,NORMINV(RAND(),$B$8,$C$8))</f>
        <v>0.0816507450193773</v>
      </c>
      <c r="E206" s="50" t="n">
        <f aca="true">MAX(4,NORMINV(RAND(),$B$9,$C$9))</f>
        <v>9.35907202720345</v>
      </c>
      <c r="F206" s="24" t="n">
        <f aca="false">$B$18*(1+(B206+$B$17)/2)^9</f>
        <v>1012.26246113315</v>
      </c>
      <c r="G206" s="24" t="n">
        <f aca="false">F206*C206</f>
        <v>440.498265926825</v>
      </c>
      <c r="H206" s="24" t="n">
        <f aca="false">E206*G206/(1+D206)^9</f>
        <v>2034.19933948756</v>
      </c>
      <c r="I206" s="24" t="n">
        <f aca="false">$B$13*G206/$B$12*((1+$B$8)/(1+D206))^4.5</f>
        <v>1688.4597569426</v>
      </c>
      <c r="J206" s="24" t="n">
        <f aca="false">H206+I206-$B$14</f>
        <v>2786.86881697811</v>
      </c>
      <c r="K206" s="43" t="n">
        <f aca="false">J206/$B$15</f>
        <v>67.9724101701979</v>
      </c>
    </row>
    <row r="207" customFormat="false" ht="15" hidden="false" customHeight="false" outlineLevel="0" collapsed="false">
      <c r="A207" s="49" t="n">
        <v>167</v>
      </c>
      <c r="B207" s="19" t="n">
        <f aca="true">NORMINV(RAND(),$B$6,$C$6)</f>
        <v>0.0394532439949689</v>
      </c>
      <c r="C207" s="19" t="n">
        <f aca="true">MAX(0.3,NORMINV(RAND(),$B$7,$C$7))</f>
        <v>0.492748145127356</v>
      </c>
      <c r="D207" s="32" t="n">
        <f aca="true">MAX(0.06,NORMINV(RAND(),$B$8,$C$8))</f>
        <v>0.0844936744735116</v>
      </c>
      <c r="E207" s="50" t="n">
        <f aca="true">MAX(4,NORMINV(RAND(),$B$9,$C$9))</f>
        <v>8.68020738786379</v>
      </c>
      <c r="F207" s="24" t="n">
        <f aca="false">$B$18*(1+(B207+$B$17)/2)^9</f>
        <v>1240.88493151846</v>
      </c>
      <c r="G207" s="24" t="n">
        <f aca="false">F207*C207</f>
        <v>611.443748322206</v>
      </c>
      <c r="H207" s="24" t="n">
        <f aca="false">E207*G207/(1+D207)^9</f>
        <v>2557.6634729328</v>
      </c>
      <c r="I207" s="24" t="n">
        <f aca="false">$B$13*G207/$B$12*((1+$B$8)/(1+D207))^4.5</f>
        <v>2316.18453285869</v>
      </c>
      <c r="J207" s="24" t="n">
        <f aca="false">H207+I207-$B$14</f>
        <v>3938.05772633943</v>
      </c>
      <c r="K207" s="43" t="n">
        <f aca="false">J207/$B$15</f>
        <v>96.0501884473033</v>
      </c>
    </row>
    <row r="208" customFormat="false" ht="15" hidden="false" customHeight="false" outlineLevel="0" collapsed="false">
      <c r="A208" s="49" t="n">
        <v>168</v>
      </c>
      <c r="B208" s="19" t="n">
        <f aca="true">NORMINV(RAND(),$B$6,$C$6)</f>
        <v>0.00881267371697512</v>
      </c>
      <c r="C208" s="19" t="n">
        <f aca="true">MAX(0.3,NORMINV(RAND(),$B$7,$C$7))</f>
        <v>0.418595501685987</v>
      </c>
      <c r="D208" s="32" t="n">
        <f aca="true">MAX(0.06,NORMINV(RAND(),$B$8,$C$8))</f>
        <v>0.0770483245515337</v>
      </c>
      <c r="E208" s="50" t="n">
        <f aca="true">MAX(4,NORMINV(RAND(),$B$9,$C$9))</f>
        <v>6.83507476551112</v>
      </c>
      <c r="F208" s="24" t="n">
        <f aca="false">$B$18*(1+(B208+$B$17)/2)^9</f>
        <v>1083.56153519413</v>
      </c>
      <c r="G208" s="24" t="n">
        <f aca="false">F208*C208</f>
        <v>453.573984432224</v>
      </c>
      <c r="H208" s="24" t="n">
        <f aca="false">E208*G208/(1+D208)^9</f>
        <v>1589.55185791968</v>
      </c>
      <c r="I208" s="24" t="n">
        <f aca="false">$B$13*G208/$B$12*((1+$B$8)/(1+D208))^4.5</f>
        <v>1772.26245445641</v>
      </c>
      <c r="J208" s="24" t="n">
        <f aca="false">H208+I208-$B$14</f>
        <v>2426.02403292403</v>
      </c>
      <c r="K208" s="43" t="n">
        <f aca="false">J208/$B$15</f>
        <v>59.1713178761958</v>
      </c>
    </row>
    <row r="209" customFormat="false" ht="15" hidden="false" customHeight="false" outlineLevel="0" collapsed="false">
      <c r="A209" s="49" t="n">
        <v>169</v>
      </c>
      <c r="B209" s="19" t="n">
        <f aca="true">NORMINV(RAND(),$B$6,$C$6)</f>
        <v>0.0263835526283295</v>
      </c>
      <c r="C209" s="19" t="n">
        <f aca="true">MAX(0.3,NORMINV(RAND(),$B$7,$C$7))</f>
        <v>0.416125968423707</v>
      </c>
      <c r="D209" s="32" t="n">
        <f aca="true">MAX(0.06,NORMINV(RAND(),$B$8,$C$8))</f>
        <v>0.0772542816657925</v>
      </c>
      <c r="E209" s="50" t="n">
        <f aca="true">MAX(4,NORMINV(RAND(),$B$9,$C$9))</f>
        <v>9.99708122161139</v>
      </c>
      <c r="F209" s="24" t="n">
        <f aca="false">$B$18*(1+(B209+$B$17)/2)^9</f>
        <v>1171.45498188592</v>
      </c>
      <c r="G209" s="24" t="n">
        <f aca="false">F209*C209</f>
        <v>487.472838802053</v>
      </c>
      <c r="H209" s="24" t="n">
        <f aca="false">E209*G209/(1+D209)^9</f>
        <v>2494.36258095888</v>
      </c>
      <c r="I209" s="24" t="n">
        <f aca="false">$B$13*G209/$B$12*((1+$B$8)/(1+D209))^4.5</f>
        <v>1903.07824746849</v>
      </c>
      <c r="J209" s="24" t="n">
        <f aca="false">H209+I209-$B$14</f>
        <v>3461.65054897532</v>
      </c>
      <c r="K209" s="43" t="n">
        <f aca="false">J209/$B$15</f>
        <v>84.4305011945199</v>
      </c>
    </row>
    <row r="210" customFormat="false" ht="15" hidden="false" customHeight="false" outlineLevel="0" collapsed="false">
      <c r="A210" s="49" t="n">
        <v>170</v>
      </c>
      <c r="B210" s="19" t="n">
        <f aca="true">NORMINV(RAND(),$B$6,$C$6)</f>
        <v>0.0560725497868932</v>
      </c>
      <c r="C210" s="19" t="n">
        <f aca="true">MAX(0.3,NORMINV(RAND(),$B$7,$C$7))</f>
        <v>0.405869397413927</v>
      </c>
      <c r="D210" s="32" t="n">
        <f aca="true">MAX(0.06,NORMINV(RAND(),$B$8,$C$8))</f>
        <v>0.0848087590622743</v>
      </c>
      <c r="E210" s="50" t="n">
        <f aca="true">MAX(4,NORMINV(RAND(),$B$9,$C$9))</f>
        <v>7.15576889776335</v>
      </c>
      <c r="F210" s="24" t="n">
        <f aca="false">$B$18*(1+(B210+$B$17)/2)^9</f>
        <v>1334.44133533331</v>
      </c>
      <c r="G210" s="24" t="n">
        <f aca="false">F210*C210</f>
        <v>541.608900655968</v>
      </c>
      <c r="H210" s="24" t="n">
        <f aca="false">E210*G210/(1+D210)^9</f>
        <v>1862.78808154239</v>
      </c>
      <c r="I210" s="24" t="n">
        <f aca="false">$B$13*G210/$B$12*((1+$B$8)/(1+D210))^4.5</f>
        <v>2048.96585624307</v>
      </c>
      <c r="J210" s="24" t="n">
        <f aca="false">H210+I210-$B$14</f>
        <v>2975.9636583334</v>
      </c>
      <c r="K210" s="43" t="n">
        <f aca="false">J210/$B$15</f>
        <v>72.5844794715464</v>
      </c>
    </row>
    <row r="211" customFormat="false" ht="15" hidden="false" customHeight="false" outlineLevel="0" collapsed="false">
      <c r="A211" s="49" t="n">
        <v>171</v>
      </c>
      <c r="B211" s="19" t="n">
        <f aca="true">NORMINV(RAND(),$B$6,$C$6)</f>
        <v>0.03349720682636</v>
      </c>
      <c r="C211" s="19" t="n">
        <f aca="true">MAX(0.3,NORMINV(RAND(),$B$7,$C$7))</f>
        <v>0.462270942619893</v>
      </c>
      <c r="D211" s="32" t="n">
        <f aca="true">MAX(0.06,NORMINV(RAND(),$B$8,$C$8))</f>
        <v>0.0752258467830667</v>
      </c>
      <c r="E211" s="50" t="n">
        <f aca="true">MAX(4,NORMINV(RAND(),$B$9,$C$9))</f>
        <v>8.69561296681884</v>
      </c>
      <c r="F211" s="24" t="n">
        <f aca="false">$B$18*(1+(B211+$B$17)/2)^9</f>
        <v>1208.80379087396</v>
      </c>
      <c r="G211" s="24" t="n">
        <f aca="false">F211*C211</f>
        <v>558.794867849806</v>
      </c>
      <c r="H211" s="24" t="n">
        <f aca="false">E211*G211/(1+D211)^9</f>
        <v>2529.62036979428</v>
      </c>
      <c r="I211" s="24" t="n">
        <f aca="false">$B$13*G211/$B$12*((1+$B$8)/(1+D211))^4.5</f>
        <v>2200.09802582507</v>
      </c>
      <c r="J211" s="24" t="n">
        <f aca="false">H211+I211-$B$14</f>
        <v>3793.92811616729</v>
      </c>
      <c r="K211" s="43" t="n">
        <f aca="false">J211/$B$15</f>
        <v>92.5348321016413</v>
      </c>
    </row>
    <row r="212" customFormat="false" ht="15" hidden="false" customHeight="false" outlineLevel="0" collapsed="false">
      <c r="A212" s="49" t="n">
        <v>172</v>
      </c>
      <c r="B212" s="19" t="n">
        <f aca="true">NORMINV(RAND(),$B$6,$C$6)</f>
        <v>0.0235874804431137</v>
      </c>
      <c r="C212" s="19" t="n">
        <f aca="true">MAX(0.3,NORMINV(RAND(),$B$7,$C$7))</f>
        <v>0.419302322029446</v>
      </c>
      <c r="D212" s="32" t="n">
        <f aca="true">MAX(0.06,NORMINV(RAND(),$B$8,$C$8))</f>
        <v>0.0720523930944572</v>
      </c>
      <c r="E212" s="50" t="n">
        <f aca="true">MAX(4,NORMINV(RAND(),$B$9,$C$9))</f>
        <v>8.07532630474653</v>
      </c>
      <c r="F212" s="24" t="n">
        <f aca="false">$B$18*(1+(B212+$B$17)/2)^9</f>
        <v>1157.05795684583</v>
      </c>
      <c r="G212" s="24" t="n">
        <f aca="false">F212*C212</f>
        <v>485.157088028105</v>
      </c>
      <c r="H212" s="24" t="n">
        <f aca="false">E212*G212/(1+D212)^9</f>
        <v>2094.5868146612</v>
      </c>
      <c r="I212" s="24" t="n">
        <f aca="false">$B$13*G212/$B$12*((1+$B$8)/(1+D212))^4.5</f>
        <v>1935.74695936175</v>
      </c>
      <c r="J212" s="24" t="n">
        <f aca="false">H212+I212-$B$14</f>
        <v>3094.5434945709</v>
      </c>
      <c r="K212" s="43" t="n">
        <f aca="false">J212/$B$15</f>
        <v>75.4766705992901</v>
      </c>
    </row>
    <row r="213" customFormat="false" ht="15" hidden="false" customHeight="false" outlineLevel="0" collapsed="false">
      <c r="A213" s="49" t="n">
        <v>173</v>
      </c>
      <c r="B213" s="19" t="n">
        <f aca="true">NORMINV(RAND(),$B$6,$C$6)</f>
        <v>0.0247132133237305</v>
      </c>
      <c r="C213" s="19" t="n">
        <f aca="true">MAX(0.3,NORMINV(RAND(),$B$7,$C$7))</f>
        <v>0.459725330065458</v>
      </c>
      <c r="D213" s="32" t="n">
        <f aca="true">MAX(0.06,NORMINV(RAND(),$B$8,$C$8))</f>
        <v>0.0830097394328624</v>
      </c>
      <c r="E213" s="50" t="n">
        <f aca="true">MAX(4,NORMINV(RAND(),$B$9,$C$9))</f>
        <v>8.75266463732386</v>
      </c>
      <c r="F213" s="24" t="n">
        <f aca="false">$B$18*(1+(B213+$B$17)/2)^9</f>
        <v>1162.83535024821</v>
      </c>
      <c r="G213" s="24" t="n">
        <f aca="false">F213*C213</f>
        <v>534.584865204641</v>
      </c>
      <c r="H213" s="24" t="n">
        <f aca="false">E213*G213/(1+D213)^9</f>
        <v>2282.78856138872</v>
      </c>
      <c r="I213" s="24" t="n">
        <f aca="false">$B$13*G213/$B$12*((1+$B$8)/(1+D213))^4.5</f>
        <v>2037.55472516509</v>
      </c>
      <c r="J213" s="24" t="n">
        <f aca="false">H213+I213-$B$14</f>
        <v>3384.55300710175</v>
      </c>
      <c r="K213" s="43" t="n">
        <f aca="false">J213/$B$15</f>
        <v>82.5500733439452</v>
      </c>
    </row>
    <row r="214" customFormat="false" ht="15" hidden="false" customHeight="false" outlineLevel="0" collapsed="false">
      <c r="A214" s="49" t="n">
        <v>174</v>
      </c>
      <c r="B214" s="19" t="n">
        <f aca="true">NORMINV(RAND(),$B$6,$C$6)</f>
        <v>0.0346155766404605</v>
      </c>
      <c r="C214" s="19" t="n">
        <f aca="true">MAX(0.3,NORMINV(RAND(),$B$7,$C$7))</f>
        <v>0.451589599375027</v>
      </c>
      <c r="D214" s="32" t="n">
        <f aca="true">MAX(0.06,NORMINV(RAND(),$B$8,$C$8))</f>
        <v>0.0822407556922154</v>
      </c>
      <c r="E214" s="50" t="n">
        <f aca="true">MAX(4,NORMINV(RAND(),$B$9,$C$9))</f>
        <v>4.86225212622717</v>
      </c>
      <c r="F214" s="24" t="n">
        <f aca="false">$B$18*(1+(B214+$B$17)/2)^9</f>
        <v>1214.77085370504</v>
      </c>
      <c r="G214" s="24" t="n">
        <f aca="false">F214*C214</f>
        <v>548.577883157117</v>
      </c>
      <c r="H214" s="24" t="n">
        <f aca="false">E214*G214/(1+D214)^9</f>
        <v>1309.66676198646</v>
      </c>
      <c r="I214" s="24" t="n">
        <f aca="false">$B$13*G214/$B$12*((1+$B$8)/(1+D214))^4.5</f>
        <v>2097.58256904899</v>
      </c>
      <c r="J214" s="24" t="n">
        <f aca="false">H214+I214-$B$14</f>
        <v>2471.45905158339</v>
      </c>
      <c r="K214" s="43" t="n">
        <f aca="false">J214/$B$15</f>
        <v>60.2794890630095</v>
      </c>
    </row>
    <row r="215" customFormat="false" ht="15" hidden="false" customHeight="false" outlineLevel="0" collapsed="false">
      <c r="A215" s="49" t="n">
        <v>175</v>
      </c>
      <c r="B215" s="19" t="n">
        <f aca="true">NORMINV(RAND(),$B$6,$C$6)</f>
        <v>0.0512939055702199</v>
      </c>
      <c r="C215" s="19" t="n">
        <f aca="true">MAX(0.3,NORMINV(RAND(),$B$7,$C$7))</f>
        <v>0.501227868790475</v>
      </c>
      <c r="D215" s="32" t="n">
        <f aca="true">MAX(0.06,NORMINV(RAND(),$B$8,$C$8))</f>
        <v>0.0837592697122745</v>
      </c>
      <c r="E215" s="50" t="n">
        <f aca="true">MAX(4,NORMINV(RAND(),$B$9,$C$9))</f>
        <v>7.46062164639818</v>
      </c>
      <c r="F215" s="24" t="n">
        <f aca="false">$B$18*(1+(B215+$B$17)/2)^9</f>
        <v>1306.91893587999</v>
      </c>
      <c r="G215" s="24" t="n">
        <f aca="false">F215*C215</f>
        <v>655.064192913045</v>
      </c>
      <c r="H215" s="24" t="n">
        <f aca="false">E215*G215/(1+D215)^9</f>
        <v>2369.53675890558</v>
      </c>
      <c r="I215" s="24" t="n">
        <f aca="false">$B$13*G215/$B$12*((1+$B$8)/(1+D215))^4.5</f>
        <v>2488.99715583954</v>
      </c>
      <c r="J215" s="24" t="n">
        <f aca="false">H215+I215-$B$14</f>
        <v>3922.74363529306</v>
      </c>
      <c r="K215" s="43" t="n">
        <f aca="false">J215/$B$15</f>
        <v>95.6766740315381</v>
      </c>
    </row>
    <row r="216" customFormat="false" ht="15" hidden="false" customHeight="false" outlineLevel="0" collapsed="false">
      <c r="A216" s="49" t="n">
        <v>176</v>
      </c>
      <c r="B216" s="19" t="n">
        <f aca="true">NORMINV(RAND(),$B$6,$C$6)</f>
        <v>0.0932133497087521</v>
      </c>
      <c r="C216" s="19" t="n">
        <f aca="true">MAX(0.3,NORMINV(RAND(),$B$7,$C$7))</f>
        <v>0.408249422200663</v>
      </c>
      <c r="D216" s="32" t="n">
        <f aca="true">MAX(0.06,NORMINV(RAND(),$B$8,$C$8))</f>
        <v>0.0786019897586962</v>
      </c>
      <c r="E216" s="50" t="n">
        <f aca="true">MAX(4,NORMINV(RAND(),$B$9,$C$9))</f>
        <v>8.30166783972295</v>
      </c>
      <c r="F216" s="24" t="n">
        <f aca="false">$B$18*(1+(B216+$B$17)/2)^9</f>
        <v>1566.53226688273</v>
      </c>
      <c r="G216" s="24" t="n">
        <f aca="false">F216*C216</f>
        <v>639.535892813568</v>
      </c>
      <c r="H216" s="24" t="n">
        <f aca="false">E216*G216/(1+D216)^9</f>
        <v>2687.07211532095</v>
      </c>
      <c r="I216" s="24" t="n">
        <f aca="false">$B$13*G216/$B$12*((1+$B$8)/(1+D216))^4.5</f>
        <v>2482.71975125829</v>
      </c>
      <c r="J216" s="24" t="n">
        <f aca="false">H216+I216-$B$14</f>
        <v>4234.00158712718</v>
      </c>
      <c r="K216" s="43" t="n">
        <f aca="false">J216/$B$15</f>
        <v>103.268331393346</v>
      </c>
    </row>
    <row r="217" customFormat="false" ht="15" hidden="false" customHeight="false" outlineLevel="0" collapsed="false">
      <c r="A217" s="49" t="n">
        <v>177</v>
      </c>
      <c r="B217" s="19" t="n">
        <f aca="true">NORMINV(RAND(),$B$6,$C$6)</f>
        <v>0.0494778675029668</v>
      </c>
      <c r="C217" s="19" t="n">
        <f aca="true">MAX(0.3,NORMINV(RAND(),$B$7,$C$7))</f>
        <v>0.418954678699017</v>
      </c>
      <c r="D217" s="32" t="n">
        <f aca="true">MAX(0.06,NORMINV(RAND(),$B$8,$C$8))</f>
        <v>0.0808862061025563</v>
      </c>
      <c r="E217" s="50" t="n">
        <f aca="true">MAX(4,NORMINV(RAND(),$B$9,$C$9))</f>
        <v>5.64697691695809</v>
      </c>
      <c r="F217" s="24" t="n">
        <f aca="false">$B$18*(1+(B217+$B$17)/2)^9</f>
        <v>1296.59260224341</v>
      </c>
      <c r="G217" s="24" t="n">
        <f aca="false">F217*C217</f>
        <v>543.21353707641</v>
      </c>
      <c r="H217" s="24" t="n">
        <f aca="false">E217*G217/(1+D217)^9</f>
        <v>1523.23470361569</v>
      </c>
      <c r="I217" s="24" t="n">
        <f aca="false">$B$13*G217/$B$12*((1+$B$8)/(1+D217))^4.5</f>
        <v>2088.810064957</v>
      </c>
      <c r="J217" s="24" t="n">
        <f aca="false">H217+I217-$B$14</f>
        <v>2676.25448912063</v>
      </c>
      <c r="K217" s="43" t="n">
        <f aca="false">J217/$B$15</f>
        <v>65.2744997346496</v>
      </c>
    </row>
    <row r="218" customFormat="false" ht="15" hidden="false" customHeight="false" outlineLevel="0" collapsed="false">
      <c r="A218" s="49" t="n">
        <v>178</v>
      </c>
      <c r="B218" s="19" t="n">
        <f aca="true">NORMINV(RAND(),$B$6,$C$6)</f>
        <v>-0.00422125353906876</v>
      </c>
      <c r="C218" s="19" t="n">
        <f aca="true">MAX(0.3,NORMINV(RAND(),$B$7,$C$7))</f>
        <v>0.443180506572738</v>
      </c>
      <c r="D218" s="32" t="n">
        <f aca="true">MAX(0.06,NORMINV(RAND(),$B$8,$C$8))</f>
        <v>0.0678473653655556</v>
      </c>
      <c r="E218" s="50" t="n">
        <f aca="true">MAX(4,NORMINV(RAND(),$B$9,$C$9))</f>
        <v>12.8939553967975</v>
      </c>
      <c r="F218" s="24" t="n">
        <f aca="false">$B$18*(1+(B218+$B$17)/2)^9</f>
        <v>1022.20171155703</v>
      </c>
      <c r="G218" s="24" t="n">
        <f aca="false">F218*C218</f>
        <v>453.019872347363</v>
      </c>
      <c r="H218" s="24" t="n">
        <f aca="false">E218*G218/(1+D218)^9</f>
        <v>3235.34644681371</v>
      </c>
      <c r="I218" s="24" t="n">
        <f aca="false">$B$13*G218/$B$12*((1+$B$8)/(1+D218))^4.5</f>
        <v>1839.7728009384</v>
      </c>
      <c r="J218" s="24" t="n">
        <f aca="false">H218+I218-$B$14</f>
        <v>4139.32896830006</v>
      </c>
      <c r="K218" s="43" t="n">
        <f aca="false">J218/$B$15</f>
        <v>100.95924312927</v>
      </c>
    </row>
    <row r="219" customFormat="false" ht="15" hidden="false" customHeight="false" outlineLevel="0" collapsed="false">
      <c r="A219" s="49" t="n">
        <v>179</v>
      </c>
      <c r="B219" s="19" t="n">
        <f aca="true">NORMINV(RAND(),$B$6,$C$6)</f>
        <v>0.0369178487507208</v>
      </c>
      <c r="C219" s="19" t="n">
        <f aca="true">MAX(0.3,NORMINV(RAND(),$B$7,$C$7))</f>
        <v>0.421435465887835</v>
      </c>
      <c r="D219" s="32" t="n">
        <f aca="true">MAX(0.06,NORMINV(RAND(),$B$8,$C$8))</f>
        <v>0.0688295131855824</v>
      </c>
      <c r="E219" s="50" t="n">
        <f aca="true">MAX(4,NORMINV(RAND(),$B$9,$C$9))</f>
        <v>8.05061806304535</v>
      </c>
      <c r="F219" s="24" t="n">
        <f aca="false">$B$18*(1+(B219+$B$17)/2)^9</f>
        <v>1227.13712258361</v>
      </c>
      <c r="G219" s="24" t="n">
        <f aca="false">F219*C219</f>
        <v>517.159104964282</v>
      </c>
      <c r="H219" s="24" t="n">
        <f aca="false">E219*G219/(1+D219)^9</f>
        <v>2287.05949697643</v>
      </c>
      <c r="I219" s="24" t="n">
        <f aca="false">$B$13*G219/$B$12*((1+$B$8)/(1+D219))^4.5</f>
        <v>2091.57990226938</v>
      </c>
      <c r="J219" s="24" t="n">
        <f aca="false">H219+I219-$B$14</f>
        <v>3442.84911979376</v>
      </c>
      <c r="K219" s="43" t="n">
        <f aca="false">J219/$B$15</f>
        <v>83.9719297510672</v>
      </c>
    </row>
    <row r="220" customFormat="false" ht="15" hidden="false" customHeight="false" outlineLevel="0" collapsed="false">
      <c r="A220" s="49" t="n">
        <v>180</v>
      </c>
      <c r="B220" s="19" t="n">
        <f aca="true">NORMINV(RAND(),$B$6,$C$6)</f>
        <v>0.00370880349854215</v>
      </c>
      <c r="C220" s="19" t="n">
        <f aca="true">MAX(0.3,NORMINV(RAND(),$B$7,$C$7))</f>
        <v>0.398816393506966</v>
      </c>
      <c r="D220" s="32" t="n">
        <f aca="true">MAX(0.06,NORMINV(RAND(),$B$8,$C$8))</f>
        <v>0.0756506871921513</v>
      </c>
      <c r="E220" s="50" t="n">
        <f aca="true">MAX(4,NORMINV(RAND(),$B$9,$C$9))</f>
        <v>5.45593862226605</v>
      </c>
      <c r="F220" s="24" t="n">
        <f aca="false">$B$18*(1+(B220+$B$17)/2)^9</f>
        <v>1059.15469540288</v>
      </c>
      <c r="G220" s="24" t="n">
        <f aca="false">F220*C220</f>
        <v>422.408255786546</v>
      </c>
      <c r="H220" s="24" t="n">
        <f aca="false">E220*G220/(1+D220)^9</f>
        <v>1195.53017630228</v>
      </c>
      <c r="I220" s="24" t="n">
        <f aca="false">$B$13*G220/$B$12*((1+$B$8)/(1+D220))^4.5</f>
        <v>1660.16014999382</v>
      </c>
      <c r="J220" s="24" t="n">
        <f aca="false">H220+I220-$B$14</f>
        <v>1919.90004684404</v>
      </c>
      <c r="K220" s="43" t="n">
        <f aca="false">J220/$B$15</f>
        <v>46.8268304108304</v>
      </c>
    </row>
    <row r="221" customFormat="false" ht="15" hidden="false" customHeight="false" outlineLevel="0" collapsed="false">
      <c r="A221" s="49" t="n">
        <v>181</v>
      </c>
      <c r="B221" s="19" t="n">
        <f aca="true">NORMINV(RAND(),$B$6,$C$6)</f>
        <v>0.0500257903372432</v>
      </c>
      <c r="C221" s="19" t="n">
        <f aca="true">MAX(0.3,NORMINV(RAND(),$B$7,$C$7))</f>
        <v>0.452462372956304</v>
      </c>
      <c r="D221" s="32" t="n">
        <f aca="true">MAX(0.06,NORMINV(RAND(),$B$8,$C$8))</f>
        <v>0.0815084467669865</v>
      </c>
      <c r="E221" s="50" t="n">
        <f aca="true">MAX(4,NORMINV(RAND(),$B$9,$C$9))</f>
        <v>9.40615583291206</v>
      </c>
      <c r="F221" s="24" t="n">
        <f aca="false">$B$18*(1+(B221+$B$17)/2)^9</f>
        <v>1299.7005272836</v>
      </c>
      <c r="G221" s="24" t="n">
        <f aca="false">F221*C221</f>
        <v>588.065584707295</v>
      </c>
      <c r="H221" s="24" t="n">
        <f aca="false">E221*G221/(1+D221)^9</f>
        <v>2732.55361628734</v>
      </c>
      <c r="I221" s="24" t="n">
        <f aca="false">$B$13*G221/$B$12*((1+$B$8)/(1+D221))^4.5</f>
        <v>2255.43022510887</v>
      </c>
      <c r="J221" s="24" t="n">
        <f aca="false">H221+I221-$B$14</f>
        <v>4052.19356194415</v>
      </c>
      <c r="K221" s="43" t="n">
        <f aca="false">J221/$B$15</f>
        <v>98.833989315711</v>
      </c>
    </row>
    <row r="222" customFormat="false" ht="15" hidden="false" customHeight="false" outlineLevel="0" collapsed="false">
      <c r="A222" s="49" t="n">
        <v>182</v>
      </c>
      <c r="B222" s="19" t="n">
        <f aca="true">NORMINV(RAND(),$B$6,$C$6)</f>
        <v>0.00826706197380765</v>
      </c>
      <c r="C222" s="19" t="n">
        <f aca="true">MAX(0.3,NORMINV(RAND(),$B$7,$C$7))</f>
        <v>0.440701721689522</v>
      </c>
      <c r="D222" s="32" t="n">
        <f aca="true">MAX(0.06,NORMINV(RAND(),$B$8,$C$8))</f>
        <v>0.0844333026365436</v>
      </c>
      <c r="E222" s="50" t="n">
        <f aca="true">MAX(4,NORMINV(RAND(),$B$9,$C$9))</f>
        <v>6.82989277666755</v>
      </c>
      <c r="F222" s="24" t="n">
        <f aca="false">$B$18*(1+(B222+$B$17)/2)^9</f>
        <v>1080.92875669832</v>
      </c>
      <c r="G222" s="24" t="n">
        <f aca="false">F222*C222</f>
        <v>476.367164100663</v>
      </c>
      <c r="H222" s="24" t="n">
        <f aca="false">E222*G222/(1+D222)^9</f>
        <v>1568.66457180151</v>
      </c>
      <c r="I222" s="24" t="n">
        <f aca="false">$B$13*G222/$B$12*((1+$B$8)/(1+D222))^4.5</f>
        <v>1804.95867489504</v>
      </c>
      <c r="J222" s="24" t="n">
        <f aca="false">H222+I222-$B$14</f>
        <v>2437.8329672445</v>
      </c>
      <c r="K222" s="43" t="n">
        <f aca="false">J222/$B$15</f>
        <v>59.4593406644999</v>
      </c>
    </row>
    <row r="223" customFormat="false" ht="15" hidden="false" customHeight="false" outlineLevel="0" collapsed="false">
      <c r="A223" s="49" t="n">
        <v>183</v>
      </c>
      <c r="B223" s="19" t="n">
        <f aca="true">NORMINV(RAND(),$B$6,$C$6)</f>
        <v>0.0281873658723428</v>
      </c>
      <c r="C223" s="19" t="n">
        <f aca="true">MAX(0.3,NORMINV(RAND(),$B$7,$C$7))</f>
        <v>0.430672769308492</v>
      </c>
      <c r="D223" s="32" t="n">
        <f aca="true">MAX(0.06,NORMINV(RAND(),$B$8,$C$8))</f>
        <v>0.0829732036285488</v>
      </c>
      <c r="E223" s="50" t="n">
        <f aca="true">MAX(4,NORMINV(RAND(),$B$9,$C$9))</f>
        <v>7.78993932693561</v>
      </c>
      <c r="F223" s="24" t="n">
        <f aca="false">$B$18*(1+(B223+$B$17)/2)^9</f>
        <v>1180.82713416868</v>
      </c>
      <c r="G223" s="24" t="n">
        <f aca="false">F223*C223</f>
        <v>508.550091947034</v>
      </c>
      <c r="H223" s="24" t="n">
        <f aca="false">E223*G223/(1+D223)^9</f>
        <v>1933.34079289992</v>
      </c>
      <c r="I223" s="24" t="n">
        <f aca="false">$B$13*G223/$B$12*((1+$B$8)/(1+D223))^4.5</f>
        <v>1938.61822440486</v>
      </c>
      <c r="J223" s="24" t="n">
        <f aca="false">H223+I223-$B$14</f>
        <v>2936.16873785273</v>
      </c>
      <c r="K223" s="43" t="n">
        <f aca="false">J223/$B$15</f>
        <v>71.6138716549446</v>
      </c>
    </row>
    <row r="224" customFormat="false" ht="15" hidden="false" customHeight="false" outlineLevel="0" collapsed="false">
      <c r="A224" s="49" t="n">
        <v>184</v>
      </c>
      <c r="B224" s="19" t="n">
        <f aca="true">NORMINV(RAND(),$B$6,$C$6)</f>
        <v>0.0418080255611062</v>
      </c>
      <c r="C224" s="19" t="n">
        <f aca="true">MAX(0.3,NORMINV(RAND(),$B$7,$C$7))</f>
        <v>0.47204402082765</v>
      </c>
      <c r="D224" s="32" t="n">
        <f aca="true">MAX(0.06,NORMINV(RAND(),$B$8,$C$8))</f>
        <v>0.067778505266028</v>
      </c>
      <c r="E224" s="50" t="n">
        <f aca="true">MAX(4,NORMINV(RAND(),$B$9,$C$9))</f>
        <v>6.0237940990462</v>
      </c>
      <c r="F224" s="24" t="n">
        <f aca="false">$B$18*(1+(B224+$B$17)/2)^9</f>
        <v>1253.77583567046</v>
      </c>
      <c r="G224" s="24" t="n">
        <f aca="false">F224*C224</f>
        <v>591.837386686432</v>
      </c>
      <c r="H224" s="24" t="n">
        <f aca="false">E224*G224/(1+D224)^9</f>
        <v>1975.79529975768</v>
      </c>
      <c r="I224" s="24" t="n">
        <f aca="false">$B$13*G224/$B$12*((1+$B$8)/(1+D224))^4.5</f>
        <v>2404.22642162482</v>
      </c>
      <c r="J224" s="24" t="n">
        <f aca="false">H224+I224-$B$14</f>
        <v>3444.23144193045</v>
      </c>
      <c r="K224" s="43" t="n">
        <f aca="false">J224/$B$15</f>
        <v>84.0056449251328</v>
      </c>
    </row>
    <row r="225" customFormat="false" ht="15" hidden="false" customHeight="false" outlineLevel="0" collapsed="false">
      <c r="A225" s="49" t="n">
        <v>185</v>
      </c>
      <c r="B225" s="19" t="n">
        <f aca="true">NORMINV(RAND(),$B$6,$C$6)</f>
        <v>0.0886985339050771</v>
      </c>
      <c r="C225" s="19" t="n">
        <f aca="true">MAX(0.3,NORMINV(RAND(),$B$7,$C$7))</f>
        <v>0.43218703726059</v>
      </c>
      <c r="D225" s="32" t="n">
        <f aca="true">MAX(0.06,NORMINV(RAND(),$B$8,$C$8))</f>
        <v>0.0878541981348186</v>
      </c>
      <c r="E225" s="50" t="n">
        <f aca="true">MAX(4,NORMINV(RAND(),$B$9,$C$9))</f>
        <v>6.42347293433186</v>
      </c>
      <c r="F225" s="24" t="n">
        <f aca="false">$B$18*(1+(B225+$B$17)/2)^9</f>
        <v>1536.52598644117</v>
      </c>
      <c r="G225" s="24" t="n">
        <f aca="false">F225*C225</f>
        <v>664.066613753914</v>
      </c>
      <c r="H225" s="24" t="n">
        <f aca="false">E225*G225/(1+D225)^9</f>
        <v>1999.14970137187</v>
      </c>
      <c r="I225" s="24" t="n">
        <f aca="false">$B$13*G225/$B$12*((1+$B$8)/(1+D225))^4.5</f>
        <v>2480.74305941924</v>
      </c>
      <c r="J225" s="24" t="n">
        <f aca="false">H225+I225-$B$14</f>
        <v>3544.10248133905</v>
      </c>
      <c r="K225" s="43" t="n">
        <f aca="false">J225/$B$15</f>
        <v>86.4415239350988</v>
      </c>
    </row>
    <row r="226" customFormat="false" ht="15" hidden="false" customHeight="false" outlineLevel="0" collapsed="false">
      <c r="A226" s="49" t="n">
        <v>186</v>
      </c>
      <c r="B226" s="19" t="n">
        <f aca="true">NORMINV(RAND(),$B$6,$C$6)</f>
        <v>0.0561570780186151</v>
      </c>
      <c r="C226" s="19" t="n">
        <f aca="true">MAX(0.3,NORMINV(RAND(),$B$7,$C$7))</f>
        <v>0.416689133233292</v>
      </c>
      <c r="D226" s="32" t="n">
        <f aca="true">MAX(0.06,NORMINV(RAND(),$B$8,$C$8))</f>
        <v>0.0862875258364665</v>
      </c>
      <c r="E226" s="50" t="n">
        <f aca="true">MAX(4,NORMINV(RAND(),$B$9,$C$9))</f>
        <v>8.89218072979092</v>
      </c>
      <c r="F226" s="24" t="n">
        <f aca="false">$B$18*(1+(B226+$B$17)/2)^9</f>
        <v>1334.93277395595</v>
      </c>
      <c r="G226" s="24" t="n">
        <f aca="false">F226*C226</f>
        <v>556.251980504419</v>
      </c>
      <c r="H226" s="24" t="n">
        <f aca="false">E226*G226/(1+D226)^9</f>
        <v>2348.42513176351</v>
      </c>
      <c r="I226" s="24" t="n">
        <f aca="false">$B$13*G226/$B$12*((1+$B$8)/(1+D226))^4.5</f>
        <v>2091.50186964804</v>
      </c>
      <c r="J226" s="24" t="n">
        <f aca="false">H226+I226-$B$14</f>
        <v>3504.13672195949</v>
      </c>
      <c r="K226" s="43" t="n">
        <f aca="false">J226/$B$15</f>
        <v>85.4667493160851</v>
      </c>
    </row>
    <row r="227" customFormat="false" ht="15" hidden="false" customHeight="false" outlineLevel="0" collapsed="false">
      <c r="A227" s="49" t="n">
        <v>187</v>
      </c>
      <c r="B227" s="19" t="n">
        <f aca="true">NORMINV(RAND(),$B$6,$C$6)</f>
        <v>0.0461597828836083</v>
      </c>
      <c r="C227" s="19" t="n">
        <f aca="true">MAX(0.3,NORMINV(RAND(),$B$7,$C$7))</f>
        <v>0.46753563925827</v>
      </c>
      <c r="D227" s="32" t="n">
        <f aca="true">MAX(0.06,NORMINV(RAND(),$B$8,$C$8))</f>
        <v>0.0897604188229492</v>
      </c>
      <c r="E227" s="50" t="n">
        <f aca="true">MAX(4,NORMINV(RAND(),$B$9,$C$9))</f>
        <v>7.0005499901624</v>
      </c>
      <c r="F227" s="24" t="n">
        <f aca="false">$B$18*(1+(B227+$B$17)/2)^9</f>
        <v>1277.9125078683</v>
      </c>
      <c r="G227" s="24" t="n">
        <f aca="false">F227*C227</f>
        <v>597.469641282343</v>
      </c>
      <c r="H227" s="24" t="n">
        <f aca="false">E227*G227/(1+D227)^9</f>
        <v>1929.60641954826</v>
      </c>
      <c r="I227" s="24" t="n">
        <f aca="false">$B$13*G227/$B$12*((1+$B$8)/(1+D227))^4.5</f>
        <v>2214.44277187795</v>
      </c>
      <c r="J227" s="24" t="n">
        <f aca="false">H227+I227-$B$14</f>
        <v>3208.25891197415</v>
      </c>
      <c r="K227" s="43" t="n">
        <f aca="false">J227/$B$15</f>
        <v>78.2502173652232</v>
      </c>
    </row>
    <row r="228" customFormat="false" ht="15" hidden="false" customHeight="false" outlineLevel="0" collapsed="false">
      <c r="A228" s="49" t="n">
        <v>188</v>
      </c>
      <c r="B228" s="19" t="n">
        <f aca="true">NORMINV(RAND(),$B$6,$C$6)</f>
        <v>-0.0308099071415561</v>
      </c>
      <c r="C228" s="19" t="n">
        <f aca="true">MAX(0.3,NORMINV(RAND(),$B$7,$C$7))</f>
        <v>0.437356082275509</v>
      </c>
      <c r="D228" s="32" t="n">
        <f aca="true">MAX(0.06,NORMINV(RAND(),$B$8,$C$8))</f>
        <v>0.0813035325072335</v>
      </c>
      <c r="E228" s="50" t="n">
        <f aca="true">MAX(4,NORMINV(RAND(),$B$9,$C$9))</f>
        <v>5.48647835255248</v>
      </c>
      <c r="F228" s="24" t="n">
        <f aca="false">$B$18*(1+(B228+$B$17)/2)^9</f>
        <v>906.519086992022</v>
      </c>
      <c r="G228" s="24" t="n">
        <f aca="false">F228*C228</f>
        <v>396.471636394802</v>
      </c>
      <c r="H228" s="24" t="n">
        <f aca="false">E228*G228/(1+D228)^9</f>
        <v>1076.40869490528</v>
      </c>
      <c r="I228" s="24" t="n">
        <f aca="false">$B$13*G228/$B$12*((1+$B$8)/(1+D228))^4.5</f>
        <v>1521.89986348632</v>
      </c>
      <c r="J228" s="24" t="n">
        <f aca="false">H228+I228-$B$14</f>
        <v>1662.51827893955</v>
      </c>
      <c r="K228" s="43" t="n">
        <f aca="false">J228/$B$15</f>
        <v>40.5492263155988</v>
      </c>
    </row>
    <row r="229" customFormat="false" ht="15" hidden="false" customHeight="false" outlineLevel="0" collapsed="false">
      <c r="A229" s="49" t="n">
        <v>189</v>
      </c>
      <c r="B229" s="19" t="n">
        <f aca="true">NORMINV(RAND(),$B$6,$C$6)</f>
        <v>0.0138096854976871</v>
      </c>
      <c r="C229" s="19" t="n">
        <f aca="true">MAX(0.3,NORMINV(RAND(),$B$7,$C$7))</f>
        <v>0.453412916476395</v>
      </c>
      <c r="D229" s="32" t="n">
        <f aca="true">MAX(0.06,NORMINV(RAND(),$B$8,$C$8))</f>
        <v>0.0637398572531204</v>
      </c>
      <c r="E229" s="50" t="n">
        <f aca="true">MAX(4,NORMINV(RAND(),$B$9,$C$9))</f>
        <v>5.56486154694442</v>
      </c>
      <c r="F229" s="24" t="n">
        <f aca="false">$B$18*(1+(B229+$B$17)/2)^9</f>
        <v>1107.94042237776</v>
      </c>
      <c r="G229" s="24" t="n">
        <f aca="false">F229*C229</f>
        <v>502.354498192391</v>
      </c>
      <c r="H229" s="24" t="n">
        <f aca="false">E229*G229/(1+D229)^9</f>
        <v>1603.04520692981</v>
      </c>
      <c r="I229" s="24" t="n">
        <f aca="false">$B$13*G229/$B$12*((1+$B$8)/(1+D229))^4.5</f>
        <v>2075.81718810058</v>
      </c>
      <c r="J229" s="24" t="n">
        <f aca="false">H229+I229-$B$14</f>
        <v>2743.07211557833</v>
      </c>
      <c r="K229" s="43" t="n">
        <f aca="false">J229/$B$15</f>
        <v>66.9041979409349</v>
      </c>
    </row>
    <row r="230" customFormat="false" ht="15" hidden="false" customHeight="false" outlineLevel="0" collapsed="false">
      <c r="A230" s="49" t="n">
        <v>190</v>
      </c>
      <c r="B230" s="19" t="n">
        <f aca="true">NORMINV(RAND(),$B$6,$C$6)</f>
        <v>0.0350762769148353</v>
      </c>
      <c r="C230" s="19" t="n">
        <f aca="true">MAX(0.3,NORMINV(RAND(),$B$7,$C$7))</f>
        <v>0.430171985268917</v>
      </c>
      <c r="D230" s="32" t="n">
        <f aca="true">MAX(0.06,NORMINV(RAND(),$B$8,$C$8))</f>
        <v>0.0738257965569313</v>
      </c>
      <c r="E230" s="50" t="n">
        <f aca="true">MAX(4,NORMINV(RAND(),$B$9,$C$9))</f>
        <v>6.29407045746893</v>
      </c>
      <c r="F230" s="24" t="n">
        <f aca="false">$B$18*(1+(B230+$B$17)/2)^9</f>
        <v>1217.23652475009</v>
      </c>
      <c r="G230" s="24" t="n">
        <f aca="false">F230*C230</f>
        <v>523.621052393583</v>
      </c>
      <c r="H230" s="24" t="n">
        <f aca="false">E230*G230/(1+D230)^9</f>
        <v>1735.97794773472</v>
      </c>
      <c r="I230" s="24" t="n">
        <f aca="false">$B$13*G230/$B$12*((1+$B$8)/(1+D230))^4.5</f>
        <v>2073.73426783786</v>
      </c>
      <c r="J230" s="24" t="n">
        <f aca="false">H230+I230-$B$14</f>
        <v>2873.92193612053</v>
      </c>
      <c r="K230" s="43" t="n">
        <f aca="false">J230/$B$15</f>
        <v>70.0956569785494</v>
      </c>
    </row>
    <row r="231" customFormat="false" ht="15" hidden="false" customHeight="false" outlineLevel="0" collapsed="false">
      <c r="A231" s="49" t="n">
        <v>191</v>
      </c>
      <c r="B231" s="19" t="n">
        <f aca="true">NORMINV(RAND(),$B$6,$C$6)</f>
        <v>0.0454096782068321</v>
      </c>
      <c r="C231" s="19" t="n">
        <f aca="true">MAX(0.3,NORMINV(RAND(),$B$7,$C$7))</f>
        <v>0.435636710850365</v>
      </c>
      <c r="D231" s="32" t="n">
        <f aca="true">MAX(0.06,NORMINV(RAND(),$B$8,$C$8))</f>
        <v>0.0647240407432364</v>
      </c>
      <c r="E231" s="50" t="n">
        <f aca="true">MAX(4,NORMINV(RAND(),$B$9,$C$9))</f>
        <v>9.49324897601468</v>
      </c>
      <c r="F231" s="24" t="n">
        <f aca="false">$B$18*(1+(B231+$B$17)/2)^9</f>
        <v>1273.72288450301</v>
      </c>
      <c r="G231" s="24" t="n">
        <f aca="false">F231*C231</f>
        <v>554.88044793973</v>
      </c>
      <c r="H231" s="24" t="n">
        <f aca="false">E231*G231/(1+D231)^9</f>
        <v>2995.57881736592</v>
      </c>
      <c r="I231" s="24" t="n">
        <f aca="false">$B$13*G231/$B$12*((1+$B$8)/(1+D231))^4.5</f>
        <v>2283.34167693354</v>
      </c>
      <c r="J231" s="24" t="n">
        <f aca="false">H231+I231-$B$14</f>
        <v>4343.13021484741</v>
      </c>
      <c r="K231" s="43" t="n">
        <f aca="false">J231/$B$15</f>
        <v>105.930005240181</v>
      </c>
    </row>
    <row r="232" customFormat="false" ht="15" hidden="false" customHeight="false" outlineLevel="0" collapsed="false">
      <c r="A232" s="49" t="n">
        <v>192</v>
      </c>
      <c r="B232" s="19" t="n">
        <f aca="true">NORMINV(RAND(),$B$6,$C$6)</f>
        <v>0.0401269727231254</v>
      </c>
      <c r="C232" s="19" t="n">
        <f aca="true">MAX(0.3,NORMINV(RAND(),$B$7,$C$7))</f>
        <v>0.401502489595669</v>
      </c>
      <c r="D232" s="32" t="n">
        <f aca="true">MAX(0.06,NORMINV(RAND(),$B$8,$C$8))</f>
        <v>0.0837225777242348</v>
      </c>
      <c r="E232" s="50" t="n">
        <f aca="true">MAX(4,NORMINV(RAND(),$B$9,$C$9))</f>
        <v>7.81689828419615</v>
      </c>
      <c r="F232" s="24" t="n">
        <f aca="false">$B$18*(1+(B232+$B$17)/2)^9</f>
        <v>1244.56107291061</v>
      </c>
      <c r="G232" s="24" t="n">
        <f aca="false">F232*C232</f>
        <v>499.694369227469</v>
      </c>
      <c r="H232" s="24" t="n">
        <f aca="false">E232*G232/(1+D232)^9</f>
        <v>1894.41805641919</v>
      </c>
      <c r="I232" s="24" t="n">
        <f aca="false">$B$13*G232/$B$12*((1+$B$8)/(1+D232))^4.5</f>
        <v>1898.93964905705</v>
      </c>
      <c r="J232" s="24" t="n">
        <f aca="false">H232+I232-$B$14</f>
        <v>2857.56742602419</v>
      </c>
      <c r="K232" s="43" t="n">
        <f aca="false">J232/$B$15</f>
        <v>69.6967664883948</v>
      </c>
    </row>
    <row r="233" customFormat="false" ht="15" hidden="false" customHeight="false" outlineLevel="0" collapsed="false">
      <c r="A233" s="49" t="n">
        <v>193</v>
      </c>
      <c r="B233" s="19" t="n">
        <f aca="true">NORMINV(RAND(),$B$6,$C$6)</f>
        <v>0.0552256890543582</v>
      </c>
      <c r="C233" s="19" t="n">
        <f aca="true">MAX(0.3,NORMINV(RAND(),$B$7,$C$7))</f>
        <v>0.41533881143154</v>
      </c>
      <c r="D233" s="32" t="n">
        <f aca="true">MAX(0.06,NORMINV(RAND(),$B$8,$C$8))</f>
        <v>0.0764280263591137</v>
      </c>
      <c r="E233" s="50" t="n">
        <f aca="true">MAX(4,NORMINV(RAND(),$B$9,$C$9))</f>
        <v>9.8260745645893</v>
      </c>
      <c r="F233" s="24" t="n">
        <f aca="false">$B$18*(1+(B233+$B$17)/2)^9</f>
        <v>1329.5266414706</v>
      </c>
      <c r="G233" s="24" t="n">
        <f aca="false">F233*C233</f>
        <v>552.204015034967</v>
      </c>
      <c r="H233" s="24" t="n">
        <f aca="false">E233*G233/(1+D233)^9</f>
        <v>2796.49884927663</v>
      </c>
      <c r="I233" s="24" t="n">
        <f aca="false">$B$13*G233/$B$12*((1+$B$8)/(1+D233))^4.5</f>
        <v>2163.24310228968</v>
      </c>
      <c r="J233" s="24" t="n">
        <f aca="false">H233+I233-$B$14</f>
        <v>4023.95167211425</v>
      </c>
      <c r="K233" s="43" t="n">
        <f aca="false">J233/$B$15</f>
        <v>98.1451627344939</v>
      </c>
    </row>
    <row r="234" customFormat="false" ht="15" hidden="false" customHeight="false" outlineLevel="0" collapsed="false">
      <c r="A234" s="49" t="n">
        <v>194</v>
      </c>
      <c r="B234" s="19" t="n">
        <f aca="true">NORMINV(RAND(),$B$6,$C$6)</f>
        <v>0.033331729856217</v>
      </c>
      <c r="C234" s="19" t="n">
        <f aca="true">MAX(0.3,NORMINV(RAND(),$B$7,$C$7))</f>
        <v>0.441040551897498</v>
      </c>
      <c r="D234" s="32" t="n">
        <f aca="true">MAX(0.06,NORMINV(RAND(),$B$8,$C$8))</f>
        <v>0.0901610750680614</v>
      </c>
      <c r="E234" s="50" t="n">
        <f aca="true">MAX(4,NORMINV(RAND(),$B$9,$C$9))</f>
        <v>5.71449928900202</v>
      </c>
      <c r="F234" s="24" t="n">
        <f aca="false">$B$18*(1+(B234+$B$17)/2)^9</f>
        <v>1207.92310472401</v>
      </c>
      <c r="G234" s="24" t="n">
        <f aca="false">F234*C234</f>
        <v>532.743072757216</v>
      </c>
      <c r="H234" s="24" t="n">
        <f aca="false">E234*G234/(1+D234)^9</f>
        <v>1399.84501022292</v>
      </c>
      <c r="I234" s="24" t="n">
        <f aca="false">$B$13*G234/$B$12*((1+$B$8)/(1+D234))^4.5</f>
        <v>1971.27876555329</v>
      </c>
      <c r="J234" s="24" t="n">
        <f aca="false">H234+I234-$B$14</f>
        <v>2435.33349632416</v>
      </c>
      <c r="K234" s="43" t="n">
        <f aca="false">J234/$B$15</f>
        <v>59.3983779591258</v>
      </c>
    </row>
    <row r="235" customFormat="false" ht="15" hidden="false" customHeight="false" outlineLevel="0" collapsed="false">
      <c r="A235" s="49" t="n">
        <v>195</v>
      </c>
      <c r="B235" s="19" t="n">
        <f aca="true">NORMINV(RAND(),$B$6,$C$6)</f>
        <v>0.0316019602467459</v>
      </c>
      <c r="C235" s="19" t="n">
        <f aca="true">MAX(0.3,NORMINV(RAND(),$B$7,$C$7))</f>
        <v>0.434044167354147</v>
      </c>
      <c r="D235" s="32" t="n">
        <f aca="true">MAX(0.06,NORMINV(RAND(),$B$8,$C$8))</f>
        <v>0.0749257846798285</v>
      </c>
      <c r="E235" s="50" t="n">
        <f aca="true">MAX(4,NORMINV(RAND(),$B$9,$C$9))</f>
        <v>7.28742633013249</v>
      </c>
      <c r="F235" s="24" t="n">
        <f aca="false">$B$18*(1+(B235+$B$17)/2)^9</f>
        <v>1198.75116905533</v>
      </c>
      <c r="G235" s="24" t="n">
        <f aca="false">F235*C235</f>
        <v>520.310953037431</v>
      </c>
      <c r="H235" s="24" t="n">
        <f aca="false">E235*G235/(1+D235)^9</f>
        <v>1978.93176765042</v>
      </c>
      <c r="I235" s="24" t="n">
        <f aca="false">$B$13*G235/$B$12*((1+$B$8)/(1+D235))^4.5</f>
        <v>2051.15300862586</v>
      </c>
      <c r="J235" s="24" t="n">
        <f aca="false">H235+I235-$B$14</f>
        <v>3094.29449682422</v>
      </c>
      <c r="K235" s="43" t="n">
        <f aca="false">J235/$B$15</f>
        <v>75.4705974835176</v>
      </c>
    </row>
    <row r="236" customFormat="false" ht="15" hidden="false" customHeight="false" outlineLevel="0" collapsed="false">
      <c r="A236" s="49" t="n">
        <v>196</v>
      </c>
      <c r="B236" s="19" t="n">
        <f aca="true">NORMINV(RAND(),$B$6,$C$6)</f>
        <v>-0.00980430299271355</v>
      </c>
      <c r="C236" s="19" t="n">
        <f aca="true">MAX(0.3,NORMINV(RAND(),$B$7,$C$7))</f>
        <v>0.475929775280319</v>
      </c>
      <c r="D236" s="32" t="n">
        <f aca="true">MAX(0.06,NORMINV(RAND(),$B$8,$C$8))</f>
        <v>0.0838851869209728</v>
      </c>
      <c r="E236" s="50" t="n">
        <f aca="true">MAX(4,NORMINV(RAND(),$B$9,$C$9))</f>
        <v>8.77792572873008</v>
      </c>
      <c r="F236" s="24" t="n">
        <f aca="false">$B$18*(1+(B236+$B$17)/2)^9</f>
        <v>996.877457362212</v>
      </c>
      <c r="G236" s="24" t="n">
        <f aca="false">F236*C236</f>
        <v>474.443664264413</v>
      </c>
      <c r="H236" s="24" t="n">
        <f aca="false">E236*G236/(1+D236)^9</f>
        <v>2017.09811962062</v>
      </c>
      <c r="I236" s="24" t="n">
        <f aca="false">$B$13*G236/$B$12*((1+$B$8)/(1+D236))^4.5</f>
        <v>1801.76497312557</v>
      </c>
      <c r="J236" s="24" t="n">
        <f aca="false">H236+I236-$B$14</f>
        <v>2883.07281329414</v>
      </c>
      <c r="K236" s="43" t="n">
        <f aca="false">J236/$B$15</f>
        <v>70.3188491047351</v>
      </c>
    </row>
    <row r="237" customFormat="false" ht="15" hidden="false" customHeight="false" outlineLevel="0" collapsed="false">
      <c r="A237" s="49" t="n">
        <v>197</v>
      </c>
      <c r="B237" s="19" t="n">
        <f aca="true">NORMINV(RAND(),$B$6,$C$6)</f>
        <v>0.0575372556135813</v>
      </c>
      <c r="C237" s="19" t="n">
        <f aca="true">MAX(0.3,NORMINV(RAND(),$B$7,$C$7))</f>
        <v>0.445770555842193</v>
      </c>
      <c r="D237" s="32" t="n">
        <f aca="true">MAX(0.06,NORMINV(RAND(),$B$8,$C$8))</f>
        <v>0.0794673568195042</v>
      </c>
      <c r="E237" s="50" t="n">
        <f aca="true">MAX(4,NORMINV(RAND(),$B$9,$C$9))</f>
        <v>9.90055995429155</v>
      </c>
      <c r="F237" s="24" t="n">
        <f aca="false">$B$18*(1+(B237+$B$17)/2)^9</f>
        <v>1342.97977805918</v>
      </c>
      <c r="G237" s="24" t="n">
        <f aca="false">F237*C237</f>
        <v>598.660842150266</v>
      </c>
      <c r="H237" s="24" t="n">
        <f aca="false">E237*G237/(1+D237)^9</f>
        <v>2978.20772928654</v>
      </c>
      <c r="I237" s="24" t="n">
        <f aca="false">$B$13*G237/$B$12*((1+$B$8)/(1+D237))^4.5</f>
        <v>2315.66799422974</v>
      </c>
      <c r="J237" s="24" t="n">
        <f aca="false">H237+I237-$B$14</f>
        <v>4358.08544406422</v>
      </c>
      <c r="K237" s="43" t="n">
        <f aca="false">J237/$B$15</f>
        <v>106.294766928396</v>
      </c>
    </row>
    <row r="238" customFormat="false" ht="15" hidden="false" customHeight="false" outlineLevel="0" collapsed="false">
      <c r="A238" s="49" t="n">
        <v>198</v>
      </c>
      <c r="B238" s="19" t="n">
        <f aca="true">NORMINV(RAND(),$B$6,$C$6)</f>
        <v>0.0563392875178351</v>
      </c>
      <c r="C238" s="19" t="n">
        <f aca="true">MAX(0.3,NORMINV(RAND(),$B$7,$C$7))</f>
        <v>0.45327385528218</v>
      </c>
      <c r="D238" s="32" t="n">
        <f aca="true">MAX(0.06,NORMINV(RAND(),$B$8,$C$8))</f>
        <v>0.0899433828523498</v>
      </c>
      <c r="E238" s="50" t="n">
        <f aca="true">MAX(4,NORMINV(RAND(),$B$9,$C$9))</f>
        <v>6.51803898679421</v>
      </c>
      <c r="F238" s="24" t="n">
        <f aca="false">$B$18*(1+(B238+$B$17)/2)^9</f>
        <v>1335.99266881657</v>
      </c>
      <c r="G238" s="24" t="n">
        <f aca="false">F238*C238</f>
        <v>605.570547623215</v>
      </c>
      <c r="H238" s="24" t="n">
        <f aca="false">E238*G238/(1+D238)^9</f>
        <v>1818.21923062005</v>
      </c>
      <c r="I238" s="24" t="n">
        <f aca="false">$B$13*G238/$B$12*((1+$B$8)/(1+D238))^4.5</f>
        <v>2242.77275508668</v>
      </c>
      <c r="J238" s="24" t="n">
        <f aca="false">H238+I238-$B$14</f>
        <v>3125.20170625468</v>
      </c>
      <c r="K238" s="43" t="n">
        <f aca="false">J238/$B$15</f>
        <v>76.2244318598701</v>
      </c>
    </row>
    <row r="239" customFormat="false" ht="15" hidden="false" customHeight="false" outlineLevel="0" collapsed="false">
      <c r="A239" s="49" t="n">
        <v>199</v>
      </c>
      <c r="B239" s="19" t="n">
        <f aca="true">NORMINV(RAND(),$B$6,$C$6)</f>
        <v>0.0392812381241327</v>
      </c>
      <c r="C239" s="19" t="n">
        <f aca="true">MAX(0.3,NORMINV(RAND(),$B$7,$C$7))</f>
        <v>0.3951908428995</v>
      </c>
      <c r="D239" s="32" t="n">
        <f aca="true">MAX(0.06,NORMINV(RAND(),$B$8,$C$8))</f>
        <v>0.072601959553805</v>
      </c>
      <c r="E239" s="50" t="n">
        <f aca="true">MAX(4,NORMINV(RAND(),$B$9,$C$9))</f>
        <v>8.31855809031136</v>
      </c>
      <c r="F239" s="24" t="n">
        <f aca="false">$B$18*(1+(B239+$B$17)/2)^9</f>
        <v>1239.94794469732</v>
      </c>
      <c r="G239" s="24" t="n">
        <f aca="false">F239*C239</f>
        <v>490.016073416435</v>
      </c>
      <c r="H239" s="24" t="n">
        <f aca="false">E239*G239/(1+D239)^9</f>
        <v>2169.25748779616</v>
      </c>
      <c r="I239" s="24" t="n">
        <f aca="false">$B$13*G239/$B$12*((1+$B$8)/(1+D239))^4.5</f>
        <v>1950.63018992463</v>
      </c>
      <c r="J239" s="24" t="n">
        <f aca="false">H239+I239-$B$14</f>
        <v>3184.09739826873</v>
      </c>
      <c r="K239" s="43" t="n">
        <f aca="false">J239/$B$15</f>
        <v>77.6609121528958</v>
      </c>
    </row>
    <row r="240" customFormat="false" ht="15" hidden="false" customHeight="false" outlineLevel="0" collapsed="false">
      <c r="A240" s="49" t="n">
        <v>200</v>
      </c>
      <c r="B240" s="19" t="n">
        <f aca="true">NORMINV(RAND(),$B$6,$C$6)</f>
        <v>0.00695300457619234</v>
      </c>
      <c r="C240" s="19" t="n">
        <f aca="true">MAX(0.3,NORMINV(RAND(),$B$7,$C$7))</f>
        <v>0.478589216828502</v>
      </c>
      <c r="D240" s="32" t="n">
        <f aca="true">MAX(0.06,NORMINV(RAND(),$B$8,$C$8))</f>
        <v>0.0764813821100251</v>
      </c>
      <c r="E240" s="50" t="n">
        <f aca="true">MAX(4,NORMINV(RAND(),$B$9,$C$9))</f>
        <v>7.19705211459641</v>
      </c>
      <c r="F240" s="24" t="n">
        <f aca="false">$B$18*(1+(B240+$B$17)/2)^9</f>
        <v>1074.61126785613</v>
      </c>
      <c r="G240" s="24" t="n">
        <f aca="false">F240*C240</f>
        <v>514.297365078349</v>
      </c>
      <c r="H240" s="24" t="n">
        <f aca="false">E240*G240/(1+D240)^9</f>
        <v>1906.82237497423</v>
      </c>
      <c r="I240" s="24" t="n">
        <f aca="false">$B$13*G240/$B$12*((1+$B$8)/(1+D240))^4.5</f>
        <v>2014.29557375965</v>
      </c>
      <c r="J240" s="24" t="n">
        <f aca="false">H240+I240-$B$14</f>
        <v>2985.32766928182</v>
      </c>
      <c r="K240" s="43" t="n">
        <f aca="false">J240/$B$15</f>
        <v>72.8128699824835</v>
      </c>
    </row>
    <row r="241" customFormat="false" ht="15" hidden="false" customHeight="false" outlineLevel="0" collapsed="false">
      <c r="A241" s="49" t="n">
        <v>201</v>
      </c>
      <c r="B241" s="19" t="n">
        <f aca="true">NORMINV(RAND(),$B$6,$C$6)</f>
        <v>0.0717014666385215</v>
      </c>
      <c r="C241" s="19" t="n">
        <f aca="true">MAX(0.3,NORMINV(RAND(),$B$7,$C$7))</f>
        <v>0.443812937201491</v>
      </c>
      <c r="D241" s="32" t="n">
        <f aca="true">MAX(0.06,NORMINV(RAND(),$B$8,$C$8))</f>
        <v>0.0802260900111505</v>
      </c>
      <c r="E241" s="50" t="n">
        <f aca="true">MAX(4,NORMINV(RAND(),$B$9,$C$9))</f>
        <v>8.46501801947274</v>
      </c>
      <c r="F241" s="24" t="n">
        <f aca="false">$B$18*(1+(B241+$B$17)/2)^9</f>
        <v>1428.08945103113</v>
      </c>
      <c r="G241" s="24" t="n">
        <f aca="false">F241*C241</f>
        <v>633.80457384859</v>
      </c>
      <c r="H241" s="24" t="n">
        <f aca="false">E241*G241/(1+D241)^9</f>
        <v>2678.86788047392</v>
      </c>
      <c r="I241" s="24" t="n">
        <f aca="false">$B$13*G241/$B$12*((1+$B$8)/(1+D241))^4.5</f>
        <v>2443.86741817171</v>
      </c>
      <c r="J241" s="24" t="n">
        <f aca="false">H241+I241-$B$14</f>
        <v>4186.94501919357</v>
      </c>
      <c r="K241" s="43" t="n">
        <f aca="false">J241/$B$15</f>
        <v>102.120610224233</v>
      </c>
    </row>
    <row r="242" customFormat="false" ht="15" hidden="false" customHeight="false" outlineLevel="0" collapsed="false">
      <c r="A242" s="49" t="n">
        <v>202</v>
      </c>
      <c r="B242" s="19" t="n">
        <f aca="true">NORMINV(RAND(),$B$6,$C$6)</f>
        <v>-0.00659152736400762</v>
      </c>
      <c r="C242" s="19" t="n">
        <f aca="true">MAX(0.3,NORMINV(RAND(),$B$7,$C$7))</f>
        <v>0.410940513597271</v>
      </c>
      <c r="D242" s="32" t="n">
        <f aca="true">MAX(0.06,NORMINV(RAND(),$B$8,$C$8))</f>
        <v>0.0845421263423642</v>
      </c>
      <c r="E242" s="50" t="n">
        <f aca="true">MAX(4,NORMINV(RAND(),$B$9,$C$9))</f>
        <v>7.59382359823312</v>
      </c>
      <c r="F242" s="24" t="n">
        <f aca="false">$B$18*(1+(B242+$B$17)/2)^9</f>
        <v>1011.38133047145</v>
      </c>
      <c r="G242" s="24" t="n">
        <f aca="false">F242*C242</f>
        <v>415.617563386631</v>
      </c>
      <c r="H242" s="24" t="n">
        <f aca="false">E242*G242/(1+D242)^9</f>
        <v>1520.32544597008</v>
      </c>
      <c r="I242" s="24" t="n">
        <f aca="false">$B$13*G242/$B$12*((1+$B$8)/(1+D242))^4.5</f>
        <v>1574.06705315547</v>
      </c>
      <c r="J242" s="24" t="n">
        <f aca="false">H242+I242-$B$14</f>
        <v>2158.6022196735</v>
      </c>
      <c r="K242" s="43" t="n">
        <f aca="false">J242/$B$15</f>
        <v>52.6488346261829</v>
      </c>
    </row>
    <row r="243" customFormat="false" ht="15" hidden="false" customHeight="false" outlineLevel="0" collapsed="false">
      <c r="A243" s="49" t="n">
        <v>203</v>
      </c>
      <c r="B243" s="19" t="n">
        <f aca="true">NORMINV(RAND(),$B$6,$C$6)</f>
        <v>0.0276489788790051</v>
      </c>
      <c r="C243" s="19" t="n">
        <f aca="true">MAX(0.3,NORMINV(RAND(),$B$7,$C$7))</f>
        <v>0.521521341452282</v>
      </c>
      <c r="D243" s="32" t="n">
        <f aca="true">MAX(0.06,NORMINV(RAND(),$B$8,$C$8))</f>
        <v>0.0747778742190745</v>
      </c>
      <c r="E243" s="50" t="n">
        <f aca="true">MAX(4,NORMINV(RAND(),$B$9,$C$9))</f>
        <v>7.87860996679392</v>
      </c>
      <c r="F243" s="24" t="n">
        <f aca="false">$B$18*(1+(B243+$B$17)/2)^9</f>
        <v>1178.02286012023</v>
      </c>
      <c r="G243" s="24" t="n">
        <f aca="false">F243*C243</f>
        <v>614.364062271358</v>
      </c>
      <c r="H243" s="24" t="n">
        <f aca="false">E243*G243/(1+D243)^9</f>
        <v>2529.33846569811</v>
      </c>
      <c r="I243" s="24" t="n">
        <f aca="false">$B$13*G243/$B$12*((1+$B$8)/(1+D243))^4.5</f>
        <v>2423.42636465047</v>
      </c>
      <c r="J243" s="24" t="n">
        <f aca="false">H243+I243-$B$14</f>
        <v>4016.97455089653</v>
      </c>
      <c r="K243" s="43" t="n">
        <f aca="false">J243/$B$15</f>
        <v>97.9749890462567</v>
      </c>
    </row>
    <row r="244" customFormat="false" ht="15" hidden="false" customHeight="false" outlineLevel="0" collapsed="false">
      <c r="A244" s="49" t="n">
        <v>204</v>
      </c>
      <c r="B244" s="19" t="n">
        <f aca="true">NORMINV(RAND(),$B$6,$C$6)</f>
        <v>0.0111808265729074</v>
      </c>
      <c r="C244" s="19" t="n">
        <f aca="true">MAX(0.3,NORMINV(RAND(),$B$7,$C$7))</f>
        <v>0.401923517367181</v>
      </c>
      <c r="D244" s="32" t="n">
        <f aca="true">MAX(0.06,NORMINV(RAND(),$B$8,$C$8))</f>
        <v>0.0700715102688675</v>
      </c>
      <c r="E244" s="50" t="n">
        <f aca="true">MAX(4,NORMINV(RAND(),$B$9,$C$9))</f>
        <v>5.35587403635132</v>
      </c>
      <c r="F244" s="24" t="n">
        <f aca="false">$B$18*(1+(B244+$B$17)/2)^9</f>
        <v>1095.0549313606</v>
      </c>
      <c r="G244" s="24" t="n">
        <f aca="false">F244*C244</f>
        <v>440.128329722728</v>
      </c>
      <c r="H244" s="24" t="n">
        <f aca="false">E244*G244/(1+D244)^9</f>
        <v>1281.42875308837</v>
      </c>
      <c r="I244" s="24" t="n">
        <f aca="false">$B$13*G244/$B$12*((1+$B$8)/(1+D244))^4.5</f>
        <v>1770.7610874127</v>
      </c>
      <c r="J244" s="24" t="n">
        <f aca="false">H244+I244-$B$14</f>
        <v>2116.39956104901</v>
      </c>
      <c r="K244" s="43" t="n">
        <f aca="false">J244/$B$15</f>
        <v>51.6195014890002</v>
      </c>
    </row>
    <row r="245" customFormat="false" ht="15" hidden="false" customHeight="false" outlineLevel="0" collapsed="false">
      <c r="A245" s="49" t="n">
        <v>205</v>
      </c>
      <c r="B245" s="19" t="n">
        <f aca="true">NORMINV(RAND(),$B$6,$C$6)</f>
        <v>0.0264759162945512</v>
      </c>
      <c r="C245" s="19" t="n">
        <f aca="true">MAX(0.3,NORMINV(RAND(),$B$7,$C$7))</f>
        <v>0.481554217898328</v>
      </c>
      <c r="D245" s="32" t="n">
        <f aca="true">MAX(0.06,NORMINV(RAND(),$B$8,$C$8))</f>
        <v>0.0719413777528199</v>
      </c>
      <c r="E245" s="50" t="n">
        <f aca="true">MAX(4,NORMINV(RAND(),$B$9,$C$9))</f>
        <v>6.39036302902006</v>
      </c>
      <c r="F245" s="24" t="n">
        <f aca="false">$B$18*(1+(B245+$B$17)/2)^9</f>
        <v>1171.93326878977</v>
      </c>
      <c r="G245" s="24" t="n">
        <f aca="false">F245*C245</f>
        <v>564.349408681086</v>
      </c>
      <c r="H245" s="24" t="n">
        <f aca="false">E245*G245/(1+D245)^9</f>
        <v>1929.89769254732</v>
      </c>
      <c r="I245" s="24" t="n">
        <f aca="false">$B$13*G245/$B$12*((1+$B$8)/(1+D245))^4.5</f>
        <v>2252.76903557912</v>
      </c>
      <c r="J245" s="24" t="n">
        <f aca="false">H245+I245-$B$14</f>
        <v>3246.87644867439</v>
      </c>
      <c r="K245" s="43" t="n">
        <f aca="false">J245/$B$15</f>
        <v>79.1921085042533</v>
      </c>
    </row>
    <row r="246" customFormat="false" ht="15" hidden="false" customHeight="false" outlineLevel="0" collapsed="false">
      <c r="A246" s="49" t="n">
        <v>206</v>
      </c>
      <c r="B246" s="19" t="n">
        <f aca="true">NORMINV(RAND(),$B$6,$C$6)</f>
        <v>0.0645560094388465</v>
      </c>
      <c r="C246" s="19" t="n">
        <f aca="true">MAX(0.3,NORMINV(RAND(),$B$7,$C$7))</f>
        <v>0.460487374138547</v>
      </c>
      <c r="D246" s="32" t="n">
        <f aca="true">MAX(0.06,NORMINV(RAND(),$B$8,$C$8))</f>
        <v>0.0854444433298771</v>
      </c>
      <c r="E246" s="50" t="n">
        <f aca="true">MAX(4,NORMINV(RAND(),$B$9,$C$9))</f>
        <v>8.40126391838459</v>
      </c>
      <c r="F246" s="24" t="n">
        <f aca="false">$B$18*(1+(B246+$B$17)/2)^9</f>
        <v>1384.57299944996</v>
      </c>
      <c r="G246" s="24" t="n">
        <f aca="false">F246*C246</f>
        <v>637.578384819845</v>
      </c>
      <c r="H246" s="24" t="n">
        <f aca="false">E246*G246/(1+D246)^9</f>
        <v>2561.0013985357</v>
      </c>
      <c r="I246" s="24" t="n">
        <f aca="false">$B$13*G246/$B$12*((1+$B$8)/(1+D246))^4.5</f>
        <v>2405.67879043072</v>
      </c>
      <c r="J246" s="24" t="n">
        <f aca="false">H246+I246-$B$14</f>
        <v>4030.88990951436</v>
      </c>
      <c r="K246" s="43" t="n">
        <f aca="false">J246/$B$15</f>
        <v>98.3143880369356</v>
      </c>
    </row>
    <row r="247" customFormat="false" ht="15" hidden="false" customHeight="false" outlineLevel="0" collapsed="false">
      <c r="A247" s="49" t="n">
        <v>207</v>
      </c>
      <c r="B247" s="19" t="n">
        <f aca="true">NORMINV(RAND(),$B$6,$C$6)</f>
        <v>0.0280383971719534</v>
      </c>
      <c r="C247" s="19" t="n">
        <f aca="true">MAX(0.3,NORMINV(RAND(),$B$7,$C$7))</f>
        <v>0.362127805211562</v>
      </c>
      <c r="D247" s="32" t="n">
        <f aca="true">MAX(0.06,NORMINV(RAND(),$B$8,$C$8))</f>
        <v>0.0823120128810217</v>
      </c>
      <c r="E247" s="50" t="n">
        <f aca="true">MAX(4,NORMINV(RAND(),$B$9,$C$9))</f>
        <v>8.59950458427611</v>
      </c>
      <c r="F247" s="24" t="n">
        <f aca="false">$B$18*(1+(B247+$B$17)/2)^9</f>
        <v>1180.05061390693</v>
      </c>
      <c r="G247" s="24" t="n">
        <f aca="false">F247*C247</f>
        <v>427.329138852673</v>
      </c>
      <c r="H247" s="24" t="n">
        <f aca="false">E247*G247/(1+D247)^9</f>
        <v>1803.28192881503</v>
      </c>
      <c r="I247" s="24" t="n">
        <f aca="false">$B$13*G247/$B$12*((1+$B$8)/(1+D247))^4.5</f>
        <v>1633.48294990567</v>
      </c>
      <c r="J247" s="24" t="n">
        <f aca="false">H247+I247-$B$14</f>
        <v>2500.97459926864</v>
      </c>
      <c r="K247" s="43" t="n">
        <f aca="false">J247/$B$15</f>
        <v>60.9993804699668</v>
      </c>
    </row>
    <row r="248" customFormat="false" ht="15" hidden="false" customHeight="false" outlineLevel="0" collapsed="false">
      <c r="A248" s="49" t="n">
        <v>208</v>
      </c>
      <c r="B248" s="19" t="n">
        <f aca="true">NORMINV(RAND(),$B$6,$C$6)</f>
        <v>0.0141878184632648</v>
      </c>
      <c r="C248" s="19" t="n">
        <f aca="true">MAX(0.3,NORMINV(RAND(),$B$7,$C$7))</f>
        <v>0.461175391823136</v>
      </c>
      <c r="D248" s="32" t="n">
        <f aca="true">MAX(0.06,NORMINV(RAND(),$B$8,$C$8))</f>
        <v>0.0803665471342704</v>
      </c>
      <c r="E248" s="50" t="n">
        <f aca="true">MAX(4,NORMINV(RAND(),$B$9,$C$9))</f>
        <v>7.48638711145612</v>
      </c>
      <c r="F248" s="24" t="n">
        <f aca="false">$B$18*(1+(B248+$B$17)/2)^9</f>
        <v>1109.80490519795</v>
      </c>
      <c r="G248" s="24" t="n">
        <f aca="false">F248*C248</f>
        <v>511.814712001904</v>
      </c>
      <c r="H248" s="24" t="n">
        <f aca="false">E248*G248/(1+D248)^9</f>
        <v>1910.93050348895</v>
      </c>
      <c r="I248" s="24" t="n">
        <f aca="false">$B$13*G248/$B$12*((1+$B$8)/(1+D248))^4.5</f>
        <v>1972.33618253132</v>
      </c>
      <c r="J248" s="24" t="n">
        <f aca="false">H248+I248-$B$14</f>
        <v>2947.47640656821</v>
      </c>
      <c r="K248" s="43" t="n">
        <f aca="false">J248/$B$15</f>
        <v>71.8896684528832</v>
      </c>
    </row>
    <row r="249" customFormat="false" ht="15" hidden="false" customHeight="false" outlineLevel="0" collapsed="false">
      <c r="A249" s="49" t="n">
        <v>209</v>
      </c>
      <c r="B249" s="19" t="n">
        <f aca="true">NORMINV(RAND(),$B$6,$C$6)</f>
        <v>0.0350106421997994</v>
      </c>
      <c r="C249" s="19" t="n">
        <f aca="true">MAX(0.3,NORMINV(RAND(),$B$7,$C$7))</f>
        <v>0.436837438410635</v>
      </c>
      <c r="D249" s="32" t="n">
        <f aca="true">MAX(0.06,NORMINV(RAND(),$B$8,$C$8))</f>
        <v>0.0792171431226768</v>
      </c>
      <c r="E249" s="50" t="n">
        <f aca="true">MAX(4,NORMINV(RAND(),$B$9,$C$9))</f>
        <v>8.890588974456</v>
      </c>
      <c r="F249" s="24" t="n">
        <f aca="false">$B$18*(1+(B249+$B$17)/2)^9</f>
        <v>1216.88497578352</v>
      </c>
      <c r="G249" s="24" t="n">
        <f aca="false">F249*C249</f>
        <v>531.580915661662</v>
      </c>
      <c r="H249" s="24" t="n">
        <f aca="false">E249*G249/(1+D249)^9</f>
        <v>2379.69005153915</v>
      </c>
      <c r="I249" s="24" t="n">
        <f aca="false">$B$13*G249/$B$12*((1+$B$8)/(1+D249))^4.5</f>
        <v>2058.34360503437</v>
      </c>
      <c r="J249" s="24" t="n">
        <f aca="false">H249+I249-$B$14</f>
        <v>3502.24337712147</v>
      </c>
      <c r="K249" s="43" t="n">
        <f aca="false">J249/$B$15</f>
        <v>85.4205701736944</v>
      </c>
    </row>
    <row r="250" customFormat="false" ht="15" hidden="false" customHeight="false" outlineLevel="0" collapsed="false">
      <c r="A250" s="49" t="n">
        <v>210</v>
      </c>
      <c r="B250" s="19" t="n">
        <f aca="true">NORMINV(RAND(),$B$6,$C$6)</f>
        <v>0.00849241524336329</v>
      </c>
      <c r="C250" s="19" t="n">
        <f aca="true">MAX(0.3,NORMINV(RAND(),$B$7,$C$7))</f>
        <v>0.483583043263143</v>
      </c>
      <c r="D250" s="32" t="n">
        <f aca="true">MAX(0.06,NORMINV(RAND(),$B$8,$C$8))</f>
        <v>0.075998096214351</v>
      </c>
      <c r="E250" s="50" t="n">
        <f aca="true">MAX(4,NORMINV(RAND(),$B$9,$C$9))</f>
        <v>8.60511483995532</v>
      </c>
      <c r="F250" s="24" t="n">
        <f aca="false">$B$18*(1+(B250+$B$17)/2)^9</f>
        <v>1082.01547951638</v>
      </c>
      <c r="G250" s="24" t="n">
        <f aca="false">F250*C250</f>
        <v>523.244338442358</v>
      </c>
      <c r="H250" s="24" t="n">
        <f aca="false">E250*G250/(1+D250)^9</f>
        <v>2328.93668678875</v>
      </c>
      <c r="I250" s="24" t="n">
        <f aca="false">$B$13*G250/$B$12*((1+$B$8)/(1+D250))^4.5</f>
        <v>2053.48260155683</v>
      </c>
      <c r="J250" s="24" t="n">
        <f aca="false">H250+I250-$B$14</f>
        <v>3446.62900889353</v>
      </c>
      <c r="K250" s="43" t="n">
        <f aca="false">J250/$B$15</f>
        <v>84.0641221681348</v>
      </c>
    </row>
    <row r="251" customFormat="false" ht="15" hidden="false" customHeight="false" outlineLevel="0" collapsed="false">
      <c r="A251" s="49" t="n">
        <v>211</v>
      </c>
      <c r="B251" s="19" t="n">
        <f aca="true">NORMINV(RAND(),$B$6,$C$6)</f>
        <v>0.0148268859611308</v>
      </c>
      <c r="C251" s="19" t="n">
        <f aca="true">MAX(0.3,NORMINV(RAND(),$B$7,$C$7))</f>
        <v>0.444387571625587</v>
      </c>
      <c r="D251" s="32" t="n">
        <f aca="true">MAX(0.06,NORMINV(RAND(),$B$8,$C$8))</f>
        <v>0.0907804306726498</v>
      </c>
      <c r="E251" s="50" t="n">
        <f aca="true">MAX(4,NORMINV(RAND(),$B$9,$C$9))</f>
        <v>8.87133310467831</v>
      </c>
      <c r="F251" s="24" t="n">
        <f aca="false">$B$18*(1+(B251+$B$17)/2)^9</f>
        <v>1112.96233413372</v>
      </c>
      <c r="G251" s="24" t="n">
        <f aca="false">F251*C251</f>
        <v>494.586628976429</v>
      </c>
      <c r="H251" s="24" t="n">
        <f aca="false">E251*G251/(1+D251)^9</f>
        <v>2007.22111781346</v>
      </c>
      <c r="I251" s="24" t="n">
        <f aca="false">$B$13*G251/$B$12*((1+$B$8)/(1+D251))^4.5</f>
        <v>1825.41915646282</v>
      </c>
      <c r="J251" s="24" t="n">
        <f aca="false">H251+I251-$B$14</f>
        <v>2896.84999482423</v>
      </c>
      <c r="K251" s="43" t="n">
        <f aca="false">J251/$B$15</f>
        <v>70.6548779225422</v>
      </c>
    </row>
    <row r="252" customFormat="false" ht="15" hidden="false" customHeight="false" outlineLevel="0" collapsed="false">
      <c r="A252" s="49" t="n">
        <v>212</v>
      </c>
      <c r="B252" s="19" t="n">
        <f aca="true">NORMINV(RAND(),$B$6,$C$6)</f>
        <v>0.0249993853313815</v>
      </c>
      <c r="C252" s="19" t="n">
        <f aca="true">MAX(0.3,NORMINV(RAND(),$B$7,$C$7))</f>
        <v>0.445560178149374</v>
      </c>
      <c r="D252" s="32" t="n">
        <f aca="true">MAX(0.06,NORMINV(RAND(),$B$8,$C$8))</f>
        <v>0.0860295406202151</v>
      </c>
      <c r="E252" s="50" t="n">
        <f aca="true">MAX(4,NORMINV(RAND(),$B$9,$C$9))</f>
        <v>5.86317052475806</v>
      </c>
      <c r="F252" s="24" t="n">
        <f aca="false">$B$18*(1+(B252+$B$17)/2)^9</f>
        <v>1164.30810019902</v>
      </c>
      <c r="G252" s="24" t="n">
        <f aca="false">F252*C252</f>
        <v>518.769324545433</v>
      </c>
      <c r="H252" s="24" t="n">
        <f aca="false">E252*G252/(1+D252)^9</f>
        <v>1447.21170690716</v>
      </c>
      <c r="I252" s="24" t="n">
        <f aca="false">$B$13*G252/$B$12*((1+$B$8)/(1+D252))^4.5</f>
        <v>1952.65342496742</v>
      </c>
      <c r="J252" s="24" t="n">
        <f aca="false">H252+I252-$B$14</f>
        <v>2464.07485242252</v>
      </c>
      <c r="K252" s="43" t="n">
        <f aca="false">J252/$B$15</f>
        <v>60.0993866444517</v>
      </c>
    </row>
    <row r="253" customFormat="false" ht="15" hidden="false" customHeight="false" outlineLevel="0" collapsed="false">
      <c r="A253" s="49" t="n">
        <v>213</v>
      </c>
      <c r="B253" s="19" t="n">
        <f aca="true">NORMINV(RAND(),$B$6,$C$6)</f>
        <v>0.0400199534079256</v>
      </c>
      <c r="C253" s="19" t="n">
        <f aca="true">MAX(0.3,NORMINV(RAND(),$B$7,$C$7))</f>
        <v>0.452939594717303</v>
      </c>
      <c r="D253" s="32" t="n">
        <f aca="true">MAX(0.06,NORMINV(RAND(),$B$8,$C$8))</f>
        <v>0.0840493130815522</v>
      </c>
      <c r="E253" s="50" t="n">
        <f aca="true">MAX(4,NORMINV(RAND(),$B$9,$C$9))</f>
        <v>8.81022382036801</v>
      </c>
      <c r="F253" s="24" t="n">
        <f aca="false">$B$18*(1+(B253+$B$17)/2)^9</f>
        <v>1243.97648551221</v>
      </c>
      <c r="G253" s="24" t="n">
        <f aca="false">F253*C253</f>
        <v>563.446205185756</v>
      </c>
      <c r="H253" s="24" t="n">
        <f aca="false">E253*G253/(1+D253)^9</f>
        <v>2401.03257766759</v>
      </c>
      <c r="I253" s="24" t="n">
        <f aca="false">$B$13*G253/$B$12*((1+$B$8)/(1+D253))^4.5</f>
        <v>2138.30690054117</v>
      </c>
      <c r="J253" s="24" t="n">
        <f aca="false">H253+I253-$B$14</f>
        <v>3603.5491987567</v>
      </c>
      <c r="K253" s="43" t="n">
        <f aca="false">J253/$B$15</f>
        <v>87.8914438721147</v>
      </c>
    </row>
    <row r="254" customFormat="false" ht="15" hidden="false" customHeight="false" outlineLevel="0" collapsed="false">
      <c r="A254" s="49" t="n">
        <v>214</v>
      </c>
      <c r="B254" s="19" t="n">
        <f aca="true">NORMINV(RAND(),$B$6,$C$6)</f>
        <v>0.0492729243112499</v>
      </c>
      <c r="C254" s="19" t="n">
        <f aca="true">MAX(0.3,NORMINV(RAND(),$B$7,$C$7))</f>
        <v>0.459961596771248</v>
      </c>
      <c r="D254" s="32" t="n">
        <f aca="true">MAX(0.06,NORMINV(RAND(),$B$8,$C$8))</f>
        <v>0.0824185631031831</v>
      </c>
      <c r="E254" s="50" t="n">
        <f aca="true">MAX(4,NORMINV(RAND(),$B$9,$C$9))</f>
        <v>7.69628130623648</v>
      </c>
      <c r="F254" s="24" t="n">
        <f aca="false">$B$18*(1+(B254+$B$17)/2)^9</f>
        <v>1295.43182322208</v>
      </c>
      <c r="G254" s="24" t="n">
        <f aca="false">F254*C254</f>
        <v>595.848889917519</v>
      </c>
      <c r="H254" s="24" t="n">
        <f aca="false">E254*G254/(1+D254)^9</f>
        <v>2248.32962454188</v>
      </c>
      <c r="I254" s="24" t="n">
        <f aca="false">$B$13*G254/$B$12*((1+$B$8)/(1+D254))^4.5</f>
        <v>2276.64777375678</v>
      </c>
      <c r="J254" s="24" t="n">
        <f aca="false">H254+I254-$B$14</f>
        <v>3589.1871188466</v>
      </c>
      <c r="K254" s="43" t="n">
        <f aca="false">J254/$B$15</f>
        <v>87.5411492401611</v>
      </c>
    </row>
    <row r="255" customFormat="false" ht="15" hidden="false" customHeight="false" outlineLevel="0" collapsed="false">
      <c r="A255" s="49" t="n">
        <v>215</v>
      </c>
      <c r="B255" s="19" t="n">
        <f aca="true">NORMINV(RAND(),$B$6,$C$6)</f>
        <v>0.0451803709981793</v>
      </c>
      <c r="C255" s="19" t="n">
        <f aca="true">MAX(0.3,NORMINV(RAND(),$B$7,$C$7))</f>
        <v>0.415190693109677</v>
      </c>
      <c r="D255" s="32" t="n">
        <f aca="true">MAX(0.06,NORMINV(RAND(),$B$8,$C$8))</f>
        <v>0.0700930074117046</v>
      </c>
      <c r="E255" s="50" t="n">
        <f aca="true">MAX(4,NORMINV(RAND(),$B$9,$C$9))</f>
        <v>7.9412676399965</v>
      </c>
      <c r="F255" s="24" t="n">
        <f aca="false">$B$18*(1+(B255+$B$17)/2)^9</f>
        <v>1272.44455452242</v>
      </c>
      <c r="G255" s="24" t="n">
        <f aca="false">F255*C255</f>
        <v>528.307136535799</v>
      </c>
      <c r="H255" s="24" t="n">
        <f aca="false">E255*G255/(1+D255)^9</f>
        <v>2280.25058105321</v>
      </c>
      <c r="I255" s="24" t="n">
        <f aca="false">$B$13*G255/$B$12*((1+$B$8)/(1+D255))^4.5</f>
        <v>2125.33729147335</v>
      </c>
      <c r="J255" s="24" t="n">
        <f aca="false">H255+I255-$B$14</f>
        <v>3469.79759307451</v>
      </c>
      <c r="K255" s="43" t="n">
        <f aca="false">J255/$B$15</f>
        <v>84.6292095871831</v>
      </c>
    </row>
    <row r="256" customFormat="false" ht="15" hidden="false" customHeight="false" outlineLevel="0" collapsed="false">
      <c r="A256" s="49" t="n">
        <v>216</v>
      </c>
      <c r="B256" s="19" t="n">
        <f aca="true">NORMINV(RAND(),$B$6,$C$6)</f>
        <v>0.0529240827048515</v>
      </c>
      <c r="C256" s="19" t="n">
        <f aca="true">MAX(0.3,NORMINV(RAND(),$B$7,$C$7))</f>
        <v>0.44072428083219</v>
      </c>
      <c r="D256" s="32" t="n">
        <f aca="true">MAX(0.06,NORMINV(RAND(),$B$8,$C$8))</f>
        <v>0.0808750314741446</v>
      </c>
      <c r="E256" s="50" t="n">
        <f aca="true">MAX(4,NORMINV(RAND(),$B$9,$C$9))</f>
        <v>6.66964501358731</v>
      </c>
      <c r="F256" s="24" t="n">
        <f aca="false">$B$18*(1+(B256+$B$17)/2)^9</f>
        <v>1316.25062472516</v>
      </c>
      <c r="G256" s="24" t="n">
        <f aca="false">F256*C256</f>
        <v>580.103609976916</v>
      </c>
      <c r="H256" s="24" t="n">
        <f aca="false">E256*G256/(1+D256)^9</f>
        <v>1921.4492843574</v>
      </c>
      <c r="I256" s="24" t="n">
        <f aca="false">$B$13*G256/$B$12*((1+$B$8)/(1+D256))^4.5</f>
        <v>2230.76663411727</v>
      </c>
      <c r="J256" s="24" t="n">
        <f aca="false">H256+I256-$B$14</f>
        <v>3216.42563902261</v>
      </c>
      <c r="K256" s="43" t="n">
        <f aca="false">J256/$B$15</f>
        <v>78.4494058298199</v>
      </c>
    </row>
    <row r="257" customFormat="false" ht="15" hidden="false" customHeight="false" outlineLevel="0" collapsed="false">
      <c r="A257" s="49" t="n">
        <v>217</v>
      </c>
      <c r="B257" s="19" t="n">
        <f aca="true">NORMINV(RAND(),$B$6,$C$6)</f>
        <v>0.0336645224295477</v>
      </c>
      <c r="C257" s="19" t="n">
        <f aca="true">MAX(0.3,NORMINV(RAND(),$B$7,$C$7))</f>
        <v>0.426462241238661</v>
      </c>
      <c r="D257" s="32" t="n">
        <f aca="true">MAX(0.06,NORMINV(RAND(),$B$8,$C$8))</f>
        <v>0.0816793557028273</v>
      </c>
      <c r="E257" s="50" t="n">
        <f aca="true">MAX(4,NORMINV(RAND(),$B$9,$C$9))</f>
        <v>5.99307063873494</v>
      </c>
      <c r="F257" s="24" t="n">
        <f aca="false">$B$18*(1+(B257+$B$17)/2)^9</f>
        <v>1209.69484268391</v>
      </c>
      <c r="G257" s="24" t="n">
        <f aca="false">F257*C257</f>
        <v>515.889173825828</v>
      </c>
      <c r="H257" s="24" t="n">
        <f aca="false">E257*G257/(1+D257)^9</f>
        <v>1525.17241165903</v>
      </c>
      <c r="I257" s="24" t="n">
        <f aca="false">$B$13*G257/$B$12*((1+$B$8)/(1+D257))^4.5</f>
        <v>1977.20286903703</v>
      </c>
      <c r="J257" s="24" t="n">
        <f aca="false">H257+I257-$B$14</f>
        <v>2566.585001244</v>
      </c>
      <c r="K257" s="43" t="n">
        <f aca="false">J257/$B$15</f>
        <v>62.599634176683</v>
      </c>
    </row>
    <row r="258" customFormat="false" ht="15" hidden="false" customHeight="false" outlineLevel="0" collapsed="false">
      <c r="A258" s="49" t="n">
        <v>218</v>
      </c>
      <c r="B258" s="19" t="n">
        <f aca="true">NORMINV(RAND(),$B$6,$C$6)</f>
        <v>0.0758306247684627</v>
      </c>
      <c r="C258" s="19" t="n">
        <f aca="true">MAX(0.3,NORMINV(RAND(),$B$7,$C$7))</f>
        <v>0.435395038543047</v>
      </c>
      <c r="D258" s="32" t="n">
        <f aca="true">MAX(0.06,NORMINV(RAND(),$B$8,$C$8))</f>
        <v>0.0821905768731309</v>
      </c>
      <c r="E258" s="50" t="n">
        <f aca="true">MAX(4,NORMINV(RAND(),$B$9,$C$9))</f>
        <v>11.4901414736238</v>
      </c>
      <c r="F258" s="24" t="n">
        <f aca="false">$B$18*(1+(B258+$B$17)/2)^9</f>
        <v>1453.78684231506</v>
      </c>
      <c r="G258" s="24" t="n">
        <f aca="false">F258*C258</f>
        <v>632.971578243139</v>
      </c>
      <c r="H258" s="24" t="n">
        <f aca="false">E258*G258/(1+D258)^9</f>
        <v>3572.52974659075</v>
      </c>
      <c r="I258" s="24" t="n">
        <f aca="false">$B$13*G258/$B$12*((1+$B$8)/(1+D258))^4.5</f>
        <v>2420.78152637886</v>
      </c>
      <c r="J258" s="24" t="n">
        <f aca="false">H258+I258-$B$14</f>
        <v>5057.52099351755</v>
      </c>
      <c r="K258" s="43" t="n">
        <f aca="false">J258/$B$15</f>
        <v>123.354170573599</v>
      </c>
    </row>
    <row r="259" customFormat="false" ht="15" hidden="false" customHeight="false" outlineLevel="0" collapsed="false">
      <c r="A259" s="49" t="n">
        <v>219</v>
      </c>
      <c r="B259" s="19" t="n">
        <f aca="true">NORMINV(RAND(),$B$6,$C$6)</f>
        <v>0.0185988249371243</v>
      </c>
      <c r="C259" s="19" t="n">
        <f aca="true">MAX(0.3,NORMINV(RAND(),$B$7,$C$7))</f>
        <v>0.435587941989777</v>
      </c>
      <c r="D259" s="32" t="n">
        <f aca="true">MAX(0.06,NORMINV(RAND(),$B$8,$C$8))</f>
        <v>0.0930777028790801</v>
      </c>
      <c r="E259" s="50" t="n">
        <f aca="true">MAX(4,NORMINV(RAND(),$B$9,$C$9))</f>
        <v>10.3318062727557</v>
      </c>
      <c r="F259" s="24" t="n">
        <f aca="false">$B$18*(1+(B259+$B$17)/2)^9</f>
        <v>1131.76146766396</v>
      </c>
      <c r="G259" s="24" t="n">
        <f aca="false">F259*C259</f>
        <v>492.981648523072</v>
      </c>
      <c r="H259" s="24" t="n">
        <f aca="false">E259*G259/(1+D259)^9</f>
        <v>2286.37618610162</v>
      </c>
      <c r="I259" s="24" t="n">
        <f aca="false">$B$13*G259/$B$12*((1+$B$8)/(1+D259))^4.5</f>
        <v>1802.35089304647</v>
      </c>
      <c r="J259" s="24" t="n">
        <f aca="false">H259+I259-$B$14</f>
        <v>3152.93679969604</v>
      </c>
      <c r="K259" s="43" t="n">
        <f aca="false">J259/$B$15</f>
        <v>76.9008975535619</v>
      </c>
    </row>
    <row r="260" customFormat="false" ht="15" hidden="false" customHeight="false" outlineLevel="0" collapsed="false">
      <c r="A260" s="49" t="n">
        <v>220</v>
      </c>
      <c r="B260" s="19" t="n">
        <f aca="true">NORMINV(RAND(),$B$6,$C$6)</f>
        <v>0.0387650450884346</v>
      </c>
      <c r="C260" s="19" t="n">
        <f aca="true">MAX(0.3,NORMINV(RAND(),$B$7,$C$7))</f>
        <v>0.429035908019092</v>
      </c>
      <c r="D260" s="32" t="n">
        <f aca="true">MAX(0.06,NORMINV(RAND(),$B$8,$C$8))</f>
        <v>0.0780764386115064</v>
      </c>
      <c r="E260" s="50" t="n">
        <f aca="true">MAX(4,NORMINV(RAND(),$B$9,$C$9))</f>
        <v>9.09711923127146</v>
      </c>
      <c r="F260" s="24" t="n">
        <f aca="false">$B$18*(1+(B260+$B$17)/2)^9</f>
        <v>1237.13980312597</v>
      </c>
      <c r="G260" s="24" t="n">
        <f aca="false">F260*C260</f>
        <v>530.77739878071</v>
      </c>
      <c r="H260" s="24" t="n">
        <f aca="false">E260*G260/(1+D260)^9</f>
        <v>2454.54114744602</v>
      </c>
      <c r="I260" s="24" t="n">
        <f aca="false">$B$13*G260/$B$12*((1+$B$8)/(1+D260))^4.5</f>
        <v>2065.03624523403</v>
      </c>
      <c r="J260" s="24" t="n">
        <f aca="false">H260+I260-$B$14</f>
        <v>3583.787113228</v>
      </c>
      <c r="K260" s="43" t="n">
        <f aca="false">J260/$B$15</f>
        <v>87.4094417860488</v>
      </c>
    </row>
    <row r="261" customFormat="false" ht="15" hidden="false" customHeight="false" outlineLevel="0" collapsed="false">
      <c r="A261" s="49" t="n">
        <v>221</v>
      </c>
      <c r="B261" s="19" t="n">
        <f aca="true">NORMINV(RAND(),$B$6,$C$6)</f>
        <v>0.0115653054361084</v>
      </c>
      <c r="C261" s="19" t="n">
        <f aca="true">MAX(0.3,NORMINV(RAND(),$B$7,$C$7))</f>
        <v>0.430972193666639</v>
      </c>
      <c r="D261" s="32" t="n">
        <f aca="true">MAX(0.06,NORMINV(RAND(),$B$8,$C$8))</f>
        <v>0.0797752462746983</v>
      </c>
      <c r="E261" s="50" t="n">
        <f aca="true">MAX(4,NORMINV(RAND(),$B$9,$C$9))</f>
        <v>7.2676293501706</v>
      </c>
      <c r="F261" s="24" t="n">
        <f aca="false">$B$18*(1+(B261+$B$17)/2)^9</f>
        <v>1096.93111865133</v>
      </c>
      <c r="G261" s="24" t="n">
        <f aca="false">F261*C261</f>
        <v>472.746810506364</v>
      </c>
      <c r="H261" s="24" t="n">
        <f aca="false">E261*G261/(1+D261)^9</f>
        <v>1721.95212902791</v>
      </c>
      <c r="I261" s="24" t="n">
        <f aca="false">$B$13*G261/$B$12*((1+$B$8)/(1+D261))^4.5</f>
        <v>1826.277246684</v>
      </c>
      <c r="J261" s="24" t="n">
        <f aca="false">H261+I261-$B$14</f>
        <v>2612.43909625986</v>
      </c>
      <c r="K261" s="43" t="n">
        <f aca="false">J261/$B$15</f>
        <v>63.7180267380453</v>
      </c>
    </row>
    <row r="262" customFormat="false" ht="15" hidden="false" customHeight="false" outlineLevel="0" collapsed="false">
      <c r="A262" s="49" t="n">
        <v>222</v>
      </c>
      <c r="B262" s="19" t="n">
        <f aca="true">NORMINV(RAND(),$B$6,$C$6)</f>
        <v>0.0302047538154162</v>
      </c>
      <c r="C262" s="19" t="n">
        <f aca="true">MAX(0.3,NORMINV(RAND(),$B$7,$C$7))</f>
        <v>0.429029398284631</v>
      </c>
      <c r="D262" s="32" t="n">
        <f aca="true">MAX(0.06,NORMINV(RAND(),$B$8,$C$8))</f>
        <v>0.0873073461377102</v>
      </c>
      <c r="E262" s="50" t="n">
        <f aca="true">MAX(4,NORMINV(RAND(),$B$9,$C$9))</f>
        <v>5.10856097527209</v>
      </c>
      <c r="F262" s="24" t="n">
        <f aca="false">$B$18*(1+(B262+$B$17)/2)^9</f>
        <v>1191.38786968174</v>
      </c>
      <c r="G262" s="24" t="n">
        <f aca="false">F262*C262</f>
        <v>511.140420853167</v>
      </c>
      <c r="H262" s="24" t="n">
        <f aca="false">E262*G262/(1+D262)^9</f>
        <v>1229.32837896077</v>
      </c>
      <c r="I262" s="24" t="n">
        <f aca="false">$B$13*G262/$B$12*((1+$B$8)/(1+D262))^4.5</f>
        <v>1913.78448257723</v>
      </c>
      <c r="J262" s="24" t="n">
        <f aca="false">H262+I262-$B$14</f>
        <v>2207.32258208594</v>
      </c>
      <c r="K262" s="43" t="n">
        <f aca="false">J262/$B$15</f>
        <v>53.8371361484377</v>
      </c>
    </row>
    <row r="263" customFormat="false" ht="15" hidden="false" customHeight="false" outlineLevel="0" collapsed="false">
      <c r="A263" s="49" t="n">
        <v>223</v>
      </c>
      <c r="B263" s="19" t="n">
        <f aca="true">NORMINV(RAND(),$B$6,$C$6)</f>
        <v>-0.00605867138859309</v>
      </c>
      <c r="C263" s="19" t="n">
        <f aca="true">MAX(0.3,NORMINV(RAND(),$B$7,$C$7))</f>
        <v>0.459807217883514</v>
      </c>
      <c r="D263" s="32" t="n">
        <f aca="true">MAX(0.06,NORMINV(RAND(),$B$8,$C$8))</f>
        <v>0.0817062087976368</v>
      </c>
      <c r="E263" s="50" t="n">
        <f aca="true">MAX(4,NORMINV(RAND(),$B$9,$C$9))</f>
        <v>6.66482876899001</v>
      </c>
      <c r="F263" s="24" t="n">
        <f aca="false">$B$18*(1+(B263+$B$17)/2)^9</f>
        <v>1013.80492443699</v>
      </c>
      <c r="G263" s="24" t="n">
        <f aca="false">F263*C263</f>
        <v>466.154821781977</v>
      </c>
      <c r="H263" s="24" t="n">
        <f aca="false">E263*G263/(1+D263)^9</f>
        <v>1532.2699147633</v>
      </c>
      <c r="I263" s="24" t="n">
        <f aca="false">$B$13*G263/$B$12*((1+$B$8)/(1+D263))^4.5</f>
        <v>1786.39083703199</v>
      </c>
      <c r="J263" s="24" t="n">
        <f aca="false">H263+I263-$B$14</f>
        <v>2382.87047234324</v>
      </c>
      <c r="K263" s="43" t="n">
        <f aca="false">J263/$B$15</f>
        <v>58.1187920083716</v>
      </c>
    </row>
    <row r="264" customFormat="false" ht="15" hidden="false" customHeight="false" outlineLevel="0" collapsed="false">
      <c r="A264" s="49" t="n">
        <v>224</v>
      </c>
      <c r="B264" s="19" t="n">
        <f aca="true">NORMINV(RAND(),$B$6,$C$6)</f>
        <v>0.0256403523763867</v>
      </c>
      <c r="C264" s="19" t="n">
        <f aca="true">MAX(0.3,NORMINV(RAND(),$B$7,$C$7))</f>
        <v>0.407839495914557</v>
      </c>
      <c r="D264" s="32" t="n">
        <f aca="true">MAX(0.06,NORMINV(RAND(),$B$8,$C$8))</f>
        <v>0.0820910256771834</v>
      </c>
      <c r="E264" s="50" t="n">
        <f aca="true">MAX(4,NORMINV(RAND(),$B$9,$C$9))</f>
        <v>8.22951178570696</v>
      </c>
      <c r="F264" s="24" t="n">
        <f aca="false">$B$18*(1+(B264+$B$17)/2)^9</f>
        <v>1167.61277756682</v>
      </c>
      <c r="G264" s="24" t="n">
        <f aca="false">F264*C264</f>
        <v>476.198606626246</v>
      </c>
      <c r="H264" s="24" t="n">
        <f aca="false">E264*G264/(1+D264)^9</f>
        <v>1926.58437951314</v>
      </c>
      <c r="I264" s="24" t="n">
        <f aca="false">$B$13*G264/$B$12*((1+$B$8)/(1+D264))^4.5</f>
        <v>1821.96191515554</v>
      </c>
      <c r="J264" s="24" t="n">
        <f aca="false">H264+I264-$B$14</f>
        <v>2812.75601521662</v>
      </c>
      <c r="K264" s="43" t="n">
        <f aca="false">J264/$B$15</f>
        <v>68.6038052491859</v>
      </c>
    </row>
    <row r="265" customFormat="false" ht="15" hidden="false" customHeight="false" outlineLevel="0" collapsed="false">
      <c r="A265" s="49" t="n">
        <v>225</v>
      </c>
      <c r="B265" s="19" t="n">
        <f aca="true">NORMINV(RAND(),$B$6,$C$6)</f>
        <v>0.0014348851192582</v>
      </c>
      <c r="C265" s="19" t="n">
        <f aca="true">MAX(0.3,NORMINV(RAND(),$B$7,$C$7))</f>
        <v>0.399304739137406</v>
      </c>
      <c r="D265" s="32" t="n">
        <f aca="true">MAX(0.06,NORMINV(RAND(),$B$8,$C$8))</f>
        <v>0.0881602949638936</v>
      </c>
      <c r="E265" s="50" t="n">
        <f aca="true">MAX(4,NORMINV(RAND(),$B$9,$C$9))</f>
        <v>6.45824013056769</v>
      </c>
      <c r="F265" s="24" t="n">
        <f aca="false">$B$18*(1+(B265+$B$17)/2)^9</f>
        <v>1048.43902878067</v>
      </c>
      <c r="G265" s="24" t="n">
        <f aca="false">F265*C265</f>
        <v>418.646672888742</v>
      </c>
      <c r="H265" s="24" t="n">
        <f aca="false">E265*G265/(1+D265)^9</f>
        <v>1263.93853840575</v>
      </c>
      <c r="I265" s="24" t="n">
        <f aca="false">$B$13*G265/$B$12*((1+$B$8)/(1+D265))^4.5</f>
        <v>1561.95298852059</v>
      </c>
      <c r="J265" s="24" t="n">
        <f aca="false">H265+I265-$B$14</f>
        <v>1890.10124747428</v>
      </c>
      <c r="K265" s="43" t="n">
        <f aca="false">J265/$B$15</f>
        <v>46.100030426202</v>
      </c>
    </row>
    <row r="266" customFormat="false" ht="15" hidden="false" customHeight="false" outlineLevel="0" collapsed="false">
      <c r="A266" s="49" t="n">
        <v>226</v>
      </c>
      <c r="B266" s="19" t="n">
        <f aca="true">NORMINV(RAND(),$B$6,$C$6)</f>
        <v>0.0289745302555215</v>
      </c>
      <c r="C266" s="19" t="n">
        <f aca="true">MAX(0.3,NORMINV(RAND(),$B$7,$C$7))</f>
        <v>0.40764328993223</v>
      </c>
      <c r="D266" s="32" t="n">
        <f aca="true">MAX(0.06,NORMINV(RAND(),$B$8,$C$8))</f>
        <v>0.0710106524868715</v>
      </c>
      <c r="E266" s="50" t="n">
        <f aca="true">MAX(4,NORMINV(RAND(),$B$9,$C$9))</f>
        <v>10.0727957745956</v>
      </c>
      <c r="F266" s="24" t="n">
        <f aca="false">$B$18*(1+(B266+$B$17)/2)^9</f>
        <v>1184.93788508478</v>
      </c>
      <c r="G266" s="24" t="n">
        <f aca="false">F266*C266</f>
        <v>483.031977841298</v>
      </c>
      <c r="H266" s="24" t="n">
        <f aca="false">E266*G266/(1+D266)^9</f>
        <v>2624.10855944716</v>
      </c>
      <c r="I266" s="24" t="n">
        <f aca="false">$B$13*G266/$B$12*((1+$B$8)/(1+D266))^4.5</f>
        <v>1935.71795697351</v>
      </c>
      <c r="J266" s="24" t="n">
        <f aca="false">H266+I266-$B$14</f>
        <v>3624.03623696862</v>
      </c>
      <c r="K266" s="43" t="n">
        <f aca="false">J266/$B$15</f>
        <v>88.3911277309419</v>
      </c>
    </row>
    <row r="267" customFormat="false" ht="15" hidden="false" customHeight="false" outlineLevel="0" collapsed="false">
      <c r="A267" s="49" t="n">
        <v>227</v>
      </c>
      <c r="B267" s="19" t="n">
        <f aca="true">NORMINV(RAND(),$B$6,$C$6)</f>
        <v>0.0610425434163601</v>
      </c>
      <c r="C267" s="19" t="n">
        <f aca="true">MAX(0.3,NORMINV(RAND(),$B$7,$C$7))</f>
        <v>0.467635902603016</v>
      </c>
      <c r="D267" s="32" t="n">
        <f aca="true">MAX(0.06,NORMINV(RAND(),$B$8,$C$8))</f>
        <v>0.066512532820427</v>
      </c>
      <c r="E267" s="50" t="n">
        <f aca="true">MAX(4,NORMINV(RAND(),$B$9,$C$9))</f>
        <v>6.65578665384733</v>
      </c>
      <c r="F267" s="24" t="n">
        <f aca="false">$B$18*(1+(B267+$B$17)/2)^9</f>
        <v>1363.6112008799</v>
      </c>
      <c r="G267" s="24" t="n">
        <f aca="false">F267*C267</f>
        <v>637.673554723054</v>
      </c>
      <c r="H267" s="24" t="n">
        <f aca="false">E267*G267/(1+D267)^9</f>
        <v>2377.41024184946</v>
      </c>
      <c r="I267" s="24" t="n">
        <f aca="false">$B$13*G267/$B$12*((1+$B$8)/(1+D267))^4.5</f>
        <v>2604.29288516547</v>
      </c>
      <c r="J267" s="24" t="n">
        <f aca="false">H267+I267-$B$14</f>
        <v>4045.91284756288</v>
      </c>
      <c r="K267" s="43" t="n">
        <f aca="false">J267/$B$15</f>
        <v>98.6808011600702</v>
      </c>
    </row>
    <row r="268" customFormat="false" ht="15" hidden="false" customHeight="false" outlineLevel="0" collapsed="false">
      <c r="A268" s="49" t="n">
        <v>228</v>
      </c>
      <c r="B268" s="19" t="n">
        <f aca="true">NORMINV(RAND(),$B$6,$C$6)</f>
        <v>0.0598717406280294</v>
      </c>
      <c r="C268" s="19" t="n">
        <f aca="true">MAX(0.3,NORMINV(RAND(),$B$7,$C$7))</f>
        <v>0.431904239967396</v>
      </c>
      <c r="D268" s="32" t="n">
        <f aca="true">MAX(0.06,NORMINV(RAND(),$B$8,$C$8))</f>
        <v>0.0860487201289595</v>
      </c>
      <c r="E268" s="50" t="n">
        <f aca="true">MAX(4,NORMINV(RAND(),$B$9,$C$9))</f>
        <v>8.19848734527794</v>
      </c>
      <c r="F268" s="24" t="n">
        <f aca="false">$B$18*(1+(B268+$B$17)/2)^9</f>
        <v>1356.68897255521</v>
      </c>
      <c r="G268" s="24" t="n">
        <f aca="false">F268*C268</f>
        <v>585.959719563603</v>
      </c>
      <c r="H268" s="24" t="n">
        <f aca="false">E268*G268/(1+D268)^9</f>
        <v>2285.37630326082</v>
      </c>
      <c r="I268" s="24" t="n">
        <f aca="false">$B$13*G268/$B$12*((1+$B$8)/(1+D268))^4.5</f>
        <v>2205.383539117</v>
      </c>
      <c r="J268" s="24" t="n">
        <f aca="false">H268+I268-$B$14</f>
        <v>3554.96956292577</v>
      </c>
      <c r="K268" s="43" t="n">
        <f aca="false">J268/$B$15</f>
        <v>86.7065747055065</v>
      </c>
    </row>
    <row r="269" customFormat="false" ht="15" hidden="false" customHeight="false" outlineLevel="0" collapsed="false">
      <c r="A269" s="49" t="n">
        <v>229</v>
      </c>
      <c r="B269" s="19" t="n">
        <f aca="true">NORMINV(RAND(),$B$6,$C$6)</f>
        <v>0.0602244015234407</v>
      </c>
      <c r="C269" s="19" t="n">
        <f aca="true">MAX(0.3,NORMINV(RAND(),$B$7,$C$7))</f>
        <v>0.467214119757426</v>
      </c>
      <c r="D269" s="32" t="n">
        <f aca="true">MAX(0.06,NORMINV(RAND(),$B$8,$C$8))</f>
        <v>0.0801364330977872</v>
      </c>
      <c r="E269" s="50" t="n">
        <f aca="true">MAX(4,NORMINV(RAND(),$B$9,$C$9))</f>
        <v>7.62137015641461</v>
      </c>
      <c r="F269" s="24" t="n">
        <f aca="false">$B$18*(1+(B269+$B$17)/2)^9</f>
        <v>1358.77074218724</v>
      </c>
      <c r="G269" s="24" t="n">
        <f aca="false">F269*C269</f>
        <v>634.836876263158</v>
      </c>
      <c r="H269" s="24" t="n">
        <f aca="false">E269*G269/(1+D269)^9</f>
        <v>2417.61791396619</v>
      </c>
      <c r="I269" s="24" t="n">
        <f aca="false">$B$13*G269/$B$12*((1+$B$8)/(1+D269))^4.5</f>
        <v>2448.76230206022</v>
      </c>
      <c r="J269" s="24" t="n">
        <f aca="false">H269+I269-$B$14</f>
        <v>3930.58993657435</v>
      </c>
      <c r="K269" s="43" t="n">
        <f aca="false">J269/$B$15</f>
        <v>95.8680472335207</v>
      </c>
    </row>
    <row r="270" customFormat="false" ht="15" hidden="false" customHeight="false" outlineLevel="0" collapsed="false">
      <c r="A270" s="49" t="n">
        <v>230</v>
      </c>
      <c r="B270" s="19" t="n">
        <f aca="true">NORMINV(RAND(),$B$6,$C$6)</f>
        <v>-0.0133174326161897</v>
      </c>
      <c r="C270" s="19" t="n">
        <f aca="true">MAX(0.3,NORMINV(RAND(),$B$7,$C$7))</f>
        <v>0.464765359936143</v>
      </c>
      <c r="D270" s="32" t="n">
        <f aca="true">MAX(0.06,NORMINV(RAND(),$B$8,$C$8))</f>
        <v>0.0828672466801476</v>
      </c>
      <c r="E270" s="50" t="n">
        <f aca="true">MAX(4,NORMINV(RAND(),$B$9,$C$9))</f>
        <v>8.10458572126445</v>
      </c>
      <c r="F270" s="24" t="n">
        <f aca="false">$B$18*(1+(B270+$B$17)/2)^9</f>
        <v>981.229538185446</v>
      </c>
      <c r="G270" s="24" t="n">
        <f aca="false">F270*C270</f>
        <v>456.041499494734</v>
      </c>
      <c r="H270" s="24" t="n">
        <f aca="false">E270*G270/(1+D270)^9</f>
        <v>1805.33675563343</v>
      </c>
      <c r="I270" s="24" t="n">
        <f aca="false">$B$13*G270/$B$12*((1+$B$8)/(1+D270))^4.5</f>
        <v>1739.21846410535</v>
      </c>
      <c r="J270" s="24" t="n">
        <f aca="false">H270+I270-$B$14</f>
        <v>2608.76494028673</v>
      </c>
      <c r="K270" s="43" t="n">
        <f aca="false">J270/$B$15</f>
        <v>63.628413177725</v>
      </c>
    </row>
    <row r="271" customFormat="false" ht="15" hidden="false" customHeight="false" outlineLevel="0" collapsed="false">
      <c r="A271" s="49" t="n">
        <v>231</v>
      </c>
      <c r="B271" s="19" t="n">
        <f aca="true">NORMINV(RAND(),$B$6,$C$6)</f>
        <v>0.0459624520474024</v>
      </c>
      <c r="C271" s="19" t="n">
        <f aca="true">MAX(0.3,NORMINV(RAND(),$B$7,$C$7))</f>
        <v>0.424345103063692</v>
      </c>
      <c r="D271" s="32" t="n">
        <f aca="true">MAX(0.06,NORMINV(RAND(),$B$8,$C$8))</f>
        <v>0.0906528627148508</v>
      </c>
      <c r="E271" s="50" t="n">
        <f aca="true">MAX(4,NORMINV(RAND(),$B$9,$C$9))</f>
        <v>8.5359640008885</v>
      </c>
      <c r="F271" s="24" t="n">
        <f aca="false">$B$18*(1+(B271+$B$17)/2)^9</f>
        <v>1276.80915351315</v>
      </c>
      <c r="G271" s="24" t="n">
        <f aca="false">F271*C271</f>
        <v>541.807711840202</v>
      </c>
      <c r="H271" s="24" t="n">
        <f aca="false">E271*G271/(1+D271)^9</f>
        <v>2117.96541710258</v>
      </c>
      <c r="I271" s="24" t="n">
        <f aca="false">$B$13*G271/$B$12*((1+$B$8)/(1+D271))^4.5</f>
        <v>2000.75535886789</v>
      </c>
      <c r="J271" s="24" t="n">
        <f aca="false">H271+I271-$B$14</f>
        <v>3182.93049651841</v>
      </c>
      <c r="K271" s="43" t="n">
        <f aca="false">J271/$B$15</f>
        <v>77.6324511345955</v>
      </c>
    </row>
    <row r="272" customFormat="false" ht="15" hidden="false" customHeight="false" outlineLevel="0" collapsed="false">
      <c r="A272" s="49" t="n">
        <v>232</v>
      </c>
      <c r="B272" s="19" t="n">
        <f aca="true">NORMINV(RAND(),$B$6,$C$6)</f>
        <v>0.0158579923875184</v>
      </c>
      <c r="C272" s="19" t="n">
        <f aca="true">MAX(0.3,NORMINV(RAND(),$B$7,$C$7))</f>
        <v>0.411463632958191</v>
      </c>
      <c r="D272" s="32" t="n">
        <f aca="true">MAX(0.06,NORMINV(RAND(),$B$8,$C$8))</f>
        <v>0.0807415053972917</v>
      </c>
      <c r="E272" s="50" t="n">
        <f aca="true">MAX(4,NORMINV(RAND(),$B$9,$C$9))</f>
        <v>7.03107784727747</v>
      </c>
      <c r="F272" s="24" t="n">
        <f aca="false">$B$18*(1+(B272+$B$17)/2)^9</f>
        <v>1118.07353969292</v>
      </c>
      <c r="G272" s="24" t="n">
        <f aca="false">F272*C272</f>
        <v>460.046600556473</v>
      </c>
      <c r="H272" s="24" t="n">
        <f aca="false">E272*G272/(1+D272)^9</f>
        <v>1608.15259639319</v>
      </c>
      <c r="I272" s="24" t="n">
        <f aca="false">$B$13*G272/$B$12*((1+$B$8)/(1+D272))^4.5</f>
        <v>1770.0757026472</v>
      </c>
      <c r="J272" s="24" t="n">
        <f aca="false">H272+I272-$B$14</f>
        <v>2442.43801958833</v>
      </c>
      <c r="K272" s="43" t="n">
        <f aca="false">J272/$B$15</f>
        <v>59.5716590143496</v>
      </c>
    </row>
    <row r="273" customFormat="false" ht="15" hidden="false" customHeight="false" outlineLevel="0" collapsed="false">
      <c r="A273" s="49" t="n">
        <v>233</v>
      </c>
      <c r="B273" s="19" t="n">
        <f aca="true">NORMINV(RAND(),$B$6,$C$6)</f>
        <v>0.0181699971151532</v>
      </c>
      <c r="C273" s="19" t="n">
        <f aca="true">MAX(0.3,NORMINV(RAND(),$B$7,$C$7))</f>
        <v>0.458138906163217</v>
      </c>
      <c r="D273" s="32" t="n">
        <f aca="true">MAX(0.06,NORMINV(RAND(),$B$8,$C$8))</f>
        <v>0.0690812812304739</v>
      </c>
      <c r="E273" s="50" t="n">
        <f aca="true">MAX(4,NORMINV(RAND(),$B$9,$C$9))</f>
        <v>11.5434492993331</v>
      </c>
      <c r="F273" s="24" t="n">
        <f aca="false">$B$18*(1+(B273+$B$17)/2)^9</f>
        <v>1129.61008829448</v>
      </c>
      <c r="G273" s="24" t="n">
        <f aca="false">F273*C273</f>
        <v>517.518330242168</v>
      </c>
      <c r="H273" s="24" t="n">
        <f aca="false">E273*G273/(1+D273)^9</f>
        <v>3274.64938817523</v>
      </c>
      <c r="I273" s="24" t="n">
        <f aca="false">$B$13*G273/$B$12*((1+$B$8)/(1+D273))^4.5</f>
        <v>2090.81556797395</v>
      </c>
      <c r="J273" s="24" t="n">
        <f aca="false">H273+I273-$B$14</f>
        <v>4429.67467669712</v>
      </c>
      <c r="K273" s="43" t="n">
        <f aca="false">J273/$B$15</f>
        <v>108.040845773101</v>
      </c>
    </row>
    <row r="274" customFormat="false" ht="15" hidden="false" customHeight="false" outlineLevel="0" collapsed="false">
      <c r="A274" s="49" t="n">
        <v>234</v>
      </c>
      <c r="B274" s="19" t="n">
        <f aca="true">NORMINV(RAND(),$B$6,$C$6)</f>
        <v>0.0337024819099249</v>
      </c>
      <c r="C274" s="19" t="n">
        <f aca="true">MAX(0.3,NORMINV(RAND(),$B$7,$C$7))</f>
        <v>0.402302692282232</v>
      </c>
      <c r="D274" s="32" t="n">
        <f aca="true">MAX(0.06,NORMINV(RAND(),$B$8,$C$8))</f>
        <v>0.0769462934982155</v>
      </c>
      <c r="E274" s="50" t="n">
        <f aca="true">MAX(4,NORMINV(RAND(),$B$9,$C$9))</f>
        <v>5.29029784489064</v>
      </c>
      <c r="F274" s="24" t="n">
        <f aca="false">$B$18*(1+(B274+$B$17)/2)^9</f>
        <v>1209.89707998391</v>
      </c>
      <c r="G274" s="24" t="n">
        <f aca="false">F274*C274</f>
        <v>486.744852661938</v>
      </c>
      <c r="H274" s="24" t="n">
        <f aca="false">E274*G274/(1+D274)^9</f>
        <v>1321.402359797</v>
      </c>
      <c r="I274" s="24" t="n">
        <f aca="false">$B$13*G274/$B$12*((1+$B$8)/(1+D274))^4.5</f>
        <v>1902.68289454984</v>
      </c>
      <c r="J274" s="24" t="n">
        <f aca="false">H274+I274-$B$14</f>
        <v>2288.29497489478</v>
      </c>
      <c r="K274" s="43" t="n">
        <f aca="false">J274/$B$15</f>
        <v>55.8120725584093</v>
      </c>
    </row>
    <row r="275" customFormat="false" ht="15" hidden="false" customHeight="false" outlineLevel="0" collapsed="false">
      <c r="A275" s="49" t="n">
        <v>235</v>
      </c>
      <c r="B275" s="19" t="n">
        <f aca="true">NORMINV(RAND(),$B$6,$C$6)</f>
        <v>-0.00788928304905071</v>
      </c>
      <c r="C275" s="19" t="n">
        <f aca="true">MAX(0.3,NORMINV(RAND(),$B$7,$C$7))</f>
        <v>0.468906501031931</v>
      </c>
      <c r="D275" s="32" t="n">
        <f aca="true">MAX(0.06,NORMINV(RAND(),$B$8,$C$8))</f>
        <v>0.0878311957490142</v>
      </c>
      <c r="E275" s="50" t="n">
        <f aca="true">MAX(4,NORMINV(RAND(),$B$9,$C$9))</f>
        <v>8.30826227851745</v>
      </c>
      <c r="F275" s="24" t="n">
        <f aca="false">$B$18*(1+(B275+$B$17)/2)^9</f>
        <v>1005.50026762179</v>
      </c>
      <c r="G275" s="24" t="n">
        <f aca="false">F275*C275</f>
        <v>471.485612277205</v>
      </c>
      <c r="H275" s="24" t="n">
        <f aca="false">E275*G275/(1+D275)^9</f>
        <v>1836.2214747469</v>
      </c>
      <c r="I275" s="24" t="n">
        <f aca="false">$B$13*G275/$B$12*((1+$B$8)/(1+D275))^4.5</f>
        <v>1761.48888495534</v>
      </c>
      <c r="J275" s="24" t="n">
        <f aca="false">H275+I275-$B$14</f>
        <v>2661.92008025019</v>
      </c>
      <c r="K275" s="43" t="n">
        <f aca="false">J275/$B$15</f>
        <v>64.9248800061023</v>
      </c>
    </row>
    <row r="276" customFormat="false" ht="15" hidden="false" customHeight="false" outlineLevel="0" collapsed="false">
      <c r="A276" s="49" t="n">
        <v>236</v>
      </c>
      <c r="B276" s="19" t="n">
        <f aca="true">NORMINV(RAND(),$B$6,$C$6)</f>
        <v>0.0300275437206018</v>
      </c>
      <c r="C276" s="19" t="n">
        <f aca="true">MAX(0.3,NORMINV(RAND(),$B$7,$C$7))</f>
        <v>0.414793103562551</v>
      </c>
      <c r="D276" s="32" t="n">
        <f aca="true">MAX(0.06,NORMINV(RAND(),$B$8,$C$8))</f>
        <v>0.0860937151976152</v>
      </c>
      <c r="E276" s="50" t="n">
        <f aca="true">MAX(4,NORMINV(RAND(),$B$9,$C$9))</f>
        <v>7.38824242264396</v>
      </c>
      <c r="F276" s="24" t="n">
        <f aca="false">$B$18*(1+(B276+$B$17)/2)^9</f>
        <v>1190.4568486302</v>
      </c>
      <c r="G276" s="24" t="n">
        <f aca="false">F276*C276</f>
        <v>493.793290900615</v>
      </c>
      <c r="H276" s="24" t="n">
        <f aca="false">E276*G276/(1+D276)^9</f>
        <v>1734.92464574263</v>
      </c>
      <c r="I276" s="24" t="n">
        <f aca="false">$B$13*G276/$B$12*((1+$B$8)/(1+D276))^4.5</f>
        <v>1858.14920984168</v>
      </c>
      <c r="J276" s="24" t="n">
        <f aca="false">H276+I276-$B$14</f>
        <v>2657.28357613225</v>
      </c>
      <c r="K276" s="43" t="n">
        <f aca="false">J276/$B$15</f>
        <v>64.811794539811</v>
      </c>
    </row>
    <row r="277" customFormat="false" ht="15" hidden="false" customHeight="false" outlineLevel="0" collapsed="false">
      <c r="A277" s="49" t="n">
        <v>237</v>
      </c>
      <c r="B277" s="19" t="n">
        <f aca="true">NORMINV(RAND(),$B$6,$C$6)</f>
        <v>0.042387628373617</v>
      </c>
      <c r="C277" s="19" t="n">
        <f aca="true">MAX(0.3,NORMINV(RAND(),$B$7,$C$7))</f>
        <v>0.433611766197757</v>
      </c>
      <c r="D277" s="32" t="n">
        <f aca="true">MAX(0.06,NORMINV(RAND(),$B$8,$C$8))</f>
        <v>0.0836767503545941</v>
      </c>
      <c r="E277" s="50" t="n">
        <f aca="true">MAX(4,NORMINV(RAND(),$B$9,$C$9))</f>
        <v>9.36472970947668</v>
      </c>
      <c r="F277" s="24" t="n">
        <f aca="false">$B$18*(1+(B277+$B$17)/2)^9</f>
        <v>1256.96698359194</v>
      </c>
      <c r="G277" s="24" t="n">
        <f aca="false">F277*C277</f>
        <v>545.035673807567</v>
      </c>
      <c r="H277" s="24" t="n">
        <f aca="false">E277*G277/(1+D277)^9</f>
        <v>2476.40899233568</v>
      </c>
      <c r="I277" s="24" t="n">
        <f aca="false">$B$13*G277/$B$12*((1+$B$8)/(1+D277))^4.5</f>
        <v>2071.63996142385</v>
      </c>
      <c r="J277" s="24" t="n">
        <f aca="false">H277+I277-$B$14</f>
        <v>3612.25867430747</v>
      </c>
      <c r="K277" s="43" t="n">
        <f aca="false">J277/$B$15</f>
        <v>88.1038701050602</v>
      </c>
    </row>
    <row r="278" customFormat="false" ht="15" hidden="false" customHeight="false" outlineLevel="0" collapsed="false">
      <c r="A278" s="49" t="n">
        <v>238</v>
      </c>
      <c r="B278" s="19" t="n">
        <f aca="true">NORMINV(RAND(),$B$6,$C$6)</f>
        <v>0.0311067918514861</v>
      </c>
      <c r="C278" s="19" t="n">
        <f aca="true">MAX(0.3,NORMINV(RAND(),$B$7,$C$7))</f>
        <v>0.414447217952776</v>
      </c>
      <c r="D278" s="32" t="n">
        <f aca="true">MAX(0.06,NORMINV(RAND(),$B$8,$C$8))</f>
        <v>0.085512259932432</v>
      </c>
      <c r="E278" s="50" t="n">
        <f aca="true">MAX(4,NORMINV(RAND(),$B$9,$C$9))</f>
        <v>10.6449511448216</v>
      </c>
      <c r="F278" s="24" t="n">
        <f aca="false">$B$18*(1+(B278+$B$17)/2)^9</f>
        <v>1196.13700946493</v>
      </c>
      <c r="G278" s="24" t="n">
        <f aca="false">F278*C278</f>
        <v>495.735655863094</v>
      </c>
      <c r="H278" s="24" t="n">
        <f aca="false">E278*G278/(1+D278)^9</f>
        <v>2521.62925335543</v>
      </c>
      <c r="I278" s="24" t="n">
        <f aca="false">$B$13*G278/$B$12*((1+$B$8)/(1+D278))^4.5</f>
        <v>1869.95911824262</v>
      </c>
      <c r="J278" s="24" t="n">
        <f aca="false">H278+I278-$B$14</f>
        <v>3455.798092146</v>
      </c>
      <c r="K278" s="43" t="n">
        <f aca="false">J278/$B$15</f>
        <v>84.2877583450243</v>
      </c>
    </row>
    <row r="279" customFormat="false" ht="15" hidden="false" customHeight="false" outlineLevel="0" collapsed="false">
      <c r="A279" s="49" t="n">
        <v>239</v>
      </c>
      <c r="B279" s="19" t="n">
        <f aca="true">NORMINV(RAND(),$B$6,$C$6)</f>
        <v>0.0351169009989256</v>
      </c>
      <c r="C279" s="19" t="n">
        <f aca="true">MAX(0.3,NORMINV(RAND(),$B$7,$C$7))</f>
        <v>0.435369519027625</v>
      </c>
      <c r="D279" s="32" t="n">
        <f aca="true">MAX(0.06,NORMINV(RAND(),$B$8,$C$8))</f>
        <v>0.067226728967935</v>
      </c>
      <c r="E279" s="50" t="n">
        <f aca="true">MAX(4,NORMINV(RAND(),$B$9,$C$9))</f>
        <v>4.70130991188479</v>
      </c>
      <c r="F279" s="24" t="n">
        <f aca="false">$B$18*(1+(B279+$B$17)/2)^9</f>
        <v>1217.45415840952</v>
      </c>
      <c r="G279" s="24" t="n">
        <f aca="false">F279*C279</f>
        <v>530.042431384934</v>
      </c>
      <c r="H279" s="24" t="n">
        <f aca="false">E279*G279/(1+D279)^9</f>
        <v>1387.45617751549</v>
      </c>
      <c r="I279" s="24" t="n">
        <f aca="false">$B$13*G279/$B$12*((1+$B$8)/(1+D279))^4.5</f>
        <v>2158.21033811525</v>
      </c>
      <c r="J279" s="24" t="n">
        <f aca="false">H279+I279-$B$14</f>
        <v>2609.87623617869</v>
      </c>
      <c r="K279" s="43" t="n">
        <f aca="false">J279/$B$15</f>
        <v>63.6555179555778</v>
      </c>
    </row>
    <row r="280" customFormat="false" ht="15" hidden="false" customHeight="false" outlineLevel="0" collapsed="false">
      <c r="A280" s="49" t="n">
        <v>240</v>
      </c>
      <c r="B280" s="19" t="n">
        <f aca="true">NORMINV(RAND(),$B$6,$C$6)</f>
        <v>0.0151173063326258</v>
      </c>
      <c r="C280" s="19" t="n">
        <f aca="true">MAX(0.3,NORMINV(RAND(),$B$7,$C$7))</f>
        <v>0.455198474789926</v>
      </c>
      <c r="D280" s="32" t="n">
        <f aca="true">MAX(0.06,NORMINV(RAND(),$B$8,$C$8))</f>
        <v>0.0841224600482617</v>
      </c>
      <c r="E280" s="50" t="n">
        <f aca="true">MAX(4,NORMINV(RAND(),$B$9,$C$9))</f>
        <v>9.61324010768042</v>
      </c>
      <c r="F280" s="24" t="n">
        <f aca="false">$B$18*(1+(B280+$B$17)/2)^9</f>
        <v>1114.39984563772</v>
      </c>
      <c r="G280" s="24" t="n">
        <f aca="false">F280*C280</f>
        <v>507.27311004042</v>
      </c>
      <c r="H280" s="24" t="n">
        <f aca="false">E280*G280/(1+D280)^9</f>
        <v>2357.25493728147</v>
      </c>
      <c r="I280" s="24" t="n">
        <f aca="false">$B$13*G280/$B$12*((1+$B$8)/(1+D280))^4.5</f>
        <v>1924.5427197163</v>
      </c>
      <c r="J280" s="24" t="n">
        <f aca="false">H280+I280-$B$14</f>
        <v>3346.00737754571</v>
      </c>
      <c r="K280" s="43" t="n">
        <f aca="false">J280/$B$15</f>
        <v>81.6099360377003</v>
      </c>
    </row>
    <row r="281" customFormat="false" ht="15" hidden="false" customHeight="false" outlineLevel="0" collapsed="false">
      <c r="A281" s="49" t="n">
        <v>241</v>
      </c>
      <c r="B281" s="19" t="n">
        <f aca="true">NORMINV(RAND(),$B$6,$C$6)</f>
        <v>0.052573750559582</v>
      </c>
      <c r="C281" s="19" t="n">
        <f aca="true">MAX(0.3,NORMINV(RAND(),$B$7,$C$7))</f>
        <v>0.421613765909105</v>
      </c>
      <c r="D281" s="32" t="n">
        <f aca="true">MAX(0.06,NORMINV(RAND(),$B$8,$C$8))</f>
        <v>0.0832999296156597</v>
      </c>
      <c r="E281" s="50" t="n">
        <f aca="true">MAX(4,NORMINV(RAND(),$B$9,$C$9))</f>
        <v>8.21602332364125</v>
      </c>
      <c r="F281" s="24" t="n">
        <f aca="false">$B$18*(1+(B281+$B$17)/2)^9</f>
        <v>1314.24022300966</v>
      </c>
      <c r="G281" s="24" t="n">
        <f aca="false">F281*C281</f>
        <v>554.101769732323</v>
      </c>
      <c r="H281" s="24" t="n">
        <f aca="false">E281*G281/(1+D281)^9</f>
        <v>2215.7092274519</v>
      </c>
      <c r="I281" s="24" t="n">
        <f aca="false">$B$13*G281/$B$12*((1+$B$8)/(1+D281))^4.5</f>
        <v>2109.39820873132</v>
      </c>
      <c r="J281" s="24" t="n">
        <f aca="false">H281+I281-$B$14</f>
        <v>3389.31715673116</v>
      </c>
      <c r="K281" s="43" t="n">
        <f aca="false">J281/$B$15</f>
        <v>82.6662721153942</v>
      </c>
    </row>
    <row r="282" customFormat="false" ht="15" hidden="false" customHeight="false" outlineLevel="0" collapsed="false">
      <c r="A282" s="49" t="n">
        <v>242</v>
      </c>
      <c r="B282" s="19" t="n">
        <f aca="true">NORMINV(RAND(),$B$6,$C$6)</f>
        <v>0.00907877004132911</v>
      </c>
      <c r="C282" s="19" t="n">
        <f aca="true">MAX(0.3,NORMINV(RAND(),$B$7,$C$7))</f>
        <v>0.449609525423691</v>
      </c>
      <c r="D282" s="32" t="n">
        <f aca="true">MAX(0.06,NORMINV(RAND(),$B$8,$C$8))</f>
        <v>0.0868795402355848</v>
      </c>
      <c r="E282" s="50" t="n">
        <f aca="true">MAX(4,NORMINV(RAND(),$B$9,$C$9))</f>
        <v>7.27356503010133</v>
      </c>
      <c r="F282" s="24" t="n">
        <f aca="false">$B$18*(1+(B282+$B$17)/2)^9</f>
        <v>1084.84761502368</v>
      </c>
      <c r="G282" s="24" t="n">
        <f aca="false">F282*C282</f>
        <v>487.757821347818</v>
      </c>
      <c r="H282" s="24" t="n">
        <f aca="false">E282*G282/(1+D282)^9</f>
        <v>1676.17302199226</v>
      </c>
      <c r="I282" s="24" t="n">
        <f aca="false">$B$13*G282/$B$12*((1+$B$8)/(1+D282))^4.5</f>
        <v>1829.473546278</v>
      </c>
      <c r="J282" s="24" t="n">
        <f aca="false">H282+I282-$B$14</f>
        <v>2569.85628881821</v>
      </c>
      <c r="K282" s="43" t="n">
        <f aca="false">J282/$B$15</f>
        <v>62.6794216784928</v>
      </c>
    </row>
    <row r="283" customFormat="false" ht="15" hidden="false" customHeight="false" outlineLevel="0" collapsed="false">
      <c r="A283" s="49" t="n">
        <v>243</v>
      </c>
      <c r="B283" s="19" t="n">
        <f aca="true">NORMINV(RAND(),$B$6,$C$6)</f>
        <v>0.0204074129037756</v>
      </c>
      <c r="C283" s="19" t="n">
        <f aca="true">MAX(0.3,NORMINV(RAND(),$B$7,$C$7))</f>
        <v>0.445789545273065</v>
      </c>
      <c r="D283" s="32" t="n">
        <f aca="true">MAX(0.06,NORMINV(RAND(),$B$8,$C$8))</f>
        <v>0.0864737145785154</v>
      </c>
      <c r="E283" s="50" t="n">
        <f aca="true">MAX(4,NORMINV(RAND(),$B$9,$C$9))</f>
        <v>7.27334438297395</v>
      </c>
      <c r="F283" s="24" t="n">
        <f aca="false">$B$18*(1+(B283+$B$17)/2)^9</f>
        <v>1140.87507080951</v>
      </c>
      <c r="G283" s="24" t="n">
        <f aca="false">F283*C283</f>
        <v>508.590179029549</v>
      </c>
      <c r="H283" s="24" t="n">
        <f aca="false">E283*G283/(1+D283)^9</f>
        <v>1753.59422735751</v>
      </c>
      <c r="I283" s="24" t="n">
        <f aca="false">$B$13*G283/$B$12*((1+$B$8)/(1+D283))^4.5</f>
        <v>1910.81972402249</v>
      </c>
      <c r="J283" s="24" t="n">
        <f aca="false">H283+I283-$B$14</f>
        <v>2728.62367192794</v>
      </c>
      <c r="K283" s="43" t="n">
        <f aca="false">J283/$B$15</f>
        <v>66.5517968762911</v>
      </c>
    </row>
    <row r="284" customFormat="false" ht="15" hidden="false" customHeight="false" outlineLevel="0" collapsed="false">
      <c r="A284" s="49" t="n">
        <v>244</v>
      </c>
      <c r="B284" s="19" t="n">
        <f aca="true">NORMINV(RAND(),$B$6,$C$6)</f>
        <v>0.00563015621918234</v>
      </c>
      <c r="C284" s="19" t="n">
        <f aca="true">MAX(0.3,NORMINV(RAND(),$B$7,$C$7))</f>
        <v>0.416166894025824</v>
      </c>
      <c r="D284" s="32" t="n">
        <f aca="true">MAX(0.06,NORMINV(RAND(),$B$8,$C$8))</f>
        <v>0.084697228079444</v>
      </c>
      <c r="E284" s="50" t="n">
        <f aca="true">MAX(4,NORMINV(RAND(),$B$9,$C$9))</f>
        <v>6.50211787810347</v>
      </c>
      <c r="F284" s="24" t="n">
        <f aca="false">$B$18*(1+(B284+$B$17)/2)^9</f>
        <v>1068.28468677708</v>
      </c>
      <c r="G284" s="24" t="n">
        <f aca="false">F284*C284</f>
        <v>444.584720031365</v>
      </c>
      <c r="H284" s="24" t="n">
        <f aca="false">E284*G284/(1+D284)^9</f>
        <v>1390.69725683013</v>
      </c>
      <c r="I284" s="24" t="n">
        <f aca="false">$B$13*G284/$B$12*((1+$B$8)/(1+D284))^4.5</f>
        <v>1682.69110375455</v>
      </c>
      <c r="J284" s="24" t="n">
        <f aca="false">H284+I284-$B$14</f>
        <v>2137.59808113263</v>
      </c>
      <c r="K284" s="43" t="n">
        <f aca="false">J284/$B$15</f>
        <v>52.1365385642104</v>
      </c>
    </row>
    <row r="285" customFormat="false" ht="15" hidden="false" customHeight="false" outlineLevel="0" collapsed="false">
      <c r="A285" s="49" t="n">
        <v>245</v>
      </c>
      <c r="B285" s="19" t="n">
        <f aca="true">NORMINV(RAND(),$B$6,$C$6)</f>
        <v>-0.0040379513630057</v>
      </c>
      <c r="C285" s="19" t="n">
        <f aca="true">MAX(0.3,NORMINV(RAND(),$B$7,$C$7))</f>
        <v>0.432775350088261</v>
      </c>
      <c r="D285" s="32" t="n">
        <f aca="true">MAX(0.06,NORMINV(RAND(),$B$8,$C$8))</f>
        <v>0.0799029059212554</v>
      </c>
      <c r="E285" s="50" t="n">
        <f aca="true">MAX(4,NORMINV(RAND(),$B$9,$C$9))</f>
        <v>10.5299590052285</v>
      </c>
      <c r="F285" s="24" t="n">
        <f aca="false">$B$18*(1+(B285+$B$17)/2)^9</f>
        <v>1023.04276282357</v>
      </c>
      <c r="G285" s="24" t="n">
        <f aca="false">F285*C285</f>
        <v>442.747689836234</v>
      </c>
      <c r="H285" s="24" t="n">
        <f aca="false">E285*G285/(1+D285)^9</f>
        <v>2334.1061119098</v>
      </c>
      <c r="I285" s="24" t="n">
        <f aca="false">$B$13*G285/$B$12*((1+$B$8)/(1+D285))^4.5</f>
        <v>1709.47739532043</v>
      </c>
      <c r="J285" s="24" t="n">
        <f aca="false">H285+I285-$B$14</f>
        <v>3107.79322777818</v>
      </c>
      <c r="K285" s="43" t="n">
        <f aca="false">J285/$B$15</f>
        <v>75.799834823858</v>
      </c>
    </row>
    <row r="286" customFormat="false" ht="15" hidden="false" customHeight="false" outlineLevel="0" collapsed="false">
      <c r="A286" s="49" t="n">
        <v>246</v>
      </c>
      <c r="B286" s="19" t="n">
        <f aca="true">NORMINV(RAND(),$B$6,$C$6)</f>
        <v>0.0150711573810314</v>
      </c>
      <c r="C286" s="19" t="n">
        <f aca="true">MAX(0.3,NORMINV(RAND(),$B$7,$C$7))</f>
        <v>0.433620782344535</v>
      </c>
      <c r="D286" s="32" t="n">
        <f aca="true">MAX(0.06,NORMINV(RAND(),$B$8,$C$8))</f>
        <v>0.0743553557763809</v>
      </c>
      <c r="E286" s="50" t="n">
        <f aca="true">MAX(4,NORMINV(RAND(),$B$9,$C$9))</f>
        <v>9.20628830223786</v>
      </c>
      <c r="F286" s="24" t="n">
        <f aca="false">$B$18*(1+(B286+$B$17)/2)^9</f>
        <v>1114.17130911252</v>
      </c>
      <c r="G286" s="24" t="n">
        <f aca="false">F286*C286</f>
        <v>483.127834723206</v>
      </c>
      <c r="H286" s="24" t="n">
        <f aca="false">E286*G286/(1+D286)^9</f>
        <v>2332.46455048668</v>
      </c>
      <c r="I286" s="24" t="n">
        <f aca="false">$B$13*G286/$B$12*((1+$B$8)/(1+D286))^4.5</f>
        <v>1909.12569554077</v>
      </c>
      <c r="J286" s="24" t="n">
        <f aca="false">H286+I286-$B$14</f>
        <v>3305.7999665754</v>
      </c>
      <c r="K286" s="43" t="n">
        <f aca="false">J286/$B$15</f>
        <v>80.6292674774487</v>
      </c>
    </row>
    <row r="287" customFormat="false" ht="15" hidden="false" customHeight="false" outlineLevel="0" collapsed="false">
      <c r="A287" s="49" t="n">
        <v>247</v>
      </c>
      <c r="B287" s="19" t="n">
        <f aca="true">NORMINV(RAND(),$B$6,$C$6)</f>
        <v>0.0236978805763066</v>
      </c>
      <c r="C287" s="19" t="n">
        <f aca="true">MAX(0.3,NORMINV(RAND(),$B$7,$C$7))</f>
        <v>0.456901230702045</v>
      </c>
      <c r="D287" s="32" t="n">
        <f aca="true">MAX(0.06,NORMINV(RAND(),$B$8,$C$8))</f>
        <v>0.0820316592496488</v>
      </c>
      <c r="E287" s="50" t="n">
        <f aca="true">MAX(4,NORMINV(RAND(),$B$9,$C$9))</f>
        <v>8.59793839126286</v>
      </c>
      <c r="F287" s="24" t="n">
        <f aca="false">$B$18*(1+(B287+$B$17)/2)^9</f>
        <v>1157.62341265582</v>
      </c>
      <c r="G287" s="24" t="n">
        <f aca="false">F287*C287</f>
        <v>528.919561931944</v>
      </c>
      <c r="H287" s="24" t="n">
        <f aca="false">E287*G287/(1+D287)^9</f>
        <v>2236.78502380647</v>
      </c>
      <c r="I287" s="24" t="n">
        <f aca="false">$B$13*G287/$B$12*((1+$B$8)/(1+D287))^4.5</f>
        <v>2024.17485838398</v>
      </c>
      <c r="J287" s="24" t="n">
        <f aca="false">H287+I287-$B$14</f>
        <v>3325.16960273839</v>
      </c>
      <c r="K287" s="43" t="n">
        <f aca="false">J287/$B$15</f>
        <v>81.1016976277655</v>
      </c>
    </row>
    <row r="288" customFormat="false" ht="15" hidden="false" customHeight="false" outlineLevel="0" collapsed="false">
      <c r="A288" s="49" t="n">
        <v>248</v>
      </c>
      <c r="B288" s="19" t="n">
        <f aca="true">NORMINV(RAND(),$B$6,$C$6)</f>
        <v>0.0197568755799582</v>
      </c>
      <c r="C288" s="19" t="n">
        <f aca="true">MAX(0.3,NORMINV(RAND(),$B$7,$C$7))</f>
        <v>0.390631855511653</v>
      </c>
      <c r="D288" s="32" t="n">
        <f aca="true">MAX(0.06,NORMINV(RAND(),$B$8,$C$8))</f>
        <v>0.0852069007044291</v>
      </c>
      <c r="E288" s="50" t="n">
        <f aca="true">MAX(4,NORMINV(RAND(),$B$9,$C$9))</f>
        <v>8.97320443213227</v>
      </c>
      <c r="F288" s="24" t="n">
        <f aca="false">$B$18*(1+(B288+$B$17)/2)^9</f>
        <v>1137.58948283374</v>
      </c>
      <c r="G288" s="24" t="n">
        <f aca="false">F288*C288</f>
        <v>444.378690489885</v>
      </c>
      <c r="H288" s="24" t="n">
        <f aca="false">E288*G288/(1+D288)^9</f>
        <v>1910.23969924039</v>
      </c>
      <c r="I288" s="24" t="n">
        <f aca="false">$B$13*G288/$B$12*((1+$B$8)/(1+D288))^4.5</f>
        <v>1678.3596013862</v>
      </c>
      <c r="J288" s="24" t="n">
        <f aca="false">H288+I288-$B$14</f>
        <v>2652.80902117454</v>
      </c>
      <c r="K288" s="43" t="n">
        <f aca="false">J288/$B$15</f>
        <v>64.7026590530376</v>
      </c>
    </row>
    <row r="289" customFormat="false" ht="15" hidden="false" customHeight="false" outlineLevel="0" collapsed="false">
      <c r="A289" s="49" t="n">
        <v>249</v>
      </c>
      <c r="B289" s="19" t="n">
        <f aca="true">NORMINV(RAND(),$B$6,$C$6)</f>
        <v>0.100373075630147</v>
      </c>
      <c r="C289" s="19" t="n">
        <f aca="true">MAX(0.3,NORMINV(RAND(),$B$7,$C$7))</f>
        <v>0.413862537546821</v>
      </c>
      <c r="D289" s="32" t="n">
        <f aca="true">MAX(0.06,NORMINV(RAND(),$B$8,$C$8))</f>
        <v>0.0818519408757546</v>
      </c>
      <c r="E289" s="50" t="n">
        <f aca="true">MAX(4,NORMINV(RAND(),$B$9,$C$9))</f>
        <v>11.0115409136078</v>
      </c>
      <c r="F289" s="24" t="n">
        <f aca="false">$B$18*(1+(B289+$B$17)/2)^9</f>
        <v>1615.18589956843</v>
      </c>
      <c r="G289" s="24" t="n">
        <f aca="false">F289*C289</f>
        <v>668.464935005236</v>
      </c>
      <c r="H289" s="24" t="n">
        <f aca="false">E289*G289/(1+D289)^9</f>
        <v>3625.90374263999</v>
      </c>
      <c r="I289" s="24" t="n">
        <f aca="false">$B$13*G289/$B$12*((1+$B$8)/(1+D289))^4.5</f>
        <v>2560.12785666179</v>
      </c>
      <c r="J289" s="24" t="n">
        <f aca="false">H289+I289-$B$14</f>
        <v>5250.24131984972</v>
      </c>
      <c r="K289" s="43" t="n">
        <f aca="false">J289/$B$15</f>
        <v>128.054666337798</v>
      </c>
    </row>
    <row r="290" customFormat="false" ht="15" hidden="false" customHeight="false" outlineLevel="0" collapsed="false">
      <c r="A290" s="49" t="n">
        <v>250</v>
      </c>
      <c r="B290" s="19" t="n">
        <f aca="true">NORMINV(RAND(),$B$6,$C$6)</f>
        <v>0.0154303724642339</v>
      </c>
      <c r="C290" s="19" t="n">
        <f aca="true">MAX(0.3,NORMINV(RAND(),$B$7,$C$7))</f>
        <v>0.416712189477784</v>
      </c>
      <c r="D290" s="32" t="n">
        <f aca="true">MAX(0.06,NORMINV(RAND(),$B$8,$C$8))</f>
        <v>0.0863912564813351</v>
      </c>
      <c r="E290" s="50" t="n">
        <f aca="true">MAX(4,NORMINV(RAND(),$B$9,$C$9))</f>
        <v>7.25369452581076</v>
      </c>
      <c r="F290" s="24" t="n">
        <f aca="false">$B$18*(1+(B290+$B$17)/2)^9</f>
        <v>1115.95129648709</v>
      </c>
      <c r="G290" s="24" t="n">
        <f aca="false">F290*C290</f>
        <v>465.030508109705</v>
      </c>
      <c r="H290" s="24" t="n">
        <f aca="false">E290*G290/(1+D290)^9</f>
        <v>1600.16347426021</v>
      </c>
      <c r="I290" s="24" t="n">
        <f aca="false">$B$13*G290/$B$12*((1+$B$8)/(1+D290))^4.5</f>
        <v>1747.75889419676</v>
      </c>
      <c r="J290" s="24" t="n">
        <f aca="false">H290+I290-$B$14</f>
        <v>2412.13208900492</v>
      </c>
      <c r="K290" s="43" t="n">
        <f aca="false">J290/$B$15</f>
        <v>58.8324899757299</v>
      </c>
    </row>
    <row r="291" customFormat="false" ht="15" hidden="false" customHeight="false" outlineLevel="0" collapsed="false">
      <c r="A291" s="49" t="n">
        <v>251</v>
      </c>
      <c r="B291" s="19" t="n">
        <f aca="true">NORMINV(RAND(),$B$6,$C$6)</f>
        <v>0.0253278643112856</v>
      </c>
      <c r="C291" s="19" t="n">
        <f aca="true">MAX(0.3,NORMINV(RAND(),$B$7,$C$7))</f>
        <v>0.426266200965317</v>
      </c>
      <c r="D291" s="32" t="n">
        <f aca="true">MAX(0.06,NORMINV(RAND(),$B$8,$C$8))</f>
        <v>0.0924788239291681</v>
      </c>
      <c r="E291" s="50" t="n">
        <f aca="true">MAX(4,NORMINV(RAND(),$B$9,$C$9))</f>
        <v>8.65274835121162</v>
      </c>
      <c r="F291" s="24" t="n">
        <f aca="false">$B$18*(1+(B291+$B$17)/2)^9</f>
        <v>1166.00062152888</v>
      </c>
      <c r="G291" s="24" t="n">
        <f aca="false">F291*C291</f>
        <v>497.026655262314</v>
      </c>
      <c r="H291" s="24" t="n">
        <f aca="false">E291*G291/(1+D291)^9</f>
        <v>1940.06600350243</v>
      </c>
      <c r="I291" s="24" t="n">
        <f aca="false">$B$13*G291/$B$12*((1+$B$8)/(1+D291))^4.5</f>
        <v>1821.62638900044</v>
      </c>
      <c r="J291" s="24" t="n">
        <f aca="false">H291+I291-$B$14</f>
        <v>2825.90211305081</v>
      </c>
      <c r="K291" s="43" t="n">
        <f aca="false">J291/$B$15</f>
        <v>68.9244417817271</v>
      </c>
    </row>
    <row r="292" customFormat="false" ht="15" hidden="false" customHeight="false" outlineLevel="0" collapsed="false">
      <c r="A292" s="49" t="n">
        <v>252</v>
      </c>
      <c r="B292" s="19" t="n">
        <f aca="true">NORMINV(RAND(),$B$6,$C$6)</f>
        <v>0.0027284139176394</v>
      </c>
      <c r="C292" s="19" t="n">
        <f aca="true">MAX(0.3,NORMINV(RAND(),$B$7,$C$7))</f>
        <v>0.449231061082802</v>
      </c>
      <c r="D292" s="32" t="n">
        <f aca="true">MAX(0.06,NORMINV(RAND(),$B$8,$C$8))</f>
        <v>0.0894642675168086</v>
      </c>
      <c r="E292" s="50" t="n">
        <f aca="true">MAX(4,NORMINV(RAND(),$B$9,$C$9))</f>
        <v>8.5451325038331</v>
      </c>
      <c r="F292" s="24" t="n">
        <f aca="false">$B$18*(1+(B292+$B$17)/2)^9</f>
        <v>1054.52280470293</v>
      </c>
      <c r="G292" s="24" t="n">
        <f aca="false">F292*C292</f>
        <v>473.72439849271</v>
      </c>
      <c r="H292" s="24" t="n">
        <f aca="false">E292*G292/(1+D292)^9</f>
        <v>1872.09394172925</v>
      </c>
      <c r="I292" s="24" t="n">
        <f aca="false">$B$13*G292/$B$12*((1+$B$8)/(1+D292))^4.5</f>
        <v>1757.94606924968</v>
      </c>
      <c r="J292" s="24" t="n">
        <f aca="false">H292+I292-$B$14</f>
        <v>2694.24973152688</v>
      </c>
      <c r="K292" s="43" t="n">
        <f aca="false">J292/$B$15</f>
        <v>65.7134080860215</v>
      </c>
    </row>
    <row r="293" customFormat="false" ht="15" hidden="false" customHeight="false" outlineLevel="0" collapsed="false">
      <c r="A293" s="49" t="n">
        <v>253</v>
      </c>
      <c r="B293" s="19" t="n">
        <f aca="true">NORMINV(RAND(),$B$6,$C$6)</f>
        <v>0.0146214980836027</v>
      </c>
      <c r="C293" s="19" t="n">
        <f aca="true">MAX(0.3,NORMINV(RAND(),$B$7,$C$7))</f>
        <v>0.402678479148352</v>
      </c>
      <c r="D293" s="32" t="n">
        <f aca="true">MAX(0.06,NORMINV(RAND(),$B$8,$C$8))</f>
        <v>0.0853948335118878</v>
      </c>
      <c r="E293" s="50" t="n">
        <f aca="true">MAX(4,NORMINV(RAND(),$B$9,$C$9))</f>
        <v>7.13713279428208</v>
      </c>
      <c r="F293" s="24" t="n">
        <f aca="false">$B$18*(1+(B293+$B$17)/2)^9</f>
        <v>1111.94670843823</v>
      </c>
      <c r="G293" s="24" t="n">
        <f aca="false">F293*C293</f>
        <v>447.757009447923</v>
      </c>
      <c r="H293" s="24" t="n">
        <f aca="false">E293*G293/(1+D293)^9</f>
        <v>1528.53863597131</v>
      </c>
      <c r="I293" s="24" t="n">
        <f aca="false">$B$13*G293/$B$12*((1+$B$8)/(1+D293))^4.5</f>
        <v>1689.80181043372</v>
      </c>
      <c r="J293" s="24" t="n">
        <f aca="false">H293+I293-$B$14</f>
        <v>2282.55016695298</v>
      </c>
      <c r="K293" s="43" t="n">
        <f aca="false">J293/$B$15</f>
        <v>55.671955291536</v>
      </c>
    </row>
    <row r="294" customFormat="false" ht="15" hidden="false" customHeight="false" outlineLevel="0" collapsed="false">
      <c r="A294" s="49" t="n">
        <v>254</v>
      </c>
      <c r="B294" s="19" t="n">
        <f aca="true">NORMINV(RAND(),$B$6,$C$6)</f>
        <v>0.0405408627258257</v>
      </c>
      <c r="C294" s="19" t="n">
        <f aca="true">MAX(0.3,NORMINV(RAND(),$B$7,$C$7))</f>
        <v>0.454491792814809</v>
      </c>
      <c r="D294" s="32" t="n">
        <f aca="true">MAX(0.06,NORMINV(RAND(),$B$8,$C$8))</f>
        <v>0.0770421577005727</v>
      </c>
      <c r="E294" s="50" t="n">
        <f aca="true">MAX(4,NORMINV(RAND(),$B$9,$C$9))</f>
        <v>6.90788092366458</v>
      </c>
      <c r="F294" s="24" t="n">
        <f aca="false">$B$18*(1+(B294+$B$17)/2)^9</f>
        <v>1246.82422444063</v>
      </c>
      <c r="G294" s="24" t="n">
        <f aca="false">F294*C294</f>
        <v>566.671377090956</v>
      </c>
      <c r="H294" s="24" t="n">
        <f aca="false">E294*G294/(1+D294)^9</f>
        <v>2007.15907772074</v>
      </c>
      <c r="I294" s="24" t="n">
        <f aca="false">$B$13*G294/$B$12*((1+$B$8)/(1+D294))^4.5</f>
        <v>2214.22814510338</v>
      </c>
      <c r="J294" s="24" t="n">
        <f aca="false">H294+I294-$B$14</f>
        <v>3285.59694337206</v>
      </c>
      <c r="K294" s="43" t="n">
        <f aca="false">J294/$B$15</f>
        <v>80.1365108139527</v>
      </c>
    </row>
    <row r="295" customFormat="false" ht="15" hidden="false" customHeight="false" outlineLevel="0" collapsed="false">
      <c r="A295" s="49" t="n">
        <v>255</v>
      </c>
      <c r="B295" s="19" t="n">
        <f aca="true">NORMINV(RAND(),$B$6,$C$6)</f>
        <v>-0.00222622501797378</v>
      </c>
      <c r="C295" s="19" t="n">
        <f aca="true">MAX(0.3,NORMINV(RAND(),$B$7,$C$7))</f>
        <v>0.449069109361465</v>
      </c>
      <c r="D295" s="32" t="n">
        <f aca="true">MAX(0.06,NORMINV(RAND(),$B$8,$C$8))</f>
        <v>0.0740228267914162</v>
      </c>
      <c r="E295" s="50" t="n">
        <f aca="true">MAX(4,NORMINV(RAND(),$B$9,$C$9))</f>
        <v>8.53804450624052</v>
      </c>
      <c r="F295" s="24" t="n">
        <f aca="false">$B$18*(1+(B295+$B$17)/2)^9</f>
        <v>1031.38870986056</v>
      </c>
      <c r="G295" s="24" t="n">
        <f aca="false">F295*C295</f>
        <v>463.164809342553</v>
      </c>
      <c r="H295" s="24" t="n">
        <f aca="false">E295*G295/(1+D295)^9</f>
        <v>2079.56434822309</v>
      </c>
      <c r="I295" s="24" t="n">
        <f aca="false">$B$13*G295/$B$12*((1+$B$8)/(1+D295))^4.5</f>
        <v>1832.79125820327</v>
      </c>
      <c r="J295" s="24" t="n">
        <f aca="false">H295+I295-$B$14</f>
        <v>2976.56532697431</v>
      </c>
      <c r="K295" s="43" t="n">
        <f aca="false">J295/$B$15</f>
        <v>72.5991543164465</v>
      </c>
    </row>
    <row r="296" customFormat="false" ht="15" hidden="false" customHeight="false" outlineLevel="0" collapsed="false">
      <c r="A296" s="49" t="n">
        <v>256</v>
      </c>
      <c r="B296" s="19" t="n">
        <f aca="true">NORMINV(RAND(),$B$6,$C$6)</f>
        <v>0.0294569606885781</v>
      </c>
      <c r="C296" s="19" t="n">
        <f aca="true">MAX(0.3,NORMINV(RAND(),$B$7,$C$7))</f>
        <v>0.441925224008285</v>
      </c>
      <c r="D296" s="32" t="n">
        <f aca="true">MAX(0.06,NORMINV(RAND(),$B$8,$C$8))</f>
        <v>0.0904507077442677</v>
      </c>
      <c r="E296" s="50" t="n">
        <f aca="true">MAX(4,NORMINV(RAND(),$B$9,$C$9))</f>
        <v>6.52598629962283</v>
      </c>
      <c r="F296" s="24" t="n">
        <f aca="false">$B$18*(1+(B296+$B$17)/2)^9</f>
        <v>1187.46352857096</v>
      </c>
      <c r="G296" s="24" t="n">
        <f aca="false">F296*C296</f>
        <v>524.770085865391</v>
      </c>
      <c r="H296" s="24" t="n">
        <f aca="false">E296*G296/(1+D296)^9</f>
        <v>1570.94463653274</v>
      </c>
      <c r="I296" s="24" t="n">
        <f aca="false">$B$13*G296/$B$12*((1+$B$8)/(1+D296))^4.5</f>
        <v>1939.45697259151</v>
      </c>
      <c r="J296" s="24" t="n">
        <f aca="false">H296+I296-$B$14</f>
        <v>2574.6113296722</v>
      </c>
      <c r="K296" s="43" t="n">
        <f aca="false">J296/$B$15</f>
        <v>62.7953982846878</v>
      </c>
    </row>
    <row r="297" customFormat="false" ht="15" hidden="false" customHeight="false" outlineLevel="0" collapsed="false">
      <c r="A297" s="49" t="n">
        <v>257</v>
      </c>
      <c r="B297" s="19" t="n">
        <f aca="true">NORMINV(RAND(),$B$6,$C$6)</f>
        <v>0.0198836676675203</v>
      </c>
      <c r="C297" s="19" t="n">
        <f aca="true">MAX(0.3,NORMINV(RAND(),$B$7,$C$7))</f>
        <v>0.395206473480803</v>
      </c>
      <c r="D297" s="32" t="n">
        <f aca="true">MAX(0.06,NORMINV(RAND(),$B$8,$C$8))</f>
        <v>0.0835430895429665</v>
      </c>
      <c r="E297" s="50" t="n">
        <f aca="true">MAX(4,NORMINV(RAND(),$B$9,$C$9))</f>
        <v>7.37025287520262</v>
      </c>
      <c r="F297" s="24" t="n">
        <f aca="false">$B$18*(1+(B297+$B$17)/2)^9</f>
        <v>1138.22919517148</v>
      </c>
      <c r="G297" s="24" t="n">
        <f aca="false">F297*C297</f>
        <v>449.835546236614</v>
      </c>
      <c r="H297" s="24" t="n">
        <f aca="false">E297*G297/(1+D297)^9</f>
        <v>1610.35074738265</v>
      </c>
      <c r="I297" s="24" t="n">
        <f aca="false">$B$13*G297/$B$12*((1+$B$8)/(1+D297))^4.5</f>
        <v>1710.74068243495</v>
      </c>
      <c r="J297" s="24" t="n">
        <f aca="false">H297+I297-$B$14</f>
        <v>2385.30115036554</v>
      </c>
      <c r="K297" s="43" t="n">
        <f aca="false">J297/$B$15</f>
        <v>58.178076838184</v>
      </c>
    </row>
    <row r="298" customFormat="false" ht="15" hidden="false" customHeight="false" outlineLevel="0" collapsed="false">
      <c r="A298" s="49" t="n">
        <v>258</v>
      </c>
      <c r="B298" s="19" t="n">
        <f aca="true">NORMINV(RAND(),$B$6,$C$6)</f>
        <v>0.0214808835036226</v>
      </c>
      <c r="C298" s="19" t="n">
        <f aca="true">MAX(0.3,NORMINV(RAND(),$B$7,$C$7))</f>
        <v>0.456854748229456</v>
      </c>
      <c r="D298" s="32" t="n">
        <f aca="true">MAX(0.06,NORMINV(RAND(),$B$8,$C$8))</f>
        <v>0.08211191855581</v>
      </c>
      <c r="E298" s="50" t="n">
        <f aca="true">MAX(4,NORMINV(RAND(),$B$9,$C$9))</f>
        <v>5.71073659081265</v>
      </c>
      <c r="F298" s="24" t="n">
        <f aca="false">$B$18*(1+(B298+$B$17)/2)^9</f>
        <v>1146.31516183889</v>
      </c>
      <c r="G298" s="24" t="n">
        <f aca="false">F298*C298</f>
        <v>523.699524653516</v>
      </c>
      <c r="H298" s="24" t="n">
        <f aca="false">E298*G298/(1+D298)^9</f>
        <v>1470.02487697861</v>
      </c>
      <c r="I298" s="24" t="n">
        <f aca="false">$B$13*G298/$B$12*((1+$B$8)/(1+D298))^4.5</f>
        <v>2003.52894226884</v>
      </c>
      <c r="J298" s="24" t="n">
        <f aca="false">H298+I298-$B$14</f>
        <v>2537.76353979539</v>
      </c>
      <c r="K298" s="43" t="n">
        <f aca="false">J298/$B$15</f>
        <v>61.8966717023265</v>
      </c>
    </row>
    <row r="299" customFormat="false" ht="15" hidden="false" customHeight="false" outlineLevel="0" collapsed="false">
      <c r="A299" s="49" t="n">
        <v>259</v>
      </c>
      <c r="B299" s="19" t="n">
        <f aca="true">NORMINV(RAND(),$B$6,$C$6)</f>
        <v>0.0305250624262139</v>
      </c>
      <c r="C299" s="19" t="n">
        <f aca="true">MAX(0.3,NORMINV(RAND(),$B$7,$C$7))</f>
        <v>0.448670394140737</v>
      </c>
      <c r="D299" s="32" t="n">
        <f aca="true">MAX(0.06,NORMINV(RAND(),$B$8,$C$8))</f>
        <v>0.0852218925092157</v>
      </c>
      <c r="E299" s="50" t="n">
        <f aca="true">MAX(4,NORMINV(RAND(),$B$9,$C$9))</f>
        <v>10.6305339854682</v>
      </c>
      <c r="F299" s="24" t="n">
        <f aca="false">$B$18*(1+(B299+$B$17)/2)^9</f>
        <v>1193.07233971891</v>
      </c>
      <c r="G299" s="24" t="n">
        <f aca="false">F299*C299</f>
        <v>535.296236900094</v>
      </c>
      <c r="H299" s="24" t="n">
        <f aca="false">E299*G299/(1+D299)^9</f>
        <v>2725.72698395137</v>
      </c>
      <c r="I299" s="24" t="n">
        <f aca="false">$B$13*G299/$B$12*((1+$B$8)/(1+D299))^4.5</f>
        <v>2021.61748270014</v>
      </c>
      <c r="J299" s="24" t="n">
        <f aca="false">H299+I299-$B$14</f>
        <v>3811.55418719946</v>
      </c>
      <c r="K299" s="43" t="n">
        <f aca="false">J299/$B$15</f>
        <v>92.9647362731575</v>
      </c>
    </row>
    <row r="300" customFormat="false" ht="15" hidden="false" customHeight="false" outlineLevel="0" collapsed="false">
      <c r="A300" s="49" t="n">
        <v>260</v>
      </c>
      <c r="B300" s="19" t="n">
        <f aca="true">NORMINV(RAND(),$B$6,$C$6)</f>
        <v>0.0340484048531312</v>
      </c>
      <c r="C300" s="19" t="n">
        <f aca="true">MAX(0.3,NORMINV(RAND(),$B$7,$C$7))</f>
        <v>0.480521712806156</v>
      </c>
      <c r="D300" s="32" t="n">
        <f aca="true">MAX(0.06,NORMINV(RAND(),$B$8,$C$8))</f>
        <v>0.0787505135715168</v>
      </c>
      <c r="E300" s="50" t="n">
        <f aca="true">MAX(4,NORMINV(RAND(),$B$9,$C$9))</f>
        <v>9.7236750856931</v>
      </c>
      <c r="F300" s="24" t="n">
        <f aca="false">$B$18*(1+(B300+$B$17)/2)^9</f>
        <v>1211.74144420769</v>
      </c>
      <c r="G300" s="24" t="n">
        <f aca="false">F300*C300</f>
        <v>582.268074248885</v>
      </c>
      <c r="H300" s="24" t="n">
        <f aca="false">E300*G300/(1+D300)^9</f>
        <v>2861.9647318785</v>
      </c>
      <c r="I300" s="24" t="n">
        <f aca="false">$B$13*G300/$B$12*((1+$B$8)/(1+D300))^4.5</f>
        <v>2259.00223991718</v>
      </c>
      <c r="J300" s="24" t="n">
        <f aca="false">H300+I300-$B$14</f>
        <v>4185.17669234363</v>
      </c>
      <c r="K300" s="43" t="n">
        <f aca="false">J300/$B$15</f>
        <v>102.077480301064</v>
      </c>
    </row>
    <row r="301" customFormat="false" ht="15" hidden="false" customHeight="false" outlineLevel="0" collapsed="false">
      <c r="A301" s="49" t="n">
        <v>261</v>
      </c>
      <c r="B301" s="19" t="n">
        <f aca="true">NORMINV(RAND(),$B$6,$C$6)</f>
        <v>0.0223727737276379</v>
      </c>
      <c r="C301" s="19" t="n">
        <f aca="true">MAX(0.3,NORMINV(RAND(),$B$7,$C$7))</f>
        <v>0.430559488842336</v>
      </c>
      <c r="D301" s="32" t="n">
        <f aca="true">MAX(0.06,NORMINV(RAND(),$B$8,$C$8))</f>
        <v>0.0753854840679116</v>
      </c>
      <c r="E301" s="50" t="n">
        <f aca="true">MAX(4,NORMINV(RAND(),$B$9,$C$9))</f>
        <v>7.73260732760233</v>
      </c>
      <c r="F301" s="24" t="n">
        <f aca="false">$B$18*(1+(B301+$B$17)/2)^9</f>
        <v>1150.85257161554</v>
      </c>
      <c r="G301" s="24" t="n">
        <f aca="false">F301*C301</f>
        <v>495.510494967675</v>
      </c>
      <c r="H301" s="24" t="n">
        <f aca="false">E301*G301/(1+D301)^9</f>
        <v>1992.05481524934</v>
      </c>
      <c r="I301" s="24" t="n">
        <f aca="false">$B$13*G301/$B$12*((1+$B$8)/(1+D301))^4.5</f>
        <v>1949.63065787888</v>
      </c>
      <c r="J301" s="24" t="n">
        <f aca="false">H301+I301-$B$14</f>
        <v>3005.89519367616</v>
      </c>
      <c r="K301" s="43" t="n">
        <f aca="false">J301/$B$15</f>
        <v>73.3145169189307</v>
      </c>
    </row>
    <row r="302" customFormat="false" ht="15" hidden="false" customHeight="false" outlineLevel="0" collapsed="false">
      <c r="A302" s="49" t="n">
        <v>262</v>
      </c>
      <c r="B302" s="19" t="n">
        <f aca="true">NORMINV(RAND(),$B$6,$C$6)</f>
        <v>-0.0141481622961058</v>
      </c>
      <c r="C302" s="19" t="n">
        <f aca="true">MAX(0.3,NORMINV(RAND(),$B$7,$C$7))</f>
        <v>0.45692789338852</v>
      </c>
      <c r="D302" s="32" t="n">
        <f aca="true">MAX(0.06,NORMINV(RAND(),$B$8,$C$8))</f>
        <v>0.0835538585654106</v>
      </c>
      <c r="E302" s="50" t="n">
        <f aca="true">MAX(4,NORMINV(RAND(),$B$9,$C$9))</f>
        <v>7.66097157114936</v>
      </c>
      <c r="F302" s="24" t="n">
        <f aca="false">$B$18*(1+(B302+$B$17)/2)^9</f>
        <v>977.561438223306</v>
      </c>
      <c r="G302" s="24" t="n">
        <f aca="false">F302*C302</f>
        <v>446.675088625227</v>
      </c>
      <c r="H302" s="24" t="n">
        <f aca="false">E302*G302/(1+D302)^9</f>
        <v>1661.96187099256</v>
      </c>
      <c r="I302" s="24" t="n">
        <f aca="false">$B$13*G302/$B$12*((1+$B$8)/(1+D302))^4.5</f>
        <v>1698.6453771408</v>
      </c>
      <c r="J302" s="24" t="n">
        <f aca="false">H302+I302-$B$14</f>
        <v>2424.81696868131</v>
      </c>
      <c r="K302" s="43" t="n">
        <f aca="false">J302/$B$15</f>
        <v>59.1418772849099</v>
      </c>
    </row>
    <row r="303" customFormat="false" ht="15" hidden="false" customHeight="false" outlineLevel="0" collapsed="false">
      <c r="A303" s="49" t="n">
        <v>263</v>
      </c>
      <c r="B303" s="19" t="n">
        <f aca="true">NORMINV(RAND(),$B$6,$C$6)</f>
        <v>0.0331685535147474</v>
      </c>
      <c r="C303" s="19" t="n">
        <f aca="true">MAX(0.3,NORMINV(RAND(),$B$7,$C$7))</f>
        <v>0.425831210445962</v>
      </c>
      <c r="D303" s="32" t="n">
        <f aca="true">MAX(0.06,NORMINV(RAND(),$B$8,$C$8))</f>
        <v>0.069535328122714</v>
      </c>
      <c r="E303" s="50" t="n">
        <f aca="true">MAX(4,NORMINV(RAND(),$B$9,$C$9))</f>
        <v>6.97251533043827</v>
      </c>
      <c r="F303" s="24" t="n">
        <f aca="false">$B$18*(1+(B303+$B$17)/2)^9</f>
        <v>1207.055221314</v>
      </c>
      <c r="G303" s="24" t="n">
        <f aca="false">F303*C303</f>
        <v>514.001785967259</v>
      </c>
      <c r="H303" s="24" t="n">
        <f aca="false">E303*G303/(1+D303)^9</f>
        <v>1957.03185944991</v>
      </c>
      <c r="I303" s="24" t="n">
        <f aca="false">$B$13*G303/$B$12*((1+$B$8)/(1+D303))^4.5</f>
        <v>2072.64429728419</v>
      </c>
      <c r="J303" s="24" t="n">
        <f aca="false">H303+I303-$B$14</f>
        <v>3093.88587728205</v>
      </c>
      <c r="K303" s="43" t="n">
        <f aca="false">J303/$B$15</f>
        <v>75.4606311532206</v>
      </c>
    </row>
    <row r="304" customFormat="false" ht="15" hidden="false" customHeight="false" outlineLevel="0" collapsed="false">
      <c r="A304" s="49" t="n">
        <v>264</v>
      </c>
      <c r="B304" s="19" t="n">
        <f aca="true">NORMINV(RAND(),$B$6,$C$6)</f>
        <v>0.0236196395762551</v>
      </c>
      <c r="C304" s="19" t="n">
        <f aca="true">MAX(0.3,NORMINV(RAND(),$B$7,$C$7))</f>
        <v>0.435328201939223</v>
      </c>
      <c r="D304" s="32" t="n">
        <f aca="true">MAX(0.06,NORMINV(RAND(),$B$8,$C$8))</f>
        <v>0.0739741021513136</v>
      </c>
      <c r="E304" s="50" t="n">
        <f aca="true">MAX(4,NORMINV(RAND(),$B$9,$C$9))</f>
        <v>7.424999759308</v>
      </c>
      <c r="F304" s="24" t="n">
        <f aca="false">$B$18*(1+(B304+$B$17)/2)^9</f>
        <v>1157.22264659523</v>
      </c>
      <c r="G304" s="24" t="n">
        <f aca="false">F304*C304</f>
        <v>503.771653985652</v>
      </c>
      <c r="H304" s="24" t="n">
        <f aca="false">E304*G304/(1+D304)^9</f>
        <v>1967.82235959317</v>
      </c>
      <c r="I304" s="24" t="n">
        <f aca="false">$B$13*G304/$B$12*((1+$B$8)/(1+D304))^4.5</f>
        <v>1993.88377760072</v>
      </c>
      <c r="J304" s="24" t="n">
        <f aca="false">H304+I304-$B$14</f>
        <v>3025.91585774184</v>
      </c>
      <c r="K304" s="43" t="n">
        <f aca="false">J304/$B$15</f>
        <v>73.8028257985815</v>
      </c>
    </row>
    <row r="305" customFormat="false" ht="15" hidden="false" customHeight="false" outlineLevel="0" collapsed="false">
      <c r="A305" s="49" t="n">
        <v>265</v>
      </c>
      <c r="B305" s="19" t="n">
        <f aca="true">NORMINV(RAND(),$B$6,$C$6)</f>
        <v>0.0234157307354147</v>
      </c>
      <c r="C305" s="19" t="n">
        <f aca="true">MAX(0.3,NORMINV(RAND(),$B$7,$C$7))</f>
        <v>0.395823213819058</v>
      </c>
      <c r="D305" s="32" t="n">
        <f aca="true">MAX(0.06,NORMINV(RAND(),$B$8,$C$8))</f>
        <v>0.0757467364024964</v>
      </c>
      <c r="E305" s="50" t="n">
        <f aca="true">MAX(4,NORMINV(RAND(),$B$9,$C$9))</f>
        <v>10.3311099333321</v>
      </c>
      <c r="F305" s="24" t="n">
        <f aca="false">$B$18*(1+(B305+$B$17)/2)^9</f>
        <v>1156.17876417734</v>
      </c>
      <c r="G305" s="24" t="n">
        <f aca="false">F305*C305</f>
        <v>457.64239418602</v>
      </c>
      <c r="H305" s="24" t="n">
        <f aca="false">E305*G305/(1+D305)^9</f>
        <v>2450.65906831804</v>
      </c>
      <c r="I305" s="24" t="n">
        <f aca="false">$B$13*G305/$B$12*((1+$B$8)/(1+D305))^4.5</f>
        <v>1797.91573964615</v>
      </c>
      <c r="J305" s="24" t="n">
        <f aca="false">H305+I305-$B$14</f>
        <v>3312.78452851213</v>
      </c>
      <c r="K305" s="43" t="n">
        <f aca="false">J305/$B$15</f>
        <v>80.7996226466374</v>
      </c>
    </row>
    <row r="306" customFormat="false" ht="15" hidden="false" customHeight="false" outlineLevel="0" collapsed="false">
      <c r="A306" s="49" t="n">
        <v>266</v>
      </c>
      <c r="B306" s="19" t="n">
        <f aca="true">NORMINV(RAND(),$B$6,$C$6)</f>
        <v>0.0273941682711906</v>
      </c>
      <c r="C306" s="19" t="n">
        <f aca="true">MAX(0.3,NORMINV(RAND(),$B$7,$C$7))</f>
        <v>0.474436310666502</v>
      </c>
      <c r="D306" s="32" t="n">
        <f aca="true">MAX(0.06,NORMINV(RAND(),$B$8,$C$8))</f>
        <v>0.0837629598626123</v>
      </c>
      <c r="E306" s="50" t="n">
        <f aca="true">MAX(4,NORMINV(RAND(),$B$9,$C$9))</f>
        <v>8.46785362750701</v>
      </c>
      <c r="F306" s="24" t="n">
        <f aca="false">$B$18*(1+(B306+$B$17)/2)^9</f>
        <v>1176.69770373662</v>
      </c>
      <c r="G306" s="24" t="n">
        <f aca="false">F306*C306</f>
        <v>558.268117330548</v>
      </c>
      <c r="H306" s="24" t="n">
        <f aca="false">E306*G306/(1+D306)^9</f>
        <v>2291.96210755288</v>
      </c>
      <c r="I306" s="24" t="n">
        <f aca="false">$B$13*G306/$B$12*((1+$B$8)/(1+D306))^4.5</f>
        <v>2121.17603238424</v>
      </c>
      <c r="J306" s="24" t="n">
        <f aca="false">H306+I306-$B$14</f>
        <v>3477.34786048507</v>
      </c>
      <c r="K306" s="43" t="n">
        <f aca="false">J306/$B$15</f>
        <v>84.8133624508554</v>
      </c>
    </row>
    <row r="307" customFormat="false" ht="15" hidden="false" customHeight="false" outlineLevel="0" collapsed="false">
      <c r="A307" s="49" t="n">
        <v>267</v>
      </c>
      <c r="B307" s="19" t="n">
        <f aca="true">NORMINV(RAND(),$B$6,$C$6)</f>
        <v>0.0467117112135803</v>
      </c>
      <c r="C307" s="19" t="n">
        <f aca="true">MAX(0.3,NORMINV(RAND(),$B$7,$C$7))</f>
        <v>0.427456321930776</v>
      </c>
      <c r="D307" s="32" t="n">
        <f aca="true">MAX(0.06,NORMINV(RAND(),$B$8,$C$8))</f>
        <v>0.0858971055026283</v>
      </c>
      <c r="E307" s="50" t="n">
        <f aca="true">MAX(4,NORMINV(RAND(),$B$9,$C$9))</f>
        <v>8.02424769784615</v>
      </c>
      <c r="F307" s="24" t="n">
        <f aca="false">$B$18*(1+(B307+$B$17)/2)^9</f>
        <v>1281.0030580758</v>
      </c>
      <c r="G307" s="24" t="n">
        <f aca="false">F307*C307</f>
        <v>547.572855587158</v>
      </c>
      <c r="H307" s="24" t="n">
        <f aca="false">E307*G307/(1+D307)^9</f>
        <v>2092.89845718629</v>
      </c>
      <c r="I307" s="24" t="n">
        <f aca="false">$B$13*G307/$B$12*((1+$B$8)/(1+D307))^4.5</f>
        <v>2062.20162196556</v>
      </c>
      <c r="J307" s="24" t="n">
        <f aca="false">H307+I307-$B$14</f>
        <v>3219.3097996998</v>
      </c>
      <c r="K307" s="43" t="n">
        <f aca="false">J307/$B$15</f>
        <v>78.5197512121902</v>
      </c>
    </row>
    <row r="308" customFormat="false" ht="15" hidden="false" customHeight="false" outlineLevel="0" collapsed="false">
      <c r="A308" s="49" t="n">
        <v>268</v>
      </c>
      <c r="B308" s="19" t="n">
        <f aca="true">NORMINV(RAND(),$B$6,$C$6)</f>
        <v>0.0629384941055451</v>
      </c>
      <c r="C308" s="19" t="n">
        <f aca="true">MAX(0.3,NORMINV(RAND(),$B$7,$C$7))</f>
        <v>0.382187998862221</v>
      </c>
      <c r="D308" s="32" t="n">
        <f aca="true">MAX(0.06,NORMINV(RAND(),$B$8,$C$8))</f>
        <v>0.0804854596698977</v>
      </c>
      <c r="E308" s="50" t="n">
        <f aca="true">MAX(4,NORMINV(RAND(),$B$9,$C$9))</f>
        <v>6.94835478736881</v>
      </c>
      <c r="F308" s="24" t="n">
        <f aca="false">$B$18*(1+(B308+$B$17)/2)^9</f>
        <v>1374.88737785821</v>
      </c>
      <c r="G308" s="24" t="n">
        <f aca="false">F308*C308</f>
        <v>525.465455604555</v>
      </c>
      <c r="H308" s="24" t="n">
        <f aca="false">E308*G308/(1+D308)^9</f>
        <v>1819.09681918949</v>
      </c>
      <c r="I308" s="24" t="n">
        <f aca="false">$B$13*G308/$B$12*((1+$B$8)/(1+D308))^4.5</f>
        <v>2023.93822367972</v>
      </c>
      <c r="J308" s="24" t="n">
        <f aca="false">H308+I308-$B$14</f>
        <v>2907.24476341715</v>
      </c>
      <c r="K308" s="43" t="n">
        <f aca="false">J308/$B$15</f>
        <v>70.908408863833</v>
      </c>
    </row>
    <row r="309" customFormat="false" ht="15" hidden="false" customHeight="false" outlineLevel="0" collapsed="false">
      <c r="A309" s="49" t="n">
        <v>269</v>
      </c>
      <c r="B309" s="19" t="n">
        <f aca="true">NORMINV(RAND(),$B$6,$C$6)</f>
        <v>0.0442573931462765</v>
      </c>
      <c r="C309" s="19" t="n">
        <f aca="true">MAX(0.3,NORMINV(RAND(),$B$7,$C$7))</f>
        <v>0.487491245827056</v>
      </c>
      <c r="D309" s="32" t="n">
        <f aca="true">MAX(0.06,NORMINV(RAND(),$B$8,$C$8))</f>
        <v>0.0994780122517451</v>
      </c>
      <c r="E309" s="50" t="n">
        <f aca="true">MAX(4,NORMINV(RAND(),$B$9,$C$9))</f>
        <v>12.0420318862417</v>
      </c>
      <c r="F309" s="24" t="n">
        <f aca="false">$B$18*(1+(B309+$B$17)/2)^9</f>
        <v>1267.31071053669</v>
      </c>
      <c r="G309" s="24" t="n">
        <f aca="false">F309*C309</f>
        <v>617.802877129504</v>
      </c>
      <c r="H309" s="24" t="n">
        <f aca="false">E309*G309/(1+D309)^9</f>
        <v>3168.62439768285</v>
      </c>
      <c r="I309" s="24" t="n">
        <f aca="false">$B$13*G309/$B$12*((1+$B$8)/(1+D309))^4.5</f>
        <v>2200.13186249586</v>
      </c>
      <c r="J309" s="24" t="n">
        <f aca="false">H309+I309-$B$14</f>
        <v>4432.96598072666</v>
      </c>
      <c r="K309" s="43" t="n">
        <f aca="false">J309/$B$15</f>
        <v>108.121121481138</v>
      </c>
    </row>
    <row r="310" customFormat="false" ht="15" hidden="false" customHeight="false" outlineLevel="0" collapsed="false">
      <c r="A310" s="49" t="n">
        <v>270</v>
      </c>
      <c r="B310" s="19" t="n">
        <f aca="true">NORMINV(RAND(),$B$6,$C$6)</f>
        <v>0.0426000045093687</v>
      </c>
      <c r="C310" s="19" t="n">
        <f aca="true">MAX(0.3,NORMINV(RAND(),$B$7,$C$7))</f>
        <v>0.437232529449556</v>
      </c>
      <c r="D310" s="32" t="n">
        <f aca="true">MAX(0.06,NORMINV(RAND(),$B$8,$C$8))</f>
        <v>0.0864393998436201</v>
      </c>
      <c r="E310" s="50" t="n">
        <f aca="true">MAX(4,NORMINV(RAND(),$B$9,$C$9))</f>
        <v>10.90203197766</v>
      </c>
      <c r="F310" s="24" t="n">
        <f aca="false">$B$18*(1+(B310+$B$17)/2)^9</f>
        <v>1258.13807952099</v>
      </c>
      <c r="G310" s="24" t="n">
        <f aca="false">F310*C310</f>
        <v>550.09889490577</v>
      </c>
      <c r="H310" s="24" t="n">
        <f aca="false">E310*G310/(1+D310)^9</f>
        <v>2843.79745635565</v>
      </c>
      <c r="I310" s="24" t="n">
        <f aca="false">$B$13*G310/$B$12*((1+$B$8)/(1+D310))^4.5</f>
        <v>2067.06552605571</v>
      </c>
      <c r="J310" s="24" t="n">
        <f aca="false">H310+I310-$B$14</f>
        <v>3975.0727029593</v>
      </c>
      <c r="K310" s="43" t="n">
        <f aca="false">J310/$B$15</f>
        <v>96.952992755105</v>
      </c>
    </row>
    <row r="311" customFormat="false" ht="15" hidden="false" customHeight="false" outlineLevel="0" collapsed="false">
      <c r="A311" s="49" t="n">
        <v>271</v>
      </c>
      <c r="B311" s="19" t="n">
        <f aca="true">NORMINV(RAND(),$B$6,$C$6)</f>
        <v>-0.00101349952238426</v>
      </c>
      <c r="C311" s="19" t="n">
        <f aca="true">MAX(0.3,NORMINV(RAND(),$B$7,$C$7))</f>
        <v>0.437327272966386</v>
      </c>
      <c r="D311" s="32" t="n">
        <f aca="true">MAX(0.06,NORMINV(RAND(),$B$8,$C$8))</f>
        <v>0.0853020360565404</v>
      </c>
      <c r="E311" s="50" t="n">
        <f aca="true">MAX(4,NORMINV(RAND(),$B$9,$C$9))</f>
        <v>6.13420328454783</v>
      </c>
      <c r="F311" s="24" t="n">
        <f aca="false">$B$18*(1+(B311+$B$17)/2)^9</f>
        <v>1037.00904361016</v>
      </c>
      <c r="G311" s="24" t="n">
        <f aca="false">F311*C311</f>
        <v>453.512337083513</v>
      </c>
      <c r="H311" s="24" t="n">
        <f aca="false">E311*G311/(1+D311)^9</f>
        <v>1331.65495747191</v>
      </c>
      <c r="I311" s="24" t="n">
        <f aca="false">$B$13*G311/$B$12*((1+$B$8)/(1+D311))^4.5</f>
        <v>1712.18062686649</v>
      </c>
      <c r="J311" s="24" t="n">
        <f aca="false">H311+I311-$B$14</f>
        <v>2108.04530488635</v>
      </c>
      <c r="K311" s="43" t="n">
        <f aca="false">J311/$B$15</f>
        <v>51.4157391435695</v>
      </c>
    </row>
    <row r="312" customFormat="false" ht="15" hidden="false" customHeight="false" outlineLevel="0" collapsed="false">
      <c r="A312" s="49" t="n">
        <v>272</v>
      </c>
      <c r="B312" s="19" t="n">
        <f aca="true">NORMINV(RAND(),$B$6,$C$6)</f>
        <v>-0.000785141169954873</v>
      </c>
      <c r="C312" s="19" t="n">
        <f aca="true">MAX(0.3,NORMINV(RAND(),$B$7,$C$7))</f>
        <v>0.403828458272629</v>
      </c>
      <c r="D312" s="32" t="n">
        <f aca="true">MAX(0.06,NORMINV(RAND(),$B$8,$C$8))</f>
        <v>0.0890779666163206</v>
      </c>
      <c r="E312" s="50" t="n">
        <f aca="true">MAX(4,NORMINV(RAND(),$B$9,$C$9))</f>
        <v>6.59570213760556</v>
      </c>
      <c r="F312" s="24" t="n">
        <f aca="false">$B$18*(1+(B312+$B$17)/2)^9</f>
        <v>1038.07040285111</v>
      </c>
      <c r="G312" s="24" t="n">
        <f aca="false">F312*C312</f>
        <v>419.202370361809</v>
      </c>
      <c r="H312" s="24" t="n">
        <f aca="false">E312*G312/(1+D312)^9</f>
        <v>1282.78542825836</v>
      </c>
      <c r="I312" s="24" t="n">
        <f aca="false">$B$13*G312/$B$12*((1+$B$8)/(1+D312))^4.5</f>
        <v>1558.10459842917</v>
      </c>
      <c r="J312" s="24" t="n">
        <f aca="false">H312+I312-$B$14</f>
        <v>1905.09974723548</v>
      </c>
      <c r="K312" s="43" t="n">
        <f aca="false">J312/$B$15</f>
        <v>46.4658474935483</v>
      </c>
    </row>
    <row r="313" customFormat="false" ht="15" hidden="false" customHeight="false" outlineLevel="0" collapsed="false">
      <c r="A313" s="49" t="n">
        <v>273</v>
      </c>
      <c r="B313" s="19" t="n">
        <f aca="true">NORMINV(RAND(),$B$6,$C$6)</f>
        <v>0.0693071923327046</v>
      </c>
      <c r="C313" s="19" t="n">
        <f aca="true">MAX(0.3,NORMINV(RAND(),$B$7,$C$7))</f>
        <v>0.471230519624701</v>
      </c>
      <c r="D313" s="32" t="n">
        <f aca="true">MAX(0.06,NORMINV(RAND(),$B$8,$C$8))</f>
        <v>0.0807420057424898</v>
      </c>
      <c r="E313" s="50" t="n">
        <f aca="true">MAX(4,NORMINV(RAND(),$B$9,$C$9))</f>
        <v>8.09906504963175</v>
      </c>
      <c r="F313" s="24" t="n">
        <f aca="false">$B$18*(1+(B313+$B$17)/2)^9</f>
        <v>1413.3745913541</v>
      </c>
      <c r="G313" s="24" t="n">
        <f aca="false">F313*C313</f>
        <v>666.02524310814</v>
      </c>
      <c r="H313" s="24" t="n">
        <f aca="false">E313*G313/(1+D313)^9</f>
        <v>2681.8055870632</v>
      </c>
      <c r="I313" s="24" t="n">
        <f aca="false">$B$13*G313/$B$12*((1+$B$8)/(1+D313))^4.5</f>
        <v>2562.59396911101</v>
      </c>
      <c r="J313" s="24" t="n">
        <f aca="false">H313+I313-$B$14</f>
        <v>4308.60927672216</v>
      </c>
      <c r="K313" s="43" t="n">
        <f aca="false">J313/$B$15</f>
        <v>105.088031139565</v>
      </c>
    </row>
    <row r="314" customFormat="false" ht="15" hidden="false" customHeight="false" outlineLevel="0" collapsed="false">
      <c r="A314" s="49" t="n">
        <v>274</v>
      </c>
      <c r="B314" s="19" t="n">
        <f aca="true">NORMINV(RAND(),$B$6,$C$6)</f>
        <v>0.00647047049656117</v>
      </c>
      <c r="C314" s="19" t="n">
        <f aca="true">MAX(0.3,NORMINV(RAND(),$B$7,$C$7))</f>
        <v>0.444291788535667</v>
      </c>
      <c r="D314" s="32" t="n">
        <f aca="true">MAX(0.06,NORMINV(RAND(),$B$8,$C$8))</f>
        <v>0.0869174111507346</v>
      </c>
      <c r="E314" s="50" t="n">
        <f aca="true">MAX(4,NORMINV(RAND(),$B$9,$C$9))</f>
        <v>7.50106015635792</v>
      </c>
      <c r="F314" s="24" t="n">
        <f aca="false">$B$18*(1+(B314+$B$17)/2)^9</f>
        <v>1072.29967925642</v>
      </c>
      <c r="G314" s="24" t="n">
        <f aca="false">F314*C314</f>
        <v>476.413942343058</v>
      </c>
      <c r="H314" s="24" t="n">
        <f aca="false">E314*G314/(1+D314)^9</f>
        <v>1687.86691272751</v>
      </c>
      <c r="I314" s="24" t="n">
        <f aca="false">$B$13*G314/$B$12*((1+$B$8)/(1+D314))^4.5</f>
        <v>1786.6449652558</v>
      </c>
      <c r="J314" s="24" t="n">
        <f aca="false">H314+I314-$B$14</f>
        <v>2538.72159853125</v>
      </c>
      <c r="K314" s="43" t="n">
        <f aca="false">J314/$B$15</f>
        <v>61.9200389885671</v>
      </c>
    </row>
    <row r="315" customFormat="false" ht="15" hidden="false" customHeight="false" outlineLevel="0" collapsed="false">
      <c r="A315" s="49" t="n">
        <v>275</v>
      </c>
      <c r="B315" s="19" t="n">
        <f aca="true">NORMINV(RAND(),$B$6,$C$6)</f>
        <v>0.114942596418991</v>
      </c>
      <c r="C315" s="19" t="n">
        <f aca="true">MAX(0.3,NORMINV(RAND(),$B$7,$C$7))</f>
        <v>0.415963800207832</v>
      </c>
      <c r="D315" s="32" t="n">
        <f aca="true">MAX(0.06,NORMINV(RAND(),$B$8,$C$8))</f>
        <v>0.0858329691473158</v>
      </c>
      <c r="E315" s="50" t="n">
        <f aca="true">MAX(4,NORMINV(RAND(),$B$9,$C$9))</f>
        <v>11.2123871849967</v>
      </c>
      <c r="F315" s="24" t="n">
        <f aca="false">$B$18*(1+(B315+$B$17)/2)^9</f>
        <v>1718.36017703146</v>
      </c>
      <c r="G315" s="24" t="n">
        <f aca="false">F315*C315</f>
        <v>714.77562936381</v>
      </c>
      <c r="H315" s="24" t="n">
        <f aca="false">E315*G315/(1+D315)^9</f>
        <v>3819.44804604989</v>
      </c>
      <c r="I315" s="24" t="n">
        <f aca="false">$B$13*G315/$B$12*((1+$B$8)/(1+D315))^4.5</f>
        <v>2692.61574752345</v>
      </c>
      <c r="J315" s="24" t="n">
        <f aca="false">H315+I315-$B$14</f>
        <v>5576.27351412128</v>
      </c>
      <c r="K315" s="43" t="n">
        <f aca="false">J315/$B$15</f>
        <v>136.006671076129</v>
      </c>
    </row>
    <row r="316" customFormat="false" ht="15" hidden="false" customHeight="false" outlineLevel="0" collapsed="false">
      <c r="A316" s="49" t="n">
        <v>276</v>
      </c>
      <c r="B316" s="19" t="n">
        <f aca="true">NORMINV(RAND(),$B$6,$C$6)</f>
        <v>-0.0137155144872136</v>
      </c>
      <c r="C316" s="19" t="n">
        <f aca="true">MAX(0.3,NORMINV(RAND(),$B$7,$C$7))</f>
        <v>0.451040387489026</v>
      </c>
      <c r="D316" s="32" t="n">
        <f aca="true">MAX(0.06,NORMINV(RAND(),$B$8,$C$8))</f>
        <v>0.0710601342844141</v>
      </c>
      <c r="E316" s="50" t="n">
        <f aca="true">MAX(4,NORMINV(RAND(),$B$9,$C$9))</f>
        <v>5.34380239601521</v>
      </c>
      <c r="F316" s="24" t="n">
        <f aca="false">$B$18*(1+(B316+$B$17)/2)^9</f>
        <v>979.470277589079</v>
      </c>
      <c r="G316" s="24" t="n">
        <f aca="false">F316*C316</f>
        <v>441.780653537762</v>
      </c>
      <c r="H316" s="24" t="n">
        <f aca="false">E316*G316/(1+D316)^9</f>
        <v>1272.7185975533</v>
      </c>
      <c r="I316" s="24" t="n">
        <f aca="false">$B$13*G316/$B$12*((1+$B$8)/(1+D316))^4.5</f>
        <v>1770.03803805701</v>
      </c>
      <c r="J316" s="24" t="n">
        <f aca="false">H316+I316-$B$14</f>
        <v>2106.96635615826</v>
      </c>
      <c r="K316" s="43" t="n">
        <f aca="false">J316/$B$15</f>
        <v>51.3894233209331</v>
      </c>
    </row>
    <row r="317" customFormat="false" ht="15" hidden="false" customHeight="false" outlineLevel="0" collapsed="false">
      <c r="A317" s="49" t="n">
        <v>277</v>
      </c>
      <c r="B317" s="19" t="n">
        <f aca="true">NORMINV(RAND(),$B$6,$C$6)</f>
        <v>0.0227662988002637</v>
      </c>
      <c r="C317" s="19" t="n">
        <f aca="true">MAX(0.3,NORMINV(RAND(),$B$7,$C$7))</f>
        <v>0.454084627120323</v>
      </c>
      <c r="D317" s="32" t="n">
        <f aca="true">MAX(0.06,NORMINV(RAND(),$B$8,$C$8))</f>
        <v>0.0834026224370994</v>
      </c>
      <c r="E317" s="50" t="n">
        <f aca="true">MAX(4,NORMINV(RAND(),$B$9,$C$9))</f>
        <v>8.58823546167061</v>
      </c>
      <c r="F317" s="24" t="n">
        <f aca="false">$B$18*(1+(B317+$B$17)/2)^9</f>
        <v>1152.85966523357</v>
      </c>
      <c r="G317" s="24" t="n">
        <f aca="false">F317*C317</f>
        <v>523.495851209646</v>
      </c>
      <c r="H317" s="24" t="n">
        <f aca="false">E317*G317/(1+D317)^9</f>
        <v>2186.29239791713</v>
      </c>
      <c r="I317" s="24" t="n">
        <f aca="false">$B$13*G317/$B$12*((1+$B$8)/(1+D317))^4.5</f>
        <v>1992.03528026736</v>
      </c>
      <c r="J317" s="24" t="n">
        <f aca="false">H317+I317-$B$14</f>
        <v>3242.53739873243</v>
      </c>
      <c r="K317" s="43" t="n">
        <f aca="false">J317/$B$15</f>
        <v>79.0862780178642</v>
      </c>
    </row>
    <row r="318" customFormat="false" ht="15" hidden="false" customHeight="false" outlineLevel="0" collapsed="false">
      <c r="A318" s="49" t="n">
        <v>278</v>
      </c>
      <c r="B318" s="19" t="n">
        <f aca="true">NORMINV(RAND(),$B$6,$C$6)</f>
        <v>0.0443144934323792</v>
      </c>
      <c r="C318" s="19" t="n">
        <f aca="true">MAX(0.3,NORMINV(RAND(),$B$7,$C$7))</f>
        <v>0.447298834102503</v>
      </c>
      <c r="D318" s="32" t="n">
        <f aca="true">MAX(0.06,NORMINV(RAND(),$B$8,$C$8))</f>
        <v>0.0811967285969012</v>
      </c>
      <c r="E318" s="50" t="n">
        <f aca="true">MAX(4,NORMINV(RAND(),$B$9,$C$9))</f>
        <v>10.521749583473</v>
      </c>
      <c r="F318" s="24" t="n">
        <f aca="false">$B$18*(1+(B318+$B$17)/2)^9</f>
        <v>1267.62778212456</v>
      </c>
      <c r="G318" s="24" t="n">
        <f aca="false">F318*C318</f>
        <v>567.008429020257</v>
      </c>
      <c r="H318" s="24" t="n">
        <f aca="false">E318*G318/(1+D318)^9</f>
        <v>2954.84680544383</v>
      </c>
      <c r="I318" s="24" t="n">
        <f aca="false">$B$13*G318/$B$12*((1+$B$8)/(1+D318))^4.5</f>
        <v>2177.49173123469</v>
      </c>
      <c r="J318" s="24" t="n">
        <f aca="false">H318+I318-$B$14</f>
        <v>4196.54825722647</v>
      </c>
      <c r="K318" s="43" t="n">
        <f aca="false">J318/$B$15</f>
        <v>102.354835542109</v>
      </c>
    </row>
    <row r="319" customFormat="false" ht="15" hidden="false" customHeight="false" outlineLevel="0" collapsed="false">
      <c r="A319" s="49" t="n">
        <v>279</v>
      </c>
      <c r="B319" s="19" t="n">
        <f aca="true">NORMINV(RAND(),$B$6,$C$6)</f>
        <v>0.0126367316369989</v>
      </c>
      <c r="C319" s="19" t="n">
        <f aca="true">MAX(0.3,NORMINV(RAND(),$B$7,$C$7))</f>
        <v>0.481580983192526</v>
      </c>
      <c r="D319" s="32" t="n">
        <f aca="true">MAX(0.06,NORMINV(RAND(),$B$8,$C$8))</f>
        <v>0.0679972312924806</v>
      </c>
      <c r="E319" s="50" t="n">
        <f aca="true">MAX(4,NORMINV(RAND(),$B$9,$C$9))</f>
        <v>8.72876336933655</v>
      </c>
      <c r="F319" s="24" t="n">
        <f aca="false">$B$18*(1+(B319+$B$17)/2)^9</f>
        <v>1102.17456969386</v>
      </c>
      <c r="G319" s="24" t="n">
        <f aca="false">F319*C319</f>
        <v>530.786312922971</v>
      </c>
      <c r="H319" s="24" t="n">
        <f aca="false">E319*G319/(1+D319)^9</f>
        <v>2562.95684924351</v>
      </c>
      <c r="I319" s="24" t="n">
        <f aca="false">$B$13*G319/$B$12*((1+$B$8)/(1+D319))^4.5</f>
        <v>2154.2316267857</v>
      </c>
      <c r="J319" s="24" t="n">
        <f aca="false">H319+I319-$B$14</f>
        <v>3781.39819657715</v>
      </c>
      <c r="K319" s="43" t="n">
        <f aca="false">J319/$B$15</f>
        <v>92.2292243067597</v>
      </c>
    </row>
    <row r="320" customFormat="false" ht="15" hidden="false" customHeight="false" outlineLevel="0" collapsed="false">
      <c r="A320" s="49" t="n">
        <v>280</v>
      </c>
      <c r="B320" s="19" t="n">
        <f aca="true">NORMINV(RAND(),$B$6,$C$6)</f>
        <v>0.0246979724209656</v>
      </c>
      <c r="C320" s="19" t="n">
        <f aca="true">MAX(0.3,NORMINV(RAND(),$B$7,$C$7))</f>
        <v>0.442031925128982</v>
      </c>
      <c r="D320" s="32" t="n">
        <f aca="true">MAX(0.06,NORMINV(RAND(),$B$8,$C$8))</f>
        <v>0.0790500934410117</v>
      </c>
      <c r="E320" s="50" t="n">
        <f aca="true">MAX(4,NORMINV(RAND(),$B$9,$C$9))</f>
        <v>7.49868988106973</v>
      </c>
      <c r="F320" s="24" t="n">
        <f aca="false">$B$18*(1+(B320+$B$17)/2)^9</f>
        <v>1162.75696123271</v>
      </c>
      <c r="G320" s="24" t="n">
        <f aca="false">F320*C320</f>
        <v>513.975698030822</v>
      </c>
      <c r="H320" s="24" t="n">
        <f aca="false">E320*G320/(1+D320)^9</f>
        <v>1943.36115685022</v>
      </c>
      <c r="I320" s="24" t="n">
        <f aca="false">$B$13*G320/$B$12*((1+$B$8)/(1+D320))^4.5</f>
        <v>1991.56097569874</v>
      </c>
      <c r="J320" s="24" t="n">
        <f aca="false">H320+I320-$B$14</f>
        <v>2999.13185309691</v>
      </c>
      <c r="K320" s="43" t="n">
        <f aca="false">J320/$B$15</f>
        <v>73.1495573926075</v>
      </c>
    </row>
    <row r="321" customFormat="false" ht="15" hidden="false" customHeight="false" outlineLevel="0" collapsed="false">
      <c r="A321" s="49" t="n">
        <v>281</v>
      </c>
      <c r="B321" s="19" t="n">
        <f aca="true">NORMINV(RAND(),$B$6,$C$6)</f>
        <v>0.0310382003698926</v>
      </c>
      <c r="C321" s="19" t="n">
        <f aca="true">MAX(0.3,NORMINV(RAND(),$B$7,$C$7))</f>
        <v>0.373790434585655</v>
      </c>
      <c r="D321" s="32" t="n">
        <f aca="true">MAX(0.06,NORMINV(RAND(),$B$8,$C$8))</f>
        <v>0.0790525231717457</v>
      </c>
      <c r="E321" s="50" t="n">
        <f aca="true">MAX(4,NORMINV(RAND(),$B$9,$C$9))</f>
        <v>7.79500244873582</v>
      </c>
      <c r="F321" s="24" t="n">
        <f aca="false">$B$18*(1+(B321+$B$17)/2)^9</f>
        <v>1195.7752919686</v>
      </c>
      <c r="G321" s="24" t="n">
        <f aca="false">F321*C321</f>
        <v>446.969366051731</v>
      </c>
      <c r="H321" s="24" t="n">
        <f aca="false">E321*G321/(1+D321)^9</f>
        <v>1756.75320072277</v>
      </c>
      <c r="I321" s="24" t="n">
        <f aca="false">$B$13*G321/$B$12*((1+$B$8)/(1+D321))^4.5</f>
        <v>1731.9062561805</v>
      </c>
      <c r="J321" s="24" t="n">
        <f aca="false">H321+I321-$B$14</f>
        <v>2552.86917745122</v>
      </c>
      <c r="K321" s="43" t="n">
        <f aca="false">J321/$B$15</f>
        <v>62.2651018890541</v>
      </c>
    </row>
    <row r="322" customFormat="false" ht="15" hidden="false" customHeight="false" outlineLevel="0" collapsed="false">
      <c r="A322" s="49" t="n">
        <v>282</v>
      </c>
      <c r="B322" s="19" t="n">
        <f aca="true">NORMINV(RAND(),$B$6,$C$6)</f>
        <v>0.0246717167423865</v>
      </c>
      <c r="C322" s="19" t="n">
        <f aca="true">MAX(0.3,NORMINV(RAND(),$B$7,$C$7))</f>
        <v>0.437073023095356</v>
      </c>
      <c r="D322" s="32" t="n">
        <f aca="true">MAX(0.06,NORMINV(RAND(),$B$8,$C$8))</f>
        <v>0.0762313650662074</v>
      </c>
      <c r="E322" s="50" t="n">
        <f aca="true">MAX(4,NORMINV(RAND(),$B$9,$C$9))</f>
        <v>9.37187344561374</v>
      </c>
      <c r="F322" s="24" t="n">
        <f aca="false">$B$18*(1+(B322+$B$17)/2)^9</f>
        <v>1162.6219305896</v>
      </c>
      <c r="G322" s="24" t="n">
        <f aca="false">F322*C322</f>
        <v>508.150681919754</v>
      </c>
      <c r="H322" s="24" t="n">
        <f aca="false">E322*G322/(1+D322)^9</f>
        <v>2458.48818571875</v>
      </c>
      <c r="I322" s="24" t="n">
        <f aca="false">$B$13*G322/$B$12*((1+$B$8)/(1+D322))^4.5</f>
        <v>1992.30288700378</v>
      </c>
      <c r="J322" s="24" t="n">
        <f aca="false">H322+I322-$B$14</f>
        <v>3515.00079327047</v>
      </c>
      <c r="K322" s="43" t="n">
        <f aca="false">J322/$B$15</f>
        <v>85.7317266651335</v>
      </c>
    </row>
    <row r="323" customFormat="false" ht="15" hidden="false" customHeight="false" outlineLevel="0" collapsed="false">
      <c r="A323" s="49" t="n">
        <v>283</v>
      </c>
      <c r="B323" s="19" t="n">
        <f aca="true">NORMINV(RAND(),$B$6,$C$6)</f>
        <v>-0.00163398402535967</v>
      </c>
      <c r="C323" s="19" t="n">
        <f aca="true">MAX(0.3,NORMINV(RAND(),$B$7,$C$7))</f>
        <v>0.425384179753959</v>
      </c>
      <c r="D323" s="32" t="n">
        <f aca="true">MAX(0.06,NORMINV(RAND(),$B$8,$C$8))</f>
        <v>0.0718349127966022</v>
      </c>
      <c r="E323" s="50" t="n">
        <f aca="true">MAX(4,NORMINV(RAND(),$B$9,$C$9))</f>
        <v>9.48446057911165</v>
      </c>
      <c r="F323" s="24" t="n">
        <f aca="false">$B$18*(1+(B323+$B$17)/2)^9</f>
        <v>1034.13003811375</v>
      </c>
      <c r="G323" s="24" t="n">
        <f aca="false">F323*C323</f>
        <v>439.902558021948</v>
      </c>
      <c r="H323" s="24" t="n">
        <f aca="false">E323*G323/(1+D323)^9</f>
        <v>2234.69383341912</v>
      </c>
      <c r="I323" s="24" t="n">
        <f aca="false">$B$13*G323/$B$12*((1+$B$8)/(1+D323))^4.5</f>
        <v>1756.78734322387</v>
      </c>
      <c r="J323" s="24" t="n">
        <f aca="false">H323+I323-$B$14</f>
        <v>3055.69089719094</v>
      </c>
      <c r="K323" s="43" t="n">
        <f aca="false">J323/$B$15</f>
        <v>74.5290462729498</v>
      </c>
    </row>
    <row r="324" customFormat="false" ht="15" hidden="false" customHeight="false" outlineLevel="0" collapsed="false">
      <c r="A324" s="49" t="n">
        <v>284</v>
      </c>
      <c r="B324" s="19" t="n">
        <f aca="true">NORMINV(RAND(),$B$6,$C$6)</f>
        <v>-0.0240670974473036</v>
      </c>
      <c r="C324" s="19" t="n">
        <f aca="true">MAX(0.3,NORMINV(RAND(),$B$7,$C$7))</f>
        <v>0.411913855080719</v>
      </c>
      <c r="D324" s="32" t="n">
        <f aca="true">MAX(0.06,NORMINV(RAND(),$B$8,$C$8))</f>
        <v>0.0789158428691785</v>
      </c>
      <c r="E324" s="50" t="n">
        <f aca="true">MAX(4,NORMINV(RAND(),$B$9,$C$9))</f>
        <v>7.64893778199643</v>
      </c>
      <c r="F324" s="24" t="n">
        <f aca="false">$B$18*(1+(B324+$B$17)/2)^9</f>
        <v>934.69628816883</v>
      </c>
      <c r="G324" s="24" t="n">
        <f aca="false">F324*C324</f>
        <v>385.014351389262</v>
      </c>
      <c r="H324" s="24" t="n">
        <f aca="false">E324*G324/(1+D324)^9</f>
        <v>1486.58557125942</v>
      </c>
      <c r="I324" s="24" t="n">
        <f aca="false">$B$13*G324/$B$12*((1+$B$8)/(1+D324))^4.5</f>
        <v>1492.69509024908</v>
      </c>
      <c r="J324" s="24" t="n">
        <f aca="false">H324+I324-$B$14</f>
        <v>2043.49038205645</v>
      </c>
      <c r="K324" s="43" t="n">
        <f aca="false">J324/$B$15</f>
        <v>49.841228830645</v>
      </c>
    </row>
    <row r="325" customFormat="false" ht="15" hidden="false" customHeight="false" outlineLevel="0" collapsed="false">
      <c r="A325" s="49" t="n">
        <v>285</v>
      </c>
      <c r="B325" s="19" t="n">
        <f aca="true">NORMINV(RAND(),$B$6,$C$6)</f>
        <v>0.0234260061152363</v>
      </c>
      <c r="C325" s="19" t="n">
        <f aca="true">MAX(0.3,NORMINV(RAND(),$B$7,$C$7))</f>
        <v>0.412919214493581</v>
      </c>
      <c r="D325" s="32" t="n">
        <f aca="true">MAX(0.06,NORMINV(RAND(),$B$8,$C$8))</f>
        <v>0.0736292028182498</v>
      </c>
      <c r="E325" s="50" t="n">
        <f aca="true">MAX(4,NORMINV(RAND(),$B$9,$C$9))</f>
        <v>6.48822248350525</v>
      </c>
      <c r="F325" s="24" t="n">
        <f aca="false">$B$18*(1+(B325+$B$17)/2)^9</f>
        <v>1156.23134749471</v>
      </c>
      <c r="G325" s="24" t="n">
        <f aca="false">F325*C325</f>
        <v>477.430139780372</v>
      </c>
      <c r="H325" s="24" t="n">
        <f aca="false">E325*G325/(1+D325)^9</f>
        <v>1634.35623141138</v>
      </c>
      <c r="I325" s="24" t="n">
        <f aca="false">$B$13*G325/$B$12*((1+$B$8)/(1+D325))^4.5</f>
        <v>1892.35958268047</v>
      </c>
      <c r="J325" s="24" t="n">
        <f aca="false">H325+I325-$B$14</f>
        <v>2590.9255346398</v>
      </c>
      <c r="K325" s="43" t="n">
        <f aca="false">J325/$B$15</f>
        <v>63.193305722922</v>
      </c>
    </row>
    <row r="326" customFormat="false" ht="15" hidden="false" customHeight="false" outlineLevel="0" collapsed="false">
      <c r="A326" s="49" t="n">
        <v>286</v>
      </c>
      <c r="B326" s="19" t="n">
        <f aca="true">NORMINV(RAND(),$B$6,$C$6)</f>
        <v>0.00664437030557492</v>
      </c>
      <c r="C326" s="19" t="n">
        <f aca="true">MAX(0.3,NORMINV(RAND(),$B$7,$C$7))</f>
        <v>0.473221259522445</v>
      </c>
      <c r="D326" s="32" t="n">
        <f aca="true">MAX(0.06,NORMINV(RAND(),$B$8,$C$8))</f>
        <v>0.0725728480561758</v>
      </c>
      <c r="E326" s="50" t="n">
        <f aca="true">MAX(4,NORMINV(RAND(),$B$9,$C$9))</f>
        <v>9.24050862554603</v>
      </c>
      <c r="F326" s="24" t="n">
        <f aca="false">$B$18*(1+(B326+$B$17)/2)^9</f>
        <v>1073.13223964079</v>
      </c>
      <c r="G326" s="24" t="n">
        <f aca="false">F326*C326</f>
        <v>507.828990076957</v>
      </c>
      <c r="H326" s="24" t="n">
        <f aca="false">E326*G326/(1+D326)^9</f>
        <v>2497.88349281511</v>
      </c>
      <c r="I326" s="24" t="n">
        <f aca="false">$B$13*G326/$B$12*((1+$B$8)/(1+D326))^4.5</f>
        <v>2021.78582900976</v>
      </c>
      <c r="J326" s="24" t="n">
        <f aca="false">H326+I326-$B$14</f>
        <v>3583.87904237281</v>
      </c>
      <c r="K326" s="43" t="n">
        <f aca="false">J326/$B$15</f>
        <v>87.4116839603125</v>
      </c>
    </row>
    <row r="327" customFormat="false" ht="15" hidden="false" customHeight="false" outlineLevel="0" collapsed="false">
      <c r="A327" s="49" t="n">
        <v>287</v>
      </c>
      <c r="B327" s="19" t="n">
        <f aca="true">NORMINV(RAND(),$B$6,$C$6)</f>
        <v>0.0203654662205029</v>
      </c>
      <c r="C327" s="19" t="n">
        <f aca="true">MAX(0.3,NORMINV(RAND(),$B$7,$C$7))</f>
        <v>0.412412659576181</v>
      </c>
      <c r="D327" s="32" t="n">
        <f aca="true">MAX(0.06,NORMINV(RAND(),$B$8,$C$8))</f>
        <v>0.0785500261695588</v>
      </c>
      <c r="E327" s="50" t="n">
        <f aca="true">MAX(4,NORMINV(RAND(),$B$9,$C$9))</f>
        <v>7.50709130351516</v>
      </c>
      <c r="F327" s="24" t="n">
        <f aca="false">$B$18*(1+(B327+$B$17)/2)^9</f>
        <v>1140.6629617844</v>
      </c>
      <c r="G327" s="24" t="n">
        <f aca="false">F327*C327</f>
        <v>470.423845749548</v>
      </c>
      <c r="H327" s="24" t="n">
        <f aca="false">E327*G327/(1+D327)^9</f>
        <v>1788.1270893487</v>
      </c>
      <c r="I327" s="24" t="n">
        <f aca="false">$B$13*G327/$B$12*((1+$B$8)/(1+D327))^4.5</f>
        <v>1826.61180111264</v>
      </c>
      <c r="J327" s="24" t="n">
        <f aca="false">H327+I327-$B$14</f>
        <v>2678.94861100929</v>
      </c>
      <c r="K327" s="43" t="n">
        <f aca="false">J327/$B$15</f>
        <v>65.3402100246169</v>
      </c>
    </row>
    <row r="328" customFormat="false" ht="15" hidden="false" customHeight="false" outlineLevel="0" collapsed="false">
      <c r="A328" s="49" t="n">
        <v>288</v>
      </c>
      <c r="B328" s="19" t="n">
        <f aca="true">NORMINV(RAND(),$B$6,$C$6)</f>
        <v>0.0346404494700604</v>
      </c>
      <c r="C328" s="19" t="n">
        <f aca="true">MAX(0.3,NORMINV(RAND(),$B$7,$C$7))</f>
        <v>0.436447233852305</v>
      </c>
      <c r="D328" s="32" t="n">
        <f aca="true">MAX(0.06,NORMINV(RAND(),$B$8,$C$8))</f>
        <v>0.0692467475302002</v>
      </c>
      <c r="E328" s="50" t="n">
        <f aca="true">MAX(4,NORMINV(RAND(),$B$9,$C$9))</f>
        <v>6.43803630300249</v>
      </c>
      <c r="F328" s="24" t="n">
        <f aca="false">$B$18*(1+(B328+$B$17)/2)^9</f>
        <v>1214.90385979763</v>
      </c>
      <c r="G328" s="24" t="n">
        <f aca="false">F328*C328</f>
        <v>530.241429005165</v>
      </c>
      <c r="H328" s="24" t="n">
        <f aca="false">E328*G328/(1+D328)^9</f>
        <v>1868.6399846278</v>
      </c>
      <c r="I328" s="24" t="n">
        <f aca="false">$B$13*G328/$B$12*((1+$B$8)/(1+D328))^4.5</f>
        <v>2140.72652123916</v>
      </c>
      <c r="J328" s="24" t="n">
        <f aca="false">H328+I328-$B$14</f>
        <v>3073.5762264149</v>
      </c>
      <c r="K328" s="43" t="n">
        <f aca="false">J328/$B$15</f>
        <v>74.9652738149976</v>
      </c>
    </row>
    <row r="329" customFormat="false" ht="15" hidden="false" customHeight="false" outlineLevel="0" collapsed="false">
      <c r="A329" s="49" t="n">
        <v>289</v>
      </c>
      <c r="B329" s="19" t="n">
        <f aca="true">NORMINV(RAND(),$B$6,$C$6)</f>
        <v>0.0262563397344439</v>
      </c>
      <c r="C329" s="19" t="n">
        <f aca="true">MAX(0.3,NORMINV(RAND(),$B$7,$C$7))</f>
        <v>0.427675292916258</v>
      </c>
      <c r="D329" s="32" t="n">
        <f aca="true">MAX(0.06,NORMINV(RAND(),$B$8,$C$8))</f>
        <v>0.0649243989966469</v>
      </c>
      <c r="E329" s="50" t="n">
        <f aca="true">MAX(4,NORMINV(RAND(),$B$9,$C$9))</f>
        <v>9.74970067897874</v>
      </c>
      <c r="F329" s="24" t="n">
        <f aca="false">$B$18*(1+(B329+$B$17)/2)^9</f>
        <v>1170.79651923611</v>
      </c>
      <c r="G329" s="24" t="n">
        <f aca="false">F329*C329</f>
        <v>500.72074430964</v>
      </c>
      <c r="H329" s="24" t="n">
        <f aca="false">E329*G329/(1+D329)^9</f>
        <v>2771.51906001465</v>
      </c>
      <c r="I329" s="24" t="n">
        <f aca="false">$B$13*G329/$B$12*((1+$B$8)/(1+D329))^4.5</f>
        <v>2058.72973986916</v>
      </c>
      <c r="J329" s="24" t="n">
        <f aca="false">H329+I329-$B$14</f>
        <v>3894.45852043175</v>
      </c>
      <c r="K329" s="43" t="n">
        <f aca="false">J329/$B$15</f>
        <v>94.9867931812622</v>
      </c>
    </row>
    <row r="330" customFormat="false" ht="15" hidden="false" customHeight="false" outlineLevel="0" collapsed="false">
      <c r="A330" s="49" t="n">
        <v>290</v>
      </c>
      <c r="B330" s="19" t="n">
        <f aca="true">NORMINV(RAND(),$B$6,$C$6)</f>
        <v>0.0409362754091505</v>
      </c>
      <c r="C330" s="19" t="n">
        <f aca="true">MAX(0.3,NORMINV(RAND(),$B$7,$C$7))</f>
        <v>0.463260052680629</v>
      </c>
      <c r="D330" s="32" t="n">
        <f aca="true">MAX(0.06,NORMINV(RAND(),$B$8,$C$8))</f>
        <v>0.0831009378193624</v>
      </c>
      <c r="E330" s="50" t="n">
        <f aca="true">MAX(4,NORMINV(RAND(),$B$9,$C$9))</f>
        <v>5.99260729019439</v>
      </c>
      <c r="F330" s="24" t="n">
        <f aca="false">$B$18*(1+(B330+$B$17)/2)^9</f>
        <v>1248.98975798729</v>
      </c>
      <c r="G330" s="24" t="n">
        <f aca="false">F330*C330</f>
        <v>578.607061082756</v>
      </c>
      <c r="H330" s="24" t="n">
        <f aca="false">E330*G330/(1+D330)^9</f>
        <v>1690.35981903255</v>
      </c>
      <c r="I330" s="24" t="n">
        <f aca="false">$B$13*G330/$B$12*((1+$B$8)/(1+D330))^4.5</f>
        <v>2204.50855576029</v>
      </c>
      <c r="J330" s="24" t="n">
        <f aca="false">H330+I330-$B$14</f>
        <v>2959.07809534078</v>
      </c>
      <c r="K330" s="43" t="n">
        <f aca="false">J330/$B$15</f>
        <v>72.1726364717263</v>
      </c>
    </row>
    <row r="331" customFormat="false" ht="15" hidden="false" customHeight="false" outlineLevel="0" collapsed="false">
      <c r="A331" s="49" t="n">
        <v>291</v>
      </c>
      <c r="B331" s="19" t="n">
        <f aca="true">NORMINV(RAND(),$B$6,$C$6)</f>
        <v>0.0366820160342968</v>
      </c>
      <c r="C331" s="19" t="n">
        <f aca="true">MAX(0.3,NORMINV(RAND(),$B$7,$C$7))</f>
        <v>0.391381159742741</v>
      </c>
      <c r="D331" s="32" t="n">
        <f aca="true">MAX(0.06,NORMINV(RAND(),$B$8,$C$8))</f>
        <v>0.0860659443744374</v>
      </c>
      <c r="E331" s="50" t="n">
        <f aca="true">MAX(4,NORMINV(RAND(),$B$9,$C$9))</f>
        <v>9.53044877481488</v>
      </c>
      <c r="F331" s="24" t="n">
        <f aca="false">$B$18*(1+(B331+$B$17)/2)^9</f>
        <v>1225.8652631798</v>
      </c>
      <c r="G331" s="24" t="n">
        <f aca="false">F331*C331</f>
        <v>479.78056839165</v>
      </c>
      <c r="H331" s="24" t="n">
        <f aca="false">E331*G331/(1+D331)^9</f>
        <v>2174.95484011703</v>
      </c>
      <c r="I331" s="24" t="n">
        <f aca="false">$B$13*G331/$B$12*((1+$B$8)/(1+D331))^4.5</f>
        <v>1805.62694228806</v>
      </c>
      <c r="J331" s="24" t="n">
        <f aca="false">H331+I331-$B$14</f>
        <v>3044.79150295304</v>
      </c>
      <c r="K331" s="43" t="n">
        <f aca="false">J331/$B$15</f>
        <v>74.2632073890985</v>
      </c>
    </row>
    <row r="332" customFormat="false" ht="15" hidden="false" customHeight="false" outlineLevel="0" collapsed="false">
      <c r="A332" s="49" t="n">
        <v>292</v>
      </c>
      <c r="B332" s="19" t="n">
        <f aca="true">NORMINV(RAND(),$B$6,$C$6)</f>
        <v>0.00566072439139013</v>
      </c>
      <c r="C332" s="19" t="n">
        <f aca="true">MAX(0.3,NORMINV(RAND(),$B$7,$C$7))</f>
        <v>0.427852160407625</v>
      </c>
      <c r="D332" s="32" t="n">
        <f aca="true">MAX(0.06,NORMINV(RAND(),$B$8,$C$8))</f>
        <v>0.075975926016338</v>
      </c>
      <c r="E332" s="50" t="n">
        <f aca="true">MAX(4,NORMINV(RAND(),$B$9,$C$9))</f>
        <v>6.1713061023924</v>
      </c>
      <c r="F332" s="24" t="n">
        <f aca="false">$B$18*(1+(B332+$B$17)/2)^9</f>
        <v>1068.43050590009</v>
      </c>
      <c r="G332" s="24" t="n">
        <f aca="false">F332*C332</f>
        <v>457.130300194764</v>
      </c>
      <c r="H332" s="24" t="n">
        <f aca="false">E332*G332/(1+D332)^9</f>
        <v>1459.46641893822</v>
      </c>
      <c r="I332" s="24" t="n">
        <f aca="false">$B$13*G332/$B$12*((1+$B$8)/(1+D332))^4.5</f>
        <v>1794.18311980444</v>
      </c>
      <c r="J332" s="24" t="n">
        <f aca="false">H332+I332-$B$14</f>
        <v>2317.85925929061</v>
      </c>
      <c r="K332" s="43" t="n">
        <f aca="false">J332/$B$15</f>
        <v>56.5331526656246</v>
      </c>
    </row>
    <row r="333" customFormat="false" ht="15" hidden="false" customHeight="false" outlineLevel="0" collapsed="false">
      <c r="A333" s="49" t="n">
        <v>293</v>
      </c>
      <c r="B333" s="19" t="n">
        <f aca="true">NORMINV(RAND(),$B$6,$C$6)</f>
        <v>0.0159659896658082</v>
      </c>
      <c r="C333" s="19" t="n">
        <f aca="true">MAX(0.3,NORMINV(RAND(),$B$7,$C$7))</f>
        <v>0.386597701644635</v>
      </c>
      <c r="D333" s="32" t="n">
        <f aca="true">MAX(0.06,NORMINV(RAND(),$B$8,$C$8))</f>
        <v>0.0912056363959794</v>
      </c>
      <c r="E333" s="50" t="n">
        <f aca="true">MAX(4,NORMINV(RAND(),$B$9,$C$9))</f>
        <v>8.61277929001647</v>
      </c>
      <c r="F333" s="24" t="n">
        <f aca="false">$B$18*(1+(B333+$B$17)/2)^9</f>
        <v>1118.61008858218</v>
      </c>
      <c r="G333" s="24" t="n">
        <f aca="false">F333*C333</f>
        <v>432.452089282373</v>
      </c>
      <c r="H333" s="24" t="n">
        <f aca="false">E333*G333/(1+D333)^9</f>
        <v>1697.93833092837</v>
      </c>
      <c r="I333" s="24" t="n">
        <f aca="false">$B$13*G333/$B$12*((1+$B$8)/(1+D333))^4.5</f>
        <v>1593.29630824555</v>
      </c>
      <c r="J333" s="24" t="n">
        <f aca="false">H333+I333-$B$14</f>
        <v>2355.44435972187</v>
      </c>
      <c r="K333" s="43" t="n">
        <f aca="false">J333/$B$15</f>
        <v>57.4498624322408</v>
      </c>
    </row>
    <row r="334" customFormat="false" ht="15" hidden="false" customHeight="false" outlineLevel="0" collapsed="false">
      <c r="A334" s="49" t="n">
        <v>294</v>
      </c>
      <c r="B334" s="19" t="n">
        <f aca="true">NORMINV(RAND(),$B$6,$C$6)</f>
        <v>0.0147712941996034</v>
      </c>
      <c r="C334" s="19" t="n">
        <f aca="true">MAX(0.3,NORMINV(RAND(),$B$7,$C$7))</f>
        <v>0.411983239039915</v>
      </c>
      <c r="D334" s="32" t="n">
        <f aca="true">MAX(0.06,NORMINV(RAND(),$B$8,$C$8))</f>
        <v>0.0751585605901424</v>
      </c>
      <c r="E334" s="50" t="n">
        <f aca="true">MAX(4,NORMINV(RAND(),$B$9,$C$9))</f>
        <v>7.55344816375427</v>
      </c>
      <c r="F334" s="24" t="n">
        <f aca="false">$B$18*(1+(B334+$B$17)/2)^9</f>
        <v>1112.68735621583</v>
      </c>
      <c r="G334" s="24" t="n">
        <f aca="false">F334*C334</f>
        <v>458.408541052557</v>
      </c>
      <c r="H334" s="24" t="n">
        <f aca="false">E334*G334/(1+D334)^9</f>
        <v>1803.62106633179</v>
      </c>
      <c r="I334" s="24" t="n">
        <f aca="false">$B$13*G334/$B$12*((1+$B$8)/(1+D334))^4.5</f>
        <v>1805.36336862476</v>
      </c>
      <c r="J334" s="24" t="n">
        <f aca="false">H334+I334-$B$14</f>
        <v>2673.1941555045</v>
      </c>
      <c r="K334" s="43" t="n">
        <f aca="false">J334/$B$15</f>
        <v>65.1998574513293</v>
      </c>
    </row>
    <row r="335" customFormat="false" ht="15" hidden="false" customHeight="false" outlineLevel="0" collapsed="false">
      <c r="A335" s="49" t="n">
        <v>295</v>
      </c>
      <c r="B335" s="19" t="n">
        <f aca="true">NORMINV(RAND(),$B$6,$C$6)</f>
        <v>-0.00102821488263063</v>
      </c>
      <c r="C335" s="19" t="n">
        <f aca="true">MAX(0.3,NORMINV(RAND(),$B$7,$C$7))</f>
        <v>0.406674094592718</v>
      </c>
      <c r="D335" s="32" t="n">
        <f aca="true">MAX(0.06,NORMINV(RAND(),$B$8,$C$8))</f>
        <v>0.0807337620743705</v>
      </c>
      <c r="E335" s="50" t="n">
        <f aca="true">MAX(4,NORMINV(RAND(),$B$9,$C$9))</f>
        <v>6.48142627013586</v>
      </c>
      <c r="F335" s="24" t="n">
        <f aca="false">$B$18*(1+(B335+$B$17)/2)^9</f>
        <v>1036.94068295617</v>
      </c>
      <c r="G335" s="24" t="n">
        <f aca="false">F335*C335</f>
        <v>421.696913387553</v>
      </c>
      <c r="H335" s="24" t="n">
        <f aca="false">E335*G335/(1+D335)^9</f>
        <v>1358.94705269643</v>
      </c>
      <c r="I335" s="24" t="n">
        <f aca="false">$B$13*G335/$B$12*((1+$B$8)/(1+D335))^4.5</f>
        <v>1622.57372665033</v>
      </c>
      <c r="J335" s="24" t="n">
        <f aca="false">H335+I335-$B$14</f>
        <v>2045.7304998947</v>
      </c>
      <c r="K335" s="43" t="n">
        <f aca="false">J335/$B$15</f>
        <v>49.8958658510903</v>
      </c>
    </row>
    <row r="336" customFormat="false" ht="15" hidden="false" customHeight="false" outlineLevel="0" collapsed="false">
      <c r="A336" s="49" t="n">
        <v>296</v>
      </c>
      <c r="B336" s="19" t="n">
        <f aca="true">NORMINV(RAND(),$B$6,$C$6)</f>
        <v>0.0512611000210648</v>
      </c>
      <c r="C336" s="19" t="n">
        <f aca="true">MAX(0.3,NORMINV(RAND(),$B$7,$C$7))</f>
        <v>0.46084728738966</v>
      </c>
      <c r="D336" s="32" t="n">
        <f aca="true">MAX(0.06,NORMINV(RAND(),$B$8,$C$8))</f>
        <v>0.0770138428446605</v>
      </c>
      <c r="E336" s="50" t="n">
        <f aca="true">MAX(4,NORMINV(RAND(),$B$9,$C$9))</f>
        <v>8.506462020363</v>
      </c>
      <c r="F336" s="24" t="n">
        <f aca="false">$B$18*(1+(B336+$B$17)/2)^9</f>
        <v>1306.7317509395</v>
      </c>
      <c r="G336" s="24" t="n">
        <f aca="false">F336*C336</f>
        <v>602.203782766407</v>
      </c>
      <c r="H336" s="24" t="n">
        <f aca="false">E336*G336/(1+D336)^9</f>
        <v>2627.24684209909</v>
      </c>
      <c r="I336" s="24" t="n">
        <f aca="false">$B$13*G336/$B$12*((1+$B$8)/(1+D336))^4.5</f>
        <v>2353.34688994206</v>
      </c>
      <c r="J336" s="24" t="n">
        <f aca="false">H336+I336-$B$14</f>
        <v>4044.8034525891</v>
      </c>
      <c r="K336" s="43" t="n">
        <f aca="false">J336/$B$15</f>
        <v>98.6537427460756</v>
      </c>
    </row>
    <row r="337" customFormat="false" ht="15" hidden="false" customHeight="false" outlineLevel="0" collapsed="false">
      <c r="A337" s="49" t="n">
        <v>297</v>
      </c>
      <c r="B337" s="19" t="n">
        <f aca="true">NORMINV(RAND(),$B$6,$C$6)</f>
        <v>0.0163025819108362</v>
      </c>
      <c r="C337" s="19" t="n">
        <f aca="true">MAX(0.3,NORMINV(RAND(),$B$7,$C$7))</f>
        <v>0.461030236409915</v>
      </c>
      <c r="D337" s="32" t="n">
        <f aca="true">MAX(0.06,NORMINV(RAND(),$B$8,$C$8))</f>
        <v>0.0872639593588485</v>
      </c>
      <c r="E337" s="50" t="n">
        <f aca="true">MAX(4,NORMINV(RAND(),$B$9,$C$9))</f>
        <v>7.70443122992497</v>
      </c>
      <c r="F337" s="24" t="n">
        <f aca="false">$B$18*(1+(B337+$B$17)/2)^9</f>
        <v>1120.28380480557</v>
      </c>
      <c r="G337" s="24" t="n">
        <f aca="false">F337*C337</f>
        <v>516.484707375709</v>
      </c>
      <c r="H337" s="24" t="n">
        <f aca="false">E337*G337/(1+D337)^9</f>
        <v>1874.05839638263</v>
      </c>
      <c r="I337" s="24" t="n">
        <f aca="false">$B$13*G337/$B$12*((1+$B$8)/(1+D337))^4.5</f>
        <v>1934.14154944758</v>
      </c>
      <c r="J337" s="24" t="n">
        <f aca="false">H337+I337-$B$14</f>
        <v>2872.40966637816</v>
      </c>
      <c r="K337" s="43" t="n">
        <f aca="false">J337/$B$15</f>
        <v>70.0587723506868</v>
      </c>
    </row>
    <row r="338" customFormat="false" ht="15" hidden="false" customHeight="false" outlineLevel="0" collapsed="false">
      <c r="A338" s="49" t="n">
        <v>298</v>
      </c>
      <c r="B338" s="19" t="n">
        <f aca="true">NORMINV(RAND(),$B$6,$C$6)</f>
        <v>-0.00553338767650952</v>
      </c>
      <c r="C338" s="19" t="n">
        <f aca="true">MAX(0.3,NORMINV(RAND(),$B$7,$C$7))</f>
        <v>0.433332041443108</v>
      </c>
      <c r="D338" s="32" t="n">
        <f aca="true">MAX(0.06,NORMINV(RAND(),$B$8,$C$8))</f>
        <v>0.0739599251747032</v>
      </c>
      <c r="E338" s="50" t="n">
        <f aca="true">MAX(4,NORMINV(RAND(),$B$9,$C$9))</f>
        <v>9.85424088550242</v>
      </c>
      <c r="F338" s="24" t="n">
        <f aca="false">$B$18*(1+(B338+$B$17)/2)^9</f>
        <v>1016.19912890137</v>
      </c>
      <c r="G338" s="24" t="n">
        <f aca="false">F338*C338</f>
        <v>440.351643039541</v>
      </c>
      <c r="H338" s="24" t="n">
        <f aca="false">E338*G338/(1+D338)^9</f>
        <v>2283.12721972007</v>
      </c>
      <c r="I338" s="24" t="n">
        <f aca="false">$B$13*G338/$B$12*((1+$B$8)/(1+D338))^4.5</f>
        <v>1742.97650164328</v>
      </c>
      <c r="J338" s="24" t="n">
        <f aca="false">H338+I338-$B$14</f>
        <v>3090.31344191129</v>
      </c>
      <c r="K338" s="43" t="n">
        <f aca="false">J338/$B$15</f>
        <v>75.3734985832022</v>
      </c>
    </row>
    <row r="339" customFormat="false" ht="15" hidden="false" customHeight="false" outlineLevel="0" collapsed="false">
      <c r="A339" s="49" t="n">
        <v>299</v>
      </c>
      <c r="B339" s="19" t="n">
        <f aca="true">NORMINV(RAND(),$B$6,$C$6)</f>
        <v>0.01017674425617</v>
      </c>
      <c r="C339" s="19" t="n">
        <f aca="true">MAX(0.3,NORMINV(RAND(),$B$7,$C$7))</f>
        <v>0.413810861784068</v>
      </c>
      <c r="D339" s="32" t="n">
        <f aca="true">MAX(0.06,NORMINV(RAND(),$B$8,$C$8))</f>
        <v>0.081925115320459</v>
      </c>
      <c r="E339" s="50" t="n">
        <f aca="true">MAX(4,NORMINV(RAND(),$B$9,$C$9))</f>
        <v>11.4605583802195</v>
      </c>
      <c r="F339" s="24" t="n">
        <f aca="false">$B$18*(1+(B339+$B$17)/2)^9</f>
        <v>1090.16863604336</v>
      </c>
      <c r="G339" s="24" t="n">
        <f aca="false">F339*C339</f>
        <v>451.123622771064</v>
      </c>
      <c r="H339" s="24" t="n">
        <f aca="false">E339*G339/(1+D339)^9</f>
        <v>2545.22702085667</v>
      </c>
      <c r="I339" s="24" t="n">
        <f aca="false">$B$13*G339/$B$12*((1+$B$8)/(1+D339))^4.5</f>
        <v>1727.21504033878</v>
      </c>
      <c r="J339" s="24" t="n">
        <f aca="false">H339+I339-$B$14</f>
        <v>3336.6517817434</v>
      </c>
      <c r="K339" s="43" t="n">
        <f aca="false">J339/$B$15</f>
        <v>81.3817507742292</v>
      </c>
    </row>
    <row r="340" customFormat="false" ht="15" hidden="false" customHeight="false" outlineLevel="0" collapsed="false">
      <c r="A340" s="49" t="n">
        <v>300</v>
      </c>
      <c r="B340" s="19" t="n">
        <f aca="true">NORMINV(RAND(),$B$6,$C$6)</f>
        <v>0.0636078763649345</v>
      </c>
      <c r="C340" s="19" t="n">
        <f aca="true">MAX(0.3,NORMINV(RAND(),$B$7,$C$7))</f>
        <v>0.443945327298635</v>
      </c>
      <c r="D340" s="32" t="n">
        <f aca="true">MAX(0.06,NORMINV(RAND(),$B$8,$C$8))</f>
        <v>0.0829844722939484</v>
      </c>
      <c r="E340" s="50" t="n">
        <f aca="true">MAX(4,NORMINV(RAND(),$B$9,$C$9))</f>
        <v>7.24147890687014</v>
      </c>
      <c r="F340" s="24" t="n">
        <f aca="false">$B$18*(1+(B340+$B$17)/2)^9</f>
        <v>1378.88828467617</v>
      </c>
      <c r="G340" s="24" t="n">
        <f aca="false">F340*C340</f>
        <v>612.151010848816</v>
      </c>
      <c r="H340" s="24" t="n">
        <f aca="false">E340*G340/(1+D340)^9</f>
        <v>2163.14570065178</v>
      </c>
      <c r="I340" s="24" t="n">
        <f aca="false">$B$13*G340/$B$12*((1+$B$8)/(1+D340))^4.5</f>
        <v>2333.44081329878</v>
      </c>
      <c r="J340" s="24" t="n">
        <f aca="false">H340+I340-$B$14</f>
        <v>3560.79623449851</v>
      </c>
      <c r="K340" s="43" t="n">
        <f aca="false">J340/$B$15</f>
        <v>86.848688646305</v>
      </c>
    </row>
    <row r="341" customFormat="false" ht="15" hidden="false" customHeight="false" outlineLevel="0" collapsed="false">
      <c r="A341" s="49" t="n">
        <v>301</v>
      </c>
      <c r="B341" s="19" t="n">
        <f aca="true">NORMINV(RAND(),$B$6,$C$6)</f>
        <v>0.0561155016768261</v>
      </c>
      <c r="C341" s="19" t="n">
        <f aca="true">MAX(0.3,NORMINV(RAND(),$B$7,$C$7))</f>
        <v>0.472285665936924</v>
      </c>
      <c r="D341" s="32" t="n">
        <f aca="true">MAX(0.06,NORMINV(RAND(),$B$8,$C$8))</f>
        <v>0.0884597386188554</v>
      </c>
      <c r="E341" s="50" t="n">
        <f aca="true">MAX(4,NORMINV(RAND(),$B$9,$C$9))</f>
        <v>8.86408659693098</v>
      </c>
      <c r="F341" s="24" t="n">
        <f aca="false">$B$18*(1+(B341+$B$17)/2)^9</f>
        <v>1334.69103319352</v>
      </c>
      <c r="G341" s="24" t="n">
        <f aca="false">F341*C341</f>
        <v>630.355443431841</v>
      </c>
      <c r="H341" s="24" t="n">
        <f aca="false">E341*G341/(1+D341)^9</f>
        <v>2605.60256435294</v>
      </c>
      <c r="I341" s="24" t="n">
        <f aca="false">$B$13*G341/$B$12*((1+$B$8)/(1+D341))^4.5</f>
        <v>2348.91930893736</v>
      </c>
      <c r="J341" s="24" t="n">
        <f aca="false">H341+I341-$B$14</f>
        <v>4018.73159383824</v>
      </c>
      <c r="K341" s="43" t="n">
        <f aca="false">J341/$B$15</f>
        <v>98.0178437521522</v>
      </c>
    </row>
    <row r="342" customFormat="false" ht="15" hidden="false" customHeight="false" outlineLevel="0" collapsed="false">
      <c r="A342" s="49" t="n">
        <v>302</v>
      </c>
      <c r="B342" s="19" t="n">
        <f aca="true">NORMINV(RAND(),$B$6,$C$6)</f>
        <v>0.0530254690354054</v>
      </c>
      <c r="C342" s="19" t="n">
        <f aca="true">MAX(0.3,NORMINV(RAND(),$B$7,$C$7))</f>
        <v>0.408045164384872</v>
      </c>
      <c r="D342" s="32" t="n">
        <f aca="true">MAX(0.06,NORMINV(RAND(),$B$8,$C$8))</f>
        <v>0.0804577043835251</v>
      </c>
      <c r="E342" s="50" t="n">
        <f aca="true">MAX(4,NORMINV(RAND(),$B$9,$C$9))</f>
        <v>6.07082446517945</v>
      </c>
      <c r="F342" s="24" t="n">
        <f aca="false">$B$18*(1+(B342+$B$17)/2)^9</f>
        <v>1316.83294597331</v>
      </c>
      <c r="G342" s="24" t="n">
        <f aca="false">F342*C342</f>
        <v>537.327315907094</v>
      </c>
      <c r="H342" s="24" t="n">
        <f aca="false">E342*G342/(1+D342)^9</f>
        <v>1625.61111088426</v>
      </c>
      <c r="I342" s="24" t="n">
        <f aca="false">$B$13*G342/$B$12*((1+$B$8)/(1+D342))^4.5</f>
        <v>2069.86587263885</v>
      </c>
      <c r="J342" s="24" t="n">
        <f aca="false">H342+I342-$B$14</f>
        <v>2759.68670407105</v>
      </c>
      <c r="K342" s="43" t="n">
        <f aca="false">J342/$B$15</f>
        <v>67.309431806611</v>
      </c>
    </row>
    <row r="343" customFormat="false" ht="15" hidden="false" customHeight="false" outlineLevel="0" collapsed="false">
      <c r="A343" s="49" t="n">
        <v>303</v>
      </c>
      <c r="B343" s="19" t="n">
        <f aca="true">NORMINV(RAND(),$B$6,$C$6)</f>
        <v>0.0248692392422799</v>
      </c>
      <c r="C343" s="19" t="n">
        <f aca="true">MAX(0.3,NORMINV(RAND(),$B$7,$C$7))</f>
        <v>0.432850789822906</v>
      </c>
      <c r="D343" s="32" t="n">
        <f aca="true">MAX(0.06,NORMINV(RAND(),$B$8,$C$8))</f>
        <v>0.090228540827958</v>
      </c>
      <c r="E343" s="50" t="n">
        <f aca="true">MAX(4,NORMINV(RAND(),$B$9,$C$9))</f>
        <v>12.8778835170677</v>
      </c>
      <c r="F343" s="24" t="n">
        <f aca="false">$B$18*(1+(B343+$B$17)/2)^9</f>
        <v>1163.63811351508</v>
      </c>
      <c r="G343" s="24" t="n">
        <f aca="false">F343*C343</f>
        <v>503.681676503038</v>
      </c>
      <c r="H343" s="24" t="n">
        <f aca="false">E343*G343/(1+D343)^9</f>
        <v>2980.86783090366</v>
      </c>
      <c r="I343" s="24" t="n">
        <f aca="false">$B$13*G343/$B$12*((1+$B$8)/(1+D343))^4.5</f>
        <v>1863.22560007533</v>
      </c>
      <c r="J343" s="24" t="n">
        <f aca="false">H343+I343-$B$14</f>
        <v>3908.30315152693</v>
      </c>
      <c r="K343" s="43" t="n">
        <f aca="false">J343/$B$15</f>
        <v>95.3244671104129</v>
      </c>
    </row>
    <row r="344" customFormat="false" ht="15" hidden="false" customHeight="false" outlineLevel="0" collapsed="false">
      <c r="A344" s="49" t="n">
        <v>304</v>
      </c>
      <c r="B344" s="19" t="n">
        <f aca="true">NORMINV(RAND(),$B$6,$C$6)</f>
        <v>0.0274998783742882</v>
      </c>
      <c r="C344" s="19" t="n">
        <f aca="true">MAX(0.3,NORMINV(RAND(),$B$7,$C$7))</f>
        <v>0.399290002516227</v>
      </c>
      <c r="D344" s="32" t="n">
        <f aca="true">MAX(0.06,NORMINV(RAND(),$B$8,$C$8))</f>
        <v>0.0814062215623923</v>
      </c>
      <c r="E344" s="50" t="n">
        <f aca="true">MAX(4,NORMINV(RAND(),$B$9,$C$9))</f>
        <v>5.97087785969622</v>
      </c>
      <c r="F344" s="24" t="n">
        <f aca="false">$B$18*(1+(B344+$B$17)/2)^9</f>
        <v>1177.24729394675</v>
      </c>
      <c r="G344" s="24" t="n">
        <f aca="false">F344*C344</f>
        <v>470.063074962218</v>
      </c>
      <c r="H344" s="24" t="n">
        <f aca="false">E344*G344/(1+D344)^9</f>
        <v>1387.69668251949</v>
      </c>
      <c r="I344" s="24" t="n">
        <f aca="false">$B$13*G344/$B$12*((1+$B$8)/(1+D344))^4.5</f>
        <v>1803.61775870091</v>
      </c>
      <c r="J344" s="24" t="n">
        <f aca="false">H344+I344-$B$14</f>
        <v>2255.52416176835</v>
      </c>
      <c r="K344" s="43" t="n">
        <f aca="false">J344/$B$15</f>
        <v>55.0127844333743</v>
      </c>
    </row>
    <row r="345" customFormat="false" ht="15" hidden="false" customHeight="false" outlineLevel="0" collapsed="false">
      <c r="A345" s="49" t="n">
        <v>305</v>
      </c>
      <c r="B345" s="19" t="n">
        <f aca="true">NORMINV(RAND(),$B$6,$C$6)</f>
        <v>0.019040929352904</v>
      </c>
      <c r="C345" s="19" t="n">
        <f aca="true">MAX(0.3,NORMINV(RAND(),$B$7,$C$7))</f>
        <v>0.438688075023466</v>
      </c>
      <c r="D345" s="32" t="n">
        <f aca="true">MAX(0.06,NORMINV(RAND(),$B$8,$C$8))</f>
        <v>0.0850741836343342</v>
      </c>
      <c r="E345" s="50" t="n">
        <f aca="true">MAX(4,NORMINV(RAND(),$B$9,$C$9))</f>
        <v>8.26657934475391</v>
      </c>
      <c r="F345" s="24" t="n">
        <f aca="false">$B$18*(1+(B345+$B$17)/2)^9</f>
        <v>1133.98326640894</v>
      </c>
      <c r="G345" s="24" t="n">
        <f aca="false">F345*C345</f>
        <v>497.464936249763</v>
      </c>
      <c r="H345" s="24" t="n">
        <f aca="false">E345*G345/(1+D345)^9</f>
        <v>1972.21127236551</v>
      </c>
      <c r="I345" s="24" t="n">
        <f aca="false">$B$13*G345/$B$12*((1+$B$8)/(1+D345))^4.5</f>
        <v>1879.89368670212</v>
      </c>
      <c r="J345" s="24" t="n">
        <f aca="false">H345+I345-$B$14</f>
        <v>2916.31467961558</v>
      </c>
      <c r="K345" s="43" t="n">
        <f aca="false">J345/$B$15</f>
        <v>71.1296263320873</v>
      </c>
    </row>
    <row r="346" customFormat="false" ht="15" hidden="false" customHeight="false" outlineLevel="0" collapsed="false">
      <c r="A346" s="49" t="n">
        <v>306</v>
      </c>
      <c r="B346" s="19" t="n">
        <f aca="true">NORMINV(RAND(),$B$6,$C$6)</f>
        <v>0.0237809426807784</v>
      </c>
      <c r="C346" s="19" t="n">
        <f aca="true">MAX(0.3,NORMINV(RAND(),$B$7,$C$7))</f>
        <v>0.415122354425042</v>
      </c>
      <c r="D346" s="32" t="n">
        <f aca="true">MAX(0.06,NORMINV(RAND(),$B$8,$C$8))</f>
        <v>0.0812458726169363</v>
      </c>
      <c r="E346" s="50" t="n">
        <f aca="true">MAX(4,NORMINV(RAND(),$B$9,$C$9))</f>
        <v>8.33371594600562</v>
      </c>
      <c r="F346" s="24" t="n">
        <f aca="false">$B$18*(1+(B346+$B$17)/2)^9</f>
        <v>1158.04900838157</v>
      </c>
      <c r="G346" s="24" t="n">
        <f aca="false">F346*C346</f>
        <v>480.732030898943</v>
      </c>
      <c r="H346" s="24" t="n">
        <f aca="false">E346*G346/(1+D346)^9</f>
        <v>1983.45151798824</v>
      </c>
      <c r="I346" s="24" t="n">
        <f aca="false">$B$13*G346/$B$12*((1+$B$8)/(1+D346))^4.5</f>
        <v>1845.78550313986</v>
      </c>
      <c r="J346" s="24" t="n">
        <f aca="false">H346+I346-$B$14</f>
        <v>2893.44674167604</v>
      </c>
      <c r="K346" s="43" t="n">
        <f aca="false">J346/$B$15</f>
        <v>70.5718717481962</v>
      </c>
    </row>
    <row r="347" customFormat="false" ht="15" hidden="false" customHeight="false" outlineLevel="0" collapsed="false">
      <c r="A347" s="49" t="n">
        <v>307</v>
      </c>
      <c r="B347" s="19" t="n">
        <f aca="true">NORMINV(RAND(),$B$6,$C$6)</f>
        <v>0.00761882084420254</v>
      </c>
      <c r="C347" s="19" t="n">
        <f aca="true">MAX(0.3,NORMINV(RAND(),$B$7,$C$7))</f>
        <v>0.451035609130244</v>
      </c>
      <c r="D347" s="32" t="n">
        <f aca="true">MAX(0.06,NORMINV(RAND(),$B$8,$C$8))</f>
        <v>0.0757194685278144</v>
      </c>
      <c r="E347" s="50" t="n">
        <f aca="true">MAX(4,NORMINV(RAND(),$B$9,$C$9))</f>
        <v>7.78122651854531</v>
      </c>
      <c r="F347" s="24" t="n">
        <f aca="false">$B$18*(1+(B347+$B$17)/2)^9</f>
        <v>1077.80814572602</v>
      </c>
      <c r="G347" s="24" t="n">
        <f aca="false">F347*C347</f>
        <v>486.129853533075</v>
      </c>
      <c r="H347" s="24" t="n">
        <f aca="false">E347*G347/(1+D347)^9</f>
        <v>1961.14223537021</v>
      </c>
      <c r="I347" s="24" t="n">
        <f aca="false">$B$13*G347/$B$12*((1+$B$8)/(1+D347))^4.5</f>
        <v>1910.05079226997</v>
      </c>
      <c r="J347" s="24" t="n">
        <f aca="false">H347+I347-$B$14</f>
        <v>2935.40274818813</v>
      </c>
      <c r="K347" s="43" t="n">
        <f aca="false">J347/$B$15</f>
        <v>71.5951889801984</v>
      </c>
    </row>
    <row r="348" customFormat="false" ht="15" hidden="false" customHeight="false" outlineLevel="0" collapsed="false">
      <c r="A348" s="49" t="n">
        <v>308</v>
      </c>
      <c r="B348" s="19" t="n">
        <f aca="true">NORMINV(RAND(),$B$6,$C$6)</f>
        <v>0.0158524644374556</v>
      </c>
      <c r="C348" s="19" t="n">
        <f aca="true">MAX(0.3,NORMINV(RAND(),$B$7,$C$7))</f>
        <v>0.461087781621884</v>
      </c>
      <c r="D348" s="32" t="n">
        <f aca="true">MAX(0.06,NORMINV(RAND(),$B$8,$C$8))</f>
        <v>0.0892221880421674</v>
      </c>
      <c r="E348" s="50" t="n">
        <f aca="true">MAX(4,NORMINV(RAND(),$B$9,$C$9))</f>
        <v>9.69475433759147</v>
      </c>
      <c r="F348" s="24" t="n">
        <f aca="false">$B$18*(1+(B348+$B$17)/2)^9</f>
        <v>1118.04608205013</v>
      </c>
      <c r="G348" s="24" t="n">
        <f aca="false">F348*C348</f>
        <v>515.517387723532</v>
      </c>
      <c r="H348" s="24" t="n">
        <f aca="false">E348*G348/(1+D348)^9</f>
        <v>2315.96403335601</v>
      </c>
      <c r="I348" s="24" t="n">
        <f aca="false">$B$13*G348/$B$12*((1+$B$8)/(1+D348))^4.5</f>
        <v>1914.94988501619</v>
      </c>
      <c r="J348" s="24" t="n">
        <f aca="false">H348+I348-$B$14</f>
        <v>3295.12363892015</v>
      </c>
      <c r="K348" s="43" t="n">
        <f aca="false">J348/$B$15</f>
        <v>80.3688692419548</v>
      </c>
    </row>
    <row r="349" customFormat="false" ht="15" hidden="false" customHeight="false" outlineLevel="0" collapsed="false">
      <c r="A349" s="49" t="n">
        <v>309</v>
      </c>
      <c r="B349" s="19" t="n">
        <f aca="true">NORMINV(RAND(),$B$6,$C$6)</f>
        <v>0.0419628863289673</v>
      </c>
      <c r="C349" s="19" t="n">
        <f aca="true">MAX(0.3,NORMINV(RAND(),$B$7,$C$7))</f>
        <v>0.451784973866177</v>
      </c>
      <c r="D349" s="32" t="n">
        <f aca="true">MAX(0.06,NORMINV(RAND(),$B$8,$C$8))</f>
        <v>0.0786432445569879</v>
      </c>
      <c r="E349" s="50" t="n">
        <f aca="true">MAX(4,NORMINV(RAND(),$B$9,$C$9))</f>
        <v>7.79244184389526</v>
      </c>
      <c r="F349" s="24" t="n">
        <f aca="false">$B$18*(1+(B349+$B$17)/2)^9</f>
        <v>1254.62775447806</v>
      </c>
      <c r="G349" s="24" t="n">
        <f aca="false">F349*C349</f>
        <v>566.821967268651</v>
      </c>
      <c r="H349" s="24" t="n">
        <f aca="false">E349*G349/(1+D349)^9</f>
        <v>2234.70289682267</v>
      </c>
      <c r="I349" s="24" t="n">
        <f aca="false">$B$13*G349/$B$12*((1+$B$8)/(1+D349))^4.5</f>
        <v>2200.06088848339</v>
      </c>
      <c r="J349" s="24" t="n">
        <f aca="false">H349+I349-$B$14</f>
        <v>3498.97350585401</v>
      </c>
      <c r="K349" s="43" t="n">
        <f aca="false">J349/$B$15</f>
        <v>85.3408172159515</v>
      </c>
    </row>
    <row r="350" customFormat="false" ht="15" hidden="false" customHeight="false" outlineLevel="0" collapsed="false">
      <c r="A350" s="49" t="n">
        <v>310</v>
      </c>
      <c r="B350" s="19" t="n">
        <f aca="true">NORMINV(RAND(),$B$6,$C$6)</f>
        <v>0.0145842261740689</v>
      </c>
      <c r="C350" s="19" t="n">
        <f aca="true">MAX(0.3,NORMINV(RAND(),$B$7,$C$7))</f>
        <v>0.41984373253962</v>
      </c>
      <c r="D350" s="32" t="n">
        <f aca="true">MAX(0.06,NORMINV(RAND(),$B$8,$C$8))</f>
        <v>0.0725303755787052</v>
      </c>
      <c r="E350" s="50" t="n">
        <f aca="true">MAX(4,NORMINV(RAND(),$B$9,$C$9))</f>
        <v>9.50735543383949</v>
      </c>
      <c r="F350" s="24" t="n">
        <f aca="false">$B$18*(1+(B350+$B$17)/2)^9</f>
        <v>1111.76249033673</v>
      </c>
      <c r="G350" s="24" t="n">
        <f aca="false">F350*C350</f>
        <v>466.766513640518</v>
      </c>
      <c r="H350" s="24" t="n">
        <f aca="false">E350*G350/(1+D350)^9</f>
        <v>2363.05056200705</v>
      </c>
      <c r="I350" s="24" t="n">
        <f aca="false">$B$13*G350/$B$12*((1+$B$8)/(1+D350))^4.5</f>
        <v>1858.63769418935</v>
      </c>
      <c r="J350" s="24" t="n">
        <f aca="false">H350+I350-$B$14</f>
        <v>3285.89797674434</v>
      </c>
      <c r="K350" s="43" t="n">
        <f aca="false">J350/$B$15</f>
        <v>80.1438530913255</v>
      </c>
    </row>
    <row r="351" customFormat="false" ht="15" hidden="false" customHeight="false" outlineLevel="0" collapsed="false">
      <c r="A351" s="49" t="n">
        <v>311</v>
      </c>
      <c r="B351" s="19" t="n">
        <f aca="true">NORMINV(RAND(),$B$6,$C$6)</f>
        <v>0.0266572386271094</v>
      </c>
      <c r="C351" s="19" t="n">
        <f aca="true">MAX(0.3,NORMINV(RAND(),$B$7,$C$7))</f>
        <v>0.452793004120022</v>
      </c>
      <c r="D351" s="32" t="n">
        <f aca="true">MAX(0.06,NORMINV(RAND(),$B$8,$C$8))</f>
        <v>0.0788624406221766</v>
      </c>
      <c r="E351" s="50" t="n">
        <f aca="true">MAX(4,NORMINV(RAND(),$B$9,$C$9))</f>
        <v>10.5525766422245</v>
      </c>
      <c r="F351" s="24" t="n">
        <f aca="false">$B$18*(1+(B351+$B$17)/2)^9</f>
        <v>1172.87271536965</v>
      </c>
      <c r="G351" s="24" t="n">
        <f aca="false">F351*C351</f>
        <v>531.06856024263</v>
      </c>
      <c r="H351" s="24" t="n">
        <f aca="false">E351*G351/(1+D351)^9</f>
        <v>2830.18250241336</v>
      </c>
      <c r="I351" s="24" t="n">
        <f aca="false">$B$13*G351/$B$12*((1+$B$8)/(1+D351))^4.5</f>
        <v>2059.4038099239</v>
      </c>
      <c r="J351" s="24" t="n">
        <f aca="false">H351+I351-$B$14</f>
        <v>3953.7960328852</v>
      </c>
      <c r="K351" s="43" t="n">
        <f aca="false">J351/$B$15</f>
        <v>96.4340495825659</v>
      </c>
    </row>
    <row r="352" customFormat="false" ht="15" hidden="false" customHeight="false" outlineLevel="0" collapsed="false">
      <c r="A352" s="49" t="n">
        <v>312</v>
      </c>
      <c r="B352" s="19" t="n">
        <f aca="true">NORMINV(RAND(),$B$6,$C$6)</f>
        <v>0.0224579259153017</v>
      </c>
      <c r="C352" s="19" t="n">
        <f aca="true">MAX(0.3,NORMINV(RAND(),$B$7,$C$7))</f>
        <v>0.427102803325593</v>
      </c>
      <c r="D352" s="32" t="n">
        <f aca="true">MAX(0.06,NORMINV(RAND(),$B$8,$C$8))</f>
        <v>0.0806452428456677</v>
      </c>
      <c r="E352" s="50" t="n">
        <f aca="true">MAX(4,NORMINV(RAND(),$B$9,$C$9))</f>
        <v>9.28825767222377</v>
      </c>
      <c r="F352" s="24" t="n">
        <f aca="false">$B$18*(1+(B352+$B$17)/2)^9</f>
        <v>1151.28660929085</v>
      </c>
      <c r="G352" s="24" t="n">
        <f aca="false">F352*C352</f>
        <v>491.717738259338</v>
      </c>
      <c r="H352" s="24" t="n">
        <f aca="false">E352*G352/(1+D352)^9</f>
        <v>2272.48914031353</v>
      </c>
      <c r="I352" s="24" t="n">
        <f aca="false">$B$13*G352/$B$12*((1+$B$8)/(1+D352))^4.5</f>
        <v>1892.69210805547</v>
      </c>
      <c r="J352" s="24" t="n">
        <f aca="false">H352+I352-$B$14</f>
        <v>3229.39096891695</v>
      </c>
      <c r="K352" s="43" t="n">
        <f aca="false">J352/$B$15</f>
        <v>78.7656333882184</v>
      </c>
    </row>
    <row r="353" customFormat="false" ht="15" hidden="false" customHeight="false" outlineLevel="0" collapsed="false">
      <c r="A353" s="49" t="n">
        <v>313</v>
      </c>
      <c r="B353" s="19" t="n">
        <f aca="true">NORMINV(RAND(),$B$6,$C$6)</f>
        <v>0.0689432294148838</v>
      </c>
      <c r="C353" s="19" t="n">
        <f aca="true">MAX(0.3,NORMINV(RAND(),$B$7,$C$7))</f>
        <v>0.425910986477049</v>
      </c>
      <c r="D353" s="32" t="n">
        <f aca="true">MAX(0.06,NORMINV(RAND(),$B$8,$C$8))</f>
        <v>0.0708536811852493</v>
      </c>
      <c r="E353" s="50" t="n">
        <f aca="true">MAX(4,NORMINV(RAND(),$B$9,$C$9))</f>
        <v>8.37505876595129</v>
      </c>
      <c r="F353" s="24" t="n">
        <f aca="false">$B$18*(1+(B353+$B$17)/2)^9</f>
        <v>1411.14956985036</v>
      </c>
      <c r="G353" s="24" t="n">
        <f aca="false">F353*C353</f>
        <v>601.02410536163</v>
      </c>
      <c r="H353" s="24" t="n">
        <f aca="false">E353*G353/(1+D353)^9</f>
        <v>2718.36987150024</v>
      </c>
      <c r="I353" s="24" t="n">
        <f aca="false">$B$13*G353/$B$12*((1+$B$8)/(1+D353))^4.5</f>
        <v>2410.15259815602</v>
      </c>
      <c r="J353" s="24" t="n">
        <f aca="false">H353+I353-$B$14</f>
        <v>4192.7321902042</v>
      </c>
      <c r="K353" s="43" t="n">
        <f aca="false">J353/$B$15</f>
        <v>102.261760736688</v>
      </c>
    </row>
    <row r="354" customFormat="false" ht="15" hidden="false" customHeight="false" outlineLevel="0" collapsed="false">
      <c r="A354" s="49" t="n">
        <v>314</v>
      </c>
      <c r="B354" s="19" t="n">
        <f aca="true">NORMINV(RAND(),$B$6,$C$6)</f>
        <v>0.0169449885003252</v>
      </c>
      <c r="C354" s="19" t="n">
        <f aca="true">MAX(0.3,NORMINV(RAND(),$B$7,$C$7))</f>
        <v>0.423312873669362</v>
      </c>
      <c r="D354" s="32" t="n">
        <f aca="true">MAX(0.06,NORMINV(RAND(),$B$8,$C$8))</f>
        <v>0.0852245751969809</v>
      </c>
      <c r="E354" s="50" t="n">
        <f aca="true">MAX(4,NORMINV(RAND(),$B$9,$C$9))</f>
        <v>8.25461980090921</v>
      </c>
      <c r="F354" s="24" t="n">
        <f aca="false">$B$18*(1+(B354+$B$17)/2)^9</f>
        <v>1123.48437280642</v>
      </c>
      <c r="G354" s="24" t="n">
        <f aca="false">F354*C354</f>
        <v>475.585398375306</v>
      </c>
      <c r="H354" s="24" t="n">
        <f aca="false">E354*G354/(1+D354)^9</f>
        <v>1880.39465458101</v>
      </c>
      <c r="I354" s="24" t="n">
        <f aca="false">$B$13*G354/$B$12*((1+$B$8)/(1+D354))^4.5</f>
        <v>1796.09157397927</v>
      </c>
      <c r="J354" s="24" t="n">
        <f aca="false">H354+I354-$B$14</f>
        <v>2740.69594910823</v>
      </c>
      <c r="K354" s="43" t="n">
        <f aca="false">J354/$B$15</f>
        <v>66.8462426611763</v>
      </c>
    </row>
    <row r="355" customFormat="false" ht="15" hidden="false" customHeight="false" outlineLevel="0" collapsed="false">
      <c r="A355" s="49" t="n">
        <v>315</v>
      </c>
      <c r="B355" s="19" t="n">
        <f aca="true">NORMINV(RAND(),$B$6,$C$6)</f>
        <v>0.0555936287641247</v>
      </c>
      <c r="C355" s="19" t="n">
        <f aca="true">MAX(0.3,NORMINV(RAND(),$B$7,$C$7))</f>
        <v>0.434274645685431</v>
      </c>
      <c r="D355" s="32" t="n">
        <f aca="true">MAX(0.06,NORMINV(RAND(),$B$8,$C$8))</f>
        <v>0.084008948516857</v>
      </c>
      <c r="E355" s="50" t="n">
        <f aca="true">MAX(4,NORMINV(RAND(),$B$9,$C$9))</f>
        <v>5.99903521171356</v>
      </c>
      <c r="F355" s="24" t="n">
        <f aca="false">$B$18*(1+(B355+$B$17)/2)^9</f>
        <v>1331.65997230168</v>
      </c>
      <c r="G355" s="24" t="n">
        <f aca="false">F355*C355</f>
        <v>578.306162644784</v>
      </c>
      <c r="H355" s="24" t="n">
        <f aca="false">E355*G355/(1+D355)^9</f>
        <v>1678.58533839804</v>
      </c>
      <c r="I355" s="24" t="n">
        <f aca="false">$B$13*G355/$B$12*((1+$B$8)/(1+D355))^4.5</f>
        <v>2195.06896830459</v>
      </c>
      <c r="J355" s="24" t="n">
        <f aca="false">H355+I355-$B$14</f>
        <v>2937.86402725057</v>
      </c>
      <c r="K355" s="43" t="n">
        <f aca="false">J355/$B$15</f>
        <v>71.6552201768431</v>
      </c>
    </row>
    <row r="356" customFormat="false" ht="15" hidden="false" customHeight="false" outlineLevel="0" collapsed="false">
      <c r="A356" s="49" t="n">
        <v>316</v>
      </c>
      <c r="B356" s="19" t="n">
        <f aca="true">NORMINV(RAND(),$B$6,$C$6)</f>
        <v>0.0206838040859564</v>
      </c>
      <c r="C356" s="19" t="n">
        <f aca="true">MAX(0.3,NORMINV(RAND(),$B$7,$C$7))</f>
        <v>0.428429533810225</v>
      </c>
      <c r="D356" s="32" t="n">
        <f aca="true">MAX(0.06,NORMINV(RAND(),$B$8,$C$8))</f>
        <v>0.0705756232197609</v>
      </c>
      <c r="E356" s="50" t="n">
        <f aca="true">MAX(4,NORMINV(RAND(),$B$9,$C$9))</f>
        <v>8.39068140155876</v>
      </c>
      <c r="F356" s="24" t="n">
        <f aca="false">$B$18*(1+(B356+$B$17)/2)^9</f>
        <v>1142.27355666694</v>
      </c>
      <c r="G356" s="24" t="n">
        <f aca="false">F356*C356</f>
        <v>489.383727366565</v>
      </c>
      <c r="H356" s="24" t="n">
        <f aca="false">E356*G356/(1+D356)^9</f>
        <v>2222.74991409287</v>
      </c>
      <c r="I356" s="24" t="n">
        <f aca="false">$B$13*G356/$B$12*((1+$B$8)/(1+D356))^4.5</f>
        <v>1964.76087180472</v>
      </c>
      <c r="J356" s="24" t="n">
        <f aca="false">H356+I356-$B$14</f>
        <v>3251.72050644553</v>
      </c>
      <c r="K356" s="43" t="n">
        <f aca="false">J356/$B$15</f>
        <v>79.310256254769</v>
      </c>
    </row>
    <row r="357" customFormat="false" ht="15" hidden="false" customHeight="false" outlineLevel="0" collapsed="false">
      <c r="A357" s="49" t="n">
        <v>317</v>
      </c>
      <c r="B357" s="19" t="n">
        <f aca="true">NORMINV(RAND(),$B$6,$C$6)</f>
        <v>0.0490240829115389</v>
      </c>
      <c r="C357" s="19" t="n">
        <f aca="true">MAX(0.3,NORMINV(RAND(),$B$7,$C$7))</f>
        <v>0.449689763923293</v>
      </c>
      <c r="D357" s="32" t="n">
        <f aca="true">MAX(0.06,NORMINV(RAND(),$B$8,$C$8))</f>
        <v>0.087072579644733</v>
      </c>
      <c r="E357" s="50" t="n">
        <f aca="true">MAX(4,NORMINV(RAND(),$B$9,$C$9))</f>
        <v>7.5794593608289</v>
      </c>
      <c r="F357" s="24" t="n">
        <f aca="false">$B$18*(1+(B357+$B$17)/2)^9</f>
        <v>1294.0236506336</v>
      </c>
      <c r="G357" s="24" t="n">
        <f aca="false">F357*C357</f>
        <v>581.90918996458</v>
      </c>
      <c r="H357" s="24" t="n">
        <f aca="false">E357*G357/(1+D357)^9</f>
        <v>2080.49450793706</v>
      </c>
      <c r="I357" s="24" t="n">
        <f aca="false">$B$13*G357/$B$12*((1+$B$8)/(1+D357))^4.5</f>
        <v>2180.87127998509</v>
      </c>
      <c r="J357" s="24" t="n">
        <f aca="false">H357+I357-$B$14</f>
        <v>3325.5755084701</v>
      </c>
      <c r="K357" s="43" t="n">
        <f aca="false">J357/$B$15</f>
        <v>81.1115977675635</v>
      </c>
    </row>
    <row r="358" customFormat="false" ht="15" hidden="false" customHeight="false" outlineLevel="0" collapsed="false">
      <c r="A358" s="49" t="n">
        <v>318</v>
      </c>
      <c r="B358" s="19" t="n">
        <f aca="true">NORMINV(RAND(),$B$6,$C$6)</f>
        <v>-0.0110582450380129</v>
      </c>
      <c r="C358" s="19" t="n">
        <f aca="true">MAX(0.3,NORMINV(RAND(),$B$7,$C$7))</f>
        <v>0.453973302411377</v>
      </c>
      <c r="D358" s="32" t="n">
        <f aca="true">MAX(0.06,NORMINV(RAND(),$B$8,$C$8))</f>
        <v>0.0811572140160876</v>
      </c>
      <c r="E358" s="50" t="n">
        <f aca="true">MAX(4,NORMINV(RAND(),$B$9,$C$9))</f>
        <v>7.57691695427152</v>
      </c>
      <c r="F358" s="24" t="n">
        <f aca="false">$B$18*(1+(B358+$B$17)/2)^9</f>
        <v>991.266971982847</v>
      </c>
      <c r="G358" s="24" t="n">
        <f aca="false">F358*C358</f>
        <v>450.008740842379</v>
      </c>
      <c r="H358" s="24" t="n">
        <f aca="false">E358*G358/(1+D358)^9</f>
        <v>1689.32738512065</v>
      </c>
      <c r="I358" s="24" t="n">
        <f aca="false">$B$13*G358/$B$12*((1+$B$8)/(1+D358))^4.5</f>
        <v>1728.46016527858</v>
      </c>
      <c r="J358" s="24" t="n">
        <f aca="false">H358+I358-$B$14</f>
        <v>2481.99727094718</v>
      </c>
      <c r="K358" s="43" t="n">
        <f aca="false">J358/$B$15</f>
        <v>60.5365188035897</v>
      </c>
    </row>
    <row r="359" customFormat="false" ht="15" hidden="false" customHeight="false" outlineLevel="0" collapsed="false">
      <c r="A359" s="49" t="n">
        <v>319</v>
      </c>
      <c r="B359" s="19" t="n">
        <f aca="true">NORMINV(RAND(),$B$6,$C$6)</f>
        <v>0.0509521330079243</v>
      </c>
      <c r="C359" s="19" t="n">
        <f aca="true">MAX(0.3,NORMINV(RAND(),$B$7,$C$7))</f>
        <v>0.45287638514645</v>
      </c>
      <c r="D359" s="32" t="n">
        <f aca="true">MAX(0.06,NORMINV(RAND(),$B$8,$C$8))</f>
        <v>0.0807302991684277</v>
      </c>
      <c r="E359" s="50" t="n">
        <f aca="true">MAX(4,NORMINV(RAND(),$B$9,$C$9))</f>
        <v>7.63369144499072</v>
      </c>
      <c r="F359" s="24" t="n">
        <f aca="false">$B$18*(1+(B359+$B$17)/2)^9</f>
        <v>1304.9699871324</v>
      </c>
      <c r="G359" s="24" t="n">
        <f aca="false">F359*C359</f>
        <v>590.990090497131</v>
      </c>
      <c r="H359" s="24" t="n">
        <f aca="false">E359*G359/(1+D359)^9</f>
        <v>2243.15277694338</v>
      </c>
      <c r="I359" s="24" t="n">
        <f aca="false">$B$13*G359/$B$12*((1+$B$8)/(1+D359))^4.5</f>
        <v>2274.00009331022</v>
      </c>
      <c r="J359" s="24" t="n">
        <f aca="false">H359+I359-$B$14</f>
        <v>3581.36259080155</v>
      </c>
      <c r="K359" s="43" t="n">
        <f aca="false">J359/$B$15</f>
        <v>87.3503070927207</v>
      </c>
    </row>
    <row r="360" customFormat="false" ht="15" hidden="false" customHeight="false" outlineLevel="0" collapsed="false">
      <c r="A360" s="49" t="n">
        <v>320</v>
      </c>
      <c r="B360" s="19" t="n">
        <f aca="true">NORMINV(RAND(),$B$6,$C$6)</f>
        <v>0.0433378431493437</v>
      </c>
      <c r="C360" s="19" t="n">
        <f aca="true">MAX(0.3,NORMINV(RAND(),$B$7,$C$7))</f>
        <v>0.463949906806819</v>
      </c>
      <c r="D360" s="32" t="n">
        <f aca="true">MAX(0.06,NORMINV(RAND(),$B$8,$C$8))</f>
        <v>0.0989292173068268</v>
      </c>
      <c r="E360" s="50" t="n">
        <f aca="true">MAX(4,NORMINV(RAND(),$B$9,$C$9))</f>
        <v>7.55831113711327</v>
      </c>
      <c r="F360" s="24" t="n">
        <f aca="false">$B$18*(1+(B360+$B$17)/2)^9</f>
        <v>1262.21425072211</v>
      </c>
      <c r="G360" s="24" t="n">
        <f aca="false">F360*C360</f>
        <v>585.60418399276</v>
      </c>
      <c r="H360" s="24" t="n">
        <f aca="false">E360*G360/(1+D360)^9</f>
        <v>1893.65760012393</v>
      </c>
      <c r="I360" s="24" t="n">
        <f aca="false">$B$13*G360/$B$12*((1+$B$8)/(1+D360))^4.5</f>
        <v>2090.15591319307</v>
      </c>
      <c r="J360" s="24" t="n">
        <f aca="false">H360+I360-$B$14</f>
        <v>3048.02323386495</v>
      </c>
      <c r="K360" s="43" t="n">
        <f aca="false">J360/$B$15</f>
        <v>74.342030094267</v>
      </c>
    </row>
    <row r="361" customFormat="false" ht="15" hidden="false" customHeight="false" outlineLevel="0" collapsed="false">
      <c r="A361" s="49" t="n">
        <v>321</v>
      </c>
      <c r="B361" s="19" t="n">
        <f aca="true">NORMINV(RAND(),$B$6,$C$6)</f>
        <v>0.0686118470899255</v>
      </c>
      <c r="C361" s="19" t="n">
        <f aca="true">MAX(0.3,NORMINV(RAND(),$B$7,$C$7))</f>
        <v>0.440034762579283</v>
      </c>
      <c r="D361" s="32" t="n">
        <f aca="true">MAX(0.06,NORMINV(RAND(),$B$8,$C$8))</f>
        <v>0.0789868311174751</v>
      </c>
      <c r="E361" s="50" t="n">
        <f aca="true">MAX(4,NORMINV(RAND(),$B$9,$C$9))</f>
        <v>9.34937585866956</v>
      </c>
      <c r="F361" s="24" t="n">
        <f aca="false">$B$18*(1+(B361+$B$17)/2)^9</f>
        <v>1409.12643245633</v>
      </c>
      <c r="G361" s="24" t="n">
        <f aca="false">F361*C361</f>
        <v>620.064615150112</v>
      </c>
      <c r="H361" s="24" t="n">
        <f aca="false">E361*G361/(1+D361)^9</f>
        <v>2924.65248822066</v>
      </c>
      <c r="I361" s="24" t="n">
        <f aca="false">$B$13*G361/$B$12*((1+$B$8)/(1+D361))^4.5</f>
        <v>2403.26992862046</v>
      </c>
      <c r="J361" s="24" t="n">
        <f aca="false">H361+I361-$B$14</f>
        <v>4392.13213738906</v>
      </c>
      <c r="K361" s="43" t="n">
        <f aca="false">J361/$B$15</f>
        <v>107.12517408266</v>
      </c>
    </row>
    <row r="362" customFormat="false" ht="15" hidden="false" customHeight="false" outlineLevel="0" collapsed="false">
      <c r="A362" s="49" t="n">
        <v>322</v>
      </c>
      <c r="B362" s="19" t="n">
        <f aca="true">NORMINV(RAND(),$B$6,$C$6)</f>
        <v>0.0728363656252218</v>
      </c>
      <c r="C362" s="19" t="n">
        <f aca="true">MAX(0.3,NORMINV(RAND(),$B$7,$C$7))</f>
        <v>0.45100329374206</v>
      </c>
      <c r="D362" s="32" t="n">
        <f aca="true">MAX(0.06,NORMINV(RAND(),$B$8,$C$8))</f>
        <v>0.0692537482227486</v>
      </c>
      <c r="E362" s="50" t="n">
        <f aca="true">MAX(4,NORMINV(RAND(),$B$9,$C$9))</f>
        <v>7.90773526307777</v>
      </c>
      <c r="F362" s="24" t="n">
        <f aca="false">$B$18*(1+(B362+$B$17)/2)^9</f>
        <v>1435.11182453304</v>
      </c>
      <c r="G362" s="24" t="n">
        <f aca="false">F362*C362</f>
        <v>647.240159752579</v>
      </c>
      <c r="H362" s="24" t="n">
        <f aca="false">E362*G362/(1+D362)^9</f>
        <v>2801.49947809103</v>
      </c>
      <c r="I362" s="24" t="n">
        <f aca="false">$B$13*G362/$B$12*((1+$B$8)/(1+D362))^4.5</f>
        <v>2613.00471406167</v>
      </c>
      <c r="J362" s="24" t="n">
        <f aca="false">H362+I362-$B$14</f>
        <v>4478.71391270065</v>
      </c>
      <c r="K362" s="43" t="n">
        <f aca="false">J362/$B$15</f>
        <v>109.236924700016</v>
      </c>
    </row>
    <row r="363" customFormat="false" ht="15" hidden="false" customHeight="false" outlineLevel="0" collapsed="false">
      <c r="A363" s="49" t="n">
        <v>323</v>
      </c>
      <c r="B363" s="19" t="n">
        <f aca="true">NORMINV(RAND(),$B$6,$C$6)</f>
        <v>0.0481496529026251</v>
      </c>
      <c r="C363" s="19" t="n">
        <f aca="true">MAX(0.3,NORMINV(RAND(),$B$7,$C$7))</f>
        <v>0.50552354008798</v>
      </c>
      <c r="D363" s="32" t="n">
        <f aca="true">MAX(0.06,NORMINV(RAND(),$B$8,$C$8))</f>
        <v>0.0788404653721092</v>
      </c>
      <c r="E363" s="50" t="n">
        <f aca="true">MAX(4,NORMINV(RAND(),$B$9,$C$9))</f>
        <v>10.6463970500246</v>
      </c>
      <c r="F363" s="24" t="n">
        <f aca="false">$B$18*(1+(B363+$B$17)/2)^9</f>
        <v>1289.08610972119</v>
      </c>
      <c r="G363" s="24" t="n">
        <f aca="false">F363*C363</f>
        <v>651.6633736645</v>
      </c>
      <c r="H363" s="24" t="n">
        <f aca="false">E363*G363/(1+D363)^9</f>
        <v>3504.37781284241</v>
      </c>
      <c r="I363" s="24" t="n">
        <f aca="false">$B$13*G363/$B$12*((1+$B$8)/(1+D363))^4.5</f>
        <v>2527.28395767437</v>
      </c>
      <c r="J363" s="24" t="n">
        <f aca="false">H363+I363-$B$14</f>
        <v>5095.87149106473</v>
      </c>
      <c r="K363" s="43" t="n">
        <f aca="false">J363/$B$15</f>
        <v>124.289548562554</v>
      </c>
    </row>
    <row r="364" customFormat="false" ht="15" hidden="false" customHeight="false" outlineLevel="0" collapsed="false">
      <c r="A364" s="49" t="n">
        <v>324</v>
      </c>
      <c r="B364" s="19" t="n">
        <f aca="true">NORMINV(RAND(),$B$6,$C$6)</f>
        <v>0.0183197484823043</v>
      </c>
      <c r="C364" s="19" t="n">
        <f aca="true">MAX(0.3,NORMINV(RAND(),$B$7,$C$7))</f>
        <v>0.431086580424067</v>
      </c>
      <c r="D364" s="32" t="n">
        <f aca="true">MAX(0.06,NORMINV(RAND(),$B$8,$C$8))</f>
        <v>0.0879575661690784</v>
      </c>
      <c r="E364" s="50" t="n">
        <f aca="true">MAX(4,NORMINV(RAND(),$B$9,$C$9))</f>
        <v>8.29657091163621</v>
      </c>
      <c r="F364" s="24" t="n">
        <f aca="false">$B$18*(1+(B364+$B$17)/2)^9</f>
        <v>1130.36096007483</v>
      </c>
      <c r="G364" s="24" t="n">
        <f aca="false">F364*C364</f>
        <v>487.283440923523</v>
      </c>
      <c r="H364" s="24" t="n">
        <f aca="false">E364*G364/(1+D364)^9</f>
        <v>1893.09614626731</v>
      </c>
      <c r="I364" s="24" t="n">
        <f aca="false">$B$13*G364/$B$12*((1+$B$8)/(1+D364))^4.5</f>
        <v>1819.55882425284</v>
      </c>
      <c r="J364" s="24" t="n">
        <f aca="false">H364+I364-$B$14</f>
        <v>2776.86469106809</v>
      </c>
      <c r="K364" s="43" t="n">
        <f aca="false">J364/$B$15</f>
        <v>67.7284070992218</v>
      </c>
    </row>
    <row r="365" customFormat="false" ht="15" hidden="false" customHeight="false" outlineLevel="0" collapsed="false">
      <c r="A365" s="49" t="n">
        <v>325</v>
      </c>
      <c r="B365" s="19" t="n">
        <f aca="true">NORMINV(RAND(),$B$6,$C$6)</f>
        <v>0.00797635896136605</v>
      </c>
      <c r="C365" s="19" t="n">
        <f aca="true">MAX(0.3,NORMINV(RAND(),$B$7,$C$7))</f>
        <v>0.470231707182475</v>
      </c>
      <c r="D365" s="32" t="n">
        <f aca="true">MAX(0.06,NORMINV(RAND(),$B$8,$C$8))</f>
        <v>0.0778598106286505</v>
      </c>
      <c r="E365" s="50" t="n">
        <f aca="true">MAX(4,NORMINV(RAND(),$B$9,$C$9))</f>
        <v>5.09599392569209</v>
      </c>
      <c r="F365" s="24" t="n">
        <f aca="false">$B$18*(1+(B365+$B$17)/2)^9</f>
        <v>1079.52833034151</v>
      </c>
      <c r="G365" s="24" t="n">
        <f aca="false">F365*C365</f>
        <v>507.628449728333</v>
      </c>
      <c r="H365" s="24" t="n">
        <f aca="false">E365*G365/(1+D365)^9</f>
        <v>1317.3899453924</v>
      </c>
      <c r="I365" s="24" t="n">
        <f aca="false">$B$13*G365/$B$12*((1+$B$8)/(1+D365))^4.5</f>
        <v>1976.76003045848</v>
      </c>
      <c r="J365" s="24" t="n">
        <f aca="false">H365+I365-$B$14</f>
        <v>2358.35969639882</v>
      </c>
      <c r="K365" s="43" t="n">
        <f aca="false">J365/$B$15</f>
        <v>57.5209682048493</v>
      </c>
    </row>
    <row r="366" customFormat="false" ht="15" hidden="false" customHeight="false" outlineLevel="0" collapsed="false">
      <c r="A366" s="49" t="n">
        <v>326</v>
      </c>
      <c r="B366" s="19" t="n">
        <f aca="true">NORMINV(RAND(),$B$6,$C$6)</f>
        <v>0.0349692059071634</v>
      </c>
      <c r="C366" s="19" t="n">
        <f aca="true">MAX(0.3,NORMINV(RAND(),$B$7,$C$7))</f>
        <v>0.425707240574604</v>
      </c>
      <c r="D366" s="32" t="n">
        <f aca="true">MAX(0.06,NORMINV(RAND(),$B$8,$C$8))</f>
        <v>0.0940793340356297</v>
      </c>
      <c r="E366" s="50" t="n">
        <f aca="true">MAX(4,NORMINV(RAND(),$B$9,$C$9))</f>
        <v>5.61453205121559</v>
      </c>
      <c r="F366" s="24" t="n">
        <f aca="false">$B$18*(1+(B366+$B$17)/2)^9</f>
        <v>1216.66308352073</v>
      </c>
      <c r="G366" s="24" t="n">
        <f aca="false">F366*C366</f>
        <v>517.942283994599</v>
      </c>
      <c r="H366" s="24" t="n">
        <f aca="false">E366*G366/(1+D366)^9</f>
        <v>1294.6596122776</v>
      </c>
      <c r="I366" s="24" t="n">
        <f aca="false">$B$13*G366/$B$12*((1+$B$8)/(1+D366))^4.5</f>
        <v>1885.8187696194</v>
      </c>
      <c r="J366" s="24" t="n">
        <f aca="false">H366+I366-$B$14</f>
        <v>2244.68810244494</v>
      </c>
      <c r="K366" s="43" t="n">
        <f aca="false">J366/$B$15</f>
        <v>54.7484903035351</v>
      </c>
    </row>
    <row r="367" customFormat="false" ht="15" hidden="false" customHeight="false" outlineLevel="0" collapsed="false">
      <c r="A367" s="49" t="n">
        <v>327</v>
      </c>
      <c r="B367" s="19" t="n">
        <f aca="true">NORMINV(RAND(),$B$6,$C$6)</f>
        <v>0.0396744089855113</v>
      </c>
      <c r="C367" s="19" t="n">
        <f aca="true">MAX(0.3,NORMINV(RAND(),$B$7,$C$7))</f>
        <v>0.44241665558465</v>
      </c>
      <c r="D367" s="32" t="n">
        <f aca="true">MAX(0.06,NORMINV(RAND(),$B$8,$C$8))</f>
        <v>0.0808816791358551</v>
      </c>
      <c r="E367" s="50" t="n">
        <f aca="true">MAX(4,NORMINV(RAND(),$B$9,$C$9))</f>
        <v>6.37839525223002</v>
      </c>
      <c r="F367" s="24" t="n">
        <f aca="false">$B$18*(1+(B367+$B$17)/2)^9</f>
        <v>1242.09063317995</v>
      </c>
      <c r="G367" s="24" t="n">
        <f aca="false">F367*C367</f>
        <v>549.521583864496</v>
      </c>
      <c r="H367" s="24" t="n">
        <f aca="false">E367*G367/(1+D367)^9</f>
        <v>1740.57516311713</v>
      </c>
      <c r="I367" s="24" t="n">
        <f aca="false">$B$13*G367/$B$12*((1+$B$8)/(1+D367))^4.5</f>
        <v>2113.10611854924</v>
      </c>
      <c r="J367" s="24" t="n">
        <f aca="false">H367+I367-$B$14</f>
        <v>2917.89100221431</v>
      </c>
      <c r="K367" s="43" t="n">
        <f aca="false">J367/$B$15</f>
        <v>71.1680732247394</v>
      </c>
    </row>
    <row r="368" customFormat="false" ht="15" hidden="false" customHeight="false" outlineLevel="0" collapsed="false">
      <c r="A368" s="49" t="n">
        <v>328</v>
      </c>
      <c r="B368" s="19" t="n">
        <f aca="true">NORMINV(RAND(),$B$6,$C$6)</f>
        <v>0.0731698951129057</v>
      </c>
      <c r="C368" s="19" t="n">
        <f aca="true">MAX(0.3,NORMINV(RAND(),$B$7,$C$7))</f>
        <v>0.451406194805272</v>
      </c>
      <c r="D368" s="32" t="n">
        <f aca="true">MAX(0.06,NORMINV(RAND(),$B$8,$C$8))</f>
        <v>0.0857961560468896</v>
      </c>
      <c r="E368" s="50" t="n">
        <f aca="true">MAX(4,NORMINV(RAND(),$B$9,$C$9))</f>
        <v>7.80532207538013</v>
      </c>
      <c r="F368" s="24" t="n">
        <f aca="false">$B$18*(1+(B368+$B$17)/2)^9</f>
        <v>1437.18142031293</v>
      </c>
      <c r="G368" s="24" t="n">
        <f aca="false">F368*C368</f>
        <v>648.752596188296</v>
      </c>
      <c r="H368" s="24" t="n">
        <f aca="false">E368*G368/(1+D368)^9</f>
        <v>2413.98873270983</v>
      </c>
      <c r="I368" s="24" t="n">
        <f aca="false">$B$13*G368/$B$12*((1+$B$8)/(1+D368))^4.5</f>
        <v>2444.27469939913</v>
      </c>
      <c r="J368" s="24" t="n">
        <f aca="false">H368+I368-$B$14</f>
        <v>3922.4731526569</v>
      </c>
      <c r="K368" s="43" t="n">
        <f aca="false">J368/$B$15</f>
        <v>95.6700768940708</v>
      </c>
    </row>
    <row r="369" customFormat="false" ht="15" hidden="false" customHeight="false" outlineLevel="0" collapsed="false">
      <c r="A369" s="49" t="n">
        <v>329</v>
      </c>
      <c r="B369" s="19" t="n">
        <f aca="true">NORMINV(RAND(),$B$6,$C$6)</f>
        <v>-0.0171049572412959</v>
      </c>
      <c r="C369" s="19" t="n">
        <f aca="true">MAX(0.3,NORMINV(RAND(),$B$7,$C$7))</f>
        <v>0.456997503678578</v>
      </c>
      <c r="D369" s="32" t="n">
        <f aca="true">MAX(0.06,NORMINV(RAND(),$B$8,$C$8))</f>
        <v>0.0767767295685256</v>
      </c>
      <c r="E369" s="50" t="n">
        <f aca="true">MAX(4,NORMINV(RAND(),$B$9,$C$9))</f>
        <v>7.69152474200367</v>
      </c>
      <c r="F369" s="24" t="n">
        <f aca="false">$B$18*(1+(B369+$B$17)/2)^9</f>
        <v>964.604357143725</v>
      </c>
      <c r="G369" s="24" t="n">
        <f aca="false">F369*C369</f>
        <v>440.821783252162</v>
      </c>
      <c r="H369" s="24" t="n">
        <f aca="false">E369*G369/(1+D369)^9</f>
        <v>1742.386655466</v>
      </c>
      <c r="I369" s="24" t="n">
        <f aca="false">$B$13*G369/$B$12*((1+$B$8)/(1+D369))^4.5</f>
        <v>1724.39130286354</v>
      </c>
      <c r="J369" s="24" t="n">
        <f aca="false">H369+I369-$B$14</f>
        <v>2530.98767887749</v>
      </c>
      <c r="K369" s="43" t="n">
        <f aca="false">J369/$B$15</f>
        <v>61.73140680189</v>
      </c>
    </row>
    <row r="370" customFormat="false" ht="15" hidden="false" customHeight="false" outlineLevel="0" collapsed="false">
      <c r="A370" s="49" t="n">
        <v>330</v>
      </c>
      <c r="B370" s="19" t="n">
        <f aca="true">NORMINV(RAND(),$B$6,$C$6)</f>
        <v>-0.013854351016787</v>
      </c>
      <c r="C370" s="19" t="n">
        <f aca="true">MAX(0.3,NORMINV(RAND(),$B$7,$C$7))</f>
        <v>0.419344356517062</v>
      </c>
      <c r="D370" s="32" t="n">
        <f aca="true">MAX(0.06,NORMINV(RAND(),$B$8,$C$8))</f>
        <v>0.0800092818973056</v>
      </c>
      <c r="E370" s="50" t="n">
        <f aca="true">MAX(4,NORMINV(RAND(),$B$9,$C$9))</f>
        <v>9.40277456831649</v>
      </c>
      <c r="F370" s="24" t="n">
        <f aca="false">$B$18*(1+(B370+$B$17)/2)^9</f>
        <v>978.857371021109</v>
      </c>
      <c r="G370" s="24" t="n">
        <f aca="false">F370*C370</f>
        <v>410.478314372829</v>
      </c>
      <c r="H370" s="24" t="n">
        <f aca="false">E370*G370/(1+D370)^9</f>
        <v>1930.62911223992</v>
      </c>
      <c r="I370" s="24" t="n">
        <f aca="false">$B$13*G370/$B$12*((1+$B$8)/(1+D370))^4.5</f>
        <v>1584.18090890455</v>
      </c>
      <c r="J370" s="24" t="n">
        <f aca="false">H370+I370-$B$14</f>
        <v>2579.01974169241</v>
      </c>
      <c r="K370" s="43" t="n">
        <f aca="false">J370/$B$15</f>
        <v>62.9029205290832</v>
      </c>
    </row>
    <row r="371" customFormat="false" ht="15" hidden="false" customHeight="false" outlineLevel="0" collapsed="false">
      <c r="A371" s="49" t="n">
        <v>331</v>
      </c>
      <c r="B371" s="19" t="n">
        <f aca="true">NORMINV(RAND(),$B$6,$C$6)</f>
        <v>-0.00181997865584198</v>
      </c>
      <c r="C371" s="19" t="n">
        <f aca="true">MAX(0.3,NORMINV(RAND(),$B$7,$C$7))</f>
        <v>0.446405107843038</v>
      </c>
      <c r="D371" s="32" t="n">
        <f aca="true">MAX(0.06,NORMINV(RAND(),$B$8,$C$8))</f>
        <v>0.0824504924271155</v>
      </c>
      <c r="E371" s="50" t="n">
        <f aca="true">MAX(4,NORMINV(RAND(),$B$9,$C$9))</f>
        <v>6.67612883436248</v>
      </c>
      <c r="F371" s="24" t="n">
        <f aca="false">$B$18*(1+(B371+$B$17)/2)^9</f>
        <v>1033.26842097254</v>
      </c>
      <c r="G371" s="24" t="n">
        <f aca="false">F371*C371</f>
        <v>461.25630089505</v>
      </c>
      <c r="H371" s="24" t="n">
        <f aca="false">E371*G371/(1+D371)^9</f>
        <v>1509.36626725814</v>
      </c>
      <c r="I371" s="24" t="n">
        <f aca="false">$B$13*G371/$B$12*((1+$B$8)/(1+D371))^4.5</f>
        <v>1762.15608569691</v>
      </c>
      <c r="J371" s="24" t="n">
        <f aca="false">H371+I371-$B$14</f>
        <v>2335.732073503</v>
      </c>
      <c r="K371" s="43" t="n">
        <f aca="false">J371/$B$15</f>
        <v>56.9690749634877</v>
      </c>
    </row>
    <row r="372" customFormat="false" ht="15" hidden="false" customHeight="false" outlineLevel="0" collapsed="false">
      <c r="A372" s="49" t="n">
        <v>332</v>
      </c>
      <c r="B372" s="19" t="n">
        <f aca="true">NORMINV(RAND(),$B$6,$C$6)</f>
        <v>0.0490401265441979</v>
      </c>
      <c r="C372" s="19" t="n">
        <f aca="true">MAX(0.3,NORMINV(RAND(),$B$7,$C$7))</f>
        <v>0.442099839921076</v>
      </c>
      <c r="D372" s="32" t="n">
        <f aca="true">MAX(0.06,NORMINV(RAND(),$B$8,$C$8))</f>
        <v>0.078200407600607</v>
      </c>
      <c r="E372" s="50" t="n">
        <f aca="true">MAX(4,NORMINV(RAND(),$B$9,$C$9))</f>
        <v>7.58193575802887</v>
      </c>
      <c r="F372" s="24" t="n">
        <f aca="false">$B$18*(1+(B372+$B$17)/2)^9</f>
        <v>1294.11439915186</v>
      </c>
      <c r="G372" s="24" t="n">
        <f aca="false">F372*C372</f>
        <v>572.127768704596</v>
      </c>
      <c r="H372" s="24" t="n">
        <f aca="false">E372*G372/(1+D372)^9</f>
        <v>2202.81336299216</v>
      </c>
      <c r="I372" s="24" t="n">
        <f aca="false">$B$13*G372/$B$12*((1+$B$8)/(1+D372))^4.5</f>
        <v>2224.76204843605</v>
      </c>
      <c r="J372" s="24" t="n">
        <f aca="false">H372+I372-$B$14</f>
        <v>3491.78513197616</v>
      </c>
      <c r="K372" s="43" t="n">
        <f aca="false">J372/$B$15</f>
        <v>85.1654910238087</v>
      </c>
    </row>
    <row r="373" customFormat="false" ht="15" hidden="false" customHeight="false" outlineLevel="0" collapsed="false">
      <c r="A373" s="49" t="n">
        <v>333</v>
      </c>
      <c r="B373" s="19" t="n">
        <f aca="true">NORMINV(RAND(),$B$6,$C$6)</f>
        <v>0.0159603860937727</v>
      </c>
      <c r="C373" s="19" t="n">
        <f aca="true">MAX(0.3,NORMINV(RAND(),$B$7,$C$7))</f>
        <v>0.45806040743983</v>
      </c>
      <c r="D373" s="32" t="n">
        <f aca="true">MAX(0.06,NORMINV(RAND(),$B$8,$C$8))</f>
        <v>0.0750664298267823</v>
      </c>
      <c r="E373" s="50" t="n">
        <f aca="true">MAX(4,NORMINV(RAND(),$B$9,$C$9))</f>
        <v>6.73968902486156</v>
      </c>
      <c r="F373" s="24" t="n">
        <f aca="false">$B$18*(1+(B373+$B$17)/2)^9</f>
        <v>1118.58224345247</v>
      </c>
      <c r="G373" s="24" t="n">
        <f aca="false">F373*C373</f>
        <v>512.378238190799</v>
      </c>
      <c r="H373" s="24" t="n">
        <f aca="false">E373*G373/(1+D373)^9</f>
        <v>1800.16713105405</v>
      </c>
      <c r="I373" s="24" t="n">
        <f aca="false">$B$13*G373/$B$12*((1+$B$8)/(1+D373))^4.5</f>
        <v>2018.69206336452</v>
      </c>
      <c r="J373" s="24" t="n">
        <f aca="false">H373+I373-$B$14</f>
        <v>2883.06891496652</v>
      </c>
      <c r="K373" s="43" t="n">
        <f aca="false">J373/$B$15</f>
        <v>70.3187540235737</v>
      </c>
    </row>
    <row r="374" customFormat="false" ht="15" hidden="false" customHeight="false" outlineLevel="0" collapsed="false">
      <c r="A374" s="49" t="n">
        <v>334</v>
      </c>
      <c r="B374" s="19" t="n">
        <f aca="true">NORMINV(RAND(),$B$6,$C$6)</f>
        <v>-0.00928747411965039</v>
      </c>
      <c r="C374" s="19" t="n">
        <f aca="true">MAX(0.3,NORMINV(RAND(),$B$7,$C$7))</f>
        <v>0.413782885257522</v>
      </c>
      <c r="D374" s="32" t="n">
        <f aca="true">MAX(0.06,NORMINV(RAND(),$B$8,$C$8))</f>
        <v>0.07906047172251</v>
      </c>
      <c r="E374" s="50" t="n">
        <f aca="true">MAX(4,NORMINV(RAND(),$B$9,$C$9))</f>
        <v>7.13413831808593</v>
      </c>
      <c r="F374" s="24" t="n">
        <f aca="false">$B$18*(1+(B374+$B$17)/2)^9</f>
        <v>999.198095742092</v>
      </c>
      <c r="G374" s="24" t="n">
        <f aca="false">F374*C374</f>
        <v>413.451070999985</v>
      </c>
      <c r="H374" s="24" t="n">
        <f aca="false">E374*G374/(1+D374)^9</f>
        <v>1487.14595177912</v>
      </c>
      <c r="I374" s="24" t="n">
        <f aca="false">$B$13*G374/$B$12*((1+$B$8)/(1+D374))^4.5</f>
        <v>1601.97726156959</v>
      </c>
      <c r="J374" s="24" t="n">
        <f aca="false">H374+I374-$B$14</f>
        <v>2153.33293389666</v>
      </c>
      <c r="K374" s="43" t="n">
        <f aca="false">J374/$B$15</f>
        <v>52.5203154608941</v>
      </c>
    </row>
    <row r="375" customFormat="false" ht="15" hidden="false" customHeight="false" outlineLevel="0" collapsed="false">
      <c r="A375" s="49" t="n">
        <v>335</v>
      </c>
      <c r="B375" s="19" t="n">
        <f aca="true">NORMINV(RAND(),$B$6,$C$6)</f>
        <v>0.00932703629843433</v>
      </c>
      <c r="C375" s="19" t="n">
        <f aca="true">MAX(0.3,NORMINV(RAND(),$B$7,$C$7))</f>
        <v>0.455476616451089</v>
      </c>
      <c r="D375" s="32" t="n">
        <f aca="true">MAX(0.06,NORMINV(RAND(),$B$8,$C$8))</f>
        <v>0.082415989316723</v>
      </c>
      <c r="E375" s="50" t="n">
        <f aca="true">MAX(4,NORMINV(RAND(),$B$9,$C$9))</f>
        <v>9.214051867603</v>
      </c>
      <c r="F375" s="24" t="n">
        <f aca="false">$B$18*(1+(B375+$B$17)/2)^9</f>
        <v>1086.04874303412</v>
      </c>
      <c r="G375" s="24" t="n">
        <f aca="false">F375*C375</f>
        <v>494.66980677814</v>
      </c>
      <c r="H375" s="24" t="n">
        <f aca="false">E375*G375/(1+D375)^9</f>
        <v>2234.6950391625</v>
      </c>
      <c r="I375" s="24" t="n">
        <f aca="false">$B$13*G375/$B$12*((1+$B$8)/(1+D375))^4.5</f>
        <v>1890.0781454324</v>
      </c>
      <c r="J375" s="24" t="n">
        <f aca="false">H375+I375-$B$14</f>
        <v>3188.98290514285</v>
      </c>
      <c r="K375" s="43" t="n">
        <f aca="false">J375/$B$15</f>
        <v>77.7800708571428</v>
      </c>
    </row>
    <row r="376" customFormat="false" ht="15" hidden="false" customHeight="false" outlineLevel="0" collapsed="false">
      <c r="A376" s="49" t="n">
        <v>336</v>
      </c>
      <c r="B376" s="19" t="n">
        <f aca="true">NORMINV(RAND(),$B$6,$C$6)</f>
        <v>0.0135021586039277</v>
      </c>
      <c r="C376" s="19" t="n">
        <f aca="true">MAX(0.3,NORMINV(RAND(),$B$7,$C$7))</f>
        <v>0.443579894157578</v>
      </c>
      <c r="D376" s="32" t="n">
        <f aca="true">MAX(0.06,NORMINV(RAND(),$B$8,$C$8))</f>
        <v>0.077472853543903</v>
      </c>
      <c r="E376" s="50" t="n">
        <f aca="true">MAX(4,NORMINV(RAND(),$B$9,$C$9))</f>
        <v>7.7122807114978</v>
      </c>
      <c r="F376" s="24" t="n">
        <f aca="false">$B$18*(1+(B376+$B$17)/2)^9</f>
        <v>1106.42613469424</v>
      </c>
      <c r="G376" s="24" t="n">
        <f aca="false">F376*C376</f>
        <v>490.788387720849</v>
      </c>
      <c r="H376" s="24" t="n">
        <f aca="false">E376*G376/(1+D376)^9</f>
        <v>1933.83792567194</v>
      </c>
      <c r="I376" s="24" t="n">
        <f aca="false">$B$13*G376/$B$12*((1+$B$8)/(1+D376))^4.5</f>
        <v>1914.27361944892</v>
      </c>
      <c r="J376" s="24" t="n">
        <f aca="false">H376+I376-$B$14</f>
        <v>2912.32126566881</v>
      </c>
      <c r="K376" s="43" t="n">
        <f aca="false">J376/$B$15</f>
        <v>71.0322259919221</v>
      </c>
    </row>
    <row r="377" customFormat="false" ht="15" hidden="false" customHeight="false" outlineLevel="0" collapsed="false">
      <c r="A377" s="49" t="n">
        <v>337</v>
      </c>
      <c r="B377" s="19" t="n">
        <f aca="true">NORMINV(RAND(),$B$6,$C$6)</f>
        <v>0.0431168114020346</v>
      </c>
      <c r="C377" s="19" t="n">
        <f aca="true">MAX(0.3,NORMINV(RAND(),$B$7,$C$7))</f>
        <v>0.495004060379661</v>
      </c>
      <c r="D377" s="32" t="n">
        <f aca="true">MAX(0.06,NORMINV(RAND(),$B$8,$C$8))</f>
        <v>0.0826700337481801</v>
      </c>
      <c r="E377" s="50" t="n">
        <f aca="true">MAX(4,NORMINV(RAND(),$B$9,$C$9))</f>
        <v>7.76889850812665</v>
      </c>
      <c r="F377" s="24" t="n">
        <f aca="false">$B$18*(1+(B377+$B$17)/2)^9</f>
        <v>1260.99193656402</v>
      </c>
      <c r="G377" s="24" t="n">
        <f aca="false">F377*C377</f>
        <v>624.196128705204</v>
      </c>
      <c r="H377" s="24" t="n">
        <f aca="false">E377*G377/(1+D377)^9</f>
        <v>2372.55052759342</v>
      </c>
      <c r="I377" s="24" t="n">
        <f aca="false">$B$13*G377/$B$12*((1+$B$8)/(1+D377))^4.5</f>
        <v>2382.46648179651</v>
      </c>
      <c r="J377" s="24" t="n">
        <f aca="false">H377+I377-$B$14</f>
        <v>3819.22672993787</v>
      </c>
      <c r="K377" s="43" t="n">
        <f aca="false">J377/$B$15</f>
        <v>93.1518714618993</v>
      </c>
    </row>
    <row r="378" customFormat="false" ht="15" hidden="false" customHeight="false" outlineLevel="0" collapsed="false">
      <c r="A378" s="49" t="n">
        <v>338</v>
      </c>
      <c r="B378" s="19" t="n">
        <f aca="true">NORMINV(RAND(),$B$6,$C$6)</f>
        <v>0.0635369902512734</v>
      </c>
      <c r="C378" s="19" t="n">
        <f aca="true">MAX(0.3,NORMINV(RAND(),$B$7,$C$7))</f>
        <v>0.39451068710399</v>
      </c>
      <c r="D378" s="32" t="n">
        <f aca="true">MAX(0.06,NORMINV(RAND(),$B$8,$C$8))</f>
        <v>0.0829348708881827</v>
      </c>
      <c r="E378" s="50" t="n">
        <f aca="true">MAX(4,NORMINV(RAND(),$B$9,$C$9))</f>
        <v>6.16672739936985</v>
      </c>
      <c r="F378" s="24" t="n">
        <f aca="false">$B$18*(1+(B378+$B$17)/2)^9</f>
        <v>1378.46410804408</v>
      </c>
      <c r="G378" s="24" t="n">
        <f aca="false">F378*C378</f>
        <v>543.818822412658</v>
      </c>
      <c r="H378" s="24" t="n">
        <f aca="false">E378*G378/(1+D378)^9</f>
        <v>1637.14799501338</v>
      </c>
      <c r="I378" s="24" t="n">
        <f aca="false">$B$13*G378/$B$12*((1+$B$8)/(1+D378))^4.5</f>
        <v>2073.39461016452</v>
      </c>
      <c r="J378" s="24" t="n">
        <f aca="false">H378+I378-$B$14</f>
        <v>2774.75232572584</v>
      </c>
      <c r="K378" s="43" t="n">
        <f aca="false">J378/$B$15</f>
        <v>67.6768859933133</v>
      </c>
    </row>
    <row r="379" customFormat="false" ht="15" hidden="false" customHeight="false" outlineLevel="0" collapsed="false">
      <c r="A379" s="49" t="n">
        <v>339</v>
      </c>
      <c r="B379" s="19" t="n">
        <f aca="true">NORMINV(RAND(),$B$6,$C$6)</f>
        <v>-0.0398206048354432</v>
      </c>
      <c r="C379" s="19" t="n">
        <f aca="true">MAX(0.3,NORMINV(RAND(),$B$7,$C$7))</f>
        <v>0.440504736195225</v>
      </c>
      <c r="D379" s="32" t="n">
        <f aca="true">MAX(0.06,NORMINV(RAND(),$B$8,$C$8))</f>
        <v>0.0906392559981186</v>
      </c>
      <c r="E379" s="50" t="n">
        <f aca="true">MAX(4,NORMINV(RAND(),$B$9,$C$9))</f>
        <v>6.52164981058951</v>
      </c>
      <c r="F379" s="24" t="n">
        <f aca="false">$B$18*(1+(B379+$B$17)/2)^9</f>
        <v>870.044232054019</v>
      </c>
      <c r="G379" s="24" t="n">
        <f aca="false">F379*C379</f>
        <v>383.258604919133</v>
      </c>
      <c r="H379" s="24" t="n">
        <f aca="false">E379*G379/(1+D379)^9</f>
        <v>1144.7726906499</v>
      </c>
      <c r="I379" s="24" t="n">
        <f aca="false">$B$13*G379/$B$12*((1+$B$8)/(1+D379))^4.5</f>
        <v>1415.35408514157</v>
      </c>
      <c r="J379" s="24" t="n">
        <f aca="false">H379+I379-$B$14</f>
        <v>1624.33649633942</v>
      </c>
      <c r="K379" s="43" t="n">
        <f aca="false">J379/$B$15</f>
        <v>39.6179633253518</v>
      </c>
    </row>
    <row r="380" customFormat="false" ht="15" hidden="false" customHeight="false" outlineLevel="0" collapsed="false">
      <c r="A380" s="49" t="n">
        <v>340</v>
      </c>
      <c r="B380" s="19" t="n">
        <f aca="true">NORMINV(RAND(),$B$6,$C$6)</f>
        <v>0.0377024160994409</v>
      </c>
      <c r="C380" s="19" t="n">
        <f aca="true">MAX(0.3,NORMINV(RAND(),$B$7,$C$7))</f>
        <v>0.482616388084372</v>
      </c>
      <c r="D380" s="32" t="n">
        <f aca="true">MAX(0.06,NORMINV(RAND(),$B$8,$C$8))</f>
        <v>0.0684282516318346</v>
      </c>
      <c r="E380" s="50" t="n">
        <f aca="true">MAX(4,NORMINV(RAND(),$B$9,$C$9))</f>
        <v>6.50160389987642</v>
      </c>
      <c r="F380" s="24" t="n">
        <f aca="false">$B$18*(1+(B380+$B$17)/2)^9</f>
        <v>1231.37678573445</v>
      </c>
      <c r="G380" s="24" t="n">
        <f aca="false">F380*C380</f>
        <v>594.282616702103</v>
      </c>
      <c r="H380" s="24" t="n">
        <f aca="false">E380*G380/(1+D380)^9</f>
        <v>2129.63543897537</v>
      </c>
      <c r="I380" s="24" t="n">
        <f aca="false">$B$13*G380/$B$12*((1+$B$8)/(1+D380))^4.5</f>
        <v>2407.56014455324</v>
      </c>
      <c r="J380" s="24" t="n">
        <f aca="false">H380+I380-$B$14</f>
        <v>3601.40530407656</v>
      </c>
      <c r="K380" s="43" t="n">
        <f aca="false">J380/$B$15</f>
        <v>87.8391537579648</v>
      </c>
    </row>
    <row r="381" customFormat="false" ht="15" hidden="false" customHeight="false" outlineLevel="0" collapsed="false">
      <c r="A381" s="49" t="n">
        <v>341</v>
      </c>
      <c r="B381" s="19" t="n">
        <f aca="true">NORMINV(RAND(),$B$6,$C$6)</f>
        <v>0.0303530064504065</v>
      </c>
      <c r="C381" s="19" t="n">
        <f aca="true">MAX(0.3,NORMINV(RAND(),$B$7,$C$7))</f>
        <v>0.427879693647991</v>
      </c>
      <c r="D381" s="32" t="n">
        <f aca="true">MAX(0.06,NORMINV(RAND(),$B$8,$C$8))</f>
        <v>0.0876507293139254</v>
      </c>
      <c r="E381" s="50" t="n">
        <f aca="true">MAX(4,NORMINV(RAND(),$B$9,$C$9))</f>
        <v>7.25928481040611</v>
      </c>
      <c r="F381" s="24" t="n">
        <f aca="false">$B$18*(1+(B381+$B$17)/2)^9</f>
        <v>1192.1672520657</v>
      </c>
      <c r="G381" s="24" t="n">
        <f aca="false">F381*C381</f>
        <v>510.104158591038</v>
      </c>
      <c r="H381" s="24" t="n">
        <f aca="false">E381*G381/(1+D381)^9</f>
        <v>1738.39154631453</v>
      </c>
      <c r="I381" s="24" t="n">
        <f aca="false">$B$13*G381/$B$12*((1+$B$8)/(1+D381))^4.5</f>
        <v>1907.19266438484</v>
      </c>
      <c r="J381" s="24" t="n">
        <f aca="false">H381+I381-$B$14</f>
        <v>2709.79393124731</v>
      </c>
      <c r="K381" s="43" t="n">
        <f aca="false">J381/$B$15</f>
        <v>66.092534908471</v>
      </c>
    </row>
    <row r="382" customFormat="false" ht="15" hidden="false" customHeight="false" outlineLevel="0" collapsed="false">
      <c r="A382" s="49" t="n">
        <v>342</v>
      </c>
      <c r="B382" s="19" t="n">
        <f aca="true">NORMINV(RAND(),$B$6,$C$6)</f>
        <v>0.0773365722058947</v>
      </c>
      <c r="C382" s="19" t="n">
        <f aca="true">MAX(0.3,NORMINV(RAND(),$B$7,$C$7))</f>
        <v>0.454781840464717</v>
      </c>
      <c r="D382" s="32" t="n">
        <f aca="true">MAX(0.06,NORMINV(RAND(),$B$8,$C$8))</f>
        <v>0.0857556483718025</v>
      </c>
      <c r="E382" s="50" t="n">
        <f aca="true">MAX(4,NORMINV(RAND(),$B$9,$C$9))</f>
        <v>8.0444816407783</v>
      </c>
      <c r="F382" s="24" t="n">
        <f aca="false">$B$18*(1+(B382+$B$17)/2)^9</f>
        <v>1463.26073678889</v>
      </c>
      <c r="G382" s="24" t="n">
        <f aca="false">F382*C382</f>
        <v>665.46441095661</v>
      </c>
      <c r="H382" s="24" t="n">
        <f aca="false">E382*G382/(1+D382)^9</f>
        <v>2552.90129182122</v>
      </c>
      <c r="I382" s="24" t="n">
        <f aca="false">$B$13*G382/$B$12*((1+$B$8)/(1+D382))^4.5</f>
        <v>2507.65998029086</v>
      </c>
      <c r="J382" s="24" t="n">
        <f aca="false">H382+I382-$B$14</f>
        <v>4124.77099266002</v>
      </c>
      <c r="K382" s="43" t="n">
        <f aca="false">J382/$B$15</f>
        <v>100.604170552683</v>
      </c>
    </row>
    <row r="383" customFormat="false" ht="15" hidden="false" customHeight="false" outlineLevel="0" collapsed="false">
      <c r="A383" s="49" t="n">
        <v>343</v>
      </c>
      <c r="B383" s="19" t="n">
        <f aca="true">NORMINV(RAND(),$B$6,$C$6)</f>
        <v>0.034839811060455</v>
      </c>
      <c r="C383" s="19" t="n">
        <f aca="true">MAX(0.3,NORMINV(RAND(),$B$7,$C$7))</f>
        <v>0.430180945966931</v>
      </c>
      <c r="D383" s="32" t="n">
        <f aca="true">MAX(0.06,NORMINV(RAND(),$B$8,$C$8))</f>
        <v>0.0755124583346906</v>
      </c>
      <c r="E383" s="50" t="n">
        <f aca="true">MAX(4,NORMINV(RAND(),$B$9,$C$9))</f>
        <v>9.50199965212264</v>
      </c>
      <c r="F383" s="24" t="n">
        <f aca="false">$B$18*(1+(B383+$B$17)/2)^9</f>
        <v>1215.97040275101</v>
      </c>
      <c r="G383" s="24" t="n">
        <f aca="false">F383*C383</f>
        <v>523.087298123221</v>
      </c>
      <c r="H383" s="24" t="n">
        <f aca="false">E383*G383/(1+D383)^9</f>
        <v>2581.36950644312</v>
      </c>
      <c r="I383" s="24" t="n">
        <f aca="false">$B$13*G383/$B$12*((1+$B$8)/(1+D383))^4.5</f>
        <v>2057.04088020549</v>
      </c>
      <c r="J383" s="24" t="n">
        <f aca="false">H383+I383-$B$14</f>
        <v>3702.62010719655</v>
      </c>
      <c r="K383" s="43" t="n">
        <f aca="false">J383/$B$15</f>
        <v>90.3078074925987</v>
      </c>
    </row>
    <row r="384" customFormat="false" ht="15" hidden="false" customHeight="false" outlineLevel="0" collapsed="false">
      <c r="A384" s="49" t="n">
        <v>344</v>
      </c>
      <c r="B384" s="19" t="n">
        <f aca="true">NORMINV(RAND(),$B$6,$C$6)</f>
        <v>0.0154856037801023</v>
      </c>
      <c r="C384" s="19" t="n">
        <f aca="true">MAX(0.3,NORMINV(RAND(),$B$7,$C$7))</f>
        <v>0.420089218637852</v>
      </c>
      <c r="D384" s="32" t="n">
        <f aca="true">MAX(0.06,NORMINV(RAND(),$B$8,$C$8))</f>
        <v>0.0728804238934866</v>
      </c>
      <c r="E384" s="50" t="n">
        <f aca="true">MAX(4,NORMINV(RAND(),$B$9,$C$9))</f>
        <v>12.2387799629454</v>
      </c>
      <c r="F384" s="24" t="n">
        <f aca="false">$B$18*(1+(B384+$B$17)/2)^9</f>
        <v>1116.22520352666</v>
      </c>
      <c r="G384" s="24" t="n">
        <f aca="false">F384*C384</f>
        <v>468.914173573393</v>
      </c>
      <c r="H384" s="24" t="n">
        <f aca="false">E384*G384/(1+D384)^9</f>
        <v>3046.97995431179</v>
      </c>
      <c r="I384" s="24" t="n">
        <f aca="false">$B$13*G384/$B$12*((1+$B$8)/(1+D384))^4.5</f>
        <v>1864.44968595077</v>
      </c>
      <c r="J384" s="24" t="n">
        <f aca="false">H384+I384-$B$14</f>
        <v>3975.63936081051</v>
      </c>
      <c r="K384" s="43" t="n">
        <f aca="false">J384/$B$15</f>
        <v>96.966813678305</v>
      </c>
    </row>
    <row r="385" customFormat="false" ht="15" hidden="false" customHeight="false" outlineLevel="0" collapsed="false">
      <c r="A385" s="49" t="n">
        <v>345</v>
      </c>
      <c r="B385" s="19" t="n">
        <f aca="true">NORMINV(RAND(),$B$6,$C$6)</f>
        <v>0.0300680236388956</v>
      </c>
      <c r="C385" s="19" t="n">
        <f aca="true">MAX(0.3,NORMINV(RAND(),$B$7,$C$7))</f>
        <v>0.441309984197901</v>
      </c>
      <c r="D385" s="32" t="n">
        <f aca="true">MAX(0.06,NORMINV(RAND(),$B$8,$C$8))</f>
        <v>0.0915259487387522</v>
      </c>
      <c r="E385" s="50" t="n">
        <f aca="true">MAX(4,NORMINV(RAND(),$B$9,$C$9))</f>
        <v>10.354404978357</v>
      </c>
      <c r="F385" s="24" t="n">
        <f aca="false">$B$18*(1+(B385+$B$17)/2)^9</f>
        <v>1190.66946379339</v>
      </c>
      <c r="G385" s="24" t="n">
        <f aca="false">F385*C385</f>
        <v>525.454322251584</v>
      </c>
      <c r="H385" s="24" t="n">
        <f aca="false">E385*G385/(1+D385)^9</f>
        <v>2473.73705338165</v>
      </c>
      <c r="I385" s="24" t="n">
        <f aca="false">$B$13*G385/$B$12*((1+$B$8)/(1+D385))^4.5</f>
        <v>1933.3920606731</v>
      </c>
      <c r="J385" s="24" t="n">
        <f aca="false">H385+I385-$B$14</f>
        <v>3471.3388346027</v>
      </c>
      <c r="K385" s="43" t="n">
        <f aca="false">J385/$B$15</f>
        <v>84.6668008439682</v>
      </c>
    </row>
    <row r="386" customFormat="false" ht="15" hidden="false" customHeight="false" outlineLevel="0" collapsed="false">
      <c r="A386" s="49" t="n">
        <v>346</v>
      </c>
      <c r="B386" s="19" t="n">
        <f aca="true">NORMINV(RAND(),$B$6,$C$6)</f>
        <v>0.0500354930803732</v>
      </c>
      <c r="C386" s="19" t="n">
        <f aca="true">MAX(0.3,NORMINV(RAND(),$B$7,$C$7))</f>
        <v>0.444147372925471</v>
      </c>
      <c r="D386" s="32" t="n">
        <f aca="true">MAX(0.06,NORMINV(RAND(),$B$8,$C$8))</f>
        <v>0.0740986551181756</v>
      </c>
      <c r="E386" s="50" t="n">
        <f aca="true">MAX(4,NORMINV(RAND(),$B$9,$C$9))</f>
        <v>5.51895842331854</v>
      </c>
      <c r="F386" s="24" t="n">
        <f aca="false">$B$18*(1+(B386+$B$17)/2)^9</f>
        <v>1299.75562274992</v>
      </c>
      <c r="G386" s="24" t="n">
        <f aca="false">F386*C386</f>
        <v>577.283045289484</v>
      </c>
      <c r="H386" s="24" t="n">
        <f aca="false">E386*G386/(1+D386)^9</f>
        <v>1674.35818556992</v>
      </c>
      <c r="I386" s="24" t="n">
        <f aca="false">$B$13*G386/$B$12*((1+$B$8)/(1+D386))^4.5</f>
        <v>2283.64334569673</v>
      </c>
      <c r="J386" s="24" t="n">
        <f aca="false">H386+I386-$B$14</f>
        <v>3022.2112518146</v>
      </c>
      <c r="K386" s="43" t="n">
        <f aca="false">J386/$B$15</f>
        <v>73.7124695564536</v>
      </c>
    </row>
    <row r="387" customFormat="false" ht="15" hidden="false" customHeight="false" outlineLevel="0" collapsed="false">
      <c r="A387" s="49" t="n">
        <v>347</v>
      </c>
      <c r="B387" s="19" t="n">
        <f aca="true">NORMINV(RAND(),$B$6,$C$6)</f>
        <v>0.0401554430079076</v>
      </c>
      <c r="C387" s="19" t="n">
        <f aca="true">MAX(0.3,NORMINV(RAND(),$B$7,$C$7))</f>
        <v>0.422266716598716</v>
      </c>
      <c r="D387" s="32" t="n">
        <f aca="true">MAX(0.06,NORMINV(RAND(),$B$8,$C$8))</f>
        <v>0.0833807940232864</v>
      </c>
      <c r="E387" s="50" t="n">
        <f aca="true">MAX(4,NORMINV(RAND(),$B$9,$C$9))</f>
        <v>8.64645526545082</v>
      </c>
      <c r="F387" s="24" t="n">
        <f aca="false">$B$18*(1+(B387+$B$17)/2)^9</f>
        <v>1244.71663146508</v>
      </c>
      <c r="G387" s="24" t="n">
        <f aca="false">F387*C387</f>
        <v>525.602405064572</v>
      </c>
      <c r="H387" s="24" t="n">
        <f aca="false">E387*G387/(1+D387)^9</f>
        <v>2210.37140029548</v>
      </c>
      <c r="I387" s="24" t="n">
        <f aca="false">$B$13*G387/$B$12*((1+$B$8)/(1+D387))^4.5</f>
        <v>2000.23260200082</v>
      </c>
      <c r="J387" s="24" t="n">
        <f aca="false">H387+I387-$B$14</f>
        <v>3274.81372284425</v>
      </c>
      <c r="K387" s="43" t="n">
        <f aca="false">J387/$B$15</f>
        <v>79.8735054352256</v>
      </c>
    </row>
    <row r="388" customFormat="false" ht="15" hidden="false" customHeight="false" outlineLevel="0" collapsed="false">
      <c r="A388" s="49" t="n">
        <v>348</v>
      </c>
      <c r="B388" s="19" t="n">
        <f aca="true">NORMINV(RAND(),$B$6,$C$6)</f>
        <v>-0.0124662370681909</v>
      </c>
      <c r="C388" s="19" t="n">
        <f aca="true">MAX(0.3,NORMINV(RAND(),$B$7,$C$7))</f>
        <v>0.410076311964657</v>
      </c>
      <c r="D388" s="32" t="n">
        <f aca="true">MAX(0.06,NORMINV(RAND(),$B$8,$C$8))</f>
        <v>0.0720700739731381</v>
      </c>
      <c r="E388" s="50" t="n">
        <f aca="true">MAX(4,NORMINV(RAND(),$B$9,$C$9))</f>
        <v>6.73601871992112</v>
      </c>
      <c r="F388" s="24" t="n">
        <f aca="false">$B$18*(1+(B388+$B$17)/2)^9</f>
        <v>985.000690839188</v>
      </c>
      <c r="G388" s="24" t="n">
        <f aca="false">F388*C388</f>
        <v>403.925450581973</v>
      </c>
      <c r="H388" s="24" t="n">
        <f aca="false">E388*G388/(1+D388)^9</f>
        <v>1454.44045186155</v>
      </c>
      <c r="I388" s="24" t="n">
        <f aca="false">$B$13*G388/$B$12*((1+$B$8)/(1+D388))^4.5</f>
        <v>1611.51811448475</v>
      </c>
      <c r="J388" s="24" t="n">
        <f aca="false">H388+I388-$B$14</f>
        <v>2130.16828689424</v>
      </c>
      <c r="K388" s="43" t="n">
        <f aca="false">J388/$B$15</f>
        <v>51.9553240705911</v>
      </c>
    </row>
    <row r="389" customFormat="false" ht="15" hidden="false" customHeight="false" outlineLevel="0" collapsed="false">
      <c r="A389" s="49" t="n">
        <v>349</v>
      </c>
      <c r="B389" s="19" t="n">
        <f aca="true">NORMINV(RAND(),$B$6,$C$6)</f>
        <v>0.0408603234250523</v>
      </c>
      <c r="C389" s="19" t="n">
        <f aca="true">MAX(0.3,NORMINV(RAND(),$B$7,$C$7))</f>
        <v>0.428423817085089</v>
      </c>
      <c r="D389" s="32" t="n">
        <f aca="true">MAX(0.06,NORMINV(RAND(),$B$8,$C$8))</f>
        <v>0.0802378951439322</v>
      </c>
      <c r="E389" s="50" t="n">
        <f aca="true">MAX(4,NORMINV(RAND(),$B$9,$C$9))</f>
        <v>8.82939665505718</v>
      </c>
      <c r="F389" s="24" t="n">
        <f aca="false">$B$18*(1+(B389+$B$17)/2)^9</f>
        <v>1248.57353696505</v>
      </c>
      <c r="G389" s="24" t="n">
        <f aca="false">F389*C389</f>
        <v>534.918640617998</v>
      </c>
      <c r="H389" s="24" t="n">
        <f aca="false">E389*G389/(1+D389)^9</f>
        <v>2358.00153852547</v>
      </c>
      <c r="I389" s="24" t="n">
        <f aca="false">$B$13*G389/$B$12*((1+$B$8)/(1+D389))^4.5</f>
        <v>2062.47478233508</v>
      </c>
      <c r="J389" s="24" t="n">
        <f aca="false">H389+I389-$B$14</f>
        <v>3484.68604140849</v>
      </c>
      <c r="K389" s="43" t="n">
        <f aca="false">J389/$B$15</f>
        <v>84.9923424733779</v>
      </c>
    </row>
    <row r="390" customFormat="false" ht="15" hidden="false" customHeight="false" outlineLevel="0" collapsed="false">
      <c r="A390" s="49" t="n">
        <v>350</v>
      </c>
      <c r="B390" s="19" t="n">
        <f aca="true">NORMINV(RAND(),$B$6,$C$6)</f>
        <v>0.022317153199808</v>
      </c>
      <c r="C390" s="19" t="n">
        <f aca="true">MAX(0.3,NORMINV(RAND(),$B$7,$C$7))</f>
        <v>0.476461983694586</v>
      </c>
      <c r="D390" s="32" t="n">
        <f aca="true">MAX(0.06,NORMINV(RAND(),$B$8,$C$8))</f>
        <v>0.0937076703019516</v>
      </c>
      <c r="E390" s="50" t="n">
        <f aca="true">MAX(4,NORMINV(RAND(),$B$9,$C$9))</f>
        <v>8.46125098868924</v>
      </c>
      <c r="F390" s="24" t="n">
        <f aca="false">$B$18*(1+(B390+$B$17)/2)^9</f>
        <v>1150.56914123615</v>
      </c>
      <c r="G390" s="24" t="n">
        <f aca="false">F390*C390</f>
        <v>548.20245541115</v>
      </c>
      <c r="H390" s="24" t="n">
        <f aca="false">E390*G390/(1+D390)^9</f>
        <v>2071.40124680349</v>
      </c>
      <c r="I390" s="24" t="n">
        <f aca="false">$B$13*G390/$B$12*((1+$B$8)/(1+D390))^4.5</f>
        <v>1999.04959486704</v>
      </c>
      <c r="J390" s="24" t="n">
        <f aca="false">H390+I390-$B$14</f>
        <v>3134.66056221848</v>
      </c>
      <c r="K390" s="43" t="n">
        <f aca="false">J390/$B$15</f>
        <v>76.4551356638653</v>
      </c>
    </row>
    <row r="391" customFormat="false" ht="15" hidden="false" customHeight="false" outlineLevel="0" collapsed="false">
      <c r="A391" s="49" t="n">
        <v>351</v>
      </c>
      <c r="B391" s="19" t="n">
        <f aca="true">NORMINV(RAND(),$B$6,$C$6)</f>
        <v>0.0164228029547003</v>
      </c>
      <c r="C391" s="19" t="n">
        <f aca="true">MAX(0.3,NORMINV(RAND(),$B$7,$C$7))</f>
        <v>0.392579001287858</v>
      </c>
      <c r="D391" s="32" t="n">
        <f aca="true">MAX(0.06,NORMINV(RAND(),$B$8,$C$8))</f>
        <v>0.0863215556956831</v>
      </c>
      <c r="E391" s="50" t="n">
        <f aca="true">MAX(4,NORMINV(RAND(),$B$9,$C$9))</f>
        <v>7.29720401787069</v>
      </c>
      <c r="F391" s="24" t="n">
        <f aca="false">$B$18*(1+(B391+$B$17)/2)^9</f>
        <v>1120.88214728005</v>
      </c>
      <c r="G391" s="24" t="n">
        <f aca="false">F391*C391</f>
        <v>440.034793940592</v>
      </c>
      <c r="H391" s="24" t="n">
        <f aca="false">E391*G391/(1+D391)^9</f>
        <v>1524.1156803167</v>
      </c>
      <c r="I391" s="24" t="n">
        <f aca="false">$B$13*G391/$B$12*((1+$B$8)/(1+D391))^4.5</f>
        <v>1654.29319424826</v>
      </c>
      <c r="J391" s="24" t="n">
        <f aca="false">H391+I391-$B$14</f>
        <v>2242.61859511291</v>
      </c>
      <c r="K391" s="43" t="n">
        <f aca="false">J391/$B$15</f>
        <v>54.698014514949</v>
      </c>
    </row>
    <row r="392" customFormat="false" ht="15" hidden="false" customHeight="false" outlineLevel="0" collapsed="false">
      <c r="A392" s="49" t="n">
        <v>352</v>
      </c>
      <c r="B392" s="19" t="n">
        <f aca="true">NORMINV(RAND(),$B$6,$C$6)</f>
        <v>0.00145375088641494</v>
      </c>
      <c r="C392" s="19" t="n">
        <f aca="true">MAX(0.3,NORMINV(RAND(),$B$7,$C$7))</f>
        <v>0.376303621870356</v>
      </c>
      <c r="D392" s="32" t="n">
        <f aca="true">MAX(0.06,NORMINV(RAND(),$B$8,$C$8))</f>
        <v>0.0888309754611525</v>
      </c>
      <c r="E392" s="50" t="n">
        <f aca="true">MAX(4,NORMINV(RAND(),$B$9,$C$9))</f>
        <v>8.50405239900477</v>
      </c>
      <c r="F392" s="24" t="n">
        <f aca="false">$B$18*(1+(B392+$B$17)/2)^9</f>
        <v>1048.52753432438</v>
      </c>
      <c r="G392" s="24" t="n">
        <f aca="false">F392*C392</f>
        <v>394.56470879706</v>
      </c>
      <c r="H392" s="24" t="n">
        <f aca="false">E392*G392/(1+D392)^9</f>
        <v>1559.91149832222</v>
      </c>
      <c r="I392" s="24" t="n">
        <f aca="false">$B$13*G392/$B$12*((1+$B$8)/(1+D392))^4.5</f>
        <v>1468.02816437666</v>
      </c>
      <c r="J392" s="24" t="n">
        <f aca="false">H392+I392-$B$14</f>
        <v>2092.14938324682</v>
      </c>
      <c r="K392" s="43" t="n">
        <f aca="false">J392/$B$15</f>
        <v>51.0280337377274</v>
      </c>
    </row>
    <row r="393" customFormat="false" ht="15" hidden="false" customHeight="false" outlineLevel="0" collapsed="false">
      <c r="A393" s="49" t="n">
        <v>353</v>
      </c>
      <c r="B393" s="19" t="n">
        <f aca="true">NORMINV(RAND(),$B$6,$C$6)</f>
        <v>-0.000703573012774218</v>
      </c>
      <c r="C393" s="19" t="n">
        <f aca="true">MAX(0.3,NORMINV(RAND(),$B$7,$C$7))</f>
        <v>0.415287708531319</v>
      </c>
      <c r="D393" s="32" t="n">
        <f aca="true">MAX(0.06,NORMINV(RAND(),$B$8,$C$8))</f>
        <v>0.0878661449852748</v>
      </c>
      <c r="E393" s="50" t="n">
        <f aca="true">MAX(4,NORMINV(RAND(),$B$9,$C$9))</f>
        <v>9.13819434054236</v>
      </c>
      <c r="F393" s="24" t="n">
        <f aca="false">$B$18*(1+(B393+$B$17)/2)^9</f>
        <v>1038.44974763156</v>
      </c>
      <c r="G393" s="24" t="n">
        <f aca="false">F393*C393</f>
        <v>431.255416118837</v>
      </c>
      <c r="H393" s="24" t="n">
        <f aca="false">E393*G393/(1+D393)^9</f>
        <v>1846.78270614629</v>
      </c>
      <c r="I393" s="24" t="n">
        <f aca="false">$B$13*G393/$B$12*((1+$B$8)/(1+D393))^4.5</f>
        <v>1610.95436743121</v>
      </c>
      <c r="J393" s="24" t="n">
        <f aca="false">H393+I393-$B$14</f>
        <v>2521.94679412545</v>
      </c>
      <c r="K393" s="43" t="n">
        <f aca="false">J393/$B$15</f>
        <v>61.5108974176938</v>
      </c>
    </row>
    <row r="394" customFormat="false" ht="15" hidden="false" customHeight="false" outlineLevel="0" collapsed="false">
      <c r="A394" s="49" t="n">
        <v>354</v>
      </c>
      <c r="B394" s="19" t="n">
        <f aca="true">NORMINV(RAND(),$B$6,$C$6)</f>
        <v>0.0387471026015851</v>
      </c>
      <c r="C394" s="19" t="n">
        <f aca="true">MAX(0.3,NORMINV(RAND(),$B$7,$C$7))</f>
        <v>0.408148784069053</v>
      </c>
      <c r="D394" s="32" t="n">
        <f aca="true">MAX(0.06,NORMINV(RAND(),$B$8,$C$8))</f>
        <v>0.0733678867778912</v>
      </c>
      <c r="E394" s="50" t="n">
        <f aca="true">MAX(4,NORMINV(RAND(),$B$9,$C$9))</f>
        <v>7.80405037925814</v>
      </c>
      <c r="F394" s="24" t="n">
        <f aca="false">$B$18*(1+(B394+$B$17)/2)^9</f>
        <v>1237.04229595494</v>
      </c>
      <c r="G394" s="24" t="n">
        <f aca="false">F394*C394</f>
        <v>504.897308935998</v>
      </c>
      <c r="H394" s="24" t="n">
        <f aca="false">E394*G394/(1+D394)^9</f>
        <v>2083.46274781068</v>
      </c>
      <c r="I394" s="24" t="n">
        <f aca="false">$B$13*G394/$B$12*((1+$B$8)/(1+D394))^4.5</f>
        <v>2003.42283003141</v>
      </c>
      <c r="J394" s="24" t="n">
        <f aca="false">H394+I394-$B$14</f>
        <v>3151.09529839004</v>
      </c>
      <c r="K394" s="43" t="n">
        <f aca="false">J394/$B$15</f>
        <v>76.8559828875619</v>
      </c>
    </row>
    <row r="395" customFormat="false" ht="15" hidden="false" customHeight="false" outlineLevel="0" collapsed="false">
      <c r="A395" s="49" t="n">
        <v>355</v>
      </c>
      <c r="B395" s="19" t="n">
        <f aca="true">NORMINV(RAND(),$B$6,$C$6)</f>
        <v>-0.0232722874661657</v>
      </c>
      <c r="C395" s="19" t="n">
        <f aca="true">MAX(0.3,NORMINV(RAND(),$B$7,$C$7))</f>
        <v>0.422520236516782</v>
      </c>
      <c r="D395" s="32" t="n">
        <f aca="true">MAX(0.06,NORMINV(RAND(),$B$8,$C$8))</f>
        <v>0.0778331741568946</v>
      </c>
      <c r="E395" s="50" t="n">
        <f aca="true">MAX(4,NORMINV(RAND(),$B$9,$C$9))</f>
        <v>6.66473826151203</v>
      </c>
      <c r="F395" s="24" t="n">
        <f aca="false">$B$18*(1+(B395+$B$17)/2)^9</f>
        <v>938.068439953893</v>
      </c>
      <c r="G395" s="24" t="n">
        <f aca="false">F395*C395</f>
        <v>396.352899118247</v>
      </c>
      <c r="H395" s="24" t="n">
        <f aca="false">E395*G395/(1+D395)^9</f>
        <v>1345.55427305914</v>
      </c>
      <c r="I395" s="24" t="n">
        <f aca="false">$B$13*G395/$B$12*((1+$B$8)/(1+D395))^4.5</f>
        <v>1543.61266456402</v>
      </c>
      <c r="J395" s="24" t="n">
        <f aca="false">H395+I395-$B$14</f>
        <v>1953.37665817111</v>
      </c>
      <c r="K395" s="43" t="n">
        <f aca="false">J395/$B$15</f>
        <v>47.6433331261246</v>
      </c>
    </row>
    <row r="396" customFormat="false" ht="15" hidden="false" customHeight="false" outlineLevel="0" collapsed="false">
      <c r="A396" s="49" t="n">
        <v>356</v>
      </c>
      <c r="B396" s="19" t="n">
        <f aca="true">NORMINV(RAND(),$B$6,$C$6)</f>
        <v>0.0301651979753374</v>
      </c>
      <c r="C396" s="19" t="n">
        <f aca="true">MAX(0.3,NORMINV(RAND(),$B$7,$C$7))</f>
        <v>0.405007538429648</v>
      </c>
      <c r="D396" s="32" t="n">
        <f aca="true">MAX(0.06,NORMINV(RAND(),$B$8,$C$8))</f>
        <v>0.0864753659120343</v>
      </c>
      <c r="E396" s="50" t="n">
        <f aca="true">MAX(4,NORMINV(RAND(),$B$9,$C$9))</f>
        <v>9.68422896122273</v>
      </c>
      <c r="F396" s="24" t="n">
        <f aca="false">$B$18*(1+(B396+$B$17)/2)^9</f>
        <v>1191.17999631015</v>
      </c>
      <c r="G396" s="24" t="n">
        <f aca="false">F396*C396</f>
        <v>482.436878132211</v>
      </c>
      <c r="H396" s="24" t="n">
        <f aca="false">E396*G396/(1+D396)^9</f>
        <v>2214.7595993813</v>
      </c>
      <c r="I396" s="24" t="n">
        <f aca="false">$B$13*G396/$B$12*((1+$B$8)/(1+D396))^4.5</f>
        <v>1812.54698836224</v>
      </c>
      <c r="J396" s="24" t="n">
        <f aca="false">H396+I396-$B$14</f>
        <v>3091.51630829148</v>
      </c>
      <c r="K396" s="43" t="n">
        <f aca="false">J396/$B$15</f>
        <v>75.4028367875972</v>
      </c>
    </row>
    <row r="397" customFormat="false" ht="15" hidden="false" customHeight="false" outlineLevel="0" collapsed="false">
      <c r="A397" s="49" t="n">
        <v>357</v>
      </c>
      <c r="B397" s="19" t="n">
        <f aca="true">NORMINV(RAND(),$B$6,$C$6)</f>
        <v>-0.000187648606341663</v>
      </c>
      <c r="C397" s="19" t="n">
        <f aca="true">MAX(0.3,NORMINV(RAND(),$B$7,$C$7))</f>
        <v>0.419175107012036</v>
      </c>
      <c r="D397" s="32" t="n">
        <f aca="true">MAX(0.06,NORMINV(RAND(),$B$8,$C$8))</f>
        <v>0.0713503199300481</v>
      </c>
      <c r="E397" s="50" t="n">
        <f aca="true">MAX(4,NORMINV(RAND(),$B$9,$C$9))</f>
        <v>8.82245001862003</v>
      </c>
      <c r="F397" s="24" t="n">
        <f aca="false">$B$18*(1+(B397+$B$17)/2)^9</f>
        <v>1040.85198626343</v>
      </c>
      <c r="G397" s="24" t="n">
        <f aca="false">F397*C397</f>
        <v>436.299242725665</v>
      </c>
      <c r="H397" s="24" t="n">
        <f aca="false">E397*G397/(1+D397)^9</f>
        <v>2070.09431701756</v>
      </c>
      <c r="I397" s="24" t="n">
        <f aca="false">$B$13*G397/$B$12*((1+$B$8)/(1+D397))^4.5</f>
        <v>1745.94655584721</v>
      </c>
      <c r="J397" s="24" t="n">
        <f aca="false">H397+I397-$B$14</f>
        <v>2880.25059341272</v>
      </c>
      <c r="K397" s="43" t="n">
        <f aca="false">J397/$B$15</f>
        <v>70.250014473481</v>
      </c>
    </row>
    <row r="398" customFormat="false" ht="15" hidden="false" customHeight="false" outlineLevel="0" collapsed="false">
      <c r="A398" s="49" t="n">
        <v>358</v>
      </c>
      <c r="B398" s="19" t="n">
        <f aca="true">NORMINV(RAND(),$B$6,$C$6)</f>
        <v>0.0437884620341663</v>
      </c>
      <c r="C398" s="19" t="n">
        <f aca="true">MAX(0.3,NORMINV(RAND(),$B$7,$C$7))</f>
        <v>0.450941861881948</v>
      </c>
      <c r="D398" s="32" t="n">
        <f aca="true">MAX(0.06,NORMINV(RAND(),$B$8,$C$8))</f>
        <v>0.0824650553529802</v>
      </c>
      <c r="E398" s="50" t="n">
        <f aca="true">MAX(4,NORMINV(RAND(),$B$9,$C$9))</f>
        <v>8.47902448117414</v>
      </c>
      <c r="F398" s="24" t="n">
        <f aca="false">$B$18*(1+(B398+$B$17)/2)^9</f>
        <v>1264.70945340717</v>
      </c>
      <c r="G398" s="24" t="n">
        <f aca="false">F398*C398</f>
        <v>570.310435659131</v>
      </c>
      <c r="H398" s="24" t="n">
        <f aca="false">E398*G398/(1+D398)^9</f>
        <v>2369.91211610233</v>
      </c>
      <c r="I398" s="24" t="n">
        <f aca="false">$B$13*G398/$B$12*((1+$B$8)/(1+D398))^4.5</f>
        <v>2178.64810190936</v>
      </c>
      <c r="J398" s="24" t="n">
        <f aca="false">H398+I398-$B$14</f>
        <v>3612.76993855963</v>
      </c>
      <c r="K398" s="43" t="n">
        <f aca="false">J398/$B$15</f>
        <v>88.116339964869</v>
      </c>
    </row>
    <row r="399" customFormat="false" ht="15" hidden="false" customHeight="false" outlineLevel="0" collapsed="false">
      <c r="A399" s="49" t="n">
        <v>359</v>
      </c>
      <c r="B399" s="19" t="n">
        <f aca="true">NORMINV(RAND(),$B$6,$C$6)</f>
        <v>0.00283760097892967</v>
      </c>
      <c r="C399" s="19" t="n">
        <f aca="true">MAX(0.3,NORMINV(RAND(),$B$7,$C$7))</f>
        <v>0.410137019488591</v>
      </c>
      <c r="D399" s="32" t="n">
        <f aca="true">MAX(0.06,NORMINV(RAND(),$B$8,$C$8))</f>
        <v>0.0830494955748496</v>
      </c>
      <c r="E399" s="50" t="n">
        <f aca="true">MAX(4,NORMINV(RAND(),$B$9,$C$9))</f>
        <v>9.26888774663934</v>
      </c>
      <c r="F399" s="24" t="n">
        <f aca="false">$B$18*(1+(B399+$B$17)/2)^9</f>
        <v>1055.03777090407</v>
      </c>
      <c r="G399" s="24" t="n">
        <f aca="false">F399*C399</f>
        <v>432.710046806481</v>
      </c>
      <c r="H399" s="24" t="n">
        <f aca="false">E399*G399/(1+D399)^9</f>
        <v>1956.09463376512</v>
      </c>
      <c r="I399" s="24" t="n">
        <f aca="false">$B$13*G399/$B$12*((1+$B$8)/(1+D399))^4.5</f>
        <v>1648.98939201314</v>
      </c>
      <c r="J399" s="24" t="n">
        <f aca="false">H399+I399-$B$14</f>
        <v>2669.29374632621</v>
      </c>
      <c r="K399" s="43" t="n">
        <f aca="false">J399/$B$15</f>
        <v>65.1047255201515</v>
      </c>
    </row>
    <row r="400" customFormat="false" ht="15" hidden="false" customHeight="false" outlineLevel="0" collapsed="false">
      <c r="A400" s="49" t="n">
        <v>360</v>
      </c>
      <c r="B400" s="19" t="n">
        <f aca="true">NORMINV(RAND(),$B$6,$C$6)</f>
        <v>0.0292765044260715</v>
      </c>
      <c r="C400" s="19" t="n">
        <f aca="true">MAX(0.3,NORMINV(RAND(),$B$7,$C$7))</f>
        <v>0.416755757522276</v>
      </c>
      <c r="D400" s="32" t="n">
        <f aca="true">MAX(0.06,NORMINV(RAND(),$B$8,$C$8))</f>
        <v>0.0773321708001754</v>
      </c>
      <c r="E400" s="50" t="n">
        <f aca="true">MAX(4,NORMINV(RAND(),$B$9,$C$9))</f>
        <v>8.10076695148652</v>
      </c>
      <c r="F400" s="24" t="n">
        <f aca="false">$B$18*(1+(B400+$B$17)/2)^9</f>
        <v>1186.51823545013</v>
      </c>
      <c r="G400" s="24" t="n">
        <f aca="false">F400*C400</f>
        <v>494.488306029013</v>
      </c>
      <c r="H400" s="24" t="n">
        <f aca="false">E400*G400/(1+D400)^9</f>
        <v>2048.96955389499</v>
      </c>
      <c r="I400" s="24" t="n">
        <f aca="false">$B$13*G400/$B$12*((1+$B$8)/(1+D400))^4.5</f>
        <v>1929.83842354904</v>
      </c>
      <c r="J400" s="24" t="n">
        <f aca="false">H400+I400-$B$14</f>
        <v>3043.01769799197</v>
      </c>
      <c r="K400" s="43" t="n">
        <f aca="false">J400/$B$15</f>
        <v>74.2199438534628</v>
      </c>
    </row>
    <row r="401" customFormat="false" ht="15" hidden="false" customHeight="false" outlineLevel="0" collapsed="false">
      <c r="A401" s="49" t="n">
        <v>361</v>
      </c>
      <c r="B401" s="19" t="n">
        <f aca="true">NORMINV(RAND(),$B$6,$C$6)</f>
        <v>0.0217663460918151</v>
      </c>
      <c r="C401" s="19" t="n">
        <f aca="true">MAX(0.3,NORMINV(RAND(),$B$7,$C$7))</f>
        <v>0.396701559718189</v>
      </c>
      <c r="D401" s="32" t="n">
        <f aca="true">MAX(0.06,NORMINV(RAND(),$B$8,$C$8))</f>
        <v>0.0927841968640658</v>
      </c>
      <c r="E401" s="50" t="n">
        <f aca="true">MAX(4,NORMINV(RAND(),$B$9,$C$9))</f>
        <v>6.96547430433606</v>
      </c>
      <c r="F401" s="24" t="n">
        <f aca="false">$B$18*(1+(B401+$B$17)/2)^9</f>
        <v>1147.76569320379</v>
      </c>
      <c r="G401" s="24" t="n">
        <f aca="false">F401*C401</f>
        <v>455.320440684974</v>
      </c>
      <c r="H401" s="24" t="n">
        <f aca="false">E401*G401/(1+D401)^9</f>
        <v>1427.11243021484</v>
      </c>
      <c r="I401" s="24" t="n">
        <f aca="false">$B$13*G401/$B$12*((1+$B$8)/(1+D401))^4.5</f>
        <v>1666.67366720146</v>
      </c>
      <c r="J401" s="24" t="n">
        <f aca="false">H401+I401-$B$14</f>
        <v>2157.99581796424</v>
      </c>
      <c r="K401" s="43" t="n">
        <f aca="false">J401/$B$15</f>
        <v>52.6340443405912</v>
      </c>
    </row>
    <row r="402" customFormat="false" ht="15" hidden="false" customHeight="false" outlineLevel="0" collapsed="false">
      <c r="A402" s="49" t="n">
        <v>362</v>
      </c>
      <c r="B402" s="19" t="n">
        <f aca="true">NORMINV(RAND(),$B$6,$C$6)</f>
        <v>0.0444996838447349</v>
      </c>
      <c r="C402" s="19" t="n">
        <f aca="true">MAX(0.3,NORMINV(RAND(),$B$7,$C$7))</f>
        <v>0.432863938907789</v>
      </c>
      <c r="D402" s="32" t="n">
        <f aca="true">MAX(0.06,NORMINV(RAND(),$B$8,$C$8))</f>
        <v>0.0732294314671721</v>
      </c>
      <c r="E402" s="50" t="n">
        <f aca="true">MAX(4,NORMINV(RAND(),$B$9,$C$9))</f>
        <v>9.57568094249397</v>
      </c>
      <c r="F402" s="24" t="n">
        <f aca="false">$B$18*(1+(B402+$B$17)/2)^9</f>
        <v>1268.65660931395</v>
      </c>
      <c r="G402" s="24" t="n">
        <f aca="false">F402*C402</f>
        <v>549.155697029035</v>
      </c>
      <c r="H402" s="24" t="n">
        <f aca="false">E402*G402/(1+D402)^9</f>
        <v>2783.76131354408</v>
      </c>
      <c r="I402" s="24" t="n">
        <f aca="false">$B$13*G402/$B$12*((1+$B$8)/(1+D402))^4.5</f>
        <v>2180.30456195159</v>
      </c>
      <c r="J402" s="24" t="n">
        <f aca="false">H402+I402-$B$14</f>
        <v>4028.27559604362</v>
      </c>
      <c r="K402" s="43" t="n">
        <f aca="false">J402/$B$15</f>
        <v>98.2506242937468</v>
      </c>
    </row>
    <row r="403" customFormat="false" ht="15" hidden="false" customHeight="false" outlineLevel="0" collapsed="false">
      <c r="A403" s="49" t="n">
        <v>363</v>
      </c>
      <c r="B403" s="19" t="n">
        <f aca="true">NORMINV(RAND(),$B$6,$C$6)</f>
        <v>0.0146340472367076</v>
      </c>
      <c r="C403" s="19" t="n">
        <f aca="true">MAX(0.3,NORMINV(RAND(),$B$7,$C$7))</f>
        <v>0.424487761350959</v>
      </c>
      <c r="D403" s="32" t="n">
        <f aca="true">MAX(0.06,NORMINV(RAND(),$B$8,$C$8))</f>
        <v>0.0816495433615164</v>
      </c>
      <c r="E403" s="50" t="n">
        <f aca="true">MAX(4,NORMINV(RAND(),$B$9,$C$9))</f>
        <v>8.76180048148743</v>
      </c>
      <c r="F403" s="24" t="n">
        <f aca="false">$B$18*(1+(B403+$B$17)/2)^9</f>
        <v>1112.0087393014</v>
      </c>
      <c r="G403" s="24" t="n">
        <f aca="false">F403*C403</f>
        <v>472.034100348751</v>
      </c>
      <c r="H403" s="24" t="n">
        <f aca="false">E403*G403/(1+D403)^9</f>
        <v>2040.7395992817</v>
      </c>
      <c r="I403" s="24" t="n">
        <f aca="false">$B$13*G403/$B$12*((1+$B$8)/(1+D403))^4.5</f>
        <v>1809.34779651636</v>
      </c>
      <c r="J403" s="24" t="n">
        <f aca="false">H403+I403-$B$14</f>
        <v>2914.297116346</v>
      </c>
      <c r="K403" s="43" t="n">
        <f aca="false">J403/$B$15</f>
        <v>71.0804174718537</v>
      </c>
    </row>
    <row r="404" customFormat="false" ht="15" hidden="false" customHeight="false" outlineLevel="0" collapsed="false">
      <c r="A404" s="49" t="n">
        <v>364</v>
      </c>
      <c r="B404" s="19" t="n">
        <f aca="true">NORMINV(RAND(),$B$6,$C$6)</f>
        <v>0.0379349702160462</v>
      </c>
      <c r="C404" s="19" t="n">
        <f aca="true">MAX(0.3,NORMINV(RAND(),$B$7,$C$7))</f>
        <v>0.418900644160931</v>
      </c>
      <c r="D404" s="32" t="n">
        <f aca="true">MAX(0.06,NORMINV(RAND(),$B$8,$C$8))</f>
        <v>0.0836492460343685</v>
      </c>
      <c r="E404" s="50" t="n">
        <f aca="true">MAX(4,NORMINV(RAND(),$B$9,$C$9))</f>
        <v>7.75168023238257</v>
      </c>
      <c r="F404" s="24" t="n">
        <f aca="false">$B$18*(1+(B404+$B$17)/2)^9</f>
        <v>1232.63596613777</v>
      </c>
      <c r="G404" s="24" t="n">
        <f aca="false">F404*C404</f>
        <v>516.352000231042</v>
      </c>
      <c r="H404" s="24" t="n">
        <f aca="false">E404*G404/(1+D404)^9</f>
        <v>1942.41988074973</v>
      </c>
      <c r="I404" s="24" t="n">
        <f aca="false">$B$13*G404/$B$12*((1+$B$8)/(1+D404))^4.5</f>
        <v>1962.83962753125</v>
      </c>
      <c r="J404" s="24" t="n">
        <f aca="false">H404+I404-$B$14</f>
        <v>2969.46922882892</v>
      </c>
      <c r="K404" s="43" t="n">
        <f aca="false">J404/$B$15</f>
        <v>72.4260787519249</v>
      </c>
    </row>
    <row r="405" customFormat="false" ht="15" hidden="false" customHeight="false" outlineLevel="0" collapsed="false">
      <c r="A405" s="49" t="n">
        <v>365</v>
      </c>
      <c r="B405" s="19" t="n">
        <f aca="true">NORMINV(RAND(),$B$6,$C$6)</f>
        <v>0.0254996384975204</v>
      </c>
      <c r="C405" s="19" t="n">
        <f aca="true">MAX(0.3,NORMINV(RAND(),$B$7,$C$7))</f>
        <v>0.460795375505548</v>
      </c>
      <c r="D405" s="32" t="n">
        <f aca="true">MAX(0.06,NORMINV(RAND(),$B$8,$C$8))</f>
        <v>0.0851668514462778</v>
      </c>
      <c r="E405" s="50" t="n">
        <f aca="true">MAX(4,NORMINV(RAND(),$B$9,$C$9))</f>
        <v>8.02257832688327</v>
      </c>
      <c r="F405" s="24" t="n">
        <f aca="false">$B$18*(1+(B405+$B$17)/2)^9</f>
        <v>1166.88657604936</v>
      </c>
      <c r="G405" s="24" t="n">
        <f aca="false">F405*C405</f>
        <v>537.69593798305</v>
      </c>
      <c r="H405" s="24" t="n">
        <f aca="false">E405*G405/(1+D405)^9</f>
        <v>2067.19788191776</v>
      </c>
      <c r="I405" s="24" t="n">
        <f aca="false">$B$13*G405/$B$12*((1+$B$8)/(1+D405))^4.5</f>
        <v>2031.14380862202</v>
      </c>
      <c r="J405" s="24" t="n">
        <f aca="false">H405+I405-$B$14</f>
        <v>3162.55141108773</v>
      </c>
      <c r="K405" s="43" t="n">
        <f aca="false">J405/$B$15</f>
        <v>77.1354002704324</v>
      </c>
    </row>
    <row r="406" customFormat="false" ht="15" hidden="false" customHeight="false" outlineLevel="0" collapsed="false">
      <c r="A406" s="49" t="n">
        <v>366</v>
      </c>
      <c r="B406" s="19" t="n">
        <f aca="true">NORMINV(RAND(),$B$6,$C$6)</f>
        <v>0.0463382249956886</v>
      </c>
      <c r="C406" s="19" t="n">
        <f aca="true">MAX(0.3,NORMINV(RAND(),$B$7,$C$7))</f>
        <v>0.432066525917921</v>
      </c>
      <c r="D406" s="32" t="n">
        <f aca="true">MAX(0.06,NORMINV(RAND(),$B$8,$C$8))</f>
        <v>0.0903269135191765</v>
      </c>
      <c r="E406" s="50" t="n">
        <f aca="true">MAX(4,NORMINV(RAND(),$B$9,$C$9))</f>
        <v>8.80338421422326</v>
      </c>
      <c r="F406" s="24" t="n">
        <f aca="false">$B$18*(1+(B406+$B$17)/2)^9</f>
        <v>1278.91097756545</v>
      </c>
      <c r="G406" s="24" t="n">
        <f aca="false">F406*C406</f>
        <v>552.574623034995</v>
      </c>
      <c r="H406" s="24" t="n">
        <f aca="false">E406*G406/(1+D406)^9</f>
        <v>2233.72652802609</v>
      </c>
      <c r="I406" s="24" t="n">
        <f aca="false">$B$13*G406/$B$12*((1+$B$8)/(1+D406))^4.5</f>
        <v>2043.2612254052</v>
      </c>
      <c r="J406" s="24" t="n">
        <f aca="false">H406+I406-$B$14</f>
        <v>3341.19747397924</v>
      </c>
      <c r="K406" s="43" t="n">
        <f aca="false">J406/$B$15</f>
        <v>81.4926213165667</v>
      </c>
    </row>
    <row r="407" customFormat="false" ht="15" hidden="false" customHeight="false" outlineLevel="0" collapsed="false">
      <c r="A407" s="49" t="n">
        <v>367</v>
      </c>
      <c r="B407" s="19" t="n">
        <f aca="true">NORMINV(RAND(),$B$6,$C$6)</f>
        <v>0.0649018641072838</v>
      </c>
      <c r="C407" s="19" t="n">
        <f aca="true">MAX(0.3,NORMINV(RAND(),$B$7,$C$7))</f>
        <v>0.47723026795918</v>
      </c>
      <c r="D407" s="32" t="n">
        <f aca="true">MAX(0.06,NORMINV(RAND(),$B$8,$C$8))</f>
        <v>0.0731241327857156</v>
      </c>
      <c r="E407" s="50" t="n">
        <f aca="true">MAX(4,NORMINV(RAND(),$B$9,$C$9))</f>
        <v>11.0365074950228</v>
      </c>
      <c r="F407" s="24" t="n">
        <f aca="false">$B$18*(1+(B407+$B$17)/2)^9</f>
        <v>1386.65181746109</v>
      </c>
      <c r="G407" s="24" t="n">
        <f aca="false">F407*C407</f>
        <v>661.75221841304</v>
      </c>
      <c r="H407" s="24" t="n">
        <f aca="false">E407*G407/(1+D407)^9</f>
        <v>3869.70104318402</v>
      </c>
      <c r="I407" s="24" t="n">
        <f aca="false">$B$13*G407/$B$12*((1+$B$8)/(1+D407))^4.5</f>
        <v>2628.50514688898</v>
      </c>
      <c r="J407" s="24" t="n">
        <f aca="false">H407+I407-$B$14</f>
        <v>5562.41591062095</v>
      </c>
      <c r="K407" s="43" t="n">
        <f aca="false">J407/$B$15</f>
        <v>135.668680746852</v>
      </c>
    </row>
    <row r="408" customFormat="false" ht="15" hidden="false" customHeight="false" outlineLevel="0" collapsed="false">
      <c r="A408" s="49" t="n">
        <v>368</v>
      </c>
      <c r="B408" s="19" t="n">
        <f aca="true">NORMINV(RAND(),$B$6,$C$6)</f>
        <v>0.0471420943399442</v>
      </c>
      <c r="C408" s="19" t="n">
        <f aca="true">MAX(0.3,NORMINV(RAND(),$B$7,$C$7))</f>
        <v>0.465676899776932</v>
      </c>
      <c r="D408" s="32" t="n">
        <f aca="true">MAX(0.06,NORMINV(RAND(),$B$8,$C$8))</f>
        <v>0.0766391185551348</v>
      </c>
      <c r="E408" s="50" t="n">
        <f aca="true">MAX(4,NORMINV(RAND(),$B$9,$C$9))</f>
        <v>7.86650996535074</v>
      </c>
      <c r="F408" s="24" t="n">
        <f aca="false">$B$18*(1+(B408+$B$17)/2)^9</f>
        <v>1283.41761825764</v>
      </c>
      <c r="G408" s="24" t="n">
        <f aca="false">F408*C408</f>
        <v>597.65793758931</v>
      </c>
      <c r="H408" s="24" t="n">
        <f aca="false">E408*G408/(1+D408)^9</f>
        <v>2418.81910583007</v>
      </c>
      <c r="I408" s="24" t="n">
        <f aca="false">$B$13*G408/$B$12*((1+$B$8)/(1+D408))^4.5</f>
        <v>2339.24249779162</v>
      </c>
      <c r="J408" s="24" t="n">
        <f aca="false">H408+I408-$B$14</f>
        <v>3822.27132416964</v>
      </c>
      <c r="K408" s="43" t="n">
        <f aca="false">J408/$B$15</f>
        <v>93.226129857796</v>
      </c>
    </row>
    <row r="409" customFormat="false" ht="15" hidden="false" customHeight="false" outlineLevel="0" collapsed="false">
      <c r="A409" s="49" t="n">
        <v>369</v>
      </c>
      <c r="B409" s="19" t="n">
        <f aca="true">NORMINV(RAND(),$B$6,$C$6)</f>
        <v>0.0288056443864445</v>
      </c>
      <c r="C409" s="19" t="n">
        <f aca="true">MAX(0.3,NORMINV(RAND(),$B$7,$C$7))</f>
        <v>0.452057055742106</v>
      </c>
      <c r="D409" s="32" t="n">
        <f aca="true">MAX(0.06,NORMINV(RAND(),$B$8,$C$8))</f>
        <v>0.0745252577914606</v>
      </c>
      <c r="E409" s="50" t="n">
        <f aca="true">MAX(4,NORMINV(RAND(),$B$9,$C$9))</f>
        <v>6.20065236537435</v>
      </c>
      <c r="F409" s="24" t="n">
        <f aca="false">$B$18*(1+(B409+$B$17)/2)^9</f>
        <v>1184.05485454853</v>
      </c>
      <c r="G409" s="24" t="n">
        <f aca="false">F409*C409</f>
        <v>535.260351384356</v>
      </c>
      <c r="H409" s="24" t="n">
        <f aca="false">E409*G409/(1+D409)^9</f>
        <v>1738.01212631724</v>
      </c>
      <c r="I409" s="24" t="n">
        <f aca="false">$B$13*G409/$B$12*((1+$B$8)/(1+D409))^4.5</f>
        <v>2113.62773706608</v>
      </c>
      <c r="J409" s="24" t="n">
        <f aca="false">H409+I409-$B$14</f>
        <v>2915.84958393126</v>
      </c>
      <c r="K409" s="43" t="n">
        <f aca="false">J409/$B$15</f>
        <v>71.1182825349087</v>
      </c>
    </row>
    <row r="410" customFormat="false" ht="15" hidden="false" customHeight="false" outlineLevel="0" collapsed="false">
      <c r="A410" s="49" t="n">
        <v>370</v>
      </c>
      <c r="B410" s="19" t="n">
        <f aca="true">NORMINV(RAND(),$B$6,$C$6)</f>
        <v>0.0486547510154916</v>
      </c>
      <c r="C410" s="19" t="n">
        <f aca="true">MAX(0.3,NORMINV(RAND(),$B$7,$C$7))</f>
        <v>0.463323056224854</v>
      </c>
      <c r="D410" s="32" t="n">
        <f aca="true">MAX(0.06,NORMINV(RAND(),$B$8,$C$8))</f>
        <v>0.083407197867062</v>
      </c>
      <c r="E410" s="50" t="n">
        <f aca="true">MAX(4,NORMINV(RAND(),$B$9,$C$9))</f>
        <v>9.48940454460906</v>
      </c>
      <c r="F410" s="24" t="n">
        <f aca="false">$B$18*(1+(B410+$B$17)/2)^9</f>
        <v>1291.93614080137</v>
      </c>
      <c r="G410" s="24" t="n">
        <f aca="false">F410*C410</f>
        <v>598.583801203434</v>
      </c>
      <c r="H410" s="24" t="n">
        <f aca="false">E410*G410/(1+D410)^9</f>
        <v>2762.09411143705</v>
      </c>
      <c r="I410" s="24" t="n">
        <f aca="false">$B$13*G410/$B$12*((1+$B$8)/(1+D410))^4.5</f>
        <v>2277.72080109968</v>
      </c>
      <c r="J410" s="24" t="n">
        <f aca="false">H410+I410-$B$14</f>
        <v>4104.02463308468</v>
      </c>
      <c r="K410" s="43" t="n">
        <f aca="false">J410/$B$15</f>
        <v>100.098161782553</v>
      </c>
    </row>
    <row r="411" customFormat="false" ht="15" hidden="false" customHeight="false" outlineLevel="0" collapsed="false">
      <c r="A411" s="49" t="n">
        <v>371</v>
      </c>
      <c r="B411" s="19" t="n">
        <f aca="true">NORMINV(RAND(),$B$6,$C$6)</f>
        <v>0.0205522992160953</v>
      </c>
      <c r="C411" s="19" t="n">
        <f aca="true">MAX(0.3,NORMINV(RAND(),$B$7,$C$7))</f>
        <v>0.464082243135388</v>
      </c>
      <c r="D411" s="32" t="n">
        <f aca="true">MAX(0.06,NORMINV(RAND(),$B$8,$C$8))</f>
        <v>0.085159771839485</v>
      </c>
      <c r="E411" s="50" t="n">
        <f aca="true">MAX(4,NORMINV(RAND(),$B$9,$C$9))</f>
        <v>7.69231859986697</v>
      </c>
      <c r="F411" s="24" t="n">
        <f aca="false">$B$18*(1+(B411+$B$17)/2)^9</f>
        <v>1141.60797757941</v>
      </c>
      <c r="G411" s="24" t="n">
        <f aca="false">F411*C411</f>
        <v>529.799991016306</v>
      </c>
      <c r="H411" s="24" t="n">
        <f aca="false">E411*G411/(1+D411)^9</f>
        <v>1953.10701519467</v>
      </c>
      <c r="I411" s="24" t="n">
        <f aca="false">$B$13*G411/$B$12*((1+$B$8)/(1+D411))^4.5</f>
        <v>2001.37566262853</v>
      </c>
      <c r="J411" s="24" t="n">
        <f aca="false">H411+I411-$B$14</f>
        <v>3018.69239837115</v>
      </c>
      <c r="K411" s="43" t="n">
        <f aca="false">J411/$B$15</f>
        <v>73.626643862711</v>
      </c>
    </row>
    <row r="412" customFormat="false" ht="15" hidden="false" customHeight="false" outlineLevel="0" collapsed="false">
      <c r="A412" s="49" t="n">
        <v>372</v>
      </c>
      <c r="B412" s="19" t="n">
        <f aca="true">NORMINV(RAND(),$B$6,$C$6)</f>
        <v>0.044515891599084</v>
      </c>
      <c r="C412" s="19" t="n">
        <f aca="true">MAX(0.3,NORMINV(RAND(),$B$7,$C$7))</f>
        <v>0.488639951957881</v>
      </c>
      <c r="D412" s="32" t="n">
        <f aca="true">MAX(0.06,NORMINV(RAND(),$B$8,$C$8))</f>
        <v>0.0844854275829325</v>
      </c>
      <c r="E412" s="50" t="n">
        <f aca="true">MAX(4,NORMINV(RAND(),$B$9,$C$9))</f>
        <v>7.69539861488606</v>
      </c>
      <c r="F412" s="24" t="n">
        <f aca="false">$B$18*(1+(B412+$B$17)/2)^9</f>
        <v>1268.74668696803</v>
      </c>
      <c r="G412" s="24" t="n">
        <f aca="false">F412*C412</f>
        <v>619.96032016678</v>
      </c>
      <c r="H412" s="24" t="n">
        <f aca="false">E412*G412/(1+D412)^9</f>
        <v>2299.22529331673</v>
      </c>
      <c r="I412" s="24" t="n">
        <f aca="false">$B$13*G412/$B$12*((1+$B$8)/(1+D412))^4.5</f>
        <v>2348.52616776658</v>
      </c>
      <c r="J412" s="24" t="n">
        <f aca="false">H412+I412-$B$14</f>
        <v>3711.96118163125</v>
      </c>
      <c r="K412" s="43" t="n">
        <f aca="false">J412/$B$15</f>
        <v>90.535638576372</v>
      </c>
    </row>
    <row r="413" customFormat="false" ht="15" hidden="false" customHeight="false" outlineLevel="0" collapsed="false">
      <c r="A413" s="49" t="n">
        <v>373</v>
      </c>
      <c r="B413" s="19" t="n">
        <f aca="true">NORMINV(RAND(),$B$6,$C$6)</f>
        <v>0.0657247902367669</v>
      </c>
      <c r="C413" s="19" t="n">
        <f aca="true">MAX(0.3,NORMINV(RAND(),$B$7,$C$7))</f>
        <v>0.446566071371626</v>
      </c>
      <c r="D413" s="32" t="n">
        <f aca="true">MAX(0.06,NORMINV(RAND(),$B$8,$C$8))</f>
        <v>0.0898585764346551</v>
      </c>
      <c r="E413" s="50" t="n">
        <f aca="true">MAX(4,NORMINV(RAND(),$B$9,$C$9))</f>
        <v>11.9870327255645</v>
      </c>
      <c r="F413" s="24" t="n">
        <f aca="false">$B$18*(1+(B413+$B$17)/2)^9</f>
        <v>1391.60931261793</v>
      </c>
      <c r="G413" s="24" t="n">
        <f aca="false">F413*C413</f>
        <v>621.44550361996</v>
      </c>
      <c r="H413" s="24" t="n">
        <f aca="false">E413*G413/(1+D413)^9</f>
        <v>3433.86664943265</v>
      </c>
      <c r="I413" s="24" t="n">
        <f aca="false">$B$13*G413/$B$12*((1+$B$8)/(1+D413))^4.5</f>
        <v>2302.3727965456</v>
      </c>
      <c r="J413" s="24" t="n">
        <f aca="false">H413+I413-$B$14</f>
        <v>4800.44916652619</v>
      </c>
      <c r="K413" s="43" t="n">
        <f aca="false">J413/$B$15</f>
        <v>117.084126012834</v>
      </c>
    </row>
    <row r="414" customFormat="false" ht="15" hidden="false" customHeight="false" outlineLevel="0" collapsed="false">
      <c r="A414" s="49" t="n">
        <v>374</v>
      </c>
      <c r="B414" s="19" t="n">
        <f aca="true">NORMINV(RAND(),$B$6,$C$6)</f>
        <v>0.0413994723612501</v>
      </c>
      <c r="C414" s="19" t="n">
        <f aca="true">MAX(0.3,NORMINV(RAND(),$B$7,$C$7))</f>
        <v>0.44813918907618</v>
      </c>
      <c r="D414" s="32" t="n">
        <f aca="true">MAX(0.06,NORMINV(RAND(),$B$8,$C$8))</f>
        <v>0.0886999013975107</v>
      </c>
      <c r="E414" s="50" t="n">
        <f aca="true">MAX(4,NORMINV(RAND(),$B$9,$C$9))</f>
        <v>8.39408099968441</v>
      </c>
      <c r="F414" s="24" t="n">
        <f aca="false">$B$18*(1+(B414+$B$17)/2)^9</f>
        <v>1251.53077327608</v>
      </c>
      <c r="G414" s="24" t="n">
        <f aca="false">F414*C414</f>
        <v>560.859985839825</v>
      </c>
      <c r="H414" s="24" t="n">
        <f aca="false">E414*G414/(1+D414)^9</f>
        <v>2191.05843414051</v>
      </c>
      <c r="I414" s="24" t="n">
        <f aca="false">$B$13*G414/$B$12*((1+$B$8)/(1+D414))^4.5</f>
        <v>2087.88167877554</v>
      </c>
      <c r="J414" s="24" t="n">
        <f aca="false">H414+I414-$B$14</f>
        <v>3343.149833464</v>
      </c>
      <c r="K414" s="43" t="n">
        <f aca="false">J414/$B$15</f>
        <v>81.5402398405854</v>
      </c>
    </row>
    <row r="415" customFormat="false" ht="15" hidden="false" customHeight="false" outlineLevel="0" collapsed="false">
      <c r="A415" s="49" t="n">
        <v>375</v>
      </c>
      <c r="B415" s="19" t="n">
        <f aca="true">NORMINV(RAND(),$B$6,$C$6)</f>
        <v>0.000402937469239494</v>
      </c>
      <c r="C415" s="19" t="n">
        <f aca="true">MAX(0.3,NORMINV(RAND(),$B$7,$C$7))</f>
        <v>0.439781451875339</v>
      </c>
      <c r="D415" s="32" t="n">
        <f aca="true">MAX(0.06,NORMINV(RAND(),$B$8,$C$8))</f>
        <v>0.0821847367111825</v>
      </c>
      <c r="E415" s="50" t="n">
        <f aca="true">MAX(4,NORMINV(RAND(),$B$9,$C$9))</f>
        <v>8.80162796046753</v>
      </c>
      <c r="F415" s="24" t="n">
        <f aca="false">$B$18*(1+(B415+$B$17)/2)^9</f>
        <v>1043.60792588876</v>
      </c>
      <c r="G415" s="24" t="n">
        <f aca="false">F415*C415</f>
        <v>458.959408835969</v>
      </c>
      <c r="H415" s="24" t="n">
        <f aca="false">E415*G415/(1+D415)^9</f>
        <v>1984.3791084553</v>
      </c>
      <c r="I415" s="24" t="n">
        <f aca="false">$B$13*G415/$B$12*((1+$B$8)/(1+D415))^4.5</f>
        <v>1755.31963550893</v>
      </c>
      <c r="J415" s="24" t="n">
        <f aca="false">H415+I415-$B$14</f>
        <v>2803.90846451217</v>
      </c>
      <c r="K415" s="43" t="n">
        <f aca="false">J415/$B$15</f>
        <v>68.3880113295652</v>
      </c>
    </row>
    <row r="416" customFormat="false" ht="15" hidden="false" customHeight="false" outlineLevel="0" collapsed="false">
      <c r="A416" s="49" t="n">
        <v>376</v>
      </c>
      <c r="B416" s="19" t="n">
        <f aca="true">NORMINV(RAND(),$B$6,$C$6)</f>
        <v>-0.00186763693051339</v>
      </c>
      <c r="C416" s="19" t="n">
        <f aca="true">MAX(0.3,NORMINV(RAND(),$B$7,$C$7))</f>
        <v>0.446161006242737</v>
      </c>
      <c r="D416" s="32" t="n">
        <f aca="true">MAX(0.06,NORMINV(RAND(),$B$8,$C$8))</f>
        <v>0.0742289803271352</v>
      </c>
      <c r="E416" s="50" t="n">
        <f aca="true">MAX(4,NORMINV(RAND(),$B$9,$C$9))</f>
        <v>4</v>
      </c>
      <c r="F416" s="24" t="n">
        <f aca="false">$B$18*(1+(B416+$B$17)/2)^9</f>
        <v>1033.04774750805</v>
      </c>
      <c r="G416" s="24" t="n">
        <f aca="false">F416*C416</f>
        <v>460.905622524986</v>
      </c>
      <c r="H416" s="24" t="n">
        <f aca="false">E416*G416/(1+D416)^9</f>
        <v>967.832533733939</v>
      </c>
      <c r="I416" s="24" t="n">
        <f aca="false">$B$13*G416/$B$12*((1+$B$8)/(1+D416))^4.5</f>
        <v>1822.27689457838</v>
      </c>
      <c r="J416" s="24" t="n">
        <f aca="false">H416+I416-$B$14</f>
        <v>1854.31914886026</v>
      </c>
      <c r="K416" s="43" t="n">
        <f aca="false">J416/$B$15</f>
        <v>45.227296313665</v>
      </c>
    </row>
    <row r="417" customFormat="false" ht="15" hidden="false" customHeight="false" outlineLevel="0" collapsed="false">
      <c r="A417" s="49" t="n">
        <v>377</v>
      </c>
      <c r="B417" s="19" t="n">
        <f aca="true">NORMINV(RAND(),$B$6,$C$6)</f>
        <v>0.0601709127686799</v>
      </c>
      <c r="C417" s="19" t="n">
        <f aca="true">MAX(0.3,NORMINV(RAND(),$B$7,$C$7))</f>
        <v>0.437756101911552</v>
      </c>
      <c r="D417" s="32" t="n">
        <f aca="true">MAX(0.06,NORMINV(RAND(),$B$8,$C$8))</f>
        <v>0.0686052397668981</v>
      </c>
      <c r="E417" s="50" t="n">
        <f aca="true">MAX(4,NORMINV(RAND(),$B$9,$C$9))</f>
        <v>7.68798552527699</v>
      </c>
      <c r="F417" s="24" t="n">
        <f aca="false">$B$18*(1+(B417+$B$17)/2)^9</f>
        <v>1358.45481363517</v>
      </c>
      <c r="G417" s="24" t="n">
        <f aca="false">F417*C417</f>
        <v>594.671883839917</v>
      </c>
      <c r="H417" s="24" t="n">
        <f aca="false">E417*G417/(1+D417)^9</f>
        <v>2516.13690802062</v>
      </c>
      <c r="I417" s="24" t="n">
        <f aca="false">$B$13*G417/$B$12*((1+$B$8)/(1+D417))^4.5</f>
        <v>2407.34210151374</v>
      </c>
      <c r="J417" s="24" t="n">
        <f aca="false">H417+I417-$B$14</f>
        <v>3987.6887300823</v>
      </c>
      <c r="K417" s="43" t="n">
        <f aca="false">J417/$B$15</f>
        <v>97.2607007337147</v>
      </c>
    </row>
    <row r="418" customFormat="false" ht="15" hidden="false" customHeight="false" outlineLevel="0" collapsed="false">
      <c r="A418" s="49" t="n">
        <v>378</v>
      </c>
      <c r="B418" s="19" t="n">
        <f aca="true">NORMINV(RAND(),$B$6,$C$6)</f>
        <v>-0.00543327884119269</v>
      </c>
      <c r="C418" s="19" t="n">
        <f aca="true">MAX(0.3,NORMINV(RAND(),$B$7,$C$7))</f>
        <v>0.467524261607975</v>
      </c>
      <c r="D418" s="32" t="n">
        <f aca="true">MAX(0.06,NORMINV(RAND(),$B$8,$C$8))</f>
        <v>0.078252668281415</v>
      </c>
      <c r="E418" s="50" t="n">
        <f aca="true">MAX(4,NORMINV(RAND(),$B$9,$C$9))</f>
        <v>6.05200623201921</v>
      </c>
      <c r="F418" s="24" t="n">
        <f aca="false">$B$18*(1+(B418+$B$17)/2)^9</f>
        <v>1016.65598736068</v>
      </c>
      <c r="G418" s="24" t="n">
        <f aca="false">F418*C418</f>
        <v>475.311339800131</v>
      </c>
      <c r="H418" s="24" t="n">
        <f aca="false">E418*G418/(1+D418)^9</f>
        <v>1460.13384703199</v>
      </c>
      <c r="I418" s="24" t="n">
        <f aca="false">$B$13*G418/$B$12*((1+$B$8)/(1+D418))^4.5</f>
        <v>1847.88096379454</v>
      </c>
      <c r="J418" s="24" t="n">
        <f aca="false">H418+I418-$B$14</f>
        <v>2372.22453137448</v>
      </c>
      <c r="K418" s="43" t="n">
        <f aca="false">J418/$B$15</f>
        <v>57.8591349115726</v>
      </c>
    </row>
    <row r="419" customFormat="false" ht="15" hidden="false" customHeight="false" outlineLevel="0" collapsed="false">
      <c r="A419" s="49" t="n">
        <v>379</v>
      </c>
      <c r="B419" s="19" t="n">
        <f aca="true">NORMINV(RAND(),$B$6,$C$6)</f>
        <v>0.0191686232108732</v>
      </c>
      <c r="C419" s="19" t="n">
        <f aca="true">MAX(0.3,NORMINV(RAND(),$B$7,$C$7))</f>
        <v>0.469279520148959</v>
      </c>
      <c r="D419" s="32" t="n">
        <f aca="true">MAX(0.06,NORMINV(RAND(),$B$8,$C$8))</f>
        <v>0.0726787416497095</v>
      </c>
      <c r="E419" s="50" t="n">
        <f aca="true">MAX(4,NORMINV(RAND(),$B$9,$C$9))</f>
        <v>9.99961588280789</v>
      </c>
      <c r="F419" s="24" t="n">
        <f aca="false">$B$18*(1+(B419+$B$17)/2)^9</f>
        <v>1134.62571396956</v>
      </c>
      <c r="G419" s="24" t="n">
        <f aca="false">F419*C419</f>
        <v>532.456610600305</v>
      </c>
      <c r="H419" s="24" t="n">
        <f aca="false">E419*G419/(1+D419)^9</f>
        <v>2831.65589386226</v>
      </c>
      <c r="I419" s="24" t="n">
        <f aca="false">$B$13*G419/$B$12*((1+$B$8)/(1+D419))^4.5</f>
        <v>2118.89259756064</v>
      </c>
      <c r="J419" s="24" t="n">
        <f aca="false">H419+I419-$B$14</f>
        <v>4014.75821197084</v>
      </c>
      <c r="K419" s="43" t="n">
        <f aca="false">J419/$B$15</f>
        <v>97.9209319992888</v>
      </c>
    </row>
    <row r="420" customFormat="false" ht="15" hidden="false" customHeight="false" outlineLevel="0" collapsed="false">
      <c r="A420" s="49" t="n">
        <v>380</v>
      </c>
      <c r="B420" s="19" t="n">
        <f aca="true">NORMINV(RAND(),$B$6,$C$6)</f>
        <v>0.0345718282746958</v>
      </c>
      <c r="C420" s="19" t="n">
        <f aca="true">MAX(0.3,NORMINV(RAND(),$B$7,$C$7))</f>
        <v>0.3946059506416</v>
      </c>
      <c r="D420" s="32" t="n">
        <f aca="true">MAX(0.06,NORMINV(RAND(),$B$8,$C$8))</f>
        <v>0.075926880251809</v>
      </c>
      <c r="E420" s="50" t="n">
        <f aca="true">MAX(4,NORMINV(RAND(),$B$9,$C$9))</f>
        <v>9.76994379494633</v>
      </c>
      <c r="F420" s="24" t="n">
        <f aca="false">$B$18*(1+(B420+$B$17)/2)^9</f>
        <v>1214.53694312163</v>
      </c>
      <c r="G420" s="24" t="n">
        <f aca="false">F420*C420</f>
        <v>479.263505029854</v>
      </c>
      <c r="H420" s="24" t="n">
        <f aca="false">E420*G420/(1+D420)^9</f>
        <v>2423.38047714528</v>
      </c>
      <c r="I420" s="24" t="n">
        <f aca="false">$B$13*G420/$B$12*((1+$B$8)/(1+D420))^4.5</f>
        <v>1881.43926082048</v>
      </c>
      <c r="J420" s="24" t="n">
        <f aca="false">H420+I420-$B$14</f>
        <v>3369.02945851371</v>
      </c>
      <c r="K420" s="43" t="n">
        <f aca="false">J420/$B$15</f>
        <v>82.1714502076516</v>
      </c>
    </row>
    <row r="421" customFormat="false" ht="15" hidden="false" customHeight="false" outlineLevel="0" collapsed="false">
      <c r="A421" s="49" t="n">
        <v>381</v>
      </c>
      <c r="B421" s="19" t="n">
        <f aca="true">NORMINV(RAND(),$B$6,$C$6)</f>
        <v>0.0495540931833848</v>
      </c>
      <c r="C421" s="19" t="n">
        <f aca="true">MAX(0.3,NORMINV(RAND(),$B$7,$C$7))</f>
        <v>0.444672316706216</v>
      </c>
      <c r="D421" s="32" t="n">
        <f aca="true">MAX(0.06,NORMINV(RAND(),$B$8,$C$8))</f>
        <v>0.0716376695277958</v>
      </c>
      <c r="E421" s="50" t="n">
        <f aca="true">MAX(4,NORMINV(RAND(),$B$9,$C$9))</f>
        <v>5.88681305285547</v>
      </c>
      <c r="F421" s="24" t="n">
        <f aca="false">$B$18*(1+(B421+$B$17)/2)^9</f>
        <v>1297.02457317886</v>
      </c>
      <c r="G421" s="24" t="n">
        <f aca="false">F421*C421</f>
        <v>576.750921780336</v>
      </c>
      <c r="H421" s="24" t="n">
        <f aca="false">E421*G421/(1+D421)^9</f>
        <v>1821.53197926784</v>
      </c>
      <c r="I421" s="24" t="n">
        <f aca="false">$B$13*G421/$B$12*((1+$B$8)/(1+D421))^4.5</f>
        <v>2305.21097989987</v>
      </c>
      <c r="J421" s="24" t="n">
        <f aca="false">H421+I421-$B$14</f>
        <v>3190.95267971566</v>
      </c>
      <c r="K421" s="43" t="n">
        <f aca="false">J421/$B$15</f>
        <v>77.8281141394062</v>
      </c>
    </row>
    <row r="422" customFormat="false" ht="15" hidden="false" customHeight="false" outlineLevel="0" collapsed="false">
      <c r="A422" s="49" t="n">
        <v>382</v>
      </c>
      <c r="B422" s="19" t="n">
        <f aca="true">NORMINV(RAND(),$B$6,$C$6)</f>
        <v>0.0480990889260908</v>
      </c>
      <c r="C422" s="19" t="n">
        <f aca="true">MAX(0.3,NORMINV(RAND(),$B$7,$C$7))</f>
        <v>0.408195779812276</v>
      </c>
      <c r="D422" s="32" t="n">
        <f aca="true">MAX(0.06,NORMINV(RAND(),$B$8,$C$8))</f>
        <v>0.0903337016854253</v>
      </c>
      <c r="E422" s="50" t="n">
        <f aca="true">MAX(4,NORMINV(RAND(),$B$9,$C$9))</f>
        <v>6.83972521214901</v>
      </c>
      <c r="F422" s="24" t="n">
        <f aca="false">$B$18*(1+(B422+$B$17)/2)^9</f>
        <v>1288.80110895269</v>
      </c>
      <c r="G422" s="24" t="n">
        <f aca="false">F422*C422</f>
        <v>526.083173691868</v>
      </c>
      <c r="H422" s="24" t="n">
        <f aca="false">E422*G422/(1+D422)^9</f>
        <v>1652.18296699827</v>
      </c>
      <c r="I422" s="24" t="n">
        <f aca="false">$B$13*G422/$B$12*((1+$B$8)/(1+D422))^4.5</f>
        <v>1945.24900455737</v>
      </c>
      <c r="J422" s="24" t="n">
        <f aca="false">H422+I422-$B$14</f>
        <v>2661.64169210359</v>
      </c>
      <c r="K422" s="43" t="n">
        <f aca="false">J422/$B$15</f>
        <v>64.918090051307</v>
      </c>
    </row>
    <row r="423" customFormat="false" ht="15" hidden="false" customHeight="false" outlineLevel="0" collapsed="false">
      <c r="A423" s="49" t="n">
        <v>383</v>
      </c>
      <c r="B423" s="19" t="n">
        <f aca="true">NORMINV(RAND(),$B$6,$C$6)</f>
        <v>0.0412768301838056</v>
      </c>
      <c r="C423" s="19" t="n">
        <f aca="true">MAX(0.3,NORMINV(RAND(),$B$7,$C$7))</f>
        <v>0.449406212434573</v>
      </c>
      <c r="D423" s="32" t="n">
        <f aca="true">MAX(0.06,NORMINV(RAND(),$B$8,$C$8))</f>
        <v>0.0710203889763314</v>
      </c>
      <c r="E423" s="50" t="n">
        <f aca="true">MAX(4,NORMINV(RAND(),$B$9,$C$9))</f>
        <v>9.78327284457036</v>
      </c>
      <c r="F423" s="24" t="n">
        <f aca="false">$B$18*(1+(B423+$B$17)/2)^9</f>
        <v>1250.85753344743</v>
      </c>
      <c r="G423" s="24" t="n">
        <f aca="false">F423*C423</f>
        <v>562.143146401862</v>
      </c>
      <c r="H423" s="24" t="n">
        <f aca="false">E423*G423/(1+D423)^9</f>
        <v>2965.86540869373</v>
      </c>
      <c r="I423" s="24" t="n">
        <f aca="false">$B$13*G423/$B$12*((1+$B$8)/(1+D423))^4.5</f>
        <v>2252.65845435685</v>
      </c>
      <c r="J423" s="24" t="n">
        <f aca="false">H423+I423-$B$14</f>
        <v>4282.73358359852</v>
      </c>
      <c r="K423" s="43" t="n">
        <f aca="false">J423/$B$15</f>
        <v>104.456916673135</v>
      </c>
    </row>
    <row r="424" customFormat="false" ht="15" hidden="false" customHeight="false" outlineLevel="0" collapsed="false">
      <c r="A424" s="49" t="n">
        <v>384</v>
      </c>
      <c r="B424" s="19" t="n">
        <f aca="true">NORMINV(RAND(),$B$6,$C$6)</f>
        <v>0.0352139210276114</v>
      </c>
      <c r="C424" s="19" t="n">
        <f aca="true">MAX(0.3,NORMINV(RAND(),$B$7,$C$7))</f>
        <v>0.477876601312101</v>
      </c>
      <c r="D424" s="32" t="n">
        <f aca="true">MAX(0.06,NORMINV(RAND(),$B$8,$C$8))</f>
        <v>0.0786764955190751</v>
      </c>
      <c r="E424" s="50" t="n">
        <f aca="true">MAX(4,NORMINV(RAND(),$B$9,$C$9))</f>
        <v>7.75643136872858</v>
      </c>
      <c r="F424" s="24" t="n">
        <f aca="false">$B$18*(1+(B424+$B$17)/2)^9</f>
        <v>1217.97405958641</v>
      </c>
      <c r="G424" s="24" t="n">
        <f aca="false">F424*C424</f>
        <v>582.041304081456</v>
      </c>
      <c r="H424" s="24" t="n">
        <f aca="false">E424*G424/(1+D424)^9</f>
        <v>2283.46742000504</v>
      </c>
      <c r="I424" s="24" t="n">
        <f aca="false">$B$13*G424/$B$12*((1+$B$8)/(1+D424))^4.5</f>
        <v>2258.81981124027</v>
      </c>
      <c r="J424" s="24" t="n">
        <f aca="false">H424+I424-$B$14</f>
        <v>3606.49695179326</v>
      </c>
      <c r="K424" s="43" t="n">
        <f aca="false">J424/$B$15</f>
        <v>87.9633402876405</v>
      </c>
    </row>
    <row r="425" customFormat="false" ht="15" hidden="false" customHeight="false" outlineLevel="0" collapsed="false">
      <c r="A425" s="49" t="n">
        <v>385</v>
      </c>
      <c r="B425" s="19" t="n">
        <f aca="true">NORMINV(RAND(),$B$6,$C$6)</f>
        <v>0.00804157658666324</v>
      </c>
      <c r="C425" s="19" t="n">
        <f aca="true">MAX(0.3,NORMINV(RAND(),$B$7,$C$7))</f>
        <v>0.427414395540796</v>
      </c>
      <c r="D425" s="32" t="n">
        <f aca="true">MAX(0.06,NORMINV(RAND(),$B$8,$C$8))</f>
        <v>0.067913431612001</v>
      </c>
      <c r="E425" s="50" t="n">
        <f aca="true">MAX(4,NORMINV(RAND(),$B$9,$C$9))</f>
        <v>8.46876181756876</v>
      </c>
      <c r="F425" s="24" t="n">
        <f aca="false">$B$18*(1+(B425+$B$17)/2)^9</f>
        <v>1079.84236790851</v>
      </c>
      <c r="G425" s="24" t="n">
        <f aca="false">F425*C425</f>
        <v>461.540172958957</v>
      </c>
      <c r="H425" s="24" t="n">
        <f aca="false">E425*G425/(1+D425)^9</f>
        <v>2163.73956956768</v>
      </c>
      <c r="I425" s="24" t="n">
        <f aca="false">$B$13*G425/$B$12*((1+$B$8)/(1+D425))^4.5</f>
        <v>1873.85309956025</v>
      </c>
      <c r="J425" s="24" t="n">
        <f aca="false">H425+I425-$B$14</f>
        <v>3101.80238967587</v>
      </c>
      <c r="K425" s="43" t="n">
        <f aca="false">J425/$B$15</f>
        <v>75.6537168213627</v>
      </c>
    </row>
    <row r="426" customFormat="false" ht="15" hidden="false" customHeight="false" outlineLevel="0" collapsed="false">
      <c r="A426" s="49" t="n">
        <v>386</v>
      </c>
      <c r="B426" s="19" t="n">
        <f aca="true">NORMINV(RAND(),$B$6,$C$6)</f>
        <v>0.00910373363897062</v>
      </c>
      <c r="C426" s="19" t="n">
        <f aca="true">MAX(0.3,NORMINV(RAND(),$B$7,$C$7))</f>
        <v>0.446512065621538</v>
      </c>
      <c r="D426" s="32" t="n">
        <f aca="true">MAX(0.06,NORMINV(RAND(),$B$8,$C$8))</f>
        <v>0.0816909893702296</v>
      </c>
      <c r="E426" s="50" t="n">
        <f aca="true">MAX(4,NORMINV(RAND(),$B$9,$C$9))</f>
        <v>10.1054754968216</v>
      </c>
      <c r="F426" s="24" t="n">
        <f aca="false">$B$18*(1+(B426+$B$17)/2)^9</f>
        <v>1084.96833708379</v>
      </c>
      <c r="G426" s="24" t="n">
        <f aca="false">F426*C426</f>
        <v>484.451453325249</v>
      </c>
      <c r="H426" s="24" t="n">
        <f aca="false">E426*G426/(1+D426)^9</f>
        <v>2414.78299310044</v>
      </c>
      <c r="I426" s="24" t="n">
        <f aca="false">$B$13*G426/$B$12*((1+$B$8)/(1+D426))^4.5</f>
        <v>1856.62443524405</v>
      </c>
      <c r="J426" s="24" t="n">
        <f aca="false">H426+I426-$B$14</f>
        <v>3335.61714889244</v>
      </c>
      <c r="K426" s="43" t="n">
        <f aca="false">J426/$B$15</f>
        <v>81.3565158266449</v>
      </c>
    </row>
    <row r="427" customFormat="false" ht="15" hidden="false" customHeight="false" outlineLevel="0" collapsed="false">
      <c r="A427" s="49" t="n">
        <v>387</v>
      </c>
      <c r="B427" s="19" t="n">
        <f aca="true">NORMINV(RAND(),$B$6,$C$6)</f>
        <v>0.0263220194357883</v>
      </c>
      <c r="C427" s="19" t="n">
        <f aca="true">MAX(0.3,NORMINV(RAND(),$B$7,$C$7))</f>
        <v>0.427195638529911</v>
      </c>
      <c r="D427" s="32" t="n">
        <f aca="true">MAX(0.06,NORMINV(RAND(),$B$8,$C$8))</f>
        <v>0.0692208911903493</v>
      </c>
      <c r="E427" s="50" t="n">
        <f aca="true">MAX(4,NORMINV(RAND(),$B$9,$C$9))</f>
        <v>4.15672696055248</v>
      </c>
      <c r="F427" s="24" t="n">
        <f aca="false">$B$18*(1+(B427+$B$17)/2)^9</f>
        <v>1171.13644077592</v>
      </c>
      <c r="G427" s="24" t="n">
        <f aca="false">F427*C427</f>
        <v>500.304379622917</v>
      </c>
      <c r="H427" s="24" t="n">
        <f aca="false">E427*G427/(1+D427)^9</f>
        <v>1138.62019279469</v>
      </c>
      <c r="I427" s="24" t="n">
        <f aca="false">$B$13*G427/$B$12*((1+$B$8)/(1+D427))^4.5</f>
        <v>2020.08245535018</v>
      </c>
      <c r="J427" s="24" t="n">
        <f aca="false">H427+I427-$B$14</f>
        <v>2222.91236869282</v>
      </c>
      <c r="K427" s="43" t="n">
        <f aca="false">J427/$B$15</f>
        <v>54.2173748461664</v>
      </c>
    </row>
    <row r="428" customFormat="false" ht="15" hidden="false" customHeight="false" outlineLevel="0" collapsed="false">
      <c r="A428" s="49" t="n">
        <v>388</v>
      </c>
      <c r="B428" s="19" t="n">
        <f aca="true">NORMINV(RAND(),$B$6,$C$6)</f>
        <v>0.0296717209626277</v>
      </c>
      <c r="C428" s="19" t="n">
        <f aca="true">MAX(0.3,NORMINV(RAND(),$B$7,$C$7))</f>
        <v>0.438545897546432</v>
      </c>
      <c r="D428" s="32" t="n">
        <f aca="true">MAX(0.06,NORMINV(RAND(),$B$8,$C$8))</f>
        <v>0.0845971546097987</v>
      </c>
      <c r="E428" s="50" t="n">
        <f aca="true">MAX(4,NORMINV(RAND(),$B$9,$C$9))</f>
        <v>9.07083154100085</v>
      </c>
      <c r="F428" s="24" t="n">
        <f aca="false">$B$18*(1+(B428+$B$17)/2)^9</f>
        <v>1188.58939048988</v>
      </c>
      <c r="G428" s="24" t="n">
        <f aca="false">F428*C428</f>
        <v>521.25100106655</v>
      </c>
      <c r="H428" s="24" t="n">
        <f aca="false">E428*G428/(1+D428)^9</f>
        <v>2276.55347874203</v>
      </c>
      <c r="I428" s="24" t="n">
        <f aca="false">$B$13*G428/$B$12*((1+$B$8)/(1+D428))^4.5</f>
        <v>1973.68155066366</v>
      </c>
      <c r="J428" s="24" t="n">
        <f aca="false">H428+I428-$B$14</f>
        <v>3314.44474995363</v>
      </c>
      <c r="K428" s="43" t="n">
        <f aca="false">J428/$B$15</f>
        <v>80.8401158525277</v>
      </c>
    </row>
    <row r="429" customFormat="false" ht="15" hidden="false" customHeight="false" outlineLevel="0" collapsed="false">
      <c r="A429" s="49" t="n">
        <v>389</v>
      </c>
      <c r="B429" s="19" t="n">
        <f aca="true">NORMINV(RAND(),$B$6,$C$6)</f>
        <v>-0.0103313452686232</v>
      </c>
      <c r="C429" s="19" t="n">
        <f aca="true">MAX(0.3,NORMINV(RAND(),$B$7,$C$7))</f>
        <v>0.473167938947969</v>
      </c>
      <c r="D429" s="32" t="n">
        <f aca="true">MAX(0.06,NORMINV(RAND(),$B$8,$C$8))</f>
        <v>0.0780761254200927</v>
      </c>
      <c r="E429" s="50" t="n">
        <f aca="true">MAX(4,NORMINV(RAND(),$B$9,$C$9))</f>
        <v>6.54898789083246</v>
      </c>
      <c r="F429" s="24" t="n">
        <f aca="false">$B$18*(1+(B429+$B$17)/2)^9</f>
        <v>994.515894280435</v>
      </c>
      <c r="G429" s="24" t="n">
        <f aca="false">F429*C429</f>
        <v>470.57303594767</v>
      </c>
      <c r="H429" s="24" t="n">
        <f aca="false">E429*G429/(1+D429)^9</f>
        <v>1566.59367778982</v>
      </c>
      <c r="I429" s="24" t="n">
        <f aca="false">$B$13*G429/$B$12*((1+$B$8)/(1+D429))^4.5</f>
        <v>1830.80825946458</v>
      </c>
      <c r="J429" s="24" t="n">
        <f aca="false">H429+I429-$B$14</f>
        <v>2461.61165780235</v>
      </c>
      <c r="K429" s="43" t="n">
        <f aca="false">J429/$B$15</f>
        <v>60.0393087268867</v>
      </c>
    </row>
    <row r="430" customFormat="false" ht="15" hidden="false" customHeight="false" outlineLevel="0" collapsed="false">
      <c r="A430" s="49" t="n">
        <v>390</v>
      </c>
      <c r="B430" s="19" t="n">
        <f aca="true">NORMINV(RAND(),$B$6,$C$6)</f>
        <v>0.0411773465673234</v>
      </c>
      <c r="C430" s="19" t="n">
        <f aca="true">MAX(0.3,NORMINV(RAND(),$B$7,$C$7))</f>
        <v>0.462105296910975</v>
      </c>
      <c r="D430" s="32" t="n">
        <f aca="true">MAX(0.06,NORMINV(RAND(),$B$8,$C$8))</f>
        <v>0.0779378411698489</v>
      </c>
      <c r="E430" s="50" t="n">
        <f aca="true">MAX(4,NORMINV(RAND(),$B$9,$C$9))</f>
        <v>9.51558148274782</v>
      </c>
      <c r="F430" s="24" t="n">
        <f aca="false">$B$18*(1+(B430+$B$17)/2)^9</f>
        <v>1250.3116582035</v>
      </c>
      <c r="G430" s="24" t="n">
        <f aca="false">F430*C430</f>
        <v>577.77564004538</v>
      </c>
      <c r="H430" s="24" t="n">
        <f aca="false">E430*G430/(1+D430)^9</f>
        <v>2798.02181617745</v>
      </c>
      <c r="I430" s="24" t="n">
        <f aca="false">$B$13*G430/$B$12*((1+$B$8)/(1+D430))^4.5</f>
        <v>2249.18795152859</v>
      </c>
      <c r="J430" s="24" t="n">
        <f aca="false">H430+I430-$B$14</f>
        <v>4111.41948825399</v>
      </c>
      <c r="K430" s="43" t="n">
        <f aca="false">J430/$B$15</f>
        <v>100.278524103756</v>
      </c>
    </row>
    <row r="431" customFormat="false" ht="15" hidden="false" customHeight="false" outlineLevel="0" collapsed="false">
      <c r="A431" s="49" t="n">
        <v>391</v>
      </c>
      <c r="B431" s="19" t="n">
        <f aca="true">NORMINV(RAND(),$B$6,$C$6)</f>
        <v>-0.0126186033731361</v>
      </c>
      <c r="C431" s="19" t="n">
        <f aca="true">MAX(0.3,NORMINV(RAND(),$B$7,$C$7))</f>
        <v>0.382751854854145</v>
      </c>
      <c r="D431" s="32" t="n">
        <f aca="true">MAX(0.06,NORMINV(RAND(),$B$8,$C$8))</f>
        <v>0.0753045058340833</v>
      </c>
      <c r="E431" s="50" t="n">
        <f aca="true">MAX(4,NORMINV(RAND(),$B$9,$C$9))</f>
        <v>6.90333037363135</v>
      </c>
      <c r="F431" s="24" t="n">
        <f aca="false">$B$18*(1+(B431+$B$17)/2)^9</f>
        <v>984.324699163878</v>
      </c>
      <c r="G431" s="24" t="n">
        <f aca="false">F431*C431</f>
        <v>376.752104383723</v>
      </c>
      <c r="H431" s="24" t="n">
        <f aca="false">E431*G431/(1+D431)^9</f>
        <v>1353.10392597325</v>
      </c>
      <c r="I431" s="24" t="n">
        <f aca="false">$B$13*G431/$B$12*((1+$B$8)/(1+D431))^4.5</f>
        <v>1482.86749123068</v>
      </c>
      <c r="J431" s="24" t="n">
        <f aca="false">H431+I431-$B$14</f>
        <v>1900.18113775187</v>
      </c>
      <c r="K431" s="43" t="n">
        <f aca="false">J431/$B$15</f>
        <v>46.3458814085822</v>
      </c>
    </row>
    <row r="432" customFormat="false" ht="15" hidden="false" customHeight="false" outlineLevel="0" collapsed="false">
      <c r="A432" s="49" t="n">
        <v>392</v>
      </c>
      <c r="B432" s="19" t="n">
        <f aca="true">NORMINV(RAND(),$B$6,$C$6)</f>
        <v>0.0138685157768265</v>
      </c>
      <c r="C432" s="19" t="n">
        <f aca="true">MAX(0.3,NORMINV(RAND(),$B$7,$C$7))</f>
        <v>0.432266678767887</v>
      </c>
      <c r="D432" s="32" t="n">
        <f aca="true">MAX(0.06,NORMINV(RAND(),$B$8,$C$8))</f>
        <v>0.0800919580609496</v>
      </c>
      <c r="E432" s="50" t="n">
        <f aca="true">MAX(4,NORMINV(RAND(),$B$9,$C$9))</f>
        <v>11.0629466201352</v>
      </c>
      <c r="F432" s="24" t="n">
        <f aca="false">$B$18*(1+(B432+$B$17)/2)^9</f>
        <v>1108.23031733091</v>
      </c>
      <c r="G432" s="24" t="n">
        <f aca="false">F432*C432</f>
        <v>479.051038582516</v>
      </c>
      <c r="H432" s="24" t="n">
        <f aca="false">E432*G432/(1+D432)^9</f>
        <v>2649.14671100849</v>
      </c>
      <c r="I432" s="24" t="n">
        <f aca="false">$B$13*G432/$B$12*((1+$B$8)/(1+D432))^4.5</f>
        <v>1848.19053843749</v>
      </c>
      <c r="J432" s="24" t="n">
        <f aca="false">H432+I432-$B$14</f>
        <v>3561.54696999393</v>
      </c>
      <c r="K432" s="43" t="n">
        <f aca="false">J432/$B$15</f>
        <v>86.8669992681446</v>
      </c>
    </row>
    <row r="433" customFormat="false" ht="15" hidden="false" customHeight="false" outlineLevel="0" collapsed="false">
      <c r="A433" s="49" t="n">
        <v>393</v>
      </c>
      <c r="B433" s="19" t="n">
        <f aca="true">NORMINV(RAND(),$B$6,$C$6)</f>
        <v>0.0423401125576828</v>
      </c>
      <c r="C433" s="19" t="n">
        <f aca="true">MAX(0.3,NORMINV(RAND(),$B$7,$C$7))</f>
        <v>0.461188553458944</v>
      </c>
      <c r="D433" s="32" t="n">
        <f aca="true">MAX(0.06,NORMINV(RAND(),$B$8,$C$8))</f>
        <v>0.0825644915771009</v>
      </c>
      <c r="E433" s="50" t="n">
        <f aca="true">MAX(4,NORMINV(RAND(),$B$9,$C$9))</f>
        <v>8.50690797207221</v>
      </c>
      <c r="F433" s="24" t="n">
        <f aca="false">$B$18*(1+(B433+$B$17)/2)^9</f>
        <v>1256.70510200435</v>
      </c>
      <c r="G433" s="24" t="n">
        <f aca="false">F433*C433</f>
        <v>579.578008117862</v>
      </c>
      <c r="H433" s="24" t="n">
        <f aca="false">E433*G433/(1+D433)^9</f>
        <v>2414.34667572887</v>
      </c>
      <c r="I433" s="24" t="n">
        <f aca="false">$B$13*G433/$B$12*((1+$B$8)/(1+D433))^4.5</f>
        <v>2213.13623980541</v>
      </c>
      <c r="J433" s="24" t="n">
        <f aca="false">H433+I433-$B$14</f>
        <v>3691.69263608222</v>
      </c>
      <c r="K433" s="43" t="n">
        <f aca="false">J433/$B$15</f>
        <v>90.0412838068834</v>
      </c>
    </row>
    <row r="434" customFormat="false" ht="15" hidden="false" customHeight="false" outlineLevel="0" collapsed="false">
      <c r="A434" s="49" t="n">
        <v>394</v>
      </c>
      <c r="B434" s="19" t="n">
        <f aca="true">NORMINV(RAND(),$B$6,$C$6)</f>
        <v>0.0486824244285121</v>
      </c>
      <c r="C434" s="19" t="n">
        <f aca="true">MAX(0.3,NORMINV(RAND(),$B$7,$C$7))</f>
        <v>0.435362727206228</v>
      </c>
      <c r="D434" s="32" t="n">
        <f aca="true">MAX(0.06,NORMINV(RAND(),$B$8,$C$8))</f>
        <v>0.0814624963669957</v>
      </c>
      <c r="E434" s="50" t="n">
        <f aca="true">MAX(4,NORMINV(RAND(),$B$9,$C$9))</f>
        <v>7.85499996850701</v>
      </c>
      <c r="F434" s="24" t="n">
        <f aca="false">$B$18*(1+(B434+$B$17)/2)^9</f>
        <v>1292.09245056809</v>
      </c>
      <c r="G434" s="24" t="n">
        <f aca="false">F434*C434</f>
        <v>562.528893081902</v>
      </c>
      <c r="H434" s="24" t="n">
        <f aca="false">E434*G434/(1+D434)^9</f>
        <v>2183.67424486094</v>
      </c>
      <c r="I434" s="24" t="n">
        <f aca="false">$B$13*G434/$B$12*((1+$B$8)/(1+D434))^4.5</f>
        <v>2157.90092864861</v>
      </c>
      <c r="J434" s="24" t="n">
        <f aca="false">H434+I434-$B$14</f>
        <v>3405.7848940575</v>
      </c>
      <c r="K434" s="43" t="n">
        <f aca="false">J434/$B$15</f>
        <v>83.0679242453048</v>
      </c>
    </row>
    <row r="435" customFormat="false" ht="15" hidden="false" customHeight="false" outlineLevel="0" collapsed="false">
      <c r="A435" s="49" t="n">
        <v>395</v>
      </c>
      <c r="B435" s="19" t="n">
        <f aca="true">NORMINV(RAND(),$B$6,$C$6)</f>
        <v>0.0404377889596836</v>
      </c>
      <c r="C435" s="19" t="n">
        <f aca="true">MAX(0.3,NORMINV(RAND(),$B$7,$C$7))</f>
        <v>0.456184846256524</v>
      </c>
      <c r="D435" s="32" t="n">
        <f aca="true">MAX(0.06,NORMINV(RAND(),$B$8,$C$8))</f>
        <v>0.0754016807187984</v>
      </c>
      <c r="E435" s="50" t="n">
        <f aca="true">MAX(4,NORMINV(RAND(),$B$9,$C$9))</f>
        <v>7.05367386212344</v>
      </c>
      <c r="F435" s="24" t="n">
        <f aca="false">$B$18*(1+(B435+$B$17)/2)^9</f>
        <v>1246.2602750433</v>
      </c>
      <c r="G435" s="24" t="n">
        <f aca="false">F435*C435</f>
        <v>568.52505196624</v>
      </c>
      <c r="H435" s="24" t="n">
        <f aca="false">E435*G435/(1+D435)^9</f>
        <v>2084.62808298851</v>
      </c>
      <c r="I435" s="24" t="n">
        <f aca="false">$B$13*G435/$B$12*((1+$B$8)/(1+D435))^4.5</f>
        <v>2236.76140466111</v>
      </c>
      <c r="J435" s="24" t="n">
        <f aca="false">H435+I435-$B$14</f>
        <v>3385.59920819757</v>
      </c>
      <c r="K435" s="43" t="n">
        <f aca="false">J435/$B$15</f>
        <v>82.5755904438432</v>
      </c>
    </row>
    <row r="436" customFormat="false" ht="15" hidden="false" customHeight="false" outlineLevel="0" collapsed="false">
      <c r="A436" s="49" t="n">
        <v>396</v>
      </c>
      <c r="B436" s="19" t="n">
        <f aca="true">NORMINV(RAND(),$B$6,$C$6)</f>
        <v>0.0426670587733778</v>
      </c>
      <c r="C436" s="19" t="n">
        <f aca="true">MAX(0.3,NORMINV(RAND(),$B$7,$C$7))</f>
        <v>0.487487781753884</v>
      </c>
      <c r="D436" s="32" t="n">
        <f aca="true">MAX(0.06,NORMINV(RAND(),$B$8,$C$8))</f>
        <v>0.077830499257628</v>
      </c>
      <c r="E436" s="50" t="n">
        <f aca="true">MAX(4,NORMINV(RAND(),$B$9,$C$9))</f>
        <v>7.62586191562598</v>
      </c>
      <c r="F436" s="24" t="n">
        <f aca="false">$B$18*(1+(B436+$B$17)/2)^9</f>
        <v>1258.50803515182</v>
      </c>
      <c r="G436" s="24" t="n">
        <f aca="false">F436*C436</f>
        <v>613.507290375599</v>
      </c>
      <c r="H436" s="24" t="n">
        <f aca="false">E436*G436/(1+D436)^9</f>
        <v>2383.16683998267</v>
      </c>
      <c r="I436" s="24" t="n">
        <f aca="false">$B$13*G436/$B$12*((1+$B$8)/(1+D436))^4.5</f>
        <v>2389.35605498869</v>
      </c>
      <c r="J436" s="24" t="n">
        <f aca="false">H436+I436-$B$14</f>
        <v>3836.73261551931</v>
      </c>
      <c r="K436" s="43" t="n">
        <f aca="false">J436/$B$15</f>
        <v>93.5788442809587</v>
      </c>
    </row>
    <row r="437" customFormat="false" ht="15" hidden="false" customHeight="false" outlineLevel="0" collapsed="false">
      <c r="A437" s="49" t="n">
        <v>397</v>
      </c>
      <c r="B437" s="19" t="n">
        <f aca="true">NORMINV(RAND(),$B$6,$C$6)</f>
        <v>0.0518463751775376</v>
      </c>
      <c r="C437" s="19" t="n">
        <f aca="true">MAX(0.3,NORMINV(RAND(),$B$7,$C$7))</f>
        <v>0.406890544935366</v>
      </c>
      <c r="D437" s="32" t="n">
        <f aca="true">MAX(0.06,NORMINV(RAND(),$B$8,$C$8))</f>
        <v>0.0737798661147791</v>
      </c>
      <c r="E437" s="50" t="n">
        <f aca="true">MAX(4,NORMINV(RAND(),$B$9,$C$9))</f>
        <v>6.26075299378465</v>
      </c>
      <c r="F437" s="24" t="n">
        <f aca="false">$B$18*(1+(B437+$B$17)/2)^9</f>
        <v>1310.07485070479</v>
      </c>
      <c r="G437" s="24" t="n">
        <f aca="false">F437*C437</f>
        <v>533.057069909391</v>
      </c>
      <c r="H437" s="24" t="n">
        <f aca="false">E437*G437/(1+D437)^9</f>
        <v>1758.58339990279</v>
      </c>
      <c r="I437" s="24" t="n">
        <f aca="false">$B$13*G437/$B$12*((1+$B$8)/(1+D437))^4.5</f>
        <v>2111.51079672086</v>
      </c>
      <c r="J437" s="24" t="n">
        <f aca="false">H437+I437-$B$14</f>
        <v>2934.30391717159</v>
      </c>
      <c r="K437" s="43" t="n">
        <f aca="false">J437/$B$15</f>
        <v>71.5683882236974</v>
      </c>
    </row>
    <row r="438" customFormat="false" ht="15" hidden="false" customHeight="false" outlineLevel="0" collapsed="false">
      <c r="A438" s="49" t="n">
        <v>398</v>
      </c>
      <c r="B438" s="19" t="n">
        <f aca="true">NORMINV(RAND(),$B$6,$C$6)</f>
        <v>-0.0019672284061267</v>
      </c>
      <c r="C438" s="19" t="n">
        <f aca="true">MAX(0.3,NORMINV(RAND(),$B$7,$C$7))</f>
        <v>0.430765680600595</v>
      </c>
      <c r="D438" s="32" t="n">
        <f aca="true">MAX(0.06,NORMINV(RAND(),$B$8,$C$8))</f>
        <v>0.0754253829253367</v>
      </c>
      <c r="E438" s="50" t="n">
        <f aca="true">MAX(4,NORMINV(RAND(),$B$9,$C$9))</f>
        <v>6.79453913093832</v>
      </c>
      <c r="F438" s="24" t="n">
        <f aca="false">$B$18*(1+(B438+$B$17)/2)^9</f>
        <v>1032.5867415013</v>
      </c>
      <c r="G438" s="24" t="n">
        <f aca="false">F438*C438</f>
        <v>444.802930481959</v>
      </c>
      <c r="H438" s="24" t="n">
        <f aca="false">E438*G438/(1+D438)^9</f>
        <v>1570.74287715565</v>
      </c>
      <c r="I438" s="24" t="n">
        <f aca="false">$B$13*G438/$B$12*((1+$B$8)/(1+D438))^4.5</f>
        <v>1749.82501242579</v>
      </c>
      <c r="J438" s="24" t="n">
        <f aca="false">H438+I438-$B$14</f>
        <v>2384.77761012938</v>
      </c>
      <c r="K438" s="43" t="n">
        <f aca="false">J438/$B$15</f>
        <v>58.1653075641313</v>
      </c>
    </row>
    <row r="439" customFormat="false" ht="15" hidden="false" customHeight="false" outlineLevel="0" collapsed="false">
      <c r="A439" s="49" t="n">
        <v>399</v>
      </c>
      <c r="B439" s="19" t="n">
        <f aca="true">NORMINV(RAND(),$B$6,$C$6)</f>
        <v>0.070121179303847</v>
      </c>
      <c r="C439" s="19" t="n">
        <f aca="true">MAX(0.3,NORMINV(RAND(),$B$7,$C$7))</f>
        <v>0.461596564182517</v>
      </c>
      <c r="D439" s="32" t="n">
        <f aca="true">MAX(0.06,NORMINV(RAND(),$B$8,$C$8))</f>
        <v>0.0840280453704898</v>
      </c>
      <c r="E439" s="50" t="n">
        <f aca="true">MAX(4,NORMINV(RAND(),$B$9,$C$9))</f>
        <v>9.083808484219</v>
      </c>
      <c r="F439" s="24" t="n">
        <f aca="false">$B$18*(1+(B439+$B$17)/2)^9</f>
        <v>1418.36204335416</v>
      </c>
      <c r="G439" s="24" t="n">
        <f aca="false">F439*C439</f>
        <v>654.711045979175</v>
      </c>
      <c r="H439" s="24" t="n">
        <f aca="false">E439*G439/(1+D439)^9</f>
        <v>2877.08686274973</v>
      </c>
      <c r="I439" s="24" t="n">
        <f aca="false">$B$13*G439/$B$12*((1+$B$8)/(1+D439))^4.5</f>
        <v>2484.88096489555</v>
      </c>
      <c r="J439" s="24" t="n">
        <f aca="false">H439+I439-$B$14</f>
        <v>4426.17754819323</v>
      </c>
      <c r="K439" s="43" t="n">
        <f aca="false">J439/$B$15</f>
        <v>107.955549955932</v>
      </c>
    </row>
    <row r="440" customFormat="false" ht="15" hidden="false" customHeight="false" outlineLevel="0" collapsed="false">
      <c r="A440" s="49" t="n">
        <v>400</v>
      </c>
      <c r="B440" s="19" t="n">
        <f aca="true">NORMINV(RAND(),$B$6,$C$6)</f>
        <v>0.0639664423834806</v>
      </c>
      <c r="C440" s="19" t="n">
        <f aca="true">MAX(0.3,NORMINV(RAND(),$B$7,$C$7))</f>
        <v>0.445943879996152</v>
      </c>
      <c r="D440" s="32" t="n">
        <f aca="true">MAX(0.06,NORMINV(RAND(),$B$8,$C$8))</f>
        <v>0.0810172462332179</v>
      </c>
      <c r="E440" s="50" t="n">
        <f aca="true">MAX(4,NORMINV(RAND(),$B$9,$C$9))</f>
        <v>6.7613810509139</v>
      </c>
      <c r="F440" s="24" t="n">
        <f aca="false">$B$18*(1+(B440+$B$17)/2)^9</f>
        <v>1381.03569231921</v>
      </c>
      <c r="G440" s="24" t="n">
        <f aca="false">F440*C440</f>
        <v>615.864415046002</v>
      </c>
      <c r="H440" s="24" t="n">
        <f aca="false">E440*G440/(1+D440)^9</f>
        <v>2065.50818199431</v>
      </c>
      <c r="I440" s="24" t="n">
        <f aca="false">$B$13*G440/$B$12*((1+$B$8)/(1+D440))^4.5</f>
        <v>2366.88175597704</v>
      </c>
      <c r="J440" s="24" t="n">
        <f aca="false">H440+I440-$B$14</f>
        <v>3496.59965851929</v>
      </c>
      <c r="K440" s="43" t="n">
        <f aca="false">J440/$B$15</f>
        <v>85.2829185004706</v>
      </c>
    </row>
    <row r="441" customFormat="false" ht="15" hidden="false" customHeight="false" outlineLevel="0" collapsed="false">
      <c r="A441" s="49" t="n">
        <v>401</v>
      </c>
      <c r="B441" s="19" t="n">
        <f aca="true">NORMINV(RAND(),$B$6,$C$6)</f>
        <v>0.0403028518112243</v>
      </c>
      <c r="C441" s="19" t="n">
        <f aca="true">MAX(0.3,NORMINV(RAND(),$B$7,$C$7))</f>
        <v>0.432968511203855</v>
      </c>
      <c r="D441" s="32" t="n">
        <f aca="true">MAX(0.06,NORMINV(RAND(),$B$8,$C$8))</f>
        <v>0.0894249424737805</v>
      </c>
      <c r="E441" s="50" t="n">
        <f aca="true">MAX(4,NORMINV(RAND(),$B$9,$C$9))</f>
        <v>10.1383153516348</v>
      </c>
      <c r="F441" s="24" t="n">
        <f aca="false">$B$18*(1+(B441+$B$17)/2)^9</f>
        <v>1245.52233364786</v>
      </c>
      <c r="G441" s="24" t="n">
        <f aca="false">F441*C441</f>
        <v>539.271950470664</v>
      </c>
      <c r="H441" s="24" t="n">
        <f aca="false">E441*G441/(1+D441)^9</f>
        <v>2529.28517849898</v>
      </c>
      <c r="I441" s="24" t="n">
        <f aca="false">$B$13*G441/$B$12*((1+$B$8)/(1+D441))^4.5</f>
        <v>2001.51187103424</v>
      </c>
      <c r="J441" s="24" t="n">
        <f aca="false">H441+I441-$B$14</f>
        <v>3595.00677008117</v>
      </c>
      <c r="K441" s="43" t="n">
        <f aca="false">J441/$B$15</f>
        <v>87.6830919531993</v>
      </c>
    </row>
    <row r="442" customFormat="false" ht="15" hidden="false" customHeight="false" outlineLevel="0" collapsed="false">
      <c r="A442" s="49" t="n">
        <v>402</v>
      </c>
      <c r="B442" s="19" t="n">
        <f aca="true">NORMINV(RAND(),$B$6,$C$6)</f>
        <v>0.00174834204779897</v>
      </c>
      <c r="C442" s="19" t="n">
        <f aca="true">MAX(0.3,NORMINV(RAND(),$B$7,$C$7))</f>
        <v>0.451607558230836</v>
      </c>
      <c r="D442" s="32" t="n">
        <f aca="true">MAX(0.06,NORMINV(RAND(),$B$8,$C$8))</f>
        <v>0.0876101813017908</v>
      </c>
      <c r="E442" s="50" t="n">
        <f aca="true">MAX(4,NORMINV(RAND(),$B$9,$C$9))</f>
        <v>9.53632369695939</v>
      </c>
      <c r="F442" s="24" t="n">
        <f aca="false">$B$18*(1+(B442+$B$17)/2)^9</f>
        <v>1049.91042052894</v>
      </c>
      <c r="G442" s="24" t="n">
        <f aca="false">F442*C442</f>
        <v>474.147481376184</v>
      </c>
      <c r="H442" s="24" t="n">
        <f aca="false">E442*G442/(1+D442)^9</f>
        <v>2123.4158373314</v>
      </c>
      <c r="I442" s="24" t="n">
        <f aca="false">$B$13*G442/$B$12*((1+$B$8)/(1+D442))^4.5</f>
        <v>1773.05419667727</v>
      </c>
      <c r="J442" s="24" t="n">
        <f aca="false">H442+I442-$B$14</f>
        <v>2960.67975455661</v>
      </c>
      <c r="K442" s="43" t="n">
        <f aca="false">J442/$B$15</f>
        <v>72.2117013306491</v>
      </c>
    </row>
    <row r="443" customFormat="false" ht="15" hidden="false" customHeight="false" outlineLevel="0" collapsed="false">
      <c r="A443" s="49" t="n">
        <v>403</v>
      </c>
      <c r="B443" s="19" t="n">
        <f aca="true">NORMINV(RAND(),$B$6,$C$6)</f>
        <v>0.0172396511195483</v>
      </c>
      <c r="C443" s="19" t="n">
        <f aca="true">MAX(0.3,NORMINV(RAND(),$B$7,$C$7))</f>
        <v>0.411338542338792</v>
      </c>
      <c r="D443" s="32" t="n">
        <f aca="true">MAX(0.06,NORMINV(RAND(),$B$8,$C$8))</f>
        <v>0.0751705406541729</v>
      </c>
      <c r="E443" s="50" t="n">
        <f aca="true">MAX(4,NORMINV(RAND(),$B$9,$C$9))</f>
        <v>5.05193337976626</v>
      </c>
      <c r="F443" s="24" t="n">
        <f aca="false">$B$18*(1+(B443+$B$17)/2)^9</f>
        <v>1124.95514421555</v>
      </c>
      <c r="G443" s="24" t="n">
        <f aca="false">F443*C443</f>
        <v>462.73740921815</v>
      </c>
      <c r="H443" s="24" t="n">
        <f aca="false">E443*G443/(1+D443)^9</f>
        <v>1217.5758304823</v>
      </c>
      <c r="I443" s="24" t="n">
        <f aca="false">$B$13*G443/$B$12*((1+$B$8)/(1+D443))^4.5</f>
        <v>1822.32049694462</v>
      </c>
      <c r="J443" s="24" t="n">
        <f aca="false">H443+I443-$B$14</f>
        <v>2104.10604797487</v>
      </c>
      <c r="K443" s="43" t="n">
        <f aca="false">J443/$B$15</f>
        <v>51.319659706704</v>
      </c>
    </row>
    <row r="444" customFormat="false" ht="15" hidden="false" customHeight="false" outlineLevel="0" collapsed="false">
      <c r="A444" s="49" t="n">
        <v>404</v>
      </c>
      <c r="B444" s="19" t="n">
        <f aca="true">NORMINV(RAND(),$B$6,$C$6)</f>
        <v>-0.00816460114058022</v>
      </c>
      <c r="C444" s="19" t="n">
        <f aca="true">MAX(0.3,NORMINV(RAND(),$B$7,$C$7))</f>
        <v>0.394732155847898</v>
      </c>
      <c r="D444" s="32" t="n">
        <f aca="true">MAX(0.06,NORMINV(RAND(),$B$8,$C$8))</f>
        <v>0.0842725970995366</v>
      </c>
      <c r="E444" s="50" t="n">
        <f aca="true">MAX(4,NORMINV(RAND(),$B$9,$C$9))</f>
        <v>7.94671977494802</v>
      </c>
      <c r="F444" s="24" t="n">
        <f aca="false">$B$18*(1+(B444+$B$17)/2)^9</f>
        <v>1004.25651936561</v>
      </c>
      <c r="G444" s="24" t="n">
        <f aca="false">F444*C444</f>
        <v>396.412340913492</v>
      </c>
      <c r="H444" s="24" t="n">
        <f aca="false">E444*G444/(1+D444)^9</f>
        <v>1520.85821306058</v>
      </c>
      <c r="I444" s="24" t="n">
        <f aca="false">$B$13*G444/$B$12*((1+$B$8)/(1+D444))^4.5</f>
        <v>1503.01131574607</v>
      </c>
      <c r="J444" s="24" t="n">
        <f aca="false">H444+I444-$B$14</f>
        <v>2088.07924935459</v>
      </c>
      <c r="K444" s="43" t="n">
        <f aca="false">J444/$B$15</f>
        <v>50.9287621793803</v>
      </c>
    </row>
    <row r="445" customFormat="false" ht="15" hidden="false" customHeight="false" outlineLevel="0" collapsed="false">
      <c r="A445" s="49" t="n">
        <v>405</v>
      </c>
      <c r="B445" s="19" t="n">
        <f aca="true">NORMINV(RAND(),$B$6,$C$6)</f>
        <v>-0.00905900949074185</v>
      </c>
      <c r="C445" s="19" t="n">
        <f aca="true">MAX(0.3,NORMINV(RAND(),$B$7,$C$7))</f>
        <v>0.462201649953858</v>
      </c>
      <c r="D445" s="32" t="n">
        <f aca="true">MAX(0.06,NORMINV(RAND(),$B$8,$C$8))</f>
        <v>0.0763517279082295</v>
      </c>
      <c r="E445" s="50" t="n">
        <f aca="true">MAX(4,NORMINV(RAND(),$B$9,$C$9))</f>
        <v>6.35547172760102</v>
      </c>
      <c r="F445" s="24" t="n">
        <f aca="false">$B$18*(1+(B445+$B$17)/2)^9</f>
        <v>1000.22546547396</v>
      </c>
      <c r="G445" s="24" t="n">
        <f aca="false">F445*C445</f>
        <v>462.305860467929</v>
      </c>
      <c r="H445" s="24" t="n">
        <f aca="false">E445*G445/(1+D445)^9</f>
        <v>1515.26739686405</v>
      </c>
      <c r="I445" s="24" t="n">
        <f aca="false">$B$13*G445/$B$12*((1+$B$8)/(1+D445))^4.5</f>
        <v>1811.64748790864</v>
      </c>
      <c r="J445" s="24" t="n">
        <f aca="false">H445+I445-$B$14</f>
        <v>2391.12460532063</v>
      </c>
      <c r="K445" s="43" t="n">
        <f aca="false">J445/$B$15</f>
        <v>58.3201123248933</v>
      </c>
    </row>
    <row r="446" customFormat="false" ht="15" hidden="false" customHeight="false" outlineLevel="0" collapsed="false">
      <c r="A446" s="49" t="n">
        <v>406</v>
      </c>
      <c r="B446" s="19" t="n">
        <f aca="true">NORMINV(RAND(),$B$6,$C$6)</f>
        <v>0.00701437211080493</v>
      </c>
      <c r="C446" s="19" t="n">
        <f aca="true">MAX(0.3,NORMINV(RAND(),$B$7,$C$7))</f>
        <v>0.415769546753851</v>
      </c>
      <c r="D446" s="32" t="n">
        <f aca="true">MAX(0.06,NORMINV(RAND(),$B$8,$C$8))</f>
        <v>0.0912709018526478</v>
      </c>
      <c r="E446" s="50" t="n">
        <f aca="true">MAX(4,NORMINV(RAND(),$B$9,$C$9))</f>
        <v>5.77634617674014</v>
      </c>
      <c r="F446" s="24" t="n">
        <f aca="false">$B$18*(1+(B446+$B$17)/2)^9</f>
        <v>1074.90556744285</v>
      </c>
      <c r="G446" s="24" t="n">
        <f aca="false">F446*C446</f>
        <v>446.913000578903</v>
      </c>
      <c r="H446" s="24" t="n">
        <f aca="false">E446*G446/(1+D446)^9</f>
        <v>1176.2050096823</v>
      </c>
      <c r="I446" s="24" t="n">
        <f aca="false">$B$13*G446/$B$12*((1+$B$8)/(1+D446))^4.5</f>
        <v>1646.13198337162</v>
      </c>
      <c r="J446" s="24" t="n">
        <f aca="false">H446+I446-$B$14</f>
        <v>1886.54671360187</v>
      </c>
      <c r="K446" s="43" t="n">
        <f aca="false">J446/$B$15</f>
        <v>46.0133344780943</v>
      </c>
    </row>
    <row r="447" customFormat="false" ht="15" hidden="false" customHeight="false" outlineLevel="0" collapsed="false">
      <c r="A447" s="49" t="n">
        <v>407</v>
      </c>
      <c r="B447" s="19" t="n">
        <f aca="true">NORMINV(RAND(),$B$6,$C$6)</f>
        <v>0.0376535032810425</v>
      </c>
      <c r="C447" s="19" t="n">
        <f aca="true">MAX(0.3,NORMINV(RAND(),$B$7,$C$7))</f>
        <v>0.456995353077425</v>
      </c>
      <c r="D447" s="32" t="n">
        <f aca="true">MAX(0.06,NORMINV(RAND(),$B$8,$C$8))</f>
        <v>0.0704245993353206</v>
      </c>
      <c r="E447" s="50" t="n">
        <f aca="true">MAX(4,NORMINV(RAND(),$B$9,$C$9))</f>
        <v>7.85412613422123</v>
      </c>
      <c r="F447" s="24" t="n">
        <f aca="false">$B$18*(1+(B447+$B$17)/2)^9</f>
        <v>1231.11208946441</v>
      </c>
      <c r="G447" s="24" t="n">
        <f aca="false">F447*C447</f>
        <v>562.612504002677</v>
      </c>
      <c r="H447" s="24" t="n">
        <f aca="false">E447*G447/(1+D447)^9</f>
        <v>2394.98348203332</v>
      </c>
      <c r="I447" s="24" t="n">
        <f aca="false">$B$13*G447/$B$12*((1+$B$8)/(1+D447))^4.5</f>
        <v>2260.19166122868</v>
      </c>
      <c r="J447" s="24" t="n">
        <f aca="false">H447+I447-$B$14</f>
        <v>3719.38486380994</v>
      </c>
      <c r="K447" s="43" t="n">
        <f aca="false">J447/$B$15</f>
        <v>90.7167039953644</v>
      </c>
    </row>
    <row r="448" customFormat="false" ht="15" hidden="false" customHeight="false" outlineLevel="0" collapsed="false">
      <c r="A448" s="49" t="n">
        <v>408</v>
      </c>
      <c r="B448" s="19" t="n">
        <f aca="true">NORMINV(RAND(),$B$6,$C$6)</f>
        <v>0.0321263069578484</v>
      </c>
      <c r="C448" s="19" t="n">
        <f aca="true">MAX(0.3,NORMINV(RAND(),$B$7,$C$7))</f>
        <v>0.419047752046785</v>
      </c>
      <c r="D448" s="32" t="n">
        <f aca="true">MAX(0.06,NORMINV(RAND(),$B$8,$C$8))</f>
        <v>0.0773251488844878</v>
      </c>
      <c r="E448" s="50" t="n">
        <f aca="true">MAX(4,NORMINV(RAND(),$B$9,$C$9))</f>
        <v>8.89833793250687</v>
      </c>
      <c r="F448" s="24" t="n">
        <f aca="false">$B$18*(1+(B448+$B$17)/2)^9</f>
        <v>1201.52490571676</v>
      </c>
      <c r="G448" s="24" t="n">
        <f aca="false">F448*C448</f>
        <v>503.496310768834</v>
      </c>
      <c r="H448" s="24" t="n">
        <f aca="false">E448*G448/(1+D448)^9</f>
        <v>2291.83847050895</v>
      </c>
      <c r="I448" s="24" t="n">
        <f aca="false">$B$13*G448/$B$12*((1+$B$8)/(1+D448))^4.5</f>
        <v>1965.05157897921</v>
      </c>
      <c r="J448" s="24" t="n">
        <f aca="false">H448+I448-$B$14</f>
        <v>3321.09977003611</v>
      </c>
      <c r="K448" s="43" t="n">
        <f aca="false">J448/$B$15</f>
        <v>81.0024334155148</v>
      </c>
    </row>
    <row r="449" customFormat="false" ht="15" hidden="false" customHeight="false" outlineLevel="0" collapsed="false">
      <c r="A449" s="49" t="n">
        <v>409</v>
      </c>
      <c r="B449" s="19" t="n">
        <f aca="true">NORMINV(RAND(),$B$6,$C$6)</f>
        <v>0.0198728184894405</v>
      </c>
      <c r="C449" s="19" t="n">
        <f aca="true">MAX(0.3,NORMINV(RAND(),$B$7,$C$7))</f>
        <v>0.426713170891949</v>
      </c>
      <c r="D449" s="32" t="n">
        <f aca="true">MAX(0.06,NORMINV(RAND(),$B$8,$C$8))</f>
        <v>0.0794876949065462</v>
      </c>
      <c r="E449" s="50" t="n">
        <f aca="true">MAX(4,NORMINV(RAND(),$B$9,$C$9))</f>
        <v>8.68631522802196</v>
      </c>
      <c r="F449" s="24" t="n">
        <f aca="false">$B$18*(1+(B449+$B$17)/2)^9</f>
        <v>1138.17444460284</v>
      </c>
      <c r="G449" s="24" t="n">
        <f aca="false">F449*C449</f>
        <v>485.674026284659</v>
      </c>
      <c r="H449" s="24" t="n">
        <f aca="false">E449*G449/(1+D449)^9</f>
        <v>2119.44035173201</v>
      </c>
      <c r="I449" s="24" t="n">
        <f aca="false">$B$13*G449/$B$12*((1+$B$8)/(1+D449))^4.5</f>
        <v>1878.46668944732</v>
      </c>
      <c r="J449" s="24" t="n">
        <f aca="false">H449+I449-$B$14</f>
        <v>3062.11676172727</v>
      </c>
      <c r="K449" s="43" t="n">
        <f aca="false">J449/$B$15</f>
        <v>74.6857746762749</v>
      </c>
    </row>
    <row r="450" customFormat="false" ht="15" hidden="false" customHeight="false" outlineLevel="0" collapsed="false">
      <c r="A450" s="49" t="n">
        <v>410</v>
      </c>
      <c r="B450" s="19" t="n">
        <f aca="true">NORMINV(RAND(),$B$6,$C$6)</f>
        <v>0.0852784907079386</v>
      </c>
      <c r="C450" s="19" t="n">
        <f aca="true">MAX(0.3,NORMINV(RAND(),$B$7,$C$7))</f>
        <v>0.395599384546506</v>
      </c>
      <c r="D450" s="32" t="n">
        <f aca="true">MAX(0.06,NORMINV(RAND(),$B$8,$C$8))</f>
        <v>0.0809223454010304</v>
      </c>
      <c r="E450" s="50" t="n">
        <f aca="true">MAX(4,NORMINV(RAND(),$B$9,$C$9))</f>
        <v>8.84873411579695</v>
      </c>
      <c r="F450" s="24" t="n">
        <f aca="false">$B$18*(1+(B450+$B$17)/2)^9</f>
        <v>1514.13699221058</v>
      </c>
      <c r="G450" s="24" t="n">
        <f aca="false">F450*C450</f>
        <v>598.991662237603</v>
      </c>
      <c r="H450" s="24" t="n">
        <f aca="false">E450*G450/(1+D450)^9</f>
        <v>2631.18551011294</v>
      </c>
      <c r="I450" s="24" t="n">
        <f aca="false">$B$13*G450/$B$12*((1+$B$8)/(1+D450))^4.5</f>
        <v>2302.94625617677</v>
      </c>
      <c r="J450" s="24" t="n">
        <f aca="false">H450+I450-$B$14</f>
        <v>3998.34148683765</v>
      </c>
      <c r="K450" s="43" t="n">
        <f aca="false">J450/$B$15</f>
        <v>97.520524069211</v>
      </c>
    </row>
    <row r="451" customFormat="false" ht="15" hidden="false" customHeight="false" outlineLevel="0" collapsed="false">
      <c r="A451" s="49" t="n">
        <v>411</v>
      </c>
      <c r="B451" s="19" t="n">
        <f aca="true">NORMINV(RAND(),$B$6,$C$6)</f>
        <v>-0.00249422833133074</v>
      </c>
      <c r="C451" s="19" t="n">
        <f aca="true">MAX(0.3,NORMINV(RAND(),$B$7,$C$7))</f>
        <v>0.443038917522591</v>
      </c>
      <c r="D451" s="32" t="n">
        <f aca="true">MAX(0.06,NORMINV(RAND(),$B$8,$C$8))</f>
        <v>0.0721756302533381</v>
      </c>
      <c r="E451" s="50" t="n">
        <f aca="true">MAX(4,NORMINV(RAND(),$B$9,$C$9))</f>
        <v>5.21920737618683</v>
      </c>
      <c r="F451" s="24" t="n">
        <f aca="false">$B$18*(1+(B451+$B$17)/2)^9</f>
        <v>1030.15031712598</v>
      </c>
      <c r="G451" s="24" t="n">
        <f aca="false">F451*C451</f>
        <v>456.396681385046</v>
      </c>
      <c r="H451" s="24" t="n">
        <f aca="false">E451*G451/(1+D451)^9</f>
        <v>1272.19488368787</v>
      </c>
      <c r="I451" s="24" t="n">
        <f aca="false">$B$13*G451/$B$12*((1+$B$8)/(1+D451))^4.5</f>
        <v>1820.0530111882</v>
      </c>
      <c r="J451" s="24" t="n">
        <f aca="false">H451+I451-$B$14</f>
        <v>2156.45761542401</v>
      </c>
      <c r="K451" s="43" t="n">
        <f aca="false">J451/$B$15</f>
        <v>52.5965272054637</v>
      </c>
    </row>
    <row r="452" customFormat="false" ht="15" hidden="false" customHeight="false" outlineLevel="0" collapsed="false">
      <c r="A452" s="49" t="n">
        <v>412</v>
      </c>
      <c r="B452" s="19" t="n">
        <f aca="true">NORMINV(RAND(),$B$6,$C$6)</f>
        <v>0.0216019353097805</v>
      </c>
      <c r="C452" s="19" t="n">
        <f aca="true">MAX(0.3,NORMINV(RAND(),$B$7,$C$7))</f>
        <v>0.462229954383495</v>
      </c>
      <c r="D452" s="32" t="n">
        <f aca="true">MAX(0.06,NORMINV(RAND(),$B$8,$C$8))</f>
        <v>0.0681606718744188</v>
      </c>
      <c r="E452" s="50" t="n">
        <f aca="true">MAX(4,NORMINV(RAND(),$B$9,$C$9))</f>
        <v>6.88358719656887</v>
      </c>
      <c r="F452" s="24" t="n">
        <f aca="false">$B$18*(1+(B452+$B$17)/2)^9</f>
        <v>1146.93006764938</v>
      </c>
      <c r="G452" s="24" t="n">
        <f aca="false">F452*C452</f>
        <v>530.145432850634</v>
      </c>
      <c r="H452" s="24" t="n">
        <f aca="false">E452*G452/(1+D452)^9</f>
        <v>2015.95385985266</v>
      </c>
      <c r="I452" s="24" t="n">
        <f aca="false">$B$13*G452/$B$12*((1+$B$8)/(1+D452))^4.5</f>
        <v>2150.14946253551</v>
      </c>
      <c r="J452" s="24" t="n">
        <f aca="false">H452+I452-$B$14</f>
        <v>3230.31304293611</v>
      </c>
      <c r="K452" s="43" t="n">
        <f aca="false">J452/$B$15</f>
        <v>78.7881229984417</v>
      </c>
    </row>
    <row r="453" customFormat="false" ht="15" hidden="false" customHeight="false" outlineLevel="0" collapsed="false">
      <c r="A453" s="49" t="n">
        <v>413</v>
      </c>
      <c r="B453" s="19" t="n">
        <f aca="true">NORMINV(RAND(),$B$6,$C$6)</f>
        <v>-0.00428734986138921</v>
      </c>
      <c r="C453" s="19" t="n">
        <f aca="true">MAX(0.3,NORMINV(RAND(),$B$7,$C$7))</f>
        <v>0.437390657089322</v>
      </c>
      <c r="D453" s="32" t="n">
        <f aca="true">MAX(0.06,NORMINV(RAND(),$B$8,$C$8))</f>
        <v>0.0912423365885803</v>
      </c>
      <c r="E453" s="50" t="n">
        <f aca="true">MAX(4,NORMINV(RAND(),$B$9,$C$9))</f>
        <v>8.75553926550007</v>
      </c>
      <c r="F453" s="24" t="n">
        <f aca="false">$B$18*(1+(B453+$B$17)/2)^9</f>
        <v>1021.89859047742</v>
      </c>
      <c r="G453" s="24" t="n">
        <f aca="false">F453*C453</f>
        <v>446.968895967572</v>
      </c>
      <c r="H453" s="24" t="n">
        <f aca="false">E453*G453/(1+D453)^9</f>
        <v>1783.48450588419</v>
      </c>
      <c r="I453" s="24" t="n">
        <f aca="false">$B$13*G453/$B$12*((1+$B$8)/(1+D453))^4.5</f>
        <v>1646.53180547968</v>
      </c>
      <c r="J453" s="24" t="n">
        <f aca="false">H453+I453-$B$14</f>
        <v>2494.22603191182</v>
      </c>
      <c r="K453" s="43" t="n">
        <f aca="false">J453/$B$15</f>
        <v>60.8347812661419</v>
      </c>
    </row>
    <row r="454" customFormat="false" ht="15" hidden="false" customHeight="false" outlineLevel="0" collapsed="false">
      <c r="A454" s="49" t="n">
        <v>414</v>
      </c>
      <c r="B454" s="19" t="n">
        <f aca="true">NORMINV(RAND(),$B$6,$C$6)</f>
        <v>0.0367595259901194</v>
      </c>
      <c r="C454" s="19" t="n">
        <f aca="true">MAX(0.3,NORMINV(RAND(),$B$7,$C$7))</f>
        <v>0.44124106944911</v>
      </c>
      <c r="D454" s="32" t="n">
        <f aca="true">MAX(0.06,NORMINV(RAND(),$B$8,$C$8))</f>
        <v>0.0774109874865685</v>
      </c>
      <c r="E454" s="50" t="n">
        <f aca="true">MAX(4,NORMINV(RAND(),$B$9,$C$9))</f>
        <v>8.28132806928322</v>
      </c>
      <c r="F454" s="24" t="n">
        <f aca="false">$B$18*(1+(B454+$B$17)/2)^9</f>
        <v>1226.28314949925</v>
      </c>
      <c r="G454" s="24" t="n">
        <f aca="false">F454*C454</f>
        <v>541.086488332471</v>
      </c>
      <c r="H454" s="24" t="n">
        <f aca="false">E454*G454/(1+D454)^9</f>
        <v>2290.51994206743</v>
      </c>
      <c r="I454" s="24" t="n">
        <f aca="false">$B$13*G454/$B$12*((1+$B$8)/(1+D454))^4.5</f>
        <v>2111.00198225183</v>
      </c>
      <c r="J454" s="24" t="n">
        <f aca="false">H454+I454-$B$14</f>
        <v>3465.73164486721</v>
      </c>
      <c r="K454" s="43" t="n">
        <f aca="false">J454/$B$15</f>
        <v>84.5300401187123</v>
      </c>
    </row>
    <row r="455" customFormat="false" ht="15" hidden="false" customHeight="false" outlineLevel="0" collapsed="false">
      <c r="A455" s="49" t="n">
        <v>415</v>
      </c>
      <c r="B455" s="19" t="n">
        <f aca="true">NORMINV(RAND(),$B$6,$C$6)</f>
        <v>0.0655346790300663</v>
      </c>
      <c r="C455" s="19" t="n">
        <f aca="true">MAX(0.3,NORMINV(RAND(),$B$7,$C$7))</f>
        <v>0.413654054171521</v>
      </c>
      <c r="D455" s="32" t="n">
        <f aca="true">MAX(0.06,NORMINV(RAND(),$B$8,$C$8))</f>
        <v>0.0892642442984984</v>
      </c>
      <c r="E455" s="50" t="n">
        <f aca="true">MAX(4,NORMINV(RAND(),$B$9,$C$9))</f>
        <v>6.65481548092577</v>
      </c>
      <c r="F455" s="24" t="n">
        <f aca="false">$B$18*(1+(B455+$B$17)/2)^9</f>
        <v>1390.46264200464</v>
      </c>
      <c r="G455" s="24" t="n">
        <f aca="false">F455*C455</f>
        <v>575.170509039264</v>
      </c>
      <c r="H455" s="24" t="n">
        <f aca="false">E455*G455/(1+D455)^9</f>
        <v>1773.10068351315</v>
      </c>
      <c r="I455" s="24" t="n">
        <f aca="false">$B$13*G455/$B$12*((1+$B$8)/(1+D455))^4.5</f>
        <v>2136.16722479415</v>
      </c>
      <c r="J455" s="24" t="n">
        <f aca="false">H455+I455-$B$14</f>
        <v>2973.47762885525</v>
      </c>
      <c r="K455" s="43" t="n">
        <f aca="false">J455/$B$15</f>
        <v>72.5238446062256</v>
      </c>
    </row>
    <row r="456" customFormat="false" ht="15" hidden="false" customHeight="false" outlineLevel="0" collapsed="false">
      <c r="A456" s="49" t="n">
        <v>416</v>
      </c>
      <c r="B456" s="19" t="n">
        <f aca="true">NORMINV(RAND(),$B$6,$C$6)</f>
        <v>0.0104865050914935</v>
      </c>
      <c r="C456" s="19" t="n">
        <f aca="true">MAX(0.3,NORMINV(RAND(),$B$7,$C$7))</f>
        <v>0.452186000196387</v>
      </c>
      <c r="D456" s="32" t="n">
        <f aca="true">MAX(0.06,NORMINV(RAND(),$B$8,$C$8))</f>
        <v>0.0930544674838193</v>
      </c>
      <c r="E456" s="50" t="n">
        <f aca="true">MAX(4,NORMINV(RAND(),$B$9,$C$9))</f>
        <v>8.720518338786</v>
      </c>
      <c r="F456" s="24" t="n">
        <f aca="false">$B$18*(1+(B456+$B$17)/2)^9</f>
        <v>1091.67399376098</v>
      </c>
      <c r="G456" s="24" t="n">
        <f aca="false">F456*C456</f>
        <v>493.639696757194</v>
      </c>
      <c r="H456" s="24" t="n">
        <f aca="false">E456*G456/(1+D456)^9</f>
        <v>1932.75205656937</v>
      </c>
      <c r="I456" s="24" t="n">
        <f aca="false">$B$13*G456/$B$12*((1+$B$8)/(1+D456))^4.5</f>
        <v>1804.92937635447</v>
      </c>
      <c r="J456" s="24" t="n">
        <f aca="false">H456+I456-$B$14</f>
        <v>2801.89115347178</v>
      </c>
      <c r="K456" s="43" t="n">
        <f aca="false">J456/$B$15</f>
        <v>68.338808621263</v>
      </c>
    </row>
    <row r="457" customFormat="false" ht="15" hidden="false" customHeight="false" outlineLevel="0" collapsed="false">
      <c r="A457" s="49" t="n">
        <v>417</v>
      </c>
      <c r="B457" s="19" t="n">
        <f aca="true">NORMINV(RAND(),$B$6,$C$6)</f>
        <v>0.0201046972668116</v>
      </c>
      <c r="C457" s="19" t="n">
        <f aca="true">MAX(0.3,NORMINV(RAND(),$B$7,$C$7))</f>
        <v>0.476453101792326</v>
      </c>
      <c r="D457" s="32" t="n">
        <f aca="true">MAX(0.06,NORMINV(RAND(),$B$8,$C$8))</f>
        <v>0.07449225360718</v>
      </c>
      <c r="E457" s="50" t="n">
        <f aca="true">MAX(4,NORMINV(RAND(),$B$9,$C$9))</f>
        <v>6.75122963192077</v>
      </c>
      <c r="F457" s="24" t="n">
        <f aca="false">$B$18*(1+(B457+$B$17)/2)^9</f>
        <v>1139.34513475263</v>
      </c>
      <c r="G457" s="24" t="n">
        <f aca="false">F457*C457</f>
        <v>542.844523464885</v>
      </c>
      <c r="H457" s="24" t="n">
        <f aca="false">E457*G457/(1+D457)^9</f>
        <v>1919.67956171984</v>
      </c>
      <c r="I457" s="24" t="n">
        <f aca="false">$B$13*G457/$B$12*((1+$B$8)/(1+D457))^4.5</f>
        <v>2143.8723036373</v>
      </c>
      <c r="J457" s="24" t="n">
        <f aca="false">H457+I457-$B$14</f>
        <v>3127.76158590509</v>
      </c>
      <c r="K457" s="43" t="n">
        <f aca="false">J457/$B$15</f>
        <v>76.2868679489046</v>
      </c>
    </row>
    <row r="458" customFormat="false" ht="15" hidden="false" customHeight="false" outlineLevel="0" collapsed="false">
      <c r="A458" s="49" t="n">
        <v>418</v>
      </c>
      <c r="B458" s="19" t="n">
        <f aca="true">NORMINV(RAND(),$B$6,$C$6)</f>
        <v>0.0555492637290709</v>
      </c>
      <c r="C458" s="19" t="n">
        <f aca="true">MAX(0.3,NORMINV(RAND(),$B$7,$C$7))</f>
        <v>0.415267801073877</v>
      </c>
      <c r="D458" s="32" t="n">
        <f aca="true">MAX(0.06,NORMINV(RAND(),$B$8,$C$8))</f>
        <v>0.0750037020529581</v>
      </c>
      <c r="E458" s="50" t="n">
        <f aca="true">MAX(4,NORMINV(RAND(),$B$9,$C$9))</f>
        <v>10.54084883288</v>
      </c>
      <c r="F458" s="24" t="n">
        <f aca="false">$B$18*(1+(B458+$B$17)/2)^9</f>
        <v>1331.40258063163</v>
      </c>
      <c r="G458" s="24" t="n">
        <f aca="false">F458*C458</f>
        <v>552.888622002982</v>
      </c>
      <c r="H458" s="24" t="n">
        <f aca="false">E458*G458/(1+D458)^9</f>
        <v>3039.65013490632</v>
      </c>
      <c r="I458" s="24" t="n">
        <f aca="false">$B$13*G458/$B$12*((1+$B$8)/(1+D458))^4.5</f>
        <v>2178.86882982652</v>
      </c>
      <c r="J458" s="24" t="n">
        <f aca="false">H458+I458-$B$14</f>
        <v>4282.72868528078</v>
      </c>
      <c r="K458" s="43" t="n">
        <f aca="false">J458/$B$15</f>
        <v>104.45679720197</v>
      </c>
    </row>
    <row r="459" customFormat="false" ht="15" hidden="false" customHeight="false" outlineLevel="0" collapsed="false">
      <c r="A459" s="49" t="n">
        <v>419</v>
      </c>
      <c r="B459" s="19" t="n">
        <f aca="true">NORMINV(RAND(),$B$6,$C$6)</f>
        <v>0.00727239876974069</v>
      </c>
      <c r="C459" s="19" t="n">
        <f aca="true">MAX(0.3,NORMINV(RAND(),$B$7,$C$7))</f>
        <v>0.472569858961453</v>
      </c>
      <c r="D459" s="32" t="n">
        <f aca="true">MAX(0.06,NORMINV(RAND(),$B$8,$C$8))</f>
        <v>0.0892471446222336</v>
      </c>
      <c r="E459" s="50" t="n">
        <f aca="true">MAX(4,NORMINV(RAND(),$B$9,$C$9))</f>
        <v>8.06327790741747</v>
      </c>
      <c r="F459" s="24" t="n">
        <f aca="false">$B$18*(1+(B459+$B$17)/2)^9</f>
        <v>1076.14376700464</v>
      </c>
      <c r="G459" s="24" t="n">
        <f aca="false">F459*C459</f>
        <v>508.55310819563</v>
      </c>
      <c r="H459" s="24" t="n">
        <f aca="false">E459*G459/(1+D459)^9</f>
        <v>1899.80956594048</v>
      </c>
      <c r="I459" s="24" t="n">
        <f aca="false">$B$13*G459/$B$12*((1+$B$8)/(1+D459))^4.5</f>
        <v>1888.88548877852</v>
      </c>
      <c r="J459" s="24" t="n">
        <f aca="false">H459+I459-$B$14</f>
        <v>2852.90477526695</v>
      </c>
      <c r="K459" s="43" t="n">
        <f aca="false">J459/$B$15</f>
        <v>69.5830432991939</v>
      </c>
    </row>
    <row r="460" customFormat="false" ht="15" hidden="false" customHeight="false" outlineLevel="0" collapsed="false">
      <c r="A460" s="49" t="n">
        <v>420</v>
      </c>
      <c r="B460" s="19" t="n">
        <f aca="true">NORMINV(RAND(),$B$6,$C$6)</f>
        <v>0.0467583912816208</v>
      </c>
      <c r="C460" s="19" t="n">
        <f aca="true">MAX(0.3,NORMINV(RAND(),$B$7,$C$7))</f>
        <v>0.434405752117906</v>
      </c>
      <c r="D460" s="32" t="n">
        <f aca="true">MAX(0.06,NORMINV(RAND(),$B$8,$C$8))</f>
        <v>0.0744777194753354</v>
      </c>
      <c r="E460" s="50" t="n">
        <f aca="true">MAX(4,NORMINV(RAND(),$B$9,$C$9))</f>
        <v>8.44132713398973</v>
      </c>
      <c r="F460" s="24" t="n">
        <f aca="false">$B$18*(1+(B460+$B$17)/2)^9</f>
        <v>1281.26474990533</v>
      </c>
      <c r="G460" s="24" t="n">
        <f aca="false">F460*C460</f>
        <v>556.588777344784</v>
      </c>
      <c r="H460" s="24" t="n">
        <f aca="false">E460*G460/(1+D460)^9</f>
        <v>2461.322079079</v>
      </c>
      <c r="I460" s="24" t="n">
        <f aca="false">$B$13*G460/$B$12*((1+$B$8)/(1+D460))^4.5</f>
        <v>2198.28670641222</v>
      </c>
      <c r="J460" s="24" t="n">
        <f aca="false">H460+I460-$B$14</f>
        <v>3723.81850603916</v>
      </c>
      <c r="K460" s="43" t="n">
        <f aca="false">J460/$B$15</f>
        <v>90.8248416107113</v>
      </c>
    </row>
    <row r="461" customFormat="false" ht="15" hidden="false" customHeight="false" outlineLevel="0" collapsed="false">
      <c r="A461" s="49" t="n">
        <v>421</v>
      </c>
      <c r="B461" s="19" t="n">
        <f aca="true">NORMINV(RAND(),$B$6,$C$6)</f>
        <v>0.0202408704373819</v>
      </c>
      <c r="C461" s="19" t="n">
        <f aca="true">MAX(0.3,NORMINV(RAND(),$B$7,$C$7))</f>
        <v>0.436218447186855</v>
      </c>
      <c r="D461" s="32" t="n">
        <f aca="true">MAX(0.06,NORMINV(RAND(),$B$8,$C$8))</f>
        <v>0.074923415220191</v>
      </c>
      <c r="E461" s="50" t="n">
        <f aca="true">MAX(4,NORMINV(RAND(),$B$9,$C$9))</f>
        <v>9.47156027756148</v>
      </c>
      <c r="F461" s="24" t="n">
        <f aca="false">$B$18*(1+(B461+$B$17)/2)^9</f>
        <v>1140.03313319037</v>
      </c>
      <c r="G461" s="24" t="n">
        <f aca="false">F461*C461</f>
        <v>497.303483101869</v>
      </c>
      <c r="H461" s="24" t="n">
        <f aca="false">E461*G461/(1+D461)^9</f>
        <v>2458.35908296308</v>
      </c>
      <c r="I461" s="24" t="n">
        <f aca="false">$B$13*G461/$B$12*((1+$B$8)/(1+D461))^4.5</f>
        <v>1960.4731514162</v>
      </c>
      <c r="J461" s="24" t="n">
        <f aca="false">H461+I461-$B$14</f>
        <v>3483.04195492722</v>
      </c>
      <c r="K461" s="43" t="n">
        <f aca="false">J461/$B$15</f>
        <v>84.9522428031029</v>
      </c>
    </row>
    <row r="462" customFormat="false" ht="15" hidden="false" customHeight="false" outlineLevel="0" collapsed="false">
      <c r="A462" s="49" t="n">
        <v>422</v>
      </c>
      <c r="B462" s="19" t="n">
        <f aca="true">NORMINV(RAND(),$B$6,$C$6)</f>
        <v>0.0243403164750984</v>
      </c>
      <c r="C462" s="19" t="n">
        <f aca="true">MAX(0.3,NORMINV(RAND(),$B$7,$C$7))</f>
        <v>0.46324442307826</v>
      </c>
      <c r="D462" s="32" t="n">
        <f aca="true">MAX(0.06,NORMINV(RAND(),$B$8,$C$8))</f>
        <v>0.0692176406530558</v>
      </c>
      <c r="E462" s="50" t="n">
        <f aca="true">MAX(4,NORMINV(RAND(),$B$9,$C$9))</f>
        <v>8.28047125140349</v>
      </c>
      <c r="F462" s="24" t="n">
        <f aca="false">$B$18*(1+(B462+$B$17)/2)^9</f>
        <v>1160.91876608948</v>
      </c>
      <c r="G462" s="24" t="n">
        <f aca="false">F462*C462</f>
        <v>537.789144037844</v>
      </c>
      <c r="H462" s="24" t="n">
        <f aca="false">E462*G462/(1+D462)^9</f>
        <v>2438.21526601215</v>
      </c>
      <c r="I462" s="24" t="n">
        <f aca="false">$B$13*G462/$B$12*((1+$B$8)/(1+D462))^4.5</f>
        <v>2171.46465444116</v>
      </c>
      <c r="J462" s="24" t="n">
        <f aca="false">H462+I462-$B$14</f>
        <v>3673.88964100125</v>
      </c>
      <c r="K462" s="43" t="n">
        <f aca="false">J462/$B$15</f>
        <v>89.6070644146645</v>
      </c>
    </row>
    <row r="463" customFormat="false" ht="15" hidden="false" customHeight="false" outlineLevel="0" collapsed="false">
      <c r="A463" s="49" t="n">
        <v>423</v>
      </c>
      <c r="B463" s="19" t="n">
        <f aca="true">NORMINV(RAND(),$B$6,$C$6)</f>
        <v>0.0441979282202967</v>
      </c>
      <c r="C463" s="19" t="n">
        <f aca="true">MAX(0.3,NORMINV(RAND(),$B$7,$C$7))</f>
        <v>0.445340140638187</v>
      </c>
      <c r="D463" s="32" t="n">
        <f aca="true">MAX(0.06,NORMINV(RAND(),$B$8,$C$8))</f>
        <v>0.079272520782328</v>
      </c>
      <c r="E463" s="50" t="n">
        <f aca="true">MAX(4,NORMINV(RAND(),$B$9,$C$9))</f>
        <v>6.14374529102898</v>
      </c>
      <c r="F463" s="24" t="n">
        <f aca="false">$B$18*(1+(B463+$B$17)/2)^9</f>
        <v>1266.98058330295</v>
      </c>
      <c r="G463" s="24" t="n">
        <f aca="false">F463*C463</f>
        <v>564.237311153987</v>
      </c>
      <c r="H463" s="24" t="n">
        <f aca="false">E463*G463/(1+D463)^9</f>
        <v>1744.67656027696</v>
      </c>
      <c r="I463" s="24" t="n">
        <f aca="false">$B$13*G463/$B$12*((1+$B$8)/(1+D463))^4.5</f>
        <v>2184.28858142259</v>
      </c>
      <c r="J463" s="24" t="n">
        <f aca="false">H463+I463-$B$14</f>
        <v>2993.17486224749</v>
      </c>
      <c r="K463" s="43" t="n">
        <f aca="false">J463/$B$15</f>
        <v>73.0042649328657</v>
      </c>
    </row>
    <row r="464" customFormat="false" ht="15" hidden="false" customHeight="false" outlineLevel="0" collapsed="false">
      <c r="A464" s="49" t="n">
        <v>424</v>
      </c>
      <c r="B464" s="19" t="n">
        <f aca="true">NORMINV(RAND(),$B$6,$C$6)</f>
        <v>0.052720138187503</v>
      </c>
      <c r="C464" s="19" t="n">
        <f aca="true">MAX(0.3,NORMINV(RAND(),$B$7,$C$7))</f>
        <v>0.439121398693612</v>
      </c>
      <c r="D464" s="32" t="n">
        <f aca="true">MAX(0.06,NORMINV(RAND(),$B$8,$C$8))</f>
        <v>0.0801640394267082</v>
      </c>
      <c r="E464" s="50" t="n">
        <f aca="true">MAX(4,NORMINV(RAND(),$B$9,$C$9))</f>
        <v>7.9150123939742</v>
      </c>
      <c r="F464" s="24" t="n">
        <f aca="false">$B$18*(1+(B464+$B$17)/2)^9</f>
        <v>1315.07994484739</v>
      </c>
      <c r="G464" s="24" t="n">
        <f aca="false">F464*C464</f>
        <v>577.479744775303</v>
      </c>
      <c r="H464" s="24" t="n">
        <f aca="false">E464*G464/(1+D464)^9</f>
        <v>2283.39435117131</v>
      </c>
      <c r="I464" s="24" t="n">
        <f aca="false">$B$13*G464/$B$12*((1+$B$8)/(1+D464))^4.5</f>
        <v>2227.26192198397</v>
      </c>
      <c r="J464" s="24" t="n">
        <f aca="false">H464+I464-$B$14</f>
        <v>3574.86599370322</v>
      </c>
      <c r="K464" s="43" t="n">
        <f aca="false">J464/$B$15</f>
        <v>87.1918535049566</v>
      </c>
    </row>
    <row r="465" customFormat="false" ht="15" hidden="false" customHeight="false" outlineLevel="0" collapsed="false">
      <c r="A465" s="49" t="n">
        <v>425</v>
      </c>
      <c r="B465" s="19" t="n">
        <f aca="true">NORMINV(RAND(),$B$6,$C$6)</f>
        <v>0.0266625434182861</v>
      </c>
      <c r="C465" s="19" t="n">
        <f aca="true">MAX(0.3,NORMINV(RAND(),$B$7,$C$7))</f>
        <v>0.446698426808221</v>
      </c>
      <c r="D465" s="32" t="n">
        <f aca="true">MAX(0.06,NORMINV(RAND(),$B$8,$C$8))</f>
        <v>0.0797392412816897</v>
      </c>
      <c r="E465" s="50" t="n">
        <f aca="true">MAX(4,NORMINV(RAND(),$B$9,$C$9))</f>
        <v>6.35206695145055</v>
      </c>
      <c r="F465" s="24" t="n">
        <f aca="false">$B$18*(1+(B465+$B$17)/2)^9</f>
        <v>1172.90021002404</v>
      </c>
      <c r="G465" s="24" t="n">
        <f aca="false">F465*C465</f>
        <v>523.932678620771</v>
      </c>
      <c r="H465" s="24" t="n">
        <f aca="false">E465*G465/(1+D465)^9</f>
        <v>1668.47838894294</v>
      </c>
      <c r="I465" s="24" t="n">
        <f aca="false">$B$13*G465/$B$12*((1+$B$8)/(1+D465))^4.5</f>
        <v>2024.31808822985</v>
      </c>
      <c r="J465" s="24" t="n">
        <f aca="false">H465+I465-$B$14</f>
        <v>2757.00619772074</v>
      </c>
      <c r="K465" s="43" t="n">
        <f aca="false">J465/$B$15</f>
        <v>67.2440536029449</v>
      </c>
    </row>
    <row r="466" customFormat="false" ht="15" hidden="false" customHeight="false" outlineLevel="0" collapsed="false">
      <c r="A466" s="49" t="n">
        <v>426</v>
      </c>
      <c r="B466" s="19" t="n">
        <f aca="true">NORMINV(RAND(),$B$6,$C$6)</f>
        <v>0.0680819480166539</v>
      </c>
      <c r="C466" s="19" t="n">
        <f aca="true">MAX(0.3,NORMINV(RAND(),$B$7,$C$7))</f>
        <v>0.397908432266563</v>
      </c>
      <c r="D466" s="32" t="n">
        <f aca="true">MAX(0.06,NORMINV(RAND(),$B$8,$C$8))</f>
        <v>0.0863770010433742</v>
      </c>
      <c r="E466" s="50" t="n">
        <f aca="true">MAX(4,NORMINV(RAND(),$B$9,$C$9))</f>
        <v>7.02775354243023</v>
      </c>
      <c r="F466" s="24" t="n">
        <f aca="false">$B$18*(1+(B466+$B$17)/2)^9</f>
        <v>1405.89667869426</v>
      </c>
      <c r="G466" s="24" t="n">
        <f aca="false">F466*C466</f>
        <v>559.418143348002</v>
      </c>
      <c r="H466" s="24" t="n">
        <f aca="false">E466*G466/(1+D466)^9</f>
        <v>1865.21115612846</v>
      </c>
      <c r="I466" s="24" t="n">
        <f aca="false">$B$13*G466/$B$12*((1+$B$8)/(1+D466))^4.5</f>
        <v>2102.6271475616</v>
      </c>
      <c r="J466" s="24" t="n">
        <f aca="false">H466+I466-$B$14</f>
        <v>3032.04802423801</v>
      </c>
      <c r="K466" s="43" t="n">
        <f aca="false">J466/$B$15</f>
        <v>73.9523908350735</v>
      </c>
    </row>
    <row r="467" customFormat="false" ht="15" hidden="false" customHeight="false" outlineLevel="0" collapsed="false">
      <c r="A467" s="49" t="n">
        <v>427</v>
      </c>
      <c r="B467" s="19" t="n">
        <f aca="true">NORMINV(RAND(),$B$6,$C$6)</f>
        <v>0.0239779802455306</v>
      </c>
      <c r="C467" s="19" t="n">
        <f aca="true">MAX(0.3,NORMINV(RAND(),$B$7,$C$7))</f>
        <v>0.392221040482463</v>
      </c>
      <c r="D467" s="32" t="n">
        <f aca="true">MAX(0.06,NORMINV(RAND(),$B$8,$C$8))</f>
        <v>0.0970001630073684</v>
      </c>
      <c r="E467" s="50" t="n">
        <f aca="true">MAX(4,NORMINV(RAND(),$B$9,$C$9))</f>
        <v>9.75750049324505</v>
      </c>
      <c r="F467" s="24" t="n">
        <f aca="false">$B$18*(1+(B467+$B$17)/2)^9</f>
        <v>1159.05915081168</v>
      </c>
      <c r="G467" s="24" t="n">
        <f aca="false">F467*C467</f>
        <v>454.607386112077</v>
      </c>
      <c r="H467" s="24" t="n">
        <f aca="false">E467*G467/(1+D467)^9</f>
        <v>1928.03467588178</v>
      </c>
      <c r="I467" s="24" t="n">
        <f aca="false">$B$13*G467/$B$12*((1+$B$8)/(1+D467))^4.5</f>
        <v>1635.47769635668</v>
      </c>
      <c r="J467" s="24" t="n">
        <f aca="false">H467+I467-$B$14</f>
        <v>2627.72209278641</v>
      </c>
      <c r="K467" s="43" t="n">
        <f aca="false">J467/$B$15</f>
        <v>64.0907827508879</v>
      </c>
    </row>
    <row r="468" customFormat="false" ht="15" hidden="false" customHeight="false" outlineLevel="0" collapsed="false">
      <c r="A468" s="49" t="n">
        <v>428</v>
      </c>
      <c r="B468" s="19" t="n">
        <f aca="true">NORMINV(RAND(),$B$6,$C$6)</f>
        <v>0.0117629218903271</v>
      </c>
      <c r="C468" s="19" t="n">
        <f aca="true">MAX(0.3,NORMINV(RAND(),$B$7,$C$7))</f>
        <v>0.423024244261525</v>
      </c>
      <c r="D468" s="32" t="n">
        <f aca="true">MAX(0.06,NORMINV(RAND(),$B$8,$C$8))</f>
        <v>0.0863235934246248</v>
      </c>
      <c r="E468" s="50" t="n">
        <f aca="true">MAX(4,NORMINV(RAND(),$B$9,$C$9))</f>
        <v>7.9894733255762</v>
      </c>
      <c r="F468" s="24" t="n">
        <f aca="false">$B$18*(1+(B468+$B$17)/2)^9</f>
        <v>1097.89656249056</v>
      </c>
      <c r="G468" s="24" t="n">
        <f aca="false">F468*C468</f>
        <v>464.436863624895</v>
      </c>
      <c r="H468" s="24" t="n">
        <f aca="false">E468*G468/(1+D468)^9</f>
        <v>1761.21318284198</v>
      </c>
      <c r="I468" s="24" t="n">
        <f aca="false">$B$13*G468/$B$12*((1+$B$8)/(1+D468))^4.5</f>
        <v>1746.01706006481</v>
      </c>
      <c r="J468" s="24" t="n">
        <f aca="false">H468+I468-$B$14</f>
        <v>2571.43996345473</v>
      </c>
      <c r="K468" s="43" t="n">
        <f aca="false">J468/$B$15</f>
        <v>62.7180478891399</v>
      </c>
    </row>
    <row r="469" customFormat="false" ht="15" hidden="false" customHeight="false" outlineLevel="0" collapsed="false">
      <c r="A469" s="49" t="n">
        <v>429</v>
      </c>
      <c r="B469" s="19" t="n">
        <f aca="true">NORMINV(RAND(),$B$6,$C$6)</f>
        <v>0.0389449336078981</v>
      </c>
      <c r="C469" s="19" t="n">
        <f aca="true">MAX(0.3,NORMINV(RAND(),$B$7,$C$7))</f>
        <v>0.429222904245167</v>
      </c>
      <c r="D469" s="32" t="n">
        <f aca="true">MAX(0.06,NORMINV(RAND(),$B$8,$C$8))</f>
        <v>0.080024882894938</v>
      </c>
      <c r="E469" s="50" t="n">
        <f aca="true">MAX(4,NORMINV(RAND(),$B$9,$C$9))</f>
        <v>8.51707179920957</v>
      </c>
      <c r="F469" s="24" t="n">
        <f aca="false">$B$18*(1+(B469+$B$17)/2)^9</f>
        <v>1238.11777218662</v>
      </c>
      <c r="G469" s="24" t="n">
        <f aca="false">F469*C469</f>
        <v>531.428505975496</v>
      </c>
      <c r="H469" s="24" t="n">
        <f aca="false">E469*G469/(1+D469)^9</f>
        <v>2263.76479769453</v>
      </c>
      <c r="I469" s="24" t="n">
        <f aca="false">$B$13*G469/$B$12*((1+$B$8)/(1+D469))^4.5</f>
        <v>2050.83713598086</v>
      </c>
      <c r="J469" s="24" t="n">
        <f aca="false">H469+I469-$B$14</f>
        <v>3378.81165422333</v>
      </c>
      <c r="K469" s="43" t="n">
        <f aca="false">J469/$B$15</f>
        <v>82.4100403469104</v>
      </c>
    </row>
    <row r="470" customFormat="false" ht="15" hidden="false" customHeight="false" outlineLevel="0" collapsed="false">
      <c r="A470" s="49" t="n">
        <v>430</v>
      </c>
      <c r="B470" s="19" t="n">
        <f aca="true">NORMINV(RAND(),$B$6,$C$6)</f>
        <v>0.00758242007159019</v>
      </c>
      <c r="C470" s="19" t="n">
        <f aca="true">MAX(0.3,NORMINV(RAND(),$B$7,$C$7))</f>
        <v>0.427365070119293</v>
      </c>
      <c r="D470" s="32" t="n">
        <f aca="true">MAX(0.06,NORMINV(RAND(),$B$8,$C$8))</f>
        <v>0.0862358188632882</v>
      </c>
      <c r="E470" s="50" t="n">
        <f aca="true">MAX(4,NORMINV(RAND(),$B$9,$C$9))</f>
        <v>9.29634362302314</v>
      </c>
      <c r="F470" s="24" t="n">
        <f aca="false">$B$18*(1+(B470+$B$17)/2)^9</f>
        <v>1077.63315134207</v>
      </c>
      <c r="G470" s="24" t="n">
        <f aca="false">F470*C470</f>
        <v>460.542767286179</v>
      </c>
      <c r="H470" s="24" t="n">
        <f aca="false">E470*G470/(1+D470)^9</f>
        <v>2033.59777315542</v>
      </c>
      <c r="I470" s="24" t="n">
        <f aca="false">$B$13*G470/$B$12*((1+$B$8)/(1+D470))^4.5</f>
        <v>1732.00715032254</v>
      </c>
      <c r="J470" s="24" t="n">
        <f aca="false">H470+I470-$B$14</f>
        <v>2829.81464402591</v>
      </c>
      <c r="K470" s="43" t="n">
        <f aca="false">J470/$B$15</f>
        <v>69.0198693664855</v>
      </c>
    </row>
    <row r="471" customFormat="false" ht="15" hidden="false" customHeight="false" outlineLevel="0" collapsed="false">
      <c r="A471" s="49" t="n">
        <v>431</v>
      </c>
      <c r="B471" s="19" t="n">
        <f aca="true">NORMINV(RAND(),$B$6,$C$6)</f>
        <v>0.01003237128523</v>
      </c>
      <c r="C471" s="19" t="n">
        <f aca="true">MAX(0.3,NORMINV(RAND(),$B$7,$C$7))</f>
        <v>0.43318992792449</v>
      </c>
      <c r="D471" s="32" t="n">
        <f aca="true">MAX(0.06,NORMINV(RAND(),$B$8,$C$8))</f>
        <v>0.0857227318538651</v>
      </c>
      <c r="E471" s="50" t="n">
        <f aca="true">MAX(4,NORMINV(RAND(),$B$9,$C$9))</f>
        <v>6.16517272844963</v>
      </c>
      <c r="F471" s="24" t="n">
        <f aca="false">$B$18*(1+(B471+$B$17)/2)^9</f>
        <v>1089.4676512874</v>
      </c>
      <c r="G471" s="24" t="n">
        <f aca="false">F471*C471</f>
        <v>471.946413337251</v>
      </c>
      <c r="H471" s="24" t="n">
        <f aca="false">E471*G471/(1+D471)^9</f>
        <v>1387.92999508636</v>
      </c>
      <c r="I471" s="24" t="n">
        <f aca="false">$B$13*G471/$B$12*((1+$B$8)/(1+D471))^4.5</f>
        <v>1778.67153236386</v>
      </c>
      <c r="J471" s="24" t="n">
        <f aca="false">H471+I471-$B$14</f>
        <v>2230.81124799816</v>
      </c>
      <c r="K471" s="43" t="n">
        <f aca="false">J471/$B$15</f>
        <v>54.4100304389795</v>
      </c>
    </row>
    <row r="472" customFormat="false" ht="15" hidden="false" customHeight="false" outlineLevel="0" collapsed="false">
      <c r="A472" s="49" t="n">
        <v>432</v>
      </c>
      <c r="B472" s="19" t="n">
        <f aca="true">NORMINV(RAND(),$B$6,$C$6)</f>
        <v>0.0352252287646618</v>
      </c>
      <c r="C472" s="19" t="n">
        <f aca="true">MAX(0.3,NORMINV(RAND(),$B$7,$C$7))</f>
        <v>0.427240639610675</v>
      </c>
      <c r="D472" s="32" t="n">
        <f aca="true">MAX(0.06,NORMINV(RAND(),$B$8,$C$8))</f>
        <v>0.0637132281748223</v>
      </c>
      <c r="E472" s="50" t="n">
        <f aca="true">MAX(4,NORMINV(RAND(),$B$9,$C$9))</f>
        <v>8.18693555842048</v>
      </c>
      <c r="F472" s="24" t="n">
        <f aca="false">$B$18*(1+(B472+$B$17)/2)^9</f>
        <v>1218.03466719016</v>
      </c>
      <c r="G472" s="24" t="n">
        <f aca="false">F472*C472</f>
        <v>520.3939102783</v>
      </c>
      <c r="H472" s="24" t="n">
        <f aca="false">E472*G472/(1+D472)^9</f>
        <v>2443.61361858922</v>
      </c>
      <c r="I472" s="24" t="n">
        <f aca="false">$B$13*G472/$B$12*((1+$B$8)/(1+D472))^4.5</f>
        <v>2150.60146908498</v>
      </c>
      <c r="J472" s="24" t="n">
        <f aca="false">H472+I472-$B$14</f>
        <v>3658.42480822215</v>
      </c>
      <c r="K472" s="43" t="n">
        <f aca="false">J472/$B$15</f>
        <v>89.2298733712719</v>
      </c>
    </row>
    <row r="473" customFormat="false" ht="15" hidden="false" customHeight="false" outlineLevel="0" collapsed="false">
      <c r="A473" s="49" t="n">
        <v>433</v>
      </c>
      <c r="B473" s="19" t="n">
        <f aca="true">NORMINV(RAND(),$B$6,$C$6)</f>
        <v>-0.000298817736182289</v>
      </c>
      <c r="C473" s="19" t="n">
        <f aca="true">MAX(0.3,NORMINV(RAND(),$B$7,$C$7))</f>
        <v>0.45085693555738</v>
      </c>
      <c r="D473" s="32" t="n">
        <f aca="true">MAX(0.06,NORMINV(RAND(),$B$8,$C$8))</f>
        <v>0.0909579127351959</v>
      </c>
      <c r="E473" s="50" t="n">
        <f aca="true">MAX(4,NORMINV(RAND(),$B$9,$C$9))</f>
        <v>7.32536889802279</v>
      </c>
      <c r="F473" s="24" t="n">
        <f aca="false">$B$18*(1+(B473+$B$17)/2)^9</f>
        <v>1040.33394531108</v>
      </c>
      <c r="G473" s="24" t="n">
        <f aca="false">F473*C473</f>
        <v>469.041774539272</v>
      </c>
      <c r="H473" s="24" t="n">
        <f aca="false">E473*G473/(1+D473)^9</f>
        <v>1569.52795444138</v>
      </c>
      <c r="I473" s="24" t="n">
        <f aca="false">$B$13*G473/$B$12*((1+$B$8)/(1+D473))^4.5</f>
        <v>1729.87129609501</v>
      </c>
      <c r="J473" s="24" t="n">
        <f aca="false">H473+I473-$B$14</f>
        <v>2363.60897108434</v>
      </c>
      <c r="K473" s="43" t="n">
        <f aca="false">J473/$B$15</f>
        <v>57.6489992947401</v>
      </c>
    </row>
    <row r="474" customFormat="false" ht="15" hidden="false" customHeight="false" outlineLevel="0" collapsed="false">
      <c r="A474" s="49" t="n">
        <v>434</v>
      </c>
      <c r="B474" s="19" t="n">
        <f aca="true">NORMINV(RAND(),$B$6,$C$6)</f>
        <v>0.0148824220226044</v>
      </c>
      <c r="C474" s="19" t="n">
        <f aca="true">MAX(0.3,NORMINV(RAND(),$B$7,$C$7))</f>
        <v>0.399959984489758</v>
      </c>
      <c r="D474" s="32" t="n">
        <f aca="true">MAX(0.06,NORMINV(RAND(),$B$8,$C$8))</f>
        <v>0.0855523815169445</v>
      </c>
      <c r="E474" s="50" t="n">
        <f aca="true">MAX(4,NORMINV(RAND(),$B$9,$C$9))</f>
        <v>7.0556315170793</v>
      </c>
      <c r="F474" s="24" t="n">
        <f aca="false">$B$18*(1+(B474+$B$17)/2)^9</f>
        <v>1113.23709685022</v>
      </c>
      <c r="G474" s="24" t="n">
        <f aca="false">F474*C474</f>
        <v>445.250291989635</v>
      </c>
      <c r="H474" s="24" t="n">
        <f aca="false">E474*G474/(1+D474)^9</f>
        <v>1500.66254943232</v>
      </c>
      <c r="I474" s="24" t="n">
        <f aca="false">$B$13*G474/$B$12*((1+$B$8)/(1+D474))^4.5</f>
        <v>1679.24450460702</v>
      </c>
      <c r="J474" s="24" t="n">
        <f aca="false">H474+I474-$B$14</f>
        <v>2244.11677458728</v>
      </c>
      <c r="K474" s="43" t="n">
        <f aca="false">J474/$B$15</f>
        <v>54.7345554777386</v>
      </c>
    </row>
    <row r="475" customFormat="false" ht="15" hidden="false" customHeight="false" outlineLevel="0" collapsed="false">
      <c r="A475" s="49" t="n">
        <v>435</v>
      </c>
      <c r="B475" s="19" t="n">
        <f aca="true">NORMINV(RAND(),$B$6,$C$6)</f>
        <v>0.021881592222059</v>
      </c>
      <c r="C475" s="19" t="n">
        <f aca="true">MAX(0.3,NORMINV(RAND(),$B$7,$C$7))</f>
        <v>0.429931140776583</v>
      </c>
      <c r="D475" s="32" t="n">
        <f aca="true">MAX(0.06,NORMINV(RAND(),$B$8,$C$8))</f>
        <v>0.0811365955731598</v>
      </c>
      <c r="E475" s="50" t="n">
        <f aca="true">MAX(4,NORMINV(RAND(),$B$9,$C$9))</f>
        <v>8.80266442453621</v>
      </c>
      <c r="F475" s="24" t="n">
        <f aca="false">$B$18*(1+(B475+$B$17)/2)^9</f>
        <v>1148.35175967519</v>
      </c>
      <c r="G475" s="24" t="n">
        <f aca="false">F475*C475</f>
        <v>493.71218204995</v>
      </c>
      <c r="H475" s="24" t="n">
        <f aca="false">E475*G475/(1+D475)^9</f>
        <v>2153.58925825566</v>
      </c>
      <c r="I475" s="24" t="n">
        <f aca="false">$B$13*G475/$B$12*((1+$B$8)/(1+D475))^4.5</f>
        <v>1896.48555720916</v>
      </c>
      <c r="J475" s="24" t="n">
        <f aca="false">H475+I475-$B$14</f>
        <v>3114.28453601276</v>
      </c>
      <c r="K475" s="43" t="n">
        <f aca="false">J475/$B$15</f>
        <v>75.9581594149455</v>
      </c>
    </row>
    <row r="476" customFormat="false" ht="15" hidden="false" customHeight="false" outlineLevel="0" collapsed="false">
      <c r="A476" s="49" t="n">
        <v>436</v>
      </c>
      <c r="B476" s="19" t="n">
        <f aca="true">NORMINV(RAND(),$B$6,$C$6)</f>
        <v>0.0152262109874385</v>
      </c>
      <c r="C476" s="19" t="n">
        <f aca="true">MAX(0.3,NORMINV(RAND(),$B$7,$C$7))</f>
        <v>0.496032269946365</v>
      </c>
      <c r="D476" s="32" t="n">
        <f aca="true">MAX(0.06,NORMINV(RAND(),$B$8,$C$8))</f>
        <v>0.07680411639968</v>
      </c>
      <c r="E476" s="50" t="n">
        <f aca="true">MAX(4,NORMINV(RAND(),$B$9,$C$9))</f>
        <v>7.06568171053096</v>
      </c>
      <c r="F476" s="24" t="n">
        <f aca="false">$B$18*(1+(B476+$B$17)/2)^9</f>
        <v>1114.9393230085</v>
      </c>
      <c r="G476" s="24" t="n">
        <f aca="false">F476*C476</f>
        <v>553.04588324437</v>
      </c>
      <c r="H476" s="24" t="n">
        <f aca="false">E476*G476/(1+D476)^9</f>
        <v>2007.63551503371</v>
      </c>
      <c r="I476" s="24" t="n">
        <f aca="false">$B$13*G476/$B$12*((1+$B$8)/(1+D476))^4.5</f>
        <v>2163.1380402225</v>
      </c>
      <c r="J476" s="24" t="n">
        <f aca="false">H476+I476-$B$14</f>
        <v>3234.98327580416</v>
      </c>
      <c r="K476" s="43" t="n">
        <f aca="false">J476/$B$15</f>
        <v>78.9020311171746</v>
      </c>
    </row>
    <row r="477" customFormat="false" ht="15" hidden="false" customHeight="false" outlineLevel="0" collapsed="false">
      <c r="A477" s="49" t="n">
        <v>437</v>
      </c>
      <c r="B477" s="19" t="n">
        <f aca="true">NORMINV(RAND(),$B$6,$C$6)</f>
        <v>0.0379218769639762</v>
      </c>
      <c r="C477" s="19" t="n">
        <f aca="true">MAX(0.3,NORMINV(RAND(),$B$7,$C$7))</f>
        <v>0.453232938773318</v>
      </c>
      <c r="D477" s="32" t="n">
        <f aca="true">MAX(0.06,NORMINV(RAND(),$B$8,$C$8))</f>
        <v>0.0761139259017335</v>
      </c>
      <c r="E477" s="50" t="n">
        <f aca="true">MAX(4,NORMINV(RAND(),$B$9,$C$9))</f>
        <v>6.87336682571491</v>
      </c>
      <c r="F477" s="24" t="n">
        <f aca="false">$B$18*(1+(B477+$B$17)/2)^9</f>
        <v>1232.56504142177</v>
      </c>
      <c r="G477" s="24" t="n">
        <f aca="false">F477*C477</f>
        <v>558.639075952843</v>
      </c>
      <c r="H477" s="24" t="n">
        <f aca="false">E477*G477/(1+D477)^9</f>
        <v>1984.15944514807</v>
      </c>
      <c r="I477" s="24" t="n">
        <f aca="false">$B$13*G477/$B$12*((1+$B$8)/(1+D477))^4.5</f>
        <v>2191.3282182305</v>
      </c>
      <c r="J477" s="24" t="n">
        <f aca="false">H477+I477-$B$14</f>
        <v>3239.69738392652</v>
      </c>
      <c r="K477" s="43" t="n">
        <f aca="false">J477/$B$15</f>
        <v>79.0170093640614</v>
      </c>
    </row>
    <row r="478" customFormat="false" ht="15" hidden="false" customHeight="false" outlineLevel="0" collapsed="false">
      <c r="A478" s="49" t="n">
        <v>438</v>
      </c>
      <c r="B478" s="19" t="n">
        <f aca="true">NORMINV(RAND(),$B$6,$C$6)</f>
        <v>0.0384856812784166</v>
      </c>
      <c r="C478" s="19" t="n">
        <f aca="true">MAX(0.3,NORMINV(RAND(),$B$7,$C$7))</f>
        <v>0.431773295674354</v>
      </c>
      <c r="D478" s="32" t="n">
        <f aca="true">MAX(0.06,NORMINV(RAND(),$B$8,$C$8))</f>
        <v>0.0896163084097636</v>
      </c>
      <c r="E478" s="50" t="n">
        <f aca="true">MAX(4,NORMINV(RAND(),$B$9,$C$9))</f>
        <v>6.85364568896003</v>
      </c>
      <c r="F478" s="24" t="n">
        <f aca="false">$B$18*(1+(B478+$B$17)/2)^9</f>
        <v>1235.62239497479</v>
      </c>
      <c r="G478" s="24" t="n">
        <f aca="false">F478*C478</f>
        <v>533.508753687303</v>
      </c>
      <c r="H478" s="24" t="n">
        <f aca="false">E478*G478/(1+D478)^9</f>
        <v>1688.88798443959</v>
      </c>
      <c r="I478" s="24" t="n">
        <f aca="false">$B$13*G478/$B$12*((1+$B$8)/(1+D478))^4.5</f>
        <v>1978.55727215258</v>
      </c>
      <c r="J478" s="24" t="n">
        <f aca="false">H478+I478-$B$14</f>
        <v>2731.65497714012</v>
      </c>
      <c r="K478" s="43" t="n">
        <f aca="false">J478/$B$15</f>
        <v>66.6257311497589</v>
      </c>
    </row>
    <row r="479" customFormat="false" ht="15" hidden="false" customHeight="false" outlineLevel="0" collapsed="false">
      <c r="A479" s="49" t="n">
        <v>439</v>
      </c>
      <c r="B479" s="19" t="n">
        <f aca="true">NORMINV(RAND(),$B$6,$C$6)</f>
        <v>0.0643127298340351</v>
      </c>
      <c r="C479" s="19" t="n">
        <f aca="true">MAX(0.3,NORMINV(RAND(),$B$7,$C$7))</f>
        <v>0.448948795544494</v>
      </c>
      <c r="D479" s="32" t="n">
        <f aca="true">MAX(0.06,NORMINV(RAND(),$B$8,$C$8))</f>
        <v>0.0956916218966097</v>
      </c>
      <c r="E479" s="50" t="n">
        <f aca="true">MAX(4,NORMINV(RAND(),$B$9,$C$9))</f>
        <v>6.62153206761928</v>
      </c>
      <c r="F479" s="24" t="n">
        <f aca="false">$B$18*(1+(B479+$B$17)/2)^9</f>
        <v>1383.11238633172</v>
      </c>
      <c r="G479" s="24" t="n">
        <f aca="false">F479*C479</f>
        <v>620.946639946299</v>
      </c>
      <c r="H479" s="24" t="n">
        <f aca="false">E479*G479/(1+D479)^9</f>
        <v>1806.41570435379</v>
      </c>
      <c r="I479" s="24" t="n">
        <f aca="false">$B$13*G479/$B$12*((1+$B$8)/(1+D479))^4.5</f>
        <v>2245.92371161082</v>
      </c>
      <c r="J479" s="24" t="n">
        <f aca="false">H479+I479-$B$14</f>
        <v>3116.54913651255</v>
      </c>
      <c r="K479" s="43" t="n">
        <f aca="false">J479/$B$15</f>
        <v>76.0133935734769</v>
      </c>
    </row>
    <row r="480" customFormat="false" ht="15" hidden="false" customHeight="false" outlineLevel="0" collapsed="false">
      <c r="A480" s="49" t="n">
        <v>440</v>
      </c>
      <c r="B480" s="19" t="n">
        <f aca="true">NORMINV(RAND(),$B$6,$C$6)</f>
        <v>0.00671121229578162</v>
      </c>
      <c r="C480" s="19" t="n">
        <f aca="true">MAX(0.3,NORMINV(RAND(),$B$7,$C$7))</f>
        <v>0.421466946518095</v>
      </c>
      <c r="D480" s="32" t="n">
        <f aca="true">MAX(0.06,NORMINV(RAND(),$B$8,$C$8))</f>
        <v>0.086926131634552</v>
      </c>
      <c r="E480" s="50" t="n">
        <f aca="true">MAX(4,NORMINV(RAND(),$B$9,$C$9))</f>
        <v>9.24953821625498</v>
      </c>
      <c r="F480" s="24" t="n">
        <f aca="false">$B$18*(1+(B480+$B$17)/2)^9</f>
        <v>1073.45240429571</v>
      </c>
      <c r="G480" s="24" t="n">
        <f aca="false">F480*C480</f>
        <v>452.42470707102</v>
      </c>
      <c r="H480" s="24" t="n">
        <f aca="false">E480*G480/(1+D480)^9</f>
        <v>1976.36017584949</v>
      </c>
      <c r="I480" s="24" t="n">
        <f aca="false">$B$13*G480/$B$12*((1+$B$8)/(1+D480))^4.5</f>
        <v>1696.61941034436</v>
      </c>
      <c r="J480" s="24" t="n">
        <f aca="false">H480+I480-$B$14</f>
        <v>2737.18930674179</v>
      </c>
      <c r="K480" s="43" t="n">
        <f aca="false">J480/$B$15</f>
        <v>66.7607147985803</v>
      </c>
    </row>
    <row r="481" customFormat="false" ht="15" hidden="false" customHeight="false" outlineLevel="0" collapsed="false">
      <c r="A481" s="49" t="n">
        <v>441</v>
      </c>
      <c r="B481" s="19" t="n">
        <f aca="true">NORMINV(RAND(),$B$6,$C$6)</f>
        <v>0.0197543965623078</v>
      </c>
      <c r="C481" s="19" t="n">
        <f aca="true">MAX(0.3,NORMINV(RAND(),$B$7,$C$7))</f>
        <v>0.441208638645996</v>
      </c>
      <c r="D481" s="32" t="n">
        <f aca="true">MAX(0.06,NORMINV(RAND(),$B$8,$C$8))</f>
        <v>0.0832784200381271</v>
      </c>
      <c r="E481" s="50" t="n">
        <f aca="true">MAX(4,NORMINV(RAND(),$B$9,$C$9))</f>
        <v>8.6773525003066</v>
      </c>
      <c r="F481" s="24" t="n">
        <f aca="false">$B$18*(1+(B481+$B$17)/2)^9</f>
        <v>1137.57697847129</v>
      </c>
      <c r="G481" s="24" t="n">
        <f aca="false">F481*C481</f>
        <v>501.908790026342</v>
      </c>
      <c r="H481" s="24" t="n">
        <f aca="false">E481*G481/(1+D481)^9</f>
        <v>2120.07496084755</v>
      </c>
      <c r="I481" s="24" t="n">
        <f aca="false">$B$13*G481/$B$12*((1+$B$8)/(1+D481))^4.5</f>
        <v>1910.87659884799</v>
      </c>
      <c r="J481" s="24" t="n">
        <f aca="false">H481+I481-$B$14</f>
        <v>3095.16128024348</v>
      </c>
      <c r="K481" s="43" t="n">
        <f aca="false">J481/$B$15</f>
        <v>75.4917385425239</v>
      </c>
    </row>
    <row r="482" customFormat="false" ht="15" hidden="false" customHeight="false" outlineLevel="0" collapsed="false">
      <c r="A482" s="49" t="n">
        <v>442</v>
      </c>
      <c r="B482" s="19" t="n">
        <f aca="true">NORMINV(RAND(),$B$6,$C$6)</f>
        <v>0.0212707951899992</v>
      </c>
      <c r="C482" s="19" t="n">
        <f aca="true">MAX(0.3,NORMINV(RAND(),$B$7,$C$7))</f>
        <v>0.400318835124026</v>
      </c>
      <c r="D482" s="32" t="n">
        <f aca="true">MAX(0.06,NORMINV(RAND(),$B$8,$C$8))</f>
        <v>0.071444444864671</v>
      </c>
      <c r="E482" s="50" t="n">
        <f aca="true">MAX(4,NORMINV(RAND(),$B$9,$C$9))</f>
        <v>6.89934388713967</v>
      </c>
      <c r="F482" s="24" t="n">
        <f aca="false">$B$18*(1+(B482+$B$17)/2)^9</f>
        <v>1145.24867363841</v>
      </c>
      <c r="G482" s="24" t="n">
        <f aca="false">F482*C482</f>
        <v>458.464614958263</v>
      </c>
      <c r="H482" s="24" t="n">
        <f aca="false">E482*G482/(1+D482)^9</f>
        <v>1699.75644487228</v>
      </c>
      <c r="I482" s="24" t="n">
        <f aca="false">$B$13*G482/$B$12*((1+$B$8)/(1+D482))^4.5</f>
        <v>1833.92096730808</v>
      </c>
      <c r="J482" s="24" t="n">
        <f aca="false">H482+I482-$B$14</f>
        <v>2597.88713272831</v>
      </c>
      <c r="K482" s="43" t="n">
        <f aca="false">J482/$B$15</f>
        <v>63.3631007982514</v>
      </c>
    </row>
    <row r="483" customFormat="false" ht="15" hidden="false" customHeight="false" outlineLevel="0" collapsed="false">
      <c r="A483" s="49" t="n">
        <v>443</v>
      </c>
      <c r="B483" s="19" t="n">
        <f aca="true">NORMINV(RAND(),$B$6,$C$6)</f>
        <v>0.00807736571156522</v>
      </c>
      <c r="C483" s="19" t="n">
        <f aca="true">MAX(0.3,NORMINV(RAND(),$B$7,$C$7))</f>
        <v>0.479090141406216</v>
      </c>
      <c r="D483" s="32" t="n">
        <f aca="true">MAX(0.06,NORMINV(RAND(),$B$8,$C$8))</f>
        <v>0.071881087956043</v>
      </c>
      <c r="E483" s="50" t="n">
        <f aca="true">MAX(4,NORMINV(RAND(),$B$9,$C$9))</f>
        <v>6.78498414375528</v>
      </c>
      <c r="F483" s="24" t="n">
        <f aca="false">$B$18*(1+(B483+$B$17)/2)^9</f>
        <v>1080.01473511799</v>
      </c>
      <c r="G483" s="24" t="n">
        <f aca="false">F483*C483</f>
        <v>517.424412168475</v>
      </c>
      <c r="H483" s="24" t="n">
        <f aca="false">E483*G483/(1+D483)^9</f>
        <v>1879.64691613875</v>
      </c>
      <c r="I483" s="24" t="n">
        <f aca="false">$B$13*G483/$B$12*((1+$B$8)/(1+D483))^4.5</f>
        <v>2065.97675116903</v>
      </c>
      <c r="J483" s="24" t="n">
        <f aca="false">H483+I483-$B$14</f>
        <v>3009.83338785572</v>
      </c>
      <c r="K483" s="43" t="n">
        <f aca="false">J483/$B$15</f>
        <v>73.4105704355054</v>
      </c>
    </row>
    <row r="484" customFormat="false" ht="15" hidden="false" customHeight="false" outlineLevel="0" collapsed="false">
      <c r="A484" s="49" t="n">
        <v>444</v>
      </c>
      <c r="B484" s="19" t="n">
        <f aca="true">NORMINV(RAND(),$B$6,$C$6)</f>
        <v>-0.0130593763910269</v>
      </c>
      <c r="C484" s="19" t="n">
        <f aca="true">MAX(0.3,NORMINV(RAND(),$B$7,$C$7))</f>
        <v>0.42649624834478</v>
      </c>
      <c r="D484" s="32" t="n">
        <f aca="true">MAX(0.06,NORMINV(RAND(),$B$8,$C$8))</f>
        <v>0.0778581190164472</v>
      </c>
      <c r="E484" s="50" t="n">
        <f aca="true">MAX(4,NORMINV(RAND(),$B$9,$C$9))</f>
        <v>8.13913253161722</v>
      </c>
      <c r="F484" s="24" t="n">
        <f aca="false">$B$18*(1+(B484+$B$17)/2)^9</f>
        <v>982.371477338503</v>
      </c>
      <c r="G484" s="24" t="n">
        <f aca="false">F484*C484</f>
        <v>418.97774956579</v>
      </c>
      <c r="H484" s="24" t="n">
        <f aca="false">E484*G484/(1+D484)^9</f>
        <v>1736.65960747739</v>
      </c>
      <c r="I484" s="24" t="n">
        <f aca="false">$B$13*G484/$B$12*((1+$B$8)/(1+D484))^4.5</f>
        <v>1631.5561483101</v>
      </c>
      <c r="J484" s="24" t="n">
        <f aca="false">H484+I484-$B$14</f>
        <v>2432.42547633544</v>
      </c>
      <c r="K484" s="43" t="n">
        <f aca="false">J484/$B$15</f>
        <v>59.3274506423277</v>
      </c>
    </row>
    <row r="485" customFormat="false" ht="15" hidden="false" customHeight="false" outlineLevel="0" collapsed="false">
      <c r="A485" s="49" t="n">
        <v>445</v>
      </c>
      <c r="B485" s="19" t="n">
        <f aca="true">NORMINV(RAND(),$B$6,$C$6)</f>
        <v>-0.01305985533433</v>
      </c>
      <c r="C485" s="19" t="n">
        <f aca="true">MAX(0.3,NORMINV(RAND(),$B$7,$C$7))</f>
        <v>0.39965729183174</v>
      </c>
      <c r="D485" s="32" t="n">
        <f aca="true">MAX(0.06,NORMINV(RAND(),$B$8,$C$8))</f>
        <v>0.0827521172219607</v>
      </c>
      <c r="E485" s="50" t="n">
        <f aca="true">MAX(4,NORMINV(RAND(),$B$9,$C$9))</f>
        <v>4.90818391786982</v>
      </c>
      <c r="F485" s="24" t="n">
        <f aca="false">$B$18*(1+(B485+$B$17)/2)^9</f>
        <v>982.369356845761</v>
      </c>
      <c r="G485" s="24" t="n">
        <f aca="false">F485*C485</f>
        <v>392.611076735465</v>
      </c>
      <c r="H485" s="24" t="n">
        <f aca="false">E485*G485/(1+D485)^9</f>
        <v>942.154228561352</v>
      </c>
      <c r="I485" s="24" t="n">
        <f aca="false">$B$13*G485/$B$12*((1+$B$8)/(1+D485))^4.5</f>
        <v>1498.02863035197</v>
      </c>
      <c r="J485" s="24" t="n">
        <f aca="false">H485+I485-$B$14</f>
        <v>1504.39257946127</v>
      </c>
      <c r="K485" s="43" t="n">
        <f aca="false">J485/$B$15</f>
        <v>36.6925019380797</v>
      </c>
    </row>
    <row r="486" customFormat="false" ht="15" hidden="false" customHeight="false" outlineLevel="0" collapsed="false">
      <c r="A486" s="49" t="n">
        <v>446</v>
      </c>
      <c r="B486" s="19" t="n">
        <f aca="true">NORMINV(RAND(),$B$6,$C$6)</f>
        <v>0.0358295152924372</v>
      </c>
      <c r="C486" s="19" t="n">
        <f aca="true">MAX(0.3,NORMINV(RAND(),$B$7,$C$7))</f>
        <v>0.465672019099756</v>
      </c>
      <c r="D486" s="32" t="n">
        <f aca="true">MAX(0.06,NORMINV(RAND(),$B$8,$C$8))</f>
        <v>0.0890261541800244</v>
      </c>
      <c r="E486" s="50" t="n">
        <f aca="true">MAX(4,NORMINV(RAND(),$B$9,$C$9))</f>
        <v>11.2488438983651</v>
      </c>
      <c r="F486" s="24" t="n">
        <f aca="false">$B$18*(1+(B486+$B$17)/2)^9</f>
        <v>1221.27744542992</v>
      </c>
      <c r="G486" s="24" t="n">
        <f aca="false">F486*C486</f>
        <v>568.714733894343</v>
      </c>
      <c r="H486" s="24" t="n">
        <f aca="false">E486*G486/(1+D486)^9</f>
        <v>2969.32394391224</v>
      </c>
      <c r="I486" s="24" t="n">
        <f aca="false">$B$13*G486/$B$12*((1+$B$8)/(1+D486))^4.5</f>
        <v>2114.26946625801</v>
      </c>
      <c r="J486" s="24" t="n">
        <f aca="false">H486+I486-$B$14</f>
        <v>4147.80313071819</v>
      </c>
      <c r="K486" s="43" t="n">
        <f aca="false">J486/$B$15</f>
        <v>101.165930017517</v>
      </c>
    </row>
    <row r="487" customFormat="false" ht="15" hidden="false" customHeight="false" outlineLevel="0" collapsed="false">
      <c r="A487" s="49" t="n">
        <v>447</v>
      </c>
      <c r="B487" s="19" t="n">
        <f aca="true">NORMINV(RAND(),$B$6,$C$6)</f>
        <v>0.0323712476664835</v>
      </c>
      <c r="C487" s="19" t="n">
        <f aca="true">MAX(0.3,NORMINV(RAND(),$B$7,$C$7))</f>
        <v>0.402568713514</v>
      </c>
      <c r="D487" s="32" t="n">
        <f aca="true">MAX(0.06,NORMINV(RAND(),$B$8,$C$8))</f>
        <v>0.0758019264361659</v>
      </c>
      <c r="E487" s="50" t="n">
        <f aca="true">MAX(4,NORMINV(RAND(),$B$9,$C$9))</f>
        <v>7.48042630068936</v>
      </c>
      <c r="F487" s="24" t="n">
        <f aca="false">$B$18*(1+(B487+$B$17)/2)^9</f>
        <v>1202.82256903747</v>
      </c>
      <c r="G487" s="24" t="n">
        <f aca="false">F487*C487</f>
        <v>484.218734203017</v>
      </c>
      <c r="H487" s="24" t="n">
        <f aca="false">E487*G487/(1+D487)^9</f>
        <v>1876.6231862265</v>
      </c>
      <c r="I487" s="24" t="n">
        <f aca="false">$B$13*G487/$B$12*((1+$B$8)/(1+D487))^4.5</f>
        <v>1901.88569338808</v>
      </c>
      <c r="J487" s="24" t="n">
        <f aca="false">H487+I487-$B$14</f>
        <v>2842.71860016253</v>
      </c>
      <c r="K487" s="43" t="n">
        <f aca="false">J487/$B$15</f>
        <v>69.334600003964</v>
      </c>
    </row>
    <row r="488" customFormat="false" ht="15" hidden="false" customHeight="false" outlineLevel="0" collapsed="false">
      <c r="A488" s="49" t="n">
        <v>448</v>
      </c>
      <c r="B488" s="19" t="n">
        <f aca="true">NORMINV(RAND(),$B$6,$C$6)</f>
        <v>-0.0127837276734251</v>
      </c>
      <c r="C488" s="19" t="n">
        <f aca="true">MAX(0.3,NORMINV(RAND(),$B$7,$C$7))</f>
        <v>0.433823890845969</v>
      </c>
      <c r="D488" s="32" t="n">
        <f aca="true">MAX(0.06,NORMINV(RAND(),$B$8,$C$8))</f>
        <v>0.0775754399879143</v>
      </c>
      <c r="E488" s="50" t="n">
        <f aca="true">MAX(4,NORMINV(RAND(),$B$9,$C$9))</f>
        <v>9.65283949780934</v>
      </c>
      <c r="F488" s="24" t="n">
        <f aca="false">$B$18*(1+(B488+$B$17)/2)^9</f>
        <v>983.592570732164</v>
      </c>
      <c r="G488" s="24" t="n">
        <f aca="false">F488*C488</f>
        <v>426.705956042216</v>
      </c>
      <c r="H488" s="24" t="n">
        <f aca="false">E488*G488/(1+D488)^9</f>
        <v>2102.59017203107</v>
      </c>
      <c r="I488" s="24" t="n">
        <f aca="false">$B$13*G488/$B$12*((1+$B$8)/(1+D488))^4.5</f>
        <v>1663.61327717125</v>
      </c>
      <c r="J488" s="24" t="n">
        <f aca="false">H488+I488-$B$14</f>
        <v>2830.41316975027</v>
      </c>
      <c r="K488" s="43" t="n">
        <f aca="false">J488/$B$15</f>
        <v>69.0344675548845</v>
      </c>
    </row>
    <row r="489" customFormat="false" ht="15" hidden="false" customHeight="false" outlineLevel="0" collapsed="false">
      <c r="A489" s="49" t="n">
        <v>449</v>
      </c>
      <c r="B489" s="19" t="n">
        <f aca="true">NORMINV(RAND(),$B$6,$C$6)</f>
        <v>0.0481537055256057</v>
      </c>
      <c r="C489" s="19" t="n">
        <f aca="true">MAX(0.3,NORMINV(RAND(),$B$7,$C$7))</f>
        <v>0.469493942789634</v>
      </c>
      <c r="D489" s="32" t="n">
        <f aca="true">MAX(0.06,NORMINV(RAND(),$B$8,$C$8))</f>
        <v>0.0808541930368491</v>
      </c>
      <c r="E489" s="50" t="n">
        <f aca="true">MAX(4,NORMINV(RAND(),$B$9,$C$9))</f>
        <v>5.07863541079373</v>
      </c>
      <c r="F489" s="24" t="n">
        <f aca="false">$B$18*(1+(B489+$B$17)/2)^9</f>
        <v>1289.10895450811</v>
      </c>
      <c r="G489" s="24" t="n">
        <f aca="false">F489*C489</f>
        <v>605.228845737433</v>
      </c>
      <c r="H489" s="24" t="n">
        <f aca="false">E489*G489/(1+D489)^9</f>
        <v>1526.7314430502</v>
      </c>
      <c r="I489" s="24" t="n">
        <f aca="false">$B$13*G489/$B$12*((1+$B$8)/(1+D489))^4.5</f>
        <v>2327.58671066023</v>
      </c>
      <c r="J489" s="24" t="n">
        <f aca="false">H489+I489-$B$14</f>
        <v>2918.52787425838</v>
      </c>
      <c r="K489" s="43" t="n">
        <f aca="false">J489/$B$15</f>
        <v>71.1836066892287</v>
      </c>
    </row>
    <row r="490" customFormat="false" ht="15" hidden="false" customHeight="false" outlineLevel="0" collapsed="false">
      <c r="A490" s="49" t="n">
        <v>450</v>
      </c>
      <c r="B490" s="19" t="n">
        <f aca="true">NORMINV(RAND(),$B$6,$C$6)</f>
        <v>0.0579349336542771</v>
      </c>
      <c r="C490" s="19" t="n">
        <f aca="true">MAX(0.3,NORMINV(RAND(),$B$7,$C$7))</f>
        <v>0.433982473333521</v>
      </c>
      <c r="D490" s="32" t="n">
        <f aca="true">MAX(0.06,NORMINV(RAND(),$B$8,$C$8))</f>
        <v>0.0787543556573372</v>
      </c>
      <c r="E490" s="50" t="n">
        <f aca="true">MAX(4,NORMINV(RAND(),$B$9,$C$9))</f>
        <v>8.78074924240011</v>
      </c>
      <c r="F490" s="24" t="n">
        <f aca="false">$B$18*(1+(B490+$B$17)/2)^9</f>
        <v>1345.30639242895</v>
      </c>
      <c r="G490" s="24" t="n">
        <f aca="false">F490*C490</f>
        <v>583.839395577714</v>
      </c>
      <c r="H490" s="24" t="n">
        <f aca="false">E490*G490/(1+D490)^9</f>
        <v>2591.32515497346</v>
      </c>
      <c r="I490" s="24" t="n">
        <f aca="false">$B$13*G490/$B$12*((1+$B$8)/(1+D490))^4.5</f>
        <v>2265.06212974217</v>
      </c>
      <c r="J490" s="24" t="n">
        <f aca="false">H490+I490-$B$14</f>
        <v>3920.59700526357</v>
      </c>
      <c r="K490" s="43" t="n">
        <f aca="false">J490/$B$15</f>
        <v>95.6243172015505</v>
      </c>
    </row>
    <row r="491" customFormat="false" ht="15" hidden="false" customHeight="false" outlineLevel="0" collapsed="false">
      <c r="A491" s="49" t="n">
        <v>451</v>
      </c>
      <c r="B491" s="19" t="n">
        <f aca="true">NORMINV(RAND(),$B$6,$C$6)</f>
        <v>0.0704907299702112</v>
      </c>
      <c r="C491" s="19" t="n">
        <f aca="true">MAX(0.3,NORMINV(RAND(),$B$7,$C$7))</f>
        <v>0.424489340188518</v>
      </c>
      <c r="D491" s="32" t="n">
        <f aca="true">MAX(0.06,NORMINV(RAND(),$B$8,$C$8))</f>
        <v>0.0787285840286106</v>
      </c>
      <c r="E491" s="50" t="n">
        <f aca="true">MAX(4,NORMINV(RAND(),$B$9,$C$9))</f>
        <v>9.48566380778398</v>
      </c>
      <c r="F491" s="24" t="n">
        <f aca="false">$B$18*(1+(B491+$B$17)/2)^9</f>
        <v>1420.63150896427</v>
      </c>
      <c r="G491" s="24" t="n">
        <f aca="false">F491*C491</f>
        <v>603.04293189126</v>
      </c>
      <c r="H491" s="24" t="n">
        <f aca="false">E491*G491/(1+D491)^9</f>
        <v>2892.05320832911</v>
      </c>
      <c r="I491" s="24" t="n">
        <f aca="false">$B$13*G491/$B$12*((1+$B$8)/(1+D491))^4.5</f>
        <v>2339.81566329809</v>
      </c>
      <c r="J491" s="24" t="n">
        <f aca="false">H491+I491-$B$14</f>
        <v>4296.07859217515</v>
      </c>
      <c r="K491" s="43" t="n">
        <f aca="false">J491/$B$15</f>
        <v>104.782404687199</v>
      </c>
    </row>
    <row r="492" customFormat="false" ht="15" hidden="false" customHeight="false" outlineLevel="0" collapsed="false">
      <c r="A492" s="49" t="n">
        <v>452</v>
      </c>
      <c r="B492" s="19" t="n">
        <f aca="true">NORMINV(RAND(),$B$6,$C$6)</f>
        <v>-0.00254717418315047</v>
      </c>
      <c r="C492" s="19" t="n">
        <f aca="true">MAX(0.3,NORMINV(RAND(),$B$7,$C$7))</f>
        <v>0.452804325404388</v>
      </c>
      <c r="D492" s="32" t="n">
        <f aca="true">MAX(0.06,NORMINV(RAND(),$B$8,$C$8))</f>
        <v>0.0755214596491346</v>
      </c>
      <c r="E492" s="50" t="n">
        <f aca="true">MAX(4,NORMINV(RAND(),$B$9,$C$9))</f>
        <v>8.00430282226425</v>
      </c>
      <c r="F492" s="24" t="n">
        <f aca="false">$B$18*(1+(B492+$B$17)/2)^9</f>
        <v>1029.90582074706</v>
      </c>
      <c r="G492" s="24" t="n">
        <f aca="false">F492*C492</f>
        <v>466.345810393425</v>
      </c>
      <c r="H492" s="24" t="n">
        <f aca="false">E492*G492/(1+D492)^9</f>
        <v>1938.47350025762</v>
      </c>
      <c r="I492" s="24" t="n">
        <f aca="false">$B$13*G492/$B$12*((1+$B$8)/(1+D492))^4.5</f>
        <v>1833.83590411433</v>
      </c>
      <c r="J492" s="24" t="n">
        <f aca="false">H492+I492-$B$14</f>
        <v>2836.5191249199</v>
      </c>
      <c r="K492" s="43" t="n">
        <f aca="false">J492/$B$15</f>
        <v>69.1833932907292</v>
      </c>
    </row>
    <row r="493" customFormat="false" ht="15" hidden="false" customHeight="false" outlineLevel="0" collapsed="false">
      <c r="A493" s="49" t="n">
        <v>453</v>
      </c>
      <c r="B493" s="19" t="n">
        <f aca="true">NORMINV(RAND(),$B$6,$C$6)</f>
        <v>0.0468871494746509</v>
      </c>
      <c r="C493" s="19" t="n">
        <f aca="true">MAX(0.3,NORMINV(RAND(),$B$7,$C$7))</f>
        <v>0.452505134197309</v>
      </c>
      <c r="D493" s="32" t="n">
        <f aca="true">MAX(0.06,NORMINV(RAND(),$B$8,$C$8))</f>
        <v>0.0888964381517768</v>
      </c>
      <c r="E493" s="50" t="n">
        <f aca="true">MAX(4,NORMINV(RAND(),$B$9,$C$9))</f>
        <v>5.33590093346615</v>
      </c>
      <c r="F493" s="24" t="n">
        <f aca="false">$B$18*(1+(B493+$B$17)/2)^9</f>
        <v>1281.98682395409</v>
      </c>
      <c r="G493" s="24" t="n">
        <f aca="false">F493*C493</f>
        <v>580.105619812527</v>
      </c>
      <c r="H493" s="24" t="n">
        <f aca="false">E493*G493/(1+D493)^9</f>
        <v>1438.25414975541</v>
      </c>
      <c r="I493" s="24" t="n">
        <f aca="false">$B$13*G493/$B$12*((1+$B$8)/(1+D493))^4.5</f>
        <v>2157.7728689713</v>
      </c>
      <c r="J493" s="24" t="n">
        <f aca="false">H493+I493-$B$14</f>
        <v>2660.23673927465</v>
      </c>
      <c r="K493" s="43" t="n">
        <f aca="false">J493/$B$15</f>
        <v>64.8838229091379</v>
      </c>
    </row>
    <row r="494" customFormat="false" ht="15" hidden="false" customHeight="false" outlineLevel="0" collapsed="false">
      <c r="A494" s="49" t="n">
        <v>454</v>
      </c>
      <c r="B494" s="19" t="n">
        <f aca="true">NORMINV(RAND(),$B$6,$C$6)</f>
        <v>-0.00456582635585123</v>
      </c>
      <c r="C494" s="19" t="n">
        <f aca="true">MAX(0.3,NORMINV(RAND(),$B$7,$C$7))</f>
        <v>0.43464346487067</v>
      </c>
      <c r="D494" s="32" t="n">
        <f aca="true">MAX(0.06,NORMINV(RAND(),$B$8,$C$8))</f>
        <v>0.0921850691657066</v>
      </c>
      <c r="E494" s="50" t="n">
        <f aca="true">MAX(4,NORMINV(RAND(),$B$9,$C$9))</f>
        <v>9.51003515425284</v>
      </c>
      <c r="F494" s="24" t="n">
        <f aca="false">$B$18*(1+(B494+$B$17)/2)^9</f>
        <v>1020.62236045258</v>
      </c>
      <c r="G494" s="24" t="n">
        <f aca="false">F494*C494</f>
        <v>443.606839071592</v>
      </c>
      <c r="H494" s="24" t="n">
        <f aca="false">E494*G494/(1+D494)^9</f>
        <v>1907.71826962931</v>
      </c>
      <c r="I494" s="24" t="n">
        <f aca="false">$B$13*G494/$B$12*((1+$B$8)/(1+D494))^4.5</f>
        <v>1627.80893349645</v>
      </c>
      <c r="J494" s="24" t="n">
        <f aca="false">H494+I494-$B$14</f>
        <v>2599.73692367371</v>
      </c>
      <c r="K494" s="43" t="n">
        <f aca="false">J494/$B$15</f>
        <v>63.4082176505782</v>
      </c>
    </row>
    <row r="495" customFormat="false" ht="15" hidden="false" customHeight="false" outlineLevel="0" collapsed="false">
      <c r="A495" s="49" t="n">
        <v>455</v>
      </c>
      <c r="B495" s="19" t="n">
        <f aca="true">NORMINV(RAND(),$B$6,$C$6)</f>
        <v>0.0480583604859399</v>
      </c>
      <c r="C495" s="19" t="n">
        <f aca="true">MAX(0.3,NORMINV(RAND(),$B$7,$C$7))</f>
        <v>0.413981432089241</v>
      </c>
      <c r="D495" s="32" t="n">
        <f aca="true">MAX(0.06,NORMINV(RAND(),$B$8,$C$8))</f>
        <v>0.0818173069860102</v>
      </c>
      <c r="E495" s="50" t="n">
        <f aca="true">MAX(4,NORMINV(RAND(),$B$9,$C$9))</f>
        <v>8.07163912818729</v>
      </c>
      <c r="F495" s="24" t="n">
        <f aca="false">$B$18*(1+(B495+$B$17)/2)^9</f>
        <v>1288.57158631289</v>
      </c>
      <c r="G495" s="24" t="n">
        <f aca="false">F495*C495</f>
        <v>533.444710651314</v>
      </c>
      <c r="H495" s="24" t="n">
        <f aca="false">E495*G495/(1+D495)^9</f>
        <v>2121.61132474561</v>
      </c>
      <c r="I495" s="24" t="n">
        <f aca="false">$B$13*G495/$B$12*((1+$B$8)/(1+D495))^4.5</f>
        <v>2043.31349558679</v>
      </c>
      <c r="J495" s="24" t="n">
        <f aca="false">H495+I495-$B$14</f>
        <v>3229.13454088035</v>
      </c>
      <c r="K495" s="43" t="n">
        <f aca="false">J495/$B$15</f>
        <v>78.7593790458622</v>
      </c>
    </row>
    <row r="496" customFormat="false" ht="15" hidden="false" customHeight="false" outlineLevel="0" collapsed="false">
      <c r="A496" s="49" t="n">
        <v>456</v>
      </c>
      <c r="B496" s="19" t="n">
        <f aca="true">NORMINV(RAND(),$B$6,$C$6)</f>
        <v>0.00746210475867093</v>
      </c>
      <c r="C496" s="19" t="n">
        <f aca="true">MAX(0.3,NORMINV(RAND(),$B$7,$C$7))</f>
        <v>0.407581432781366</v>
      </c>
      <c r="D496" s="32" t="n">
        <f aca="true">MAX(0.06,NORMINV(RAND(),$B$8,$C$8))</f>
        <v>0.0827579927302983</v>
      </c>
      <c r="E496" s="50" t="n">
        <f aca="true">MAX(4,NORMINV(RAND(),$B$9,$C$9))</f>
        <v>10.0140950923508</v>
      </c>
      <c r="F496" s="24" t="n">
        <f aca="false">$B$18*(1+(B496+$B$17)/2)^9</f>
        <v>1077.05492285925</v>
      </c>
      <c r="G496" s="24" t="n">
        <f aca="false">F496*C496</f>
        <v>438.987588643197</v>
      </c>
      <c r="H496" s="24" t="n">
        <f aca="false">E496*G496/(1+D496)^9</f>
        <v>2149.2224486294</v>
      </c>
      <c r="I496" s="24" t="n">
        <f aca="false">$B$13*G496/$B$12*((1+$B$8)/(1+D496))^4.5</f>
        <v>1674.93979920557</v>
      </c>
      <c r="J496" s="24" t="n">
        <f aca="false">H496+I496-$B$14</f>
        <v>2888.37196838292</v>
      </c>
      <c r="K496" s="43" t="n">
        <f aca="false">J496/$B$15</f>
        <v>70.4480967898273</v>
      </c>
    </row>
    <row r="497" customFormat="false" ht="15" hidden="false" customHeight="false" outlineLevel="0" collapsed="false">
      <c r="A497" s="49" t="n">
        <v>457</v>
      </c>
      <c r="B497" s="19" t="n">
        <f aca="true">NORMINV(RAND(),$B$6,$C$6)</f>
        <v>-0.0233072732173002</v>
      </c>
      <c r="C497" s="19" t="n">
        <f aca="true">MAX(0.3,NORMINV(RAND(),$B$7,$C$7))</f>
        <v>0.440148171653769</v>
      </c>
      <c r="D497" s="32" t="n">
        <f aca="true">MAX(0.06,NORMINV(RAND(),$B$8,$C$8))</f>
        <v>0.0871916978386845</v>
      </c>
      <c r="E497" s="50" t="n">
        <f aca="true">MAX(4,NORMINV(RAND(),$B$9,$C$9))</f>
        <v>6.60612562645352</v>
      </c>
      <c r="F497" s="24" t="n">
        <f aca="false">$B$18*(1+(B497+$B$17)/2)^9</f>
        <v>937.919778184976</v>
      </c>
      <c r="G497" s="24" t="n">
        <f aca="false">F497*C497</f>
        <v>412.823675526025</v>
      </c>
      <c r="H497" s="24" t="n">
        <f aca="false">E497*G497/(1+D497)^9</f>
        <v>1285.15727380552</v>
      </c>
      <c r="I497" s="24" t="n">
        <f aca="false">$B$13*G497/$B$12*((1+$B$8)/(1+D497))^4.5</f>
        <v>1546.4122313888</v>
      </c>
      <c r="J497" s="24" t="n">
        <f aca="false">H497+I497-$B$14</f>
        <v>1895.77922574227</v>
      </c>
      <c r="K497" s="43" t="n">
        <f aca="false">J497/$B$15</f>
        <v>46.2385177010309</v>
      </c>
    </row>
    <row r="498" customFormat="false" ht="15" hidden="false" customHeight="false" outlineLevel="0" collapsed="false">
      <c r="A498" s="49" t="n">
        <v>458</v>
      </c>
      <c r="B498" s="19" t="n">
        <f aca="true">NORMINV(RAND(),$B$6,$C$6)</f>
        <v>0.0195237461191473</v>
      </c>
      <c r="C498" s="19" t="n">
        <f aca="true">MAX(0.3,NORMINV(RAND(),$B$7,$C$7))</f>
        <v>0.449173664265863</v>
      </c>
      <c r="D498" s="32" t="n">
        <f aca="true">MAX(0.06,NORMINV(RAND(),$B$8,$C$8))</f>
        <v>0.0704983393538263</v>
      </c>
      <c r="E498" s="50" t="n">
        <f aca="true">MAX(4,NORMINV(RAND(),$B$9,$C$9))</f>
        <v>7.88547804362413</v>
      </c>
      <c r="F498" s="24" t="n">
        <f aca="false">$B$18*(1+(B498+$B$17)/2)^9</f>
        <v>1136.41409362714</v>
      </c>
      <c r="G498" s="24" t="n">
        <f aca="false">F498*C498</f>
        <v>510.447282557872</v>
      </c>
      <c r="H498" s="24" t="n">
        <f aca="false">E498*G498/(1+D498)^9</f>
        <v>2180.24320531893</v>
      </c>
      <c r="I498" s="24" t="n">
        <f aca="false">$B$13*G498/$B$12*((1+$B$8)/(1+D498))^4.5</f>
        <v>2049.991962569</v>
      </c>
      <c r="J498" s="24" t="n">
        <f aca="false">H498+I498-$B$14</f>
        <v>3294.44488843587</v>
      </c>
      <c r="K498" s="43" t="n">
        <f aca="false">J498/$B$15</f>
        <v>80.3523143520944</v>
      </c>
    </row>
    <row r="499" customFormat="false" ht="15" hidden="false" customHeight="false" outlineLevel="0" collapsed="false">
      <c r="A499" s="49" t="n">
        <v>459</v>
      </c>
      <c r="B499" s="19" t="n">
        <f aca="true">NORMINV(RAND(),$B$6,$C$6)</f>
        <v>0.026236251276247</v>
      </c>
      <c r="C499" s="19" t="n">
        <f aca="true">MAX(0.3,NORMINV(RAND(),$B$7,$C$7))</f>
        <v>0.444284650171621</v>
      </c>
      <c r="D499" s="32" t="n">
        <f aca="true">MAX(0.06,NORMINV(RAND(),$B$8,$C$8))</f>
        <v>0.0908250110799705</v>
      </c>
      <c r="E499" s="50" t="n">
        <f aca="true">MAX(4,NORMINV(RAND(),$B$9,$C$9))</f>
        <v>8.65744038610126</v>
      </c>
      <c r="F499" s="24" t="n">
        <f aca="false">$B$18*(1+(B499+$B$17)/2)^9</f>
        <v>1170.69257008422</v>
      </c>
      <c r="G499" s="24" t="n">
        <f aca="false">F499*C499</f>
        <v>520.120738958384</v>
      </c>
      <c r="H499" s="24" t="n">
        <f aca="false">E499*G499/(1+D499)^9</f>
        <v>2059.19699761296</v>
      </c>
      <c r="I499" s="24" t="n">
        <f aca="false">$B$13*G499/$B$12*((1+$B$8)/(1+D499))^4.5</f>
        <v>1919.30737265126</v>
      </c>
      <c r="J499" s="24" t="n">
        <f aca="false">H499+I499-$B$14</f>
        <v>3042.71409081216</v>
      </c>
      <c r="K499" s="43" t="n">
        <f aca="false">J499/$B$15</f>
        <v>74.2125388002965</v>
      </c>
    </row>
    <row r="500" customFormat="false" ht="15" hidden="false" customHeight="false" outlineLevel="0" collapsed="false">
      <c r="A500" s="49" t="n">
        <v>460</v>
      </c>
      <c r="B500" s="19" t="n">
        <f aca="true">NORMINV(RAND(),$B$6,$C$6)</f>
        <v>0.0418121677689544</v>
      </c>
      <c r="C500" s="19" t="n">
        <f aca="true">MAX(0.3,NORMINV(RAND(),$B$7,$C$7))</f>
        <v>0.434941518597804</v>
      </c>
      <c r="D500" s="32" t="n">
        <f aca="true">MAX(0.06,NORMINV(RAND(),$B$8,$C$8))</f>
        <v>0.06</v>
      </c>
      <c r="E500" s="50" t="n">
        <f aca="true">MAX(4,NORMINV(RAND(),$B$9,$C$9))</f>
        <v>7.239558802437</v>
      </c>
      <c r="F500" s="24" t="n">
        <f aca="false">$B$18*(1+(B500+$B$17)/2)^9</f>
        <v>1253.79861605626</v>
      </c>
      <c r="G500" s="24" t="n">
        <f aca="false">F500*C500</f>
        <v>545.329074083333</v>
      </c>
      <c r="H500" s="24" t="n">
        <f aca="false">E500*G500/(1+D500)^9</f>
        <v>2336.78074383081</v>
      </c>
      <c r="I500" s="24" t="n">
        <f aca="false">$B$13*G500/$B$12*((1+$B$8)/(1+D500))^4.5</f>
        <v>2289.3938494264</v>
      </c>
      <c r="J500" s="24" t="n">
        <f aca="false">H500+I500-$B$14</f>
        <v>3690.38431380515</v>
      </c>
      <c r="K500" s="43" t="n">
        <f aca="false">J500/$B$15</f>
        <v>90.0093735074427</v>
      </c>
    </row>
    <row r="501" customFormat="false" ht="15" hidden="false" customHeight="false" outlineLevel="0" collapsed="false">
      <c r="A501" s="49" t="n">
        <v>461</v>
      </c>
      <c r="B501" s="19" t="n">
        <f aca="true">NORMINV(RAND(),$B$6,$C$6)</f>
        <v>0.0306647954884176</v>
      </c>
      <c r="C501" s="19" t="n">
        <f aca="true">MAX(0.3,NORMINV(RAND(),$B$7,$C$7))</f>
        <v>0.437972880835272</v>
      </c>
      <c r="D501" s="32" t="n">
        <f aca="true">MAX(0.06,NORMINV(RAND(),$B$8,$C$8))</f>
        <v>0.0722278049224171</v>
      </c>
      <c r="E501" s="50" t="n">
        <f aca="true">MAX(4,NORMINV(RAND(),$B$9,$C$9))</f>
        <v>11.1636336367546</v>
      </c>
      <c r="F501" s="24" t="n">
        <f aca="false">$B$18*(1+(B501+$B$17)/2)^9</f>
        <v>1193.80784448736</v>
      </c>
      <c r="G501" s="24" t="n">
        <f aca="false">F501*C501</f>
        <v>522.855460813875</v>
      </c>
      <c r="H501" s="24" t="n">
        <f aca="false">E501*G501/(1+D501)^9</f>
        <v>3116.04440328831</v>
      </c>
      <c r="I501" s="24" t="n">
        <f aca="false">$B$13*G501/$B$12*((1+$B$8)/(1+D501))^4.5</f>
        <v>2084.62579793526</v>
      </c>
      <c r="J501" s="24" t="n">
        <f aca="false">H501+I501-$B$14</f>
        <v>4264.87992177151</v>
      </c>
      <c r="K501" s="43" t="n">
        <f aca="false">J501/$B$15</f>
        <v>104.021461506622</v>
      </c>
    </row>
    <row r="502" customFormat="false" ht="15" hidden="false" customHeight="false" outlineLevel="0" collapsed="false">
      <c r="A502" s="49" t="n">
        <v>462</v>
      </c>
      <c r="B502" s="19" t="n">
        <f aca="true">NORMINV(RAND(),$B$6,$C$6)</f>
        <v>0.0382140804994003</v>
      </c>
      <c r="C502" s="19" t="n">
        <f aca="true">MAX(0.3,NORMINV(RAND(),$B$7,$C$7))</f>
        <v>0.488673847613132</v>
      </c>
      <c r="D502" s="32" t="n">
        <f aca="true">MAX(0.06,NORMINV(RAND(),$B$8,$C$8))</f>
        <v>0.084467068935985</v>
      </c>
      <c r="E502" s="50" t="n">
        <f aca="true">MAX(4,NORMINV(RAND(),$B$9,$C$9))</f>
        <v>5.57621425468162</v>
      </c>
      <c r="F502" s="24" t="n">
        <f aca="false">$B$18*(1+(B502+$B$17)/2)^9</f>
        <v>1234.14873922264</v>
      </c>
      <c r="G502" s="24" t="n">
        <f aca="false">F502*C502</f>
        <v>603.096212922826</v>
      </c>
      <c r="H502" s="24" t="n">
        <f aca="false">E502*G502/(1+D502)^9</f>
        <v>1620.98402663903</v>
      </c>
      <c r="I502" s="24" t="n">
        <f aca="false">$B$13*G502/$B$12*((1+$B$8)/(1+D502))^4.5</f>
        <v>2284.81580868535</v>
      </c>
      <c r="J502" s="24" t="n">
        <f aca="false">H502+I502-$B$14</f>
        <v>2970.00955587233</v>
      </c>
      <c r="K502" s="43" t="n">
        <f aca="false">J502/$B$15</f>
        <v>72.4392574603006</v>
      </c>
    </row>
    <row r="503" customFormat="false" ht="15" hidden="false" customHeight="false" outlineLevel="0" collapsed="false">
      <c r="A503" s="49" t="n">
        <v>463</v>
      </c>
      <c r="B503" s="19" t="n">
        <f aca="true">NORMINV(RAND(),$B$6,$C$6)</f>
        <v>0.0172290827191361</v>
      </c>
      <c r="C503" s="19" t="n">
        <f aca="true">MAX(0.3,NORMINV(RAND(),$B$7,$C$7))</f>
        <v>0.375472528101306</v>
      </c>
      <c r="D503" s="32" t="n">
        <f aca="true">MAX(0.06,NORMINV(RAND(),$B$8,$C$8))</f>
        <v>0.0882615342036828</v>
      </c>
      <c r="E503" s="50" t="n">
        <f aca="true">MAX(4,NORMINV(RAND(),$B$9,$C$9))</f>
        <v>9.40684026327305</v>
      </c>
      <c r="F503" s="24" t="n">
        <f aca="false">$B$18*(1+(B503+$B$17)/2)^9</f>
        <v>1124.90236379741</v>
      </c>
      <c r="G503" s="24" t="n">
        <f aca="false">F503*C503</f>
        <v>422.369934402149</v>
      </c>
      <c r="H503" s="24" t="n">
        <f aca="false">E503*G503/(1+D503)^9</f>
        <v>1855.82600531602</v>
      </c>
      <c r="I503" s="24" t="n">
        <f aca="false">$B$13*G503/$B$12*((1+$B$8)/(1+D503))^4.5</f>
        <v>1575.18473446441</v>
      </c>
      <c r="J503" s="24" t="n">
        <f aca="false">H503+I503-$B$14</f>
        <v>2495.22046032838</v>
      </c>
      <c r="K503" s="43" t="n">
        <f aca="false">J503/$B$15</f>
        <v>60.8590356177653</v>
      </c>
    </row>
    <row r="504" customFormat="false" ht="15" hidden="false" customHeight="false" outlineLevel="0" collapsed="false">
      <c r="A504" s="49" t="n">
        <v>464</v>
      </c>
      <c r="B504" s="19" t="n">
        <f aca="true">NORMINV(RAND(),$B$6,$C$6)</f>
        <v>0.0177367002036948</v>
      </c>
      <c r="C504" s="19" t="n">
        <f aca="true">MAX(0.3,NORMINV(RAND(),$B$7,$C$7))</f>
        <v>0.456913249068143</v>
      </c>
      <c r="D504" s="32" t="n">
        <f aca="true">MAX(0.06,NORMINV(RAND(),$B$8,$C$8))</f>
        <v>0.0722390140751412</v>
      </c>
      <c r="E504" s="50" t="n">
        <f aca="true">MAX(4,NORMINV(RAND(),$B$9,$C$9))</f>
        <v>5.41747684912877</v>
      </c>
      <c r="F504" s="24" t="n">
        <f aca="false">$B$18*(1+(B504+$B$17)/2)^9</f>
        <v>1127.43998099312</v>
      </c>
      <c r="G504" s="24" t="n">
        <f aca="false">F504*C504</f>
        <v>515.142264844889</v>
      </c>
      <c r="H504" s="24" t="n">
        <f aca="false">E504*G504/(1+D504)^9</f>
        <v>1489.70336885547</v>
      </c>
      <c r="I504" s="24" t="n">
        <f aca="false">$B$13*G504/$B$12*((1+$B$8)/(1+D504))^4.5</f>
        <v>2053.77665143838</v>
      </c>
      <c r="J504" s="24" t="n">
        <f aca="false">H504+I504-$B$14</f>
        <v>2607.6897408418</v>
      </c>
      <c r="K504" s="43" t="n">
        <f aca="false">J504/$B$15</f>
        <v>63.6021888010196</v>
      </c>
    </row>
    <row r="505" customFormat="false" ht="15" hidden="false" customHeight="false" outlineLevel="0" collapsed="false">
      <c r="A505" s="49" t="n">
        <v>465</v>
      </c>
      <c r="B505" s="19" t="n">
        <f aca="true">NORMINV(RAND(),$B$6,$C$6)</f>
        <v>0.00292039843953928</v>
      </c>
      <c r="C505" s="19" t="n">
        <f aca="true">MAX(0.3,NORMINV(RAND(),$B$7,$C$7))</f>
        <v>0.461671850802679</v>
      </c>
      <c r="D505" s="32" t="n">
        <f aca="true">MAX(0.06,NORMINV(RAND(),$B$8,$C$8))</f>
        <v>0.0783978326308125</v>
      </c>
      <c r="E505" s="50" t="n">
        <f aca="true">MAX(4,NORMINV(RAND(),$B$9,$C$9))</f>
        <v>8.5148987472258</v>
      </c>
      <c r="F505" s="24" t="n">
        <f aca="false">$B$18*(1+(B505+$B$17)/2)^9</f>
        <v>1055.42842308847</v>
      </c>
      <c r="G505" s="24" t="n">
        <f aca="false">F505*C505</f>
        <v>487.261593477007</v>
      </c>
      <c r="H505" s="24" t="n">
        <f aca="false">E505*G505/(1+D505)^9</f>
        <v>2103.44234248092</v>
      </c>
      <c r="I505" s="24" t="n">
        <f aca="false">$B$13*G505/$B$12*((1+$B$8)/(1+D505))^4.5</f>
        <v>1893.19306707292</v>
      </c>
      <c r="J505" s="24" t="n">
        <f aca="false">H505+I505-$B$14</f>
        <v>3060.84513010179</v>
      </c>
      <c r="K505" s="43" t="n">
        <f aca="false">J505/$B$15</f>
        <v>74.6547592707753</v>
      </c>
    </row>
    <row r="506" customFormat="false" ht="15" hidden="false" customHeight="false" outlineLevel="0" collapsed="false">
      <c r="A506" s="49" t="n">
        <v>466</v>
      </c>
      <c r="B506" s="19" t="n">
        <f aca="true">NORMINV(RAND(),$B$6,$C$6)</f>
        <v>0.0383903619045446</v>
      </c>
      <c r="C506" s="19" t="n">
        <f aca="true">MAX(0.3,NORMINV(RAND(),$B$7,$C$7))</f>
        <v>0.419989778522793</v>
      </c>
      <c r="D506" s="32" t="n">
        <f aca="true">MAX(0.06,NORMINV(RAND(),$B$8,$C$8))</f>
        <v>0.085352421247527</v>
      </c>
      <c r="E506" s="50" t="n">
        <f aca="true">MAX(4,NORMINV(RAND(),$B$9,$C$9))</f>
        <v>8.36504435122505</v>
      </c>
      <c r="F506" s="24" t="n">
        <f aca="false">$B$18*(1+(B506+$B$17)/2)^9</f>
        <v>1235.1050315816</v>
      </c>
      <c r="G506" s="24" t="n">
        <f aca="false">F506*C506</f>
        <v>518.731488666344</v>
      </c>
      <c r="H506" s="24" t="n">
        <f aca="false">E506*G506/(1+D506)^9</f>
        <v>2076.22226926632</v>
      </c>
      <c r="I506" s="24" t="n">
        <f aca="false">$B$13*G506/$B$12*((1+$B$8)/(1+D506))^4.5</f>
        <v>1957.99851119841</v>
      </c>
      <c r="J506" s="24" t="n">
        <f aca="false">H506+I506-$B$14</f>
        <v>3098.43050101268</v>
      </c>
      <c r="K506" s="43" t="n">
        <f aca="false">J506/$B$15</f>
        <v>75.5714756344555</v>
      </c>
    </row>
    <row r="507" customFormat="false" ht="15" hidden="false" customHeight="false" outlineLevel="0" collapsed="false">
      <c r="A507" s="49" t="n">
        <v>467</v>
      </c>
      <c r="B507" s="19" t="n">
        <f aca="true">NORMINV(RAND(),$B$6,$C$6)</f>
        <v>0.012295568982588</v>
      </c>
      <c r="C507" s="19" t="n">
        <f aca="true">MAX(0.3,NORMINV(RAND(),$B$7,$C$7))</f>
        <v>0.441865174900745</v>
      </c>
      <c r="D507" s="32" t="n">
        <f aca="true">MAX(0.06,NORMINV(RAND(),$B$8,$C$8))</f>
        <v>0.0729354408808492</v>
      </c>
      <c r="E507" s="50" t="n">
        <f aca="true">MAX(4,NORMINV(RAND(),$B$9,$C$9))</f>
        <v>9.99891253208335</v>
      </c>
      <c r="F507" s="24" t="n">
        <f aca="false">$B$18*(1+(B507+$B$17)/2)^9</f>
        <v>1100.50254189558</v>
      </c>
      <c r="G507" s="24" t="n">
        <f aca="false">F507*C507</f>
        <v>486.273748153405</v>
      </c>
      <c r="H507" s="24" t="n">
        <f aca="false">E507*G507/(1+D507)^9</f>
        <v>2580.30637088412</v>
      </c>
      <c r="I507" s="24" t="n">
        <f aca="false">$B$13*G507/$B$12*((1+$B$8)/(1+D507))^4.5</f>
        <v>1933.02698919578</v>
      </c>
      <c r="J507" s="24" t="n">
        <f aca="false">H507+I507-$B$14</f>
        <v>3577.54308062785</v>
      </c>
      <c r="K507" s="43" t="n">
        <f aca="false">J507/$B$15</f>
        <v>87.2571483079964</v>
      </c>
    </row>
    <row r="508" customFormat="false" ht="15" hidden="false" customHeight="false" outlineLevel="0" collapsed="false">
      <c r="A508" s="49" t="n">
        <v>468</v>
      </c>
      <c r="B508" s="19" t="n">
        <f aca="true">NORMINV(RAND(),$B$6,$C$6)</f>
        <v>0.0417360944228982</v>
      </c>
      <c r="C508" s="19" t="n">
        <f aca="true">MAX(0.3,NORMINV(RAND(),$B$7,$C$7))</f>
        <v>0.435697055566143</v>
      </c>
      <c r="D508" s="32" t="n">
        <f aca="true">MAX(0.06,NORMINV(RAND(),$B$8,$C$8))</f>
        <v>0.0730290910198402</v>
      </c>
      <c r="E508" s="50" t="n">
        <f aca="true">MAX(4,NORMINV(RAND(),$B$9,$C$9))</f>
        <v>5.79651718521461</v>
      </c>
      <c r="F508" s="24" t="n">
        <f aca="false">$B$18*(1+(B508+$B$17)/2)^9</f>
        <v>1253.38030359085</v>
      </c>
      <c r="G508" s="24" t="n">
        <f aca="false">F508*C508</f>
        <v>546.094107779132</v>
      </c>
      <c r="H508" s="24" t="n">
        <f aca="false">E508*G508/(1+D508)^9</f>
        <v>1678.53789878269</v>
      </c>
      <c r="I508" s="24" t="n">
        <f aca="false">$B$13*G508/$B$12*((1+$B$8)/(1+D508))^4.5</f>
        <v>2169.97140004361</v>
      </c>
      <c r="J508" s="24" t="n">
        <f aca="false">H508+I508-$B$14</f>
        <v>2912.71901937425</v>
      </c>
      <c r="K508" s="43" t="n">
        <f aca="false">J508/$B$15</f>
        <v>71.041927301811</v>
      </c>
    </row>
    <row r="509" customFormat="false" ht="15" hidden="false" customHeight="false" outlineLevel="0" collapsed="false">
      <c r="A509" s="49" t="n">
        <v>469</v>
      </c>
      <c r="B509" s="19" t="n">
        <f aca="true">NORMINV(RAND(),$B$6,$C$6)</f>
        <v>0.0726593855938998</v>
      </c>
      <c r="C509" s="19" t="n">
        <f aca="true">MAX(0.3,NORMINV(RAND(),$B$7,$C$7))</f>
        <v>0.481759086747571</v>
      </c>
      <c r="D509" s="32" t="n">
        <f aca="true">MAX(0.06,NORMINV(RAND(),$B$8,$C$8))</f>
        <v>0.0769558017095556</v>
      </c>
      <c r="E509" s="50" t="n">
        <f aca="true">MAX(4,NORMINV(RAND(),$B$9,$C$9))</f>
        <v>6.12942225147455</v>
      </c>
      <c r="F509" s="24" t="n">
        <f aca="false">$B$18*(1+(B509+$B$17)/2)^9</f>
        <v>1434.01471556994</v>
      </c>
      <c r="G509" s="24" t="n">
        <f aca="false">F509*C509</f>
        <v>690.849619755553</v>
      </c>
      <c r="H509" s="24" t="n">
        <f aca="false">E509*G509/(1+D509)^9</f>
        <v>2172.81195249293</v>
      </c>
      <c r="I509" s="24" t="n">
        <f aca="false">$B$13*G509/$B$12*((1+$B$8)/(1+D509))^4.5</f>
        <v>2700.41999343944</v>
      </c>
      <c r="J509" s="24" t="n">
        <f aca="false">H509+I509-$B$14</f>
        <v>3937.44166648032</v>
      </c>
      <c r="K509" s="43" t="n">
        <f aca="false">J509/$B$15</f>
        <v>96.0351625970808</v>
      </c>
    </row>
    <row r="510" customFormat="false" ht="15" hidden="false" customHeight="false" outlineLevel="0" collapsed="false">
      <c r="A510" s="49" t="n">
        <v>470</v>
      </c>
      <c r="B510" s="19" t="n">
        <f aca="true">NORMINV(RAND(),$B$6,$C$6)</f>
        <v>0.0224002433787633</v>
      </c>
      <c r="C510" s="19" t="n">
        <f aca="true">MAX(0.3,NORMINV(RAND(),$B$7,$C$7))</f>
        <v>0.493506408270449</v>
      </c>
      <c r="D510" s="32" t="n">
        <f aca="true">MAX(0.06,NORMINV(RAND(),$B$8,$C$8))</f>
        <v>0.0743351340667576</v>
      </c>
      <c r="E510" s="50" t="n">
        <f aca="true">MAX(4,NORMINV(RAND(),$B$9,$C$9))</f>
        <v>9.55512604303635</v>
      </c>
      <c r="F510" s="24" t="n">
        <f aca="false">$B$18*(1+(B510+$B$17)/2)^9</f>
        <v>1150.99257400799</v>
      </c>
      <c r="G510" s="24" t="n">
        <f aca="false">F510*C510</f>
        <v>568.022211144642</v>
      </c>
      <c r="H510" s="24" t="n">
        <f aca="false">E510*G510/(1+D510)^9</f>
        <v>2846.7132958911</v>
      </c>
      <c r="I510" s="24" t="n">
        <f aca="false">$B$13*G510/$B$12*((1+$B$8)/(1+D510))^4.5</f>
        <v>2244.78404347754</v>
      </c>
      <c r="J510" s="24" t="n">
        <f aca="false">H510+I510-$B$14</f>
        <v>4155.70705991659</v>
      </c>
      <c r="K510" s="43" t="n">
        <f aca="false">J510/$B$15</f>
        <v>101.358708778453</v>
      </c>
    </row>
    <row r="511" customFormat="false" ht="15" hidden="false" customHeight="false" outlineLevel="0" collapsed="false">
      <c r="A511" s="49" t="n">
        <v>471</v>
      </c>
      <c r="B511" s="19" t="n">
        <f aca="true">NORMINV(RAND(),$B$6,$C$6)</f>
        <v>0.0382537679014837</v>
      </c>
      <c r="C511" s="19" t="n">
        <f aca="true">MAX(0.3,NORMINV(RAND(),$B$7,$C$7))</f>
        <v>0.428052485629478</v>
      </c>
      <c r="D511" s="32" t="n">
        <f aca="true">MAX(0.06,NORMINV(RAND(),$B$8,$C$8))</f>
        <v>0.0619932266777652</v>
      </c>
      <c r="E511" s="50" t="n">
        <f aca="true">MAX(4,NORMINV(RAND(),$B$9,$C$9))</f>
        <v>6.01741554505463</v>
      </c>
      <c r="F511" s="24" t="n">
        <f aca="false">$B$18*(1+(B511+$B$17)/2)^9</f>
        <v>1234.36397823863</v>
      </c>
      <c r="G511" s="24" t="n">
        <f aca="false">F511*C511</f>
        <v>528.372569056535</v>
      </c>
      <c r="H511" s="24" t="n">
        <f aca="false">E511*G511/(1+D511)^9</f>
        <v>1850.35281298844</v>
      </c>
      <c r="I511" s="24" t="n">
        <f aca="false">$B$13*G511/$B$12*((1+$B$8)/(1+D511))^4.5</f>
        <v>2199.5338738971</v>
      </c>
      <c r="J511" s="24" t="n">
        <f aca="false">H511+I511-$B$14</f>
        <v>3114.09640743349</v>
      </c>
      <c r="K511" s="43" t="n">
        <f aca="false">J511/$B$15</f>
        <v>75.9535709130118</v>
      </c>
    </row>
    <row r="512" customFormat="false" ht="15" hidden="false" customHeight="false" outlineLevel="0" collapsed="false">
      <c r="A512" s="49" t="n">
        <v>472</v>
      </c>
      <c r="B512" s="19" t="n">
        <f aca="true">NORMINV(RAND(),$B$6,$C$6)</f>
        <v>0.00746309012367654</v>
      </c>
      <c r="C512" s="19" t="n">
        <f aca="true">MAX(0.3,NORMINV(RAND(),$B$7,$C$7))</f>
        <v>0.400718182648954</v>
      </c>
      <c r="D512" s="32" t="n">
        <f aca="true">MAX(0.06,NORMINV(RAND(),$B$8,$C$8))</f>
        <v>0.0692701328572631</v>
      </c>
      <c r="E512" s="50" t="n">
        <f aca="true">MAX(4,NORMINV(RAND(),$B$9,$C$9))</f>
        <v>7.02275241853965</v>
      </c>
      <c r="F512" s="24" t="n">
        <f aca="false">$B$18*(1+(B512+$B$17)/2)^9</f>
        <v>1077.05965734656</v>
      </c>
      <c r="G512" s="24" t="n">
        <f aca="false">F512*C512</f>
        <v>431.597388496419</v>
      </c>
      <c r="H512" s="24" t="n">
        <f aca="false">E512*G512/(1+D512)^9</f>
        <v>1658.81991525909</v>
      </c>
      <c r="I512" s="24" t="n">
        <f aca="false">$B$13*G512/$B$12*((1+$B$8)/(1+D512))^4.5</f>
        <v>1742.30265444608</v>
      </c>
      <c r="J512" s="24" t="n">
        <f aca="false">H512+I512-$B$14</f>
        <v>2465.33229025312</v>
      </c>
      <c r="K512" s="43" t="n">
        <f aca="false">J512/$B$15</f>
        <v>60.1300558598321</v>
      </c>
    </row>
    <row r="513" customFormat="false" ht="15" hidden="false" customHeight="false" outlineLevel="0" collapsed="false">
      <c r="A513" s="49" t="n">
        <v>473</v>
      </c>
      <c r="B513" s="19" t="n">
        <f aca="true">NORMINV(RAND(),$B$6,$C$6)</f>
        <v>0.0687679962637973</v>
      </c>
      <c r="C513" s="19" t="n">
        <f aca="true">MAX(0.3,NORMINV(RAND(),$B$7,$C$7))</f>
        <v>0.446190189927029</v>
      </c>
      <c r="D513" s="32" t="n">
        <f aca="true">MAX(0.06,NORMINV(RAND(),$B$8,$C$8))</f>
        <v>0.0850189646324299</v>
      </c>
      <c r="E513" s="50" t="n">
        <f aca="true">MAX(4,NORMINV(RAND(),$B$9,$C$9))</f>
        <v>6.94180391845524</v>
      </c>
      <c r="F513" s="24" t="n">
        <f aca="false">$B$18*(1+(B513+$B$17)/2)^9</f>
        <v>1410.07942448257</v>
      </c>
      <c r="G513" s="24" t="n">
        <f aca="false">F513*C513</f>
        <v>629.163606222075</v>
      </c>
      <c r="H513" s="24" t="n">
        <f aca="false">E513*G513/(1+D513)^9</f>
        <v>2095.55938789611</v>
      </c>
      <c r="I513" s="24" t="n">
        <f aca="false">$B$13*G513/$B$12*((1+$B$8)/(1+D513))^4.5</f>
        <v>2378.12054474312</v>
      </c>
      <c r="J513" s="24" t="n">
        <f aca="false">H513+I513-$B$14</f>
        <v>3537.88965318717</v>
      </c>
      <c r="K513" s="43" t="n">
        <f aca="false">J513/$B$15</f>
        <v>86.2899915411505</v>
      </c>
    </row>
    <row r="514" customFormat="false" ht="15" hidden="false" customHeight="false" outlineLevel="0" collapsed="false">
      <c r="A514" s="49" t="n">
        <v>474</v>
      </c>
      <c r="B514" s="19" t="n">
        <f aca="true">NORMINV(RAND(),$B$6,$C$6)</f>
        <v>0.0412636534575727</v>
      </c>
      <c r="C514" s="19" t="n">
        <f aca="true">MAX(0.3,NORMINV(RAND(),$B$7,$C$7))</f>
        <v>0.437103410145491</v>
      </c>
      <c r="D514" s="32" t="n">
        <f aca="true">MAX(0.06,NORMINV(RAND(),$B$8,$C$8))</f>
        <v>0.0813817646874032</v>
      </c>
      <c r="E514" s="50" t="n">
        <f aca="true">MAX(4,NORMINV(RAND(),$B$9,$C$9))</f>
        <v>8.38091449363349</v>
      </c>
      <c r="F514" s="24" t="n">
        <f aca="false">$B$18*(1+(B514+$B$17)/2)^9</f>
        <v>1250.78521943705</v>
      </c>
      <c r="G514" s="24" t="n">
        <f aca="false">F514*C514</f>
        <v>546.722484775512</v>
      </c>
      <c r="H514" s="24" t="n">
        <f aca="false">E514*G514/(1+D514)^9</f>
        <v>2265.93250162274</v>
      </c>
      <c r="I514" s="24" t="n">
        <f aca="false">$B$13*G514/$B$12*((1+$B$8)/(1+D514))^4.5</f>
        <v>2097.97109304605</v>
      </c>
      <c r="J514" s="24" t="n">
        <f aca="false">H514+I514-$B$14</f>
        <v>3428.11331521673</v>
      </c>
      <c r="K514" s="43" t="n">
        <f aca="false">J514/$B$15</f>
        <v>83.612519883335</v>
      </c>
    </row>
    <row r="515" customFormat="false" ht="15" hidden="false" customHeight="false" outlineLevel="0" collapsed="false">
      <c r="A515" s="49" t="n">
        <v>475</v>
      </c>
      <c r="B515" s="19" t="n">
        <f aca="true">NORMINV(RAND(),$B$6,$C$6)</f>
        <v>0.0699144371555991</v>
      </c>
      <c r="C515" s="19" t="n">
        <f aca="true">MAX(0.3,NORMINV(RAND(),$B$7,$C$7))</f>
        <v>0.451570484196805</v>
      </c>
      <c r="D515" s="32" t="n">
        <f aca="true">MAX(0.06,NORMINV(RAND(),$B$8,$C$8))</f>
        <v>0.0754398324136724</v>
      </c>
      <c r="E515" s="50" t="n">
        <f aca="true">MAX(4,NORMINV(RAND(),$B$9,$C$9))</f>
        <v>7.95831040915674</v>
      </c>
      <c r="F515" s="24" t="n">
        <f aca="false">$B$18*(1+(B515+$B$17)/2)^9</f>
        <v>1417.09381532481</v>
      </c>
      <c r="G515" s="24" t="n">
        <f aca="false">F515*C515</f>
        <v>639.917740338522</v>
      </c>
      <c r="H515" s="24" t="n">
        <f aca="false">E515*G515/(1+D515)^9</f>
        <v>2646.48820786595</v>
      </c>
      <c r="I515" s="24" t="n">
        <f aca="false">$B$13*G515/$B$12*((1+$B$8)/(1+D515))^4.5</f>
        <v>2517.24143750636</v>
      </c>
      <c r="J515" s="24" t="n">
        <f aca="false">H515+I515-$B$14</f>
        <v>4227.93936592025</v>
      </c>
      <c r="K515" s="43" t="n">
        <f aca="false">J515/$B$15</f>
        <v>103.120472339518</v>
      </c>
    </row>
    <row r="516" customFormat="false" ht="15" hidden="false" customHeight="false" outlineLevel="0" collapsed="false">
      <c r="A516" s="49" t="n">
        <v>476</v>
      </c>
      <c r="B516" s="19" t="n">
        <f aca="true">NORMINV(RAND(),$B$6,$C$6)</f>
        <v>0.0442433451138227</v>
      </c>
      <c r="C516" s="19" t="n">
        <f aca="true">MAX(0.3,NORMINV(RAND(),$B$7,$C$7))</f>
        <v>0.455190818411336</v>
      </c>
      <c r="D516" s="32" t="n">
        <f aca="true">MAX(0.06,NORMINV(RAND(),$B$8,$C$8))</f>
        <v>0.0768834462968919</v>
      </c>
      <c r="E516" s="50" t="n">
        <f aca="true">MAX(4,NORMINV(RAND(),$B$9,$C$9))</f>
        <v>7.73383453067069</v>
      </c>
      <c r="F516" s="24" t="n">
        <f aca="false">$B$18*(1+(B516+$B$17)/2)^9</f>
        <v>1267.23271416895</v>
      </c>
      <c r="G516" s="24" t="n">
        <f aca="false">F516*C516</f>
        <v>576.83269628018</v>
      </c>
      <c r="H516" s="24" t="n">
        <f aca="false">E516*G516/(1+D516)^9</f>
        <v>2290.47963778018</v>
      </c>
      <c r="I516" s="24" t="n">
        <f aca="false">$B$13*G516/$B$12*((1+$B$8)/(1+D516))^4.5</f>
        <v>2255.42799726628</v>
      </c>
      <c r="J516" s="24" t="n">
        <f aca="false">H516+I516-$B$14</f>
        <v>3610.1173555944</v>
      </c>
      <c r="K516" s="43" t="n">
        <f aca="false">J516/$B$15</f>
        <v>88.0516428193757</v>
      </c>
    </row>
    <row r="517" customFormat="false" ht="15" hidden="false" customHeight="false" outlineLevel="0" collapsed="false">
      <c r="A517" s="49" t="n">
        <v>477</v>
      </c>
      <c r="B517" s="19" t="n">
        <f aca="true">NORMINV(RAND(),$B$6,$C$6)</f>
        <v>0.051104369432674</v>
      </c>
      <c r="C517" s="19" t="n">
        <f aca="true">MAX(0.3,NORMINV(RAND(),$B$7,$C$7))</f>
        <v>0.447246249006951</v>
      </c>
      <c r="D517" s="32" t="n">
        <f aca="true">MAX(0.06,NORMINV(RAND(),$B$8,$C$8))</f>
        <v>0.0704680995462893</v>
      </c>
      <c r="E517" s="50" t="n">
        <f aca="true">MAX(4,NORMINV(RAND(),$B$9,$C$9))</f>
        <v>8.85464221279573</v>
      </c>
      <c r="F517" s="24" t="n">
        <f aca="false">$B$18*(1+(B517+$B$17)/2)^9</f>
        <v>1305.83779189094</v>
      </c>
      <c r="G517" s="24" t="n">
        <f aca="false">F517*C517</f>
        <v>584.031054234741</v>
      </c>
      <c r="H517" s="24" t="n">
        <f aca="false">E517*G517/(1+D517)^9</f>
        <v>2801.84038499123</v>
      </c>
      <c r="I517" s="24" t="n">
        <f aca="false">$B$13*G517/$B$12*((1+$B$8)/(1+D517))^4.5</f>
        <v>2345.80771109291</v>
      </c>
      <c r="J517" s="24" t="n">
        <f aca="false">H517+I517-$B$14</f>
        <v>4211.85781663209</v>
      </c>
      <c r="K517" s="43" t="n">
        <f aca="false">J517/$B$15</f>
        <v>102.728239430051</v>
      </c>
    </row>
    <row r="518" customFormat="false" ht="15" hidden="false" customHeight="false" outlineLevel="0" collapsed="false">
      <c r="A518" s="49" t="n">
        <v>478</v>
      </c>
      <c r="B518" s="19" t="n">
        <f aca="true">NORMINV(RAND(),$B$6,$C$6)</f>
        <v>-0.023608501494523</v>
      </c>
      <c r="C518" s="19" t="n">
        <f aca="true">MAX(0.3,NORMINV(RAND(),$B$7,$C$7))</f>
        <v>0.452138748527695</v>
      </c>
      <c r="D518" s="32" t="n">
        <f aca="true">MAX(0.06,NORMINV(RAND(),$B$8,$C$8))</f>
        <v>0.079638954237279</v>
      </c>
      <c r="E518" s="50" t="n">
        <f aca="true">MAX(4,NORMINV(RAND(),$B$9,$C$9))</f>
        <v>10.3531707207394</v>
      </c>
      <c r="F518" s="24" t="n">
        <f aca="false">$B$18*(1+(B518+$B$17)/2)^9</f>
        <v>936.64066240453</v>
      </c>
      <c r="G518" s="24" t="n">
        <f aca="false">F518*C518</f>
        <v>423.491536919736</v>
      </c>
      <c r="H518" s="24" t="n">
        <f aca="false">E518*G518/(1+D518)^9</f>
        <v>2199.94183496139</v>
      </c>
      <c r="I518" s="24" t="n">
        <f aca="false">$B$13*G518/$B$12*((1+$B$8)/(1+D518))^4.5</f>
        <v>1636.92782952629</v>
      </c>
      <c r="J518" s="24" t="n">
        <f aca="false">H518+I518-$B$14</f>
        <v>2901.07938503563</v>
      </c>
      <c r="K518" s="43" t="n">
        <f aca="false">J518/$B$15</f>
        <v>70.7580337813567</v>
      </c>
    </row>
    <row r="519" customFormat="false" ht="15" hidden="false" customHeight="false" outlineLevel="0" collapsed="false">
      <c r="A519" s="49" t="n">
        <v>479</v>
      </c>
      <c r="B519" s="19" t="n">
        <f aca="true">NORMINV(RAND(),$B$6,$C$6)</f>
        <v>0.00709969532813764</v>
      </c>
      <c r="C519" s="19" t="n">
        <f aca="true">MAX(0.3,NORMINV(RAND(),$B$7,$C$7))</f>
        <v>0.41161735092514</v>
      </c>
      <c r="D519" s="32" t="n">
        <f aca="true">MAX(0.06,NORMINV(RAND(),$B$8,$C$8))</f>
        <v>0.0865601386515991</v>
      </c>
      <c r="E519" s="50" t="n">
        <f aca="true">MAX(4,NORMINV(RAND(),$B$9,$C$9))</f>
        <v>7.80747825746876</v>
      </c>
      <c r="F519" s="24" t="n">
        <f aca="false">$B$18*(1+(B519+$B$17)/2)^9</f>
        <v>1075.31487007635</v>
      </c>
      <c r="G519" s="24" t="n">
        <f aca="false">F519*C519</f>
        <v>442.618258231237</v>
      </c>
      <c r="H519" s="24" t="n">
        <f aca="false">E519*G519/(1+D519)^9</f>
        <v>1637.02831552009</v>
      </c>
      <c r="I519" s="24" t="n">
        <f aca="false">$B$13*G519/$B$12*((1+$B$8)/(1+D519))^4.5</f>
        <v>1662.36206293102</v>
      </c>
      <c r="J519" s="24" t="n">
        <f aca="false">H519+I519-$B$14</f>
        <v>2363.60009899906</v>
      </c>
      <c r="K519" s="43" t="n">
        <f aca="false">J519/$B$15</f>
        <v>57.648782902416</v>
      </c>
    </row>
    <row r="520" customFormat="false" ht="15" hidden="false" customHeight="false" outlineLevel="0" collapsed="false">
      <c r="A520" s="49" t="n">
        <v>480</v>
      </c>
      <c r="B520" s="19" t="n">
        <f aca="true">NORMINV(RAND(),$B$6,$C$6)</f>
        <v>0.0832201234944431</v>
      </c>
      <c r="C520" s="19" t="n">
        <f aca="true">MAX(0.3,NORMINV(RAND(),$B$7,$C$7))</f>
        <v>0.41757742215571</v>
      </c>
      <c r="D520" s="32" t="n">
        <f aca="true">MAX(0.06,NORMINV(RAND(),$B$8,$C$8))</f>
        <v>0.0880788080287553</v>
      </c>
      <c r="E520" s="50" t="n">
        <f aca="true">MAX(4,NORMINV(RAND(),$B$9,$C$9))</f>
        <v>7.85765457833935</v>
      </c>
      <c r="F520" s="24" t="n">
        <f aca="false">$B$18*(1+(B520+$B$17)/2)^9</f>
        <v>1500.80230709175</v>
      </c>
      <c r="G520" s="24" t="n">
        <f aca="false">F520*C520</f>
        <v>626.701158560715</v>
      </c>
      <c r="H520" s="24" t="n">
        <f aca="false">E520*G520/(1+D520)^9</f>
        <v>2303.61694425965</v>
      </c>
      <c r="I520" s="24" t="n">
        <f aca="false">$B$13*G520/$B$12*((1+$B$8)/(1+D520))^4.5</f>
        <v>2338.98354807578</v>
      </c>
      <c r="J520" s="24" t="n">
        <f aca="false">H520+I520-$B$14</f>
        <v>3706.81021288338</v>
      </c>
      <c r="K520" s="43" t="n">
        <f aca="false">J520/$B$15</f>
        <v>90.4100051922775</v>
      </c>
    </row>
    <row r="521" customFormat="false" ht="15" hidden="false" customHeight="false" outlineLevel="0" collapsed="false">
      <c r="A521" s="49" t="n">
        <v>481</v>
      </c>
      <c r="B521" s="19" t="n">
        <f aca="true">NORMINV(RAND(),$B$6,$C$6)</f>
        <v>0.0434395815505037</v>
      </c>
      <c r="C521" s="19" t="n">
        <f aca="true">MAX(0.3,NORMINV(RAND(),$B$7,$C$7))</f>
        <v>0.423761231511527</v>
      </c>
      <c r="D521" s="32" t="n">
        <f aca="true">MAX(0.06,NORMINV(RAND(),$B$8,$C$8))</f>
        <v>0.080690465704465</v>
      </c>
      <c r="E521" s="50" t="n">
        <f aca="true">MAX(4,NORMINV(RAND(),$B$9,$C$9))</f>
        <v>7.96958281563943</v>
      </c>
      <c r="F521" s="24" t="n">
        <f aca="false">$B$18*(1+(B521+$B$17)/2)^9</f>
        <v>1262.77722189911</v>
      </c>
      <c r="G521" s="24" t="n">
        <f aca="false">F521*C521</f>
        <v>535.116030676671</v>
      </c>
      <c r="H521" s="24" t="n">
        <f aca="false">E521*G521/(1+D521)^9</f>
        <v>2121.15140893393</v>
      </c>
      <c r="I521" s="24" t="n">
        <f aca="false">$B$13*G521/$B$12*((1+$B$8)/(1+D521))^4.5</f>
        <v>2059.35052355552</v>
      </c>
      <c r="J521" s="24" t="n">
        <f aca="false">H521+I521-$B$14</f>
        <v>3244.71165303739</v>
      </c>
      <c r="K521" s="43" t="n">
        <f aca="false">J521/$B$15</f>
        <v>79.1393086106681</v>
      </c>
    </row>
    <row r="522" customFormat="false" ht="15" hidden="false" customHeight="false" outlineLevel="0" collapsed="false">
      <c r="A522" s="49" t="n">
        <v>482</v>
      </c>
      <c r="B522" s="19" t="n">
        <f aca="true">NORMINV(RAND(),$B$6,$C$6)</f>
        <v>0.0368279111866637</v>
      </c>
      <c r="C522" s="19" t="n">
        <f aca="true">MAX(0.3,NORMINV(RAND(),$B$7,$C$7))</f>
        <v>0.469368310240368</v>
      </c>
      <c r="D522" s="32" t="n">
        <f aca="true">MAX(0.06,NORMINV(RAND(),$B$8,$C$8))</f>
        <v>0.0900083607518651</v>
      </c>
      <c r="E522" s="50" t="n">
        <f aca="true">MAX(4,NORMINV(RAND(),$B$9,$C$9))</f>
        <v>7.2125602845425</v>
      </c>
      <c r="F522" s="24" t="n">
        <f aca="false">$B$18*(1+(B522+$B$17)/2)^9</f>
        <v>1226.65194582994</v>
      </c>
      <c r="G522" s="24" t="n">
        <f aca="false">F522*C522</f>
        <v>575.75155106726</v>
      </c>
      <c r="H522" s="24" t="n">
        <f aca="false">E522*G522/(1+D522)^9</f>
        <v>1911.86010328642</v>
      </c>
      <c r="I522" s="24" t="n">
        <f aca="false">$B$13*G522/$B$12*((1+$B$8)/(1+D522))^4.5</f>
        <v>2131.7640709668</v>
      </c>
      <c r="J522" s="24" t="n">
        <f aca="false">H522+I522-$B$14</f>
        <v>3107.83389480117</v>
      </c>
      <c r="K522" s="43" t="n">
        <f aca="false">J522/$B$15</f>
        <v>75.8008267024676</v>
      </c>
    </row>
    <row r="523" customFormat="false" ht="15" hidden="false" customHeight="false" outlineLevel="0" collapsed="false">
      <c r="A523" s="49" t="n">
        <v>483</v>
      </c>
      <c r="B523" s="19" t="n">
        <f aca="true">NORMINV(RAND(),$B$6,$C$6)</f>
        <v>0.0144412349123988</v>
      </c>
      <c r="C523" s="19" t="n">
        <f aca="true">MAX(0.3,NORMINV(RAND(),$B$7,$C$7))</f>
        <v>0.417745211541462</v>
      </c>
      <c r="D523" s="32" t="n">
        <f aca="true">MAX(0.06,NORMINV(RAND(),$B$8,$C$8))</f>
        <v>0.0725110549751847</v>
      </c>
      <c r="E523" s="50" t="n">
        <f aca="true">MAX(4,NORMINV(RAND(),$B$9,$C$9))</f>
        <v>7.96143573070925</v>
      </c>
      <c r="F523" s="24" t="n">
        <f aca="false">$B$18*(1+(B523+$B$17)/2)^9</f>
        <v>1111.05600120312</v>
      </c>
      <c r="G523" s="24" t="n">
        <f aca="false">F523*C523</f>
        <v>464.138324257009</v>
      </c>
      <c r="H523" s="24" t="n">
        <f aca="false">E523*G523/(1+D523)^9</f>
        <v>1967.98972639162</v>
      </c>
      <c r="I523" s="24" t="n">
        <f aca="false">$B$13*G523/$B$12*((1+$B$8)/(1+D523))^4.5</f>
        <v>1848.32221977271</v>
      </c>
      <c r="J523" s="24" t="n">
        <f aca="false">H523+I523-$B$14</f>
        <v>2880.52166671228</v>
      </c>
      <c r="K523" s="43" t="n">
        <f aca="false">J523/$B$15</f>
        <v>70.2566260173727</v>
      </c>
    </row>
    <row r="524" customFormat="false" ht="15" hidden="false" customHeight="false" outlineLevel="0" collapsed="false">
      <c r="A524" s="49" t="n">
        <v>484</v>
      </c>
      <c r="B524" s="19" t="n">
        <f aca="true">NORMINV(RAND(),$B$6,$C$6)</f>
        <v>0.0368006992216766</v>
      </c>
      <c r="C524" s="19" t="n">
        <f aca="true">MAX(0.3,NORMINV(RAND(),$B$7,$C$7))</f>
        <v>0.374305999797463</v>
      </c>
      <c r="D524" s="32" t="n">
        <f aca="true">MAX(0.06,NORMINV(RAND(),$B$8,$C$8))</f>
        <v>0.0796782235005098</v>
      </c>
      <c r="E524" s="50" t="n">
        <f aca="true">MAX(4,NORMINV(RAND(),$B$9,$C$9))</f>
        <v>7.66412240232052</v>
      </c>
      <c r="F524" s="24" t="n">
        <f aca="false">$B$18*(1+(B524+$B$17)/2)^9</f>
        <v>1226.50518189768</v>
      </c>
      <c r="G524" s="24" t="n">
        <f aca="false">F524*C524</f>
        <v>459.088248366979</v>
      </c>
      <c r="H524" s="24" t="n">
        <f aca="false">E524*G524/(1+D524)^9</f>
        <v>1764.85703410186</v>
      </c>
      <c r="I524" s="24" t="n">
        <f aca="false">$B$13*G524/$B$12*((1+$B$8)/(1+D524))^4.5</f>
        <v>1774.22988344751</v>
      </c>
      <c r="J524" s="24" t="n">
        <f aca="false">H524+I524-$B$14</f>
        <v>2603.29663809732</v>
      </c>
      <c r="K524" s="43" t="n">
        <f aca="false">J524/$B$15</f>
        <v>63.4950399535931</v>
      </c>
    </row>
    <row r="525" customFormat="false" ht="15" hidden="false" customHeight="false" outlineLevel="0" collapsed="false">
      <c r="A525" s="49" t="n">
        <v>485</v>
      </c>
      <c r="B525" s="19" t="n">
        <f aca="true">NORMINV(RAND(),$B$6,$C$6)</f>
        <v>0.0262951112097148</v>
      </c>
      <c r="C525" s="19" t="n">
        <f aca="true">MAX(0.3,NORMINV(RAND(),$B$7,$C$7))</f>
        <v>0.448046081772821</v>
      </c>
      <c r="D525" s="32" t="n">
        <f aca="true">MAX(0.06,NORMINV(RAND(),$B$8,$C$8))</f>
        <v>0.0760446424915876</v>
      </c>
      <c r="E525" s="50" t="n">
        <f aca="true">MAX(4,NORMINV(RAND(),$B$9,$C$9))</f>
        <v>5.64528315802421</v>
      </c>
      <c r="F525" s="24" t="n">
        <f aca="false">$B$18*(1+(B525+$B$17)/2)^9</f>
        <v>1170.99716818364</v>
      </c>
      <c r="G525" s="24" t="n">
        <f aca="false">F525*C525</f>
        <v>524.660692971751</v>
      </c>
      <c r="H525" s="24" t="n">
        <f aca="false">E525*G525/(1+D525)^9</f>
        <v>1531.41061480974</v>
      </c>
      <c r="I525" s="24" t="n">
        <f aca="false">$B$13*G525/$B$12*((1+$B$8)/(1+D525))^4.5</f>
        <v>2058.64033870859</v>
      </c>
      <c r="J525" s="24" t="n">
        <f aca="false">H525+I525-$B$14</f>
        <v>2654.26067406627</v>
      </c>
      <c r="K525" s="43" t="n">
        <f aca="false">J525/$B$15</f>
        <v>64.7380652211286</v>
      </c>
    </row>
    <row r="526" customFormat="false" ht="15" hidden="false" customHeight="false" outlineLevel="0" collapsed="false">
      <c r="A526" s="49" t="n">
        <v>486</v>
      </c>
      <c r="B526" s="19" t="n">
        <f aca="true">NORMINV(RAND(),$B$6,$C$6)</f>
        <v>0.0521547757413464</v>
      </c>
      <c r="C526" s="19" t="n">
        <f aca="true">MAX(0.3,NORMINV(RAND(),$B$7,$C$7))</f>
        <v>0.430563904776415</v>
      </c>
      <c r="D526" s="32" t="n">
        <f aca="true">MAX(0.06,NORMINV(RAND(),$B$8,$C$8))</f>
        <v>0.0841840001380828</v>
      </c>
      <c r="E526" s="50" t="n">
        <f aca="true">MAX(4,NORMINV(RAND(),$B$9,$C$9))</f>
        <v>9.67000597351385</v>
      </c>
      <c r="F526" s="24" t="n">
        <f aca="false">$B$18*(1+(B526+$B$17)/2)^9</f>
        <v>1311.83949562423</v>
      </c>
      <c r="G526" s="24" t="n">
        <f aca="false">F526*C526</f>
        <v>564.83073567589</v>
      </c>
      <c r="H526" s="24" t="n">
        <f aca="false">E526*G526/(1+D526)^9</f>
        <v>2638.87074533264</v>
      </c>
      <c r="I526" s="24" t="n">
        <f aca="false">$B$13*G526/$B$12*((1+$B$8)/(1+D526))^4.5</f>
        <v>2142.3632086077</v>
      </c>
      <c r="J526" s="24" t="n">
        <f aca="false">H526+I526-$B$14</f>
        <v>3845.44367448829</v>
      </c>
      <c r="K526" s="43" t="n">
        <f aca="false">J526/$B$15</f>
        <v>93.7913091338606</v>
      </c>
    </row>
    <row r="527" customFormat="false" ht="15" hidden="false" customHeight="false" outlineLevel="0" collapsed="false">
      <c r="A527" s="49" t="n">
        <v>487</v>
      </c>
      <c r="B527" s="19" t="n">
        <f aca="true">NORMINV(RAND(),$B$6,$C$6)</f>
        <v>0.0778163618573584</v>
      </c>
      <c r="C527" s="19" t="n">
        <f aca="true">MAX(0.3,NORMINV(RAND(),$B$7,$C$7))</f>
        <v>0.46419380307503</v>
      </c>
      <c r="D527" s="32" t="n">
        <f aca="true">MAX(0.06,NORMINV(RAND(),$B$8,$C$8))</f>
        <v>0.0782080918705305</v>
      </c>
      <c r="E527" s="50" t="n">
        <f aca="true">MAX(4,NORMINV(RAND(),$B$9,$C$9))</f>
        <v>7.86569319426249</v>
      </c>
      <c r="F527" s="24" t="n">
        <f aca="false">$B$18*(1+(B527+$B$17)/2)^9</f>
        <v>1466.29059256816</v>
      </c>
      <c r="G527" s="24" t="n">
        <f aca="false">F527*C527</f>
        <v>680.643006577353</v>
      </c>
      <c r="H527" s="24" t="n">
        <f aca="false">E527*G527/(1+D527)^9</f>
        <v>2718.52359944333</v>
      </c>
      <c r="I527" s="24" t="n">
        <f aca="false">$B$13*G527/$B$12*((1+$B$8)/(1+D527))^4.5</f>
        <v>2646.6468661088</v>
      </c>
      <c r="J527" s="24" t="n">
        <f aca="false">H527+I527-$B$14</f>
        <v>4429.38018610008</v>
      </c>
      <c r="K527" s="43" t="n">
        <f aca="false">J527/$B$15</f>
        <v>108.033663075612</v>
      </c>
    </row>
    <row r="528" customFormat="false" ht="15" hidden="false" customHeight="false" outlineLevel="0" collapsed="false">
      <c r="A528" s="49" t="n">
        <v>488</v>
      </c>
      <c r="B528" s="19" t="n">
        <f aca="true">NORMINV(RAND(),$B$6,$C$6)</f>
        <v>0.023958866934221</v>
      </c>
      <c r="C528" s="19" t="n">
        <f aca="true">MAX(0.3,NORMINV(RAND(),$B$7,$C$7))</f>
        <v>0.442380506532951</v>
      </c>
      <c r="D528" s="32" t="n">
        <f aca="true">MAX(0.06,NORMINV(RAND(),$B$8,$C$8))</f>
        <v>0.0678418231003412</v>
      </c>
      <c r="E528" s="50" t="n">
        <f aca="true">MAX(4,NORMINV(RAND(),$B$9,$C$9))</f>
        <v>9.3701212391572</v>
      </c>
      <c r="F528" s="24" t="n">
        <f aca="false">$B$18*(1+(B528+$B$17)/2)^9</f>
        <v>1158.96112928286</v>
      </c>
      <c r="G528" s="24" t="n">
        <f aca="false">F528*C528</f>
        <v>512.701811424154</v>
      </c>
      <c r="H528" s="24" t="n">
        <f aca="false">E528*G528/(1+D528)^9</f>
        <v>2661.01746003723</v>
      </c>
      <c r="I528" s="24" t="n">
        <f aca="false">$B$13*G528/$B$12*((1+$B$8)/(1+D528))^4.5</f>
        <v>2082.1975719075</v>
      </c>
      <c r="J528" s="24" t="n">
        <f aca="false">H528+I528-$B$14</f>
        <v>3807.42475249267</v>
      </c>
      <c r="K528" s="43" t="n">
        <f aca="false">J528/$B$15</f>
        <v>92.8640183534798</v>
      </c>
    </row>
    <row r="529" customFormat="false" ht="15" hidden="false" customHeight="false" outlineLevel="0" collapsed="false">
      <c r="A529" s="49" t="n">
        <v>489</v>
      </c>
      <c r="B529" s="19" t="n">
        <f aca="true">NORMINV(RAND(),$B$6,$C$6)</f>
        <v>0.0467245264003145</v>
      </c>
      <c r="C529" s="19" t="n">
        <f aca="true">MAX(0.3,NORMINV(RAND(),$B$7,$C$7))</f>
        <v>0.425150057963074</v>
      </c>
      <c r="D529" s="32" t="n">
        <f aca="true">MAX(0.06,NORMINV(RAND(),$B$8,$C$8))</f>
        <v>0.0885429291463977</v>
      </c>
      <c r="E529" s="50" t="n">
        <f aca="true">MAX(4,NORMINV(RAND(),$B$9,$C$9))</f>
        <v>5.96928014379152</v>
      </c>
      <c r="F529" s="24" t="n">
        <f aca="false">$B$18*(1+(B529+$B$17)/2)^9</f>
        <v>1281.07489620566</v>
      </c>
      <c r="G529" s="24" t="n">
        <f aca="false">F529*C529</f>
        <v>544.649066376876</v>
      </c>
      <c r="H529" s="24" t="n">
        <f aca="false">E529*G529/(1+D529)^9</f>
        <v>1515.05596222548</v>
      </c>
      <c r="I529" s="24" t="n">
        <f aca="false">$B$13*G529/$B$12*((1+$B$8)/(1+D529))^4.5</f>
        <v>2028.85024331857</v>
      </c>
      <c r="J529" s="24" t="n">
        <f aca="false">H529+I529-$B$14</f>
        <v>2608.115926092</v>
      </c>
      <c r="K529" s="43" t="n">
        <f aca="false">J529/$B$15</f>
        <v>63.6125835632194</v>
      </c>
    </row>
    <row r="530" customFormat="false" ht="15" hidden="false" customHeight="false" outlineLevel="0" collapsed="false">
      <c r="A530" s="49" t="n">
        <v>490</v>
      </c>
      <c r="B530" s="19" t="n">
        <f aca="true">NORMINV(RAND(),$B$6,$C$6)</f>
        <v>0.041641051283879</v>
      </c>
      <c r="C530" s="19" t="n">
        <f aca="true">MAX(0.3,NORMINV(RAND(),$B$7,$C$7))</f>
        <v>0.407474848469786</v>
      </c>
      <c r="D530" s="32" t="n">
        <f aca="true">MAX(0.06,NORMINV(RAND(),$B$8,$C$8))</f>
        <v>0.080081521026663</v>
      </c>
      <c r="E530" s="50" t="n">
        <f aca="true">MAX(4,NORMINV(RAND(),$B$9,$C$9))</f>
        <v>7.39843328307813</v>
      </c>
      <c r="F530" s="24" t="n">
        <f aca="false">$B$18*(1+(B530+$B$17)/2)^9</f>
        <v>1252.85785425995</v>
      </c>
      <c r="G530" s="24" t="n">
        <f aca="false">F530*C530</f>
        <v>510.508064318755</v>
      </c>
      <c r="H530" s="24" t="n">
        <f aca="false">E530*G530/(1+D530)^9</f>
        <v>1888.13718799402</v>
      </c>
      <c r="I530" s="24" t="n">
        <f aca="false">$B$13*G530/$B$12*((1+$B$8)/(1+D530))^4.5</f>
        <v>1969.63815369907</v>
      </c>
      <c r="J530" s="24" t="n">
        <f aca="false">H530+I530-$B$14</f>
        <v>2921.98506224104</v>
      </c>
      <c r="K530" s="43" t="n">
        <f aca="false">J530/$B$15</f>
        <v>71.2679283473424</v>
      </c>
    </row>
    <row r="531" customFormat="false" ht="15" hidden="false" customHeight="false" outlineLevel="0" collapsed="false">
      <c r="A531" s="49" t="n">
        <v>491</v>
      </c>
      <c r="B531" s="19" t="n">
        <f aca="true">NORMINV(RAND(),$B$6,$C$6)</f>
        <v>0.0564823560038205</v>
      </c>
      <c r="C531" s="19" t="n">
        <f aca="true">MAX(0.3,NORMINV(RAND(),$B$7,$C$7))</f>
        <v>0.431786626386415</v>
      </c>
      <c r="D531" s="32" t="n">
        <f aca="true">MAX(0.06,NORMINV(RAND(),$B$8,$C$8))</f>
        <v>0.0912426266192603</v>
      </c>
      <c r="E531" s="50" t="n">
        <f aca="true">MAX(4,NORMINV(RAND(),$B$9,$C$9))</f>
        <v>7.27115227746345</v>
      </c>
      <c r="F531" s="24" t="n">
        <f aca="false">$B$18*(1+(B531+$B$17)/2)^9</f>
        <v>1336.8254084089</v>
      </c>
      <c r="G531" s="24" t="n">
        <f aca="false">F531*C531</f>
        <v>577.223333164522</v>
      </c>
      <c r="H531" s="24" t="n">
        <f aca="false">E531*G531/(1+D531)^9</f>
        <v>1912.73681993627</v>
      </c>
      <c r="I531" s="24" t="n">
        <f aca="false">$B$13*G531/$B$12*((1+$B$8)/(1+D531))^4.5</f>
        <v>2126.35699885768</v>
      </c>
      <c r="J531" s="24" t="n">
        <f aca="false">H531+I531-$B$14</f>
        <v>3103.30353934189</v>
      </c>
      <c r="K531" s="43" t="n">
        <f aca="false">J531/$B$15</f>
        <v>75.6903302278511</v>
      </c>
    </row>
    <row r="532" customFormat="false" ht="15" hidden="false" customHeight="false" outlineLevel="0" collapsed="false">
      <c r="A532" s="49" t="n">
        <v>492</v>
      </c>
      <c r="B532" s="19" t="n">
        <f aca="true">NORMINV(RAND(),$B$6,$C$6)</f>
        <v>0.0218814656599869</v>
      </c>
      <c r="C532" s="19" t="n">
        <f aca="true">MAX(0.3,NORMINV(RAND(),$B$7,$C$7))</f>
        <v>0.45225509136594</v>
      </c>
      <c r="D532" s="32" t="n">
        <f aca="true">MAX(0.06,NORMINV(RAND(),$B$8,$C$8))</f>
        <v>0.0800192976433343</v>
      </c>
      <c r="E532" s="50" t="n">
        <f aca="true">MAX(4,NORMINV(RAND(),$B$9,$C$9))</f>
        <v>10.9187348711565</v>
      </c>
      <c r="F532" s="24" t="n">
        <f aca="false">$B$18*(1+(B532+$B$17)/2)^9</f>
        <v>1148.35111591736</v>
      </c>
      <c r="G532" s="24" t="n">
        <f aca="false">F532*C532</f>
        <v>519.347638849385</v>
      </c>
      <c r="H532" s="24" t="n">
        <f aca="false">E532*G532/(1+D532)^9</f>
        <v>2836.26524217541</v>
      </c>
      <c r="I532" s="24" t="n">
        <f aca="false">$B$13*G532/$B$12*((1+$B$8)/(1+D532))^4.5</f>
        <v>2004.26247155073</v>
      </c>
      <c r="J532" s="24" t="n">
        <f aca="false">H532+I532-$B$14</f>
        <v>3904.73743427409</v>
      </c>
      <c r="K532" s="43" t="n">
        <f aca="false">J532/$B$15</f>
        <v>95.237498396929</v>
      </c>
    </row>
    <row r="533" customFormat="false" ht="15" hidden="false" customHeight="false" outlineLevel="0" collapsed="false">
      <c r="A533" s="49" t="n">
        <v>493</v>
      </c>
      <c r="B533" s="19" t="n">
        <f aca="true">NORMINV(RAND(),$B$6,$C$6)</f>
        <v>0.0281219521320327</v>
      </c>
      <c r="C533" s="19" t="n">
        <f aca="true">MAX(0.3,NORMINV(RAND(),$B$7,$C$7))</f>
        <v>0.422540331275865</v>
      </c>
      <c r="D533" s="32" t="n">
        <f aca="true">MAX(0.06,NORMINV(RAND(),$B$8,$C$8))</f>
        <v>0.0772372295461184</v>
      </c>
      <c r="E533" s="50" t="n">
        <f aca="true">MAX(4,NORMINV(RAND(),$B$9,$C$9))</f>
        <v>6.66769942703787</v>
      </c>
      <c r="F533" s="24" t="n">
        <f aca="false">$B$18*(1+(B533+$B$17)/2)^9</f>
        <v>1180.48609994919</v>
      </c>
      <c r="G533" s="24" t="n">
        <f aca="false">F533*C533</f>
        <v>498.802987739086</v>
      </c>
      <c r="H533" s="24" t="n">
        <f aca="false">E533*G533/(1+D533)^9</f>
        <v>1702.56174685952</v>
      </c>
      <c r="I533" s="24" t="n">
        <f aca="false">$B$13*G533/$B$12*((1+$B$8)/(1+D533))^4.5</f>
        <v>1947.44949974327</v>
      </c>
      <c r="J533" s="24" t="n">
        <f aca="false">H533+I533-$B$14</f>
        <v>2714.22096715074</v>
      </c>
      <c r="K533" s="43" t="n">
        <f aca="false">J533/$B$15</f>
        <v>66.2005113939205</v>
      </c>
    </row>
    <row r="534" customFormat="false" ht="15" hidden="false" customHeight="false" outlineLevel="0" collapsed="false">
      <c r="A534" s="49" t="n">
        <v>494</v>
      </c>
      <c r="B534" s="19" t="n">
        <f aca="true">NORMINV(RAND(),$B$6,$C$6)</f>
        <v>0.0464126661033961</v>
      </c>
      <c r="C534" s="19" t="n">
        <f aca="true">MAX(0.3,NORMINV(RAND(),$B$7,$C$7))</f>
        <v>0.469115277194916</v>
      </c>
      <c r="D534" s="32" t="n">
        <f aca="true">MAX(0.06,NORMINV(RAND(),$B$8,$C$8))</f>
        <v>0.0782415016889681</v>
      </c>
      <c r="E534" s="50" t="n">
        <f aca="true">MAX(4,NORMINV(RAND(),$B$9,$C$9))</f>
        <v>7.75057813743566</v>
      </c>
      <c r="F534" s="24" t="n">
        <f aca="false">$B$18*(1+(B534+$B$17)/2)^9</f>
        <v>1279.32771641734</v>
      </c>
      <c r="G534" s="24" t="n">
        <f aca="false">F534*C534</f>
        <v>600.152176310257</v>
      </c>
      <c r="H534" s="24" t="n">
        <f aca="false">E534*G534/(1+D534)^9</f>
        <v>2361.29957721555</v>
      </c>
      <c r="I534" s="24" t="n">
        <f aca="false">$B$13*G534/$B$12*((1+$B$8)/(1+D534))^4.5</f>
        <v>2333.33685444491</v>
      </c>
      <c r="J534" s="24" t="n">
        <f aca="false">H534+I534-$B$14</f>
        <v>3758.8461522084</v>
      </c>
      <c r="K534" s="43" t="n">
        <f aca="false">J534/$B$15</f>
        <v>91.6791744441073</v>
      </c>
    </row>
    <row r="535" customFormat="false" ht="15" hidden="false" customHeight="false" outlineLevel="0" collapsed="false">
      <c r="A535" s="49" t="n">
        <v>495</v>
      </c>
      <c r="B535" s="19" t="n">
        <f aca="true">NORMINV(RAND(),$B$6,$C$6)</f>
        <v>0.0163845532845441</v>
      </c>
      <c r="C535" s="19" t="n">
        <f aca="true">MAX(0.3,NORMINV(RAND(),$B$7,$C$7))</f>
        <v>0.434416160288899</v>
      </c>
      <c r="D535" s="32" t="n">
        <f aca="true">MAX(0.06,NORMINV(RAND(),$B$8,$C$8))</f>
        <v>0.0824295294171364</v>
      </c>
      <c r="E535" s="50" t="n">
        <f aca="true">MAX(4,NORMINV(RAND(),$B$9,$C$9))</f>
        <v>7.41432362814807</v>
      </c>
      <c r="F535" s="24" t="n">
        <f aca="false">$B$18*(1+(B535+$B$17)/2)^9</f>
        <v>1120.69174712303</v>
      </c>
      <c r="G535" s="24" t="n">
        <f aca="false">F535*C535</f>
        <v>486.846605652646</v>
      </c>
      <c r="H535" s="24" t="n">
        <f aca="false">E535*G535/(1+D535)^9</f>
        <v>1769.56695899325</v>
      </c>
      <c r="I535" s="24" t="n">
        <f aca="false">$B$13*G535/$B$12*((1+$B$8)/(1+D535))^4.5</f>
        <v>1860.08185824447</v>
      </c>
      <c r="J535" s="24" t="n">
        <f aca="false">H535+I535-$B$14</f>
        <v>2693.85853778567</v>
      </c>
      <c r="K535" s="43" t="n">
        <f aca="false">J535/$B$15</f>
        <v>65.7038667752601</v>
      </c>
    </row>
    <row r="536" customFormat="false" ht="15" hidden="false" customHeight="false" outlineLevel="0" collapsed="false">
      <c r="A536" s="49" t="n">
        <v>496</v>
      </c>
      <c r="B536" s="19" t="n">
        <f aca="true">NORMINV(RAND(),$B$6,$C$6)</f>
        <v>-0.00201926419919938</v>
      </c>
      <c r="C536" s="19" t="n">
        <f aca="true">MAX(0.3,NORMINV(RAND(),$B$7,$C$7))</f>
        <v>0.457016609841534</v>
      </c>
      <c r="D536" s="32" t="n">
        <f aca="true">MAX(0.06,NORMINV(RAND(),$B$8,$C$8))</f>
        <v>0.0692019298425363</v>
      </c>
      <c r="E536" s="50" t="n">
        <f aca="true">MAX(4,NORMINV(RAND(),$B$9,$C$9))</f>
        <v>7.19150309228241</v>
      </c>
      <c r="F536" s="24" t="n">
        <f aca="false">$B$18*(1+(B536+$B$17)/2)^9</f>
        <v>1032.34594209105</v>
      </c>
      <c r="G536" s="24" t="n">
        <f aca="false">F536*C536</f>
        <v>471.799242638114</v>
      </c>
      <c r="H536" s="24" t="n">
        <f aca="false">E536*G536/(1+D536)^9</f>
        <v>1857.9726010123</v>
      </c>
      <c r="I536" s="24" t="n">
        <f aca="false">$B$13*G536/$B$12*((1+$B$8)/(1+D536))^4.5</f>
        <v>1905.139095881</v>
      </c>
      <c r="J536" s="24" t="n">
        <f aca="false">H536+I536-$B$14</f>
        <v>2827.32141744125</v>
      </c>
      <c r="K536" s="43" t="n">
        <f aca="false">J536/$B$15</f>
        <v>68.9590589619817</v>
      </c>
    </row>
    <row r="537" customFormat="false" ht="15" hidden="false" customHeight="false" outlineLevel="0" collapsed="false">
      <c r="A537" s="49" t="n">
        <v>497</v>
      </c>
      <c r="B537" s="19" t="n">
        <f aca="true">NORMINV(RAND(),$B$6,$C$6)</f>
        <v>0.0505803722451097</v>
      </c>
      <c r="C537" s="19" t="n">
        <f aca="true">MAX(0.3,NORMINV(RAND(),$B$7,$C$7))</f>
        <v>0.440072839945279</v>
      </c>
      <c r="D537" s="32" t="n">
        <f aca="true">MAX(0.06,NORMINV(RAND(),$B$8,$C$8))</f>
        <v>0.0866266607854339</v>
      </c>
      <c r="E537" s="50" t="n">
        <f aca="true">MAX(4,NORMINV(RAND(),$B$9,$C$9))</f>
        <v>7.89345649146376</v>
      </c>
      <c r="F537" s="24" t="n">
        <f aca="false">$B$18*(1+(B537+$B$17)/2)^9</f>
        <v>1302.85296528518</v>
      </c>
      <c r="G537" s="24" t="n">
        <f aca="false">F537*C537</f>
        <v>573.35020446418</v>
      </c>
      <c r="H537" s="24" t="n">
        <f aca="false">E537*G537/(1+D537)^9</f>
        <v>2142.71289668934</v>
      </c>
      <c r="I537" s="24" t="n">
        <f aca="false">$B$13*G537/$B$12*((1+$B$8)/(1+D537))^4.5</f>
        <v>2152.76498381951</v>
      </c>
      <c r="J537" s="24" t="n">
        <f aca="false">H537+I537-$B$14</f>
        <v>3359.6876010568</v>
      </c>
      <c r="K537" s="43" t="n">
        <f aca="false">J537/$B$15</f>
        <v>81.9436000257756</v>
      </c>
    </row>
    <row r="538" customFormat="false" ht="15" hidden="false" customHeight="false" outlineLevel="0" collapsed="false">
      <c r="A538" s="49" t="n">
        <v>498</v>
      </c>
      <c r="B538" s="19" t="n">
        <f aca="true">NORMINV(RAND(),$B$6,$C$6)</f>
        <v>0.0233548118403213</v>
      </c>
      <c r="C538" s="19" t="n">
        <f aca="true">MAX(0.3,NORMINV(RAND(),$B$7,$C$7))</f>
        <v>0.469597876234496</v>
      </c>
      <c r="D538" s="32" t="n">
        <f aca="true">MAX(0.06,NORMINV(RAND(),$B$8,$C$8))</f>
        <v>0.0838126126052625</v>
      </c>
      <c r="E538" s="50" t="n">
        <f aca="true">MAX(4,NORMINV(RAND(),$B$9,$C$9))</f>
        <v>8.4166303293487</v>
      </c>
      <c r="F538" s="24" t="n">
        <f aca="false">$B$18*(1+(B538+$B$17)/2)^9</f>
        <v>1155.86706095415</v>
      </c>
      <c r="G538" s="24" t="n">
        <f aca="false">F538*C538</f>
        <v>542.79271703348</v>
      </c>
      <c r="H538" s="24" t="n">
        <f aca="false">E538*G538/(1+D538)^9</f>
        <v>2214.03487890393</v>
      </c>
      <c r="I538" s="24" t="n">
        <f aca="false">$B$13*G538/$B$12*((1+$B$8)/(1+D538))^4.5</f>
        <v>2061.95109952575</v>
      </c>
      <c r="J538" s="24" t="n">
        <f aca="false">H538+I538-$B$14</f>
        <v>3340.19569897762</v>
      </c>
      <c r="K538" s="43" t="n">
        <f aca="false">J538/$B$15</f>
        <v>81.468187779942</v>
      </c>
    </row>
    <row r="539" customFormat="false" ht="15" hidden="false" customHeight="false" outlineLevel="0" collapsed="false">
      <c r="A539" s="49" t="n">
        <v>499</v>
      </c>
      <c r="B539" s="19" t="n">
        <f aca="true">NORMINV(RAND(),$B$6,$C$6)</f>
        <v>0.0245533363035158</v>
      </c>
      <c r="C539" s="19" t="n">
        <f aca="true">MAX(0.3,NORMINV(RAND(),$B$7,$C$7))</f>
        <v>0.450288429019467</v>
      </c>
      <c r="D539" s="32" t="n">
        <f aca="true">MAX(0.06,NORMINV(RAND(),$B$8,$C$8))</f>
        <v>0.0813886119574583</v>
      </c>
      <c r="E539" s="50" t="n">
        <f aca="true">MAX(4,NORMINV(RAND(),$B$9,$C$9))</f>
        <v>7.23056829815783</v>
      </c>
      <c r="F539" s="24" t="n">
        <f aca="false">$B$18*(1+(B539+$B$17)/2)^9</f>
        <v>1162.01328350237</v>
      </c>
      <c r="G539" s="24" t="n">
        <f aca="false">F539*C539</f>
        <v>523.241135928033</v>
      </c>
      <c r="H539" s="24" t="n">
        <f aca="false">E539*G539/(1+D539)^9</f>
        <v>1870.84663417725</v>
      </c>
      <c r="I539" s="24" t="n">
        <f aca="false">$B$13*G539/$B$12*((1+$B$8)/(1+D539))^4.5</f>
        <v>2007.80748921402</v>
      </c>
      <c r="J539" s="24" t="n">
        <f aca="false">H539+I539-$B$14</f>
        <v>2942.86384393921</v>
      </c>
      <c r="K539" s="43" t="n">
        <f aca="false">J539/$B$15</f>
        <v>71.7771669253467</v>
      </c>
    </row>
    <row r="540" customFormat="false" ht="15" hidden="false" customHeight="false" outlineLevel="0" collapsed="false">
      <c r="A540" s="49" t="n">
        <v>500</v>
      </c>
      <c r="B540" s="19" t="n">
        <f aca="true">NORMINV(RAND(),$B$6,$C$6)</f>
        <v>-0.00574656919464586</v>
      </c>
      <c r="C540" s="19" t="n">
        <f aca="true">MAX(0.3,NORMINV(RAND(),$B$7,$C$7))</f>
        <v>0.438225225030412</v>
      </c>
      <c r="D540" s="32" t="n">
        <f aca="true">MAX(0.06,NORMINV(RAND(),$B$8,$C$8))</f>
        <v>0.0836249239134545</v>
      </c>
      <c r="E540" s="50" t="n">
        <f aca="true">MAX(4,NORMINV(RAND(),$B$9,$C$9))</f>
        <v>10.1112264445225</v>
      </c>
      <c r="F540" s="24" t="n">
        <f aca="false">$B$18*(1+(B540+$B$17)/2)^9</f>
        <v>1015.22685796529</v>
      </c>
      <c r="G540" s="24" t="n">
        <f aca="false">F540*C540</f>
        <v>444.898018288759</v>
      </c>
      <c r="H540" s="24" t="n">
        <f aca="false">E540*G540/(1+D540)^9</f>
        <v>2183.50121922744</v>
      </c>
      <c r="I540" s="24" t="n">
        <f aca="false">$B$13*G540/$B$12*((1+$B$8)/(1+D540))^4.5</f>
        <v>1691.38817309152</v>
      </c>
      <c r="J540" s="24" t="n">
        <f aca="false">H540+I540-$B$14</f>
        <v>2939.09911286691</v>
      </c>
      <c r="K540" s="43" t="n">
        <f aca="false">J540/$B$15</f>
        <v>71.6853442162661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0"/>
    <col collapsed="false" customWidth="true" hidden="false" outlineLevel="0" max="5" min="4" style="0" width="9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435</v>
      </c>
    </row>
    <row r="2" customFormat="false" ht="15" hidden="false" customHeight="false" outlineLevel="0" collapsed="false">
      <c r="A2" s="9" t="str">
        <f aca="false">CONCATENATE("Current price: $",TEXT(Assumptions!B49,"0.00"),"   ·   Scenario: ",CHOOSE(Assumptions!B4,"BASE","BULL","BEAR"),"   ·   Probability-weighted value: $",TEXT(Monte_Carlo!C35,"0.00"))</f>
        <v>Current price: $39.58   ·   Scenario: BASE   ·   Probability-weighted value: $67.44</v>
      </c>
    </row>
    <row r="4" customFormat="false" ht="15" hidden="false" customHeight="false" outlineLevel="0" collapsed="false">
      <c r="A4" s="10" t="s">
        <v>436</v>
      </c>
      <c r="B4" s="10" t="s">
        <v>324</v>
      </c>
      <c r="C4" s="10" t="s">
        <v>325</v>
      </c>
      <c r="D4" s="10" t="s">
        <v>437</v>
      </c>
      <c r="E4" s="10" t="s">
        <v>438</v>
      </c>
      <c r="F4" s="10" t="s">
        <v>439</v>
      </c>
    </row>
    <row r="5" customFormat="false" ht="15" hidden="false" customHeight="false" outlineLevel="0" collapsed="false">
      <c r="A5" s="3" t="s">
        <v>440</v>
      </c>
      <c r="B5" s="51" t="n">
        <v>23.82</v>
      </c>
      <c r="C5" s="51" t="n">
        <v>51.28</v>
      </c>
      <c r="D5" s="26" t="n">
        <f aca="false">B5</f>
        <v>23.82</v>
      </c>
      <c r="E5" s="26" t="n">
        <f aca="false">C5-B5</f>
        <v>27.46</v>
      </c>
      <c r="F5" s="39" t="n">
        <f aca="false">(B5+C5)/2</f>
        <v>37.55</v>
      </c>
    </row>
    <row r="6" customFormat="false" ht="15" hidden="false" customHeight="false" outlineLevel="0" collapsed="false">
      <c r="A6" s="3" t="s">
        <v>441</v>
      </c>
      <c r="B6" s="51" t="n">
        <v>45</v>
      </c>
      <c r="C6" s="51" t="n">
        <v>83</v>
      </c>
      <c r="D6" s="26" t="n">
        <f aca="false">B6</f>
        <v>45</v>
      </c>
      <c r="E6" s="26" t="n">
        <f aca="false">C6-B6</f>
        <v>38</v>
      </c>
      <c r="F6" s="39" t="n">
        <f aca="false">(B6+C6)/2</f>
        <v>64</v>
      </c>
    </row>
    <row r="7" customFormat="false" ht="15" hidden="false" customHeight="false" outlineLevel="0" collapsed="false">
      <c r="A7" s="3" t="s">
        <v>442</v>
      </c>
      <c r="B7" s="48" t="n">
        <f aca="false">(SUMPRODUCT(DCF!$B$10:$J$10,(1+(WACC!$B$20+0.005))^-DCF!$B$11:$J$11)+DCF!$J$10*(1+0.01)/((WACC!$B$20+0.005)-0.01)/(1+(WACC!$B$20+0.005))^9-DCF!$B$31)/DCF!$B$32</f>
        <v>78.6197358018055</v>
      </c>
      <c r="C7" s="48" t="n">
        <f aca="false">(SUMPRODUCT(DCF!$B$10:$J$10,(1+(WACC!$B$20-0.005))^-DCF!$B$11:$J$11)+DCF!$J$10*(1+0.02)/((WACC!$B$20-0.005)-0.02)/(1+(WACC!$B$20-0.005))^9-DCF!$B$31)/DCF!$B$32</f>
        <v>106.702613493875</v>
      </c>
      <c r="D7" s="26" t="n">
        <f aca="false">B7</f>
        <v>78.6197358018055</v>
      </c>
      <c r="E7" s="26" t="n">
        <f aca="false">C7-B7</f>
        <v>28.0828776920696</v>
      </c>
      <c r="F7" s="39" t="n">
        <f aca="false">(B7+C7)/2</f>
        <v>92.6611746478403</v>
      </c>
    </row>
    <row r="8" customFormat="false" ht="15" hidden="false" customHeight="false" outlineLevel="0" collapsed="false">
      <c r="A8" s="3" t="s">
        <v>443</v>
      </c>
      <c r="B8" s="48" t="n">
        <f aca="false">(SUMPRODUCT(DCF!$B$10:$J$10,(1+(WACC!$B$20+0.005))^-DCF!$B$11:$J$11)+7*Model_3S!$L$22/(1+(WACC!$B$20+0.005))^9-DCF!$B$31)/DCF!$B$32</f>
        <v>68.0981795641167</v>
      </c>
      <c r="C8" s="48" t="n">
        <f aca="false">(SUMPRODUCT(DCF!$B$10:$J$10,(1+(WACC!$B$20-0.005))^-DCF!$B$11:$J$11)+9*Model_3S!$L$22/(1+(WACC!$B$20-0.005))^9-DCF!$B$31)/DCF!$B$32</f>
        <v>86.9476672347408</v>
      </c>
      <c r="D8" s="26" t="n">
        <f aca="false">B8</f>
        <v>68.0981795641167</v>
      </c>
      <c r="E8" s="26" t="n">
        <f aca="false">C8-B8</f>
        <v>18.8494876706241</v>
      </c>
      <c r="F8" s="39" t="n">
        <f aca="false">(B8+C8)/2</f>
        <v>77.5229233994287</v>
      </c>
    </row>
    <row r="9" customFormat="false" ht="15" hidden="false" customHeight="false" outlineLevel="0" collapsed="false">
      <c r="A9" s="3" t="s">
        <v>444</v>
      </c>
      <c r="B9" s="48" t="n">
        <f aca="false">Comps!E14</f>
        <v>48.5963346475109</v>
      </c>
      <c r="C9" s="48" t="n">
        <f aca="false">Comps!F14</f>
        <v>79.2051151353157</v>
      </c>
      <c r="D9" s="26" t="n">
        <f aca="false">B9</f>
        <v>48.5963346475109</v>
      </c>
      <c r="E9" s="26" t="n">
        <f aca="false">C9-B9</f>
        <v>30.6087804878049</v>
      </c>
      <c r="F9" s="39" t="n">
        <f aca="false">(B9+C9)/2</f>
        <v>63.9007248914133</v>
      </c>
    </row>
    <row r="10" customFormat="false" ht="15" hidden="false" customHeight="false" outlineLevel="0" collapsed="false">
      <c r="A10" s="3" t="s">
        <v>445</v>
      </c>
      <c r="B10" s="48" t="n">
        <f aca="false">Comps!E15</f>
        <v>49.2</v>
      </c>
      <c r="C10" s="48" t="n">
        <f aca="false">Comps!F15</f>
        <v>73.8</v>
      </c>
      <c r="D10" s="26" t="n">
        <f aca="false">B10</f>
        <v>49.2</v>
      </c>
      <c r="E10" s="26" t="n">
        <f aca="false">C10-B10</f>
        <v>24.6</v>
      </c>
      <c r="F10" s="39" t="n">
        <f aca="false">(B10+C10)/2</f>
        <v>61.5</v>
      </c>
    </row>
    <row r="11" customFormat="false" ht="15" hidden="false" customHeight="false" outlineLevel="0" collapsed="false">
      <c r="A11" s="3" t="s">
        <v>446</v>
      </c>
      <c r="B11" s="48" t="n">
        <f aca="false">Precedents!B17</f>
        <v>58.7992614767792</v>
      </c>
      <c r="C11" s="48" t="n">
        <f aca="false">Precedents!C17</f>
        <v>89.408041964584</v>
      </c>
      <c r="D11" s="26" t="n">
        <f aca="false">B11</f>
        <v>58.7992614767792</v>
      </c>
      <c r="E11" s="26" t="n">
        <f aca="false">C11-B11</f>
        <v>30.6087804878049</v>
      </c>
      <c r="F11" s="39" t="n">
        <f aca="false">(B11+C11)/2</f>
        <v>74.1036517206816</v>
      </c>
    </row>
    <row r="12" customFormat="false" ht="15" hidden="false" customHeight="false" outlineLevel="0" collapsed="false">
      <c r="A12" s="3" t="s">
        <v>447</v>
      </c>
      <c r="B12" s="48" t="n">
        <f aca="false">LBO!D46</f>
        <v>51.2716776650223</v>
      </c>
      <c r="C12" s="48" t="n">
        <f aca="false">LBO!D44</f>
        <v>61.1410807346595</v>
      </c>
      <c r="D12" s="26" t="n">
        <f aca="false">B12</f>
        <v>51.2716776650223</v>
      </c>
      <c r="E12" s="26" t="n">
        <f aca="false">C12-B12</f>
        <v>9.86940306963724</v>
      </c>
      <c r="F12" s="39" t="n">
        <f aca="false">(B12+C12)/2</f>
        <v>56.2063791998409</v>
      </c>
    </row>
    <row r="13" customFormat="false" ht="15" hidden="false" customHeight="false" outlineLevel="0" collapsed="false">
      <c r="A13" s="3" t="s">
        <v>448</v>
      </c>
      <c r="B13" s="48" t="n">
        <f aca="false">Monte_Carlo!B25</f>
        <v>64.9231825174034</v>
      </c>
      <c r="C13" s="48" t="n">
        <f aca="false">Monte_Carlo!B26</f>
        <v>87.4440502802747</v>
      </c>
      <c r="D13" s="26" t="n">
        <f aca="false">B13</f>
        <v>64.9231825174034</v>
      </c>
      <c r="E13" s="26" t="n">
        <f aca="false">C13-B13</f>
        <v>22.5208677628712</v>
      </c>
      <c r="F13" s="39" t="n">
        <f aca="false">(B13+C13)/2</f>
        <v>76.1836163988391</v>
      </c>
    </row>
    <row r="14" customFormat="false" ht="15" hidden="false" customHeight="false" outlineLevel="0" collapsed="false">
      <c r="A14" s="3" t="s">
        <v>449</v>
      </c>
      <c r="B14" s="48" t="n">
        <f aca="false">Assumptions!B49-0.4</f>
        <v>39.18</v>
      </c>
      <c r="C14" s="48" t="n">
        <f aca="false">Assumptions!B49+0.4</f>
        <v>39.98</v>
      </c>
      <c r="D14" s="26" t="n">
        <f aca="false">B14</f>
        <v>39.18</v>
      </c>
      <c r="E14" s="26" t="n">
        <f aca="false">C14-B14</f>
        <v>0.799999999999997</v>
      </c>
      <c r="F14" s="39" t="n">
        <f aca="false">(B14+C14)/2</f>
        <v>39.58</v>
      </c>
    </row>
    <row r="16" customFormat="false" ht="15" hidden="false" customHeight="false" outlineLevel="0" collapsed="false">
      <c r="A16" s="13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2026-07-22T18:59:43Z</dcterms:created>
  <dc:creator>openpyxl</dc:creator>
  <dc:description/>
  <dc:language>en-US</dc:language>
  <cp:lastModifiedBy/>
  <dcterms:modified xsi:type="dcterms:W3CDTF">2026-07-22T18:59:47Z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