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" sheetId="1" state="visible" r:id="rId3"/>
    <sheet name="VECO_DCF" sheetId="2" state="visible" r:id="rId4"/>
    <sheet name="META_DCF" sheetId="3" state="visible" r:id="rId5"/>
    <sheet name="NOW_DC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<sst xmlns="http://schemas.openxmlformats.org/spreadsheetml/2006/main" count="150" uniqueCount="78">
  <si>
    <t xml:space="preserve">INDUSTRY RANKING — 10-20 YEAR OUTCOME  (all six valued with the same framework, July 20-21, 2026)</t>
  </si>
  <si>
    <t xml:space="preserve">SNPS / CDNS / VST from the full 11-sheet workbooks (probability-weighted values incl. Monte Carlo); VECO / META / NOW from the compact scenario DCF sheets in this file.</t>
  </si>
  <si>
    <t xml:space="preserve">Rank</t>
  </si>
  <si>
    <t xml:space="preserve">Industry (vehicle)</t>
  </si>
  <si>
    <t xml:space="preserve">Weighted value/sh</t>
  </si>
  <si>
    <t xml:space="preserve">Price</t>
  </si>
  <si>
    <t xml:space="preserve">Weighted upside</t>
  </si>
  <si>
    <t xml:space="preserve">10yr rev CAGR (Base)</t>
  </si>
  <si>
    <t xml:space="preserve">Industry durability</t>
  </si>
  <si>
    <t xml:space="preserve">Entry price quality</t>
  </si>
  <si>
    <t xml:space="preserve">Verdict</t>
  </si>
  <si>
    <t xml:space="preserve">EDA / chip design (SNPS, + CDNS)</t>
  </si>
  <si>
    <t xml:space="preserve">A — duopoly toll-booth on ALL silicon; K3 tail-risk real but distant</t>
  </si>
  <si>
    <t xml:space="preserve">Excellent (post-selloff)</t>
  </si>
  <si>
    <t xml:space="preserve">Best combination of moat + entry price. SNPS lead, CDNS pair.</t>
  </si>
  <si>
    <t xml:space="preserve">Electricity / power (VST)</t>
  </si>
  <si>
    <t xml:space="preserve">A− — surest demand trend of the era (AI, EVs, electrification); commodity economics cap the moat</t>
  </si>
  <si>
    <t xml:space="preserve">Good</t>
  </si>
  <si>
    <t xml:space="preserve">Highest-certainty demand; the portfolio diversifier.</t>
  </si>
  <si>
    <t xml:space="preserve">AI monetization at scale (META)</t>
  </si>
  <si>
    <t xml:space="preserve">B+ — colossal FCF machine &amp; distribution, but $125-145B/yr capex must earn a return</t>
  </si>
  <si>
    <t xml:space="preserve">Fair</t>
  </si>
  <si>
    <t xml:space="preserve">Compounder at fair price IF capex normalizes; watch FCF trough.</t>
  </si>
  <si>
    <t xml:space="preserve">Agentic SaaS (NOW)</t>
  </si>
  <si>
    <t xml:space="preserve">B — great business TODAY; agentic AI is genuinely double-edged for seat-based SaaS</t>
  </si>
  <si>
    <t xml:space="preserve">Excellent IF fears overblown</t>
  </si>
  <si>
    <t xml:space="preserve">Deep value or value trap — highest variance of the quality names.</t>
  </si>
  <si>
    <t xml:space="preserve">Photonics / adv. packaging litho (VECO)</t>
  </si>
  <si>
    <t xml:space="preserve">B+ — CPO/optical interconnect theme is real, VECO is a small cyclical vehicle for it</t>
  </si>
  <si>
    <t xml:space="preserve">Poor (80% above analyst median)</t>
  </si>
  <si>
    <t xml:space="preserve">Right industry, wrong price after the hype run. Wait or size tiny.</t>
  </si>
  <si>
    <t xml:space="preserve">SNPS/VST weighted values from their full workbooks (Monte Carlo scenario weighting). CDNS not shown separately (same industry as SNPS; weighted ~$310 vs $330 = fair). Durability grades are qualitative judgments, not model outputs.</t>
  </si>
  <si>
    <t xml:space="preserve">HOW TO READ THIS</t>
  </si>
  <si>
    <t xml:space="preserve">Ranked for a 10-20 YEAR holding: industry durability first, entry price second, modeled upside third — because over two decades, moat quality compounds while entry price is a one-time effect.</t>
  </si>
  <si>
    <t xml:space="preserve">NOW screens as the largest modeled upside but ranks 4th: its bear case (agentic AI replacing seat-based software) is the one structural question in this set that could permanently impair the business rather than just the multiple.</t>
  </si>
  <si>
    <t xml:space="preserve">VECO's industry (optical interconnect, advanced packaging) may outgrow everything here — but the stock already trades ~80% above the median analyst target; a great industry bought at a manic price has historically been a poor 20-year trade.</t>
  </si>
  <si>
    <t xml:space="preserve">Veeco Instruments (VECO) — COMPACT SCENARIO DCF  ($mm except per-share; same methodology as full models, condensed)</t>
  </si>
  <si>
    <t xml:space="preserve">Rev FY35 = FY26E rev × (1 + avg(FY27 g, FY35 g))^9 (geometric-mean approximation of a linear growth decay). FCF = EBITDA × (1−tax) − capex. Interim PV = average of FY26/FY35 FCF × 9-yr annuity factor (approximation; full models use explicit yearly grids).</t>
  </si>
  <si>
    <t xml:space="preserve">MARKET &amp; COMPANY INPUTS</t>
  </si>
  <si>
    <t xml:space="preserve">Current share price</t>
  </si>
  <si>
    <t xml:space="preserve">Diluted shares (mm)</t>
  </si>
  <si>
    <t xml:space="preserve">Net cash / (net debt) ($mm)</t>
  </si>
  <si>
    <t xml:space="preserve">FY2026E revenue ($mm)</t>
  </si>
  <si>
    <t xml:space="preserve">Beta</t>
  </si>
  <si>
    <t xml:space="preserve">Risk-free rate (10Y, 7/17/26)</t>
  </si>
  <si>
    <t xml:space="preserve">Equity risk premium</t>
  </si>
  <si>
    <t xml:space="preserve">Capex % of terminal revenue</t>
  </si>
  <si>
    <t xml:space="preserve">Cash tax rate</t>
  </si>
  <si>
    <t xml:space="preserve">Terminal (perpetuity) growth g</t>
  </si>
  <si>
    <t xml:space="preserve">WACC (all-equity CAPM; debt weight immaterial or in net-debt bridge)</t>
  </si>
  <si>
    <t xml:space="preserve">SCENARIOS</t>
  </si>
  <si>
    <t xml:space="preserve">Base</t>
  </si>
  <si>
    <t xml:space="preserve">Bull</t>
  </si>
  <si>
    <t xml:space="preserve">Bear</t>
  </si>
  <si>
    <t xml:space="preserve">FY2027 revenue growth</t>
  </si>
  <si>
    <t xml:space="preserve">FY2035 revenue growth</t>
  </si>
  <si>
    <t xml:space="preserve">Terminal EBITDA margin (FY35)</t>
  </si>
  <si>
    <t xml:space="preserve">Exit EV/EBITDA multiple</t>
  </si>
  <si>
    <t xml:space="preserve">Probability weight</t>
  </si>
  <si>
    <t xml:space="preserve">VALUATION (per scenario, formula-driven)</t>
  </si>
  <si>
    <t xml:space="preserve">FY2035 revenue</t>
  </si>
  <si>
    <t xml:space="preserve">FY2035 EBITDA</t>
  </si>
  <si>
    <t xml:space="preserve">FY2035 FCF = EBITDA×(1−tax) − capex</t>
  </si>
  <si>
    <t xml:space="preserve">FY2026 FCF (approx, current margin ~⅔ of terminal)</t>
  </si>
  <si>
    <t xml:space="preserve">PV of interim FCF (avg × 9-yr annuity @ WACC)</t>
  </si>
  <si>
    <t xml:space="preserve">TV — exit multiple; PV @ 9 yrs</t>
  </si>
  <si>
    <t xml:space="preserve">TV — Gordon on FY35 FCF; PV @ 9 yrs</t>
  </si>
  <si>
    <t xml:space="preserve">EV (interim + avg of the two TV methods)</t>
  </si>
  <si>
    <t xml:space="preserve">Equity value = EV + net cash</t>
  </si>
  <si>
    <t xml:space="preserve">Value per share</t>
  </si>
  <si>
    <t xml:space="preserve">Upside / (downside) vs price</t>
  </si>
  <si>
    <t xml:space="preserve">PROBABILITY-WEIGHTED VALUE PER SHARE</t>
  </si>
  <si>
    <t xml:space="preserve">Weighted upside / (downside)</t>
  </si>
  <si>
    <t xml:space="preserve">Sources: 2026 guidance $740-800mm rev / $1.50-1.85 non-GAAP EPS (8-K 5/5/26); 2025 rev $664mm (-7%); price $55.13 &amp; 61.03mm shares (stockanalysis/CNN 7/21/26); NOTE: price is ~80% ABOVE the $30 median analyst target after the photonics/CPO run — margins are cyclical (Q1-26 NG EPS $0.14).</t>
  </si>
  <si>
    <t xml:space="preserve">Meta Platforms (META) — COMPACT SCENARIO DCF  ($mm except per-share; same methodology as full models, condensed)</t>
  </si>
  <si>
    <t xml:space="preserve">Sources: Q1-26 revenue +33% (~$56B), Q2 guide $58-61B, FY26 consensus ~$245-253B; capex guide RAISED to $125-145B — near-term FCF turns negative (sell-side: ~-$24B 2027); price $656.73 (7/13/26), analyst target $828. Capex normalization to 20% of revenue by FY35 is the pivotal assumption.</t>
  </si>
  <si>
    <t xml:space="preserve">ServiceNow (NOW) — COMPACT SCENARIO DCF  ($mm except per-share; same methodology as full models, condensed)</t>
  </si>
  <si>
    <t xml:space="preserve">Sources: price $101.60 post 5-for-1 split (Dec-2025), mkt cap $106.7B (7/21/26) — DOWN ~55% from 2025 highs on 'agentic AI disrupts seat-based SaaS' fears; FY26E revenue ~$15.8B (+~18%e). The Bear column IS the agentic-disruption case; 30% weight reflects it being a live structural question.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</si>
</sst>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;\(0.0%\);\-"/>
    <numFmt numFmtId="167" formatCode="0%"/>
    <numFmt numFmtId="168" formatCode="#,##0;\(#,##0\);\-"/>
    <numFmt numFmtId="169" formatCode="\$#,##0;&quot;($&quot;#,##0\);\-"/>
    <numFmt numFmtId="170" formatCode="0.00"/>
    <numFmt numFmtId="171" formatCode="0.00%;\(0.00%\);\-"/>
    <numFmt numFmtId="172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8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Probability-weighted upside / (downside) vs.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"Upside"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Ranking!$B$5:$B$9</c:f>
              <c:strCache>
                <c:ptCount val="5"/>
                <c:pt idx="0">
                  <c:v>EDA / chip design (SNPS, + CDNS)</c:v>
                </c:pt>
                <c:pt idx="1">
                  <c:v>Electricity / power (VST)</c:v>
                </c:pt>
                <c:pt idx="2">
                  <c:v>AI monetization at scale (META)</c:v>
                </c:pt>
                <c:pt idx="3">
                  <c:v>Agentic SaaS (NOW)</c:v>
                </c:pt>
                <c:pt idx="4">
                  <c:v>Photonics / adv. packaging litho (VECO)</c:v>
                </c:pt>
              </c:strCache>
            </c:strRef>
          </c:cat>
          <c:val>
            <c:numRef>
              <c:f>Ranking!$E$5:$E$9</c:f>
              <c:numCache>
                <c:formatCode>0.0%;\(0.0%\);\-</c:formatCode>
                <c:ptCount val="5"/>
                <c:pt idx="0">
                  <c:v>0.19100655771833</c:v>
                </c:pt>
                <c:pt idx="1">
                  <c:v>0.160190427174473</c:v>
                </c:pt>
                <c:pt idx="2">
                  <c:v>0.0487207452248892</c:v>
                </c:pt>
                <c:pt idx="3">
                  <c:v>0.499899189075697</c:v>
                </c:pt>
                <c:pt idx="4">
                  <c:v>-0.443685737706537</c:v>
                </c:pt>
              </c:numCache>
            </c:numRef>
          </c:val>
        </c:ser>
        <c:gapWidth val="40"/>
        <c:overlap val="0"/>
        <c:axId val="66966382"/>
        <c:axId val="23609314"/>
      </c:barChart>
      <c:catAx>
        <c:axId val="66966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09314"/>
        <c:crosses val="autoZero"/>
        <c:auto val="1"/>
        <c:lblAlgn val="ctr"/>
        <c:lblOffset val="100"/>
        <c:noMultiLvlLbl val="0"/>
      </c:catAx>
      <c:valAx>
        <c:axId val="23609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663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4</xdr:col>
      <xdr:colOff>345600</xdr:colOff>
      <xdr:row>33</xdr:row>
      <xdr:rowOff>161640</xdr:rowOff>
    </xdr:to>
    <xdr:graphicFrame>
      <xdr:nvGraphicFramePr>
        <xdr:cNvPr id="0" name="Chart 1"/>
        <xdr:cNvGraphicFramePr/>
      </xdr:nvGraphicFramePr>
      <xdr:xfrm>
        <a:off x="0" y="3638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50"/>
    <col collapsed="false" customWidth="true" hidden="false" outlineLevel="0" max="8" min="8" style="0" width="26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s">
        <v>11</v>
      </c>
      <c r="C5" s="5" t="n">
        <v>457.68</v>
      </c>
      <c r="D5" s="5" t="n">
        <v>384.28</v>
      </c>
      <c r="E5" s="6" t="n">
        <f aca="false">C5/D5-1</f>
        <v>0.19100655771833</v>
      </c>
      <c r="F5" s="7" t="n">
        <v>0.08</v>
      </c>
      <c r="G5" s="8" t="s">
        <v>12</v>
      </c>
      <c r="H5" s="8" t="s">
        <v>13</v>
      </c>
      <c r="I5" s="8" t="s">
        <v>14</v>
      </c>
    </row>
    <row r="6" customFormat="false" ht="15" hidden="false" customHeight="false" outlineLevel="0" collapsed="false">
      <c r="A6" s="4" t="n">
        <v>2</v>
      </c>
      <c r="B6" s="9" t="s">
        <v>15</v>
      </c>
      <c r="C6" s="5" t="n">
        <v>180.34</v>
      </c>
      <c r="D6" s="5" t="n">
        <v>155.44</v>
      </c>
      <c r="E6" s="6" t="n">
        <f aca="false">C6/D6-1</f>
        <v>0.160190427174473</v>
      </c>
      <c r="F6" s="7" t="n">
        <v>0.055</v>
      </c>
      <c r="G6" s="8" t="s">
        <v>16</v>
      </c>
      <c r="H6" s="8" t="s">
        <v>17</v>
      </c>
      <c r="I6" s="8" t="s">
        <v>18</v>
      </c>
    </row>
    <row r="7" customFormat="false" ht="15" hidden="false" customHeight="false" outlineLevel="0" collapsed="false">
      <c r="A7" s="4" t="n">
        <v>3</v>
      </c>
      <c r="B7" s="9" t="s">
        <v>19</v>
      </c>
      <c r="C7" s="10" t="n">
        <f aca="false">META_DCF!B38</f>
        <v>688.726375011541</v>
      </c>
      <c r="D7" s="5" t="n">
        <v>656.73</v>
      </c>
      <c r="E7" s="6" t="n">
        <f aca="false">C7/D7-1</f>
        <v>0.0487207452248892</v>
      </c>
      <c r="F7" s="7" t="n">
        <v>0.105</v>
      </c>
      <c r="G7" s="8" t="s">
        <v>20</v>
      </c>
      <c r="H7" s="8" t="s">
        <v>21</v>
      </c>
      <c r="I7" s="8" t="s">
        <v>22</v>
      </c>
    </row>
    <row r="8" customFormat="false" ht="15" hidden="false" customHeight="false" outlineLevel="0" collapsed="false">
      <c r="A8" s="4" t="n">
        <v>4</v>
      </c>
      <c r="B8" s="9" t="s">
        <v>23</v>
      </c>
      <c r="C8" s="10" t="n">
        <f aca="false">NOW_DCF!B38</f>
        <v>152.389757610091</v>
      </c>
      <c r="D8" s="5" t="n">
        <v>101.6</v>
      </c>
      <c r="E8" s="6" t="n">
        <f aca="false">C8/D8-1</f>
        <v>0.499899189075697</v>
      </c>
      <c r="F8" s="7" t="n">
        <v>0.115</v>
      </c>
      <c r="G8" s="8" t="s">
        <v>24</v>
      </c>
      <c r="H8" s="8" t="s">
        <v>25</v>
      </c>
      <c r="I8" s="8" t="s">
        <v>26</v>
      </c>
    </row>
    <row r="9" customFormat="false" ht="15" hidden="false" customHeight="false" outlineLevel="0" collapsed="false">
      <c r="A9" s="4" t="n">
        <v>5</v>
      </c>
      <c r="B9" s="9" t="s">
        <v>27</v>
      </c>
      <c r="C9" s="10" t="n">
        <f aca="false">VECO_DCF!B38</f>
        <v>30.6696052802386</v>
      </c>
      <c r="D9" s="5" t="n">
        <v>55.13</v>
      </c>
      <c r="E9" s="6" t="n">
        <f aca="false">C9/D9-1</f>
        <v>-0.443685737706537</v>
      </c>
      <c r="F9" s="7" t="n">
        <v>0.08</v>
      </c>
      <c r="G9" s="8" t="s">
        <v>28</v>
      </c>
      <c r="H9" s="8" t="s">
        <v>29</v>
      </c>
      <c r="I9" s="8" t="s">
        <v>30</v>
      </c>
    </row>
    <row r="11" customFormat="false" ht="15" hidden="false" customHeight="false" outlineLevel="0" collapsed="false">
      <c r="A11" s="8" t="s">
        <v>31</v>
      </c>
    </row>
    <row r="13" customFormat="false" ht="15" hidden="false" customHeight="false" outlineLevel="0" collapsed="false">
      <c r="A13" s="11" t="s">
        <v>32</v>
      </c>
    </row>
    <row r="14" customFormat="false" ht="25.5" hidden="false" customHeight="true" outlineLevel="0" collapsed="false">
      <c r="A14" s="12" t="s">
        <v>33</v>
      </c>
    </row>
    <row r="15" customFormat="false" ht="25.5" hidden="false" customHeight="true" outlineLevel="0" collapsed="false">
      <c r="A15" s="12" t="s">
        <v>34</v>
      </c>
    </row>
    <row r="16" customFormat="false" ht="25.5" hidden="false" customHeight="true" outlineLevel="0" collapsed="false">
      <c r="A16" s="1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3" t="s">
        <v>37</v>
      </c>
    </row>
    <row r="4" customFormat="false" ht="15" hidden="false" customHeight="false" outlineLevel="0" collapsed="false">
      <c r="A4" s="11" t="s">
        <v>38</v>
      </c>
    </row>
    <row r="5" customFormat="false" ht="15" hidden="false" customHeight="false" outlineLevel="0" collapsed="false">
      <c r="A5" s="9" t="s">
        <v>39</v>
      </c>
      <c r="B5" s="14" t="n">
        <v>55.13</v>
      </c>
    </row>
    <row r="6" customFormat="false" ht="15" hidden="false" customHeight="false" outlineLevel="0" collapsed="false">
      <c r="A6" s="9" t="s">
        <v>40</v>
      </c>
      <c r="B6" s="15" t="n">
        <v>61.03</v>
      </c>
    </row>
    <row r="7" customFormat="false" ht="15" hidden="false" customHeight="false" outlineLevel="0" collapsed="false">
      <c r="A7" s="9" t="s">
        <v>41</v>
      </c>
      <c r="B7" s="16" t="n">
        <v>80</v>
      </c>
    </row>
    <row r="8" customFormat="false" ht="15" hidden="false" customHeight="false" outlineLevel="0" collapsed="false">
      <c r="A8" s="9" t="s">
        <v>42</v>
      </c>
      <c r="B8" s="16" t="n">
        <v>770</v>
      </c>
    </row>
    <row r="9" customFormat="false" ht="15" hidden="false" customHeight="false" outlineLevel="0" collapsed="false">
      <c r="A9" s="9" t="s">
        <v>43</v>
      </c>
      <c r="B9" s="17" t="n">
        <v>1.6</v>
      </c>
    </row>
    <row r="10" customFormat="false" ht="15" hidden="false" customHeight="false" outlineLevel="0" collapsed="false">
      <c r="A10" s="9" t="s">
        <v>44</v>
      </c>
      <c r="B10" s="18" t="n">
        <v>0.0455</v>
      </c>
    </row>
    <row r="11" customFormat="false" ht="15" hidden="false" customHeight="false" outlineLevel="0" collapsed="false">
      <c r="A11" s="9" t="s">
        <v>45</v>
      </c>
      <c r="B11" s="18" t="n">
        <v>0.0475</v>
      </c>
    </row>
    <row r="12" customFormat="false" ht="15" hidden="false" customHeight="false" outlineLevel="0" collapsed="false">
      <c r="A12" s="9" t="s">
        <v>46</v>
      </c>
      <c r="B12" s="19" t="n">
        <v>0.02</v>
      </c>
    </row>
    <row r="13" customFormat="false" ht="15" hidden="false" customHeight="false" outlineLevel="0" collapsed="false">
      <c r="A13" s="9" t="s">
        <v>47</v>
      </c>
      <c r="B13" s="19" t="n">
        <v>0.21</v>
      </c>
    </row>
    <row r="14" customFormat="false" ht="15" hidden="false" customHeight="false" outlineLevel="0" collapsed="false">
      <c r="A14" s="9" t="s">
        <v>48</v>
      </c>
      <c r="B14" s="19" t="n">
        <v>0.035</v>
      </c>
    </row>
    <row r="15" customFormat="false" ht="15" hidden="false" customHeight="false" outlineLevel="0" collapsed="false">
      <c r="A15" s="4" t="s">
        <v>49</v>
      </c>
      <c r="B15" s="20" t="n">
        <f aca="false">B10+B9*B11</f>
        <v>0.1215</v>
      </c>
    </row>
    <row r="17" customFormat="false" ht="15" hidden="false" customHeight="false" outlineLevel="0" collapsed="false">
      <c r="A17" s="11" t="s">
        <v>50</v>
      </c>
    </row>
    <row r="18" customFormat="false" ht="15" hidden="false" customHeight="false" outlineLevel="0" collapsed="false">
      <c r="A18" s="3"/>
      <c r="B18" s="3" t="s">
        <v>51</v>
      </c>
      <c r="C18" s="3" t="s">
        <v>52</v>
      </c>
      <c r="D18" s="3" t="s">
        <v>53</v>
      </c>
    </row>
    <row r="19" customFormat="false" ht="15" hidden="false" customHeight="false" outlineLevel="0" collapsed="false">
      <c r="A19" s="9" t="s">
        <v>54</v>
      </c>
      <c r="B19" s="19" t="n">
        <v>0.12</v>
      </c>
      <c r="C19" s="19" t="n">
        <v>0.18</v>
      </c>
      <c r="D19" s="19" t="n">
        <v>0.03</v>
      </c>
    </row>
    <row r="20" customFormat="false" ht="15" hidden="false" customHeight="false" outlineLevel="0" collapsed="false">
      <c r="A20" s="9" t="s">
        <v>55</v>
      </c>
      <c r="B20" s="19" t="n">
        <v>0.04</v>
      </c>
      <c r="C20" s="19" t="n">
        <v>0.07</v>
      </c>
      <c r="D20" s="19" t="n">
        <v>0</v>
      </c>
    </row>
    <row r="21" customFormat="false" ht="15" hidden="false" customHeight="false" outlineLevel="0" collapsed="false">
      <c r="A21" s="9" t="s">
        <v>56</v>
      </c>
      <c r="B21" s="19" t="n">
        <v>0.18</v>
      </c>
      <c r="C21" s="19" t="n">
        <v>0.22</v>
      </c>
      <c r="D21" s="19" t="n">
        <v>0.1</v>
      </c>
    </row>
    <row r="22" customFormat="false" ht="15" hidden="false" customHeight="false" outlineLevel="0" collapsed="false">
      <c r="A22" s="9" t="s">
        <v>57</v>
      </c>
      <c r="B22" s="21" t="n">
        <v>12</v>
      </c>
      <c r="C22" s="21" t="n">
        <v>15</v>
      </c>
      <c r="D22" s="21" t="n">
        <v>8</v>
      </c>
    </row>
    <row r="23" customFormat="false" ht="15" hidden="false" customHeight="false" outlineLevel="0" collapsed="false">
      <c r="A23" s="9" t="s">
        <v>58</v>
      </c>
      <c r="B23" s="19" t="n">
        <v>0.45</v>
      </c>
      <c r="C23" s="19" t="n">
        <v>0.3</v>
      </c>
      <c r="D23" s="19" t="n">
        <v>0.25</v>
      </c>
    </row>
    <row r="25" customFormat="false" ht="15" hidden="false" customHeight="false" outlineLevel="0" collapsed="false">
      <c r="A25" s="11" t="s">
        <v>59</v>
      </c>
    </row>
    <row r="26" customFormat="false" ht="15" hidden="false" customHeight="false" outlineLevel="0" collapsed="false">
      <c r="A26" s="9" t="s">
        <v>60</v>
      </c>
      <c r="B26" s="22" t="n">
        <f aca="false">$B$8*(1+(B19+B20)/2)^9</f>
        <v>1539.23356287041</v>
      </c>
      <c r="C26" s="22" t="n">
        <f aca="false">$B$8*(1+(C19+C20)/2)^9</f>
        <v>2222.61083520949</v>
      </c>
      <c r="D26" s="22" t="n">
        <f aca="false">$B$8*(1+(D19+D20)/2)^9</f>
        <v>880.410281053561</v>
      </c>
    </row>
    <row r="27" customFormat="false" ht="15" hidden="false" customHeight="false" outlineLevel="0" collapsed="false">
      <c r="A27" s="9" t="s">
        <v>61</v>
      </c>
      <c r="B27" s="22" t="n">
        <f aca="false">B26*B21</f>
        <v>277.062041316674</v>
      </c>
      <c r="C27" s="22" t="n">
        <f aca="false">C26*C21</f>
        <v>488.974383746088</v>
      </c>
      <c r="D27" s="22" t="n">
        <f aca="false">D26*D21</f>
        <v>88.0410281053562</v>
      </c>
    </row>
    <row r="28" customFormat="false" ht="15" hidden="false" customHeight="false" outlineLevel="0" collapsed="false">
      <c r="A28" s="9" t="s">
        <v>62</v>
      </c>
      <c r="B28" s="22" t="n">
        <f aca="false">B27*(1-$B$13)-B26*$B$12</f>
        <v>188.094341382765</v>
      </c>
      <c r="C28" s="22" t="n">
        <f aca="false">C27*(1-$B$13)-C26*$B$12</f>
        <v>341.837546455219</v>
      </c>
      <c r="D28" s="22" t="n">
        <f aca="false">D27*(1-$B$13)-D26*$B$12</f>
        <v>51.9442065821601</v>
      </c>
    </row>
    <row r="29" customFormat="false" ht="15" hidden="false" customHeight="false" outlineLevel="0" collapsed="false">
      <c r="A29" s="9" t="s">
        <v>63</v>
      </c>
      <c r="B29" s="22" t="n">
        <f aca="false">$B$8*B21*0.67*(1-$B$13)-$B$8*$B$12</f>
        <v>57.96098</v>
      </c>
      <c r="C29" s="22" t="n">
        <f aca="false">$B$8*C21*0.67*(1-$B$13)-$B$8*$B$12</f>
        <v>74.26342</v>
      </c>
      <c r="D29" s="22" t="n">
        <f aca="false">$B$8*D21*0.67*(1-$B$13)-$B$8*$B$12</f>
        <v>25.3561</v>
      </c>
    </row>
    <row r="30" customFormat="false" ht="15" hidden="false" customHeight="false" outlineLevel="0" collapsed="false">
      <c r="A30" s="9" t="s">
        <v>64</v>
      </c>
      <c r="B30" s="22" t="n">
        <f aca="false">AVERAGE(B28:B29)*(1-(1+$B$15)^-9)/$B$15</f>
        <v>651.80120362505</v>
      </c>
      <c r="C30" s="22" t="n">
        <f aca="false">AVERAGE(C28:C29)*(1-(1+$B$15)^-9)/$B$15</f>
        <v>1102.25257166113</v>
      </c>
      <c r="D30" s="22" t="n">
        <f aca="false">AVERAGE(D28:D29)*(1-(1+$B$15)^-9)/$B$15</f>
        <v>204.768718626732</v>
      </c>
    </row>
    <row r="31" customFormat="false" ht="15" hidden="false" customHeight="false" outlineLevel="0" collapsed="false">
      <c r="A31" s="9" t="s">
        <v>65</v>
      </c>
      <c r="B31" s="22" t="n">
        <f aca="false">B22*B27/(1+$B$15)^9</f>
        <v>1184.58103248231</v>
      </c>
      <c r="C31" s="22" t="n">
        <f aca="false">C22*C27/(1+$B$15)^9</f>
        <v>2613.26749057127</v>
      </c>
      <c r="D31" s="22" t="n">
        <f aca="false">D22*D27/(1+$B$15)^9</f>
        <v>250.946759020048</v>
      </c>
    </row>
    <row r="32" customFormat="false" ht="15" hidden="false" customHeight="false" outlineLevel="0" collapsed="false">
      <c r="A32" s="9" t="s">
        <v>66</v>
      </c>
      <c r="B32" s="22" t="n">
        <f aca="false">B28*(1+$B$14)/($B$15-$B$14)/(1+$B$15)^9</f>
        <v>801.874626660594</v>
      </c>
      <c r="C32" s="22" t="n">
        <f aca="false">C28*(1+$B$14)/($B$15-$B$14)/(1+$B$15)^9</f>
        <v>1457.30516360696</v>
      </c>
      <c r="D32" s="22" t="n">
        <f aca="false">D28*(1+$B$14)/($B$15-$B$14)/(1+$B$15)^9</f>
        <v>221.446009242185</v>
      </c>
    </row>
    <row r="33" customFormat="false" ht="15" hidden="false" customHeight="false" outlineLevel="0" collapsed="false">
      <c r="A33" s="9" t="s">
        <v>67</v>
      </c>
      <c r="B33" s="22" t="n">
        <f aca="false">B30+AVERAGE(B31:B32)</f>
        <v>1645.0290331965</v>
      </c>
      <c r="C33" s="22" t="n">
        <f aca="false">C30+AVERAGE(C31:C32)</f>
        <v>3137.53889875024</v>
      </c>
      <c r="D33" s="22" t="n">
        <f aca="false">D30+AVERAGE(D31:D32)</f>
        <v>440.965102757848</v>
      </c>
    </row>
    <row r="34" customFormat="false" ht="15" hidden="false" customHeight="false" outlineLevel="0" collapsed="false">
      <c r="A34" s="9" t="s">
        <v>68</v>
      </c>
      <c r="B34" s="22" t="n">
        <f aca="false">B33+$B$7</f>
        <v>1725.0290331965</v>
      </c>
      <c r="C34" s="22" t="n">
        <f aca="false">C33+$B$7</f>
        <v>3217.53889875024</v>
      </c>
      <c r="D34" s="22" t="n">
        <f aca="false">D33+$B$7</f>
        <v>520.965102757848</v>
      </c>
    </row>
    <row r="35" customFormat="false" ht="15" hidden="false" customHeight="false" outlineLevel="0" collapsed="false">
      <c r="A35" s="4" t="s">
        <v>69</v>
      </c>
      <c r="B35" s="23" t="n">
        <f aca="false">B34/$B$6</f>
        <v>28.2652635293545</v>
      </c>
      <c r="C35" s="23" t="n">
        <f aca="false">C34/$B$6</f>
        <v>52.7206111543543</v>
      </c>
      <c r="D35" s="23" t="n">
        <f aca="false">D34/$B$6</f>
        <v>8.53621338289117</v>
      </c>
    </row>
    <row r="36" customFormat="false" ht="15" hidden="false" customHeight="false" outlineLevel="0" collapsed="false">
      <c r="A36" s="4" t="s">
        <v>70</v>
      </c>
      <c r="B36" s="6" t="n">
        <f aca="false">B35/$B$5-1</f>
        <v>-0.487297958836306</v>
      </c>
      <c r="C36" s="6" t="n">
        <f aca="false">C35/$B$5-1</f>
        <v>-0.0437037701005929</v>
      </c>
      <c r="D36" s="6" t="n">
        <f aca="false">D35/$B$5-1</f>
        <v>-0.845162100800088</v>
      </c>
    </row>
    <row r="38" customFormat="false" ht="15" hidden="false" customHeight="false" outlineLevel="0" collapsed="false">
      <c r="A38" s="4" t="s">
        <v>71</v>
      </c>
      <c r="B38" s="24" t="n">
        <f aca="false">SUMPRODUCT(B23:D23,B35:D35)</f>
        <v>30.6696052802386</v>
      </c>
    </row>
    <row r="39" customFormat="false" ht="15" hidden="false" customHeight="false" outlineLevel="0" collapsed="false">
      <c r="A39" s="4" t="s">
        <v>72</v>
      </c>
      <c r="B39" s="6" t="n">
        <f aca="false">B38/B5-1</f>
        <v>-0.443685737706537</v>
      </c>
    </row>
    <row r="41" customFormat="false" ht="15" hidden="false" customHeight="false" outlineLevel="0" collapsed="false">
      <c r="A41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13" t="s">
        <v>37</v>
      </c>
    </row>
    <row r="4" customFormat="false" ht="15" hidden="false" customHeight="false" outlineLevel="0" collapsed="false">
      <c r="A4" s="11" t="s">
        <v>38</v>
      </c>
    </row>
    <row r="5" customFormat="false" ht="15" hidden="false" customHeight="false" outlineLevel="0" collapsed="false">
      <c r="A5" s="9" t="s">
        <v>39</v>
      </c>
      <c r="B5" s="14" t="n">
        <v>656.73</v>
      </c>
    </row>
    <row r="6" customFormat="false" ht="15" hidden="false" customHeight="false" outlineLevel="0" collapsed="false">
      <c r="A6" s="9" t="s">
        <v>40</v>
      </c>
      <c r="B6" s="15" t="n">
        <v>2510</v>
      </c>
    </row>
    <row r="7" customFormat="false" ht="15" hidden="false" customHeight="false" outlineLevel="0" collapsed="false">
      <c r="A7" s="9" t="s">
        <v>41</v>
      </c>
      <c r="B7" s="16" t="n">
        <v>35000</v>
      </c>
    </row>
    <row r="8" customFormat="false" ht="15" hidden="false" customHeight="false" outlineLevel="0" collapsed="false">
      <c r="A8" s="9" t="s">
        <v>42</v>
      </c>
      <c r="B8" s="16" t="n">
        <v>245000</v>
      </c>
    </row>
    <row r="9" customFormat="false" ht="15" hidden="false" customHeight="false" outlineLevel="0" collapsed="false">
      <c r="A9" s="9" t="s">
        <v>43</v>
      </c>
      <c r="B9" s="17" t="n">
        <v>1.2</v>
      </c>
    </row>
    <row r="10" customFormat="false" ht="15" hidden="false" customHeight="false" outlineLevel="0" collapsed="false">
      <c r="A10" s="9" t="s">
        <v>44</v>
      </c>
      <c r="B10" s="18" t="n">
        <v>0.0455</v>
      </c>
    </row>
    <row r="11" customFormat="false" ht="15" hidden="false" customHeight="false" outlineLevel="0" collapsed="false">
      <c r="A11" s="9" t="s">
        <v>45</v>
      </c>
      <c r="B11" s="18" t="n">
        <v>0.0475</v>
      </c>
    </row>
    <row r="12" customFormat="false" ht="15" hidden="false" customHeight="false" outlineLevel="0" collapsed="false">
      <c r="A12" s="9" t="s">
        <v>46</v>
      </c>
      <c r="B12" s="19" t="n">
        <v>0.2</v>
      </c>
    </row>
    <row r="13" customFormat="false" ht="15" hidden="false" customHeight="false" outlineLevel="0" collapsed="false">
      <c r="A13" s="9" t="s">
        <v>47</v>
      </c>
      <c r="B13" s="19" t="n">
        <v>0.21</v>
      </c>
    </row>
    <row r="14" customFormat="false" ht="15" hidden="false" customHeight="false" outlineLevel="0" collapsed="false">
      <c r="A14" s="9" t="s">
        <v>48</v>
      </c>
      <c r="B14" s="19" t="n">
        <v>0.035</v>
      </c>
    </row>
    <row r="15" customFormat="false" ht="15" hidden="false" customHeight="false" outlineLevel="0" collapsed="false">
      <c r="A15" s="4" t="s">
        <v>49</v>
      </c>
      <c r="B15" s="20" t="n">
        <f aca="false">B10+B9*B11</f>
        <v>0.1025</v>
      </c>
    </row>
    <row r="17" customFormat="false" ht="15" hidden="false" customHeight="false" outlineLevel="0" collapsed="false">
      <c r="A17" s="11" t="s">
        <v>50</v>
      </c>
    </row>
    <row r="18" customFormat="false" ht="15" hidden="false" customHeight="false" outlineLevel="0" collapsed="false">
      <c r="A18" s="3"/>
      <c r="B18" s="3" t="s">
        <v>51</v>
      </c>
      <c r="C18" s="3" t="s">
        <v>52</v>
      </c>
      <c r="D18" s="3" t="s">
        <v>53</v>
      </c>
    </row>
    <row r="19" customFormat="false" ht="15" hidden="false" customHeight="false" outlineLevel="0" collapsed="false">
      <c r="A19" s="9" t="s">
        <v>54</v>
      </c>
      <c r="B19" s="19" t="n">
        <v>0.14</v>
      </c>
      <c r="C19" s="19" t="n">
        <v>0.18</v>
      </c>
      <c r="D19" s="19" t="n">
        <v>0.08</v>
      </c>
    </row>
    <row r="20" customFormat="false" ht="15" hidden="false" customHeight="false" outlineLevel="0" collapsed="false">
      <c r="A20" s="9" t="s">
        <v>55</v>
      </c>
      <c r="B20" s="19" t="n">
        <v>0.07</v>
      </c>
      <c r="C20" s="19" t="n">
        <v>0.09</v>
      </c>
      <c r="D20" s="19" t="n">
        <v>0.03</v>
      </c>
    </row>
    <row r="21" customFormat="false" ht="15" hidden="false" customHeight="false" outlineLevel="0" collapsed="false">
      <c r="A21" s="9" t="s">
        <v>56</v>
      </c>
      <c r="B21" s="19" t="n">
        <v>0.52</v>
      </c>
      <c r="C21" s="19" t="n">
        <v>0.55</v>
      </c>
      <c r="D21" s="19" t="n">
        <v>0.45</v>
      </c>
    </row>
    <row r="22" customFormat="false" ht="15" hidden="false" customHeight="false" outlineLevel="0" collapsed="false">
      <c r="A22" s="9" t="s">
        <v>57</v>
      </c>
      <c r="B22" s="21" t="n">
        <v>14</v>
      </c>
      <c r="C22" s="21" t="n">
        <v>16</v>
      </c>
      <c r="D22" s="21" t="n">
        <v>10</v>
      </c>
    </row>
    <row r="23" customFormat="false" ht="15" hidden="false" customHeight="false" outlineLevel="0" collapsed="false">
      <c r="A23" s="9" t="s">
        <v>58</v>
      </c>
      <c r="B23" s="19" t="n">
        <v>0.5</v>
      </c>
      <c r="C23" s="19" t="n">
        <v>0.25</v>
      </c>
      <c r="D23" s="19" t="n">
        <v>0.25</v>
      </c>
    </row>
    <row r="25" customFormat="false" ht="15" hidden="false" customHeight="false" outlineLevel="0" collapsed="false">
      <c r="A25" s="11" t="s">
        <v>59</v>
      </c>
    </row>
    <row r="26" customFormat="false" ht="15" hidden="false" customHeight="false" outlineLevel="0" collapsed="false">
      <c r="A26" s="9" t="s">
        <v>60</v>
      </c>
      <c r="B26" s="22" t="n">
        <f aca="false">$B$8*(1+(B19+B20)/2)^9</f>
        <v>601764.531600919</v>
      </c>
      <c r="C26" s="22" t="n">
        <f aca="false">$B$8*(1+(C19+C20)/2)^9</f>
        <v>765823.7630675</v>
      </c>
      <c r="D26" s="22" t="n">
        <f aca="false">$B$8*(1+(D19+D20)/2)^9</f>
        <v>396678.096963631</v>
      </c>
    </row>
    <row r="27" customFormat="false" ht="15" hidden="false" customHeight="false" outlineLevel="0" collapsed="false">
      <c r="A27" s="9" t="s">
        <v>61</v>
      </c>
      <c r="B27" s="22" t="n">
        <f aca="false">B26*B21</f>
        <v>312917.556432478</v>
      </c>
      <c r="C27" s="22" t="n">
        <f aca="false">C26*C21</f>
        <v>421203.069687125</v>
      </c>
      <c r="D27" s="22" t="n">
        <f aca="false">D26*D21</f>
        <v>178505.143633634</v>
      </c>
    </row>
    <row r="28" customFormat="false" ht="15" hidden="false" customHeight="false" outlineLevel="0" collapsed="false">
      <c r="A28" s="9" t="s">
        <v>62</v>
      </c>
      <c r="B28" s="22" t="n">
        <f aca="false">B27*(1-$B$13)-B26*$B$12</f>
        <v>126851.963261474</v>
      </c>
      <c r="C28" s="22" t="n">
        <f aca="false">C27*(1-$B$13)-C26*$B$12</f>
        <v>179585.672439329</v>
      </c>
      <c r="D28" s="22" t="n">
        <f aca="false">D27*(1-$B$13)-D26*$B$12</f>
        <v>61683.4440778446</v>
      </c>
    </row>
    <row r="29" customFormat="false" ht="15" hidden="false" customHeight="false" outlineLevel="0" collapsed="false">
      <c r="A29" s="9" t="s">
        <v>63</v>
      </c>
      <c r="B29" s="22" t="n">
        <f aca="false">$B$8*B21*0.67*(1-$B$13)-$B$8*$B$12</f>
        <v>18432.82</v>
      </c>
      <c r="C29" s="22" t="n">
        <f aca="false">$B$8*C21*0.67*(1-$B$13)-$B$8*$B$12</f>
        <v>22323.175</v>
      </c>
      <c r="D29" s="22" t="n">
        <f aca="false">$B$8*D21*0.67*(1-$B$13)-$B$8*$B$12</f>
        <v>9355.325</v>
      </c>
    </row>
    <row r="30" customFormat="false" ht="15" hidden="false" customHeight="false" outlineLevel="0" collapsed="false">
      <c r="A30" s="9" t="s">
        <v>64</v>
      </c>
      <c r="B30" s="22" t="n">
        <f aca="false">AVERAGE(B28:B29)*(1-(1+$B$15)^-9)/$B$15</f>
        <v>414224.170626272</v>
      </c>
      <c r="C30" s="22" t="n">
        <f aca="false">AVERAGE(C28:C29)*(1-(1+$B$15)^-9)/$B$15</f>
        <v>575666.10208683</v>
      </c>
      <c r="D30" s="22" t="n">
        <f aca="false">AVERAGE(D28:D29)*(1-(1+$B$15)^-9)/$B$15</f>
        <v>202539.966973847</v>
      </c>
    </row>
    <row r="31" customFormat="false" ht="15" hidden="false" customHeight="false" outlineLevel="0" collapsed="false">
      <c r="A31" s="9" t="s">
        <v>65</v>
      </c>
      <c r="B31" s="22" t="n">
        <f aca="false">B22*B27/(1+$B$15)^9</f>
        <v>1820331.91155698</v>
      </c>
      <c r="C31" s="22" t="n">
        <f aca="false">C22*C27/(1+$B$15)^9</f>
        <v>2800297.20557741</v>
      </c>
      <c r="D31" s="22" t="n">
        <f aca="false">D22*D27/(1+$B$15)^9</f>
        <v>741725.741798616</v>
      </c>
    </row>
    <row r="32" customFormat="false" ht="15" hidden="false" customHeight="false" outlineLevel="0" collapsed="false">
      <c r="A32" s="9" t="s">
        <v>66</v>
      </c>
      <c r="B32" s="22" t="n">
        <f aca="false">B28*(1+$B$14)/($B$15-$B$14)/(1+$B$15)^9</f>
        <v>808214.032966379</v>
      </c>
      <c r="C32" s="22" t="n">
        <f aca="false">C28*(1+$B$14)/($B$15-$B$14)/(1+$B$15)^9</f>
        <v>1144197.19532438</v>
      </c>
      <c r="D32" s="22" t="n">
        <f aca="false">D28*(1+$B$14)/($B$15-$B$14)/(1+$B$15)^9</f>
        <v>393004.757858185</v>
      </c>
    </row>
    <row r="33" customFormat="false" ht="15" hidden="false" customHeight="false" outlineLevel="0" collapsed="false">
      <c r="A33" s="9" t="s">
        <v>67</v>
      </c>
      <c r="B33" s="22" t="n">
        <f aca="false">B30+AVERAGE(B31:B32)</f>
        <v>1728497.14288795</v>
      </c>
      <c r="C33" s="22" t="n">
        <f aca="false">C30+AVERAGE(C31:C32)</f>
        <v>2547913.30253773</v>
      </c>
      <c r="D33" s="22" t="n">
        <f aca="false">D30+AVERAGE(D31:D32)</f>
        <v>769905.216802248</v>
      </c>
    </row>
    <row r="34" customFormat="false" ht="15" hidden="false" customHeight="false" outlineLevel="0" collapsed="false">
      <c r="A34" s="9" t="s">
        <v>68</v>
      </c>
      <c r="B34" s="22" t="n">
        <f aca="false">B33+$B$7</f>
        <v>1763497.14288795</v>
      </c>
      <c r="C34" s="22" t="n">
        <f aca="false">C33+$B$7</f>
        <v>2582913.30253773</v>
      </c>
      <c r="D34" s="22" t="n">
        <f aca="false">D33+$B$7</f>
        <v>804905.216802248</v>
      </c>
    </row>
    <row r="35" customFormat="false" ht="15" hidden="false" customHeight="false" outlineLevel="0" collapsed="false">
      <c r="A35" s="4" t="s">
        <v>69</v>
      </c>
      <c r="B35" s="23" t="n">
        <f aca="false">B34/$B$6</f>
        <v>702.58850314261</v>
      </c>
      <c r="C35" s="23" t="n">
        <f aca="false">C34/$B$6</f>
        <v>1029.04912451702</v>
      </c>
      <c r="D35" s="23" t="n">
        <f aca="false">D34/$B$6</f>
        <v>320.679369243924</v>
      </c>
    </row>
    <row r="36" customFormat="false" ht="15" hidden="false" customHeight="false" outlineLevel="0" collapsed="false">
      <c r="A36" s="4" t="s">
        <v>70</v>
      </c>
      <c r="B36" s="6" t="n">
        <f aca="false">B35/$B$5-1</f>
        <v>0.0698285492403425</v>
      </c>
      <c r="C36" s="6" t="n">
        <f aca="false">C35/$B$5-1</f>
        <v>0.566928759942476</v>
      </c>
      <c r="D36" s="6" t="n">
        <f aca="false">D35/$B$5-1</f>
        <v>-0.511702877523604</v>
      </c>
    </row>
    <row r="38" customFormat="false" ht="15" hidden="false" customHeight="false" outlineLevel="0" collapsed="false">
      <c r="A38" s="4" t="s">
        <v>71</v>
      </c>
      <c r="B38" s="24" t="n">
        <f aca="false">SUMPRODUCT(B23:D23,B35:D35)</f>
        <v>688.726375011541</v>
      </c>
    </row>
    <row r="39" customFormat="false" ht="15" hidden="false" customHeight="false" outlineLevel="0" collapsed="false">
      <c r="A39" s="4" t="s">
        <v>72</v>
      </c>
      <c r="B39" s="6" t="n">
        <f aca="false">B38/B5-1</f>
        <v>0.0487207452248892</v>
      </c>
    </row>
    <row r="41" customFormat="false" ht="15" hidden="false" customHeight="false" outlineLevel="0" collapsed="false">
      <c r="A41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13" t="s">
        <v>37</v>
      </c>
    </row>
    <row r="4" customFormat="false" ht="15" hidden="false" customHeight="false" outlineLevel="0" collapsed="false">
      <c r="A4" s="11" t="s">
        <v>38</v>
      </c>
    </row>
    <row r="5" customFormat="false" ht="15" hidden="false" customHeight="false" outlineLevel="0" collapsed="false">
      <c r="A5" s="9" t="s">
        <v>39</v>
      </c>
      <c r="B5" s="14" t="n">
        <v>101.6</v>
      </c>
    </row>
    <row r="6" customFormat="false" ht="15" hidden="false" customHeight="false" outlineLevel="0" collapsed="false">
      <c r="A6" s="9" t="s">
        <v>40</v>
      </c>
      <c r="B6" s="15" t="n">
        <v>1050</v>
      </c>
    </row>
    <row r="7" customFormat="false" ht="15" hidden="false" customHeight="false" outlineLevel="0" collapsed="false">
      <c r="A7" s="9" t="s">
        <v>41</v>
      </c>
      <c r="B7" s="16" t="n">
        <v>5000</v>
      </c>
    </row>
    <row r="8" customFormat="false" ht="15" hidden="false" customHeight="false" outlineLevel="0" collapsed="false">
      <c r="A8" s="9" t="s">
        <v>42</v>
      </c>
      <c r="B8" s="16" t="n">
        <v>15800</v>
      </c>
    </row>
    <row r="9" customFormat="false" ht="15" hidden="false" customHeight="false" outlineLevel="0" collapsed="false">
      <c r="A9" s="9" t="s">
        <v>43</v>
      </c>
      <c r="B9" s="17" t="n">
        <v>1.1</v>
      </c>
    </row>
    <row r="10" customFormat="false" ht="15" hidden="false" customHeight="false" outlineLevel="0" collapsed="false">
      <c r="A10" s="9" t="s">
        <v>44</v>
      </c>
      <c r="B10" s="18" t="n">
        <v>0.0455</v>
      </c>
    </row>
    <row r="11" customFormat="false" ht="15" hidden="false" customHeight="false" outlineLevel="0" collapsed="false">
      <c r="A11" s="9" t="s">
        <v>45</v>
      </c>
      <c r="B11" s="18" t="n">
        <v>0.0475</v>
      </c>
    </row>
    <row r="12" customFormat="false" ht="15" hidden="false" customHeight="false" outlineLevel="0" collapsed="false">
      <c r="A12" s="9" t="s">
        <v>46</v>
      </c>
      <c r="B12" s="19" t="n">
        <v>0.02</v>
      </c>
    </row>
    <row r="13" customFormat="false" ht="15" hidden="false" customHeight="false" outlineLevel="0" collapsed="false">
      <c r="A13" s="9" t="s">
        <v>47</v>
      </c>
      <c r="B13" s="19" t="n">
        <v>0.21</v>
      </c>
    </row>
    <row r="14" customFormat="false" ht="15" hidden="false" customHeight="false" outlineLevel="0" collapsed="false">
      <c r="A14" s="9" t="s">
        <v>48</v>
      </c>
      <c r="B14" s="19" t="n">
        <v>0.035</v>
      </c>
    </row>
    <row r="15" customFormat="false" ht="15" hidden="false" customHeight="false" outlineLevel="0" collapsed="false">
      <c r="A15" s="4" t="s">
        <v>49</v>
      </c>
      <c r="B15" s="20" t="n">
        <f aca="false">B10+B9*B11</f>
        <v>0.09775</v>
      </c>
    </row>
    <row r="17" customFormat="false" ht="15" hidden="false" customHeight="false" outlineLevel="0" collapsed="false">
      <c r="A17" s="11" t="s">
        <v>50</v>
      </c>
    </row>
    <row r="18" customFormat="false" ht="15" hidden="false" customHeight="false" outlineLevel="0" collapsed="false">
      <c r="A18" s="3"/>
      <c r="B18" s="3" t="s">
        <v>51</v>
      </c>
      <c r="C18" s="3" t="s">
        <v>52</v>
      </c>
      <c r="D18" s="3" t="s">
        <v>53</v>
      </c>
    </row>
    <row r="19" customFormat="false" ht="15" hidden="false" customHeight="false" outlineLevel="0" collapsed="false">
      <c r="A19" s="9" t="s">
        <v>54</v>
      </c>
      <c r="B19" s="19" t="n">
        <v>0.15</v>
      </c>
      <c r="C19" s="19" t="n">
        <v>0.2</v>
      </c>
      <c r="D19" s="19" t="n">
        <v>0.06</v>
      </c>
    </row>
    <row r="20" customFormat="false" ht="15" hidden="false" customHeight="false" outlineLevel="0" collapsed="false">
      <c r="A20" s="9" t="s">
        <v>55</v>
      </c>
      <c r="B20" s="19" t="n">
        <v>0.08</v>
      </c>
      <c r="C20" s="19" t="n">
        <v>0.11</v>
      </c>
      <c r="D20" s="19" t="n">
        <v>-0.02</v>
      </c>
    </row>
    <row r="21" customFormat="false" ht="15" hidden="false" customHeight="false" outlineLevel="0" collapsed="false">
      <c r="A21" s="9" t="s">
        <v>56</v>
      </c>
      <c r="B21" s="19" t="n">
        <v>0.4</v>
      </c>
      <c r="C21" s="19" t="n">
        <v>0.45</v>
      </c>
      <c r="D21" s="19" t="n">
        <v>0.32</v>
      </c>
    </row>
    <row r="22" customFormat="false" ht="15" hidden="false" customHeight="false" outlineLevel="0" collapsed="false">
      <c r="A22" s="9" t="s">
        <v>57</v>
      </c>
      <c r="B22" s="21" t="n">
        <v>20</v>
      </c>
      <c r="C22" s="21" t="n">
        <v>24</v>
      </c>
      <c r="D22" s="21" t="n">
        <v>10</v>
      </c>
    </row>
    <row r="23" customFormat="false" ht="15" hidden="false" customHeight="false" outlineLevel="0" collapsed="false">
      <c r="A23" s="9" t="s">
        <v>58</v>
      </c>
      <c r="B23" s="19" t="n">
        <v>0.45</v>
      </c>
      <c r="C23" s="19" t="n">
        <v>0.25</v>
      </c>
      <c r="D23" s="19" t="n">
        <v>0.3</v>
      </c>
    </row>
    <row r="25" customFormat="false" ht="15" hidden="false" customHeight="false" outlineLevel="0" collapsed="false">
      <c r="A25" s="11" t="s">
        <v>59</v>
      </c>
    </row>
    <row r="26" customFormat="false" ht="15" hidden="false" customHeight="false" outlineLevel="0" collapsed="false">
      <c r="A26" s="9" t="s">
        <v>60</v>
      </c>
      <c r="B26" s="22" t="n">
        <f aca="false">$B$8*(1+(B19+B20)/2)^9</f>
        <v>42085.3451648306</v>
      </c>
      <c r="C26" s="22" t="n">
        <f aca="false">$B$8*(1+(C19+C20)/2)^9</f>
        <v>57795.6224006251</v>
      </c>
      <c r="D26" s="22" t="n">
        <f aca="false">$B$8*(1+(D19+D20)/2)^9</f>
        <v>18882.4625842325</v>
      </c>
    </row>
    <row r="27" customFormat="false" ht="15" hidden="false" customHeight="false" outlineLevel="0" collapsed="false">
      <c r="A27" s="9" t="s">
        <v>61</v>
      </c>
      <c r="B27" s="22" t="n">
        <f aca="false">B26*B21</f>
        <v>16834.1380659323</v>
      </c>
      <c r="C27" s="22" t="n">
        <f aca="false">C26*C21</f>
        <v>26008.0300802813</v>
      </c>
      <c r="D27" s="22" t="n">
        <f aca="false">D26*D21</f>
        <v>6042.38802695441</v>
      </c>
    </row>
    <row r="28" customFormat="false" ht="15" hidden="false" customHeight="false" outlineLevel="0" collapsed="false">
      <c r="A28" s="9" t="s">
        <v>62</v>
      </c>
      <c r="B28" s="22" t="n">
        <f aca="false">B27*(1-$B$13)-B26*$B$12</f>
        <v>12457.2621687899</v>
      </c>
      <c r="C28" s="22" t="n">
        <f aca="false">C27*(1-$B$13)-C26*$B$12</f>
        <v>19390.4313154097</v>
      </c>
      <c r="D28" s="22" t="n">
        <f aca="false">D27*(1-$B$13)-D26*$B$12</f>
        <v>4395.83728960933</v>
      </c>
    </row>
    <row r="29" customFormat="false" ht="15" hidden="false" customHeight="false" outlineLevel="0" collapsed="false">
      <c r="A29" s="9" t="s">
        <v>63</v>
      </c>
      <c r="B29" s="22" t="n">
        <f aca="false">$B$8*B21*0.67*(1-$B$13)-$B$8*$B$12</f>
        <v>3029.176</v>
      </c>
      <c r="C29" s="22" t="n">
        <f aca="false">$B$8*C21*0.67*(1-$B$13)-$B$8*$B$12</f>
        <v>3447.323</v>
      </c>
      <c r="D29" s="22" t="n">
        <f aca="false">$B$8*D21*0.67*(1-$B$13)-$B$8*$B$12</f>
        <v>2360.1408</v>
      </c>
    </row>
    <row r="30" customFormat="false" ht="15" hidden="false" customHeight="false" outlineLevel="0" collapsed="false">
      <c r="A30" s="9" t="s">
        <v>64</v>
      </c>
      <c r="B30" s="22" t="n">
        <f aca="false">AVERAGE(B28:B29)*(1-(1+$B$15)^-9)/$B$15</f>
        <v>44995.0088478341</v>
      </c>
      <c r="C30" s="22" t="n">
        <f aca="false">AVERAGE(C28:C29)*(1-(1+$B$15)^-9)/$B$15</f>
        <v>66353.8604737037</v>
      </c>
      <c r="D30" s="22" t="n">
        <f aca="false">AVERAGE(D28:D29)*(1-(1+$B$15)^-9)/$B$15</f>
        <v>19629.1290873051</v>
      </c>
    </row>
    <row r="31" customFormat="false" ht="15" hidden="false" customHeight="false" outlineLevel="0" collapsed="false">
      <c r="A31" s="9" t="s">
        <v>65</v>
      </c>
      <c r="B31" s="22" t="n">
        <f aca="false">B22*B27/(1+$B$15)^9</f>
        <v>145442.01019178</v>
      </c>
      <c r="C31" s="22" t="n">
        <f aca="false">C22*C27/(1+$B$15)^9</f>
        <v>269642.092361793</v>
      </c>
      <c r="D31" s="22" t="n">
        <f aca="false">D22*D27/(1+$B$15)^9</f>
        <v>26102.2292188954</v>
      </c>
    </row>
    <row r="32" customFormat="false" ht="15" hidden="false" customHeight="false" outlineLevel="0" collapsed="false">
      <c r="A32" s="9" t="s">
        <v>66</v>
      </c>
      <c r="B32" s="22" t="n">
        <f aca="false">B28*(1+$B$14)/($B$15-$B$14)/(1+$B$15)^9</f>
        <v>88760.1877337725</v>
      </c>
      <c r="C32" s="22" t="n">
        <f aca="false">C28*(1+$B$14)/($B$15-$B$14)/(1+$B$15)^9</f>
        <v>138160.23942296</v>
      </c>
      <c r="D32" s="22" t="n">
        <f aca="false">D28*(1+$B$14)/($B$15-$B$14)/(1+$B$15)^9</f>
        <v>31321.1151684981</v>
      </c>
    </row>
    <row r="33" customFormat="false" ht="15" hidden="false" customHeight="false" outlineLevel="0" collapsed="false">
      <c r="A33" s="9" t="s">
        <v>67</v>
      </c>
      <c r="B33" s="22" t="n">
        <f aca="false">B30+AVERAGE(B31:B32)</f>
        <v>162096.107810611</v>
      </c>
      <c r="C33" s="22" t="n">
        <f aca="false">C30+AVERAGE(C31:C32)</f>
        <v>270255.02636608</v>
      </c>
      <c r="D33" s="22" t="n">
        <f aca="false">D30+AVERAGE(D31:D32)</f>
        <v>48340.8012810019</v>
      </c>
    </row>
    <row r="34" customFormat="false" ht="15" hidden="false" customHeight="false" outlineLevel="0" collapsed="false">
      <c r="A34" s="9" t="s">
        <v>68</v>
      </c>
      <c r="B34" s="22" t="n">
        <f aca="false">B33+$B$7</f>
        <v>167096.107810611</v>
      </c>
      <c r="C34" s="22" t="n">
        <f aca="false">C33+$B$7</f>
        <v>275255.02636608</v>
      </c>
      <c r="D34" s="22" t="n">
        <f aca="false">D33+$B$7</f>
        <v>53340.8012810019</v>
      </c>
    </row>
    <row r="35" customFormat="false" ht="15" hidden="false" customHeight="false" outlineLevel="0" collapsed="false">
      <c r="A35" s="4" t="s">
        <v>69</v>
      </c>
      <c r="B35" s="23" t="n">
        <f aca="false">B34/$B$6</f>
        <v>159.13915029582</v>
      </c>
      <c r="C35" s="23" t="n">
        <f aca="false">C34/$B$6</f>
        <v>262.147644158172</v>
      </c>
      <c r="D35" s="23" t="n">
        <f aca="false">D34/$B$6</f>
        <v>50.8007631247637</v>
      </c>
    </row>
    <row r="36" customFormat="false" ht="15" hidden="false" customHeight="false" outlineLevel="0" collapsed="false">
      <c r="A36" s="4" t="s">
        <v>70</v>
      </c>
      <c r="B36" s="6" t="n">
        <f aca="false">B35/$B$5-1</f>
        <v>0.566330219447043</v>
      </c>
      <c r="C36" s="6" t="n">
        <f aca="false">C35/$B$5-1</f>
        <v>1.5801933480135</v>
      </c>
      <c r="D36" s="6" t="n">
        <f aca="false">D35/$B$5-1</f>
        <v>-0.499992488929491</v>
      </c>
    </row>
    <row r="38" customFormat="false" ht="15" hidden="false" customHeight="false" outlineLevel="0" collapsed="false">
      <c r="A38" s="4" t="s">
        <v>71</v>
      </c>
      <c r="B38" s="24" t="n">
        <f aca="false">SUMPRODUCT(B23:D23,B35:D35)</f>
        <v>152.389757610091</v>
      </c>
    </row>
    <row r="39" customFormat="false" ht="15" hidden="false" customHeight="false" outlineLevel="0" collapsed="false">
      <c r="A39" s="4" t="s">
        <v>72</v>
      </c>
      <c r="B39" s="6" t="n">
        <f aca="false">B38/B5-1</f>
        <v>0.499899189075697</v>
      </c>
    </row>
    <row r="41" customFormat="false" ht="15" hidden="false" customHeight="false" outlineLevel="0" collapsed="false">
      <c r="A41" s="8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2026-07-22T18:24:23Z</dcterms:created>
  <dc:creator>openpyxl</dc:creator>
  <dc:description/>
  <dc:language>en-US</dc:language>
  <cp:lastModifiedBy/>
  <dcterms:modified xsi:type="dcterms:W3CDTF">2026-07-22T18:24:37Z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