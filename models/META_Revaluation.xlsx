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alu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<sst xmlns="http://schemas.openxmlformats.org/spreadsheetml/2006/main" count="110" uniqueCount="60">
  <si>
    <t xml:space="preserve">META — POST-Q2 2026 RE-VALUATION  ($mm; did the VALUE break, or just the price?)</t>
  </si>
  <si>
    <t xml:space="preserve">Q2-26 reality baked in: revenue +28% ($60.8B, BEAT) but op margin 43%→31%, capex ~$31B/qtr, FCF collapsed to $784mm. The swing variable is whether capex (~55% of revenue now) NORMALIZES. Capex modeled as a glide path per scenario. Value = as-of-now, mid-year discounting.</t>
  </si>
  <si>
    <t xml:space="preserve">SHARED INPUTS</t>
  </si>
  <si>
    <t xml:space="preserve">SCENARIO LEVERS</t>
  </si>
  <si>
    <t xml:space="preserve">Current price (after-hours ~7/29/26)</t>
  </si>
  <si>
    <t xml:space="preserve">Param</t>
  </si>
  <si>
    <t xml:space="preserve">Base</t>
  </si>
  <si>
    <t xml:space="preserve">Bull</t>
  </si>
  <si>
    <t xml:space="preserve">Bear</t>
  </si>
  <si>
    <t xml:space="preserve">Diluted shares (mm)</t>
  </si>
  <si>
    <t xml:space="preserve">FY27 revenue growth</t>
  </si>
  <si>
    <t xml:space="preserve">Net cash ($mm, e)</t>
  </si>
  <si>
    <t xml:space="preserve">FY35 revenue growth</t>
  </si>
  <si>
    <t xml:space="preserve">Risk-free (10Y)</t>
  </si>
  <si>
    <t xml:space="preserve">Terminal EBITDA margin</t>
  </si>
  <si>
    <t xml:space="preserve">Beta</t>
  </si>
  <si>
    <t xml:space="preserve">Terminal capex % of rev</t>
  </si>
  <si>
    <t xml:space="preserve">Equity risk premium</t>
  </si>
  <si>
    <t xml:space="preserve">Exit EV/EBITDA</t>
  </si>
  <si>
    <t xml:space="preserve">WACC (all-equity CAPM)</t>
  </si>
  <si>
    <t xml:space="preserve">Probability</t>
  </si>
  <si>
    <t xml:space="preserve">Cash tax rate</t>
  </si>
  <si>
    <t xml:space="preserve">Terminal growth g</t>
  </si>
  <si>
    <t xml:space="preserve">Bear = 'the black hole': capex stays at 30% of revenue, margins never fully recover, growth fades.</t>
  </si>
  <si>
    <t xml:space="preserve">FY2026E revenue</t>
  </si>
  <si>
    <t xml:space="preserve">FY2026 EBITDA margin</t>
  </si>
  <si>
    <t xml:space="preserve">FY2026 capex % of rev</t>
  </si>
  <si>
    <t xml:space="preserve">THE crux: 55% of revenue today (~$135B). Base/Bull assume it normalizes; Bear assumes it stays a black hole.</t>
  </si>
  <si>
    <t xml:space="preserve">BASE — capex normalizes to 18%, margins recover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</si>
  <si>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</si>
  <si>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</si>
  <si>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</si>
  <si>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</si>
  <si>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</si>
  <si>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</si>
  <si>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</si>
  <si>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</si>
  <si>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</si>
  <si>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</si>
  <si>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%</t>
  </si>
  <si>
    <t xml:space="preserve">Revenue</t>
  </si>
  <si>
    <t xml:space="preserve">EBITDA margin %</t>
  </si>
  <si>
    <t xml:space="preserve">EBITDA</t>
  </si>
  <si>
    <t xml:space="preserve">Capex % of revenue</t>
  </si>
  <si>
    <t xml:space="preserve">Capex</t>
  </si>
  <si>
    <t xml:space="preserve">Unlevered FCF</t>
  </si>
  <si>
    <t xml:space="preserve">PV of FCF</t>
  </si>
  <si>
    <t xml:space="preserve">Sum PV of FCF</t>
  </si>
  <si>
    <t xml:space="preserve">Terminal value (avg exit &amp; Gordon)</t>
  </si>
  <si>
    <t xml:space="preserve">PV of terminal value</t>
  </si>
  <si>
    <t xml:space="preserve">Equity value (EV + net cash)</t>
  </si>
  <si>
    <t xml:space="preserve">VALUE PER SHARE</t>
  </si>
  <si>
    <t xml:space="preserve">BULL — AI spend pays off; capex to 15%, margins 55%</t>
  </si>
  <si>
    <t xml:space="preserve">BEAR — the black hole: capex stays 30%, margins stuck 45%</t>
  </si>
  <si>
    <t xml:space="preserve">VERDICT — DID VALUE BREAK, OR JUST PRICE?</t>
  </si>
  <si>
    <t xml:space="preserve">Scenario</t>
  </si>
  <si>
    <t xml:space="preserve">Value/share</t>
  </si>
  <si>
    <t xml:space="preserve">vs $529 price</t>
  </si>
  <si>
    <t xml:space="preserve">PROBABILITY-WEIGHTED</t>
  </si>
  <si>
    <t xml:space="preserve">INTERPRETATION: If the weighted value sits ABOVE $529, the market price overshot to the downside and the VALUE didn't break — the bear case is a real tail, not the base. If it's BELOW, Q2 genuinely impaired intrinsic value. The gap between Base and Bear IS the sensitivity — and it's almost entirely the terminal-capex assumption. Your whole decision reduces to: do you believe Meta ever gets capital-disciplined?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</si>
</sst>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;\(#,##0\);\-"/>
    <numFmt numFmtId="167" formatCode="0.0%;\(0.0%\);\-"/>
    <numFmt numFmtId="168" formatCode="\$#,##0;&quot;($&quot;#,##0\);\-"/>
    <numFmt numFmtId="169" formatCode="0.00%;\(0.00%\);\-"/>
    <numFmt numFmtId="170" formatCode="0.00"/>
    <numFmt numFmtId="171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Unlevered FCF path — the capex recovery story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f3864"/>
            </a:solidFill>
            <a:ln w="2592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Revaluation!$C$20:$L$20</c:f>
              <c:multiLvlStrCache>
                <c:ptCount val="1"/>
                <c:lvl/>
                <c:lvl>
                  <c:pt idx="0">
                    <c:v>FY2035</c:v>
                  </c:pt>
                </c:lvl>
                <c:lvl>
                  <c:pt idx="0">
                    <c:v>FY2034</c:v>
                  </c:pt>
                </c:lvl>
                <c:lvl>
                  <c:pt idx="0">
                    <c:v>FY2033</c:v>
                  </c:pt>
                </c:lvl>
                <c:lvl>
                  <c:pt idx="0">
                    <c:v>FY2032</c:v>
                  </c:pt>
                </c:lvl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Revaluation!$C$27:$L$27</c:f>
              <c:numCache>
                <c:formatCode>\$#,##0;"($"#,##0\);\-</c:formatCode>
                <c:ptCount val="10"/>
                <c:pt idx="0">
                  <c:v>-30625</c:v>
                </c:pt>
                <c:pt idx="1">
                  <c:v>-22902.6</c:v>
                </c:pt>
                <c:pt idx="2">
                  <c:v>-12322.366875</c:v>
                </c:pt>
                <c:pt idx="3">
                  <c:v>1418.65198124998</c:v>
                </c:pt>
                <c:pt idx="4">
                  <c:v>18565.277818377</c:v>
                </c:pt>
                <c:pt idx="5">
                  <c:v>39283.3378518636</c:v>
                </c:pt>
                <c:pt idx="6">
                  <c:v>63639.5529219336</c:v>
                </c:pt>
                <c:pt idx="7">
                  <c:v>91583.5370620909</c:v>
                </c:pt>
                <c:pt idx="8">
                  <c:v>122933.336321903</c:v>
                </c:pt>
                <c:pt idx="9">
                  <c:v>157365.897280742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"Bull"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2e7d32"/>
            </a:solidFill>
            <a:ln w="2592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Revaluation!$C$20:$L$20</c:f>
              <c:multiLvlStrCache>
                <c:ptCount val="1"/>
                <c:lvl/>
                <c:lvl>
                  <c:pt idx="0">
                    <c:v>FY2035</c:v>
                  </c:pt>
                </c:lvl>
                <c:lvl>
                  <c:pt idx="0">
                    <c:v>FY2034</c:v>
                  </c:pt>
                </c:lvl>
                <c:lvl>
                  <c:pt idx="0">
                    <c:v>FY2033</c:v>
                  </c:pt>
                </c:lvl>
                <c:lvl>
                  <c:pt idx="0">
                    <c:v>FY2032</c:v>
                  </c:pt>
                </c:lvl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Revaluation!$C$43:$L$43</c:f>
              <c:numCache>
                <c:formatCode>\$#,##0;"($"#,##0\);\-</c:formatCode>
                <c:ptCount val="10"/>
                <c:pt idx="0">
                  <c:v>-30625</c:v>
                </c:pt>
                <c:pt idx="1">
                  <c:v>-21923.4166666667</c:v>
                </c:pt>
                <c:pt idx="2">
                  <c:v>-9010.28333333333</c:v>
                </c:pt>
                <c:pt idx="3">
                  <c:v>8799.80874609377</c:v>
                </c:pt>
                <c:pt idx="4">
                  <c:v>32128.2646914095</c:v>
                </c:pt>
                <c:pt idx="5">
                  <c:v>61482.6646696362</c:v>
                </c:pt>
                <c:pt idx="6">
                  <c:v>97204.092842695</c:v>
                </c:pt>
                <c:pt idx="7">
                  <c:v>139415.208404961</c:v>
                </c:pt>
                <c:pt idx="8">
                  <c:v>187973.313454069</c:v>
                </c:pt>
                <c:pt idx="9">
                  <c:v>242433.03523087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"Bear"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59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Revaluation!$C$20:$L$20</c:f>
              <c:multiLvlStrCache>
                <c:ptCount val="1"/>
                <c:lvl/>
                <c:lvl>
                  <c:pt idx="0">
                    <c:v>FY2035</c:v>
                  </c:pt>
                </c:lvl>
                <c:lvl>
                  <c:pt idx="0">
                    <c:v>FY2034</c:v>
                  </c:pt>
                </c:lvl>
                <c:lvl>
                  <c:pt idx="0">
                    <c:v>FY2033</c:v>
                  </c:pt>
                </c:lvl>
                <c:lvl>
                  <c:pt idx="0">
                    <c:v>FY2032</c:v>
                  </c:pt>
                </c:lvl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Revaluation!$C$59:$L$59</c:f>
              <c:numCache>
                <c:formatCode>\$#,##0;"($"#,##0\);\-</c:formatCode>
                <c:ptCount val="10"/>
                <c:pt idx="0">
                  <c:v>-30625</c:v>
                </c:pt>
                <c:pt idx="1">
                  <c:v>-26974.5</c:v>
                </c:pt>
                <c:pt idx="2">
                  <c:v>-22413.4575</c:v>
                </c:pt>
                <c:pt idx="3">
                  <c:v>-16933.8012046875</c:v>
                </c:pt>
                <c:pt idx="4">
                  <c:v>-10550.1372654727</c:v>
                </c:pt>
                <c:pt idx="5">
                  <c:v>-3301.38829260657</c:v>
                </c:pt>
                <c:pt idx="6">
                  <c:v>4748.33961856616</c:v>
                </c:pt>
                <c:pt idx="7">
                  <c:v>13509.7681428862</c:v>
                </c:pt>
                <c:pt idx="8">
                  <c:v>22869.4077018784</c:v>
                </c:pt>
                <c:pt idx="9">
                  <c:v>32691.4977106618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100259"/>
        <c:axId val="58474280"/>
      </c:lineChart>
      <c:catAx>
        <c:axId val="301002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74280"/>
        <c:crosses val="autoZero"/>
        <c:auto val="1"/>
        <c:lblAlgn val="ctr"/>
        <c:lblOffset val="100"/>
        <c:noMultiLvlLbl val="0"/>
      </c:catAx>
      <c:valAx>
        <c:axId val="58474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FCF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00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66</xdr:row>
      <xdr:rowOff>160560</xdr:rowOff>
    </xdr:from>
    <xdr:to>
      <xdr:col>10</xdr:col>
      <xdr:colOff>798840</xdr:colOff>
      <xdr:row>81</xdr:row>
      <xdr:rowOff>182880</xdr:rowOff>
    </xdr:to>
    <xdr:graphicFrame>
      <xdr:nvGraphicFramePr>
        <xdr:cNvPr id="0" name="Chart 1"/>
        <xdr:cNvGraphicFramePr/>
      </xdr:nvGraphicFramePr>
      <xdr:xfrm>
        <a:off x="5867280" y="12763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22"/>
    <col collapsed="false" customWidth="true" hidden="false" outlineLevel="0" max="12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G4" s="4" t="s">
        <v>3</v>
      </c>
    </row>
    <row r="5" customFormat="false" ht="15" hidden="false" customHeight="false" outlineLevel="0" collapsed="false">
      <c r="A5" s="5" t="s">
        <v>4</v>
      </c>
      <c r="B5" s="6" t="n">
        <v>529</v>
      </c>
      <c r="G5" s="7" t="s">
        <v>5</v>
      </c>
      <c r="H5" s="7" t="s">
        <v>6</v>
      </c>
      <c r="I5" s="7" t="s">
        <v>7</v>
      </c>
      <c r="J5" s="7" t="s">
        <v>8</v>
      </c>
    </row>
    <row r="6" customFormat="false" ht="15" hidden="false" customHeight="false" outlineLevel="0" collapsed="false">
      <c r="A6" s="5" t="s">
        <v>9</v>
      </c>
      <c r="B6" s="8" t="n">
        <v>2510</v>
      </c>
      <c r="G6" s="5" t="s">
        <v>10</v>
      </c>
      <c r="H6" s="9" t="n">
        <v>0.14</v>
      </c>
      <c r="I6" s="9" t="n">
        <v>0.18</v>
      </c>
      <c r="J6" s="9" t="n">
        <v>0.08</v>
      </c>
    </row>
    <row r="7" customFormat="false" ht="15" hidden="false" customHeight="false" outlineLevel="0" collapsed="false">
      <c r="A7" s="5" t="s">
        <v>11</v>
      </c>
      <c r="B7" s="10" t="n">
        <v>15000</v>
      </c>
      <c r="G7" s="5" t="s">
        <v>12</v>
      </c>
      <c r="H7" s="9" t="n">
        <v>0.07</v>
      </c>
      <c r="I7" s="9" t="n">
        <v>0.09</v>
      </c>
      <c r="J7" s="9" t="n">
        <v>0.03</v>
      </c>
    </row>
    <row r="8" customFormat="false" ht="15" hidden="false" customHeight="false" outlineLevel="0" collapsed="false">
      <c r="A8" s="5" t="s">
        <v>13</v>
      </c>
      <c r="B8" s="11" t="n">
        <v>0.0455</v>
      </c>
      <c r="G8" s="5" t="s">
        <v>14</v>
      </c>
      <c r="H8" s="9" t="n">
        <v>0.52</v>
      </c>
      <c r="I8" s="9" t="n">
        <v>0.55</v>
      </c>
      <c r="J8" s="9" t="n">
        <v>0.45</v>
      </c>
    </row>
    <row r="9" customFormat="false" ht="15" hidden="false" customHeight="false" outlineLevel="0" collapsed="false">
      <c r="A9" s="5" t="s">
        <v>15</v>
      </c>
      <c r="B9" s="12" t="n">
        <v>1.2</v>
      </c>
      <c r="G9" s="5" t="s">
        <v>16</v>
      </c>
      <c r="H9" s="9" t="n">
        <v>0.18</v>
      </c>
      <c r="I9" s="9" t="n">
        <v>0.15</v>
      </c>
      <c r="J9" s="9" t="n">
        <v>0.3</v>
      </c>
    </row>
    <row r="10" customFormat="false" ht="15" hidden="false" customHeight="false" outlineLevel="0" collapsed="false">
      <c r="A10" s="5" t="s">
        <v>17</v>
      </c>
      <c r="B10" s="11" t="n">
        <v>0.0475</v>
      </c>
      <c r="G10" s="5" t="s">
        <v>18</v>
      </c>
      <c r="H10" s="13" t="n">
        <v>13</v>
      </c>
      <c r="I10" s="13" t="n">
        <v>15</v>
      </c>
      <c r="J10" s="13" t="n">
        <v>9</v>
      </c>
    </row>
    <row r="11" customFormat="false" ht="15" hidden="false" customHeight="false" outlineLevel="0" collapsed="false">
      <c r="A11" s="14" t="s">
        <v>19</v>
      </c>
      <c r="B11" s="15" t="n">
        <f aca="false">B8+B9*B10</f>
        <v>0.1025</v>
      </c>
      <c r="G11" s="5" t="s">
        <v>20</v>
      </c>
      <c r="H11" s="9" t="n">
        <v>0.45</v>
      </c>
      <c r="I11" s="9" t="n">
        <v>0.25</v>
      </c>
      <c r="J11" s="9" t="n">
        <v>0.3</v>
      </c>
    </row>
    <row r="12" customFormat="false" ht="15" hidden="false" customHeight="false" outlineLevel="0" collapsed="false">
      <c r="A12" s="5" t="s">
        <v>21</v>
      </c>
      <c r="B12" s="9" t="n">
        <v>0.15</v>
      </c>
    </row>
    <row r="13" customFormat="false" ht="15" hidden="false" customHeight="false" outlineLevel="0" collapsed="false">
      <c r="A13" s="5" t="s">
        <v>22</v>
      </c>
      <c r="B13" s="9" t="n">
        <v>0.03</v>
      </c>
      <c r="G13" s="16" t="s">
        <v>23</v>
      </c>
    </row>
    <row r="14" customFormat="false" ht="15" hidden="false" customHeight="false" outlineLevel="0" collapsed="false">
      <c r="A14" s="5" t="s">
        <v>24</v>
      </c>
      <c r="B14" s="10" t="n">
        <v>245000</v>
      </c>
    </row>
    <row r="15" customFormat="false" ht="15" hidden="false" customHeight="false" outlineLevel="0" collapsed="false">
      <c r="A15" s="5" t="s">
        <v>25</v>
      </c>
      <c r="B15" s="9" t="n">
        <v>0.5</v>
      </c>
    </row>
    <row r="16" customFormat="false" ht="15" hidden="false" customHeight="false" outlineLevel="0" collapsed="false">
      <c r="A16" s="5" t="s">
        <v>26</v>
      </c>
      <c r="B16" s="9" t="n">
        <v>0.55</v>
      </c>
      <c r="C16" s="16" t="s">
        <v>27</v>
      </c>
    </row>
    <row r="19" customFormat="false" ht="15" hidden="false" customHeight="false" outlineLevel="0" collapsed="false">
      <c r="A19" s="3" t="s">
        <v>28</v>
      </c>
    </row>
    <row r="20" customFormat="false" ht="15" hidden="false" customHeight="false" outlineLevel="0" collapsed="false">
      <c r="A20" s="7"/>
      <c r="B20" s="7" t="s">
        <v>29</v>
      </c>
      <c r="C20" s="7" t="s">
        <v>30</v>
      </c>
      <c r="D20" s="7" t="s">
        <v>31</v>
      </c>
      <c r="E20" s="7" t="s">
        <v>32</v>
      </c>
      <c r="F20" s="7" t="s">
        <v>33</v>
      </c>
      <c r="G20" s="7" t="s">
        <v>34</v>
      </c>
      <c r="H20" s="7" t="s">
        <v>35</v>
      </c>
      <c r="I20" s="7" t="s">
        <v>36</v>
      </c>
      <c r="J20" s="7" t="s">
        <v>37</v>
      </c>
      <c r="K20" s="7" t="s">
        <v>38</v>
      </c>
    </row>
    <row r="21" customFormat="false" ht="15" hidden="false" customHeight="false" outlineLevel="0" collapsed="false">
      <c r="A21" s="5" t="s">
        <v>39</v>
      </c>
      <c r="D21" s="17" t="n">
        <f aca="false">H6+(H7-H6)*0/8</f>
        <v>0.14</v>
      </c>
      <c r="E21" s="17" t="n">
        <f aca="false">H6+(H7-H6)*1/8</f>
        <v>0.13125</v>
      </c>
      <c r="F21" s="17" t="n">
        <f aca="false">H6+(H7-H6)*2/8</f>
        <v>0.1225</v>
      </c>
      <c r="G21" s="17" t="n">
        <f aca="false">H6+(H7-H6)*3/8</f>
        <v>0.11375</v>
      </c>
      <c r="H21" s="17" t="n">
        <f aca="false">H6+(H7-H6)*4/8</f>
        <v>0.105</v>
      </c>
      <c r="I21" s="17" t="n">
        <f aca="false">H6+(H7-H6)*5/8</f>
        <v>0.09625</v>
      </c>
      <c r="J21" s="17" t="n">
        <f aca="false">H6+(H7-H6)*6/8</f>
        <v>0.0875</v>
      </c>
      <c r="K21" s="17" t="n">
        <f aca="false">H6+(H7-H6)*7/8</f>
        <v>0.07875</v>
      </c>
      <c r="L21" s="17" t="n">
        <f aca="false">H6+(H7-H6)*8/8</f>
        <v>0.07</v>
      </c>
    </row>
    <row r="22" customFormat="false" ht="15" hidden="false" customHeight="false" outlineLevel="0" collapsed="false">
      <c r="A22" s="5" t="s">
        <v>40</v>
      </c>
      <c r="C22" s="18" t="n">
        <f aca="false">$B$14</f>
        <v>245000</v>
      </c>
      <c r="D22" s="19" t="n">
        <f aca="false">C22*(1+D21)</f>
        <v>279300</v>
      </c>
      <c r="E22" s="19" t="n">
        <f aca="false">D22*(1+E21)</f>
        <v>315958.125</v>
      </c>
      <c r="F22" s="19" t="n">
        <f aca="false">E22*(1+F21)</f>
        <v>354662.9953125</v>
      </c>
      <c r="G22" s="19" t="n">
        <f aca="false">F22*(1+G21)</f>
        <v>395005.911029297</v>
      </c>
      <c r="H22" s="19" t="n">
        <f aca="false">G22*(1+H21)</f>
        <v>436481.531687373</v>
      </c>
      <c r="I22" s="19" t="n">
        <f aca="false">H22*(1+I21)</f>
        <v>478492.879112283</v>
      </c>
      <c r="J22" s="19" t="n">
        <f aca="false">I22*(1+J21)</f>
        <v>520361.006034608</v>
      </c>
      <c r="K22" s="19" t="n">
        <f aca="false">J22*(1+K21)</f>
        <v>561339.435259833</v>
      </c>
      <c r="L22" s="19" t="n">
        <f aca="false">K22*(1+L21)</f>
        <v>600633.195728021</v>
      </c>
    </row>
    <row r="23" customFormat="false" ht="15" hidden="false" customHeight="false" outlineLevel="0" collapsed="false">
      <c r="A23" s="5" t="s">
        <v>41</v>
      </c>
      <c r="C23" s="17" t="n">
        <f aca="false">$B$15+(H8-$B$15)*0/9</f>
        <v>0.5</v>
      </c>
      <c r="D23" s="17" t="n">
        <f aca="false">$B$15+(H8-$B$15)*1/9</f>
        <v>0.502222222222222</v>
      </c>
      <c r="E23" s="17" t="n">
        <f aca="false">$B$15+(H8-$B$15)*2/9</f>
        <v>0.504444444444445</v>
      </c>
      <c r="F23" s="17" t="n">
        <f aca="false">$B$15+(H8-$B$15)*3/9</f>
        <v>0.506666666666667</v>
      </c>
      <c r="G23" s="17" t="n">
        <f aca="false">$B$15+(H8-$B$15)*4/9</f>
        <v>0.508888888888889</v>
      </c>
      <c r="H23" s="17" t="n">
        <f aca="false">$B$15+(H8-$B$15)*5/9</f>
        <v>0.511111111111111</v>
      </c>
      <c r="I23" s="17" t="n">
        <f aca="false">$B$15+(H8-$B$15)*6/9</f>
        <v>0.513333333333333</v>
      </c>
      <c r="J23" s="17" t="n">
        <f aca="false">$B$15+(H8-$B$15)*7/9</f>
        <v>0.515555555555556</v>
      </c>
      <c r="K23" s="17" t="n">
        <f aca="false">$B$15+(H8-$B$15)*8/9</f>
        <v>0.517777777777778</v>
      </c>
      <c r="L23" s="17" t="n">
        <f aca="false">$B$15+(H8-$B$15)*9/9</f>
        <v>0.52</v>
      </c>
    </row>
    <row r="24" customFormat="false" ht="15" hidden="false" customHeight="false" outlineLevel="0" collapsed="false">
      <c r="A24" s="5" t="s">
        <v>42</v>
      </c>
      <c r="C24" s="19" t="n">
        <f aca="false">C22*C23</f>
        <v>122500</v>
      </c>
      <c r="D24" s="19" t="n">
        <f aca="false">D22*D23</f>
        <v>140270.666666667</v>
      </c>
      <c r="E24" s="19" t="n">
        <f aca="false">E22*E23</f>
        <v>159383.320833333</v>
      </c>
      <c r="F24" s="19" t="n">
        <f aca="false">F22*F23</f>
        <v>179695.917625</v>
      </c>
      <c r="G24" s="19" t="n">
        <f aca="false">G22*G23</f>
        <v>201014.119168242</v>
      </c>
      <c r="H24" s="19" t="n">
        <f aca="false">H22*H23</f>
        <v>223090.560640213</v>
      </c>
      <c r="I24" s="19" t="n">
        <f aca="false">I22*I23</f>
        <v>245626.344610972</v>
      </c>
      <c r="J24" s="19" t="n">
        <f aca="false">J22*J23</f>
        <v>268275.00755562</v>
      </c>
      <c r="K24" s="19" t="n">
        <f aca="false">K22*K23</f>
        <v>290649.085367869</v>
      </c>
      <c r="L24" s="19" t="n">
        <f aca="false">L22*L23</f>
        <v>312329.261778571</v>
      </c>
    </row>
    <row r="25" customFormat="false" ht="15" hidden="false" customHeight="false" outlineLevel="0" collapsed="false">
      <c r="A25" s="5" t="s">
        <v>43</v>
      </c>
      <c r="C25" s="17" t="n">
        <f aca="false">$B$16+(H9-$B$16)*0/9</f>
        <v>0.55</v>
      </c>
      <c r="D25" s="17" t="n">
        <f aca="false">$B$16+(H9-$B$16)*1/9</f>
        <v>0.508888888888889</v>
      </c>
      <c r="E25" s="17" t="n">
        <f aca="false">$B$16+(H9-$B$16)*2/9</f>
        <v>0.467777777777778</v>
      </c>
      <c r="F25" s="17" t="n">
        <f aca="false">$B$16+(H9-$B$16)*3/9</f>
        <v>0.426666666666667</v>
      </c>
      <c r="G25" s="17" t="n">
        <f aca="false">$B$16+(H9-$B$16)*4/9</f>
        <v>0.385555555555556</v>
      </c>
      <c r="H25" s="17" t="n">
        <f aca="false">$B$16+(H9-$B$16)*5/9</f>
        <v>0.344444444444444</v>
      </c>
      <c r="I25" s="17" t="n">
        <f aca="false">$B$16+(H9-$B$16)*6/9</f>
        <v>0.303333333333333</v>
      </c>
      <c r="J25" s="17" t="n">
        <f aca="false">$B$16+(H9-$B$16)*7/9</f>
        <v>0.262222222222222</v>
      </c>
      <c r="K25" s="17" t="n">
        <f aca="false">$B$16+(H9-$B$16)*8/9</f>
        <v>0.221111111111111</v>
      </c>
      <c r="L25" s="17" t="n">
        <f aca="false">$B$16+(H9-$B$16)*9/9</f>
        <v>0.18</v>
      </c>
    </row>
    <row r="26" customFormat="false" ht="15" hidden="false" customHeight="false" outlineLevel="0" collapsed="false">
      <c r="A26" s="5" t="s">
        <v>44</v>
      </c>
      <c r="C26" s="19" t="n">
        <f aca="false">C22*C25</f>
        <v>134750</v>
      </c>
      <c r="D26" s="19" t="n">
        <f aca="false">D22*D25</f>
        <v>142132.666666667</v>
      </c>
      <c r="E26" s="19" t="n">
        <f aca="false">E22*E25</f>
        <v>147798.189583333</v>
      </c>
      <c r="F26" s="19" t="n">
        <f aca="false">F22*F25</f>
        <v>151322.878</v>
      </c>
      <c r="G26" s="19" t="n">
        <f aca="false">G22*G25</f>
        <v>152296.723474629</v>
      </c>
      <c r="H26" s="19" t="n">
        <f aca="false">H22*H25</f>
        <v>150343.638692317</v>
      </c>
      <c r="I26" s="19" t="n">
        <f aca="false">I22*I25</f>
        <v>145142.839997392</v>
      </c>
      <c r="J26" s="19" t="n">
        <f aca="false">J22*J25</f>
        <v>136450.219360186</v>
      </c>
      <c r="K26" s="19" t="n">
        <f aca="false">K22*K25</f>
        <v>124118.386240785</v>
      </c>
      <c r="L26" s="19" t="n">
        <f aca="false">L22*L25</f>
        <v>108113.975231044</v>
      </c>
    </row>
    <row r="27" customFormat="false" ht="15" hidden="false" customHeight="false" outlineLevel="0" collapsed="false">
      <c r="A27" s="14" t="s">
        <v>45</v>
      </c>
      <c r="C27" s="18" t="n">
        <f aca="false">C24*(1-$B$12)-C26</f>
        <v>-30625</v>
      </c>
      <c r="D27" s="18" t="n">
        <f aca="false">D24*(1-$B$12)-D26</f>
        <v>-22902.6</v>
      </c>
      <c r="E27" s="18" t="n">
        <f aca="false">E24*(1-$B$12)-E26</f>
        <v>-12322.366875</v>
      </c>
      <c r="F27" s="18" t="n">
        <f aca="false">F24*(1-$B$12)-F26</f>
        <v>1418.65198124998</v>
      </c>
      <c r="G27" s="18" t="n">
        <f aca="false">G24*(1-$B$12)-G26</f>
        <v>18565.277818377</v>
      </c>
      <c r="H27" s="18" t="n">
        <f aca="false">H24*(1-$B$12)-H26</f>
        <v>39283.3378518636</v>
      </c>
      <c r="I27" s="18" t="n">
        <f aca="false">I24*(1-$B$12)-I26</f>
        <v>63639.5529219336</v>
      </c>
      <c r="J27" s="18" t="n">
        <f aca="false">J24*(1-$B$12)-J26</f>
        <v>91583.5370620909</v>
      </c>
      <c r="K27" s="18" t="n">
        <f aca="false">K24*(1-$B$12)-K26</f>
        <v>122933.336321903</v>
      </c>
      <c r="L27" s="18" t="n">
        <f aca="false">L24*(1-$B$12)-L26</f>
        <v>157365.897280742</v>
      </c>
    </row>
    <row r="28" customFormat="false" ht="15" hidden="false" customHeight="false" outlineLevel="0" collapsed="false">
      <c r="A28" s="5" t="s">
        <v>46</v>
      </c>
      <c r="C28" s="19" t="n">
        <f aca="false">C27*(1+$B$11)^-(0.5+0)</f>
        <v>-29166.6666666667</v>
      </c>
      <c r="D28" s="19" t="n">
        <f aca="false">D27*(1+$B$11)^-(0.5+1)</f>
        <v>-19784.126984127</v>
      </c>
      <c r="E28" s="19" t="n">
        <f aca="false">E27*(1+$B$11)^-(0.5+2)</f>
        <v>-9654.89687938668</v>
      </c>
      <c r="F28" s="19" t="n">
        <f aca="false">F27*(1+$B$11)^-(0.5+3)</f>
        <v>1008.20947702646</v>
      </c>
      <c r="G28" s="19" t="n">
        <f aca="false">G27*(1+$B$11)^-(0.5+4)</f>
        <v>11967.3436137863</v>
      </c>
      <c r="H28" s="19" t="n">
        <f aca="false">H27*(1+$B$11)^-(0.5+5)</f>
        <v>22968.1540481699</v>
      </c>
      <c r="I28" s="19" t="n">
        <f aca="false">I27*(1+$B$11)^-(0.5+6)</f>
        <v>33749.4136600225</v>
      </c>
      <c r="J28" s="19" t="n">
        <f aca="false">J27*(1+$B$11)^-(0.5+7)</f>
        <v>44053.2472305138</v>
      </c>
      <c r="K28" s="19" t="n">
        <f aca="false">K27*(1+$B$11)^-(0.5+8)</f>
        <v>53635.407434198</v>
      </c>
      <c r="L28" s="19" t="n">
        <f aca="false">L27*(1+$B$11)^-(0.5+9)</f>
        <v>62275.0292303837</v>
      </c>
    </row>
    <row r="29" customFormat="false" ht="15" hidden="false" customHeight="false" outlineLevel="0" collapsed="false">
      <c r="A29" s="5" t="s">
        <v>47</v>
      </c>
      <c r="B29" s="18" t="n">
        <f aca="false">SUM(C28:L28)</f>
        <v>171051.11416392</v>
      </c>
    </row>
    <row r="30" customFormat="false" ht="15" hidden="false" customHeight="false" outlineLevel="0" collapsed="false">
      <c r="A30" s="5" t="s">
        <v>48</v>
      </c>
      <c r="B30" s="19" t="n">
        <f aca="false">AVERAGE(H10*L24,L27*(1+$B$13)/($B$11-$B$13))</f>
        <v>3147980.71327908</v>
      </c>
    </row>
    <row r="31" customFormat="false" ht="15" hidden="false" customHeight="false" outlineLevel="0" collapsed="false">
      <c r="A31" s="5" t="s">
        <v>49</v>
      </c>
      <c r="B31" s="19" t="n">
        <f aca="false">B30*(1+$B$11)^-9.5</f>
        <v>1245762.86427803</v>
      </c>
    </row>
    <row r="32" customFormat="false" ht="15" hidden="false" customHeight="false" outlineLevel="0" collapsed="false">
      <c r="A32" s="5" t="s">
        <v>50</v>
      </c>
      <c r="B32" s="18" t="n">
        <f aca="false">B29+B31+$B$7</f>
        <v>1431813.97844195</v>
      </c>
    </row>
    <row r="33" customFormat="false" ht="15" hidden="false" customHeight="false" outlineLevel="0" collapsed="false">
      <c r="A33" s="14" t="s">
        <v>51</v>
      </c>
      <c r="B33" s="20" t="n">
        <f aca="false">MAX(0,B32)/$B$6</f>
        <v>570.443816112331</v>
      </c>
    </row>
    <row r="35" customFormat="false" ht="15" hidden="false" customHeight="false" outlineLevel="0" collapsed="false">
      <c r="A35" s="3" t="s">
        <v>52</v>
      </c>
    </row>
    <row r="36" customFormat="false" ht="15" hidden="false" customHeight="false" outlineLevel="0" collapsed="false">
      <c r="A36" s="7"/>
      <c r="B36" s="7" t="s">
        <v>29</v>
      </c>
      <c r="C36" s="7" t="s">
        <v>30</v>
      </c>
      <c r="D36" s="7" t="s">
        <v>31</v>
      </c>
      <c r="E36" s="7" t="s">
        <v>32</v>
      </c>
      <c r="F36" s="7" t="s">
        <v>33</v>
      </c>
      <c r="G36" s="7" t="s">
        <v>34</v>
      </c>
      <c r="H36" s="7" t="s">
        <v>35</v>
      </c>
      <c r="I36" s="7" t="s">
        <v>36</v>
      </c>
      <c r="J36" s="7" t="s">
        <v>37</v>
      </c>
      <c r="K36" s="7" t="s">
        <v>38</v>
      </c>
    </row>
    <row r="37" customFormat="false" ht="15" hidden="false" customHeight="false" outlineLevel="0" collapsed="false">
      <c r="A37" s="5" t="s">
        <v>39</v>
      </c>
      <c r="D37" s="17" t="n">
        <f aca="false">I6+(I7-I6)*0/8</f>
        <v>0.18</v>
      </c>
      <c r="E37" s="17" t="n">
        <f aca="false">I6+(I7-I6)*1/8</f>
        <v>0.16875</v>
      </c>
      <c r="F37" s="17" t="n">
        <f aca="false">I6+(I7-I6)*2/8</f>
        <v>0.1575</v>
      </c>
      <c r="G37" s="17" t="n">
        <f aca="false">I6+(I7-I6)*3/8</f>
        <v>0.14625</v>
      </c>
      <c r="H37" s="17" t="n">
        <f aca="false">I6+(I7-I6)*4/8</f>
        <v>0.135</v>
      </c>
      <c r="I37" s="17" t="n">
        <f aca="false">I6+(I7-I6)*5/8</f>
        <v>0.12375</v>
      </c>
      <c r="J37" s="17" t="n">
        <f aca="false">I6+(I7-I6)*6/8</f>
        <v>0.1125</v>
      </c>
      <c r="K37" s="17" t="n">
        <f aca="false">I6+(I7-I6)*7/8</f>
        <v>0.10125</v>
      </c>
      <c r="L37" s="17" t="n">
        <f aca="false">I6+(I7-I6)*8/8</f>
        <v>0.09</v>
      </c>
    </row>
    <row r="38" customFormat="false" ht="15" hidden="false" customHeight="false" outlineLevel="0" collapsed="false">
      <c r="A38" s="5" t="s">
        <v>40</v>
      </c>
      <c r="C38" s="18" t="n">
        <f aca="false">$B$14</f>
        <v>245000</v>
      </c>
      <c r="D38" s="19" t="n">
        <f aca="false">C38*(1+D37)</f>
        <v>289100</v>
      </c>
      <c r="E38" s="19" t="n">
        <f aca="false">D38*(1+E37)</f>
        <v>337885.625</v>
      </c>
      <c r="F38" s="19" t="n">
        <f aca="false">E38*(1+F37)</f>
        <v>391102.6109375</v>
      </c>
      <c r="G38" s="19" t="n">
        <f aca="false">F38*(1+G37)</f>
        <v>448301.367787109</v>
      </c>
      <c r="H38" s="19" t="n">
        <f aca="false">G38*(1+H37)</f>
        <v>508822.052438369</v>
      </c>
      <c r="I38" s="19" t="n">
        <f aca="false">H38*(1+I37)</f>
        <v>571788.781427617</v>
      </c>
      <c r="J38" s="19" t="n">
        <f aca="false">I38*(1+J37)</f>
        <v>636115.019338224</v>
      </c>
      <c r="K38" s="19" t="n">
        <f aca="false">J38*(1+K37)</f>
        <v>700521.66504622</v>
      </c>
      <c r="L38" s="19" t="n">
        <f aca="false">K38*(1+L37)</f>
        <v>763568.614900379</v>
      </c>
    </row>
    <row r="39" customFormat="false" ht="15" hidden="false" customHeight="false" outlineLevel="0" collapsed="false">
      <c r="A39" s="5" t="s">
        <v>41</v>
      </c>
      <c r="C39" s="17" t="n">
        <f aca="false">$B$15+(I8-$B$15)*0/9</f>
        <v>0.5</v>
      </c>
      <c r="D39" s="17" t="n">
        <f aca="false">$B$15+(I8-$B$15)*1/9</f>
        <v>0.505555555555556</v>
      </c>
      <c r="E39" s="17" t="n">
        <f aca="false">$B$15+(I8-$B$15)*2/9</f>
        <v>0.511111111111111</v>
      </c>
      <c r="F39" s="17" t="n">
        <f aca="false">$B$15+(I8-$B$15)*3/9</f>
        <v>0.516666666666667</v>
      </c>
      <c r="G39" s="17" t="n">
        <f aca="false">$B$15+(I8-$B$15)*4/9</f>
        <v>0.522222222222222</v>
      </c>
      <c r="H39" s="17" t="n">
        <f aca="false">$B$15+(I8-$B$15)*5/9</f>
        <v>0.527777777777778</v>
      </c>
      <c r="I39" s="17" t="n">
        <f aca="false">$B$15+(I8-$B$15)*6/9</f>
        <v>0.533333333333333</v>
      </c>
      <c r="J39" s="17" t="n">
        <f aca="false">$B$15+(I8-$B$15)*7/9</f>
        <v>0.538888888888889</v>
      </c>
      <c r="K39" s="17" t="n">
        <f aca="false">$B$15+(I8-$B$15)*8/9</f>
        <v>0.544444444444445</v>
      </c>
      <c r="L39" s="17" t="n">
        <f aca="false">$B$15+(I8-$B$15)*9/9</f>
        <v>0.55</v>
      </c>
    </row>
    <row r="40" customFormat="false" ht="15" hidden="false" customHeight="false" outlineLevel="0" collapsed="false">
      <c r="A40" s="5" t="s">
        <v>42</v>
      </c>
      <c r="C40" s="19" t="n">
        <f aca="false">C38*C39</f>
        <v>122500</v>
      </c>
      <c r="D40" s="19" t="n">
        <f aca="false">D38*D39</f>
        <v>146156.111111111</v>
      </c>
      <c r="E40" s="19" t="n">
        <f aca="false">E38*E39</f>
        <v>172697.097222222</v>
      </c>
      <c r="F40" s="19" t="n">
        <f aca="false">F38*F39</f>
        <v>202069.682317708</v>
      </c>
      <c r="G40" s="19" t="n">
        <f aca="false">G38*G39</f>
        <v>234112.936511046</v>
      </c>
      <c r="H40" s="19" t="n">
        <f aca="false">H38*H39</f>
        <v>268544.97212025</v>
      </c>
      <c r="I40" s="19" t="n">
        <f aca="false">I38*I39</f>
        <v>304954.016761396</v>
      </c>
      <c r="J40" s="19" t="n">
        <f aca="false">J38*J39</f>
        <v>342795.31597671</v>
      </c>
      <c r="K40" s="19" t="n">
        <f aca="false">K38*K39</f>
        <v>381395.128747386</v>
      </c>
      <c r="L40" s="19" t="n">
        <f aca="false">L38*L39</f>
        <v>419962.738195209</v>
      </c>
    </row>
    <row r="41" customFormat="false" ht="15" hidden="false" customHeight="false" outlineLevel="0" collapsed="false">
      <c r="A41" s="5" t="s">
        <v>43</v>
      </c>
      <c r="C41" s="17" t="n">
        <f aca="false">$B$16+(I9-$B$16)*0/9</f>
        <v>0.55</v>
      </c>
      <c r="D41" s="17" t="n">
        <f aca="false">$B$16+(I9-$B$16)*1/9</f>
        <v>0.505555555555556</v>
      </c>
      <c r="E41" s="17" t="n">
        <f aca="false">$B$16+(I9-$B$16)*2/9</f>
        <v>0.461111111111111</v>
      </c>
      <c r="F41" s="17" t="n">
        <f aca="false">$B$16+(I9-$B$16)*3/9</f>
        <v>0.416666666666667</v>
      </c>
      <c r="G41" s="17" t="n">
        <f aca="false">$B$16+(I9-$B$16)*4/9</f>
        <v>0.372222222222222</v>
      </c>
      <c r="H41" s="17" t="n">
        <f aca="false">$B$16+(I9-$B$16)*5/9</f>
        <v>0.327777777777778</v>
      </c>
      <c r="I41" s="17" t="n">
        <f aca="false">$B$16+(I9-$B$16)*6/9</f>
        <v>0.283333333333333</v>
      </c>
      <c r="J41" s="17" t="n">
        <f aca="false">$B$16+(I9-$B$16)*7/9</f>
        <v>0.238888888888889</v>
      </c>
      <c r="K41" s="17" t="n">
        <f aca="false">$B$16+(I9-$B$16)*8/9</f>
        <v>0.194444444444444</v>
      </c>
      <c r="L41" s="17" t="n">
        <f aca="false">$B$16+(I9-$B$16)*9/9</f>
        <v>0.15</v>
      </c>
    </row>
    <row r="42" customFormat="false" ht="15" hidden="false" customHeight="false" outlineLevel="0" collapsed="false">
      <c r="A42" s="5" t="s">
        <v>44</v>
      </c>
      <c r="C42" s="19" t="n">
        <f aca="false">C38*C41</f>
        <v>134750</v>
      </c>
      <c r="D42" s="19" t="n">
        <f aca="false">D38*D41</f>
        <v>146156.111111111</v>
      </c>
      <c r="E42" s="19" t="n">
        <f aca="false">E38*E41</f>
        <v>155802.815972222</v>
      </c>
      <c r="F42" s="19" t="n">
        <f aca="false">F38*F41</f>
        <v>162959.421223958</v>
      </c>
      <c r="G42" s="19" t="n">
        <f aca="false">G38*G41</f>
        <v>166867.73134298</v>
      </c>
      <c r="H42" s="19" t="n">
        <f aca="false">H38*H41</f>
        <v>166780.561632577</v>
      </c>
      <c r="I42" s="19" t="n">
        <f aca="false">I38*I41</f>
        <v>162006.821404492</v>
      </c>
      <c r="J42" s="19" t="n">
        <f aca="false">J38*J41</f>
        <v>151960.810175243</v>
      </c>
      <c r="K42" s="19" t="n">
        <f aca="false">K38*K41</f>
        <v>136212.545981209</v>
      </c>
      <c r="L42" s="19" t="n">
        <f aca="false">L38*L41</f>
        <v>114535.292235057</v>
      </c>
    </row>
    <row r="43" customFormat="false" ht="15" hidden="false" customHeight="false" outlineLevel="0" collapsed="false">
      <c r="A43" s="14" t="s">
        <v>45</v>
      </c>
      <c r="C43" s="18" t="n">
        <f aca="false">C40*(1-$B$12)-C42</f>
        <v>-30625</v>
      </c>
      <c r="D43" s="18" t="n">
        <f aca="false">D40*(1-$B$12)-D42</f>
        <v>-21923.4166666667</v>
      </c>
      <c r="E43" s="18" t="n">
        <f aca="false">E40*(1-$B$12)-E42</f>
        <v>-9010.28333333333</v>
      </c>
      <c r="F43" s="18" t="n">
        <f aca="false">F40*(1-$B$12)-F42</f>
        <v>8799.80874609377</v>
      </c>
      <c r="G43" s="18" t="n">
        <f aca="false">G40*(1-$B$12)-G42</f>
        <v>32128.2646914095</v>
      </c>
      <c r="H43" s="18" t="n">
        <f aca="false">H40*(1-$B$12)-H42</f>
        <v>61482.6646696362</v>
      </c>
      <c r="I43" s="18" t="n">
        <f aca="false">I40*(1-$B$12)-I42</f>
        <v>97204.092842695</v>
      </c>
      <c r="J43" s="18" t="n">
        <f aca="false">J40*(1-$B$12)-J42</f>
        <v>139415.208404961</v>
      </c>
      <c r="K43" s="18" t="n">
        <f aca="false">K40*(1-$B$12)-K42</f>
        <v>187973.313454069</v>
      </c>
      <c r="L43" s="18" t="n">
        <f aca="false">L40*(1-$B$12)-L42</f>
        <v>242433.03523087</v>
      </c>
    </row>
    <row r="44" customFormat="false" ht="15" hidden="false" customHeight="false" outlineLevel="0" collapsed="false">
      <c r="A44" s="5" t="s">
        <v>46</v>
      </c>
      <c r="C44" s="19" t="n">
        <f aca="false">C43*(1+$B$11)^-(0.5+0)</f>
        <v>-29166.6666666667</v>
      </c>
      <c r="D44" s="19" t="n">
        <f aca="false">D43*(1+$B$11)^-(0.5+1)</f>
        <v>-18938.2716049383</v>
      </c>
      <c r="E44" s="19" t="n">
        <f aca="false">E43*(1+$B$11)^-(0.5+2)</f>
        <v>-7059.79275896131</v>
      </c>
      <c r="F44" s="19" t="n">
        <f aca="false">F43*(1+$B$11)^-(0.5+3)</f>
        <v>6253.8597845646</v>
      </c>
      <c r="G44" s="19" t="n">
        <f aca="false">G43*(1+$B$11)^-(0.5+4)</f>
        <v>20710.165882688</v>
      </c>
      <c r="H44" s="19" t="n">
        <f aca="false">H43*(1+$B$11)^-(0.5+5)</f>
        <v>35947.6406701827</v>
      </c>
      <c r="I44" s="19" t="n">
        <f aca="false">I43*(1+$B$11)^-(0.5+6)</f>
        <v>51549.4058045886</v>
      </c>
      <c r="J44" s="19" t="n">
        <f aca="false">J43*(1+$B$11)^-(0.5+7)</f>
        <v>67061.0989767021</v>
      </c>
      <c r="K44" s="19" t="n">
        <f aca="false">K43*(1+$B$11)^-(0.5+8)</f>
        <v>82012.1340192477</v>
      </c>
      <c r="L44" s="19" t="n">
        <f aca="false">L43*(1+$B$11)^-(0.5+9)</f>
        <v>95938.9843434694</v>
      </c>
    </row>
    <row r="45" customFormat="false" ht="15" hidden="false" customHeight="false" outlineLevel="0" collapsed="false">
      <c r="A45" s="5" t="s">
        <v>47</v>
      </c>
      <c r="B45" s="18" t="n">
        <f aca="false">SUM(C44:L44)</f>
        <v>304308.558450877</v>
      </c>
    </row>
    <row r="46" customFormat="false" ht="15" hidden="false" customHeight="false" outlineLevel="0" collapsed="false">
      <c r="A46" s="5" t="s">
        <v>48</v>
      </c>
      <c r="B46" s="19" t="n">
        <f aca="false">AVERAGE(I10*L40,L43*(1+$B$13)/($B$11-$B$13))</f>
        <v>4871831.0625868</v>
      </c>
    </row>
    <row r="47" customFormat="false" ht="15" hidden="false" customHeight="false" outlineLevel="0" collapsed="false">
      <c r="A47" s="5" t="s">
        <v>49</v>
      </c>
      <c r="B47" s="19" t="n">
        <f aca="false">B46*(1+$B$11)^-9.5</f>
        <v>1927948.98431411</v>
      </c>
    </row>
    <row r="48" customFormat="false" ht="15" hidden="false" customHeight="false" outlineLevel="0" collapsed="false">
      <c r="A48" s="5" t="s">
        <v>50</v>
      </c>
      <c r="B48" s="18" t="n">
        <f aca="false">B45+B47+$B$7</f>
        <v>2247257.54276499</v>
      </c>
    </row>
    <row r="49" customFormat="false" ht="15" hidden="false" customHeight="false" outlineLevel="0" collapsed="false">
      <c r="A49" s="14" t="s">
        <v>51</v>
      </c>
      <c r="B49" s="20" t="n">
        <f aca="false">MAX(0,B48)/$B$6</f>
        <v>895.321730185253</v>
      </c>
    </row>
    <row r="51" customFormat="false" ht="15" hidden="false" customHeight="false" outlineLevel="0" collapsed="false">
      <c r="A51" s="3" t="s">
        <v>53</v>
      </c>
    </row>
    <row r="52" customFormat="false" ht="15" hidden="false" customHeight="false" outlineLevel="0" collapsed="false">
      <c r="A52" s="7"/>
      <c r="B52" s="7" t="s">
        <v>29</v>
      </c>
      <c r="C52" s="7" t="s">
        <v>30</v>
      </c>
      <c r="D52" s="7" t="s">
        <v>31</v>
      </c>
      <c r="E52" s="7" t="s">
        <v>32</v>
      </c>
      <c r="F52" s="7" t="s">
        <v>33</v>
      </c>
      <c r="G52" s="7" t="s">
        <v>34</v>
      </c>
      <c r="H52" s="7" t="s">
        <v>35</v>
      </c>
      <c r="I52" s="7" t="s">
        <v>36</v>
      </c>
      <c r="J52" s="7" t="s">
        <v>37</v>
      </c>
      <c r="K52" s="7" t="s">
        <v>38</v>
      </c>
    </row>
    <row r="53" customFormat="false" ht="15" hidden="false" customHeight="false" outlineLevel="0" collapsed="false">
      <c r="A53" s="5" t="s">
        <v>39</v>
      </c>
      <c r="D53" s="17" t="n">
        <f aca="false">J6+(J7-J6)*0/8</f>
        <v>0.08</v>
      </c>
      <c r="E53" s="17" t="n">
        <f aca="false">J6+(J7-J6)*1/8</f>
        <v>0.07375</v>
      </c>
      <c r="F53" s="17" t="n">
        <f aca="false">J6+(J7-J6)*2/8</f>
        <v>0.0675</v>
      </c>
      <c r="G53" s="17" t="n">
        <f aca="false">J6+(J7-J6)*3/8</f>
        <v>0.06125</v>
      </c>
      <c r="H53" s="17" t="n">
        <f aca="false">J6+(J7-J6)*4/8</f>
        <v>0.055</v>
      </c>
      <c r="I53" s="17" t="n">
        <f aca="false">J6+(J7-J6)*5/8</f>
        <v>0.04875</v>
      </c>
      <c r="J53" s="17" t="n">
        <f aca="false">J6+(J7-J6)*6/8</f>
        <v>0.0425</v>
      </c>
      <c r="K53" s="17" t="n">
        <f aca="false">J6+(J7-J6)*7/8</f>
        <v>0.03625</v>
      </c>
      <c r="L53" s="17" t="n">
        <f aca="false">J6+(J7-J6)*8/8</f>
        <v>0.03</v>
      </c>
    </row>
    <row r="54" customFormat="false" ht="15" hidden="false" customHeight="false" outlineLevel="0" collapsed="false">
      <c r="A54" s="5" t="s">
        <v>40</v>
      </c>
      <c r="C54" s="18" t="n">
        <f aca="false">$B$14</f>
        <v>245000</v>
      </c>
      <c r="D54" s="19" t="n">
        <f aca="false">C54*(1+D53)</f>
        <v>264600</v>
      </c>
      <c r="E54" s="19" t="n">
        <f aca="false">D54*(1+E53)</f>
        <v>284114.25</v>
      </c>
      <c r="F54" s="19" t="n">
        <f aca="false">E54*(1+F53)</f>
        <v>303291.961875</v>
      </c>
      <c r="G54" s="19" t="n">
        <f aca="false">F54*(1+G53)</f>
        <v>321868.594539844</v>
      </c>
      <c r="H54" s="19" t="n">
        <f aca="false">G54*(1+H53)</f>
        <v>339571.367239535</v>
      </c>
      <c r="I54" s="19" t="n">
        <f aca="false">H54*(1+I53)</f>
        <v>356125.471392463</v>
      </c>
      <c r="J54" s="19" t="n">
        <f aca="false">I54*(1+J53)</f>
        <v>371260.803926642</v>
      </c>
      <c r="K54" s="19" t="n">
        <f aca="false">J54*(1+K53)</f>
        <v>384719.008068983</v>
      </c>
      <c r="L54" s="19" t="n">
        <f aca="false">K54*(1+L53)</f>
        <v>396260.578311052</v>
      </c>
    </row>
    <row r="55" customFormat="false" ht="15" hidden="false" customHeight="false" outlineLevel="0" collapsed="false">
      <c r="A55" s="5" t="s">
        <v>41</v>
      </c>
      <c r="C55" s="17" t="n">
        <f aca="false">$B$15+(J8-$B$15)*0/9</f>
        <v>0.5</v>
      </c>
      <c r="D55" s="17" t="n">
        <f aca="false">$B$15+(J8-$B$15)*1/9</f>
        <v>0.494444444444444</v>
      </c>
      <c r="E55" s="17" t="n">
        <f aca="false">$B$15+(J8-$B$15)*2/9</f>
        <v>0.488888888888889</v>
      </c>
      <c r="F55" s="17" t="n">
        <f aca="false">$B$15+(J8-$B$15)*3/9</f>
        <v>0.483333333333333</v>
      </c>
      <c r="G55" s="17" t="n">
        <f aca="false">$B$15+(J8-$B$15)*4/9</f>
        <v>0.477777777777778</v>
      </c>
      <c r="H55" s="17" t="n">
        <f aca="false">$B$15+(J8-$B$15)*5/9</f>
        <v>0.472222222222222</v>
      </c>
      <c r="I55" s="17" t="n">
        <f aca="false">$B$15+(J8-$B$15)*6/9</f>
        <v>0.466666666666667</v>
      </c>
      <c r="J55" s="17" t="n">
        <f aca="false">$B$15+(J8-$B$15)*7/9</f>
        <v>0.461111111111111</v>
      </c>
      <c r="K55" s="17" t="n">
        <f aca="false">$B$15+(J8-$B$15)*8/9</f>
        <v>0.455555555555556</v>
      </c>
      <c r="L55" s="17" t="n">
        <f aca="false">$B$15+(J8-$B$15)*9/9</f>
        <v>0.45</v>
      </c>
    </row>
    <row r="56" customFormat="false" ht="15" hidden="false" customHeight="false" outlineLevel="0" collapsed="false">
      <c r="A56" s="5" t="s">
        <v>42</v>
      </c>
      <c r="C56" s="19" t="n">
        <f aca="false">C54*C55</f>
        <v>122500</v>
      </c>
      <c r="D56" s="19" t="n">
        <f aca="false">D54*D55</f>
        <v>130830</v>
      </c>
      <c r="E56" s="19" t="n">
        <f aca="false">E54*E55</f>
        <v>138900.3</v>
      </c>
      <c r="F56" s="19" t="n">
        <f aca="false">F54*F55</f>
        <v>146591.11490625</v>
      </c>
      <c r="G56" s="19" t="n">
        <f aca="false">G54*G55</f>
        <v>153781.661835703</v>
      </c>
      <c r="H56" s="19" t="n">
        <f aca="false">H54*H55</f>
        <v>160353.145640892</v>
      </c>
      <c r="I56" s="19" t="n">
        <f aca="false">I54*I55</f>
        <v>166191.886649816</v>
      </c>
      <c r="J56" s="19" t="n">
        <f aca="false">J54*J55</f>
        <v>171192.481810618</v>
      </c>
      <c r="K56" s="19" t="n">
        <f aca="false">K54*K55</f>
        <v>175260.881453648</v>
      </c>
      <c r="L56" s="19" t="n">
        <f aca="false">L54*L55</f>
        <v>178317.260239974</v>
      </c>
    </row>
    <row r="57" customFormat="false" ht="15" hidden="false" customHeight="false" outlineLevel="0" collapsed="false">
      <c r="A57" s="5" t="s">
        <v>43</v>
      </c>
      <c r="C57" s="17" t="n">
        <f aca="false">$B$16+(J9-$B$16)*0/9</f>
        <v>0.55</v>
      </c>
      <c r="D57" s="17" t="n">
        <f aca="false">$B$16+(J9-$B$16)*1/9</f>
        <v>0.522222222222222</v>
      </c>
      <c r="E57" s="17" t="n">
        <f aca="false">$B$16+(J9-$B$16)*2/9</f>
        <v>0.494444444444444</v>
      </c>
      <c r="F57" s="17" t="n">
        <f aca="false">$B$16+(J9-$B$16)*3/9</f>
        <v>0.466666666666667</v>
      </c>
      <c r="G57" s="17" t="n">
        <f aca="false">$B$16+(J9-$B$16)*4/9</f>
        <v>0.438888888888889</v>
      </c>
      <c r="H57" s="17" t="n">
        <f aca="false">$B$16+(J9-$B$16)*5/9</f>
        <v>0.411111111111111</v>
      </c>
      <c r="I57" s="17" t="n">
        <f aca="false">$B$16+(J9-$B$16)*6/9</f>
        <v>0.383333333333333</v>
      </c>
      <c r="J57" s="17" t="n">
        <f aca="false">$B$16+(J9-$B$16)*7/9</f>
        <v>0.355555555555556</v>
      </c>
      <c r="K57" s="17" t="n">
        <f aca="false">$B$16+(J9-$B$16)*8/9</f>
        <v>0.327777777777778</v>
      </c>
      <c r="L57" s="17" t="n">
        <f aca="false">$B$16+(J9-$B$16)*9/9</f>
        <v>0.3</v>
      </c>
    </row>
    <row r="58" customFormat="false" ht="15" hidden="false" customHeight="false" outlineLevel="0" collapsed="false">
      <c r="A58" s="5" t="s">
        <v>44</v>
      </c>
      <c r="C58" s="19" t="n">
        <f aca="false">C54*C57</f>
        <v>134750</v>
      </c>
      <c r="D58" s="19" t="n">
        <f aca="false">D54*D57</f>
        <v>138180</v>
      </c>
      <c r="E58" s="19" t="n">
        <f aca="false">E54*E57</f>
        <v>140478.7125</v>
      </c>
      <c r="F58" s="19" t="n">
        <f aca="false">F54*F57</f>
        <v>141536.248875</v>
      </c>
      <c r="G58" s="19" t="n">
        <f aca="false">G54*G57</f>
        <v>141264.54982582</v>
      </c>
      <c r="H58" s="19" t="n">
        <f aca="false">H54*H57</f>
        <v>139601.562087364</v>
      </c>
      <c r="I58" s="19" t="n">
        <f aca="false">I54*I57</f>
        <v>136514.764033777</v>
      </c>
      <c r="J58" s="19" t="n">
        <f aca="false">J54*J57</f>
        <v>132003.841396139</v>
      </c>
      <c r="K58" s="19" t="n">
        <f aca="false">K54*K57</f>
        <v>126102.341533722</v>
      </c>
      <c r="L58" s="19" t="n">
        <f aca="false">L54*L57</f>
        <v>118878.173493316</v>
      </c>
    </row>
    <row r="59" customFormat="false" ht="15" hidden="false" customHeight="false" outlineLevel="0" collapsed="false">
      <c r="A59" s="14" t="s">
        <v>45</v>
      </c>
      <c r="C59" s="18" t="n">
        <f aca="false">C56*(1-$B$12)-C58</f>
        <v>-30625</v>
      </c>
      <c r="D59" s="18" t="n">
        <f aca="false">D56*(1-$B$12)-D58</f>
        <v>-26974.5</v>
      </c>
      <c r="E59" s="18" t="n">
        <f aca="false">E56*(1-$B$12)-E58</f>
        <v>-22413.4575</v>
      </c>
      <c r="F59" s="18" t="n">
        <f aca="false">F56*(1-$B$12)-F58</f>
        <v>-16933.8012046875</v>
      </c>
      <c r="G59" s="18" t="n">
        <f aca="false">G56*(1-$B$12)-G58</f>
        <v>-10550.1372654727</v>
      </c>
      <c r="H59" s="18" t="n">
        <f aca="false">H56*(1-$B$12)-H58</f>
        <v>-3301.38829260657</v>
      </c>
      <c r="I59" s="18" t="n">
        <f aca="false">I56*(1-$B$12)-I58</f>
        <v>4748.33961856616</v>
      </c>
      <c r="J59" s="18" t="n">
        <f aca="false">J56*(1-$B$12)-J58</f>
        <v>13509.7681428862</v>
      </c>
      <c r="K59" s="18" t="n">
        <f aca="false">K56*(1-$B$12)-K58</f>
        <v>22869.4077018784</v>
      </c>
      <c r="L59" s="18" t="n">
        <f aca="false">L56*(1-$B$12)-L58</f>
        <v>32691.4977106618</v>
      </c>
    </row>
    <row r="60" customFormat="false" ht="15" hidden="false" customHeight="false" outlineLevel="0" collapsed="false">
      <c r="A60" s="5" t="s">
        <v>46</v>
      </c>
      <c r="C60" s="19" t="n">
        <f aca="false">C59*(1+$B$11)^-(0.5+0)</f>
        <v>-29166.6666666667</v>
      </c>
      <c r="D60" s="19" t="n">
        <f aca="false">D59*(1+$B$11)^-(0.5+1)</f>
        <v>-23301.5873015873</v>
      </c>
      <c r="E60" s="19" t="n">
        <f aca="false">E59*(1+$B$11)^-(0.5+2)</f>
        <v>-17561.5304322787</v>
      </c>
      <c r="F60" s="19" t="n">
        <f aca="false">F59*(1+$B$11)^-(0.5+3)</f>
        <v>-12034.5363643064</v>
      </c>
      <c r="G60" s="19" t="n">
        <f aca="false">G59*(1+$B$11)^-(0.5+4)</f>
        <v>-6800.71254864533</v>
      </c>
      <c r="H60" s="19" t="n">
        <f aca="false">H59*(1+$B$11)^-(0.5+5)</f>
        <v>-1930.2533599195</v>
      </c>
      <c r="I60" s="19" t="n">
        <f aca="false">I59*(1+$B$11)^-(0.5+6)</f>
        <v>2518.14587984057</v>
      </c>
      <c r="J60" s="19" t="n">
        <f aca="false">J59*(1+$B$11)^-(0.5+7)</f>
        <v>6498.42946797294</v>
      </c>
      <c r="K60" s="19" t="n">
        <f aca="false">K59*(1+$B$11)^-(0.5+8)</f>
        <v>9977.84682795179</v>
      </c>
      <c r="L60" s="19" t="n">
        <f aca="false">L59*(1+$B$11)^-(0.5+9)</f>
        <v>12937.135749841</v>
      </c>
    </row>
    <row r="61" customFormat="false" ht="15" hidden="false" customHeight="false" outlineLevel="0" collapsed="false">
      <c r="A61" s="5" t="s">
        <v>47</v>
      </c>
      <c r="B61" s="18" t="n">
        <f aca="false">SUM(C60:L60)</f>
        <v>-58863.7287477976</v>
      </c>
    </row>
    <row r="62" customFormat="false" ht="15" hidden="false" customHeight="false" outlineLevel="0" collapsed="false">
      <c r="A62" s="5" t="s">
        <v>48</v>
      </c>
      <c r="B62" s="19" t="n">
        <f aca="false">AVERAGE(J10*L56,L59*(1+$B$13)/($B$11-$B$13))</f>
        <v>1034650.03412803</v>
      </c>
    </row>
    <row r="63" customFormat="false" ht="15" hidden="false" customHeight="false" outlineLevel="0" collapsed="false">
      <c r="A63" s="5" t="s">
        <v>49</v>
      </c>
      <c r="B63" s="19" t="n">
        <f aca="false">B62*(1+$B$11)^-9.5</f>
        <v>409446.152132898</v>
      </c>
    </row>
    <row r="64" customFormat="false" ht="15" hidden="false" customHeight="false" outlineLevel="0" collapsed="false">
      <c r="A64" s="5" t="s">
        <v>50</v>
      </c>
      <c r="B64" s="18" t="n">
        <f aca="false">B61+B63+$B$7</f>
        <v>365582.423385101</v>
      </c>
    </row>
    <row r="65" customFormat="false" ht="15" hidden="false" customHeight="false" outlineLevel="0" collapsed="false">
      <c r="A65" s="14" t="s">
        <v>51</v>
      </c>
      <c r="B65" s="20" t="n">
        <f aca="false">MAX(0,B64)/$B$6</f>
        <v>145.65036788251</v>
      </c>
    </row>
    <row r="68" customFormat="false" ht="15" hidden="false" customHeight="false" outlineLevel="0" collapsed="false">
      <c r="A68" s="3" t="s">
        <v>54</v>
      </c>
    </row>
    <row r="69" customFormat="false" ht="15" hidden="false" customHeight="false" outlineLevel="0" collapsed="false">
      <c r="A69" s="7" t="s">
        <v>55</v>
      </c>
      <c r="B69" s="7" t="s">
        <v>56</v>
      </c>
      <c r="C69" s="7" t="s">
        <v>57</v>
      </c>
      <c r="D69" s="7" t="s">
        <v>20</v>
      </c>
    </row>
    <row r="70" customFormat="false" ht="15" hidden="false" customHeight="false" outlineLevel="0" collapsed="false">
      <c r="A70" s="5" t="s">
        <v>6</v>
      </c>
      <c r="B70" s="21" t="n">
        <f aca="false">B33</f>
        <v>570.443816112331</v>
      </c>
      <c r="C70" s="17" t="n">
        <f aca="false">B70/$B$5-1</f>
        <v>0.0783436977548786</v>
      </c>
      <c r="D70" s="22" t="n">
        <f aca="false">H11</f>
        <v>0.45</v>
      </c>
    </row>
    <row r="71" customFormat="false" ht="15" hidden="false" customHeight="false" outlineLevel="0" collapsed="false">
      <c r="A71" s="5" t="s">
        <v>7</v>
      </c>
      <c r="B71" s="21" t="n">
        <f aca="false">B49</f>
        <v>895.321730185253</v>
      </c>
      <c r="C71" s="17" t="n">
        <f aca="false">B71/$B$5-1</f>
        <v>0.692479641181953</v>
      </c>
      <c r="D71" s="22" t="n">
        <f aca="false">I11</f>
        <v>0.25</v>
      </c>
    </row>
    <row r="72" customFormat="false" ht="15" hidden="false" customHeight="false" outlineLevel="0" collapsed="false">
      <c r="A72" s="5" t="s">
        <v>8</v>
      </c>
      <c r="B72" s="21" t="n">
        <f aca="false">B65</f>
        <v>145.65036788251</v>
      </c>
      <c r="C72" s="17" t="n">
        <f aca="false">B72/$B$5-1</f>
        <v>-0.724668491715482</v>
      </c>
      <c r="D72" s="22" t="n">
        <f aca="false">J11</f>
        <v>0.3</v>
      </c>
    </row>
    <row r="73" customFormat="false" ht="15" hidden="false" customHeight="false" outlineLevel="0" collapsed="false">
      <c r="A73" s="14" t="s">
        <v>58</v>
      </c>
      <c r="B73" s="20" t="n">
        <f aca="false">SUMPRODUCT(B70:B72,D70:D72)</f>
        <v>524.225260161615</v>
      </c>
      <c r="C73" s="23" t="n">
        <f aca="false">B73/$B$5-1</f>
        <v>-0.00902597322946086</v>
      </c>
    </row>
    <row r="75" customFormat="false" ht="15" hidden="false" customHeight="false" outlineLevel="0" collapsed="false">
      <c r="A75" s="1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2026-07-30T17:53:40Z</dcterms:created>
  <dc:creator>openpyxl</dc:creator>
  <dc:description/>
  <dc:language>en-US</dc:language>
  <cp:lastModifiedBy/>
  <dcterms:modified xsi:type="dcterms:W3CDTF">2026-07-30T17:53:53Z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