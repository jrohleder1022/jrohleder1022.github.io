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AI_Caveat_Matrix" sheetId="2" state="visible" r:id="rId4"/>
    <sheet name="AI_Stress_DC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<sst xmlns="http://schemas.openxmlformats.org/spreadsheetml/2006/main" count="121" uniqueCount="104">
  <si>
    <t xml:space="preserve">VERDICT — BEST INDUSTRY FOR NEW MONEY, ALL AI CAVEATS APPLIED  (July 2026)</t>
  </si>
  <si>
    <t xml:space="preserve">Rank</t>
  </si>
  <si>
    <t xml:space="preserve">Name</t>
  </si>
  <si>
    <t xml:space="preserve">AI-weighted value</t>
  </si>
  <si>
    <t xml:space="preserve">Price</t>
  </si>
  <si>
    <t xml:space="preserve">Weighted upside</t>
  </si>
  <si>
    <t xml:space="preserve">AI-BUST downside</t>
  </si>
  <si>
    <t xml:space="preserve">Net caveat score</t>
  </si>
  <si>
    <t xml:space="preserve">One-line verdict</t>
  </si>
  <si>
    <t xml:space="preserve">SNPS</t>
  </si>
  <si>
    <t xml:space="preserve">Positive upside even with a 20% bust weight; moat survives every state; fear already in the price. China is the caveat that matters.</t>
  </si>
  <si>
    <t xml:space="preserve">META</t>
  </si>
  <si>
    <t xml:space="preserve">Most bust-RESILIENT equity in the set (−49%): net cash, and ad demand exists without the AI narrative. But it IS the capex cycle — caveat score −2.</t>
  </si>
  <si>
    <t xml:space="preserve">VST</t>
  </si>
  <si>
    <t xml:space="preserve">Business is bust-resilient (electrification persists) but the EQUITY is levered ($21.6B net debt) so bust drawdown is deceptively large. Full model (+16%) is kinder than this stress engine — the truth is between them. Still the portfolio's non-tech diversifier.</t>
  </si>
  <si>
    <t xml:space="preserve">CDNS</t>
  </si>
  <si>
    <t xml:space="preserve">Same moat as SNPS but no fear discount — the stress test punishes paying fair price for AI-exposed cash flows.</t>
  </si>
  <si>
    <t xml:space="preserve">NOW</t>
  </si>
  <si>
    <t xml:space="preserve">+73% weighted upside, biggest in the set — but it's the one name where the BUST case is commoditization of the product itself, not just a slower cycle. Deep value if agents don't eat SaaS; trap if they do.</t>
  </si>
  <si>
    <t xml:space="preserve">XE</t>
  </si>
  <si>
    <t xml:space="preserve">Energy-scarcity tailwind survives, but a capex bust removes the anchor-tenant thesis for a pre-commercial company.</t>
  </si>
  <si>
    <t xml:space="preserve">SYM</t>
  </si>
  <si>
    <t xml:space="preserve">AI tailwind is real; the price pre-pays ~29% CAGR for it. Negative weighted upside in every framework we've built.</t>
  </si>
  <si>
    <t xml:space="preserve">VECO</t>
  </si>
  <si>
    <t xml:space="preserve">Max capex-cycle dependence × hype price = worst bust downside (−91%). Great industry, wrong vehicle, wrong price.</t>
  </si>
  <si>
    <t xml:space="preserve">THE ANSWER</t>
  </si>
  <si>
    <t xml:space="preserve">This stress test deliberately adds a 20%-probability AI BUST state that the full models didn't carry — so every upside number here is compressed vs. the standalone workbooks. Read it as a floor-finder, not a forecast: it asks 'which industries keep their value if the AI cycle itself breaks?'</t>
  </si>
  <si>
    <t xml:space="preserve">The answer stands: EDA via SNPS is #1 — the only fear-discounted name whose moat (foundry sign-off certification, subscription backlog) survives all three AI states. Pairing it with VST still makes sense for the PORTFOLIO even though VST ranks #3 here: its equity leverage amplifies a bust, but its demand driver (electrification) is the least AI-dependent of anything you own — it diversifies the scenario, which is what you need, not the drawdown statistic.</t>
  </si>
  <si>
    <t xml:space="preserve">META's #2 is the surprise worth knowing: net cash + self-funded AI + ad demand that exists without the narrative = best bust floor. Your $20/wk there is better justified than it looked.</t>
  </si>
  <si>
    <t xml:space="preserve">NOW: +73% on paper, but its bust is structural, not cyclical. Hold, don't add, until agentic evidence lands.</t>
  </si>
  <si>
    <t xml:space="preserve">Your diligence checklist before deploying: (1) SNPS next 10-Q — China revenue % and Ansys synergy language; (2) VST — data-center PPA announcements and the hedge book; (3) any yellow cell on the stress sheet you disagree with, change it and watch the verdict — the model is a hypothesis, your reading is the test.</t>
  </si>
  <si>
    <t xml:space="preserve">AI CAVEAT MATRIX — HOW EACH AI-SPECIFIC RISK/TAILWIND HITS EACH INDUSTRY  (score: +2 strong tailwind … −2 severe threat)</t>
  </si>
  <si>
    <t xml:space="preserve">Caveat</t>
  </si>
  <si>
    <t xml:space="preserve">Notes</t>
  </si>
  <si>
    <t xml:space="preserve">AI commoditizes the product (K3 / agentic / open-source)</t>
  </si>
  <si>
    <t xml:space="preserve">The existential caveat. NOW worst (agents may replace seat-based software). EDA: real but distant (45nm demo vs certified 2nm sign-off). SYM benefits (AI IS its product).</t>
  </si>
  <si>
    <t xml:space="preserve">Dependence on the AI capex cycle (demand concentration)</t>
  </si>
  <si>
    <t xml:space="preserve">If hyperscaler capex breaks, who loses revenue? META loses its own ROI bet; VECO's CPO orders vanish; VST loses growth (not base) demand; EDA cushioned by backlog/subscriptions.</t>
  </si>
  <si>
    <t xml:space="preserve">Efficiency shocks (DeepSeek-type: less compute per unit of AI)</t>
  </si>
  <si>
    <t xml:space="preserve">Cheaper AI hurts compute/power/equipment sellers, HELPS AI users (META inference costs fall). VST/XE lose the scarcity premium; VECO loses the buildout.</t>
  </si>
  <si>
    <t xml:space="preserve">AI as the company's own tool/product (margin &amp; pricing upside)</t>
  </si>
  <si>
    <t xml:space="preserve">EDA sells AI design (DSO.ai/Cerebrus) at premium prices; META's ad targeting/agents are AI products; SYM's robots improve with AI; NOW's agentic offerings could win — or cannibalize.</t>
  </si>
  <si>
    <t xml:space="preserve">China / export controls × AI</t>
  </si>
  <si>
    <t xml:space="preserve">SNPS most exposed (China revenue + EDA is an export-control weapon + K3 accelerates domestication). META banned in China anyway. VST/SYM/XE domestic.</t>
  </si>
  <si>
    <t xml:space="preserve">Energy constraint (AI power scarcity)</t>
  </si>
  <si>
    <t xml:space="preserve">The ONLY two names where AI's energy hunger is pure tailwind: VST and XE sell the scarce input. META pays for it.</t>
  </si>
  <si>
    <t xml:space="preserve">AI narrative already in the price (froth risk)</t>
  </si>
  <si>
    <t xml:space="preserve">Positive score = fear discount (SNPS, NOW cheap on AI fears). Negative = hype premium (VECO ~80% above analyst targets; SYM prices 29% CAGR).</t>
  </si>
  <si>
    <t xml:space="preserve">Regulation / antitrust of AI</t>
  </si>
  <si>
    <t xml:space="preserve">META faces AI content/privacy regimes. XE benefits from pro-nuclear energy policy. Others largely untouched.</t>
  </si>
  <si>
    <t xml:space="preserve">NET AI SCORE (sum)</t>
  </si>
  <si>
    <t xml:space="preserve">Scores are structured judgments, not model outputs — argue with any cell (they're editable inputs). The stress-test sheet converts the same logic into valuation scenarios.</t>
  </si>
  <si>
    <t xml:space="preserve">AI-STATE STRESS TEST — VALUE PER SHARE UNDER AI BUST / BASE / AI BOOM  (same state probabilities for every name — the comparison axis is industry sensitivity)</t>
  </si>
  <si>
    <t xml:space="preserve">Engine: compact DCF (Rev35 = rev26×(1+avg g)^9; FCF = EBITDA×(1−21%) − capex; interim = avg(FCF26,FCF35)×9-yr annuity; TV = avg of exit-multiple &amp; Gordon, PV @ 9 yrs; equity = EV + net cash). AI-state probabilities in yellow.</t>
  </si>
  <si>
    <t xml:space="preserve">AI-state probabilities:</t>
  </si>
  <si>
    <t xml:space="preserve">Bust</t>
  </si>
  <si>
    <t xml:space="preserve">Base</t>
  </si>
  <si>
    <t xml:space="preserve">Boom</t>
  </si>
  <si>
    <t xml:space="preserve">Company</t>
  </si>
  <si>
    <t xml:space="preserve">Shares mm</t>
  </si>
  <si>
    <t xml:space="preserve">Net cash/(debt)</t>
  </si>
  <si>
    <t xml:space="preserve">FY26E rev</t>
  </si>
  <si>
    <t xml:space="preserve">WACC</t>
  </si>
  <si>
    <t xml:space="preserve">Capex % rev</t>
  </si>
  <si>
    <t xml:space="preserve">BUST: g FY27</t>
  </si>
  <si>
    <t xml:space="preserve">BUST: g FY35</t>
  </si>
  <si>
    <t xml:space="preserve">BUST: Term margin</t>
  </si>
  <si>
    <t xml:space="preserve">BUST: Exit x</t>
  </si>
  <si>
    <t xml:space="preserve">BUST: Rev35</t>
  </si>
  <si>
    <t xml:space="preserve">BUST: EBITDA35</t>
  </si>
  <si>
    <t xml:space="preserve">BUST: FCF35</t>
  </si>
  <si>
    <t xml:space="preserve">BUST: FCF26</t>
  </si>
  <si>
    <t xml:space="preserve">BUST: PV interim</t>
  </si>
  <si>
    <t xml:space="preserve">BUST: PV TV-exit</t>
  </si>
  <si>
    <t xml:space="preserve">BUST: PV TV-gordon</t>
  </si>
  <si>
    <t xml:space="preserve">BUST: Value/sh</t>
  </si>
  <si>
    <t xml:space="preserve">BASE: g FY27</t>
  </si>
  <si>
    <t xml:space="preserve">BASE: g FY35</t>
  </si>
  <si>
    <t xml:space="preserve">BASE: Term margin</t>
  </si>
  <si>
    <t xml:space="preserve">BASE: Exit x</t>
  </si>
  <si>
    <t xml:space="preserve">BASE: Rev35</t>
  </si>
  <si>
    <t xml:space="preserve">BASE: EBITDA35</t>
  </si>
  <si>
    <t xml:space="preserve">BASE: FCF35</t>
  </si>
  <si>
    <t xml:space="preserve">BASE: FCF26</t>
  </si>
  <si>
    <t xml:space="preserve">BASE: PV interim</t>
  </si>
  <si>
    <t xml:space="preserve">BASE: PV TV-exit</t>
  </si>
  <si>
    <t xml:space="preserve">BASE: PV TV-gordon</t>
  </si>
  <si>
    <t xml:space="preserve">BASE: Value/sh</t>
  </si>
  <si>
    <t xml:space="preserve">BOOM: g FY27</t>
  </si>
  <si>
    <t xml:space="preserve">BOOM: g FY35</t>
  </si>
  <si>
    <t xml:space="preserve">BOOM: Term margin</t>
  </si>
  <si>
    <t xml:space="preserve">BOOM: Exit x</t>
  </si>
  <si>
    <t xml:space="preserve">BOOM: Rev35</t>
  </si>
  <si>
    <t xml:space="preserve">BOOM: EBITDA35</t>
  </si>
  <si>
    <t xml:space="preserve">BOOM: FCF35</t>
  </si>
  <si>
    <t xml:space="preserve">BOOM: FCF26</t>
  </si>
  <si>
    <t xml:space="preserve">BOOM: PV interim</t>
  </si>
  <si>
    <t xml:space="preserve">BOOM: PV TV-exit</t>
  </si>
  <si>
    <t xml:space="preserve">BOOM: PV TV-gordon</t>
  </si>
  <si>
    <t xml:space="preserve">BOOM: Value/sh</t>
  </si>
  <si>
    <t xml:space="preserve">Weighted value/sh</t>
  </si>
  <si>
    <t xml:space="preserve">Upside vs price</t>
  </si>
  <si>
    <t xml:space="preserve">Bust downside vs price</t>
  </si>
  <si>
    <t xml:space="preserve">VST net debt includes $2.0B preferred. META capex held at 20% of terminal revenue in all states (real co. would cut in a bust — conservative). XE compact engine approximates its fixed-cost model. Value floored at 0.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</si>
</sst>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"/>
    <numFmt numFmtId="166" formatCode="0.0%;\(0.0%\);\-"/>
    <numFmt numFmtId="167" formatCode="\+0;\-0;\0"/>
    <numFmt numFmtId="168" formatCode="0%"/>
    <numFmt numFmtId="169" formatCode="\+0;\-0;\0"/>
    <numFmt numFmtId="170" formatCode="0.0%;\(0.0%\);\-"/>
    <numFmt numFmtId="171" formatCode="\$#,##0.00"/>
    <numFmt numFmtId="172" formatCode="#,##0;\(#,##0\);\-"/>
    <numFmt numFmtId="173" formatCode="\$#,##0;&quot;($&quot;#,##0\);\-"/>
    <numFmt numFmtId="174" formatCode="0.00%;\(0.00%\);\-"/>
    <numFmt numFmtId="175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AI-weighted upside by name (green = top-3)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"Weighted upside"</c:f>
              <c:strCache>
                <c:ptCount val="1"/>
                <c:pt idx="0">
                  <c:v>Weighted upside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d32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e7d32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e7d3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Verdict!$B$5:$B$12</c:f>
              <c:strCache>
                <c:ptCount val="8"/>
                <c:pt idx="0">
                  <c:v>SNPS</c:v>
                </c:pt>
                <c:pt idx="1">
                  <c:v>META</c:v>
                </c:pt>
                <c:pt idx="2">
                  <c:v>VST</c:v>
                </c:pt>
                <c:pt idx="3">
                  <c:v>CDNS</c:v>
                </c:pt>
                <c:pt idx="4">
                  <c:v>NOW</c:v>
                </c:pt>
                <c:pt idx="5">
                  <c:v>XE</c:v>
                </c:pt>
                <c:pt idx="6">
                  <c:v>SYM</c:v>
                </c:pt>
                <c:pt idx="7">
                  <c:v>VECO</c:v>
                </c:pt>
              </c:strCache>
            </c:strRef>
          </c:cat>
          <c:val>
            <c:numRef>
              <c:f>Verdict!$E$5:$E$12</c:f>
              <c:numCache>
                <c:formatCode>0.0%;\(0.0%\);\-</c:formatCode>
                <c:ptCount val="8"/>
                <c:pt idx="0">
                  <c:v>0.0403308927390864</c:v>
                </c:pt>
                <c:pt idx="1">
                  <c:v>0.111444368859675</c:v>
                </c:pt>
                <c:pt idx="2">
                  <c:v>-0.0567286623320552</c:v>
                </c:pt>
                <c:pt idx="3">
                  <c:v>-0.182060329979262</c:v>
                </c:pt>
                <c:pt idx="4">
                  <c:v>0.730590965061194</c:v>
                </c:pt>
                <c:pt idx="5">
                  <c:v>-0.222134229225229</c:v>
                </c:pt>
                <c:pt idx="6">
                  <c:v>-0.549824798568324</c:v>
                </c:pt>
                <c:pt idx="7">
                  <c:v>-0.377677442133603</c:v>
                </c:pt>
              </c:numCache>
            </c:numRef>
          </c:val>
        </c:ser>
        <c:gapWidth val="30"/>
        <c:overlap val="0"/>
        <c:axId val="29286006"/>
        <c:axId val="92317438"/>
      </c:barChart>
      <c:catAx>
        <c:axId val="292860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17438"/>
        <c:crosses val="autoZero"/>
        <c:auto val="1"/>
        <c:lblAlgn val="ctr"/>
        <c:lblOffset val="100"/>
        <c:noMultiLvlLbl val="0"/>
      </c:catAx>
      <c:valAx>
        <c:axId val="923174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860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160560</xdr:rowOff>
    </xdr:from>
    <xdr:to>
      <xdr:col>7</xdr:col>
      <xdr:colOff>621000</xdr:colOff>
      <xdr:row>38</xdr:row>
      <xdr:rowOff>140760</xdr:rowOff>
    </xdr:to>
    <xdr:graphicFrame>
      <xdr:nvGraphicFramePr>
        <xdr:cNvPr id="0" name="Chart 1"/>
        <xdr:cNvGraphicFramePr/>
      </xdr:nvGraphicFramePr>
      <xdr:xfrm>
        <a:off x="0" y="53816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85"/>
  </cols>
  <sheetData>
    <row r="1" customFormat="false" ht="17.3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customFormat="false" ht="15" hidden="false" customHeight="false" outlineLevel="0" collapsed="false">
      <c r="A5" s="3" t="n">
        <v>1</v>
      </c>
      <c r="B5" s="3" t="s">
        <v>9</v>
      </c>
      <c r="C5" s="4" t="n">
        <f aca="false">AI_Stress_DCF!AR7</f>
        <v>399.778355461776</v>
      </c>
      <c r="D5" s="4" t="n">
        <f aca="false">AI_Stress_DCF!B7</f>
        <v>384.28</v>
      </c>
      <c r="E5" s="5" t="n">
        <f aca="false">AI_Stress_DCF!AS7</f>
        <v>0.0403308927390864</v>
      </c>
      <c r="F5" s="6" t="n">
        <f aca="false">AI_Stress_DCF!AT7</f>
        <v>-0.563844109628209</v>
      </c>
      <c r="G5" s="7" t="n">
        <f aca="false">AI_Caveat_Matrix!B13</f>
        <v>-1</v>
      </c>
      <c r="H5" s="8" t="s">
        <v>10</v>
      </c>
    </row>
    <row r="6" customFormat="false" ht="15" hidden="false" customHeight="false" outlineLevel="0" collapsed="false">
      <c r="A6" s="3" t="n">
        <v>2</v>
      </c>
      <c r="B6" s="3" t="s">
        <v>11</v>
      </c>
      <c r="C6" s="4" t="n">
        <f aca="false">AI_Stress_DCF!AR10</f>
        <v>729.918860361214</v>
      </c>
      <c r="D6" s="4" t="n">
        <f aca="false">AI_Stress_DCF!B10</f>
        <v>656.73</v>
      </c>
      <c r="E6" s="5" t="n">
        <f aca="false">AI_Stress_DCF!AS10</f>
        <v>0.111444368859675</v>
      </c>
      <c r="F6" s="6" t="n">
        <f aca="false">AI_Stress_DCF!AT10</f>
        <v>-0.494012641817129</v>
      </c>
      <c r="G6" s="7" t="n">
        <f aca="false">AI_Caveat_Matrix!E13</f>
        <v>-2</v>
      </c>
      <c r="H6" s="8" t="s">
        <v>12</v>
      </c>
    </row>
    <row r="7" customFormat="false" ht="15" hidden="false" customHeight="false" outlineLevel="0" collapsed="false">
      <c r="A7" s="3" t="n">
        <v>3</v>
      </c>
      <c r="B7" s="3" t="s">
        <v>13</v>
      </c>
      <c r="C7" s="4" t="n">
        <f aca="false">AI_Stress_DCF!AR9</f>
        <v>146.622096727105</v>
      </c>
      <c r="D7" s="4" t="n">
        <f aca="false">AI_Stress_DCF!B9</f>
        <v>155.44</v>
      </c>
      <c r="E7" s="5" t="n">
        <f aca="false">AI_Stress_DCF!AS9</f>
        <v>-0.0567286623320552</v>
      </c>
      <c r="F7" s="6" t="n">
        <f aca="false">AI_Stress_DCF!AT9</f>
        <v>-0.705908135841808</v>
      </c>
      <c r="G7" s="7" t="n">
        <f aca="false">AI_Caveat_Matrix!D13</f>
        <v>0</v>
      </c>
      <c r="H7" s="8" t="s">
        <v>14</v>
      </c>
    </row>
    <row r="8" customFormat="false" ht="15" hidden="false" customHeight="false" outlineLevel="0" collapsed="false">
      <c r="A8" s="3" t="n">
        <v>4</v>
      </c>
      <c r="B8" s="9" t="s">
        <v>15</v>
      </c>
      <c r="C8" s="4" t="n">
        <f aca="false">AI_Stress_DCF!AR8</f>
        <v>270.001885073846</v>
      </c>
      <c r="D8" s="4" t="n">
        <f aca="false">AI_Stress_DCF!B8</f>
        <v>330.1</v>
      </c>
      <c r="E8" s="5" t="n">
        <f aca="false">AI_Stress_DCF!AS8</f>
        <v>-0.182060329979262</v>
      </c>
      <c r="F8" s="6" t="n">
        <f aca="false">AI_Stress_DCF!AT8</f>
        <v>-0.658265987975621</v>
      </c>
      <c r="G8" s="7" t="n">
        <f aca="false">AI_Caveat_Matrix!C13</f>
        <v>-1</v>
      </c>
      <c r="H8" s="8" t="s">
        <v>16</v>
      </c>
    </row>
    <row r="9" customFormat="false" ht="15" hidden="false" customHeight="false" outlineLevel="0" collapsed="false">
      <c r="A9" s="3" t="n">
        <v>5</v>
      </c>
      <c r="B9" s="9" t="s">
        <v>17</v>
      </c>
      <c r="C9" s="4" t="n">
        <f aca="false">AI_Stress_DCF!AR11</f>
        <v>175.828042050217</v>
      </c>
      <c r="D9" s="4" t="n">
        <f aca="false">AI_Stress_DCF!B11</f>
        <v>101.6</v>
      </c>
      <c r="E9" s="5" t="n">
        <f aca="false">AI_Stress_DCF!AS11</f>
        <v>0.730590965061194</v>
      </c>
      <c r="F9" s="6" t="n">
        <f aca="false">AI_Stress_DCF!AT11</f>
        <v>-0.586710048977915</v>
      </c>
      <c r="G9" s="7" t="n">
        <f aca="false">AI_Caveat_Matrix!F13</f>
        <v>0</v>
      </c>
      <c r="H9" s="8" t="s">
        <v>18</v>
      </c>
    </row>
    <row r="10" customFormat="false" ht="15" hidden="false" customHeight="false" outlineLevel="0" collapsed="false">
      <c r="A10" s="3" t="n">
        <v>6</v>
      </c>
      <c r="B10" s="9" t="s">
        <v>19</v>
      </c>
      <c r="C10" s="4" t="n">
        <f aca="false">AI_Stress_DCF!AR14</f>
        <v>10.9056781062623</v>
      </c>
      <c r="D10" s="4" t="n">
        <f aca="false">AI_Stress_DCF!B14</f>
        <v>14.02</v>
      </c>
      <c r="E10" s="5" t="n">
        <f aca="false">AI_Stress_DCF!AS14</f>
        <v>-0.222134229225229</v>
      </c>
      <c r="F10" s="6" t="n">
        <f aca="false">AI_Stress_DCF!AT14</f>
        <v>-0.713256807523531</v>
      </c>
      <c r="G10" s="7" t="n">
        <f aca="false">AI_Caveat_Matrix!I13</f>
        <v>0</v>
      </c>
      <c r="H10" s="8" t="s">
        <v>20</v>
      </c>
    </row>
    <row r="11" customFormat="false" ht="15" hidden="false" customHeight="false" outlineLevel="0" collapsed="false">
      <c r="A11" s="3" t="n">
        <v>7</v>
      </c>
      <c r="B11" s="9" t="s">
        <v>21</v>
      </c>
      <c r="C11" s="4" t="n">
        <f aca="false">AI_Stress_DCF!AR13</f>
        <v>19.1369478128606</v>
      </c>
      <c r="D11" s="4" t="n">
        <f aca="false">AI_Stress_DCF!B13</f>
        <v>42.51</v>
      </c>
      <c r="E11" s="5" t="n">
        <f aca="false">AI_Stress_DCF!AS13</f>
        <v>-0.549824798568324</v>
      </c>
      <c r="F11" s="6" t="n">
        <f aca="false">AI_Stress_DCF!AT13</f>
        <v>-0.822384385284348</v>
      </c>
      <c r="G11" s="7" t="n">
        <f aca="false">AI_Caveat_Matrix!H13</f>
        <v>1</v>
      </c>
      <c r="H11" s="8" t="s">
        <v>22</v>
      </c>
    </row>
    <row r="12" customFormat="false" ht="15" hidden="false" customHeight="false" outlineLevel="0" collapsed="false">
      <c r="A12" s="3" t="n">
        <v>8</v>
      </c>
      <c r="B12" s="9" t="s">
        <v>23</v>
      </c>
      <c r="C12" s="4" t="n">
        <f aca="false">AI_Stress_DCF!AR12</f>
        <v>34.3086426151745</v>
      </c>
      <c r="D12" s="4" t="n">
        <f aca="false">AI_Stress_DCF!B12</f>
        <v>55.13</v>
      </c>
      <c r="E12" s="5" t="n">
        <f aca="false">AI_Stress_DCF!AS12</f>
        <v>-0.377677442133603</v>
      </c>
      <c r="F12" s="6" t="n">
        <f aca="false">AI_Stress_DCF!AT12</f>
        <v>-0.906561899172581</v>
      </c>
      <c r="G12" s="7" t="n">
        <f aca="false">AI_Caveat_Matrix!G13</f>
        <v>-7</v>
      </c>
      <c r="H12" s="8" t="s">
        <v>24</v>
      </c>
    </row>
    <row r="14" customFormat="false" ht="15" hidden="false" customHeight="false" outlineLevel="0" collapsed="false">
      <c r="A14" s="10" t="s">
        <v>25</v>
      </c>
    </row>
    <row r="15" customFormat="false" ht="39.75" hidden="false" customHeight="true" outlineLevel="0" collapsed="false">
      <c r="A15" s="11" t="s">
        <v>26</v>
      </c>
    </row>
    <row r="16" customFormat="false" ht="39.75" hidden="false" customHeight="true" outlineLevel="0" collapsed="false">
      <c r="A16" s="11" t="s">
        <v>27</v>
      </c>
    </row>
    <row r="17" customFormat="false" ht="39.75" hidden="false" customHeight="true" outlineLevel="0" collapsed="false">
      <c r="A17" s="11" t="s">
        <v>28</v>
      </c>
    </row>
    <row r="18" customFormat="false" ht="39.75" hidden="false" customHeight="true" outlineLevel="0" collapsed="false">
      <c r="A18" s="11" t="s">
        <v>29</v>
      </c>
    </row>
    <row r="19" customFormat="false" ht="39.75" hidden="false" customHeight="true" outlineLevel="0" collapsed="false">
      <c r="A19" s="1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2" width="50"/>
    <col collapsed="false" customWidth="true" hidden="false" outlineLevel="0" max="9" min="2" style="12" width="8"/>
    <col collapsed="false" customWidth="true" hidden="false" outlineLevel="0" max="10" min="10" style="12" width="95"/>
  </cols>
  <sheetData>
    <row r="1" customFormat="false" ht="17.25" hidden="false" customHeight="true" outlineLevel="0" collapsed="false">
      <c r="A1" s="13" t="s">
        <v>31</v>
      </c>
    </row>
    <row r="4" customFormat="false" ht="15" hidden="false" customHeight="true" outlineLevel="0" collapsed="false">
      <c r="A4" s="2" t="s">
        <v>32</v>
      </c>
      <c r="B4" s="2" t="s">
        <v>9</v>
      </c>
      <c r="C4" s="2" t="s">
        <v>15</v>
      </c>
      <c r="D4" s="2" t="s">
        <v>13</v>
      </c>
      <c r="E4" s="2" t="s">
        <v>11</v>
      </c>
      <c r="F4" s="2" t="s">
        <v>17</v>
      </c>
      <c r="G4" s="2" t="s">
        <v>23</v>
      </c>
      <c r="H4" s="2" t="s">
        <v>21</v>
      </c>
      <c r="I4" s="2" t="s">
        <v>19</v>
      </c>
      <c r="J4" s="2" t="s">
        <v>33</v>
      </c>
    </row>
    <row r="5" customFormat="false" ht="25.5" hidden="false" customHeight="true" outlineLevel="0" collapsed="false">
      <c r="A5" s="14" t="s">
        <v>34</v>
      </c>
      <c r="B5" s="15" t="n">
        <v>-1</v>
      </c>
      <c r="C5" s="15" t="n">
        <v>-1</v>
      </c>
      <c r="D5" s="15" t="n">
        <v>0</v>
      </c>
      <c r="E5" s="15" t="n">
        <v>0</v>
      </c>
      <c r="F5" s="15" t="n">
        <v>-2</v>
      </c>
      <c r="G5" s="15" t="n">
        <v>0</v>
      </c>
      <c r="H5" s="15" t="n">
        <v>1</v>
      </c>
      <c r="I5" s="15" t="n">
        <v>0</v>
      </c>
      <c r="J5" s="16" t="s">
        <v>35</v>
      </c>
    </row>
    <row r="6" customFormat="false" ht="25.5" hidden="false" customHeight="true" outlineLevel="0" collapsed="false">
      <c r="A6" s="14" t="s">
        <v>36</v>
      </c>
      <c r="B6" s="15" t="n">
        <v>-1</v>
      </c>
      <c r="C6" s="15" t="n">
        <v>-1</v>
      </c>
      <c r="D6" s="15" t="n">
        <v>-1</v>
      </c>
      <c r="E6" s="15" t="n">
        <v>-2</v>
      </c>
      <c r="F6" s="15" t="n">
        <v>0</v>
      </c>
      <c r="G6" s="15" t="n">
        <v>-2</v>
      </c>
      <c r="H6" s="15" t="n">
        <v>0</v>
      </c>
      <c r="I6" s="15" t="n">
        <v>-1</v>
      </c>
      <c r="J6" s="16" t="s">
        <v>37</v>
      </c>
    </row>
    <row r="7" customFormat="false" ht="25.5" hidden="false" customHeight="true" outlineLevel="0" collapsed="false">
      <c r="A7" s="14" t="s">
        <v>38</v>
      </c>
      <c r="B7" s="15" t="n">
        <v>0</v>
      </c>
      <c r="C7" s="15" t="n">
        <v>0</v>
      </c>
      <c r="D7" s="15" t="n">
        <v>-1</v>
      </c>
      <c r="E7" s="15" t="n">
        <v>1</v>
      </c>
      <c r="F7" s="15" t="n">
        <v>0</v>
      </c>
      <c r="G7" s="15" t="n">
        <v>-2</v>
      </c>
      <c r="H7" s="15" t="n">
        <v>0</v>
      </c>
      <c r="I7" s="15" t="n">
        <v>-1</v>
      </c>
      <c r="J7" s="16" t="s">
        <v>39</v>
      </c>
    </row>
    <row r="8" customFormat="false" ht="25.5" hidden="false" customHeight="true" outlineLevel="0" collapsed="false">
      <c r="A8" s="14" t="s">
        <v>40</v>
      </c>
      <c r="B8" s="15" t="n">
        <v>2</v>
      </c>
      <c r="C8" s="15" t="n">
        <v>2</v>
      </c>
      <c r="D8" s="15" t="n">
        <v>0</v>
      </c>
      <c r="E8" s="15" t="n">
        <v>2</v>
      </c>
      <c r="F8" s="15" t="n">
        <v>1</v>
      </c>
      <c r="G8" s="15" t="n">
        <v>0</v>
      </c>
      <c r="H8" s="15" t="n">
        <v>2</v>
      </c>
      <c r="I8" s="15" t="n">
        <v>0</v>
      </c>
      <c r="J8" s="16" t="s">
        <v>41</v>
      </c>
    </row>
    <row r="9" customFormat="false" ht="25.5" hidden="false" customHeight="true" outlineLevel="0" collapsed="false">
      <c r="A9" s="14" t="s">
        <v>42</v>
      </c>
      <c r="B9" s="15" t="n">
        <v>-2</v>
      </c>
      <c r="C9" s="15" t="n">
        <v>-1</v>
      </c>
      <c r="D9" s="15" t="n">
        <v>0</v>
      </c>
      <c r="E9" s="15" t="n">
        <v>-1</v>
      </c>
      <c r="F9" s="15" t="n">
        <v>0</v>
      </c>
      <c r="G9" s="15" t="n">
        <v>-1</v>
      </c>
      <c r="H9" s="15" t="n">
        <v>0</v>
      </c>
      <c r="I9" s="15" t="n">
        <v>0</v>
      </c>
      <c r="J9" s="16" t="s">
        <v>43</v>
      </c>
    </row>
    <row r="10" customFormat="false" ht="25.5" hidden="false" customHeight="true" outlineLevel="0" collapsed="false">
      <c r="A10" s="14" t="s">
        <v>44</v>
      </c>
      <c r="B10" s="15" t="n">
        <v>0</v>
      </c>
      <c r="C10" s="15" t="n">
        <v>0</v>
      </c>
      <c r="D10" s="15" t="n">
        <v>2</v>
      </c>
      <c r="E10" s="15" t="n">
        <v>-1</v>
      </c>
      <c r="F10" s="15" t="n">
        <v>0</v>
      </c>
      <c r="G10" s="15" t="n">
        <v>0</v>
      </c>
      <c r="H10" s="15" t="n">
        <v>0</v>
      </c>
      <c r="I10" s="15" t="n">
        <v>2</v>
      </c>
      <c r="J10" s="16" t="s">
        <v>45</v>
      </c>
    </row>
    <row r="11" customFormat="false" ht="25.5" hidden="false" customHeight="true" outlineLevel="0" collapsed="false">
      <c r="A11" s="14" t="s">
        <v>46</v>
      </c>
      <c r="B11" s="15" t="n">
        <v>1</v>
      </c>
      <c r="C11" s="15" t="n">
        <v>0</v>
      </c>
      <c r="D11" s="15" t="n">
        <v>0</v>
      </c>
      <c r="E11" s="15" t="n">
        <v>0</v>
      </c>
      <c r="F11" s="15" t="n">
        <v>1</v>
      </c>
      <c r="G11" s="15" t="n">
        <v>-2</v>
      </c>
      <c r="H11" s="15" t="n">
        <v>-2</v>
      </c>
      <c r="I11" s="15" t="n">
        <v>-1</v>
      </c>
      <c r="J11" s="16" t="s">
        <v>47</v>
      </c>
    </row>
    <row r="12" customFormat="false" ht="25.5" hidden="false" customHeight="true" outlineLevel="0" collapsed="false">
      <c r="A12" s="14" t="s">
        <v>48</v>
      </c>
      <c r="B12" s="15" t="n">
        <v>0</v>
      </c>
      <c r="C12" s="15" t="n">
        <v>0</v>
      </c>
      <c r="D12" s="15" t="n">
        <v>0</v>
      </c>
      <c r="E12" s="15" t="n">
        <v>-1</v>
      </c>
      <c r="F12" s="15" t="n">
        <v>0</v>
      </c>
      <c r="G12" s="15" t="n">
        <v>0</v>
      </c>
      <c r="H12" s="15" t="n">
        <v>0</v>
      </c>
      <c r="I12" s="15" t="n">
        <v>1</v>
      </c>
      <c r="J12" s="16" t="s">
        <v>49</v>
      </c>
    </row>
    <row r="13" customFormat="false" ht="15" hidden="false" customHeight="true" outlineLevel="0" collapsed="false">
      <c r="A13" s="17" t="s">
        <v>50</v>
      </c>
      <c r="B13" s="18" t="n">
        <f aca="false">SUM(B5:B12)</f>
        <v>-1</v>
      </c>
      <c r="C13" s="18" t="n">
        <f aca="false">SUM(C5:C12)</f>
        <v>-1</v>
      </c>
      <c r="D13" s="18" t="n">
        <f aca="false">SUM(D5:D12)</f>
        <v>0</v>
      </c>
      <c r="E13" s="18" t="n">
        <f aca="false">SUM(E5:E12)</f>
        <v>-2</v>
      </c>
      <c r="F13" s="18" t="n">
        <f aca="false">SUM(F5:F12)</f>
        <v>0</v>
      </c>
      <c r="G13" s="18" t="n">
        <f aca="false">SUM(G5:G12)</f>
        <v>-7</v>
      </c>
      <c r="H13" s="18" t="n">
        <f aca="false">SUM(H5:H12)</f>
        <v>1</v>
      </c>
      <c r="I13" s="18" t="n">
        <f aca="false">SUM(I5:I12)</f>
        <v>0</v>
      </c>
    </row>
    <row r="15" customFormat="false" ht="15" hidden="false" customHeight="true" outlineLevel="0" collapsed="false">
      <c r="A15" s="1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2" width="8"/>
    <col collapsed="false" customWidth="true" hidden="false" outlineLevel="0" max="3" min="2" style="12" width="9"/>
    <col collapsed="false" customWidth="true" hidden="false" outlineLevel="0" max="4" min="4" style="12" width="12"/>
    <col collapsed="false" customWidth="true" hidden="false" outlineLevel="0" max="5" min="5" style="12" width="11"/>
    <col collapsed="false" customWidth="true" hidden="false" outlineLevel="0" max="7" min="6" style="12" width="8"/>
    <col collapsed="false" customWidth="true" hidden="false" outlineLevel="0" max="43" min="8" style="12" width="9"/>
    <col collapsed="false" customWidth="true" hidden="false" outlineLevel="0" max="44" min="44" style="12" width="12"/>
    <col collapsed="false" customWidth="true" hidden="false" outlineLevel="0" max="46" min="45" style="12" width="11"/>
  </cols>
  <sheetData>
    <row r="1" customFormat="false" ht="17.25" hidden="false" customHeight="true" outlineLevel="0" collapsed="false">
      <c r="A1" s="13" t="s">
        <v>52</v>
      </c>
    </row>
    <row r="2" customFormat="false" ht="15" hidden="false" customHeight="true" outlineLevel="0" collapsed="false">
      <c r="A2" s="19" t="s">
        <v>53</v>
      </c>
    </row>
    <row r="4" customFormat="false" ht="15" hidden="false" customHeight="true" outlineLevel="0" collapsed="false">
      <c r="A4" s="17" t="s">
        <v>54</v>
      </c>
      <c r="B4" s="20" t="s">
        <v>55</v>
      </c>
      <c r="C4" s="21" t="n">
        <v>0.2</v>
      </c>
      <c r="D4" s="20" t="s">
        <v>56</v>
      </c>
      <c r="E4" s="21" t="n">
        <v>0.5</v>
      </c>
      <c r="F4" s="20" t="s">
        <v>57</v>
      </c>
      <c r="G4" s="21" t="n">
        <v>0.3</v>
      </c>
    </row>
    <row r="6" customFormat="false" ht="30" hidden="false" customHeight="true" outlineLevel="0" collapsed="false">
      <c r="A6" s="22" t="s">
        <v>58</v>
      </c>
      <c r="B6" s="22" t="s">
        <v>4</v>
      </c>
      <c r="C6" s="22" t="s">
        <v>59</v>
      </c>
      <c r="D6" s="22" t="s">
        <v>60</v>
      </c>
      <c r="E6" s="22" t="s">
        <v>61</v>
      </c>
      <c r="F6" s="22" t="s">
        <v>62</v>
      </c>
      <c r="G6" s="22" t="s">
        <v>63</v>
      </c>
      <c r="H6" s="22" t="s">
        <v>64</v>
      </c>
      <c r="I6" s="22" t="s">
        <v>65</v>
      </c>
      <c r="J6" s="22" t="s">
        <v>66</v>
      </c>
      <c r="K6" s="22" t="s">
        <v>67</v>
      </c>
      <c r="L6" s="22" t="s">
        <v>68</v>
      </c>
      <c r="M6" s="22" t="s">
        <v>69</v>
      </c>
      <c r="N6" s="22" t="s">
        <v>70</v>
      </c>
      <c r="O6" s="22" t="s">
        <v>71</v>
      </c>
      <c r="P6" s="22" t="s">
        <v>72</v>
      </c>
      <c r="Q6" s="22" t="s">
        <v>73</v>
      </c>
      <c r="R6" s="22" t="s">
        <v>74</v>
      </c>
      <c r="S6" s="22" t="s">
        <v>75</v>
      </c>
      <c r="T6" s="22" t="s">
        <v>76</v>
      </c>
      <c r="U6" s="22" t="s">
        <v>77</v>
      </c>
      <c r="V6" s="22" t="s">
        <v>78</v>
      </c>
      <c r="W6" s="22" t="s">
        <v>79</v>
      </c>
      <c r="X6" s="22" t="s">
        <v>80</v>
      </c>
      <c r="Y6" s="22" t="s">
        <v>81</v>
      </c>
      <c r="Z6" s="22" t="s">
        <v>82</v>
      </c>
      <c r="AA6" s="22" t="s">
        <v>83</v>
      </c>
      <c r="AB6" s="22" t="s">
        <v>84</v>
      </c>
      <c r="AC6" s="22" t="s">
        <v>85</v>
      </c>
      <c r="AD6" s="22" t="s">
        <v>86</v>
      </c>
      <c r="AE6" s="22" t="s">
        <v>87</v>
      </c>
      <c r="AF6" s="22" t="s">
        <v>88</v>
      </c>
      <c r="AG6" s="22" t="s">
        <v>89</v>
      </c>
      <c r="AH6" s="22" t="s">
        <v>90</v>
      </c>
      <c r="AI6" s="22" t="s">
        <v>91</v>
      </c>
      <c r="AJ6" s="22" t="s">
        <v>92</v>
      </c>
      <c r="AK6" s="22" t="s">
        <v>93</v>
      </c>
      <c r="AL6" s="22" t="s">
        <v>94</v>
      </c>
      <c r="AM6" s="22" t="s">
        <v>95</v>
      </c>
      <c r="AN6" s="22" t="s">
        <v>96</v>
      </c>
      <c r="AO6" s="22" t="s">
        <v>97</v>
      </c>
      <c r="AP6" s="22" t="s">
        <v>98</v>
      </c>
      <c r="AQ6" s="22" t="s">
        <v>99</v>
      </c>
      <c r="AR6" s="22" t="s">
        <v>100</v>
      </c>
      <c r="AS6" s="22" t="s">
        <v>101</v>
      </c>
      <c r="AT6" s="22" t="s">
        <v>102</v>
      </c>
    </row>
    <row r="7" customFormat="false" ht="15" hidden="false" customHeight="true" outlineLevel="0" collapsed="false">
      <c r="A7" s="17" t="s">
        <v>9</v>
      </c>
      <c r="B7" s="23" t="n">
        <v>384.28</v>
      </c>
      <c r="C7" s="24" t="n">
        <v>191.6</v>
      </c>
      <c r="D7" s="25" t="n">
        <v>-8670</v>
      </c>
      <c r="E7" s="25" t="n">
        <v>9665</v>
      </c>
      <c r="F7" s="26" t="n">
        <v>0.104</v>
      </c>
      <c r="G7" s="27" t="n">
        <v>0.015</v>
      </c>
      <c r="H7" s="21" t="n">
        <v>0.04</v>
      </c>
      <c r="I7" s="21" t="n">
        <v>0.01</v>
      </c>
      <c r="J7" s="21" t="n">
        <v>0.41</v>
      </c>
      <c r="K7" s="28" t="n">
        <v>13</v>
      </c>
      <c r="L7" s="29" t="n">
        <f aca="false">$E7*(1+(H7+I7)/2)^9</f>
        <v>12070.2606045442</v>
      </c>
      <c r="M7" s="29" t="n">
        <f aca="false">L7*J7</f>
        <v>4948.80684786312</v>
      </c>
      <c r="N7" s="29" t="n">
        <f aca="false">M7*0.79-L7*$G7</f>
        <v>3728.5035007437</v>
      </c>
      <c r="O7" s="29" t="n">
        <f aca="false">$E7*J7*0.67*0.79-$E7*$G7</f>
        <v>1952.455645</v>
      </c>
      <c r="P7" s="29" t="n">
        <f aca="false">AVERAGE(O7:N7)*(1-(1+$F7)^-9)/$F7</f>
        <v>16101.5018884325</v>
      </c>
      <c r="Q7" s="29" t="n">
        <f aca="false">K7*M7/(1+$F7)^9</f>
        <v>26407.1903142523</v>
      </c>
      <c r="R7" s="29" t="n">
        <f aca="false">N7*1.035/($F7-0.035)/(1+$F7)^9</f>
        <v>22956.4195724368</v>
      </c>
      <c r="S7" s="30" t="n">
        <f aca="false">MAX(0,(P7+AVERAGE(Q7:R7)+$D7))/$C7</f>
        <v>167.605985552072</v>
      </c>
      <c r="T7" s="21" t="n">
        <v>0.1</v>
      </c>
      <c r="U7" s="21" t="n">
        <v>0.06</v>
      </c>
      <c r="V7" s="21" t="n">
        <v>0.47</v>
      </c>
      <c r="W7" s="28" t="n">
        <v>18</v>
      </c>
      <c r="X7" s="29" t="n">
        <f aca="false">$E7*(1+(T7+U7)/2)^9</f>
        <v>19320.3797209644</v>
      </c>
      <c r="Y7" s="29" t="n">
        <f aca="false">X7*V7</f>
        <v>9080.57846885324</v>
      </c>
      <c r="Z7" s="29" t="n">
        <f aca="false">Y7*0.79-X7*$G7</f>
        <v>6883.8512945796</v>
      </c>
      <c r="AA7" s="29" t="n">
        <f aca="false">$E7*V7*0.67*0.79-$E7*$G7</f>
        <v>2259.396715</v>
      </c>
      <c r="AB7" s="29" t="n">
        <f aca="false">AVERAGE(AA7:Z7)*(1-(1+$F7)^-9)/$F7</f>
        <v>25914.6424601474</v>
      </c>
      <c r="AC7" s="29" t="n">
        <f aca="false">W7*Y7/(1+$F7)^9</f>
        <v>67091.014692576</v>
      </c>
      <c r="AD7" s="29" t="n">
        <f aca="false">Z7*1.035/($F7-0.035)/(1+$F7)^9</f>
        <v>42383.9158421362</v>
      </c>
      <c r="AE7" s="30" t="n">
        <f aca="false">MAX(0,(AB7+AVERAGE(AC7:AD7)+$D7))/$C7</f>
        <v>375.689497533943</v>
      </c>
      <c r="AF7" s="21" t="n">
        <v>0.14</v>
      </c>
      <c r="AG7" s="21" t="n">
        <v>0.09</v>
      </c>
      <c r="AH7" s="21" t="n">
        <v>0.51</v>
      </c>
      <c r="AI7" s="28" t="n">
        <v>21</v>
      </c>
      <c r="AJ7" s="29" t="n">
        <f aca="false">$E7*(1+(AF7+AG7)/2)^9</f>
        <v>25743.9785454486</v>
      </c>
      <c r="AK7" s="29" t="n">
        <f aca="false">AJ7*AH7</f>
        <v>13129.4290581788</v>
      </c>
      <c r="AL7" s="29" t="n">
        <f aca="false">AK7*0.79-AJ7*$G7</f>
        <v>9986.08927777952</v>
      </c>
      <c r="AM7" s="29" t="n">
        <f aca="false">$E7*AH7*0.67*0.79-$E7*$G7</f>
        <v>2464.024095</v>
      </c>
      <c r="AN7" s="29" t="n">
        <f aca="false">AVERAGE(AM7:AL7)*(1-(1+$F7)^-9)/$F7</f>
        <v>35287.2673152739</v>
      </c>
      <c r="AO7" s="29" t="n">
        <f aca="false">AI7*AK7/(1+$F7)^9</f>
        <v>113173.168539165</v>
      </c>
      <c r="AP7" s="29" t="n">
        <f aca="false">AL7*1.035/($F7-0.035)/(1+$F7)^9</f>
        <v>61484.4146727481</v>
      </c>
      <c r="AQ7" s="30" t="n">
        <f aca="false">MAX(0,(AN7+AVERAGE(AO7:AP7)+$D7))/$C7</f>
        <v>594.708031947967</v>
      </c>
      <c r="AR7" s="31" t="n">
        <f aca="false">$C$4*S7+$E$4*AE7+$G$4*AQ7</f>
        <v>399.778355461776</v>
      </c>
      <c r="AS7" s="32" t="n">
        <f aca="false">AR7/$B7-1</f>
        <v>0.0403308927390864</v>
      </c>
      <c r="AT7" s="33" t="n">
        <f aca="false">S7/$B7-1</f>
        <v>-0.563844109628209</v>
      </c>
    </row>
    <row r="8" customFormat="false" ht="15" hidden="false" customHeight="true" outlineLevel="0" collapsed="false">
      <c r="A8" s="17" t="s">
        <v>15</v>
      </c>
      <c r="B8" s="23" t="n">
        <v>330.1</v>
      </c>
      <c r="C8" s="24" t="n">
        <v>275.8</v>
      </c>
      <c r="D8" s="25" t="n">
        <v>-1710</v>
      </c>
      <c r="E8" s="25" t="n">
        <v>6175</v>
      </c>
      <c r="F8" s="26" t="n">
        <v>0.099</v>
      </c>
      <c r="G8" s="27" t="n">
        <v>0.025</v>
      </c>
      <c r="H8" s="21" t="n">
        <v>0.05</v>
      </c>
      <c r="I8" s="21" t="n">
        <v>0.02</v>
      </c>
      <c r="J8" s="21" t="n">
        <v>0.44</v>
      </c>
      <c r="K8" s="28" t="n">
        <v>15</v>
      </c>
      <c r="L8" s="29" t="n">
        <f aca="false">$E8*(1+(H8+I8)/2)^9</f>
        <v>8415.89115636273</v>
      </c>
      <c r="M8" s="29" t="n">
        <f aca="false">L8*J8</f>
        <v>3702.9921087996</v>
      </c>
      <c r="N8" s="29" t="n">
        <f aca="false">M8*0.79-L8*$G8</f>
        <v>2714.96648704262</v>
      </c>
      <c r="O8" s="29" t="n">
        <f aca="false">$E8*J8*0.67*0.79-$E8*$G8</f>
        <v>1283.7331</v>
      </c>
      <c r="P8" s="29" t="n">
        <f aca="false">AVERAGE(O8:N8)*(1-(1+$F8)^-9)/$F8</f>
        <v>11560.2135872049</v>
      </c>
      <c r="Q8" s="29" t="n">
        <f aca="false">K8*M8/(1+$F8)^9</f>
        <v>23750.0656148902</v>
      </c>
      <c r="R8" s="29" t="n">
        <f aca="false">N8*1.035/($F8-0.035)/(1+$F8)^9</f>
        <v>18773.515999577</v>
      </c>
      <c r="S8" s="30" t="n">
        <f aca="false">MAX(0,(P8+AVERAGE(Q8:R8)+$D8))/$C8</f>
        <v>112.806397369247</v>
      </c>
      <c r="T8" s="21" t="n">
        <v>0.13</v>
      </c>
      <c r="U8" s="21" t="n">
        <v>0.08</v>
      </c>
      <c r="V8" s="21" t="n">
        <v>0.5</v>
      </c>
      <c r="W8" s="28" t="n">
        <v>20</v>
      </c>
      <c r="X8" s="29" t="n">
        <f aca="false">$E8*(1+(T8+U8)/2)^9</f>
        <v>15166.9223781048</v>
      </c>
      <c r="Y8" s="29" t="n">
        <f aca="false">X8*V8</f>
        <v>7583.46118905239</v>
      </c>
      <c r="Z8" s="29" t="n">
        <f aca="false">Y8*0.79-X8*$G8</f>
        <v>5611.76127989877</v>
      </c>
      <c r="AA8" s="29" t="n">
        <f aca="false">$E8*V8*0.67*0.79-$E8*$G8</f>
        <v>1479.83875</v>
      </c>
      <c r="AB8" s="29" t="n">
        <f aca="false">AVERAGE(AA8:Z8)*(1-(1+$F8)^-9)/$F8</f>
        <v>20501.7679463362</v>
      </c>
      <c r="AC8" s="29" t="n">
        <f aca="false">W8*Y8/(1+$F8)^9</f>
        <v>64851.2322057862</v>
      </c>
      <c r="AD8" s="29" t="n">
        <f aca="false">Z8*1.035/($F8-0.035)/(1+$F8)^9</f>
        <v>38804.3427706341</v>
      </c>
      <c r="AE8" s="30" t="n">
        <f aca="false">MAX(0,(AB8+AVERAGE(AC8:AD8)+$D8))/$C8</f>
        <v>256.05350048784</v>
      </c>
      <c r="AF8" s="21" t="n">
        <v>0.17</v>
      </c>
      <c r="AG8" s="21" t="n">
        <v>0.11</v>
      </c>
      <c r="AH8" s="21" t="n">
        <v>0.54</v>
      </c>
      <c r="AI8" s="28" t="n">
        <v>24</v>
      </c>
      <c r="AJ8" s="29" t="n">
        <f aca="false">$E8*(1+(AF8+AG8)/2)^9</f>
        <v>20080.7821181423</v>
      </c>
      <c r="AK8" s="29" t="n">
        <f aca="false">AJ8*AH8</f>
        <v>10843.6223437968</v>
      </c>
      <c r="AL8" s="29" t="n">
        <f aca="false">AK8*0.79-AJ8*$G8</f>
        <v>8064.44209864593</v>
      </c>
      <c r="AM8" s="29" t="n">
        <f aca="false">$E8*AH8*0.67*0.79-$E8*$G8</f>
        <v>1610.57585</v>
      </c>
      <c r="AN8" s="29" t="n">
        <f aca="false">AVERAGE(AM8:AL8)*(1-(1+$F8)^-9)/$F8</f>
        <v>27970.4117580653</v>
      </c>
      <c r="AO8" s="29" t="n">
        <f aca="false">AI8*AK8/(1+$F8)^9</f>
        <v>111277.25238464</v>
      </c>
      <c r="AP8" s="29" t="n">
        <f aca="false">AL8*1.035/($F8-0.035)/(1+$F8)^9</f>
        <v>55764.1994806011</v>
      </c>
      <c r="AQ8" s="30" t="n">
        <f aca="false">MAX(0,(AN8+AVERAGE(AO8:AP8)+$D8))/$C8</f>
        <v>398.046184520253</v>
      </c>
      <c r="AR8" s="31" t="n">
        <f aca="false">$C$4*S8+$E$4*AE8+$G$4*AQ8</f>
        <v>270.001885073846</v>
      </c>
      <c r="AS8" s="32" t="n">
        <f aca="false">AR8/$B8-1</f>
        <v>-0.182060329979262</v>
      </c>
      <c r="AT8" s="33" t="n">
        <f aca="false">S8/$B8-1</f>
        <v>-0.658265987975621</v>
      </c>
    </row>
    <row r="9" customFormat="false" ht="15" hidden="false" customHeight="true" outlineLevel="0" collapsed="false">
      <c r="A9" s="17" t="s">
        <v>13</v>
      </c>
      <c r="B9" s="23" t="n">
        <v>155.44</v>
      </c>
      <c r="C9" s="24" t="n">
        <v>337.2</v>
      </c>
      <c r="D9" s="25" t="n">
        <v>-21600</v>
      </c>
      <c r="E9" s="25" t="n">
        <v>23272</v>
      </c>
      <c r="F9" s="26" t="n">
        <v>0.094</v>
      </c>
      <c r="G9" s="27" t="n">
        <v>0.11</v>
      </c>
      <c r="H9" s="21" t="n">
        <v>0.01</v>
      </c>
      <c r="I9" s="21" t="n">
        <v>0</v>
      </c>
      <c r="J9" s="21" t="n">
        <v>0.29</v>
      </c>
      <c r="K9" s="28" t="n">
        <v>9</v>
      </c>
      <c r="L9" s="29" t="n">
        <f aca="false">$E9*(1+(H9+I9)/2)^9</f>
        <v>24340.4309978639</v>
      </c>
      <c r="M9" s="29" t="n">
        <f aca="false">L9*J9</f>
        <v>7058.72498938054</v>
      </c>
      <c r="N9" s="29" t="n">
        <f aca="false">M9*0.79-L9*$G9</f>
        <v>2898.9453318456</v>
      </c>
      <c r="O9" s="29" t="n">
        <f aca="false">$E9*J9*0.67*0.79-$E9*$G9</f>
        <v>1012.262184</v>
      </c>
      <c r="P9" s="29" t="n">
        <f aca="false">AVERAGE(O9:N9)*(1-(1+$F9)^-9)/$F9</f>
        <v>11536.0587052929</v>
      </c>
      <c r="Q9" s="29" t="n">
        <f aca="false">K9*M9/(1+$F9)^9</f>
        <v>28301.7228285099</v>
      </c>
      <c r="R9" s="29" t="n">
        <f aca="false">N9*1.035/($F9-0.035)/(1+$F9)^9</f>
        <v>22655.4381484913</v>
      </c>
      <c r="S9" s="30" t="n">
        <f aca="false">MAX(0,(P9+AVERAGE(Q9:R9)+$D9))/$C9</f>
        <v>45.7136393647493</v>
      </c>
      <c r="T9" s="21" t="n">
        <v>0.086</v>
      </c>
      <c r="U9" s="21" t="n">
        <v>0.025</v>
      </c>
      <c r="V9" s="21" t="n">
        <v>0.325</v>
      </c>
      <c r="W9" s="28" t="n">
        <v>10</v>
      </c>
      <c r="X9" s="29" t="n">
        <f aca="false">$E9*(1+(T9+U9)/2)^9</f>
        <v>37840.5854561305</v>
      </c>
      <c r="Y9" s="29" t="n">
        <f aca="false">X9*V9</f>
        <v>12298.1902732424</v>
      </c>
      <c r="Z9" s="29" t="n">
        <f aca="false">Y9*0.79-X9*$G9</f>
        <v>5553.10591568715</v>
      </c>
      <c r="AA9" s="29" t="n">
        <f aca="false">$E9*V9*0.67*0.79-$E9*$G9</f>
        <v>1443.38762</v>
      </c>
      <c r="AB9" s="29" t="n">
        <f aca="false">AVERAGE(AA9:Z9)*(1-(1+$F9)^-9)/$F9</f>
        <v>20636.0720651866</v>
      </c>
      <c r="AC9" s="29" t="n">
        <f aca="false">W9*Y9/(1+$F9)^9</f>
        <v>54787.9827100062</v>
      </c>
      <c r="AD9" s="29" t="n">
        <f aca="false">Z9*1.035/($F9-0.035)/(1+$F9)^9</f>
        <v>43397.8682601704</v>
      </c>
      <c r="AE9" s="30" t="n">
        <f aca="false">MAX(0,(AB9+AVERAGE(AC9:AD9)+$D9))/$C9</f>
        <v>142.731309461076</v>
      </c>
      <c r="AF9" s="21" t="n">
        <v>0.12</v>
      </c>
      <c r="AG9" s="21" t="n">
        <v>0.04</v>
      </c>
      <c r="AH9" s="21" t="n">
        <v>0.34</v>
      </c>
      <c r="AI9" s="28" t="n">
        <v>11.5</v>
      </c>
      <c r="AJ9" s="29" t="n">
        <f aca="false">$E9*(1+(AF9+AG9)/2)^9</f>
        <v>46520.8356819744</v>
      </c>
      <c r="AK9" s="29" t="n">
        <f aca="false">AJ9*AH9</f>
        <v>15817.0841318713</v>
      </c>
      <c r="AL9" s="29" t="n">
        <f aca="false">AK9*0.79-AJ9*$G9</f>
        <v>7378.20453916114</v>
      </c>
      <c r="AM9" s="29" t="n">
        <f aca="false">$E9*AH9*0.67*0.79-$E9*$G9</f>
        <v>1628.155664</v>
      </c>
      <c r="AN9" s="29" t="n">
        <f aca="false">AVERAGE(AM9:AL9)*(1-(1+$F9)^-9)/$F9</f>
        <v>26564.1492055217</v>
      </c>
      <c r="AO9" s="29" t="n">
        <f aca="false">AI9*AK9/(1+$F9)^9</f>
        <v>81034.2033737199</v>
      </c>
      <c r="AP9" s="29" t="n">
        <f aca="false">AL9*1.035/($F9-0.035)/(1+$F9)^9</f>
        <v>57661.1275651286</v>
      </c>
      <c r="AQ9" s="30" t="n">
        <f aca="false">MAX(0,(AN9+AVERAGE(AO9:AP9)+$D9))/$C9</f>
        <v>220.379047078725</v>
      </c>
      <c r="AR9" s="31" t="n">
        <f aca="false">$C$4*S9+$E$4*AE9+$G$4*AQ9</f>
        <v>146.622096727105</v>
      </c>
      <c r="AS9" s="32" t="n">
        <f aca="false">AR9/$B9-1</f>
        <v>-0.0567286623320552</v>
      </c>
      <c r="AT9" s="33" t="n">
        <f aca="false">S9/$B9-1</f>
        <v>-0.705908135841808</v>
      </c>
    </row>
    <row r="10" customFormat="false" ht="15" hidden="false" customHeight="true" outlineLevel="0" collapsed="false">
      <c r="A10" s="17" t="s">
        <v>11</v>
      </c>
      <c r="B10" s="23" t="n">
        <v>656.73</v>
      </c>
      <c r="C10" s="24" t="n">
        <v>2510</v>
      </c>
      <c r="D10" s="25" t="n">
        <v>35000</v>
      </c>
      <c r="E10" s="25" t="n">
        <v>245000</v>
      </c>
      <c r="F10" s="26" t="n">
        <v>0.102</v>
      </c>
      <c r="G10" s="27" t="n">
        <v>0.2</v>
      </c>
      <c r="H10" s="21" t="n">
        <v>0.06</v>
      </c>
      <c r="I10" s="21" t="n">
        <v>0.03</v>
      </c>
      <c r="J10" s="21" t="n">
        <v>0.48</v>
      </c>
      <c r="K10" s="28" t="n">
        <v>10</v>
      </c>
      <c r="L10" s="29" t="n">
        <f aca="false">$E10*(1+(H10+I10)/2)^9</f>
        <v>364093.309401492</v>
      </c>
      <c r="M10" s="29" t="n">
        <f aca="false">L10*J10</f>
        <v>174764.788512716</v>
      </c>
      <c r="N10" s="29" t="n">
        <f aca="false">M10*0.79-L10*$G10</f>
        <v>65245.5210447474</v>
      </c>
      <c r="O10" s="29" t="n">
        <f aca="false">$E10*J10*0.67*0.79-$E10*$G10</f>
        <v>13245.68</v>
      </c>
      <c r="P10" s="29" t="n">
        <f aca="false">AVERAGE(O10:N10)*(1-(1+$F10)^-9)/$F10</f>
        <v>224230.69673309</v>
      </c>
      <c r="Q10" s="29" t="n">
        <f aca="false">K10*M10/(1+$F10)^9</f>
        <v>729154.541505567</v>
      </c>
      <c r="R10" s="29" t="n">
        <f aca="false">N10*1.035/($F10-0.035)/(1+$F10)^9</f>
        <v>420515.395280226</v>
      </c>
      <c r="S10" s="30" t="n">
        <f aca="false">MAX(0,(P10+AVERAGE(Q10:R10)+$D10))/$C10</f>
        <v>332.297077739437</v>
      </c>
      <c r="T10" s="21" t="n">
        <v>0.14</v>
      </c>
      <c r="U10" s="21" t="n">
        <v>0.07</v>
      </c>
      <c r="V10" s="21" t="n">
        <v>0.52</v>
      </c>
      <c r="W10" s="28" t="n">
        <v>14</v>
      </c>
      <c r="X10" s="29" t="n">
        <f aca="false">$E10*(1+(T10+U10)/2)^9</f>
        <v>601764.531600919</v>
      </c>
      <c r="Y10" s="29" t="n">
        <f aca="false">X10*V10</f>
        <v>312917.556432478</v>
      </c>
      <c r="Z10" s="29" t="n">
        <f aca="false">Y10*0.79-X10*$G10</f>
        <v>126851.963261474</v>
      </c>
      <c r="AA10" s="29" t="n">
        <f aca="false">$E10*V10*0.67*0.79-$E10*$G10</f>
        <v>18432.82</v>
      </c>
      <c r="AB10" s="29" t="n">
        <f aca="false">AVERAGE(AA10:Z10)*(1-(1+$F10)^-9)/$F10</f>
        <v>415044.078085441</v>
      </c>
      <c r="AC10" s="29" t="n">
        <f aca="false">W10*Y10/(1+$F10)^9</f>
        <v>1827778.71368608</v>
      </c>
      <c r="AD10" s="29" t="n">
        <f aca="false">Z10*1.035/($F10-0.035)/(1+$F10)^9</f>
        <v>817576.48063515</v>
      </c>
      <c r="AE10" s="30" t="n">
        <f aca="false">MAX(0,(AB10+AVERAGE(AC10:AD10)+$D10))/$C10</f>
        <v>706.263615635878</v>
      </c>
      <c r="AF10" s="21" t="n">
        <v>0.18</v>
      </c>
      <c r="AG10" s="21" t="n">
        <v>0.09</v>
      </c>
      <c r="AH10" s="21" t="n">
        <v>0.55</v>
      </c>
      <c r="AI10" s="28" t="n">
        <v>16</v>
      </c>
      <c r="AJ10" s="29" t="n">
        <f aca="false">$E10*(1+(AF10+AG10)/2)^9</f>
        <v>765823.7630675</v>
      </c>
      <c r="AK10" s="29" t="n">
        <f aca="false">AJ10*AH10</f>
        <v>421203.069687125</v>
      </c>
      <c r="AL10" s="29" t="n">
        <f aca="false">AK10*0.79-AJ10*$G10</f>
        <v>179585.672439329</v>
      </c>
      <c r="AM10" s="29" t="n">
        <f aca="false">$E10*AH10*0.67*0.79-$E10*$G10</f>
        <v>22323.175</v>
      </c>
      <c r="AN10" s="29" t="n">
        <f aca="false">AVERAGE(AM10:AL10)*(1-(1+$F10)^-9)/$F10</f>
        <v>576805.564640109</v>
      </c>
      <c r="AO10" s="29" t="n">
        <f aca="false">AI10*AK10/(1+$F10)^9</f>
        <v>2811752.95112591</v>
      </c>
      <c r="AP10" s="29" t="n">
        <f aca="false">AL10*1.035/($F10-0.035)/(1+$F10)^9</f>
        <v>1157451.71198336</v>
      </c>
      <c r="AQ10" s="30" t="n">
        <f aca="false">MAX(0,(AN10+AVERAGE(AO10:AP10)+$D10))/$C10</f>
        <v>1034.42545665129</v>
      </c>
      <c r="AR10" s="31" t="n">
        <f aca="false">$C$4*S10+$E$4*AE10+$G$4*AQ10</f>
        <v>729.918860361214</v>
      </c>
      <c r="AS10" s="32" t="n">
        <f aca="false">AR10/$B10-1</f>
        <v>0.111444368859675</v>
      </c>
      <c r="AT10" s="33" t="n">
        <f aca="false">S10/$B10-1</f>
        <v>-0.494012641817129</v>
      </c>
    </row>
    <row r="11" customFormat="false" ht="15" hidden="false" customHeight="true" outlineLevel="0" collapsed="false">
      <c r="A11" s="17" t="s">
        <v>17</v>
      </c>
      <c r="B11" s="23" t="n">
        <v>101.6</v>
      </c>
      <c r="C11" s="24" t="n">
        <v>1050</v>
      </c>
      <c r="D11" s="25" t="n">
        <v>5000</v>
      </c>
      <c r="E11" s="25" t="n">
        <v>15800</v>
      </c>
      <c r="F11" s="26" t="n">
        <v>0.098</v>
      </c>
      <c r="G11" s="27" t="n">
        <v>0.02</v>
      </c>
      <c r="H11" s="21" t="n">
        <v>0.04</v>
      </c>
      <c r="I11" s="21" t="n">
        <v>-0.03</v>
      </c>
      <c r="J11" s="21" t="n">
        <v>0.3</v>
      </c>
      <c r="K11" s="28" t="n">
        <v>9</v>
      </c>
      <c r="L11" s="29" t="n">
        <f aca="false">$E11*(1+(H11+I11)/2)^9</f>
        <v>16525.387150492</v>
      </c>
      <c r="M11" s="29" t="n">
        <f aca="false">L11*J11</f>
        <v>4957.6161451476</v>
      </c>
      <c r="N11" s="29" t="n">
        <f aca="false">M11*0.79-L11*$G11</f>
        <v>3586.00901165677</v>
      </c>
      <c r="O11" s="29" t="n">
        <f aca="false">$E11*J11*0.67*0.79-$E11*$G11</f>
        <v>2192.882</v>
      </c>
      <c r="P11" s="29" t="n">
        <f aca="false">AVERAGE(O11:N11)*(1-(1+$F11)^-9)/$F11</f>
        <v>16773.4991903726</v>
      </c>
      <c r="Q11" s="29" t="n">
        <f aca="false">K11*M11/(1+$F11)^9</f>
        <v>19235.0954568528</v>
      </c>
      <c r="R11" s="29" t="n">
        <f aca="false">N11*1.035/($F11-0.035)/(1+$F11)^9</f>
        <v>25397.4501124742</v>
      </c>
      <c r="S11" s="30" t="n">
        <f aca="false">MAX(0,(P11+AVERAGE(Q11:R11)+$D11))/$C11</f>
        <v>41.9902590238439</v>
      </c>
      <c r="T11" s="21" t="n">
        <v>0.15</v>
      </c>
      <c r="U11" s="21" t="n">
        <v>0.08</v>
      </c>
      <c r="V11" s="21" t="n">
        <v>0.4</v>
      </c>
      <c r="W11" s="28" t="n">
        <v>20</v>
      </c>
      <c r="X11" s="29" t="n">
        <f aca="false">$E11*(1+(T11+U11)/2)^9</f>
        <v>42085.3451648306</v>
      </c>
      <c r="Y11" s="29" t="n">
        <f aca="false">X11*V11</f>
        <v>16834.1380659323</v>
      </c>
      <c r="Z11" s="29" t="n">
        <f aca="false">Y11*0.79-X11*$G11</f>
        <v>12457.2621687899</v>
      </c>
      <c r="AA11" s="29" t="n">
        <f aca="false">$E11*V11*0.67*0.79-$E11*$G11</f>
        <v>3029.176</v>
      </c>
      <c r="AB11" s="29" t="n">
        <f aca="false">AVERAGE(AA11:Z11)*(1-(1+$F11)^-9)/$F11</f>
        <v>44950.1050568316</v>
      </c>
      <c r="AC11" s="29" t="n">
        <f aca="false">W11*Y11/(1+$F11)^9</f>
        <v>145144.244577655</v>
      </c>
      <c r="AD11" s="29" t="n">
        <f aca="false">Z11*1.035/($F11-0.035)/(1+$F11)^9</f>
        <v>88226.9658111319</v>
      </c>
      <c r="AE11" s="30" t="n">
        <f aca="false">MAX(0,(AB11+AVERAGE(AC11:AD11)+$D11))/$C11</f>
        <v>158.700676429738</v>
      </c>
      <c r="AF11" s="21" t="n">
        <v>0.21</v>
      </c>
      <c r="AG11" s="21" t="n">
        <v>0.12</v>
      </c>
      <c r="AH11" s="21" t="n">
        <v>0.46</v>
      </c>
      <c r="AI11" s="28" t="n">
        <v>25</v>
      </c>
      <c r="AJ11" s="29" t="n">
        <f aca="false">$E11*(1+(AF11+AG11)/2)^9</f>
        <v>62458.3367958513</v>
      </c>
      <c r="AK11" s="29" t="n">
        <f aca="false">AJ11*AH11</f>
        <v>28730.8349260916</v>
      </c>
      <c r="AL11" s="29" t="n">
        <f aca="false">AK11*0.79-AJ11*$G11</f>
        <v>21448.1928556953</v>
      </c>
      <c r="AM11" s="29" t="n">
        <f aca="false">$E11*AH11*0.67*0.79-$E11*$G11</f>
        <v>3530.9524</v>
      </c>
      <c r="AN11" s="29" t="n">
        <f aca="false">AVERAGE(AM11:AL11)*(1-(1+$F11)^-9)/$F11</f>
        <v>72503.127655021</v>
      </c>
      <c r="AO11" s="29" t="n">
        <f aca="false">AI11*AK11/(1+$F11)^9</f>
        <v>309647.226598437</v>
      </c>
      <c r="AP11" s="29" t="n">
        <f aca="false">AL11*1.035/($F11-0.035)/(1+$F11)^9</f>
        <v>151904.082305576</v>
      </c>
      <c r="AQ11" s="30" t="n">
        <f aca="false">MAX(0,(AN11+AVERAGE(AO11:AP11)+$D11))/$C11</f>
        <v>293.598840101931</v>
      </c>
      <c r="AR11" s="31" t="n">
        <f aca="false">$C$4*S11+$E$4*AE11+$G$4*AQ11</f>
        <v>175.828042050217</v>
      </c>
      <c r="AS11" s="32" t="n">
        <f aca="false">AR11/$B11-1</f>
        <v>0.730590965061194</v>
      </c>
      <c r="AT11" s="33" t="n">
        <f aca="false">S11/$B11-1</f>
        <v>-0.586710048977915</v>
      </c>
    </row>
    <row r="12" customFormat="false" ht="15" hidden="false" customHeight="true" outlineLevel="0" collapsed="false">
      <c r="A12" s="17" t="s">
        <v>23</v>
      </c>
      <c r="B12" s="23" t="n">
        <v>55.13</v>
      </c>
      <c r="C12" s="24" t="n">
        <v>61.03</v>
      </c>
      <c r="D12" s="25" t="n">
        <v>80</v>
      </c>
      <c r="E12" s="25" t="n">
        <v>770</v>
      </c>
      <c r="F12" s="26" t="n">
        <v>0.121</v>
      </c>
      <c r="G12" s="27" t="n">
        <v>0.02</v>
      </c>
      <c r="H12" s="21" t="n">
        <v>-0.05</v>
      </c>
      <c r="I12" s="21" t="n">
        <v>0</v>
      </c>
      <c r="J12" s="21" t="n">
        <v>0.08</v>
      </c>
      <c r="K12" s="28" t="n">
        <v>7</v>
      </c>
      <c r="L12" s="29" t="n">
        <f aca="false">$E12*(1+(H12+I12)/2)^9</f>
        <v>613.101341599443</v>
      </c>
      <c r="M12" s="29" t="n">
        <f aca="false">L12*J12</f>
        <v>49.0481073279554</v>
      </c>
      <c r="N12" s="29" t="n">
        <f aca="false">M12*0.79-L12*$G12</f>
        <v>26.4859779570959</v>
      </c>
      <c r="O12" s="29" t="n">
        <f aca="false">$E12*J12*0.67*0.79-$E12*$G12</f>
        <v>17.20488</v>
      </c>
      <c r="P12" s="29" t="n">
        <f aca="false">AVERAGE(O12:N12)*(1-(1+$F12)^-9)/$F12</f>
        <v>115.956771909769</v>
      </c>
      <c r="Q12" s="29" t="n">
        <f aca="false">K12*M12/(1+$F12)^9</f>
        <v>122.82019430443</v>
      </c>
      <c r="R12" s="29" t="n">
        <f aca="false">N12*1.035/($F12-0.035)/(1+$F12)^9</f>
        <v>114.026921257053</v>
      </c>
      <c r="S12" s="30" t="n">
        <f aca="false">MAX(0,(P12+AVERAGE(Q12:R12)+$D12))/$C12</f>
        <v>5.15124249861561</v>
      </c>
      <c r="T12" s="21" t="n">
        <v>0.12</v>
      </c>
      <c r="U12" s="21" t="n">
        <v>0.04</v>
      </c>
      <c r="V12" s="21" t="n">
        <v>0.18</v>
      </c>
      <c r="W12" s="28" t="n">
        <v>12</v>
      </c>
      <c r="X12" s="29" t="n">
        <f aca="false">$E12*(1+(T12+U12)/2)^9</f>
        <v>1539.23356287041</v>
      </c>
      <c r="Y12" s="29" t="n">
        <f aca="false">X12*V12</f>
        <v>277.062041316674</v>
      </c>
      <c r="Z12" s="29" t="n">
        <f aca="false">Y12*0.79-X12*$G12</f>
        <v>188.094341382765</v>
      </c>
      <c r="AA12" s="29" t="n">
        <f aca="false">$E12*V12*0.67*0.79-$E12*$G12</f>
        <v>57.96098</v>
      </c>
      <c r="AB12" s="29" t="n">
        <f aca="false">AVERAGE(AA12:Z12)*(1-(1+$F12)^-9)/$F12</f>
        <v>653.037777531952</v>
      </c>
      <c r="AC12" s="29" t="n">
        <f aca="false">W12*Y12/(1+$F12)^9</f>
        <v>1189.344756848</v>
      </c>
      <c r="AD12" s="29" t="n">
        <f aca="false">Z12*1.035/($F12-0.035)/(1+$F12)^9</f>
        <v>809.780129262833</v>
      </c>
      <c r="AE12" s="30" t="n">
        <f aca="false">MAX(0,(AB12+AVERAGE(AC12:AD12)+$D12))/$C12</f>
        <v>28.3893203438861</v>
      </c>
      <c r="AF12" s="21" t="n">
        <v>0.2</v>
      </c>
      <c r="AG12" s="21" t="n">
        <v>0.08</v>
      </c>
      <c r="AH12" s="21" t="n">
        <v>0.23</v>
      </c>
      <c r="AI12" s="28" t="n">
        <v>16</v>
      </c>
      <c r="AJ12" s="29" t="n">
        <f aca="false">$E12*(1+(AF12+AG12)/2)^9</f>
        <v>2504.00036129061</v>
      </c>
      <c r="AK12" s="29" t="n">
        <f aca="false">AJ12*AH12</f>
        <v>575.920083096841</v>
      </c>
      <c r="AL12" s="29" t="n">
        <f aca="false">AK12*0.79-AJ12*$G12</f>
        <v>404.896858420692</v>
      </c>
      <c r="AM12" s="29" t="n">
        <f aca="false">$E12*AH12*0.67*0.79-$E12*$G12</f>
        <v>78.33903</v>
      </c>
      <c r="AN12" s="29" t="n">
        <f aca="false">AVERAGE(AM12:AL12)*(1-(1+$F12)^-9)/$F12</f>
        <v>1282.52170619396</v>
      </c>
      <c r="AO12" s="29" t="n">
        <f aca="false">AI12*AK12/(1+$F12)^9</f>
        <v>3296.33766232544</v>
      </c>
      <c r="AP12" s="29" t="n">
        <f aca="false">AL12*1.035/($F12-0.035)/(1+$F12)^9</f>
        <v>1743.15414243539</v>
      </c>
      <c r="AQ12" s="30" t="n">
        <f aca="false">MAX(0,(AN12+AVERAGE(AO12:AP12)+$D12))/$C12</f>
        <v>63.6124464783611</v>
      </c>
      <c r="AR12" s="31" t="n">
        <f aca="false">$C$4*S12+$E$4*AE12+$G$4*AQ12</f>
        <v>34.3086426151745</v>
      </c>
      <c r="AS12" s="32" t="n">
        <f aca="false">AR12/$B12-1</f>
        <v>-0.377677442133603</v>
      </c>
      <c r="AT12" s="33" t="n">
        <f aca="false">S12/$B12-1</f>
        <v>-0.906561899172581</v>
      </c>
    </row>
    <row r="13" customFormat="false" ht="15" hidden="false" customHeight="true" outlineLevel="0" collapsed="false">
      <c r="A13" s="17" t="s">
        <v>21</v>
      </c>
      <c r="B13" s="23" t="n">
        <v>42.51</v>
      </c>
      <c r="C13" s="24" t="n">
        <v>630</v>
      </c>
      <c r="D13" s="25" t="n">
        <v>2086</v>
      </c>
      <c r="E13" s="25" t="n">
        <v>2771</v>
      </c>
      <c r="F13" s="26" t="n">
        <v>0.134</v>
      </c>
      <c r="G13" s="27" t="n">
        <v>0.025</v>
      </c>
      <c r="H13" s="21" t="n">
        <v>0.08</v>
      </c>
      <c r="I13" s="21" t="n">
        <v>0.02</v>
      </c>
      <c r="J13" s="21" t="n">
        <v>0.14</v>
      </c>
      <c r="K13" s="28" t="n">
        <v>8</v>
      </c>
      <c r="L13" s="29" t="n">
        <f aca="false">$E13*(1+(H13+I13)/2)^9</f>
        <v>4298.73048647647</v>
      </c>
      <c r="M13" s="29" t="n">
        <f aca="false">L13*J13</f>
        <v>601.822268106706</v>
      </c>
      <c r="N13" s="29" t="n">
        <f aca="false">M13*0.79-L13*$G13</f>
        <v>367.971329642386</v>
      </c>
      <c r="O13" s="29" t="n">
        <f aca="false">$E13*J13*0.67*0.79-$E13*$G13</f>
        <v>136.061642</v>
      </c>
      <c r="P13" s="29" t="n">
        <f aca="false">AVERAGE(O13:N13)*(1-(1+$F13)^-9)/$F13</f>
        <v>1274.25375893487</v>
      </c>
      <c r="Q13" s="29" t="n">
        <f aca="false">K13*M13/(1+$F13)^9</f>
        <v>1552.53267447183</v>
      </c>
      <c r="R13" s="29" t="n">
        <f aca="false">N13*1.035/($F13-0.035)/(1+$F13)^9</f>
        <v>1240.513932427</v>
      </c>
      <c r="S13" s="30" t="n">
        <f aca="false">MAX(0,(P13+AVERAGE(Q13:R13)+$D13))/$C13</f>
        <v>7.55043978156235</v>
      </c>
      <c r="T13" s="21" t="n">
        <v>0.2</v>
      </c>
      <c r="U13" s="21" t="n">
        <v>0.05</v>
      </c>
      <c r="V13" s="21" t="n">
        <v>0.21</v>
      </c>
      <c r="W13" s="28" t="n">
        <v>12</v>
      </c>
      <c r="X13" s="29" t="n">
        <f aca="false">$E13*(1+(T13+U13)/2)^9</f>
        <v>7998.51249917597</v>
      </c>
      <c r="Y13" s="29" t="n">
        <f aca="false">X13*V13</f>
        <v>1679.68762482695</v>
      </c>
      <c r="Z13" s="29" t="n">
        <f aca="false">Y13*0.79-X13*$G13</f>
        <v>1126.99041113389</v>
      </c>
      <c r="AA13" s="29" t="n">
        <f aca="false">$E13*V13*0.67*0.79-$E13*$G13</f>
        <v>238.729963</v>
      </c>
      <c r="AB13" s="29" t="n">
        <f aca="false">AVERAGE(AA13:Z13)*(1-(1+$F13)^-9)/$F13</f>
        <v>3452.69936354239</v>
      </c>
      <c r="AC13" s="29" t="n">
        <f aca="false">W13*Y13/(1+$F13)^9</f>
        <v>6499.68452144609</v>
      </c>
      <c r="AD13" s="29" t="n">
        <f aca="false">Z13*1.035/($F13-0.035)/(1+$F13)^9</f>
        <v>3799.3375953554</v>
      </c>
      <c r="AE13" s="30" t="n">
        <f aca="false">MAX(0,(AB13+AVERAGE(AC13:AD13)+$D13))/$C13</f>
        <v>16.9654133681637</v>
      </c>
      <c r="AF13" s="21" t="n">
        <v>0.28</v>
      </c>
      <c r="AG13" s="21" t="n">
        <v>0.08</v>
      </c>
      <c r="AH13" s="21" t="n">
        <v>0.25</v>
      </c>
      <c r="AI13" s="28" t="n">
        <v>15</v>
      </c>
      <c r="AJ13" s="29" t="n">
        <f aca="false">$E13*(1+(AF13+AG13)/2)^9</f>
        <v>12290.6426437083</v>
      </c>
      <c r="AK13" s="29" t="n">
        <f aca="false">AJ13*AH13</f>
        <v>3072.66066092708</v>
      </c>
      <c r="AL13" s="29" t="n">
        <f aca="false">AK13*0.79-AJ13*$G13</f>
        <v>2120.13585603969</v>
      </c>
      <c r="AM13" s="29" t="n">
        <f aca="false">$E13*AH13*0.67*0.79-$E13*$G13</f>
        <v>297.397575</v>
      </c>
      <c r="AN13" s="29" t="n">
        <f aca="false">AVERAGE(AM13:AL13)*(1-(1+$F13)^-9)/$F13</f>
        <v>6111.80465399929</v>
      </c>
      <c r="AO13" s="29" t="n">
        <f aca="false">AI13*AK13/(1+$F13)^9</f>
        <v>14862.3802443189</v>
      </c>
      <c r="AP13" s="29" t="n">
        <f aca="false">AL13*1.035/($F13-0.035)/(1+$F13)^9</f>
        <v>7147.45377204065</v>
      </c>
      <c r="AQ13" s="30" t="n">
        <f aca="false">MAX(0,(AN13+AVERAGE(AO13:AP13)+$D13))/$C13</f>
        <v>30.4805105748874</v>
      </c>
      <c r="AR13" s="31" t="n">
        <f aca="false">$C$4*S13+$E$4*AE13+$G$4*AQ13</f>
        <v>19.1369478128606</v>
      </c>
      <c r="AS13" s="32" t="n">
        <f aca="false">AR13/$B13-1</f>
        <v>-0.549824798568324</v>
      </c>
      <c r="AT13" s="33" t="n">
        <f aca="false">S13/$B13-1</f>
        <v>-0.822384385284348</v>
      </c>
    </row>
    <row r="14" customFormat="false" ht="15" hidden="false" customHeight="true" outlineLevel="0" collapsed="false">
      <c r="A14" s="17" t="s">
        <v>19</v>
      </c>
      <c r="B14" s="23" t="n">
        <v>14.02</v>
      </c>
      <c r="C14" s="24" t="n">
        <v>406</v>
      </c>
      <c r="D14" s="25" t="n">
        <v>1700</v>
      </c>
      <c r="E14" s="25" t="n">
        <v>180</v>
      </c>
      <c r="F14" s="26" t="n">
        <v>0.14</v>
      </c>
      <c r="G14" s="27" t="n">
        <v>0.08</v>
      </c>
      <c r="H14" s="21" t="n">
        <v>0.2</v>
      </c>
      <c r="I14" s="21" t="n">
        <v>0.05</v>
      </c>
      <c r="J14" s="21" t="n">
        <v>0.05</v>
      </c>
      <c r="K14" s="28" t="n">
        <v>10</v>
      </c>
      <c r="L14" s="29" t="n">
        <f aca="false">$E14*(1+(H14+I14)/2)^9</f>
        <v>519.571364074945</v>
      </c>
      <c r="M14" s="29" t="n">
        <f aca="false">L14*J14</f>
        <v>25.9785682037473</v>
      </c>
      <c r="N14" s="29" t="n">
        <f aca="false">M14*0.79-L14*$G14</f>
        <v>-21.0426402450353</v>
      </c>
      <c r="O14" s="29" t="n">
        <f aca="false">$E14*J14*0.67*0.79-$E14*$G14</f>
        <v>-9.6363</v>
      </c>
      <c r="P14" s="29" t="n">
        <f aca="false">AVERAGE(O14:N14)*(1-(1+$F14)^-9)/$F14</f>
        <v>-75.874723005068</v>
      </c>
      <c r="Q14" s="29" t="n">
        <f aca="false">K14*M14/(1+$F14)^9</f>
        <v>79.8861606656286</v>
      </c>
      <c r="R14" s="29" t="n">
        <f aca="false">N14*1.035/($F14-0.035)/(1+$F14)^9</f>
        <v>-63.7833931371712</v>
      </c>
      <c r="S14" s="30" t="n">
        <f aca="false">MAX(0,(P14+AVERAGE(Q14:R14)+$D14))/$C14</f>
        <v>4.0201395585201</v>
      </c>
      <c r="T14" s="21" t="n">
        <v>0.55</v>
      </c>
      <c r="U14" s="21" t="n">
        <v>0.25</v>
      </c>
      <c r="V14" s="21" t="n">
        <v>0.135</v>
      </c>
      <c r="W14" s="28" t="n">
        <v>15</v>
      </c>
      <c r="X14" s="29" t="n">
        <f aca="false">$E14*(1+(T14+U14)/2)^9</f>
        <v>3718.98842112</v>
      </c>
      <c r="Y14" s="29" t="n">
        <f aca="false">X14*V14</f>
        <v>502.0634368512</v>
      </c>
      <c r="Z14" s="29" t="n">
        <f aca="false">Y14*0.79-X14*$G14</f>
        <v>99.111041422848</v>
      </c>
      <c r="AA14" s="29" t="n">
        <f aca="false">$E14*V14*0.67*0.79-$E14*$G14</f>
        <v>-1.53801</v>
      </c>
      <c r="AB14" s="29" t="n">
        <f aca="false">AVERAGE(AA14:Z14)*(1-(1+$F14)^-9)/$F14</f>
        <v>241.316247329353</v>
      </c>
      <c r="AC14" s="29" t="n">
        <f aca="false">W14*Y14/(1+$F14)^9</f>
        <v>2315.82741970633</v>
      </c>
      <c r="AD14" s="29" t="n">
        <f aca="false">Z14*1.035/($F14-0.035)/(1+$F14)^9</f>
        <v>300.420405695025</v>
      </c>
      <c r="AE14" s="30" t="n">
        <f aca="false">MAX(0,(AB14+AVERAGE(AC14:AD14)+$D14))/$C14</f>
        <v>8.00354719219219</v>
      </c>
      <c r="AF14" s="21" t="n">
        <v>0.7</v>
      </c>
      <c r="AG14" s="21" t="n">
        <v>0.33</v>
      </c>
      <c r="AH14" s="21" t="n">
        <v>0.2</v>
      </c>
      <c r="AI14" s="28" t="n">
        <v>18</v>
      </c>
      <c r="AJ14" s="29" t="n">
        <f aca="false">$E14*(1+(AF14+AG14)/2)^9</f>
        <v>7568.08847657096</v>
      </c>
      <c r="AK14" s="29" t="n">
        <f aca="false">AJ14*AH14</f>
        <v>1513.61769531419</v>
      </c>
      <c r="AL14" s="29" t="n">
        <f aca="false">AK14*0.79-AJ14*$G14</f>
        <v>590.310901172535</v>
      </c>
      <c r="AM14" s="29" t="n">
        <f aca="false">$E14*AH14*0.67*0.79-$E14*$G14</f>
        <v>4.6548</v>
      </c>
      <c r="AN14" s="29" t="n">
        <f aca="false">AVERAGE(AM14:AL14)*(1-(1+$F14)^-9)/$F14</f>
        <v>1471.46079406336</v>
      </c>
      <c r="AO14" s="29" t="n">
        <f aca="false">AI14*AK14/(1+$F14)^9</f>
        <v>8378.09034749573</v>
      </c>
      <c r="AP14" s="29" t="n">
        <f aca="false">AL14*1.035/($F14-0.035)/(1+$F14)^9</f>
        <v>1789.32072421516</v>
      </c>
      <c r="AQ14" s="30" t="n">
        <f aca="false">MAX(0,(AN14+AVERAGE(AO14:AP14)+$D14))/$C14</f>
        <v>20.3329219948739</v>
      </c>
      <c r="AR14" s="31" t="n">
        <f aca="false">$C$4*S14+$E$4*AE14+$G$4*AQ14</f>
        <v>10.9056781062623</v>
      </c>
      <c r="AS14" s="32" t="n">
        <f aca="false">AR14/$B14-1</f>
        <v>-0.222134229225229</v>
      </c>
      <c r="AT14" s="33" t="n">
        <f aca="false">S14/$B14-1</f>
        <v>-0.713256807523531</v>
      </c>
    </row>
    <row r="16" customFormat="false" ht="15" hidden="false" customHeight="true" outlineLevel="0" collapsed="false">
      <c r="A16" s="1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2026-07-22T18:51:50Z</dcterms:created>
  <dc:creator>openpyxl</dc:creator>
  <dc:description/>
  <dc:language>en-US</dc:language>
  <cp:lastModifiedBy/>
  <dcterms:modified xsi:type="dcterms:W3CDTF">2026-07-22T18:53:13Z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