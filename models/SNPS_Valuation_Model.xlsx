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Historicals" sheetId="3" state="visible" r:id="rId5"/>
    <sheet name="Model_3S" sheetId="4" state="visible" r:id="rId6"/>
    <sheet name="WACC" sheetId="5" state="visible" r:id="rId7"/>
    <sheet name="DCF" sheetId="6" state="visible" r:id="rId8"/>
    <sheet name="Comps" sheetId="7" state="visible" r:id="rId9"/>
    <sheet name="Precedents" sheetId="8" state="visible" r:id="rId10"/>
    <sheet name="LBO" sheetId="9" state="visible" r:id="rId11"/>
    <sheet name="Monte_Carlo" sheetId="10" state="visible" r:id="rId12"/>
    <sheet name="Football_Field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<sst xmlns="http://schemas.openxmlformats.org/spreadsheetml/2006/main" count="502" uniqueCount="450">
  <si>
    <t xml:space="preserve">SYNOPSYS, INC. (NASDAQ: SNPS) — DCF VALUATION &amp; 3-STATEMENT OPERATING MODEL</t>
  </si>
  <si>
    <t xml:space="preserve">Prepared July 20, 2026 · $ millions except per-share · Fiscal year ends late October</t>
  </si>
  <si>
    <t xml:space="preserve">CONTENTS</t>
  </si>
  <si>
    <t xml:space="preserve">Assumptions</t>
  </si>
  <si>
    <t xml:space="preserve">Scenario switch &amp; levers (edit yellow cells)</t>
  </si>
  <si>
    <t xml:space="preserve">Historicals</t>
  </si>
  <si>
    <t xml:space="preserve">FY2022–FY2025 actuals, Q2 FY2026, FY2026E guidance build</t>
  </si>
  <si>
    <t xml:space="preserve">Model_3S</t>
  </si>
  <si>
    <t xml:space="preserve">Linked IS/BS/CF FY2026E–FY2035E: working capital, capex, debt schedule with deleveraging, buybacks</t>
  </si>
  <si>
    <t xml:space="preserve">WACC</t>
  </si>
  <si>
    <t xml:space="preserve">CAPM with current market data (beta 1.24, 10Y 4.55%)</t>
  </si>
  <si>
    <t xml:space="preserve">DCF</t>
  </si>
  <si>
    <t xml:space="preserve">Unlevered FCF, Gordon + exit-multiple terminal values, sensitivities</t>
  </si>
  <si>
    <t xml:space="preserve">Comps</t>
  </si>
  <si>
    <t xml:space="preserve">EDA / design-software peers (CDNS primary)</t>
  </si>
  <si>
    <t xml:space="preserve">Precedents</t>
  </si>
  <si>
    <t xml:space="preserve">EDA &amp; engineering-software M&amp;A — including Synopsys–Ansys itself</t>
  </si>
  <si>
    <t xml:space="preserve">LBO</t>
  </si>
  <si>
    <t xml:space="preserve">Leveraged buyout at 6.5x; max price at 15/20/25/30% IRR</t>
  </si>
  <si>
    <t xml:space="preserve">Monte_Carlo</t>
  </si>
  <si>
    <t xml:space="preserve">500 live trials + scenario probability weights</t>
  </si>
  <si>
    <t xml:space="preserve">Football_Field</t>
  </si>
  <si>
    <t xml:space="preserve">Valuation summary chart vs. current price</t>
  </si>
  <si>
    <t xml:space="preserve">LEGEND</t>
  </si>
  <si>
    <t xml:space="preserve">Blue font / yellow fill</t>
  </si>
  <si>
    <t xml:space="preserve">Hardcoded input or scenario lever — edit these</t>
  </si>
  <si>
    <t xml:space="preserve">Black font</t>
  </si>
  <si>
    <t xml:space="preserve">Formula — do not overwrite</t>
  </si>
  <si>
    <t xml:space="preserve">Green font</t>
  </si>
  <si>
    <t xml:space="preserve">Link to another sheet</t>
  </si>
  <si>
    <t xml:space="preserve">'e'</t>
  </si>
  <si>
    <t xml:space="preserve">Estimated figure — see notes</t>
  </si>
  <si>
    <t xml:space="preserve">KEY MODELING NOTES</t>
  </si>
  <si>
    <t xml:space="preserve">1.</t>
  </si>
  <si>
    <t xml:space="preserve">Ansys closed July 2025 ($35B): FY2026 is the first full year — guidance $9.665B revenue / $14.76 non-GAAP EPS at midpoints (raised at Q2). Net debt ~$8.7B from deal financing.</t>
  </si>
  <si>
    <t xml:space="preserve">2.</t>
  </si>
  <si>
    <t xml:space="preserve">Deleveraging modeled: $1.0B/yr debt repayment FY2027–29 (editable issuance row); buybacks held at a token $300mm/yr until releveraged.</t>
  </si>
  <si>
    <t xml:space="preserve">3.</t>
  </si>
  <si>
    <t xml:space="preserve">GAAP-normalized model: EBITDA excludes SBC (~9% of revenue); heavy Ansys acquisition amortization (~60% of D&amp;A) burdens GAAP EPS — consensus non-GAAP EPS runs ~2x higher.</t>
  </si>
  <si>
    <t xml:space="preserve">4.</t>
  </si>
  <si>
    <t xml:space="preserve">Pending divestiture of the Processor IP Solutions business is NOT modeled (terms undisclosed) — treat as modest upside to margins, downside to revenue.</t>
  </si>
  <si>
    <t xml:space="preserve">KEY SOURCES</t>
  </si>
  <si>
    <t xml:space="preserve">Q2 FY2026 results &amp; raised guidance (5/27/2026)</t>
  </si>
  <si>
    <t xml:space="preserve">news.synopsys.com / prnewswire: Q2 rev $2,276mm (vs $1,604mm), non-GAAP EPS $3.35; FY26 guide $9,665mm / $14.76</t>
  </si>
  <si>
    <t xml:space="preserve">Market data</t>
  </si>
  <si>
    <t xml:space="preserve">stockanalysis.com/stocks/snps/statistics &amp; investing.com 7/20/26: price $384.28, 191.56mm shares (mkt cap ≈ $73.6B computed; a $100.5B quote in circulation is stale), beta 1.24, cash $2.20B, debt $10.87B, 52-wk $366.00–$651.73, 19-analyst avg target $564 ($404–650)</t>
  </si>
  <si>
    <t xml:space="preserve">FY2025 revenue</t>
  </si>
  <si>
    <t xml:space="preserve">~$7.0B(e) — FY ended Oct-2025 incl. ~1 quarter of Ansys; FY2024 $6,127mm, FY2023 $5,843mm, FY2022 $5,082mm</t>
  </si>
  <si>
    <t xml:space="preserve">10Y UST 4.55% (7/17/2026)</t>
  </si>
  <si>
    <t xml:space="preserve">tradingeconomics.com / FRED DGS10</t>
  </si>
  <si>
    <t xml:space="preserve">DISCLAIMER</t>
  </si>
  <si>
    <t xml:space="preserve">Educational model, not investment advice. Estimated cells flagged on-sheet; verify against Synopsys filings.</t>
  </si>
  <si>
    <t xml:space="preserve">ASSUMPTIONS &amp; SCENARIO LEVERS — SYNOPSYS</t>
  </si>
  <si>
    <t xml:space="preserve">Edit yellow cells. Switch drives Model_3S, DCF, LBO, Monte Carlo.</t>
  </si>
  <si>
    <t xml:space="preserve">SCENARIO SWITCH  (1 = Base, 2 = Bull, 3 = Bear)</t>
  </si>
  <si>
    <t xml:space="preserve">Scenario probability weights</t>
  </si>
  <si>
    <t xml:space="preserve">Base</t>
  </si>
  <si>
    <t xml:space="preserve">Bull</t>
  </si>
  <si>
    <t xml:space="preserve">Bear</t>
  </si>
  <si>
    <t xml:space="preserve">Total</t>
  </si>
  <si>
    <t xml:space="preserve">Probability</t>
  </si>
  <si>
    <t xml:space="preserve">Revenue growth — decays linearly FY2027 → FY2035  (organic; Ansys already in FY26 base)</t>
  </si>
  <si>
    <t xml:space="preserve">Selected</t>
  </si>
  <si>
    <t xml:space="preserve">FY2027 revenue growth</t>
  </si>
  <si>
    <t xml:space="preserve">FY2035 revenue growth (terminal-year)</t>
  </si>
  <si>
    <t xml:space="preserve">FY2026E revenue $9,665mm = raised guidance midpoint (first full Ansys year; growth vs FY25 is largely inorganic).</t>
  </si>
  <si>
    <t xml:space="preserve">Operating drivers — FY2026 start ramps linearly to FY2035 target</t>
  </si>
  <si>
    <t xml:space="preserve">Driver</t>
  </si>
  <si>
    <t xml:space="preserve">FY26 start</t>
  </si>
  <si>
    <t xml:space="preserve">Base target</t>
  </si>
  <si>
    <t xml:space="preserve">Bull target</t>
  </si>
  <si>
    <t xml:space="preserve">Bear target</t>
  </si>
  <si>
    <t xml:space="preserve">Gross margin (excl. D&amp;A)</t>
  </si>
  <si>
    <t xml:space="preserve">Cash opex — R&amp;D + SG&amp;A (% revenue)</t>
  </si>
  <si>
    <t xml:space="preserve">Stock-based compensation (% revenue)</t>
  </si>
  <si>
    <t xml:space="preserve">D&amp;A incl. Ansys amortization (% revenue)</t>
  </si>
  <si>
    <t xml:space="preserve">Capex (% revenue)</t>
  </si>
  <si>
    <t xml:space="preserve">Cash tax rate</t>
  </si>
  <si>
    <t xml:space="preserve">Other current assets (% revenue)</t>
  </si>
  <si>
    <t xml:space="preserve">Deferred revenue (% revenue)</t>
  </si>
  <si>
    <t xml:space="preserve">Implied Adj. EBITDA margin (pre-SBC): FY26 39.5% → Base 47% / Bull 51% / Bear 41% by FY2035 (Ansys cost synergies ~halfway captured by FY26 year-end, per management).</t>
  </si>
  <si>
    <t xml:space="preserve">Working capital (held constant)</t>
  </si>
  <si>
    <t xml:space="preserve">Days sales outstanding (DSO)</t>
  </si>
  <si>
    <t xml:space="preserve">Days inventory — emulation hardware (DIO, on COGS)</t>
  </si>
  <si>
    <t xml:space="preserve">Days payable (DPO, on COGS + cash opex)</t>
  </si>
  <si>
    <t xml:space="preserve">Capital &amp; shareholder returns</t>
  </si>
  <si>
    <t xml:space="preserve">Interest earned on cash</t>
  </si>
  <si>
    <t xml:space="preserve">Revolver interest rate</t>
  </si>
  <si>
    <t xml:space="preserve">Minimum cash balance ($mm)</t>
  </si>
  <si>
    <t xml:space="preserve">Diluted shares outstanding (mm)</t>
  </si>
  <si>
    <t xml:space="preserve">Marginal tax rate (valuation)</t>
  </si>
  <si>
    <t xml:space="preserve">Average rate on debt</t>
  </si>
  <si>
    <t xml:space="preserve">Share buybacks per year ($mm)</t>
  </si>
  <si>
    <t xml:space="preserve">Buybacks minimal while deleveraging; $1.0B/yr repayments prefilled FY27–29 in the Model_3S issuance row (editable)</t>
  </si>
  <si>
    <t xml:space="preserve">Acquisitions FY2026, net cash ($mm)</t>
  </si>
  <si>
    <t xml:space="preserve">New debt issued FY2026 ($mm)</t>
  </si>
  <si>
    <t xml:space="preserve">Terminal value &amp; market inputs</t>
  </si>
  <si>
    <t xml:space="preserve">Terminal (perpetuity) growth rate g</t>
  </si>
  <si>
    <t xml:space="preserve">Exit EV / Adj. EBITDA multiple (FY2035)</t>
  </si>
  <si>
    <t xml:space="preserve">Current share price (7/20/2026)</t>
  </si>
  <si>
    <t xml:space="preserve">HISTORICAL FINANCIALS  ($mm; FY ends late October)</t>
  </si>
  <si>
    <t xml:space="preserve">FY2022A</t>
  </si>
  <si>
    <t xml:space="preserve">FY2023A</t>
  </si>
  <si>
    <t xml:space="preserve">FY2024A</t>
  </si>
  <si>
    <t xml:space="preserve">FY2025A e</t>
  </si>
  <si>
    <t xml:space="preserve">Q2-26A</t>
  </si>
  <si>
    <t xml:space="preserve">FY2026E</t>
  </si>
  <si>
    <t xml:space="preserve">Revenue</t>
  </si>
  <si>
    <t xml:space="preserve">FY2026E = raised guidance midpoint; FY2025 estimated (~1 quarter of Ansys included)</t>
  </si>
  <si>
    <t xml:space="preserve">  % growth y/y</t>
  </si>
  <si>
    <t xml:space="preserve">Q2 FY26: revenue / non-GAAP EPS</t>
  </si>
  <si>
    <t xml:space="preserve">$2,276mm (vs $1,604mm Q2 FY25) · $3.35 (beat $3.15 consensus)</t>
  </si>
  <si>
    <t xml:space="preserve">FY2026 guidance (raised at Q2)</t>
  </si>
  <si>
    <t xml:space="preserve">Revenue $9,665mm mid · non-GAAP EPS $14.76 mid</t>
  </si>
  <si>
    <t xml:space="preserve">Ansys acquisition</t>
  </si>
  <si>
    <t xml:space="preserve">Closed July 2025, ~$35B EV (~15.4x revenue); ~50% of cost synergies expected captured by FY26 year-end</t>
  </si>
  <si>
    <t xml:space="preserve">Debt / cash (7/2026)</t>
  </si>
  <si>
    <t xml:space="preserve">$10.87B debt · $2.20B cash → net debt $8.67B</t>
  </si>
  <si>
    <t xml:space="preserve">Pending divestiture</t>
  </si>
  <si>
    <t xml:space="preserve">Processor IP Solutions business sale in progress (not modeled)</t>
  </si>
  <si>
    <t xml:space="preserve">Opening balance sheet, 10/31/2025 (estimated):</t>
  </si>
  <si>
    <t xml:space="preserve">  Cash + short-term investments e</t>
  </si>
  <si>
    <t xml:space="preserve">  Receivables e</t>
  </si>
  <si>
    <t xml:space="preserve">  Inventory e</t>
  </si>
  <si>
    <t xml:space="preserve">  Other current assets e</t>
  </si>
  <si>
    <t xml:space="preserve">  PP&amp;E net e</t>
  </si>
  <si>
    <t xml:space="preserve">  Goodwill + intangibles + other LT e</t>
  </si>
  <si>
    <t xml:space="preserve">  AP + accrued e</t>
  </si>
  <si>
    <t xml:space="preserve">  Deferred revenue e</t>
  </si>
  <si>
    <t xml:space="preserve">  Total debt e</t>
  </si>
  <si>
    <t xml:space="preserve">  Other LT liabilities e</t>
  </si>
  <si>
    <t xml:space="preserve">Post-Ansys balance sheet largely estimated (goodwill/intangibles ~$38B from the $35B deal). Equity is the balancing plug (~$26B, consistent with ~$16B stock consideration). Sources on Cover.</t>
  </si>
  <si>
    <t xml:space="preserve">3-STATEMENT OPERATING MODEL — FY2026E–FY2035E  ($mm; FY ends October)</t>
  </si>
  <si>
    <t xml:space="preserve">FY2025A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</si>
  <si>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</si>
  <si>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</si>
  <si>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</si>
  <si>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</si>
  <si>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</si>
  <si>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</si>
  <si>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t xml:space="preserve">FY2033E</t>
  </si>
  <si>
    <t xml:space="preserve">FY2034E</t>
  </si>
  <si>
    <t xml:space="preserve">FY2035E</t>
  </si>
  <si>
    <t xml:space="preserve">DRIVERS (linked to Assumptions; linear ramps FY26 → FY35)</t>
  </si>
  <si>
    <t xml:space="preserve">Revenue growth %</t>
  </si>
  <si>
    <t xml:space="preserve">Gross margin %</t>
  </si>
  <si>
    <t xml:space="preserve">Cash opex % rev</t>
  </si>
  <si>
    <t xml:space="preserve">SBC % rev</t>
  </si>
  <si>
    <t xml:space="preserve">D&amp;A % rev</t>
  </si>
  <si>
    <t xml:space="preserve">Capex % rev</t>
  </si>
  <si>
    <t xml:space="preserve">Cash tax rate %</t>
  </si>
  <si>
    <t xml:space="preserve">Other current assets % rev</t>
  </si>
  <si>
    <t xml:space="preserve">Deferred revenue % rev</t>
  </si>
  <si>
    <t xml:space="preserve">INCOME STATEMENT</t>
  </si>
  <si>
    <t xml:space="preserve">Cost of revenue (excl. D&amp;A)</t>
  </si>
  <si>
    <t xml:space="preserve">Gross profit</t>
  </si>
  <si>
    <t xml:space="preserve">Cash opex (R&amp;D + SG&amp;A)</t>
  </si>
  <si>
    <t xml:space="preserve">Adjusted EBITDA (pre-SBC)</t>
  </si>
  <si>
    <t xml:space="preserve">Stock-based compensation</t>
  </si>
  <si>
    <t xml:space="preserve">D&amp;A incl. Ansys amortization</t>
  </si>
  <si>
    <t xml:space="preserve">EBIT</t>
  </si>
  <si>
    <t xml:space="preserve">Interest income (on beginning cash)</t>
  </si>
  <si>
    <t xml:space="preserve">Interest expense (beginning debt)</t>
  </si>
  <si>
    <t xml:space="preserve">Pre-tax income</t>
  </si>
  <si>
    <t xml:space="preserve">Taxes</t>
  </si>
  <si>
    <t xml:space="preserve">Net income (GAAP-normalized)</t>
  </si>
  <si>
    <t xml:space="preserve">  EPS (constant shares; non-GAAP consensus ~2x higher)</t>
  </si>
  <si>
    <t xml:space="preserve">  Adj. EBITDA margin %</t>
  </si>
  <si>
    <t xml:space="preserve">WORKING CAPITAL</t>
  </si>
  <si>
    <t xml:space="preserve">Accounts receivable</t>
  </si>
  <si>
    <t xml:space="preserve">Inventory (emulation hardware)</t>
  </si>
  <si>
    <t xml:space="preserve">Other current assets</t>
  </si>
  <si>
    <t xml:space="preserve">AP + accrued</t>
  </si>
  <si>
    <t xml:space="preserve">Deferred revenue</t>
  </si>
  <si>
    <t xml:space="preserve">Net working capital</t>
  </si>
  <si>
    <t xml:space="preserve">(Increase) / decrease in NWC — cash impact</t>
  </si>
  <si>
    <t xml:space="preserve">CAPEX &amp; PP&amp;E</t>
  </si>
  <si>
    <t xml:space="preserve">Capex</t>
  </si>
  <si>
    <t xml:space="preserve">PP&amp;E, net</t>
  </si>
  <si>
    <t xml:space="preserve">60% of D&amp;A = Ansys/acquisition amortization (goodwill/intangibles line), 40% = depreciation of PP&amp;E</t>
  </si>
  <si>
    <t xml:space="preserve">DEBT SCHEDULE (Ansys financing; $1.0B/yr repayments prefilled FY27–29)</t>
  </si>
  <si>
    <t xml:space="preserve">Notes &amp; term debt — beginning</t>
  </si>
  <si>
    <t xml:space="preserve">  Net issuance / (repayment) — input</t>
  </si>
  <si>
    <t xml:space="preserve">Notes &amp; term debt — ending</t>
  </si>
  <si>
    <t xml:space="preserve">Revolver — beginning</t>
  </si>
  <si>
    <t xml:space="preserve">  Draw (if cash &lt; minimum)</t>
  </si>
  <si>
    <t xml:space="preserve">  (Repayment)</t>
  </si>
  <si>
    <t xml:space="preserve">Revolver — ending</t>
  </si>
  <si>
    <t xml:space="preserve">Total debt — ending</t>
  </si>
  <si>
    <t xml:space="preserve">CASH FLOW STATEMENT</t>
  </si>
  <si>
    <t xml:space="preserve">Net income</t>
  </si>
  <si>
    <t xml:space="preserve">+ D&amp;A</t>
  </si>
  <si>
    <t xml:space="preserve">+ Stock-based compensation</t>
  </si>
  <si>
    <t xml:space="preserve">+/- Change in NWC</t>
  </si>
  <si>
    <t xml:space="preserve">Cash from operations</t>
  </si>
  <si>
    <t xml:space="preserve">- Capex</t>
  </si>
  <si>
    <t xml:space="preserve">Free cash flow</t>
  </si>
  <si>
    <t xml:space="preserve">- Acquisitions, net</t>
  </si>
  <si>
    <t xml:space="preserve">- Share buybacks</t>
  </si>
  <si>
    <t xml:space="preserve">+ Debt draws / (repayments)</t>
  </si>
  <si>
    <t xml:space="preserve">Net change in cash</t>
  </si>
  <si>
    <t xml:space="preserve">Cash — beginning</t>
  </si>
  <si>
    <t xml:space="preserve">Cash — ending</t>
  </si>
  <si>
    <t xml:space="preserve">BALANCE SHEET</t>
  </si>
  <si>
    <t xml:space="preserve">Cash + short-term investments</t>
  </si>
  <si>
    <t xml:space="preserve">Inventory</t>
  </si>
  <si>
    <t xml:space="preserve">Goodwill + intangibles + other LT</t>
  </si>
  <si>
    <t xml:space="preserve">TOTAL ASSETS</t>
  </si>
  <si>
    <t xml:space="preserve">Total debt</t>
  </si>
  <si>
    <t xml:space="preserve">Other LT liabilities</t>
  </si>
  <si>
    <t xml:space="preserve">TOTAL LIABILITIES</t>
  </si>
  <si>
    <t xml:space="preserve">Total equity (opening = plug; rolls with NI + SBC − buybacks)</t>
  </si>
  <si>
    <t xml:space="preserve">TOTAL LIABILITIES + EQUITY</t>
  </si>
  <si>
    <t xml:space="preserve">Balance check (must be 0)</t>
  </si>
  <si>
    <t xml:space="preserve">WEIGHTED AVERAGE COST OF CAPITAL — CURRENT MARKET DATA (JULY 2026)</t>
  </si>
  <si>
    <t xml:space="preserve">COST OF EQUITY (CAPM)</t>
  </si>
  <si>
    <t xml:space="preserve">Risk-free rate — 10Y UST, 7/17/2026</t>
  </si>
  <si>
    <t xml:space="preserve">Levered beta</t>
  </si>
  <si>
    <t xml:space="preserve">stockanalysis.com, July 2026</t>
  </si>
  <si>
    <t xml:space="preserve">Equity risk premium</t>
  </si>
  <si>
    <t xml:space="preserve">Damodaran implied ERP, mid-2026</t>
  </si>
  <si>
    <t xml:space="preserve">Company-specific premium</t>
  </si>
  <si>
    <t xml:space="preserve">Cost of equity</t>
  </si>
  <si>
    <t xml:space="preserve">COST OF DEBT</t>
  </si>
  <si>
    <t xml:space="preserve">Pre-tax cost of debt</t>
  </si>
  <si>
    <t xml:space="preserve">Blended Ansys financing (notes + term)</t>
  </si>
  <si>
    <t xml:space="preserve">Tax rate</t>
  </si>
  <si>
    <t xml:space="preserve">After-tax cost of debt</t>
  </si>
  <si>
    <t xml:space="preserve">CAPITAL STRUCTURE (market weights)</t>
  </si>
  <si>
    <t xml:space="preserve">Debt / total capitalization</t>
  </si>
  <si>
    <t xml:space="preserve">$10.9B debt vs ~$73.6B market cap</t>
  </si>
  <si>
    <t xml:space="preserve">Equity / total capitalization</t>
  </si>
  <si>
    <t xml:space="preserve">WACC ≈ 9.7%. Sensitivity range in DCF tables: 8.8% – 10.8%.</t>
  </si>
  <si>
    <t xml:space="preserve">DISCOUNTED CASH FLOW — UNLEVERED FCF  ($mm; valuation as of FY2026 year-end, mid-year convention)</t>
  </si>
  <si>
    <t xml:space="preserve">EBIT (post-SBC)</t>
  </si>
  <si>
    <t xml:space="preserve">Cash taxes on EBIT</t>
  </si>
  <si>
    <t xml:space="preserve">− Capex</t>
  </si>
  <si>
    <t xml:space="preserve">+/− Change in NWC</t>
  </si>
  <si>
    <t xml:space="preserve">Unlevered free cash flow</t>
  </si>
  <si>
    <t xml:space="preserve">Discount period (mid-year)</t>
  </si>
  <si>
    <t xml:space="preserve">Discount factor @ WACC</t>
  </si>
  <si>
    <t xml:space="preserve">PV of FCF</t>
  </si>
  <si>
    <t xml:space="preserve">Sum of PV of explicit FCF (FY27–35)</t>
  </si>
  <si>
    <t xml:space="preserve">TERMINAL VALUE — METHOD 1: GORDON GROWTH</t>
  </si>
  <si>
    <t xml:space="preserve">Terminal growth g</t>
  </si>
  <si>
    <t xml:space="preserve">Terminal value</t>
  </si>
  <si>
    <t xml:space="preserve">PV of terminal value (9.0 yrs)</t>
  </si>
  <si>
    <t xml:space="preserve">  Implied exit EV/EBITDA</t>
  </si>
  <si>
    <t xml:space="preserve">TERMINAL VALUE — METHOD 2: EXIT MULTIPLE</t>
  </si>
  <si>
    <t xml:space="preserve">Exit EV/Adj. EBITDA multiple</t>
  </si>
  <si>
    <t xml:space="preserve">PV of terminal value</t>
  </si>
  <si>
    <t xml:space="preserve">  Implied perpetuity growth</t>
  </si>
  <si>
    <t xml:space="preserve">ENTERPRISE → EQUITY VALUE BRIDGE</t>
  </si>
  <si>
    <t xml:space="preserve">Net debt, FY2026E year-end (debt − cash)</t>
  </si>
  <si>
    <t xml:space="preserve">Diluted shares (mm)</t>
  </si>
  <si>
    <t xml:space="preserve">Gordon growth</t>
  </si>
  <si>
    <t xml:space="preserve">Exit multiple</t>
  </si>
  <si>
    <t xml:space="preserve">Average</t>
  </si>
  <si>
    <t xml:space="preserve">Enterprise value</t>
  </si>
  <si>
    <t xml:space="preserve">− Net debt</t>
  </si>
  <si>
    <t xml:space="preserve">Equity value</t>
  </si>
  <si>
    <t xml:space="preserve">Implied value per share</t>
  </si>
  <si>
    <t xml:space="preserve">Upside / (downside) vs current price</t>
  </si>
  <si>
    <t xml:space="preserve">SENSITIVITY — VALUE PER SHARE: WACC × TERMINAL GROWTH (Gordon)</t>
  </si>
  <si>
    <t xml:space="preserve">WACC \ g</t>
  </si>
  <si>
    <t xml:space="preserve">SENSITIVITY — VALUE PER SHARE: WACC × EXIT EV/EBITDA MULTIPLE</t>
  </si>
  <si>
    <t xml:space="preserve">WACC \ x</t>
  </si>
  <si>
    <t xml:space="preserve">SENSITIVITY — VALUE PER SHARE: FY2027 GROWTH × TERMINAL ADJ. EBITDA MARGIN  (compact approximation, exit-multiple TV)</t>
  </si>
  <si>
    <t xml:space="preserve">Rev35 ≈ FY26E rev × (1+avg(g1, FY35 g))^9; interim-FCF PV scaled by terminal-EBITDA ratio. Exact at base point.</t>
  </si>
  <si>
    <t xml:space="preserve">FY27 g \ margin</t>
  </si>
  <si>
    <t xml:space="preserve">TRADING COMPARABLES — EDA / DESIGN SOFTWARE  (July 2026; peer multiples estimated)</t>
  </si>
  <si>
    <t xml:space="preserve">Company</t>
  </si>
  <si>
    <t xml:space="preserve">Ticker</t>
  </si>
  <si>
    <t xml:space="preserve">EV/Revenue</t>
  </si>
  <si>
    <t xml:space="preserve">EV/EBITDA</t>
  </si>
  <si>
    <t xml:space="preserve">Note</t>
  </si>
  <si>
    <t xml:space="preserve">Cadence Design Systems</t>
  </si>
  <si>
    <t xml:space="preserve">CDNS</t>
  </si>
  <si>
    <t xml:space="preserve">e — from CDNS model: ~$92.8B EV / $6.2B rev / $2.8B EBITDA FY26E</t>
  </si>
  <si>
    <t xml:space="preserve">Autodesk</t>
  </si>
  <si>
    <t xml:space="preserve">ADSK</t>
  </si>
  <si>
    <t xml:space="preserve">e</t>
  </si>
  <si>
    <t xml:space="preserve">Microsoft</t>
  </si>
  <si>
    <t xml:space="preserve">MSFT</t>
  </si>
  <si>
    <t xml:space="preserve">Oracle</t>
  </si>
  <si>
    <t xml:space="preserve">ORCL</t>
  </si>
  <si>
    <t xml:space="preserve">Synopsys (self, current)</t>
  </si>
  <si>
    <t xml:space="preserve">SNPS</t>
  </si>
  <si>
    <t xml:space="preserve">computed below</t>
  </si>
  <si>
    <t xml:space="preserve">Peer median (ex-SNPS)</t>
  </si>
  <si>
    <t xml:space="preserve">SNPS trades at a wide discount to CDNS post the FY25 guidance reset (IP/China) and with Ansys leverage — the central comps question is how much of that gap closes.</t>
  </si>
  <si>
    <t xml:space="preserve">IMPLIED VALUE PER SHARE</t>
  </si>
  <si>
    <t xml:space="preserve">Method</t>
  </si>
  <si>
    <t xml:space="preserve">Low x</t>
  </si>
  <si>
    <t xml:space="preserve">High x</t>
  </si>
  <si>
    <t xml:space="preserve">Metric</t>
  </si>
  <si>
    <t xml:space="preserve">$/sh low</t>
  </si>
  <si>
    <t xml:space="preserve">$/sh high</t>
  </si>
  <si>
    <t xml:space="preserve">EV/Adj. EBITDA × FY2026E ($mm)</t>
  </si>
  <si>
    <t xml:space="preserve">P/E × FY2026E non-GAAP EPS guide ($14.76)</t>
  </si>
  <si>
    <t xml:space="preserve">PRECEDENT TRANSACTIONS — EDA &amp; ENGINEERING SOFTWARE M&amp;A</t>
  </si>
  <si>
    <t xml:space="preserve">Date</t>
  </si>
  <si>
    <t xml:space="preserve">Acquirer</t>
  </si>
  <si>
    <t xml:space="preserve">Target</t>
  </si>
  <si>
    <t xml:space="preserve">EV ($mm)</t>
  </si>
  <si>
    <t xml:space="preserve">Jan-2024</t>
  </si>
  <si>
    <t xml:space="preserve">Synopsys</t>
  </si>
  <si>
    <t xml:space="preserve">Ansys</t>
  </si>
  <si>
    <t xml:space="preserve">SNPS's own deal — closed July 2025</t>
  </si>
  <si>
    <t xml:space="preserve">Oct-2024</t>
  </si>
  <si>
    <t xml:space="preserve">Siemens</t>
  </si>
  <si>
    <t xml:space="preserve">Altair Engineering</t>
  </si>
  <si>
    <t xml:space="preserve">Feb-2024</t>
  </si>
  <si>
    <t xml:space="preserve">Renesas</t>
  </si>
  <si>
    <t xml:space="preserve">Altium</t>
  </si>
  <si>
    <t xml:space="preserve">Mar-2024</t>
  </si>
  <si>
    <t xml:space="preserve">Cadence</t>
  </si>
  <si>
    <t xml:space="preserve">BETA CAE</t>
  </si>
  <si>
    <t xml:space="preserve">Nov-2016</t>
  </si>
  <si>
    <t xml:space="preserve">Mentor Graphics</t>
  </si>
  <si>
    <t xml:space="preserve">pre-AI-cycle benchmark</t>
  </si>
  <si>
    <t xml:space="preserve">Median EV/Revenue</t>
  </si>
  <si>
    <t xml:space="preserve">APPLIED RANGE</t>
  </si>
  <si>
    <t xml:space="preserve">A ~$85B+ SNPS control deal has no precedent and would face antitrust walls (duopoly) — the band is a size-discounted framework, not a realistic path.</t>
  </si>
  <si>
    <t xml:space="preserve">Low</t>
  </si>
  <si>
    <t xml:space="preserve">High</t>
  </si>
  <si>
    <t xml:space="preserve">EV/Revenue applied to FY2026E</t>
  </si>
  <si>
    <t xml:space="preserve">Implied EV</t>
  </si>
  <si>
    <t xml:space="preserve">LBO ANALYSIS — 5-YEAR HOLD (ENTRY END-FY2026, EXIT END-FY2031)  ($mm)</t>
  </si>
  <si>
    <t xml:space="preserve">ENTRY &amp; FINANCING</t>
  </si>
  <si>
    <t xml:space="preserve">Entry premium to current price</t>
  </si>
  <si>
    <t xml:space="preserve">Entry price per share</t>
  </si>
  <si>
    <t xml:space="preserve">Equity purchase price</t>
  </si>
  <si>
    <t xml:space="preserve">Plus: net debt assumed/refinanced</t>
  </si>
  <si>
    <t xml:space="preserve">Entry enterprise value</t>
  </si>
  <si>
    <t xml:space="preserve">Transaction fees (% of EV)</t>
  </si>
  <si>
    <t xml:space="preserve">FY2026E Adj. EBITDA (debt sizing basis)</t>
  </si>
  <si>
    <t xml:space="preserve">  Entry EV / EBITDA</t>
  </si>
  <si>
    <t xml:space="preserve">Debt tranche</t>
  </si>
  <si>
    <t xml:space="preserve">Multiple</t>
  </si>
  <si>
    <t xml:space="preserve">Rate</t>
  </si>
  <si>
    <t xml:space="preserve">Amount</t>
  </si>
  <si>
    <t xml:space="preserve">Term Loan B</t>
  </si>
  <si>
    <t xml:space="preserve">Senior notes</t>
  </si>
  <si>
    <t xml:space="preserve">Total new debt</t>
  </si>
  <si>
    <t xml:space="preserve">Sponsor equity = EV×(1+fees) − debt</t>
  </si>
  <si>
    <t xml:space="preserve">DEBT PAYDOWN — 100% FCF SWEEP</t>
  </si>
  <si>
    <t xml:space="preserve">Unlevered FCF (DCF sheet)</t>
  </si>
  <si>
    <t xml:space="preserve">Cash interest — TLB (beginning)</t>
  </si>
  <si>
    <t xml:space="preserve">Cash interest — notes</t>
  </si>
  <si>
    <t xml:space="preserve">Interest tax shield</t>
  </si>
  <si>
    <t xml:space="preserve">Levered FCF for paydown</t>
  </si>
  <si>
    <t xml:space="preserve">TLB — beginning</t>
  </si>
  <si>
    <t xml:space="preserve">TLB — (paydown)</t>
  </si>
  <si>
    <t xml:space="preserve">TLB — ending</t>
  </si>
  <si>
    <t xml:space="preserve">Notes — ending (bullet)</t>
  </si>
  <si>
    <t xml:space="preserve">EXIT &amp; RETURNS</t>
  </si>
  <si>
    <t xml:space="preserve">FY2031E Adj. EBITDA</t>
  </si>
  <si>
    <t xml:space="preserve">Exit EV/EBITDA multiple</t>
  </si>
  <si>
    <t xml:space="preserve">Exit enterprise value</t>
  </si>
  <si>
    <t xml:space="preserve">Less: exit net debt</t>
  </si>
  <si>
    <t xml:space="preserve">Exit equity value</t>
  </si>
  <si>
    <t xml:space="preserve">MOIC</t>
  </si>
  <si>
    <t xml:space="preserve">IRR (5-yr)</t>
  </si>
  <si>
    <t xml:space="preserve">MAXIMUM ENTRY PRICE AT TARGET IRR THRESHOLDS  (exit equity constant — debt sized on EBITDA, not price)</t>
  </si>
  <si>
    <t xml:space="preserve">Target IRR</t>
  </si>
  <si>
    <t xml:space="preserve">Max sponsor equity</t>
  </si>
  <si>
    <t xml:space="preserve">Implied entry EV</t>
  </si>
  <si>
    <t xml:space="preserve">Implied price/share</t>
  </si>
  <si>
    <t xml:space="preserve">Prem/(disc) to market</t>
  </si>
  <si>
    <t xml:space="preserve">SNPS is closer to LBO-able than CDNS (lower entry multiple after the drawdown), but at ~$88B it would still be the largest buyout in history. Table = theoretical floor.</t>
  </si>
  <si>
    <t xml:space="preserve">MONTE CARLO SIMULATION — 500 LIVE TRIALS  (press F9 / recalc to refresh draws)</t>
  </si>
  <si>
    <t xml:space="preserve">Compact DCF per trial calibrated to the DCF sheet at base inputs; equity = PV(TV) + PV(FCF) − net debt.</t>
  </si>
  <si>
    <t xml:space="preserve">Distribution parameters — Normal(mean, σ)</t>
  </si>
  <si>
    <t xml:space="preserve">Variable</t>
  </si>
  <si>
    <t xml:space="preserve">Mean (linked)</t>
  </si>
  <si>
    <t xml:space="preserve">σ (input)</t>
  </si>
  <si>
    <t xml:space="preserve">Terminal Adj. EBITDA margin (FY35)</t>
  </si>
  <si>
    <t xml:space="preserve">Calibration statics (linked)</t>
  </si>
  <si>
    <t xml:space="preserve">Base FY2035 Adj. EBITDA</t>
  </si>
  <si>
    <t xml:space="preserve">Base PV of explicit FCF (DCF)</t>
  </si>
  <si>
    <t xml:space="preserve">Net debt FY2026E</t>
  </si>
  <si>
    <t xml:space="preserve">Current share price</t>
  </si>
  <si>
    <t xml:space="preserve">FY2035 growth (selected)</t>
  </si>
  <si>
    <t xml:space="preserve">FY2026E revenue</t>
  </si>
  <si>
    <t xml:space="preserve">Simulation results ($/share)</t>
  </si>
  <si>
    <t xml:space="preserve">Mean</t>
  </si>
  <si>
    <t xml:space="preserve">Median</t>
  </si>
  <si>
    <t xml:space="preserve">Standard deviation</t>
  </si>
  <si>
    <t xml:space="preserve">5th percentile</t>
  </si>
  <si>
    <t xml:space="preserve">25th percentile</t>
  </si>
  <si>
    <t xml:space="preserve">75th percentile</t>
  </si>
  <si>
    <t xml:space="preserve">95th percentile</t>
  </si>
  <si>
    <t xml:space="preserve">P(value &gt; current price)</t>
  </si>
  <si>
    <t xml:space="preserve">Scenario probability-weighted value (compact DCF per scenario)</t>
  </si>
  <si>
    <t xml:space="preserve">Scenario</t>
  </si>
  <si>
    <t xml:space="preserve">Value / share</t>
  </si>
  <si>
    <t xml:space="preserve">Probability-weighted value</t>
  </si>
  <si>
    <t xml:space="preserve">TRIALS</t>
  </si>
  <si>
    <t xml:space="preserve">#</t>
  </si>
  <si>
    <t xml:space="preserve">g FY27</t>
  </si>
  <si>
    <t xml:space="preserve">Term margin</t>
  </si>
  <si>
    <t xml:space="preserve">Exit x</t>
  </si>
  <si>
    <t xml:space="preserve">Rev FY35</t>
  </si>
  <si>
    <t xml:space="preserve">EBITDA FY35</t>
  </si>
  <si>
    <t xml:space="preserve">PV(TV)</t>
  </si>
  <si>
    <t xml:space="preserve">PV(FCF)</t>
  </si>
  <si>
    <t xml:space="preserve">Equity</t>
  </si>
  <si>
    <t xml:space="preserve">$ / share</t>
  </si>
  <si>
    <t xml:space="preserve">Bin ($/sh)</t>
  </si>
  <si>
    <t xml:space="preserve">low</t>
  </si>
  <si>
    <t xml:space="preserve">high</t>
  </si>
  <si>
    <t xml:space="preserve">Count</t>
  </si>
  <si>
    <t xml:space="preserve">&lt;125</t>
  </si>
  <si>
    <t xml:space="preserve">125-150</t>
  </si>
  <si>
    <t xml:space="preserve">150-175</t>
  </si>
  <si>
    <t xml:space="preserve">175-200</t>
  </si>
  <si>
    <t xml:space="preserve">200-225</t>
  </si>
  <si>
    <t xml:space="preserve">225-250</t>
  </si>
  <si>
    <t xml:space="preserve">250-275</t>
  </si>
  <si>
    <t xml:space="preserve">275-300</t>
  </si>
  <si>
    <t xml:space="preserve">300-325</t>
  </si>
  <si>
    <t xml:space="preserve">325-350</t>
  </si>
  <si>
    <t xml:space="preserve">350-375</t>
  </si>
  <si>
    <t xml:space="preserve">375-400</t>
  </si>
  <si>
    <t xml:space="preserve">400-425</t>
  </si>
  <si>
    <t xml:space="preserve">425-450</t>
  </si>
  <si>
    <t xml:space="preserve">450-475</t>
  </si>
  <si>
    <t xml:space="preserve">475-500</t>
  </si>
  <si>
    <t xml:space="preserve">500-525</t>
  </si>
  <si>
    <t xml:space="preserve">525-550</t>
  </si>
  <si>
    <t xml:space="preserve">550-575</t>
  </si>
  <si>
    <t xml:space="preserve">575-600</t>
  </si>
  <si>
    <t xml:space="preserve">600+</t>
  </si>
  <si>
    <t xml:space="preserve">FOOTBALL FIELD — VALUATION SUMMARY  ($ per share)</t>
  </si>
  <si>
    <t xml:space="preserve">Methodology</t>
  </si>
  <si>
    <t xml:space="preserve">(base)</t>
  </si>
  <si>
    <t xml:space="preserve">(span)</t>
  </si>
  <si>
    <t xml:space="preserve">Midpoint</t>
  </si>
  <si>
    <t xml:space="preserve">52-week trading range</t>
  </si>
  <si>
    <t xml:space="preserve">Analyst targets (avg $564, n=19)</t>
  </si>
  <si>
    <t xml:space="preserve">DCF — Gordon growth (WACC ±0.5%, g 3.0–4.0%)</t>
  </si>
  <si>
    <t xml:space="preserve">DCF — exit multiple (16–20x, WACC ±0.5%)</t>
  </si>
  <si>
    <t xml:space="preserve">Trading comps — EV/EBITDA (20–30x FY26E)</t>
  </si>
  <si>
    <t xml:space="preserve">Trading comps — P/E (25–35x FY26E non-GAAP EPS)</t>
  </si>
  <si>
    <t xml:space="preserve">Precedent transactions (8–12x FY26E revenue)</t>
  </si>
  <si>
    <t xml:space="preserve">LBO capacity (25% → 15% IRR)</t>
  </si>
  <si>
    <t xml:space="preserve">Monte Carlo P25–P75 (live)</t>
  </si>
  <si>
    <t xml:space="preserve">Current price (marker)</t>
  </si>
  <si>
    <t xml:space="preserve">52-wk range &amp; analyst targets: investing.com / stockanalysis.com, July 2026. All other rows are live model outputs.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</si>
</sst>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0.0%;\(0.0%\);\-"/>
    <numFmt numFmtId="167" formatCode="\$#,##0;&quot;($&quot;#,##0\);\-"/>
    <numFmt numFmtId="168" formatCode="0.0\x"/>
    <numFmt numFmtId="169" formatCode="\$#,##0.00"/>
    <numFmt numFmtId="170" formatCode="0.00%;\(0.00%\);\-"/>
    <numFmt numFmtId="171" formatCode="0.00"/>
    <numFmt numFmtId="172" formatCode="0.0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2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Distribution of simulated value per share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"Trials"</c:f>
              <c:strCache>
                <c:ptCount val="1"/>
                <c:pt idx="0">
                  <c:v>Trials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Monte_Carlo!$N$41:$N$61</c:f>
              <c:strCache>
                <c:ptCount val="21"/>
                <c:pt idx="0">
                  <c:v>&lt;125</c:v>
                </c:pt>
                <c:pt idx="1">
                  <c:v>125-150</c:v>
                </c:pt>
                <c:pt idx="2">
                  <c:v>150-175</c:v>
                </c:pt>
                <c:pt idx="3">
                  <c:v>175-200</c:v>
                </c:pt>
                <c:pt idx="4">
                  <c:v>200-225</c:v>
                </c:pt>
                <c:pt idx="5">
                  <c:v>225-250</c:v>
                </c:pt>
                <c:pt idx="6">
                  <c:v>250-275</c:v>
                </c:pt>
                <c:pt idx="7">
                  <c:v>275-300</c:v>
                </c:pt>
                <c:pt idx="8">
                  <c:v>300-325</c:v>
                </c:pt>
                <c:pt idx="9">
                  <c:v>325-350</c:v>
                </c:pt>
                <c:pt idx="10">
                  <c:v>350-375</c:v>
                </c:pt>
                <c:pt idx="11">
                  <c:v>375-400</c:v>
                </c:pt>
                <c:pt idx="12">
                  <c:v>400-425</c:v>
                </c:pt>
                <c:pt idx="13">
                  <c:v>425-450</c:v>
                </c:pt>
                <c:pt idx="14">
                  <c:v>450-475</c:v>
                </c:pt>
                <c:pt idx="15">
                  <c:v>475-500</c:v>
                </c:pt>
                <c:pt idx="16">
                  <c:v>500-525</c:v>
                </c:pt>
                <c:pt idx="17">
                  <c:v>525-550</c:v>
                </c:pt>
                <c:pt idx="18">
                  <c:v>550-575</c:v>
                </c:pt>
                <c:pt idx="19">
                  <c:v>575-600</c:v>
                </c:pt>
                <c:pt idx="20">
                  <c:v>600+</c:v>
                </c:pt>
              </c:strCache>
            </c:strRef>
          </c:cat>
          <c:val>
            <c:numRef>
              <c:f>Monte_Carlo!$Q$41:$Q$61</c:f>
              <c:numCache>
                <c:formatCode>#,##0;\(#,##0\);\-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8</c:v>
                </c:pt>
                <c:pt idx="7">
                  <c:v>12</c:v>
                </c:pt>
                <c:pt idx="8">
                  <c:v>14</c:v>
                </c:pt>
                <c:pt idx="9">
                  <c:v>27</c:v>
                </c:pt>
                <c:pt idx="10">
                  <c:v>38</c:v>
                </c:pt>
                <c:pt idx="11">
                  <c:v>42</c:v>
                </c:pt>
                <c:pt idx="12">
                  <c:v>49</c:v>
                </c:pt>
                <c:pt idx="13">
                  <c:v>65</c:v>
                </c:pt>
                <c:pt idx="14">
                  <c:v>48</c:v>
                </c:pt>
                <c:pt idx="15">
                  <c:v>52</c:v>
                </c:pt>
                <c:pt idx="16">
                  <c:v>31</c:v>
                </c:pt>
                <c:pt idx="17">
                  <c:v>31</c:v>
                </c:pt>
                <c:pt idx="18">
                  <c:v>25</c:v>
                </c:pt>
                <c:pt idx="19">
                  <c:v>15</c:v>
                </c:pt>
                <c:pt idx="20">
                  <c:v>42</c:v>
                </c:pt>
              </c:numCache>
            </c:numRef>
          </c:val>
        </c:ser>
        <c:gapWidth val="20"/>
        <c:overlap val="0"/>
        <c:axId val="71490025"/>
        <c:axId val="95924202"/>
      </c:barChart>
      <c:catAx>
        <c:axId val="714900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924202"/>
        <c:crosses val="autoZero"/>
        <c:auto val="1"/>
        <c:lblAlgn val="ctr"/>
        <c:lblOffset val="100"/>
        <c:noMultiLvlLbl val="0"/>
      </c:catAx>
      <c:valAx>
        <c:axId val="959242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Trials (of 500)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4900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SNPS valuation ranges ($/share) — red = current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"base"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Football_Field!$A$5:$A$14</c:f>
              <c:strCache>
                <c:ptCount val="10"/>
                <c:pt idx="0">
                  <c:v>52-week trading range</c:v>
                </c:pt>
                <c:pt idx="1">
                  <c:v>Analyst targets (avg $564, n=19)</c:v>
                </c:pt>
                <c:pt idx="2">
                  <c:v>DCF — Gordon growth (WACC ±0.5%, g 3.0–4.0%)</c:v>
                </c:pt>
                <c:pt idx="3">
                  <c:v>DCF — exit multiple (16–20x, WACC ±0.5%)</c:v>
                </c:pt>
                <c:pt idx="4">
                  <c:v>Trading comps — EV/EBITDA (20–30x FY26E)</c:v>
                </c:pt>
                <c:pt idx="5">
                  <c:v>Trading comps — P/E (25–35x FY26E non-GAAP EPS)</c:v>
                </c:pt>
                <c:pt idx="6">
                  <c:v>Precedent transactions (8–12x FY26E revenue)</c:v>
                </c:pt>
                <c:pt idx="7">
                  <c:v>LBO capacity (25% → 15% IRR)</c:v>
                </c:pt>
                <c:pt idx="8">
                  <c:v>Monte Carlo P25–P75 (live)</c:v>
                </c:pt>
                <c:pt idx="9">
                  <c:v>Current price (marker)</c:v>
                </c:pt>
              </c:strCache>
            </c:strRef>
          </c:cat>
          <c:val>
            <c:numRef>
              <c:f>Football_Field!$D$5:$D$14</c:f>
              <c:numCache>
                <c:formatCode>\$#,##0.00</c:formatCode>
                <c:ptCount val="10"/>
                <c:pt idx="0">
                  <c:v>366</c:v>
                </c:pt>
                <c:pt idx="1">
                  <c:v>403.85</c:v>
                </c:pt>
                <c:pt idx="2">
                  <c:v>258.308800351929</c:v>
                </c:pt>
                <c:pt idx="3">
                  <c:v>395.673751994377</c:v>
                </c:pt>
                <c:pt idx="4">
                  <c:v>359.686321746218</c:v>
                </c:pt>
                <c:pt idx="5">
                  <c:v>369</c:v>
                </c:pt>
                <c:pt idx="6">
                  <c:v>364.730685003003</c:v>
                </c:pt>
                <c:pt idx="7">
                  <c:v>258.329446715043</c:v>
                </c:pt>
                <c:pt idx="8">
                  <c:v>390.390327935994</c:v>
                </c:pt>
                <c:pt idx="9">
                  <c:v>380.78</c:v>
                </c:pt>
              </c:numCache>
            </c:numRef>
          </c:val>
        </c:ser>
        <c:ser>
          <c:idx val="1"/>
          <c:order val="1"/>
          <c:tx>
            <c:strRef>
              <c:f>"range"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Pt>
            <c:idx val="9"/>
            <c:invertIfNegative val="0"/>
            <c:spPr>
              <a:solidFill>
                <a:srgbClr val="c00000"/>
              </a:solidFill>
              <a:ln w="0">
                <a:noFill/>
              </a:ln>
            </c:spPr>
          </c:dPt>
          <c:dLbls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Football_Field!$A$5:$A$14</c:f>
              <c:strCache>
                <c:ptCount val="10"/>
                <c:pt idx="0">
                  <c:v>52-week trading range</c:v>
                </c:pt>
                <c:pt idx="1">
                  <c:v>Analyst targets (avg $564, n=19)</c:v>
                </c:pt>
                <c:pt idx="2">
                  <c:v>DCF — Gordon growth (WACC ±0.5%, g 3.0–4.0%)</c:v>
                </c:pt>
                <c:pt idx="3">
                  <c:v>DCF — exit multiple (16–20x, WACC ±0.5%)</c:v>
                </c:pt>
                <c:pt idx="4">
                  <c:v>Trading comps — EV/EBITDA (20–30x FY26E)</c:v>
                </c:pt>
                <c:pt idx="5">
                  <c:v>Trading comps — P/E (25–35x FY26E non-GAAP EPS)</c:v>
                </c:pt>
                <c:pt idx="6">
                  <c:v>Precedent transactions (8–12x FY26E revenue)</c:v>
                </c:pt>
                <c:pt idx="7">
                  <c:v>LBO capacity (25% → 15% IRR)</c:v>
                </c:pt>
                <c:pt idx="8">
                  <c:v>Monte Carlo P25–P75 (live)</c:v>
                </c:pt>
                <c:pt idx="9">
                  <c:v>Current price (marker)</c:v>
                </c:pt>
              </c:strCache>
            </c:strRef>
          </c:cat>
          <c:val>
            <c:numRef>
              <c:f>Football_Field!$E$5:$E$14</c:f>
              <c:numCache>
                <c:formatCode>\$#,##0.00</c:formatCode>
                <c:ptCount val="10"/>
                <c:pt idx="0">
                  <c:v>285.73</c:v>
                </c:pt>
                <c:pt idx="1">
                  <c:v>246.15</c:v>
                </c:pt>
                <c:pt idx="2">
                  <c:v>96.5548755481129</c:v>
                </c:pt>
                <c:pt idx="3">
                  <c:v>117.532205724339</c:v>
                </c:pt>
                <c:pt idx="4">
                  <c:v>199.252348643006</c:v>
                </c:pt>
                <c:pt idx="5">
                  <c:v>147.6</c:v>
                </c:pt>
                <c:pt idx="6">
                  <c:v>201.774530271399</c:v>
                </c:pt>
                <c:pt idx="7">
                  <c:v>88.0243422611502</c:v>
                </c:pt>
                <c:pt idx="8">
                  <c:v>125.957936819367</c:v>
                </c:pt>
                <c:pt idx="9">
                  <c:v>7</c:v>
                </c:pt>
              </c:numCache>
            </c:numRef>
          </c:val>
        </c:ser>
        <c:gapWidth val="60"/>
        <c:overlap val="100"/>
        <c:axId val="57738428"/>
        <c:axId val="79137603"/>
      </c:barChart>
      <c:catAx>
        <c:axId val="577384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137603"/>
        <c:crosses val="autoZero"/>
        <c:auto val="1"/>
        <c:lblAlgn val="ctr"/>
        <c:lblOffset val="100"/>
        <c:noMultiLvlLbl val="0"/>
      </c:catAx>
      <c:valAx>
        <c:axId val="791376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7384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160920</xdr:rowOff>
    </xdr:from>
    <xdr:to>
      <xdr:col>21</xdr:col>
      <xdr:colOff>240120</xdr:colOff>
      <xdr:row>21</xdr:row>
      <xdr:rowOff>141120</xdr:rowOff>
    </xdr:to>
    <xdr:graphicFrame>
      <xdr:nvGraphicFramePr>
        <xdr:cNvPr id="0" name="Chart 1"/>
        <xdr:cNvGraphicFramePr/>
      </xdr:nvGraphicFramePr>
      <xdr:xfrm>
        <a:off x="14094000" y="5716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160560</xdr:rowOff>
    </xdr:from>
    <xdr:to>
      <xdr:col>6</xdr:col>
      <xdr:colOff>105120</xdr:colOff>
      <xdr:row>41</xdr:row>
      <xdr:rowOff>77760</xdr:rowOff>
    </xdr:to>
    <xdr:graphicFrame>
      <xdr:nvGraphicFramePr>
        <xdr:cNvPr id="1" name="Chart 1"/>
        <xdr:cNvGraphicFramePr/>
      </xdr:nvGraphicFramePr>
      <xdr:xfrm>
        <a:off x="0" y="3238560"/>
        <a:ext cx="86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" min="3" style="0" width="1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C3" s="4"/>
    </row>
    <row r="4" customFormat="false" ht="15" hidden="false" customHeight="false" outlineLevel="0" collapsed="false">
      <c r="A4" s="5" t="s">
        <v>2</v>
      </c>
      <c r="C4" s="4"/>
    </row>
    <row r="5" customFormat="false" ht="15" hidden="false" customHeight="false" outlineLevel="0" collapsed="false">
      <c r="A5" s="3" t="s">
        <v>3</v>
      </c>
      <c r="C5" s="4" t="s">
        <v>4</v>
      </c>
    </row>
    <row r="6" customFormat="false" ht="15" hidden="false" customHeight="false" outlineLevel="0" collapsed="false">
      <c r="A6" s="3" t="s">
        <v>5</v>
      </c>
      <c r="C6" s="4" t="s">
        <v>6</v>
      </c>
    </row>
    <row r="7" customFormat="false" ht="15" hidden="false" customHeight="false" outlineLevel="0" collapsed="false">
      <c r="A7" s="3" t="s">
        <v>7</v>
      </c>
      <c r="C7" s="4" t="s">
        <v>8</v>
      </c>
    </row>
    <row r="8" customFormat="false" ht="15" hidden="false" customHeight="false" outlineLevel="0" collapsed="false">
      <c r="A8" s="3" t="s">
        <v>9</v>
      </c>
      <c r="C8" s="4" t="s">
        <v>10</v>
      </c>
    </row>
    <row r="9" customFormat="false" ht="15" hidden="false" customHeight="false" outlineLevel="0" collapsed="false">
      <c r="A9" s="3" t="s">
        <v>11</v>
      </c>
      <c r="C9" s="4" t="s">
        <v>12</v>
      </c>
    </row>
    <row r="10" customFormat="false" ht="15" hidden="false" customHeight="false" outlineLevel="0" collapsed="false">
      <c r="A10" s="3" t="s">
        <v>13</v>
      </c>
      <c r="C10" s="4" t="s">
        <v>14</v>
      </c>
    </row>
    <row r="11" customFormat="false" ht="15" hidden="false" customHeight="false" outlineLevel="0" collapsed="false">
      <c r="A11" s="3" t="s">
        <v>15</v>
      </c>
      <c r="C11" s="4" t="s">
        <v>16</v>
      </c>
    </row>
    <row r="12" customFormat="false" ht="15" hidden="false" customHeight="false" outlineLevel="0" collapsed="false">
      <c r="A12" s="3" t="s">
        <v>17</v>
      </c>
      <c r="C12" s="4" t="s">
        <v>18</v>
      </c>
    </row>
    <row r="13" customFormat="false" ht="15" hidden="false" customHeight="false" outlineLevel="0" collapsed="false">
      <c r="A13" s="3" t="s">
        <v>19</v>
      </c>
      <c r="C13" s="4" t="s">
        <v>20</v>
      </c>
    </row>
    <row r="14" customFormat="false" ht="15" hidden="false" customHeight="false" outlineLevel="0" collapsed="false">
      <c r="A14" s="3" t="s">
        <v>21</v>
      </c>
      <c r="C14" s="4" t="s">
        <v>22</v>
      </c>
    </row>
    <row r="15" customFormat="false" ht="15" hidden="false" customHeight="false" outlineLevel="0" collapsed="false">
      <c r="A15" s="3"/>
      <c r="C15" s="4"/>
    </row>
    <row r="16" customFormat="false" ht="15" hidden="false" customHeight="false" outlineLevel="0" collapsed="false">
      <c r="A16" s="5" t="s">
        <v>23</v>
      </c>
      <c r="C16" s="4"/>
    </row>
    <row r="17" customFormat="false" ht="15" hidden="false" customHeight="false" outlineLevel="0" collapsed="false">
      <c r="A17" s="6" t="s">
        <v>24</v>
      </c>
      <c r="C17" s="4" t="s">
        <v>25</v>
      </c>
    </row>
    <row r="18" customFormat="false" ht="15" hidden="false" customHeight="false" outlineLevel="0" collapsed="false">
      <c r="A18" s="3" t="s">
        <v>26</v>
      </c>
      <c r="C18" s="4" t="s">
        <v>27</v>
      </c>
    </row>
    <row r="19" customFormat="false" ht="15" hidden="false" customHeight="false" outlineLevel="0" collapsed="false">
      <c r="A19" s="3" t="s">
        <v>28</v>
      </c>
      <c r="C19" s="4" t="s">
        <v>29</v>
      </c>
    </row>
    <row r="20" customFormat="false" ht="15" hidden="false" customHeight="false" outlineLevel="0" collapsed="false">
      <c r="A20" s="3" t="s">
        <v>30</v>
      </c>
      <c r="C20" s="4" t="s">
        <v>31</v>
      </c>
    </row>
    <row r="21" customFormat="false" ht="15" hidden="false" customHeight="false" outlineLevel="0" collapsed="false">
      <c r="A21" s="3"/>
      <c r="C21" s="4"/>
    </row>
    <row r="22" customFormat="false" ht="15" hidden="false" customHeight="false" outlineLevel="0" collapsed="false">
      <c r="A22" s="5" t="s">
        <v>32</v>
      </c>
      <c r="C22" s="4"/>
    </row>
    <row r="23" customFormat="false" ht="15" hidden="false" customHeight="false" outlineLevel="0" collapsed="false">
      <c r="A23" s="3" t="s">
        <v>33</v>
      </c>
      <c r="C23" s="4" t="s">
        <v>34</v>
      </c>
    </row>
    <row r="24" customFormat="false" ht="15" hidden="false" customHeight="false" outlineLevel="0" collapsed="false">
      <c r="A24" s="3" t="s">
        <v>35</v>
      </c>
      <c r="C24" s="4" t="s">
        <v>36</v>
      </c>
    </row>
    <row r="25" customFormat="false" ht="15" hidden="false" customHeight="false" outlineLevel="0" collapsed="false">
      <c r="A25" s="3" t="s">
        <v>37</v>
      </c>
      <c r="C25" s="4" t="s">
        <v>38</v>
      </c>
    </row>
    <row r="26" customFormat="false" ht="15" hidden="false" customHeight="false" outlineLevel="0" collapsed="false">
      <c r="A26" s="3" t="s">
        <v>39</v>
      </c>
      <c r="C26" s="4" t="s">
        <v>40</v>
      </c>
    </row>
    <row r="27" customFormat="false" ht="15" hidden="false" customHeight="false" outlineLevel="0" collapsed="false">
      <c r="A27" s="3"/>
      <c r="C27" s="4"/>
    </row>
    <row r="28" customFormat="false" ht="15" hidden="false" customHeight="false" outlineLevel="0" collapsed="false">
      <c r="A28" s="5" t="s">
        <v>41</v>
      </c>
      <c r="C28" s="4"/>
    </row>
    <row r="29" customFormat="false" ht="15" hidden="false" customHeight="false" outlineLevel="0" collapsed="false">
      <c r="A29" s="3" t="s">
        <v>42</v>
      </c>
      <c r="C29" s="4" t="s">
        <v>43</v>
      </c>
    </row>
    <row r="30" customFormat="false" ht="15" hidden="false" customHeight="false" outlineLevel="0" collapsed="false">
      <c r="A30" s="3" t="s">
        <v>44</v>
      </c>
      <c r="C30" s="4" t="s">
        <v>45</v>
      </c>
    </row>
    <row r="31" customFormat="false" ht="15" hidden="false" customHeight="false" outlineLevel="0" collapsed="false">
      <c r="A31" s="3" t="s">
        <v>46</v>
      </c>
      <c r="C31" s="4" t="s">
        <v>47</v>
      </c>
    </row>
    <row r="32" customFormat="false" ht="15" hidden="false" customHeight="false" outlineLevel="0" collapsed="false">
      <c r="A32" s="3" t="s">
        <v>48</v>
      </c>
      <c r="C32" s="4" t="s">
        <v>49</v>
      </c>
    </row>
    <row r="33" customFormat="false" ht="15" hidden="false" customHeight="false" outlineLevel="0" collapsed="false">
      <c r="A33" s="3"/>
      <c r="C33" s="4"/>
    </row>
    <row r="34" customFormat="false" ht="15" hidden="false" customHeight="false" outlineLevel="0" collapsed="false">
      <c r="A34" s="5" t="s">
        <v>50</v>
      </c>
      <c r="C34" s="4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4" customFormat="false" ht="15" hidden="false" customHeight="false" outlineLevel="0" collapsed="false">
      <c r="A4" s="7" t="s">
        <v>54</v>
      </c>
      <c r="B4" s="8" t="n">
        <v>1</v>
      </c>
      <c r="C4" s="9" t="str">
        <f aca="false">CHOOSE($B$4,"BASE — EDA growth + Ansys synergies on plan","BULL — AI design supercycle + full synergy capture","BEAR — China/IP weakness persists, synergies slip")</f>
        <v>BASE — EDA growth + Ansys synergies on plan</v>
      </c>
    </row>
    <row r="6" customFormat="false" ht="15" hidden="false" customHeight="false" outlineLevel="0" collapsed="false">
      <c r="A6" s="5" t="s">
        <v>55</v>
      </c>
    </row>
    <row r="7" customFormat="false" ht="15" hidden="false" customHeight="false" outlineLevel="0" collapsed="false">
      <c r="A7" s="10"/>
      <c r="B7" s="10" t="s">
        <v>56</v>
      </c>
      <c r="C7" s="10" t="s">
        <v>57</v>
      </c>
      <c r="D7" s="10" t="s">
        <v>58</v>
      </c>
      <c r="E7" s="10" t="s">
        <v>59</v>
      </c>
    </row>
    <row r="8" customFormat="false" ht="15" hidden="false" customHeight="false" outlineLevel="0" collapsed="false">
      <c r="A8" s="3" t="s">
        <v>60</v>
      </c>
      <c r="B8" s="11" t="n">
        <v>0.5</v>
      </c>
      <c r="C8" s="11" t="n">
        <v>0.25</v>
      </c>
      <c r="D8" s="11" t="n">
        <v>0.25</v>
      </c>
      <c r="E8" s="12" t="n">
        <f aca="false">SUM(B8:D8)</f>
        <v>1</v>
      </c>
    </row>
    <row r="10" customFormat="false" ht="15" hidden="false" customHeight="false" outlineLevel="0" collapsed="false">
      <c r="A10" s="5" t="s">
        <v>61</v>
      </c>
    </row>
    <row r="11" customFormat="false" ht="15" hidden="false" customHeight="false" outlineLevel="0" collapsed="false">
      <c r="A11" s="10"/>
      <c r="B11" s="10" t="s">
        <v>56</v>
      </c>
      <c r="C11" s="10" t="s">
        <v>57</v>
      </c>
      <c r="D11" s="10" t="s">
        <v>58</v>
      </c>
      <c r="E11" s="10" t="s">
        <v>62</v>
      </c>
    </row>
    <row r="12" customFormat="false" ht="15" hidden="false" customHeight="false" outlineLevel="0" collapsed="false">
      <c r="A12" s="3" t="s">
        <v>63</v>
      </c>
      <c r="B12" s="11" t="n">
        <v>0.1</v>
      </c>
      <c r="C12" s="11" t="n">
        <v>0.14</v>
      </c>
      <c r="D12" s="11" t="n">
        <v>0.05</v>
      </c>
      <c r="E12" s="12" t="n">
        <f aca="false">CHOOSE($B$4,B12,C12,D12)</f>
        <v>0.1</v>
      </c>
    </row>
    <row r="13" customFormat="false" ht="15" hidden="false" customHeight="false" outlineLevel="0" collapsed="false">
      <c r="A13" s="3" t="s">
        <v>64</v>
      </c>
      <c r="B13" s="11" t="n">
        <v>0.06</v>
      </c>
      <c r="C13" s="11" t="n">
        <v>0.09</v>
      </c>
      <c r="D13" s="11" t="n">
        <v>0.02</v>
      </c>
      <c r="E13" s="12" t="n">
        <f aca="false">CHOOSE($B$4,B13,C13,D13)</f>
        <v>0.06</v>
      </c>
    </row>
    <row r="14" customFormat="false" ht="15" hidden="false" customHeight="false" outlineLevel="0" collapsed="false">
      <c r="A14" s="13" t="s">
        <v>65</v>
      </c>
    </row>
    <row r="15" customFormat="false" ht="15" hidden="false" customHeight="false" outlineLevel="0" collapsed="false">
      <c r="A15" s="5" t="s">
        <v>66</v>
      </c>
    </row>
    <row r="16" customFormat="false" ht="15" hidden="false" customHeight="false" outlineLevel="0" collapsed="false">
      <c r="A16" s="10" t="s">
        <v>67</v>
      </c>
      <c r="B16" s="10" t="s">
        <v>68</v>
      </c>
      <c r="C16" s="10" t="s">
        <v>69</v>
      </c>
      <c r="D16" s="10" t="s">
        <v>70</v>
      </c>
      <c r="E16" s="10" t="s">
        <v>71</v>
      </c>
      <c r="F16" s="10" t="s">
        <v>62</v>
      </c>
    </row>
    <row r="17" customFormat="false" ht="15" hidden="false" customHeight="false" outlineLevel="0" collapsed="false">
      <c r="A17" s="3" t="s">
        <v>72</v>
      </c>
      <c r="B17" s="11" t="n">
        <v>0.8</v>
      </c>
      <c r="C17" s="11" t="n">
        <v>0.82</v>
      </c>
      <c r="D17" s="11" t="n">
        <v>0.83</v>
      </c>
      <c r="E17" s="11" t="n">
        <v>0.79</v>
      </c>
      <c r="F17" s="12" t="n">
        <f aca="false">CHOOSE($B$4,C17,D17,E17)</f>
        <v>0.82</v>
      </c>
    </row>
    <row r="18" customFormat="false" ht="15" hidden="false" customHeight="false" outlineLevel="0" collapsed="false">
      <c r="A18" s="3" t="s">
        <v>73</v>
      </c>
      <c r="B18" s="11" t="n">
        <v>0.405</v>
      </c>
      <c r="C18" s="11" t="n">
        <v>0.35</v>
      </c>
      <c r="D18" s="11" t="n">
        <v>0.32</v>
      </c>
      <c r="E18" s="11" t="n">
        <v>0.38</v>
      </c>
      <c r="F18" s="12" t="n">
        <f aca="false">CHOOSE($B$4,C18,D18,E18)</f>
        <v>0.35</v>
      </c>
    </row>
    <row r="19" customFormat="false" ht="15" hidden="false" customHeight="false" outlineLevel="0" collapsed="false">
      <c r="A19" s="3" t="s">
        <v>74</v>
      </c>
      <c r="B19" s="11" t="n">
        <v>0.09</v>
      </c>
      <c r="C19" s="11" t="n">
        <v>0.075</v>
      </c>
      <c r="D19" s="11" t="n">
        <v>0.075</v>
      </c>
      <c r="E19" s="11" t="n">
        <v>0.085</v>
      </c>
      <c r="F19" s="12" t="n">
        <f aca="false">CHOOSE($B$4,C19,D19,E19)</f>
        <v>0.075</v>
      </c>
    </row>
    <row r="20" customFormat="false" ht="15" hidden="false" customHeight="false" outlineLevel="0" collapsed="false">
      <c r="A20" s="3" t="s">
        <v>75</v>
      </c>
      <c r="B20" s="11" t="n">
        <v>0.06</v>
      </c>
      <c r="C20" s="11" t="n">
        <v>0.045</v>
      </c>
      <c r="D20" s="11" t="n">
        <v>0.045</v>
      </c>
      <c r="E20" s="11" t="n">
        <v>0.055</v>
      </c>
      <c r="F20" s="12" t="n">
        <f aca="false">CHOOSE($B$4,C20,D20,E20)</f>
        <v>0.045</v>
      </c>
    </row>
    <row r="21" customFormat="false" ht="15" hidden="false" customHeight="false" outlineLevel="0" collapsed="false">
      <c r="A21" s="3" t="s">
        <v>76</v>
      </c>
      <c r="B21" s="11" t="n">
        <v>0.015</v>
      </c>
      <c r="C21" s="11" t="n">
        <v>0.015</v>
      </c>
      <c r="D21" s="11" t="n">
        <v>0.018</v>
      </c>
      <c r="E21" s="11" t="n">
        <v>0.012</v>
      </c>
      <c r="F21" s="12" t="n">
        <f aca="false">CHOOSE($B$4,C21,D21,E21)</f>
        <v>0.015</v>
      </c>
    </row>
    <row r="22" customFormat="false" ht="15" hidden="false" customHeight="false" outlineLevel="0" collapsed="false">
      <c r="A22" s="3" t="s">
        <v>77</v>
      </c>
      <c r="B22" s="11" t="n">
        <v>0.2</v>
      </c>
      <c r="C22" s="11" t="n">
        <v>0.22</v>
      </c>
      <c r="D22" s="11" t="n">
        <v>0.22</v>
      </c>
      <c r="E22" s="11" t="n">
        <v>0.2</v>
      </c>
      <c r="F22" s="12" t="n">
        <f aca="false">CHOOSE($B$4,C22,D22,E22)</f>
        <v>0.22</v>
      </c>
    </row>
    <row r="23" customFormat="false" ht="15" hidden="false" customHeight="false" outlineLevel="0" collapsed="false">
      <c r="A23" s="3" t="s">
        <v>78</v>
      </c>
      <c r="B23" s="11" t="n">
        <v>0.1</v>
      </c>
      <c r="C23" s="11" t="n">
        <v>0.1</v>
      </c>
      <c r="D23" s="11" t="n">
        <v>0.1</v>
      </c>
      <c r="E23" s="11" t="n">
        <v>0.1</v>
      </c>
      <c r="F23" s="12" t="n">
        <f aca="false">CHOOSE($B$4,C23,D23,E23)</f>
        <v>0.1</v>
      </c>
    </row>
    <row r="24" customFormat="false" ht="15" hidden="false" customHeight="false" outlineLevel="0" collapsed="false">
      <c r="A24" s="3" t="s">
        <v>79</v>
      </c>
      <c r="B24" s="11" t="n">
        <v>0.21</v>
      </c>
      <c r="C24" s="11" t="n">
        <v>0.21</v>
      </c>
      <c r="D24" s="11" t="n">
        <v>0.21</v>
      </c>
      <c r="E24" s="11" t="n">
        <v>0.2</v>
      </c>
      <c r="F24" s="12" t="n">
        <f aca="false">CHOOSE($B$4,C24,D24,E24)</f>
        <v>0.21</v>
      </c>
    </row>
    <row r="25" customFormat="false" ht="15" hidden="false" customHeight="false" outlineLevel="0" collapsed="false">
      <c r="A25" s="13" t="s">
        <v>80</v>
      </c>
    </row>
    <row r="26" customFormat="false" ht="15" hidden="false" customHeight="false" outlineLevel="0" collapsed="false">
      <c r="A26" s="5" t="s">
        <v>81</v>
      </c>
    </row>
    <row r="27" customFormat="false" ht="15" hidden="false" customHeight="false" outlineLevel="0" collapsed="false">
      <c r="A27" s="3" t="s">
        <v>82</v>
      </c>
      <c r="B27" s="14" t="n">
        <v>70</v>
      </c>
    </row>
    <row r="28" customFormat="false" ht="15" hidden="false" customHeight="false" outlineLevel="0" collapsed="false">
      <c r="A28" s="3" t="s">
        <v>83</v>
      </c>
      <c r="B28" s="14" t="n">
        <v>120</v>
      </c>
    </row>
    <row r="29" customFormat="false" ht="15" hidden="false" customHeight="false" outlineLevel="0" collapsed="false">
      <c r="A29" s="3" t="s">
        <v>84</v>
      </c>
      <c r="B29" s="14" t="n">
        <v>40</v>
      </c>
    </row>
    <row r="33" customFormat="false" ht="15" hidden="false" customHeight="false" outlineLevel="0" collapsed="false">
      <c r="A33" s="5" t="s">
        <v>85</v>
      </c>
    </row>
    <row r="34" customFormat="false" ht="15" hidden="false" customHeight="false" outlineLevel="0" collapsed="false">
      <c r="A34" s="3" t="s">
        <v>86</v>
      </c>
      <c r="B34" s="11" t="n">
        <v>0.04</v>
      </c>
    </row>
    <row r="35" customFormat="false" ht="15" hidden="false" customHeight="false" outlineLevel="0" collapsed="false">
      <c r="A35" s="3" t="s">
        <v>87</v>
      </c>
      <c r="B35" s="11" t="n">
        <v>0.06</v>
      </c>
    </row>
    <row r="36" customFormat="false" ht="15" hidden="false" customHeight="false" outlineLevel="0" collapsed="false">
      <c r="A36" s="3" t="s">
        <v>88</v>
      </c>
      <c r="B36" s="15" t="n">
        <v>800</v>
      </c>
    </row>
    <row r="37" customFormat="false" ht="15" hidden="false" customHeight="false" outlineLevel="0" collapsed="false">
      <c r="A37" s="3" t="s">
        <v>89</v>
      </c>
      <c r="B37" s="14" t="n">
        <v>191.6</v>
      </c>
    </row>
    <row r="38" customFormat="false" ht="15" hidden="false" customHeight="false" outlineLevel="0" collapsed="false">
      <c r="A38" s="3" t="s">
        <v>90</v>
      </c>
      <c r="B38" s="11" t="n">
        <v>0.22</v>
      </c>
    </row>
    <row r="39" customFormat="false" ht="15" hidden="false" customHeight="false" outlineLevel="0" collapsed="false">
      <c r="A39" s="3" t="s">
        <v>91</v>
      </c>
      <c r="B39" s="11" t="n">
        <v>0.052</v>
      </c>
    </row>
    <row r="40" customFormat="false" ht="15" hidden="false" customHeight="false" outlineLevel="0" collapsed="false">
      <c r="A40" s="3" t="s">
        <v>92</v>
      </c>
      <c r="B40" s="15" t="n">
        <v>300</v>
      </c>
      <c r="C40" s="13" t="s">
        <v>93</v>
      </c>
    </row>
    <row r="41" customFormat="false" ht="15" hidden="false" customHeight="false" outlineLevel="0" collapsed="false">
      <c r="A41" s="3" t="s">
        <v>94</v>
      </c>
      <c r="B41" s="15" t="n">
        <v>0</v>
      </c>
    </row>
    <row r="42" customFormat="false" ht="15" hidden="false" customHeight="false" outlineLevel="0" collapsed="false">
      <c r="A42" s="3" t="s">
        <v>95</v>
      </c>
      <c r="B42" s="15" t="n">
        <v>0</v>
      </c>
    </row>
    <row r="46" customFormat="false" ht="15" hidden="false" customHeight="false" outlineLevel="0" collapsed="false">
      <c r="A46" s="5" t="s">
        <v>96</v>
      </c>
    </row>
    <row r="47" customFormat="false" ht="15" hidden="false" customHeight="false" outlineLevel="0" collapsed="false">
      <c r="A47" s="3" t="s">
        <v>97</v>
      </c>
      <c r="B47" s="11" t="n">
        <v>0.035</v>
      </c>
    </row>
    <row r="48" customFormat="false" ht="15" hidden="false" customHeight="false" outlineLevel="0" collapsed="false">
      <c r="A48" s="3" t="s">
        <v>98</v>
      </c>
      <c r="B48" s="16" t="n">
        <v>18</v>
      </c>
    </row>
    <row r="49" customFormat="false" ht="15" hidden="false" customHeight="false" outlineLevel="0" collapsed="false">
      <c r="A49" s="3" t="s">
        <v>99</v>
      </c>
      <c r="B49" s="17" t="n">
        <v>384.28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8" min="2" style="0" width="11"/>
    <col collapsed="false" customWidth="true" hidden="false" outlineLevel="0" max="9" min="9" style="0" width="55"/>
  </cols>
  <sheetData>
    <row r="1" customFormat="false" ht="17.35" hidden="false" customHeight="false" outlineLevel="0" collapsed="false">
      <c r="A1" s="1" t="s">
        <v>100</v>
      </c>
    </row>
    <row r="4" customFormat="false" ht="15" hidden="false" customHeight="false" outlineLevel="0" collapsed="false">
      <c r="A4" s="10"/>
      <c r="B4" s="10" t="s">
        <v>101</v>
      </c>
      <c r="C4" s="10" t="s">
        <v>102</v>
      </c>
      <c r="D4" s="10" t="s">
        <v>103</v>
      </c>
      <c r="E4" s="10" t="s">
        <v>104</v>
      </c>
      <c r="F4" s="10"/>
      <c r="G4" s="10" t="s">
        <v>105</v>
      </c>
      <c r="H4" s="10" t="s">
        <v>106</v>
      </c>
    </row>
    <row r="5" customFormat="false" ht="15" hidden="false" customHeight="false" outlineLevel="0" collapsed="false">
      <c r="A5" s="7" t="s">
        <v>107</v>
      </c>
      <c r="B5" s="18" t="n">
        <v>5082</v>
      </c>
      <c r="C5" s="18" t="n">
        <v>5843</v>
      </c>
      <c r="D5" s="18" t="n">
        <v>6127</v>
      </c>
      <c r="E5" s="18" t="n">
        <v>7000</v>
      </c>
      <c r="G5" s="18" t="n">
        <v>2276</v>
      </c>
      <c r="H5" s="15" t="n">
        <v>9665</v>
      </c>
      <c r="I5" s="13" t="s">
        <v>108</v>
      </c>
    </row>
    <row r="6" customFormat="false" ht="15" hidden="false" customHeight="false" outlineLevel="0" collapsed="false">
      <c r="A6" s="3" t="s">
        <v>109</v>
      </c>
      <c r="C6" s="19" t="n">
        <f aca="false">C5/B5-1</f>
        <v>0.149744195198741</v>
      </c>
      <c r="D6" s="19" t="n">
        <f aca="false">D5/C5-1</f>
        <v>0.0486051685777853</v>
      </c>
      <c r="E6" s="19" t="n">
        <f aca="false">E5/D5-1</f>
        <v>0.142484086828791</v>
      </c>
      <c r="H6" s="19" t="n">
        <f aca="false">H5/E5-1</f>
        <v>0.380714285714286</v>
      </c>
    </row>
    <row r="8" customFormat="false" ht="15" hidden="false" customHeight="false" outlineLevel="0" collapsed="false">
      <c r="A8" s="3" t="s">
        <v>110</v>
      </c>
      <c r="B8" s="4" t="s">
        <v>111</v>
      </c>
    </row>
    <row r="9" customFormat="false" ht="15" hidden="false" customHeight="false" outlineLevel="0" collapsed="false">
      <c r="A9" s="3" t="s">
        <v>112</v>
      </c>
      <c r="B9" s="4" t="s">
        <v>113</v>
      </c>
    </row>
    <row r="10" customFormat="false" ht="15" hidden="false" customHeight="false" outlineLevel="0" collapsed="false">
      <c r="A10" s="3" t="s">
        <v>114</v>
      </c>
      <c r="B10" s="4" t="s">
        <v>115</v>
      </c>
    </row>
    <row r="11" customFormat="false" ht="15" hidden="false" customHeight="false" outlineLevel="0" collapsed="false">
      <c r="A11" s="3" t="s">
        <v>116</v>
      </c>
      <c r="B11" s="4" t="s">
        <v>117</v>
      </c>
    </row>
    <row r="12" customFormat="false" ht="15" hidden="false" customHeight="false" outlineLevel="0" collapsed="false">
      <c r="A12" s="3" t="s">
        <v>118</v>
      </c>
      <c r="B12" s="4" t="s">
        <v>119</v>
      </c>
    </row>
    <row r="15" customFormat="false" ht="15" hidden="false" customHeight="false" outlineLevel="0" collapsed="false">
      <c r="A15" s="7" t="s">
        <v>120</v>
      </c>
    </row>
    <row r="16" customFormat="false" ht="15" hidden="false" customHeight="false" outlineLevel="0" collapsed="false">
      <c r="A16" s="3" t="s">
        <v>121</v>
      </c>
      <c r="B16" s="18" t="n">
        <v>2400</v>
      </c>
    </row>
    <row r="17" customFormat="false" ht="15" hidden="false" customHeight="false" outlineLevel="0" collapsed="false">
      <c r="A17" s="3" t="s">
        <v>122</v>
      </c>
      <c r="B17" s="18" t="n">
        <v>1900</v>
      </c>
    </row>
    <row r="18" customFormat="false" ht="15" hidden="false" customHeight="false" outlineLevel="0" collapsed="false">
      <c r="A18" s="3" t="s">
        <v>123</v>
      </c>
      <c r="B18" s="18" t="n">
        <v>400</v>
      </c>
    </row>
    <row r="19" customFormat="false" ht="15" hidden="false" customHeight="false" outlineLevel="0" collapsed="false">
      <c r="A19" s="3" t="s">
        <v>124</v>
      </c>
      <c r="B19" s="18" t="n">
        <v>950</v>
      </c>
    </row>
    <row r="20" customFormat="false" ht="15" hidden="false" customHeight="false" outlineLevel="0" collapsed="false">
      <c r="A20" s="3" t="s">
        <v>125</v>
      </c>
      <c r="B20" s="18" t="n">
        <v>600</v>
      </c>
    </row>
    <row r="21" customFormat="false" ht="15" hidden="false" customHeight="false" outlineLevel="0" collapsed="false">
      <c r="A21" s="3" t="s">
        <v>126</v>
      </c>
      <c r="B21" s="18" t="n">
        <v>38000</v>
      </c>
    </row>
    <row r="22" customFormat="false" ht="15" hidden="false" customHeight="false" outlineLevel="0" collapsed="false">
      <c r="A22" s="3" t="s">
        <v>127</v>
      </c>
      <c r="B22" s="18" t="n">
        <v>1300</v>
      </c>
    </row>
    <row r="23" customFormat="false" ht="15" hidden="false" customHeight="false" outlineLevel="0" collapsed="false">
      <c r="A23" s="3" t="s">
        <v>128</v>
      </c>
      <c r="B23" s="18" t="n">
        <v>2000</v>
      </c>
    </row>
    <row r="24" customFormat="false" ht="15" hidden="false" customHeight="false" outlineLevel="0" collapsed="false">
      <c r="A24" s="3" t="s">
        <v>129</v>
      </c>
      <c r="B24" s="18" t="n">
        <v>11500</v>
      </c>
    </row>
    <row r="25" customFormat="false" ht="15" hidden="false" customHeight="false" outlineLevel="0" collapsed="false">
      <c r="A25" s="3" t="s">
        <v>130</v>
      </c>
      <c r="B25" s="18" t="n">
        <v>3500</v>
      </c>
    </row>
    <row r="27" customFormat="false" ht="15" hidden="false" customHeight="false" outlineLevel="0" collapsed="false">
      <c r="A27" s="13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2" min="2" style="0" width="11"/>
    <col collapsed="false" customWidth="true" hidden="false" outlineLevel="0" max="13" min="13" style="0" width="45"/>
  </cols>
  <sheetData>
    <row r="1" customFormat="false" ht="17.3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9" t="str">
        <f aca="false">CONCATENATE("Active scenario: ",CHOOSE(Assumptions!$B$4,"BASE","BULL","BEAR"))</f>
        <v>Active scenario: BASE</v>
      </c>
    </row>
    <row r="4" customFormat="false" ht="15" hidden="false" customHeight="false" outlineLevel="0" collapsed="false">
      <c r="A4" s="10"/>
      <c r="B4" s="10" t="s">
        <v>133</v>
      </c>
      <c r="C4" s="10" t="s">
        <v>106</v>
      </c>
      <c r="D4" s="10" t="s">
        <v>134</v>
      </c>
      <c r="E4" s="10" t="s">
        <v>135</v>
      </c>
      <c r="F4" s="10" t="s">
        <v>136</v>
      </c>
      <c r="G4" s="10" t="s">
        <v>137</v>
      </c>
      <c r="H4" s="10" t="s">
        <v>138</v>
      </c>
      <c r="I4" s="10" t="s">
        <v>139</v>
      </c>
      <c r="J4" s="10" t="s">
        <v>140</v>
      </c>
      <c r="K4" s="10" t="s">
        <v>141</v>
      </c>
      <c r="L4" s="10" t="s">
        <v>142</v>
      </c>
    </row>
    <row r="6" customFormat="false" ht="15" hidden="false" customHeight="false" outlineLevel="0" collapsed="false">
      <c r="A6" s="5" t="s">
        <v>143</v>
      </c>
    </row>
    <row r="7" customFormat="false" ht="15" hidden="false" customHeight="false" outlineLevel="0" collapsed="false">
      <c r="A7" s="3" t="s">
        <v>144</v>
      </c>
      <c r="C7" s="19" t="n">
        <f aca="false">C18/B18-1</f>
        <v>0.380714285714286</v>
      </c>
      <c r="D7" s="20" t="n">
        <f aca="false">Assumptions!$E$12+(Assumptions!$E$13-Assumptions!$E$12)*0/8</f>
        <v>0.1</v>
      </c>
      <c r="E7" s="20" t="n">
        <f aca="false">Assumptions!$E$12+(Assumptions!$E$13-Assumptions!$E$12)*1/8</f>
        <v>0.095</v>
      </c>
      <c r="F7" s="20" t="n">
        <f aca="false">Assumptions!$E$12+(Assumptions!$E$13-Assumptions!$E$12)*2/8</f>
        <v>0.09</v>
      </c>
      <c r="G7" s="20" t="n">
        <f aca="false">Assumptions!$E$12+(Assumptions!$E$13-Assumptions!$E$12)*3/8</f>
        <v>0.085</v>
      </c>
      <c r="H7" s="20" t="n">
        <f aca="false">Assumptions!$E$12+(Assumptions!$E$13-Assumptions!$E$12)*4/8</f>
        <v>0.08</v>
      </c>
      <c r="I7" s="20" t="n">
        <f aca="false">Assumptions!$E$12+(Assumptions!$E$13-Assumptions!$E$12)*5/8</f>
        <v>0.075</v>
      </c>
      <c r="J7" s="20" t="n">
        <f aca="false">Assumptions!$E$12+(Assumptions!$E$13-Assumptions!$E$12)*6/8</f>
        <v>0.07</v>
      </c>
      <c r="K7" s="20" t="n">
        <f aca="false">Assumptions!$E$12+(Assumptions!$E$13-Assumptions!$E$12)*7/8</f>
        <v>0.065</v>
      </c>
      <c r="L7" s="20" t="n">
        <f aca="false">Assumptions!$E$12+(Assumptions!$E$13-Assumptions!$E$12)*8/8</f>
        <v>0.06</v>
      </c>
    </row>
    <row r="8" customFormat="false" ht="15" hidden="false" customHeight="false" outlineLevel="0" collapsed="false">
      <c r="A8" s="3" t="s">
        <v>145</v>
      </c>
      <c r="C8" s="20" t="n">
        <f aca="false">Assumptions!$B$17</f>
        <v>0.8</v>
      </c>
      <c r="D8" s="20" t="n">
        <f aca="false">Assumptions!$B$17+(Assumptions!$F$17-Assumptions!$B$17)*1/9</f>
        <v>0.802222222222222</v>
      </c>
      <c r="E8" s="20" t="n">
        <f aca="false">Assumptions!$B$17+(Assumptions!$F$17-Assumptions!$B$17)*2/9</f>
        <v>0.804444444444445</v>
      </c>
      <c r="F8" s="20" t="n">
        <f aca="false">Assumptions!$B$17+(Assumptions!$F$17-Assumptions!$B$17)*3/9</f>
        <v>0.806666666666667</v>
      </c>
      <c r="G8" s="20" t="n">
        <f aca="false">Assumptions!$B$17+(Assumptions!$F$17-Assumptions!$B$17)*4/9</f>
        <v>0.808888888888889</v>
      </c>
      <c r="H8" s="20" t="n">
        <f aca="false">Assumptions!$B$17+(Assumptions!$F$17-Assumptions!$B$17)*5/9</f>
        <v>0.811111111111111</v>
      </c>
      <c r="I8" s="20" t="n">
        <f aca="false">Assumptions!$B$17+(Assumptions!$F$17-Assumptions!$B$17)*6/9</f>
        <v>0.813333333333333</v>
      </c>
      <c r="J8" s="20" t="n">
        <f aca="false">Assumptions!$B$17+(Assumptions!$F$17-Assumptions!$B$17)*7/9</f>
        <v>0.815555555555556</v>
      </c>
      <c r="K8" s="20" t="n">
        <f aca="false">Assumptions!$B$17+(Assumptions!$F$17-Assumptions!$B$17)*8/9</f>
        <v>0.817777777777778</v>
      </c>
      <c r="L8" s="20" t="n">
        <f aca="false">Assumptions!$B$17+(Assumptions!$F$17-Assumptions!$B$17)*9/9</f>
        <v>0.82</v>
      </c>
    </row>
    <row r="9" customFormat="false" ht="15" hidden="false" customHeight="false" outlineLevel="0" collapsed="false">
      <c r="A9" s="3" t="s">
        <v>146</v>
      </c>
      <c r="C9" s="20" t="n">
        <f aca="false">Assumptions!$B$18</f>
        <v>0.405</v>
      </c>
      <c r="D9" s="20" t="n">
        <f aca="false">Assumptions!$B$18+(Assumptions!$F$18-Assumptions!$B$18)*1/9</f>
        <v>0.398888888888889</v>
      </c>
      <c r="E9" s="20" t="n">
        <f aca="false">Assumptions!$B$18+(Assumptions!$F$18-Assumptions!$B$18)*2/9</f>
        <v>0.392777777777778</v>
      </c>
      <c r="F9" s="20" t="n">
        <f aca="false">Assumptions!$B$18+(Assumptions!$F$18-Assumptions!$B$18)*3/9</f>
        <v>0.386666666666667</v>
      </c>
      <c r="G9" s="20" t="n">
        <f aca="false">Assumptions!$B$18+(Assumptions!$F$18-Assumptions!$B$18)*4/9</f>
        <v>0.380555555555556</v>
      </c>
      <c r="H9" s="20" t="n">
        <f aca="false">Assumptions!$B$18+(Assumptions!$F$18-Assumptions!$B$18)*5/9</f>
        <v>0.374444444444444</v>
      </c>
      <c r="I9" s="20" t="n">
        <f aca="false">Assumptions!$B$18+(Assumptions!$F$18-Assumptions!$B$18)*6/9</f>
        <v>0.368333333333333</v>
      </c>
      <c r="J9" s="20" t="n">
        <f aca="false">Assumptions!$B$18+(Assumptions!$F$18-Assumptions!$B$18)*7/9</f>
        <v>0.362222222222222</v>
      </c>
      <c r="K9" s="20" t="n">
        <f aca="false">Assumptions!$B$18+(Assumptions!$F$18-Assumptions!$B$18)*8/9</f>
        <v>0.356111111111111</v>
      </c>
      <c r="L9" s="20" t="n">
        <f aca="false">Assumptions!$B$18+(Assumptions!$F$18-Assumptions!$B$18)*9/9</f>
        <v>0.35</v>
      </c>
    </row>
    <row r="10" customFormat="false" ht="15" hidden="false" customHeight="false" outlineLevel="0" collapsed="false">
      <c r="A10" s="3" t="s">
        <v>147</v>
      </c>
      <c r="C10" s="20" t="n">
        <f aca="false">Assumptions!$B$19</f>
        <v>0.09</v>
      </c>
      <c r="D10" s="20" t="n">
        <f aca="false">Assumptions!$B$19+(Assumptions!$F$19-Assumptions!$B$19)*1/9</f>
        <v>0.0883333333333333</v>
      </c>
      <c r="E10" s="20" t="n">
        <f aca="false">Assumptions!$B$19+(Assumptions!$F$19-Assumptions!$B$19)*2/9</f>
        <v>0.0866666666666667</v>
      </c>
      <c r="F10" s="20" t="n">
        <f aca="false">Assumptions!$B$19+(Assumptions!$F$19-Assumptions!$B$19)*3/9</f>
        <v>0.085</v>
      </c>
      <c r="G10" s="20" t="n">
        <f aca="false">Assumptions!$B$19+(Assumptions!$F$19-Assumptions!$B$19)*4/9</f>
        <v>0.0833333333333333</v>
      </c>
      <c r="H10" s="20" t="n">
        <f aca="false">Assumptions!$B$19+(Assumptions!$F$19-Assumptions!$B$19)*5/9</f>
        <v>0.0816666666666667</v>
      </c>
      <c r="I10" s="20" t="n">
        <f aca="false">Assumptions!$B$19+(Assumptions!$F$19-Assumptions!$B$19)*6/9</f>
        <v>0.08</v>
      </c>
      <c r="J10" s="20" t="n">
        <f aca="false">Assumptions!$B$19+(Assumptions!$F$19-Assumptions!$B$19)*7/9</f>
        <v>0.0783333333333333</v>
      </c>
      <c r="K10" s="20" t="n">
        <f aca="false">Assumptions!$B$19+(Assumptions!$F$19-Assumptions!$B$19)*8/9</f>
        <v>0.0766666666666667</v>
      </c>
      <c r="L10" s="20" t="n">
        <f aca="false">Assumptions!$B$19+(Assumptions!$F$19-Assumptions!$B$19)*9/9</f>
        <v>0.075</v>
      </c>
    </row>
    <row r="11" customFormat="false" ht="15" hidden="false" customHeight="false" outlineLevel="0" collapsed="false">
      <c r="A11" s="3" t="s">
        <v>148</v>
      </c>
      <c r="C11" s="20" t="n">
        <f aca="false">Assumptions!$B$20</f>
        <v>0.06</v>
      </c>
      <c r="D11" s="20" t="n">
        <f aca="false">Assumptions!$B$20+(Assumptions!$F$20-Assumptions!$B$20)*1/9</f>
        <v>0.0583333333333333</v>
      </c>
      <c r="E11" s="20" t="n">
        <f aca="false">Assumptions!$B$20+(Assumptions!$F$20-Assumptions!$B$20)*2/9</f>
        <v>0.0566666666666667</v>
      </c>
      <c r="F11" s="20" t="n">
        <f aca="false">Assumptions!$B$20+(Assumptions!$F$20-Assumptions!$B$20)*3/9</f>
        <v>0.055</v>
      </c>
      <c r="G11" s="20" t="n">
        <f aca="false">Assumptions!$B$20+(Assumptions!$F$20-Assumptions!$B$20)*4/9</f>
        <v>0.0533333333333333</v>
      </c>
      <c r="H11" s="20" t="n">
        <f aca="false">Assumptions!$B$20+(Assumptions!$F$20-Assumptions!$B$20)*5/9</f>
        <v>0.0516666666666667</v>
      </c>
      <c r="I11" s="20" t="n">
        <f aca="false">Assumptions!$B$20+(Assumptions!$F$20-Assumptions!$B$20)*6/9</f>
        <v>0.05</v>
      </c>
      <c r="J11" s="20" t="n">
        <f aca="false">Assumptions!$B$20+(Assumptions!$F$20-Assumptions!$B$20)*7/9</f>
        <v>0.0483333333333333</v>
      </c>
      <c r="K11" s="20" t="n">
        <f aca="false">Assumptions!$B$20+(Assumptions!$F$20-Assumptions!$B$20)*8/9</f>
        <v>0.0466666666666667</v>
      </c>
      <c r="L11" s="20" t="n">
        <f aca="false">Assumptions!$B$20+(Assumptions!$F$20-Assumptions!$B$20)*9/9</f>
        <v>0.045</v>
      </c>
    </row>
    <row r="12" customFormat="false" ht="15" hidden="false" customHeight="false" outlineLevel="0" collapsed="false">
      <c r="A12" s="3" t="s">
        <v>149</v>
      </c>
      <c r="C12" s="20" t="n">
        <f aca="false">Assumptions!$B$21</f>
        <v>0.015</v>
      </c>
      <c r="D12" s="20" t="n">
        <f aca="false">Assumptions!$B$21+(Assumptions!$F$21-Assumptions!$B$21)*1/9</f>
        <v>0.015</v>
      </c>
      <c r="E12" s="20" t="n">
        <f aca="false">Assumptions!$B$21+(Assumptions!$F$21-Assumptions!$B$21)*2/9</f>
        <v>0.015</v>
      </c>
      <c r="F12" s="20" t="n">
        <f aca="false">Assumptions!$B$21+(Assumptions!$F$21-Assumptions!$B$21)*3/9</f>
        <v>0.015</v>
      </c>
      <c r="G12" s="20" t="n">
        <f aca="false">Assumptions!$B$21+(Assumptions!$F$21-Assumptions!$B$21)*4/9</f>
        <v>0.015</v>
      </c>
      <c r="H12" s="20" t="n">
        <f aca="false">Assumptions!$B$21+(Assumptions!$F$21-Assumptions!$B$21)*5/9</f>
        <v>0.015</v>
      </c>
      <c r="I12" s="20" t="n">
        <f aca="false">Assumptions!$B$21+(Assumptions!$F$21-Assumptions!$B$21)*6/9</f>
        <v>0.015</v>
      </c>
      <c r="J12" s="20" t="n">
        <f aca="false">Assumptions!$B$21+(Assumptions!$F$21-Assumptions!$B$21)*7/9</f>
        <v>0.015</v>
      </c>
      <c r="K12" s="20" t="n">
        <f aca="false">Assumptions!$B$21+(Assumptions!$F$21-Assumptions!$B$21)*8/9</f>
        <v>0.015</v>
      </c>
      <c r="L12" s="20" t="n">
        <f aca="false">Assumptions!$B$21+(Assumptions!$F$21-Assumptions!$B$21)*9/9</f>
        <v>0.015</v>
      </c>
    </row>
    <row r="13" customFormat="false" ht="15" hidden="false" customHeight="false" outlineLevel="0" collapsed="false">
      <c r="A13" s="3" t="s">
        <v>150</v>
      </c>
      <c r="C13" s="20" t="n">
        <f aca="false">Assumptions!$B$22</f>
        <v>0.2</v>
      </c>
      <c r="D13" s="20" t="n">
        <f aca="false">Assumptions!$B$22+(Assumptions!$F$22-Assumptions!$B$22)*1/9</f>
        <v>0.202222222222222</v>
      </c>
      <c r="E13" s="20" t="n">
        <f aca="false">Assumptions!$B$22+(Assumptions!$F$22-Assumptions!$B$22)*2/9</f>
        <v>0.204444444444444</v>
      </c>
      <c r="F13" s="20" t="n">
        <f aca="false">Assumptions!$B$22+(Assumptions!$F$22-Assumptions!$B$22)*3/9</f>
        <v>0.206666666666667</v>
      </c>
      <c r="G13" s="20" t="n">
        <f aca="false">Assumptions!$B$22+(Assumptions!$F$22-Assumptions!$B$22)*4/9</f>
        <v>0.208888888888889</v>
      </c>
      <c r="H13" s="20" t="n">
        <f aca="false">Assumptions!$B$22+(Assumptions!$F$22-Assumptions!$B$22)*5/9</f>
        <v>0.211111111111111</v>
      </c>
      <c r="I13" s="20" t="n">
        <f aca="false">Assumptions!$B$22+(Assumptions!$F$22-Assumptions!$B$22)*6/9</f>
        <v>0.213333333333333</v>
      </c>
      <c r="J13" s="20" t="n">
        <f aca="false">Assumptions!$B$22+(Assumptions!$F$22-Assumptions!$B$22)*7/9</f>
        <v>0.215555555555556</v>
      </c>
      <c r="K13" s="20" t="n">
        <f aca="false">Assumptions!$B$22+(Assumptions!$F$22-Assumptions!$B$22)*8/9</f>
        <v>0.217777777777778</v>
      </c>
      <c r="L13" s="20" t="n">
        <f aca="false">Assumptions!$B$22+(Assumptions!$F$22-Assumptions!$B$22)*9/9</f>
        <v>0.22</v>
      </c>
    </row>
    <row r="14" customFormat="false" ht="15" hidden="false" customHeight="false" outlineLevel="0" collapsed="false">
      <c r="A14" s="3" t="s">
        <v>151</v>
      </c>
      <c r="C14" s="20" t="n">
        <f aca="false">Assumptions!$B$23</f>
        <v>0.1</v>
      </c>
      <c r="D14" s="20" t="n">
        <f aca="false">Assumptions!$B$23+(Assumptions!$F$23-Assumptions!$B$23)*1/9</f>
        <v>0.1</v>
      </c>
      <c r="E14" s="20" t="n">
        <f aca="false">Assumptions!$B$23+(Assumptions!$F$23-Assumptions!$B$23)*2/9</f>
        <v>0.1</v>
      </c>
      <c r="F14" s="20" t="n">
        <f aca="false">Assumptions!$B$23+(Assumptions!$F$23-Assumptions!$B$23)*3/9</f>
        <v>0.1</v>
      </c>
      <c r="G14" s="20" t="n">
        <f aca="false">Assumptions!$B$23+(Assumptions!$F$23-Assumptions!$B$23)*4/9</f>
        <v>0.1</v>
      </c>
      <c r="H14" s="20" t="n">
        <f aca="false">Assumptions!$B$23+(Assumptions!$F$23-Assumptions!$B$23)*5/9</f>
        <v>0.1</v>
      </c>
      <c r="I14" s="20" t="n">
        <f aca="false">Assumptions!$B$23+(Assumptions!$F$23-Assumptions!$B$23)*6/9</f>
        <v>0.1</v>
      </c>
      <c r="J14" s="20" t="n">
        <f aca="false">Assumptions!$B$23+(Assumptions!$F$23-Assumptions!$B$23)*7/9</f>
        <v>0.1</v>
      </c>
      <c r="K14" s="20" t="n">
        <f aca="false">Assumptions!$B$23+(Assumptions!$F$23-Assumptions!$B$23)*8/9</f>
        <v>0.1</v>
      </c>
      <c r="L14" s="20" t="n">
        <f aca="false">Assumptions!$B$23+(Assumptions!$F$23-Assumptions!$B$23)*9/9</f>
        <v>0.1</v>
      </c>
    </row>
    <row r="15" customFormat="false" ht="15" hidden="false" customHeight="false" outlineLevel="0" collapsed="false">
      <c r="A15" s="3" t="s">
        <v>152</v>
      </c>
      <c r="C15" s="20" t="n">
        <f aca="false">Assumptions!$B$24</f>
        <v>0.21</v>
      </c>
      <c r="D15" s="20" t="n">
        <f aca="false">Assumptions!$B$24+(Assumptions!$F$24-Assumptions!$B$24)*1/9</f>
        <v>0.21</v>
      </c>
      <c r="E15" s="20" t="n">
        <f aca="false">Assumptions!$B$24+(Assumptions!$F$24-Assumptions!$B$24)*2/9</f>
        <v>0.21</v>
      </c>
      <c r="F15" s="20" t="n">
        <f aca="false">Assumptions!$B$24+(Assumptions!$F$24-Assumptions!$B$24)*3/9</f>
        <v>0.21</v>
      </c>
      <c r="G15" s="20" t="n">
        <f aca="false">Assumptions!$B$24+(Assumptions!$F$24-Assumptions!$B$24)*4/9</f>
        <v>0.21</v>
      </c>
      <c r="H15" s="20" t="n">
        <f aca="false">Assumptions!$B$24+(Assumptions!$F$24-Assumptions!$B$24)*5/9</f>
        <v>0.21</v>
      </c>
      <c r="I15" s="20" t="n">
        <f aca="false">Assumptions!$B$24+(Assumptions!$F$24-Assumptions!$B$24)*6/9</f>
        <v>0.21</v>
      </c>
      <c r="J15" s="20" t="n">
        <f aca="false">Assumptions!$B$24+(Assumptions!$F$24-Assumptions!$B$24)*7/9</f>
        <v>0.21</v>
      </c>
      <c r="K15" s="20" t="n">
        <f aca="false">Assumptions!$B$24+(Assumptions!$F$24-Assumptions!$B$24)*8/9</f>
        <v>0.21</v>
      </c>
      <c r="L15" s="20" t="n">
        <f aca="false">Assumptions!$B$24+(Assumptions!$F$24-Assumptions!$B$24)*9/9</f>
        <v>0.21</v>
      </c>
    </row>
    <row r="17" customFormat="false" ht="15" hidden="false" customHeight="false" outlineLevel="0" collapsed="false">
      <c r="A17" s="5" t="s">
        <v>153</v>
      </c>
    </row>
    <row r="18" customFormat="false" ht="15" hidden="false" customHeight="false" outlineLevel="0" collapsed="false">
      <c r="A18" s="7" t="s">
        <v>107</v>
      </c>
      <c r="B18" s="21" t="n">
        <f aca="false">Historicals!E5</f>
        <v>7000</v>
      </c>
      <c r="C18" s="22" t="n">
        <f aca="false">Historicals!H5</f>
        <v>9665</v>
      </c>
      <c r="D18" s="23" t="n">
        <f aca="false">C18*(1+D7)</f>
        <v>10631.5</v>
      </c>
      <c r="E18" s="23" t="n">
        <f aca="false">D18*(1+E7)</f>
        <v>11641.4925</v>
      </c>
      <c r="F18" s="23" t="n">
        <f aca="false">E18*(1+F7)</f>
        <v>12689.226825</v>
      </c>
      <c r="G18" s="23" t="n">
        <f aca="false">F18*(1+G7)</f>
        <v>13767.811105125</v>
      </c>
      <c r="H18" s="23" t="n">
        <f aca="false">G18*(1+H7)</f>
        <v>14869.235993535</v>
      </c>
      <c r="I18" s="23" t="n">
        <f aca="false">H18*(1+I7)</f>
        <v>15984.4286930501</v>
      </c>
      <c r="J18" s="23" t="n">
        <f aca="false">I18*(1+J7)</f>
        <v>17103.3387015636</v>
      </c>
      <c r="K18" s="23" t="n">
        <f aca="false">J18*(1+K7)</f>
        <v>18215.0557171653</v>
      </c>
      <c r="L18" s="23" t="n">
        <f aca="false">K18*(1+L7)</f>
        <v>19307.9590601952</v>
      </c>
    </row>
    <row r="19" customFormat="false" ht="15" hidden="false" customHeight="false" outlineLevel="0" collapsed="false">
      <c r="A19" s="3" t="s">
        <v>154</v>
      </c>
      <c r="C19" s="24" t="n">
        <f aca="false">-C18*(1-C8)</f>
        <v>-1933</v>
      </c>
      <c r="D19" s="24" t="n">
        <f aca="false">-D18*(1-D8)</f>
        <v>-2102.67444444444</v>
      </c>
      <c r="E19" s="24" t="n">
        <f aca="false">-E18*(1-E8)</f>
        <v>-2276.55853333333</v>
      </c>
      <c r="F19" s="24" t="n">
        <f aca="false">-F18*(1-F8)</f>
        <v>-2453.2505195</v>
      </c>
      <c r="G19" s="24" t="n">
        <f aca="false">-G18*(1-G8)</f>
        <v>-2631.18167786833</v>
      </c>
      <c r="H19" s="24" t="n">
        <f aca="false">-H18*(1-H8)</f>
        <v>-2808.6334654455</v>
      </c>
      <c r="I19" s="24" t="n">
        <f aca="false">-I18*(1-I8)</f>
        <v>-2983.76002270269</v>
      </c>
      <c r="J19" s="24" t="n">
        <f aca="false">-J18*(1-J8)</f>
        <v>-3154.61580495507</v>
      </c>
      <c r="K19" s="24" t="n">
        <f aca="false">-K18*(1-K8)</f>
        <v>-3319.18793068345</v>
      </c>
      <c r="L19" s="24" t="n">
        <f aca="false">-L18*(1-L8)</f>
        <v>-3475.43263083514</v>
      </c>
    </row>
    <row r="20" customFormat="false" ht="15" hidden="false" customHeight="false" outlineLevel="0" collapsed="false">
      <c r="A20" s="7" t="s">
        <v>155</v>
      </c>
      <c r="C20" s="23" t="n">
        <f aca="false">C18+C19</f>
        <v>7732</v>
      </c>
      <c r="D20" s="23" t="n">
        <f aca="false">D18+D19</f>
        <v>8528.82555555556</v>
      </c>
      <c r="E20" s="23" t="n">
        <f aca="false">E18+E19</f>
        <v>9364.93396666667</v>
      </c>
      <c r="F20" s="23" t="n">
        <f aca="false">F18+F19</f>
        <v>10235.9763055</v>
      </c>
      <c r="G20" s="23" t="n">
        <f aca="false">G18+G19</f>
        <v>11136.6294272567</v>
      </c>
      <c r="H20" s="23" t="n">
        <f aca="false">H18+H19</f>
        <v>12060.6025280895</v>
      </c>
      <c r="I20" s="23" t="n">
        <f aca="false">I18+I19</f>
        <v>13000.6686703474</v>
      </c>
      <c r="J20" s="23" t="n">
        <f aca="false">J18+J19</f>
        <v>13948.7228966086</v>
      </c>
      <c r="K20" s="23" t="n">
        <f aca="false">K18+K19</f>
        <v>14895.8677864818</v>
      </c>
      <c r="L20" s="23" t="n">
        <f aca="false">L18+L19</f>
        <v>15832.5264293601</v>
      </c>
    </row>
    <row r="21" customFormat="false" ht="15" hidden="false" customHeight="false" outlineLevel="0" collapsed="false">
      <c r="A21" s="3" t="s">
        <v>156</v>
      </c>
      <c r="C21" s="24" t="n">
        <f aca="false">-C18*C9</f>
        <v>-3914.325</v>
      </c>
      <c r="D21" s="24" t="n">
        <f aca="false">-D18*D9</f>
        <v>-4240.78722222222</v>
      </c>
      <c r="E21" s="24" t="n">
        <f aca="false">-E18*E9</f>
        <v>-4572.51955416667</v>
      </c>
      <c r="F21" s="24" t="n">
        <f aca="false">-F18*F9</f>
        <v>-4906.501039</v>
      </c>
      <c r="G21" s="24" t="n">
        <f aca="false">-G18*G9</f>
        <v>-5239.41700389479</v>
      </c>
      <c r="H21" s="24" t="n">
        <f aca="false">-H18*H9</f>
        <v>-5567.70281091255</v>
      </c>
      <c r="I21" s="24" t="n">
        <f aca="false">-I18*I9</f>
        <v>-5887.59790194013</v>
      </c>
      <c r="J21" s="24" t="n">
        <f aca="false">-J18*J9</f>
        <v>-6195.20935189972</v>
      </c>
      <c r="K21" s="24" t="n">
        <f aca="false">-K18*K9</f>
        <v>-6486.58373039052</v>
      </c>
      <c r="L21" s="24" t="n">
        <f aca="false">-L18*L9</f>
        <v>-6757.78567106832</v>
      </c>
    </row>
    <row r="22" customFormat="false" ht="15" hidden="false" customHeight="false" outlineLevel="0" collapsed="false">
      <c r="A22" s="7" t="s">
        <v>157</v>
      </c>
      <c r="C22" s="23" t="n">
        <f aca="false">C20+C21</f>
        <v>3817.675</v>
      </c>
      <c r="D22" s="23" t="n">
        <f aca="false">D20+D21</f>
        <v>4288.03833333333</v>
      </c>
      <c r="E22" s="23" t="n">
        <f aca="false">E20+E21</f>
        <v>4792.4144125</v>
      </c>
      <c r="F22" s="23" t="n">
        <f aca="false">F20+F21</f>
        <v>5329.4752665</v>
      </c>
      <c r="G22" s="23" t="n">
        <f aca="false">G20+G21</f>
        <v>5897.21242336188</v>
      </c>
      <c r="H22" s="23" t="n">
        <f aca="false">H20+H21</f>
        <v>6492.89971717695</v>
      </c>
      <c r="I22" s="23" t="n">
        <f aca="false">I20+I21</f>
        <v>7113.07076840731</v>
      </c>
      <c r="J22" s="23" t="n">
        <f aca="false">J20+J21</f>
        <v>7753.51354470885</v>
      </c>
      <c r="K22" s="23" t="n">
        <f aca="false">K20+K21</f>
        <v>8409.2840560913</v>
      </c>
      <c r="L22" s="23" t="n">
        <f aca="false">L20+L21</f>
        <v>9074.74075829174</v>
      </c>
    </row>
    <row r="23" customFormat="false" ht="15" hidden="false" customHeight="false" outlineLevel="0" collapsed="false">
      <c r="A23" s="3" t="s">
        <v>158</v>
      </c>
      <c r="C23" s="24" t="n">
        <f aca="false">-C18*C10</f>
        <v>-869.85</v>
      </c>
      <c r="D23" s="24" t="n">
        <f aca="false">-D18*D10</f>
        <v>-939.115833333333</v>
      </c>
      <c r="E23" s="24" t="n">
        <f aca="false">-E18*E10</f>
        <v>-1008.92935</v>
      </c>
      <c r="F23" s="24" t="n">
        <f aca="false">-F18*F10</f>
        <v>-1078.584280125</v>
      </c>
      <c r="G23" s="24" t="n">
        <f aca="false">-G18*G10</f>
        <v>-1147.31759209375</v>
      </c>
      <c r="H23" s="24" t="n">
        <f aca="false">-H18*H10</f>
        <v>-1214.32093947203</v>
      </c>
      <c r="I23" s="24" t="n">
        <f aca="false">-I18*I10</f>
        <v>-1278.75429544401</v>
      </c>
      <c r="J23" s="24" t="n">
        <f aca="false">-J18*J10</f>
        <v>-1339.76153162248</v>
      </c>
      <c r="K23" s="24" t="n">
        <f aca="false">-K18*K10</f>
        <v>-1396.48760498267</v>
      </c>
      <c r="L23" s="24" t="n">
        <f aca="false">-L18*L10</f>
        <v>-1448.09692951464</v>
      </c>
    </row>
    <row r="24" customFormat="false" ht="15" hidden="false" customHeight="false" outlineLevel="0" collapsed="false">
      <c r="A24" s="3" t="s">
        <v>159</v>
      </c>
      <c r="C24" s="24" t="n">
        <f aca="false">-C18*C11</f>
        <v>-579.9</v>
      </c>
      <c r="D24" s="24" t="n">
        <f aca="false">-D18*D11</f>
        <v>-620.170833333333</v>
      </c>
      <c r="E24" s="24" t="n">
        <f aca="false">-E18*E11</f>
        <v>-659.684575</v>
      </c>
      <c r="F24" s="24" t="n">
        <f aca="false">-F18*F11</f>
        <v>-697.907475375</v>
      </c>
      <c r="G24" s="24" t="n">
        <f aca="false">-G18*G11</f>
        <v>-734.28325894</v>
      </c>
      <c r="H24" s="24" t="n">
        <f aca="false">-H18*H11</f>
        <v>-768.243859665975</v>
      </c>
      <c r="I24" s="24" t="n">
        <f aca="false">-I18*I11</f>
        <v>-799.221434652506</v>
      </c>
      <c r="J24" s="24" t="n">
        <f aca="false">-J18*J11</f>
        <v>-826.661370575576</v>
      </c>
      <c r="K24" s="24" t="n">
        <f aca="false">-K18*K11</f>
        <v>-850.035933467713</v>
      </c>
      <c r="L24" s="24" t="n">
        <f aca="false">-L18*L11</f>
        <v>-868.858157708784</v>
      </c>
    </row>
    <row r="25" customFormat="false" ht="15" hidden="false" customHeight="false" outlineLevel="0" collapsed="false">
      <c r="A25" s="7" t="s">
        <v>160</v>
      </c>
      <c r="C25" s="23" t="n">
        <f aca="false">C22+C23+C24</f>
        <v>2367.925</v>
      </c>
      <c r="D25" s="23" t="n">
        <f aca="false">D22+D23+D24</f>
        <v>2728.75166666667</v>
      </c>
      <c r="E25" s="23" t="n">
        <f aca="false">E22+E23+E24</f>
        <v>3123.8004875</v>
      </c>
      <c r="F25" s="23" t="n">
        <f aca="false">F22+F23+F24</f>
        <v>3552.983511</v>
      </c>
      <c r="G25" s="23" t="n">
        <f aca="false">G22+G23+G24</f>
        <v>4015.61157232813</v>
      </c>
      <c r="H25" s="23" t="n">
        <f aca="false">H22+H23+H24</f>
        <v>4510.33491803895</v>
      </c>
      <c r="I25" s="23" t="n">
        <f aca="false">I22+I23+I24</f>
        <v>5035.09503831079</v>
      </c>
      <c r="J25" s="23" t="n">
        <f aca="false">J22+J23+J24</f>
        <v>5587.09064251079</v>
      </c>
      <c r="K25" s="23" t="n">
        <f aca="false">K22+K23+K24</f>
        <v>6162.76051764092</v>
      </c>
      <c r="L25" s="23" t="n">
        <f aca="false">L22+L23+L24</f>
        <v>6757.78567106831</v>
      </c>
    </row>
    <row r="26" customFormat="false" ht="15" hidden="false" customHeight="false" outlineLevel="0" collapsed="false">
      <c r="A26" s="3" t="s">
        <v>161</v>
      </c>
      <c r="C26" s="24" t="n">
        <f aca="false">B70*Assumptions!$B$34</f>
        <v>96</v>
      </c>
      <c r="D26" s="24" t="n">
        <f aca="false">C70*Assumptions!$B$34</f>
        <v>162.495969863014</v>
      </c>
      <c r="E26" s="24" t="n">
        <f aca="false">D70*Assumptions!$B$34</f>
        <v>236.450480591213</v>
      </c>
      <c r="F26" s="24" t="n">
        <f aca="false">E70*Assumptions!$B$34</f>
        <v>330.391646996961</v>
      </c>
      <c r="G26" s="24" t="n">
        <f aca="false">F70*Assumptions!$B$34</f>
        <v>445.881517832398</v>
      </c>
      <c r="H26" s="24" t="n">
        <f aca="false">G70*Assumptions!$B$34</f>
        <v>624.450603891836</v>
      </c>
      <c r="I26" s="24" t="n">
        <f aca="false">H70*Assumptions!$B$34</f>
        <v>827.195410575184</v>
      </c>
      <c r="J26" s="24" t="n">
        <f aca="false">I70*Assumptions!$B$34</f>
        <v>1055.50112406496</v>
      </c>
      <c r="K26" s="24" t="n">
        <f aca="false">J70*Assumptions!$B$34</f>
        <v>1310.64713231418</v>
      </c>
      <c r="L26" s="24" t="n">
        <f aca="false">K70*Assumptions!$B$34</f>
        <v>1593.78172129636</v>
      </c>
    </row>
    <row r="27" customFormat="false" ht="15" hidden="false" customHeight="false" outlineLevel="0" collapsed="false">
      <c r="A27" s="3" t="s">
        <v>162</v>
      </c>
      <c r="C27" s="24" t="n">
        <f aca="false">-(B50*Assumptions!$B$39+B54*Assumptions!$B$35)</f>
        <v>-598</v>
      </c>
      <c r="D27" s="24" t="n">
        <f aca="false">-(C50*Assumptions!$B$39+C54*Assumptions!$B$35)</f>
        <v>-598</v>
      </c>
      <c r="E27" s="24" t="n">
        <f aca="false">-(D50*Assumptions!$B$39+D54*Assumptions!$B$35)</f>
        <v>-546</v>
      </c>
      <c r="F27" s="24" t="n">
        <f aca="false">-(E50*Assumptions!$B$39+E54*Assumptions!$B$35)</f>
        <v>-494</v>
      </c>
      <c r="G27" s="24" t="n">
        <f aca="false">-(F50*Assumptions!$B$39+F54*Assumptions!$B$35)</f>
        <v>-442</v>
      </c>
      <c r="H27" s="24" t="n">
        <f aca="false">-(G50*Assumptions!$B$39+G54*Assumptions!$B$35)</f>
        <v>-442</v>
      </c>
      <c r="I27" s="24" t="n">
        <f aca="false">-(H50*Assumptions!$B$39+H54*Assumptions!$B$35)</f>
        <v>-442</v>
      </c>
      <c r="J27" s="24" t="n">
        <f aca="false">-(I50*Assumptions!$B$39+I54*Assumptions!$B$35)</f>
        <v>-442</v>
      </c>
      <c r="K27" s="24" t="n">
        <f aca="false">-(J50*Assumptions!$B$39+J54*Assumptions!$B$35)</f>
        <v>-442</v>
      </c>
      <c r="L27" s="24" t="n">
        <f aca="false">-(K50*Assumptions!$B$39+K54*Assumptions!$B$35)</f>
        <v>-442</v>
      </c>
    </row>
    <row r="28" customFormat="false" ht="15" hidden="false" customHeight="false" outlineLevel="0" collapsed="false">
      <c r="A28" s="3" t="s">
        <v>163</v>
      </c>
      <c r="C28" s="24" t="n">
        <f aca="false">C25+C26+C27</f>
        <v>1865.925</v>
      </c>
      <c r="D28" s="24" t="n">
        <f aca="false">D25+D26+D27</f>
        <v>2293.24763652968</v>
      </c>
      <c r="E28" s="24" t="n">
        <f aca="false">E25+E26+E27</f>
        <v>2814.25096809121</v>
      </c>
      <c r="F28" s="24" t="n">
        <f aca="false">F25+F26+F27</f>
        <v>3389.37515799696</v>
      </c>
      <c r="G28" s="24" t="n">
        <f aca="false">G25+G26+G27</f>
        <v>4019.49309016052</v>
      </c>
      <c r="H28" s="24" t="n">
        <f aca="false">H25+H26+H27</f>
        <v>4692.78552193079</v>
      </c>
      <c r="I28" s="24" t="n">
        <f aca="false">I25+I26+I27</f>
        <v>5420.29044888598</v>
      </c>
      <c r="J28" s="24" t="n">
        <f aca="false">J25+J26+J27</f>
        <v>6200.59176657575</v>
      </c>
      <c r="K28" s="24" t="n">
        <f aca="false">K25+K26+K27</f>
        <v>7031.4076499551</v>
      </c>
      <c r="L28" s="24" t="n">
        <f aca="false">L25+L26+L27</f>
        <v>7909.56739236468</v>
      </c>
    </row>
    <row r="29" customFormat="false" ht="15" hidden="false" customHeight="false" outlineLevel="0" collapsed="false">
      <c r="A29" s="3" t="s">
        <v>164</v>
      </c>
      <c r="C29" s="24" t="n">
        <f aca="false">-MAX(0,C28)*C13</f>
        <v>-373.185</v>
      </c>
      <c r="D29" s="24" t="n">
        <f aca="false">-MAX(0,D28)*D13</f>
        <v>-463.745633164891</v>
      </c>
      <c r="E29" s="24" t="n">
        <f aca="false">-MAX(0,E28)*E13</f>
        <v>-575.357975698648</v>
      </c>
      <c r="F29" s="24" t="n">
        <f aca="false">-MAX(0,F28)*F13</f>
        <v>-700.470865986039</v>
      </c>
      <c r="G29" s="24" t="n">
        <f aca="false">-MAX(0,G28)*G13</f>
        <v>-839.627445500198</v>
      </c>
      <c r="H29" s="24" t="n">
        <f aca="false">-MAX(0,H28)*H13</f>
        <v>-990.699165740944</v>
      </c>
      <c r="I29" s="24" t="n">
        <f aca="false">-MAX(0,I28)*I13</f>
        <v>-1156.32862909567</v>
      </c>
      <c r="J29" s="24" t="n">
        <f aca="false">-MAX(0,J28)*J13</f>
        <v>-1336.57200301744</v>
      </c>
      <c r="K29" s="24" t="n">
        <f aca="false">-MAX(0,K28)*K13</f>
        <v>-1531.28433265689</v>
      </c>
      <c r="L29" s="24" t="n">
        <f aca="false">-MAX(0,L28)*L13</f>
        <v>-1740.10482632023</v>
      </c>
    </row>
    <row r="30" customFormat="false" ht="15" hidden="false" customHeight="false" outlineLevel="0" collapsed="false">
      <c r="A30" s="7" t="s">
        <v>165</v>
      </c>
      <c r="C30" s="23" t="n">
        <f aca="false">C28+C29</f>
        <v>1492.74</v>
      </c>
      <c r="D30" s="23" t="n">
        <f aca="false">D28+D29</f>
        <v>1829.50200336479</v>
      </c>
      <c r="E30" s="23" t="n">
        <f aca="false">E28+E29</f>
        <v>2238.89299239256</v>
      </c>
      <c r="F30" s="23" t="n">
        <f aca="false">F28+F29</f>
        <v>2688.90429201092</v>
      </c>
      <c r="G30" s="23" t="n">
        <f aca="false">G28+G29</f>
        <v>3179.86564466033</v>
      </c>
      <c r="H30" s="23" t="n">
        <f aca="false">H28+H29</f>
        <v>3702.08635618984</v>
      </c>
      <c r="I30" s="23" t="n">
        <f aca="false">I28+I29</f>
        <v>4263.9618197903</v>
      </c>
      <c r="J30" s="23" t="n">
        <f aca="false">J28+J29</f>
        <v>4864.01976355831</v>
      </c>
      <c r="K30" s="23" t="n">
        <f aca="false">K28+K29</f>
        <v>5500.12331729821</v>
      </c>
      <c r="L30" s="23" t="n">
        <f aca="false">L28+L29</f>
        <v>6169.46256604445</v>
      </c>
    </row>
    <row r="31" customFormat="false" ht="15" hidden="false" customHeight="false" outlineLevel="0" collapsed="false">
      <c r="A31" s="25" t="s">
        <v>166</v>
      </c>
      <c r="C31" s="26" t="n">
        <f aca="false">C30/Assumptions!$B$37</f>
        <v>7.79091858037578</v>
      </c>
      <c r="D31" s="26" t="n">
        <f aca="false">D30/Assumptions!$B$37</f>
        <v>9.54854907810433</v>
      </c>
      <c r="E31" s="26" t="n">
        <f aca="false">E30/Assumptions!$B$37</f>
        <v>11.6852452630092</v>
      </c>
      <c r="F31" s="26" t="n">
        <f aca="false">F30/Assumptions!$B$37</f>
        <v>14.0339472443159</v>
      </c>
      <c r="G31" s="26" t="n">
        <f aca="false">G30/Assumptions!$B$37</f>
        <v>16.5963760159725</v>
      </c>
      <c r="H31" s="26" t="n">
        <f aca="false">H30/Assumptions!$B$37</f>
        <v>19.3219538423269</v>
      </c>
      <c r="I31" s="26" t="n">
        <f aca="false">I30/Assumptions!$B$37</f>
        <v>22.254498015607</v>
      </c>
      <c r="J31" s="26" t="n">
        <f aca="false">J30/Assumptions!$B$37</f>
        <v>25.3863244444588</v>
      </c>
      <c r="K31" s="26" t="n">
        <f aca="false">K30/Assumptions!$B$37</f>
        <v>28.7062803616817</v>
      </c>
      <c r="L31" s="26" t="n">
        <f aca="false">L30/Assumptions!$B$37</f>
        <v>32.1997002403155</v>
      </c>
    </row>
    <row r="32" customFormat="false" ht="15" hidden="false" customHeight="false" outlineLevel="0" collapsed="false">
      <c r="A32" s="25" t="s">
        <v>167</v>
      </c>
      <c r="C32" s="27" t="n">
        <f aca="false">C22/C18</f>
        <v>0.395</v>
      </c>
      <c r="D32" s="27" t="n">
        <f aca="false">D22/D18</f>
        <v>0.403333333333333</v>
      </c>
      <c r="E32" s="27" t="n">
        <f aca="false">E22/E18</f>
        <v>0.411666666666667</v>
      </c>
      <c r="F32" s="27" t="n">
        <f aca="false">F22/F18</f>
        <v>0.42</v>
      </c>
      <c r="G32" s="27" t="n">
        <f aca="false">G22/G18</f>
        <v>0.428333333333333</v>
      </c>
      <c r="H32" s="27" t="n">
        <f aca="false">H22/H18</f>
        <v>0.436666666666667</v>
      </c>
      <c r="I32" s="27" t="n">
        <f aca="false">I22/I18</f>
        <v>0.445</v>
      </c>
      <c r="J32" s="27" t="n">
        <f aca="false">J22/J18</f>
        <v>0.453333333333333</v>
      </c>
      <c r="K32" s="27" t="n">
        <f aca="false">K22/K18</f>
        <v>0.461666666666667</v>
      </c>
      <c r="L32" s="27" t="n">
        <f aca="false">L22/L18</f>
        <v>0.47</v>
      </c>
    </row>
    <row r="34" customFormat="false" ht="15" hidden="false" customHeight="false" outlineLevel="0" collapsed="false">
      <c r="A34" s="5" t="s">
        <v>168</v>
      </c>
    </row>
    <row r="35" customFormat="false" ht="15" hidden="false" customHeight="false" outlineLevel="0" collapsed="false">
      <c r="A35" s="3" t="s">
        <v>169</v>
      </c>
      <c r="B35" s="18" t="n">
        <v>1900</v>
      </c>
      <c r="C35" s="24" t="n">
        <f aca="false">C18*Assumptions!$B$27/365</f>
        <v>1853.56164383562</v>
      </c>
      <c r="D35" s="24" t="n">
        <f aca="false">D18*Assumptions!$B$27/365</f>
        <v>2038.91780821918</v>
      </c>
      <c r="E35" s="24" t="n">
        <f aca="false">E18*Assumptions!$B$27/365</f>
        <v>2232.615</v>
      </c>
      <c r="F35" s="24" t="n">
        <f aca="false">F18*Assumptions!$B$27/365</f>
        <v>2433.55035</v>
      </c>
      <c r="G35" s="24" t="n">
        <f aca="false">G18*Assumptions!$B$27/365</f>
        <v>2640.40212975</v>
      </c>
      <c r="H35" s="24" t="n">
        <f aca="false">H18*Assumptions!$B$27/365</f>
        <v>2851.63430013</v>
      </c>
      <c r="I35" s="24" t="n">
        <f aca="false">I18*Assumptions!$B$27/365</f>
        <v>3065.50687263975</v>
      </c>
      <c r="J35" s="24" t="n">
        <f aca="false">J18*Assumptions!$B$27/365</f>
        <v>3280.09235372453</v>
      </c>
      <c r="K35" s="24" t="n">
        <f aca="false">K18*Assumptions!$B$27/365</f>
        <v>3493.29835671663</v>
      </c>
      <c r="L35" s="24" t="n">
        <f aca="false">L18*Assumptions!$B$27/365</f>
        <v>3702.89625811963</v>
      </c>
    </row>
    <row r="36" customFormat="false" ht="15" hidden="false" customHeight="false" outlineLevel="0" collapsed="false">
      <c r="A36" s="3" t="s">
        <v>170</v>
      </c>
      <c r="B36" s="18" t="n">
        <v>400</v>
      </c>
      <c r="C36" s="24" t="n">
        <f aca="false">-C19*Assumptions!$B$28/365</f>
        <v>635.506849315068</v>
      </c>
      <c r="D36" s="24" t="n">
        <f aca="false">-D19*Assumptions!$B$28/365</f>
        <v>691.290228310502</v>
      </c>
      <c r="E36" s="24" t="n">
        <f aca="false">-E19*Assumptions!$B$28/365</f>
        <v>748.4576</v>
      </c>
      <c r="F36" s="24" t="n">
        <f aca="false">-F19*Assumptions!$B$28/365</f>
        <v>806.548116</v>
      </c>
      <c r="G36" s="24" t="n">
        <f aca="false">-G19*Assumptions!$B$28/365</f>
        <v>865.04603108</v>
      </c>
      <c r="H36" s="24" t="n">
        <f aca="false">-H19*Assumptions!$B$28/365</f>
        <v>923.386344804</v>
      </c>
      <c r="I36" s="24" t="n">
        <f aca="false">-I19*Assumptions!$B$28/365</f>
        <v>980.96219924472</v>
      </c>
      <c r="J36" s="24" t="n">
        <f aca="false">-J19*Assumptions!$B$28/365</f>
        <v>1037.1339632729</v>
      </c>
      <c r="K36" s="24" t="n">
        <f aca="false">-K19*Assumptions!$B$28/365</f>
        <v>1091.23986762196</v>
      </c>
      <c r="L36" s="24" t="n">
        <f aca="false">-L19*Assumptions!$B$28/365</f>
        <v>1142.60798821977</v>
      </c>
    </row>
    <row r="37" customFormat="false" ht="15" hidden="false" customHeight="false" outlineLevel="0" collapsed="false">
      <c r="A37" s="3" t="s">
        <v>171</v>
      </c>
      <c r="B37" s="18" t="n">
        <v>950</v>
      </c>
      <c r="C37" s="24" t="n">
        <f aca="false">C18*C14</f>
        <v>966.5</v>
      </c>
      <c r="D37" s="24" t="n">
        <f aca="false">D18*D14</f>
        <v>1063.15</v>
      </c>
      <c r="E37" s="24" t="n">
        <f aca="false">E18*E14</f>
        <v>1164.14925</v>
      </c>
      <c r="F37" s="24" t="n">
        <f aca="false">F18*F14</f>
        <v>1268.9226825</v>
      </c>
      <c r="G37" s="24" t="n">
        <f aca="false">G18*G14</f>
        <v>1376.7811105125</v>
      </c>
      <c r="H37" s="24" t="n">
        <f aca="false">H18*H14</f>
        <v>1486.9235993535</v>
      </c>
      <c r="I37" s="24" t="n">
        <f aca="false">I18*I14</f>
        <v>1598.44286930501</v>
      </c>
      <c r="J37" s="24" t="n">
        <f aca="false">J18*J14</f>
        <v>1710.33387015636</v>
      </c>
      <c r="K37" s="24" t="n">
        <f aca="false">K18*K14</f>
        <v>1821.50557171653</v>
      </c>
      <c r="L37" s="24" t="n">
        <f aca="false">L18*L14</f>
        <v>1930.79590601952</v>
      </c>
    </row>
    <row r="38" customFormat="false" ht="15" hidden="false" customHeight="false" outlineLevel="0" collapsed="false">
      <c r="A38" s="3" t="s">
        <v>172</v>
      </c>
      <c r="B38" s="18" t="n">
        <v>-1300</v>
      </c>
      <c r="C38" s="24" t="n">
        <f aca="false">(C19+C21)*Assumptions!$B$29/365</f>
        <v>-640.802739726027</v>
      </c>
      <c r="D38" s="24" t="n">
        <f aca="false">(D19+D21)*Assumptions!$B$29/365</f>
        <v>-695.173881278539</v>
      </c>
      <c r="E38" s="24" t="n">
        <f aca="false">(E19+E21)*Assumptions!$B$29/365</f>
        <v>-750.5839</v>
      </c>
      <c r="F38" s="24" t="n">
        <f aca="false">(F19+F21)*Assumptions!$B$29/365</f>
        <v>-806.548116</v>
      </c>
      <c r="G38" s="24" t="n">
        <f aca="false">(G19+G21)*Assumptions!$B$29/365</f>
        <v>-862.531362385</v>
      </c>
      <c r="H38" s="24" t="n">
        <f aca="false">(H19+H21)*Assumptions!$B$29/365</f>
        <v>-917.9546604228</v>
      </c>
      <c r="I38" s="24" t="n">
        <f aca="false">(I19+I21)*Assumptions!$B$29/365</f>
        <v>-972.203608180035</v>
      </c>
      <c r="J38" s="24" t="n">
        <f aca="false">(J19+J21)*Assumptions!$B$29/365</f>
        <v>-1024.63837335395</v>
      </c>
      <c r="K38" s="24" t="n">
        <f aca="false">(K19+K21)*Assumptions!$B$29/365</f>
        <v>-1074.60511354235</v>
      </c>
      <c r="L38" s="24" t="n">
        <f aca="false">(L19+L21)*Assumptions!$B$29/365</f>
        <v>-1121.44858103052</v>
      </c>
    </row>
    <row r="39" customFormat="false" ht="15" hidden="false" customHeight="false" outlineLevel="0" collapsed="false">
      <c r="A39" s="3" t="s">
        <v>173</v>
      </c>
      <c r="B39" s="18" t="n">
        <v>-2000</v>
      </c>
      <c r="C39" s="24" t="n">
        <f aca="false">-C18*C15</f>
        <v>-2029.65</v>
      </c>
      <c r="D39" s="24" t="n">
        <f aca="false">-D18*D15</f>
        <v>-2232.615</v>
      </c>
      <c r="E39" s="24" t="n">
        <f aca="false">-E18*E15</f>
        <v>-2444.713425</v>
      </c>
      <c r="F39" s="24" t="n">
        <f aca="false">-F18*F15</f>
        <v>-2664.73763325</v>
      </c>
      <c r="G39" s="24" t="n">
        <f aca="false">-G18*G15</f>
        <v>-2891.24033207625</v>
      </c>
      <c r="H39" s="24" t="n">
        <f aca="false">-H18*H15</f>
        <v>-3122.53955864235</v>
      </c>
      <c r="I39" s="24" t="n">
        <f aca="false">-I18*I15</f>
        <v>-3356.73002554053</v>
      </c>
      <c r="J39" s="24" t="n">
        <f aca="false">-J18*J15</f>
        <v>-3591.70112732836</v>
      </c>
      <c r="K39" s="24" t="n">
        <f aca="false">-K18*K15</f>
        <v>-3825.16170060471</v>
      </c>
      <c r="L39" s="24" t="n">
        <f aca="false">-L18*L15</f>
        <v>-4054.67140264099</v>
      </c>
    </row>
    <row r="40" customFormat="false" ht="15" hidden="false" customHeight="false" outlineLevel="0" collapsed="false">
      <c r="A40" s="7" t="s">
        <v>174</v>
      </c>
      <c r="B40" s="23" t="n">
        <f aca="false">SUM(B35:B39)</f>
        <v>-50</v>
      </c>
      <c r="C40" s="23" t="n">
        <f aca="false">SUM(C35:C39)</f>
        <v>785.115753424657</v>
      </c>
      <c r="D40" s="23" t="n">
        <f aca="false">SUM(D35:D39)</f>
        <v>865.569155251142</v>
      </c>
      <c r="E40" s="23" t="n">
        <f aca="false">SUM(E35:E39)</f>
        <v>949.924525</v>
      </c>
      <c r="F40" s="23" t="n">
        <f aca="false">SUM(F35:F39)</f>
        <v>1037.73539925</v>
      </c>
      <c r="G40" s="23" t="n">
        <f aca="false">SUM(G35:G39)</f>
        <v>1128.45757688125</v>
      </c>
      <c r="H40" s="23" t="n">
        <f aca="false">SUM(H35:H39)</f>
        <v>1221.45002522235</v>
      </c>
      <c r="I40" s="23" t="n">
        <f aca="false">SUM(I35:I39)</f>
        <v>1315.97830746892</v>
      </c>
      <c r="J40" s="23" t="n">
        <f aca="false">SUM(J35:J39)</f>
        <v>1411.22068647149</v>
      </c>
      <c r="K40" s="23" t="n">
        <f aca="false">SUM(K35:K39)</f>
        <v>1506.27698190805</v>
      </c>
      <c r="L40" s="23" t="n">
        <f aca="false">SUM(L35:L39)</f>
        <v>1600.18016868741</v>
      </c>
    </row>
    <row r="41" customFormat="false" ht="15" hidden="false" customHeight="false" outlineLevel="0" collapsed="false">
      <c r="A41" s="3" t="s">
        <v>175</v>
      </c>
      <c r="C41" s="24" t="n">
        <f aca="false">-(C40-B40)</f>
        <v>-835.115753424657</v>
      </c>
      <c r="D41" s="24" t="n">
        <f aca="false">-(D40-C40)</f>
        <v>-80.4534018264842</v>
      </c>
      <c r="E41" s="24" t="n">
        <f aca="false">-(E40-D40)</f>
        <v>-84.3553697488583</v>
      </c>
      <c r="F41" s="24" t="n">
        <f aca="false">-(F40-E40)</f>
        <v>-87.8108742500008</v>
      </c>
      <c r="G41" s="24" t="n">
        <f aca="false">-(G40-F40)</f>
        <v>-90.7221776312499</v>
      </c>
      <c r="H41" s="24" t="n">
        <f aca="false">-(H40-G40)</f>
        <v>-92.9924483410996</v>
      </c>
      <c r="I41" s="24" t="n">
        <f aca="false">-(I40-H40)</f>
        <v>-94.5282822465715</v>
      </c>
      <c r="J41" s="24" t="n">
        <f aca="false">-(J40-I40)</f>
        <v>-95.2423790025637</v>
      </c>
      <c r="K41" s="24" t="n">
        <f aca="false">-(K40-J40)</f>
        <v>-95.0562954365651</v>
      </c>
      <c r="L41" s="24" t="n">
        <f aca="false">-(L40-K40)</f>
        <v>-93.9031867793597</v>
      </c>
    </row>
    <row r="43" customFormat="false" ht="15" hidden="false" customHeight="false" outlineLevel="0" collapsed="false">
      <c r="A43" s="5" t="s">
        <v>176</v>
      </c>
    </row>
    <row r="44" customFormat="false" ht="15" hidden="false" customHeight="false" outlineLevel="0" collapsed="false">
      <c r="A44" s="3" t="s">
        <v>177</v>
      </c>
      <c r="C44" s="24" t="n">
        <f aca="false">C18*C12</f>
        <v>144.975</v>
      </c>
      <c r="D44" s="24" t="n">
        <f aca="false">D18*D12</f>
        <v>159.4725</v>
      </c>
      <c r="E44" s="24" t="n">
        <f aca="false">E18*E12</f>
        <v>174.6223875</v>
      </c>
      <c r="F44" s="24" t="n">
        <f aca="false">F18*F12</f>
        <v>190.338402375</v>
      </c>
      <c r="G44" s="24" t="n">
        <f aca="false">G18*G12</f>
        <v>206.517166576875</v>
      </c>
      <c r="H44" s="24" t="n">
        <f aca="false">H18*H12</f>
        <v>223.038539903025</v>
      </c>
      <c r="I44" s="24" t="n">
        <f aca="false">I18*I12</f>
        <v>239.766430395752</v>
      </c>
      <c r="J44" s="24" t="n">
        <f aca="false">J18*J12</f>
        <v>256.550080523455</v>
      </c>
      <c r="K44" s="24" t="n">
        <f aca="false">K18*K12</f>
        <v>273.225835757479</v>
      </c>
      <c r="L44" s="24" t="n">
        <f aca="false">L18*L12</f>
        <v>289.619385902928</v>
      </c>
    </row>
    <row r="45" customFormat="false" ht="15" hidden="false" customHeight="false" outlineLevel="0" collapsed="false">
      <c r="A45" s="3" t="s">
        <v>178</v>
      </c>
      <c r="B45" s="18" t="n">
        <v>600</v>
      </c>
      <c r="C45" s="24" t="n">
        <f aca="false">B45+C44+C24*0.4</f>
        <v>513.015</v>
      </c>
      <c r="D45" s="24" t="n">
        <f aca="false">C45+D44+D24*0.4</f>
        <v>424.419166666667</v>
      </c>
      <c r="E45" s="24" t="n">
        <f aca="false">D45+E44+E24*0.4</f>
        <v>335.167724166667</v>
      </c>
      <c r="F45" s="24" t="n">
        <f aca="false">E45+F44+F24*0.4</f>
        <v>246.343136391667</v>
      </c>
      <c r="G45" s="24" t="n">
        <f aca="false">F45+G44+G24*0.4</f>
        <v>159.146999392542</v>
      </c>
      <c r="H45" s="24" t="n">
        <f aca="false">G45+H44+H24*0.4</f>
        <v>74.8879954291766</v>
      </c>
      <c r="I45" s="24" t="n">
        <f aca="false">H45+I44+I24*0.4</f>
        <v>-5.0341480360741</v>
      </c>
      <c r="J45" s="24" t="n">
        <f aca="false">I45+J44+J24*0.4</f>
        <v>-79.1486157428499</v>
      </c>
      <c r="K45" s="24" t="n">
        <f aca="false">J45+K44+K24*0.4</f>
        <v>-145.937153372456</v>
      </c>
      <c r="L45" s="24" t="n">
        <f aca="false">K45+L44+L24*0.4</f>
        <v>-203.861030553041</v>
      </c>
      <c r="M45" s="13" t="s">
        <v>179</v>
      </c>
    </row>
    <row r="47" customFormat="false" ht="15" hidden="false" customHeight="false" outlineLevel="0" collapsed="false">
      <c r="A47" s="5" t="s">
        <v>180</v>
      </c>
    </row>
    <row r="48" customFormat="false" ht="15" hidden="false" customHeight="false" outlineLevel="0" collapsed="false">
      <c r="A48" s="3" t="s">
        <v>181</v>
      </c>
      <c r="C48" s="24" t="n">
        <f aca="false">B50</f>
        <v>11500</v>
      </c>
      <c r="D48" s="24" t="n">
        <f aca="false">C50</f>
        <v>11500</v>
      </c>
      <c r="E48" s="24" t="n">
        <f aca="false">D50</f>
        <v>10500</v>
      </c>
      <c r="F48" s="24" t="n">
        <f aca="false">E50</f>
        <v>9500</v>
      </c>
      <c r="G48" s="24" t="n">
        <f aca="false">F50</f>
        <v>8500</v>
      </c>
      <c r="H48" s="24" t="n">
        <f aca="false">G50</f>
        <v>8500</v>
      </c>
      <c r="I48" s="24" t="n">
        <f aca="false">H50</f>
        <v>8500</v>
      </c>
      <c r="J48" s="24" t="n">
        <f aca="false">I50</f>
        <v>8500</v>
      </c>
      <c r="K48" s="24" t="n">
        <f aca="false">J50</f>
        <v>8500</v>
      </c>
      <c r="L48" s="24" t="n">
        <f aca="false">K50</f>
        <v>8500</v>
      </c>
    </row>
    <row r="49" customFormat="false" ht="15" hidden="false" customHeight="false" outlineLevel="0" collapsed="false">
      <c r="A49" s="3" t="s">
        <v>182</v>
      </c>
      <c r="C49" s="21" t="n">
        <f aca="false">Assumptions!$B$42</f>
        <v>0</v>
      </c>
      <c r="D49" s="15" t="n">
        <v>-1000</v>
      </c>
      <c r="E49" s="15" t="n">
        <v>-1000</v>
      </c>
      <c r="F49" s="15" t="n">
        <v>-1000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</row>
    <row r="50" customFormat="false" ht="15" hidden="false" customHeight="false" outlineLevel="0" collapsed="false">
      <c r="A50" s="3" t="s">
        <v>183</v>
      </c>
      <c r="B50" s="18" t="n">
        <v>11500</v>
      </c>
      <c r="C50" s="24" t="n">
        <f aca="false">C48+C49</f>
        <v>11500</v>
      </c>
      <c r="D50" s="24" t="n">
        <f aca="false">D48+D49</f>
        <v>10500</v>
      </c>
      <c r="E50" s="24" t="n">
        <f aca="false">E48+E49</f>
        <v>9500</v>
      </c>
      <c r="F50" s="24" t="n">
        <f aca="false">F48+F49</f>
        <v>8500</v>
      </c>
      <c r="G50" s="24" t="n">
        <f aca="false">G48+G49</f>
        <v>8500</v>
      </c>
      <c r="H50" s="24" t="n">
        <f aca="false">H48+H49</f>
        <v>8500</v>
      </c>
      <c r="I50" s="24" t="n">
        <f aca="false">I48+I49</f>
        <v>8500</v>
      </c>
      <c r="J50" s="24" t="n">
        <f aca="false">J48+J49</f>
        <v>8500</v>
      </c>
      <c r="K50" s="24" t="n">
        <f aca="false">K48+K49</f>
        <v>8500</v>
      </c>
      <c r="L50" s="24" t="n">
        <f aca="false">L48+L49</f>
        <v>8500</v>
      </c>
    </row>
    <row r="51" customFormat="false" ht="15" hidden="false" customHeight="false" outlineLevel="0" collapsed="false">
      <c r="A51" s="3" t="s">
        <v>184</v>
      </c>
      <c r="C51" s="24" t="n">
        <f aca="false">B54</f>
        <v>0</v>
      </c>
      <c r="D51" s="24" t="n">
        <f aca="false">C54</f>
        <v>0</v>
      </c>
      <c r="E51" s="24" t="n">
        <f aca="false">D54</f>
        <v>0</v>
      </c>
      <c r="F51" s="24" t="n">
        <f aca="false">E54</f>
        <v>0</v>
      </c>
      <c r="G51" s="24" t="n">
        <f aca="false">F54</f>
        <v>0</v>
      </c>
      <c r="H51" s="24" t="n">
        <f aca="false">G54</f>
        <v>0</v>
      </c>
      <c r="I51" s="24" t="n">
        <f aca="false">H54</f>
        <v>0</v>
      </c>
      <c r="J51" s="24" t="n">
        <f aca="false">I54</f>
        <v>0</v>
      </c>
      <c r="K51" s="24" t="n">
        <f aca="false">J54</f>
        <v>0</v>
      </c>
      <c r="L51" s="24" t="n">
        <f aca="false">K54</f>
        <v>0</v>
      </c>
    </row>
    <row r="52" customFormat="false" ht="15" hidden="false" customHeight="false" outlineLevel="0" collapsed="false">
      <c r="A52" s="3" t="s">
        <v>185</v>
      </c>
      <c r="C52" s="24" t="n">
        <f aca="false">MAX(0,Assumptions!$B$36-(B70+C30-C23-C24+C41-C44+C65+C66+C49))</f>
        <v>0</v>
      </c>
      <c r="D52" s="24" t="n">
        <f aca="false">MAX(0,Assumptions!$B$36-(C70+D30-D23-D24+D41-D44+D65+D66+D49))</f>
        <v>0</v>
      </c>
      <c r="E52" s="24" t="n">
        <f aca="false">MAX(0,Assumptions!$B$36-(D70+E30-E23-E24+E41-E44+E65+E66+E49))</f>
        <v>0</v>
      </c>
      <c r="F52" s="24" t="n">
        <f aca="false">MAX(0,Assumptions!$B$36-(E70+F30-F23-F24+F41-F44+F65+F66+F49))</f>
        <v>0</v>
      </c>
      <c r="G52" s="24" t="n">
        <f aca="false">MAX(0,Assumptions!$B$36-(F70+G30-G23-G24+G41-G44+G65+G66+G49))</f>
        <v>0</v>
      </c>
      <c r="H52" s="24" t="n">
        <f aca="false">MAX(0,Assumptions!$B$36-(G70+H30-H23-H24+H41-H44+H65+H66+H49))</f>
        <v>0</v>
      </c>
      <c r="I52" s="24" t="n">
        <f aca="false">MAX(0,Assumptions!$B$36-(H70+I30-I23-I24+I41-I44+I65+I66+I49))</f>
        <v>0</v>
      </c>
      <c r="J52" s="24" t="n">
        <f aca="false">MAX(0,Assumptions!$B$36-(I70+J30-J23-J24+J41-J44+J65+J66+J49))</f>
        <v>0</v>
      </c>
      <c r="K52" s="24" t="n">
        <f aca="false">MAX(0,Assumptions!$B$36-(J70+K30-K23-K24+K41-K44+K65+K66+K49))</f>
        <v>0</v>
      </c>
      <c r="L52" s="24" t="n">
        <f aca="false">MAX(0,Assumptions!$B$36-(K70+L30-L23-L24+L41-L44+L65+L66+L49))</f>
        <v>0</v>
      </c>
    </row>
    <row r="53" customFormat="false" ht="15" hidden="false" customHeight="false" outlineLevel="0" collapsed="false">
      <c r="A53" s="3" t="s">
        <v>186</v>
      </c>
      <c r="C53" s="24" t="n">
        <f aca="false">-MIN(C51,MAX(0,(B70+C30-C23-C24+C41-C44+C65+C66+C49)-Assumptions!$B$36))</f>
        <v>-0</v>
      </c>
      <c r="D53" s="24" t="n">
        <f aca="false">-MIN(D51,MAX(0,(C70+D30-D23-D24+D41-D44+D65+D66+D49)-Assumptions!$B$36))</f>
        <v>-0</v>
      </c>
      <c r="E53" s="24" t="n">
        <f aca="false">-MIN(E51,MAX(0,(D70+E30-E23-E24+E41-E44+E65+E66+E49)-Assumptions!$B$36))</f>
        <v>-0</v>
      </c>
      <c r="F53" s="24" t="n">
        <f aca="false">-MIN(F51,MAX(0,(E70+F30-F23-F24+F41-F44+F65+F66+F49)-Assumptions!$B$36))</f>
        <v>-0</v>
      </c>
      <c r="G53" s="24" t="n">
        <f aca="false">-MIN(G51,MAX(0,(F70+G30-G23-G24+G41-G44+G65+G66+G49)-Assumptions!$B$36))</f>
        <v>-0</v>
      </c>
      <c r="H53" s="24" t="n">
        <f aca="false">-MIN(H51,MAX(0,(G70+H30-H23-H24+H41-H44+H65+H66+H49)-Assumptions!$B$36))</f>
        <v>-0</v>
      </c>
      <c r="I53" s="24" t="n">
        <f aca="false">-MIN(I51,MAX(0,(H70+I30-I23-I24+I41-I44+I65+I66+I49)-Assumptions!$B$36))</f>
        <v>-0</v>
      </c>
      <c r="J53" s="24" t="n">
        <f aca="false">-MIN(J51,MAX(0,(I70+J30-J23-J24+J41-J44+J65+J66+J49)-Assumptions!$B$36))</f>
        <v>-0</v>
      </c>
      <c r="K53" s="24" t="n">
        <f aca="false">-MIN(K51,MAX(0,(J70+K30-K23-K24+K41-K44+K65+K66+K49)-Assumptions!$B$36))</f>
        <v>-0</v>
      </c>
      <c r="L53" s="24" t="n">
        <f aca="false">-MIN(L51,MAX(0,(K70+L30-L23-L24+L41-L44+L65+L66+L49)-Assumptions!$B$36))</f>
        <v>-0</v>
      </c>
    </row>
    <row r="54" customFormat="false" ht="15" hidden="false" customHeight="false" outlineLevel="0" collapsed="false">
      <c r="A54" s="3" t="s">
        <v>187</v>
      </c>
      <c r="B54" s="24" t="n">
        <v>0</v>
      </c>
      <c r="C54" s="24" t="n">
        <f aca="false">C51+C52+C53</f>
        <v>0</v>
      </c>
      <c r="D54" s="24" t="n">
        <f aca="false">D51+D52+D53</f>
        <v>0</v>
      </c>
      <c r="E54" s="24" t="n">
        <f aca="false">E51+E52+E53</f>
        <v>0</v>
      </c>
      <c r="F54" s="24" t="n">
        <f aca="false">F51+F52+F53</f>
        <v>0</v>
      </c>
      <c r="G54" s="24" t="n">
        <f aca="false">G51+G52+G53</f>
        <v>0</v>
      </c>
      <c r="H54" s="24" t="n">
        <f aca="false">H51+H52+H53</f>
        <v>0</v>
      </c>
      <c r="I54" s="24" t="n">
        <f aca="false">I51+I52+I53</f>
        <v>0</v>
      </c>
      <c r="J54" s="24" t="n">
        <f aca="false">J51+J52+J53</f>
        <v>0</v>
      </c>
      <c r="K54" s="24" t="n">
        <f aca="false">K51+K52+K53</f>
        <v>0</v>
      </c>
      <c r="L54" s="24" t="n">
        <f aca="false">L51+L52+L53</f>
        <v>0</v>
      </c>
    </row>
    <row r="55" customFormat="false" ht="15" hidden="false" customHeight="false" outlineLevel="0" collapsed="false">
      <c r="A55" s="7" t="s">
        <v>188</v>
      </c>
      <c r="B55" s="24" t="n">
        <f aca="false">B50+B54</f>
        <v>11500</v>
      </c>
      <c r="C55" s="23" t="n">
        <f aca="false">C50+C54</f>
        <v>11500</v>
      </c>
      <c r="D55" s="23" t="n">
        <f aca="false">D50+D54</f>
        <v>10500</v>
      </c>
      <c r="E55" s="23" t="n">
        <f aca="false">E50+E54</f>
        <v>9500</v>
      </c>
      <c r="F55" s="23" t="n">
        <f aca="false">F50+F54</f>
        <v>8500</v>
      </c>
      <c r="G55" s="23" t="n">
        <f aca="false">G50+G54</f>
        <v>8500</v>
      </c>
      <c r="H55" s="23" t="n">
        <f aca="false">H50+H54</f>
        <v>8500</v>
      </c>
      <c r="I55" s="23" t="n">
        <f aca="false">I50+I54</f>
        <v>8500</v>
      </c>
      <c r="J55" s="23" t="n">
        <f aca="false">J50+J54</f>
        <v>8500</v>
      </c>
      <c r="K55" s="23" t="n">
        <f aca="false">K50+K54</f>
        <v>8500</v>
      </c>
      <c r="L55" s="23" t="n">
        <f aca="false">L50+L54</f>
        <v>8500</v>
      </c>
    </row>
    <row r="57" customFormat="false" ht="15" hidden="false" customHeight="false" outlineLevel="0" collapsed="false">
      <c r="A57" s="5" t="s">
        <v>189</v>
      </c>
    </row>
    <row r="58" customFormat="false" ht="15" hidden="false" customHeight="false" outlineLevel="0" collapsed="false">
      <c r="A58" s="3" t="s">
        <v>190</v>
      </c>
      <c r="C58" s="24" t="n">
        <f aca="false">C30</f>
        <v>1492.74</v>
      </c>
      <c r="D58" s="24" t="n">
        <f aca="false">D30</f>
        <v>1829.50200336479</v>
      </c>
      <c r="E58" s="24" t="n">
        <f aca="false">E30</f>
        <v>2238.89299239256</v>
      </c>
      <c r="F58" s="24" t="n">
        <f aca="false">F30</f>
        <v>2688.90429201092</v>
      </c>
      <c r="G58" s="24" t="n">
        <f aca="false">G30</f>
        <v>3179.86564466033</v>
      </c>
      <c r="H58" s="24" t="n">
        <f aca="false">H30</f>
        <v>3702.08635618984</v>
      </c>
      <c r="I58" s="24" t="n">
        <f aca="false">I30</f>
        <v>4263.9618197903</v>
      </c>
      <c r="J58" s="24" t="n">
        <f aca="false">J30</f>
        <v>4864.01976355831</v>
      </c>
      <c r="K58" s="24" t="n">
        <f aca="false">K30</f>
        <v>5500.12331729821</v>
      </c>
      <c r="L58" s="24" t="n">
        <f aca="false">L30</f>
        <v>6169.46256604445</v>
      </c>
    </row>
    <row r="59" customFormat="false" ht="15" hidden="false" customHeight="false" outlineLevel="0" collapsed="false">
      <c r="A59" s="3" t="s">
        <v>191</v>
      </c>
      <c r="C59" s="24" t="n">
        <f aca="false">-C24</f>
        <v>579.9</v>
      </c>
      <c r="D59" s="24" t="n">
        <f aca="false">-D24</f>
        <v>620.170833333333</v>
      </c>
      <c r="E59" s="24" t="n">
        <f aca="false">-E24</f>
        <v>659.684575</v>
      </c>
      <c r="F59" s="24" t="n">
        <f aca="false">-F24</f>
        <v>697.907475375</v>
      </c>
      <c r="G59" s="24" t="n">
        <f aca="false">-G24</f>
        <v>734.28325894</v>
      </c>
      <c r="H59" s="24" t="n">
        <f aca="false">-H24</f>
        <v>768.243859665975</v>
      </c>
      <c r="I59" s="24" t="n">
        <f aca="false">-I24</f>
        <v>799.221434652506</v>
      </c>
      <c r="J59" s="24" t="n">
        <f aca="false">-J24</f>
        <v>826.661370575576</v>
      </c>
      <c r="K59" s="24" t="n">
        <f aca="false">-K24</f>
        <v>850.035933467713</v>
      </c>
      <c r="L59" s="24" t="n">
        <f aca="false">-L24</f>
        <v>868.858157708784</v>
      </c>
    </row>
    <row r="60" customFormat="false" ht="15" hidden="false" customHeight="false" outlineLevel="0" collapsed="false">
      <c r="A60" s="3" t="s">
        <v>192</v>
      </c>
      <c r="C60" s="24" t="n">
        <f aca="false">-C23</f>
        <v>869.85</v>
      </c>
      <c r="D60" s="24" t="n">
        <f aca="false">-D23</f>
        <v>939.115833333333</v>
      </c>
      <c r="E60" s="24" t="n">
        <f aca="false">-E23</f>
        <v>1008.92935</v>
      </c>
      <c r="F60" s="24" t="n">
        <f aca="false">-F23</f>
        <v>1078.584280125</v>
      </c>
      <c r="G60" s="24" t="n">
        <f aca="false">-G23</f>
        <v>1147.31759209375</v>
      </c>
      <c r="H60" s="24" t="n">
        <f aca="false">-H23</f>
        <v>1214.32093947203</v>
      </c>
      <c r="I60" s="24" t="n">
        <f aca="false">-I23</f>
        <v>1278.75429544401</v>
      </c>
      <c r="J60" s="24" t="n">
        <f aca="false">-J23</f>
        <v>1339.76153162248</v>
      </c>
      <c r="K60" s="24" t="n">
        <f aca="false">-K23</f>
        <v>1396.48760498267</v>
      </c>
      <c r="L60" s="24" t="n">
        <f aca="false">-L23</f>
        <v>1448.09692951464</v>
      </c>
    </row>
    <row r="61" customFormat="false" ht="15" hidden="false" customHeight="false" outlineLevel="0" collapsed="false">
      <c r="A61" s="3" t="s">
        <v>193</v>
      </c>
      <c r="C61" s="24" t="n">
        <f aca="false">C41</f>
        <v>-835.115753424657</v>
      </c>
      <c r="D61" s="24" t="n">
        <f aca="false">D41</f>
        <v>-80.4534018264842</v>
      </c>
      <c r="E61" s="24" t="n">
        <f aca="false">E41</f>
        <v>-84.3553697488583</v>
      </c>
      <c r="F61" s="24" t="n">
        <f aca="false">F41</f>
        <v>-87.8108742500008</v>
      </c>
      <c r="G61" s="24" t="n">
        <f aca="false">G41</f>
        <v>-90.7221776312499</v>
      </c>
      <c r="H61" s="24" t="n">
        <f aca="false">H41</f>
        <v>-92.9924483410996</v>
      </c>
      <c r="I61" s="24" t="n">
        <f aca="false">I41</f>
        <v>-94.5282822465715</v>
      </c>
      <c r="J61" s="24" t="n">
        <f aca="false">J41</f>
        <v>-95.2423790025637</v>
      </c>
      <c r="K61" s="24" t="n">
        <f aca="false">K41</f>
        <v>-95.0562954365651</v>
      </c>
      <c r="L61" s="24" t="n">
        <f aca="false">L41</f>
        <v>-93.9031867793597</v>
      </c>
    </row>
    <row r="62" customFormat="false" ht="15" hidden="false" customHeight="false" outlineLevel="0" collapsed="false">
      <c r="A62" s="7" t="s">
        <v>194</v>
      </c>
      <c r="C62" s="23" t="n">
        <f aca="false">SUM(C58:C61)</f>
        <v>2107.37424657534</v>
      </c>
      <c r="D62" s="23" t="n">
        <f aca="false">SUM(D58:D61)</f>
        <v>3308.33526820497</v>
      </c>
      <c r="E62" s="23" t="n">
        <f aca="false">SUM(E58:E61)</f>
        <v>3823.15154764371</v>
      </c>
      <c r="F62" s="23" t="n">
        <f aca="false">SUM(F58:F61)</f>
        <v>4377.58517326092</v>
      </c>
      <c r="G62" s="23" t="n">
        <f aca="false">SUM(G58:G61)</f>
        <v>4970.74431806283</v>
      </c>
      <c r="H62" s="23" t="n">
        <f aca="false">SUM(H58:H61)</f>
        <v>5591.65870698674</v>
      </c>
      <c r="I62" s="23" t="n">
        <f aca="false">SUM(I58:I61)</f>
        <v>6247.40926764025</v>
      </c>
      <c r="J62" s="23" t="n">
        <f aca="false">SUM(J58:J61)</f>
        <v>6935.20028675381</v>
      </c>
      <c r="K62" s="23" t="n">
        <f aca="false">SUM(K58:K61)</f>
        <v>7651.59056031203</v>
      </c>
      <c r="L62" s="23" t="n">
        <f aca="false">SUM(L58:L61)</f>
        <v>8392.51446648851</v>
      </c>
    </row>
    <row r="63" customFormat="false" ht="15" hidden="false" customHeight="false" outlineLevel="0" collapsed="false">
      <c r="A63" s="3" t="s">
        <v>195</v>
      </c>
      <c r="C63" s="24" t="n">
        <f aca="false">-C44</f>
        <v>-144.975</v>
      </c>
      <c r="D63" s="24" t="n">
        <f aca="false">-D44</f>
        <v>-159.4725</v>
      </c>
      <c r="E63" s="24" t="n">
        <f aca="false">-E44</f>
        <v>-174.6223875</v>
      </c>
      <c r="F63" s="24" t="n">
        <f aca="false">-F44</f>
        <v>-190.338402375</v>
      </c>
      <c r="G63" s="24" t="n">
        <f aca="false">-G44</f>
        <v>-206.517166576875</v>
      </c>
      <c r="H63" s="24" t="n">
        <f aca="false">-H44</f>
        <v>-223.038539903025</v>
      </c>
      <c r="I63" s="24" t="n">
        <f aca="false">-I44</f>
        <v>-239.766430395752</v>
      </c>
      <c r="J63" s="24" t="n">
        <f aca="false">-J44</f>
        <v>-256.550080523455</v>
      </c>
      <c r="K63" s="24" t="n">
        <f aca="false">-K44</f>
        <v>-273.225835757479</v>
      </c>
      <c r="L63" s="24" t="n">
        <f aca="false">-L44</f>
        <v>-289.619385902928</v>
      </c>
    </row>
    <row r="64" customFormat="false" ht="15" hidden="false" customHeight="false" outlineLevel="0" collapsed="false">
      <c r="A64" s="7" t="s">
        <v>196</v>
      </c>
      <c r="C64" s="23" t="n">
        <f aca="false">C62+C63</f>
        <v>1962.39924657534</v>
      </c>
      <c r="D64" s="23" t="n">
        <f aca="false">D62+D63</f>
        <v>3148.86276820497</v>
      </c>
      <c r="E64" s="23" t="n">
        <f aca="false">E62+E63</f>
        <v>3648.52916014371</v>
      </c>
      <c r="F64" s="23" t="n">
        <f aca="false">F62+F63</f>
        <v>4187.24677088592</v>
      </c>
      <c r="G64" s="23" t="n">
        <f aca="false">G62+G63</f>
        <v>4764.22715148595</v>
      </c>
      <c r="H64" s="23" t="n">
        <f aca="false">H62+H63</f>
        <v>5368.62016708372</v>
      </c>
      <c r="I64" s="23" t="n">
        <f aca="false">I62+I63</f>
        <v>6007.64283724449</v>
      </c>
      <c r="J64" s="23" t="n">
        <f aca="false">J62+J63</f>
        <v>6678.65020623035</v>
      </c>
      <c r="K64" s="23" t="n">
        <f aca="false">K62+K63</f>
        <v>7378.36472455455</v>
      </c>
      <c r="L64" s="23" t="n">
        <f aca="false">L62+L63</f>
        <v>8102.89508058558</v>
      </c>
    </row>
    <row r="65" customFormat="false" ht="15" hidden="false" customHeight="false" outlineLevel="0" collapsed="false">
      <c r="A65" s="3" t="s">
        <v>197</v>
      </c>
      <c r="C65" s="21" t="n">
        <f aca="false">-Assumptions!$B$41</f>
        <v>-0</v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</row>
    <row r="66" customFormat="false" ht="15" hidden="false" customHeight="false" outlineLevel="0" collapsed="false">
      <c r="A66" s="3" t="s">
        <v>198</v>
      </c>
      <c r="C66" s="21" t="n">
        <f aca="false">-Assumptions!$B$40</f>
        <v>-300</v>
      </c>
      <c r="D66" s="21" t="n">
        <f aca="false">-Assumptions!$B$40</f>
        <v>-300</v>
      </c>
      <c r="E66" s="21" t="n">
        <f aca="false">-Assumptions!$B$40</f>
        <v>-300</v>
      </c>
      <c r="F66" s="21" t="n">
        <f aca="false">-Assumptions!$B$40</f>
        <v>-300</v>
      </c>
      <c r="G66" s="21" t="n">
        <f aca="false">-Assumptions!$B$40</f>
        <v>-300</v>
      </c>
      <c r="H66" s="21" t="n">
        <f aca="false">-Assumptions!$B$40</f>
        <v>-300</v>
      </c>
      <c r="I66" s="21" t="n">
        <f aca="false">-Assumptions!$B$40</f>
        <v>-300</v>
      </c>
      <c r="J66" s="21" t="n">
        <f aca="false">-Assumptions!$B$40</f>
        <v>-300</v>
      </c>
      <c r="K66" s="21" t="n">
        <f aca="false">-Assumptions!$B$40</f>
        <v>-300</v>
      </c>
      <c r="L66" s="21" t="n">
        <f aca="false">-Assumptions!$B$40</f>
        <v>-300</v>
      </c>
    </row>
    <row r="67" customFormat="false" ht="15" hidden="false" customHeight="false" outlineLevel="0" collapsed="false">
      <c r="A67" s="3" t="s">
        <v>199</v>
      </c>
      <c r="C67" s="24" t="n">
        <f aca="false">C49+C52+C53</f>
        <v>0</v>
      </c>
      <c r="D67" s="24" t="n">
        <f aca="false">D49+D52+D53</f>
        <v>-1000</v>
      </c>
      <c r="E67" s="24" t="n">
        <f aca="false">E49+E52+E53</f>
        <v>-1000</v>
      </c>
      <c r="F67" s="24" t="n">
        <f aca="false">F49+F52+F53</f>
        <v>-1000</v>
      </c>
      <c r="G67" s="24" t="n">
        <f aca="false">G49+G52+G53</f>
        <v>0</v>
      </c>
      <c r="H67" s="24" t="n">
        <f aca="false">H49+H52+H53</f>
        <v>0</v>
      </c>
      <c r="I67" s="24" t="n">
        <f aca="false">I49+I52+I53</f>
        <v>0</v>
      </c>
      <c r="J67" s="24" t="n">
        <f aca="false">J49+J52+J53</f>
        <v>0</v>
      </c>
      <c r="K67" s="24" t="n">
        <f aca="false">K49+K52+K53</f>
        <v>0</v>
      </c>
      <c r="L67" s="24" t="n">
        <f aca="false">L49+L52+L53</f>
        <v>0</v>
      </c>
    </row>
    <row r="68" customFormat="false" ht="15" hidden="false" customHeight="false" outlineLevel="0" collapsed="false">
      <c r="A68" s="7" t="s">
        <v>200</v>
      </c>
      <c r="C68" s="23" t="n">
        <f aca="false">C64+C65+C66+C67</f>
        <v>1662.39924657534</v>
      </c>
      <c r="D68" s="23" t="n">
        <f aca="false">D64+D65+D66+D67</f>
        <v>1848.86276820497</v>
      </c>
      <c r="E68" s="23" t="n">
        <f aca="false">E64+E65+E66+E67</f>
        <v>2348.52916014371</v>
      </c>
      <c r="F68" s="23" t="n">
        <f aca="false">F64+F65+F66+F67</f>
        <v>2887.24677088592</v>
      </c>
      <c r="G68" s="23" t="n">
        <f aca="false">G64+G65+G66+G67</f>
        <v>4464.22715148595</v>
      </c>
      <c r="H68" s="23" t="n">
        <f aca="false">H64+H65+H66+H67</f>
        <v>5068.62016708372</v>
      </c>
      <c r="I68" s="23" t="n">
        <f aca="false">I64+I65+I66+I67</f>
        <v>5707.64283724449</v>
      </c>
      <c r="J68" s="23" t="n">
        <f aca="false">J64+J65+J66+J67</f>
        <v>6378.65020623035</v>
      </c>
      <c r="K68" s="23" t="n">
        <f aca="false">K64+K65+K66+K67</f>
        <v>7078.36472455455</v>
      </c>
      <c r="L68" s="23" t="n">
        <f aca="false">L64+L65+L66+L67</f>
        <v>7802.89508058558</v>
      </c>
    </row>
    <row r="69" customFormat="false" ht="15" hidden="false" customHeight="false" outlineLevel="0" collapsed="false">
      <c r="A69" s="3" t="s">
        <v>201</v>
      </c>
      <c r="C69" s="24" t="n">
        <f aca="false">B70</f>
        <v>2400</v>
      </c>
      <c r="D69" s="24" t="n">
        <f aca="false">C70</f>
        <v>4062.39924657534</v>
      </c>
      <c r="E69" s="24" t="n">
        <f aca="false">D70</f>
        <v>5911.26201478031</v>
      </c>
      <c r="F69" s="24" t="n">
        <f aca="false">E70</f>
        <v>8259.79117492402</v>
      </c>
      <c r="G69" s="24" t="n">
        <f aca="false">F70</f>
        <v>11147.0379458099</v>
      </c>
      <c r="H69" s="24" t="n">
        <f aca="false">G70</f>
        <v>15611.2650972959</v>
      </c>
      <c r="I69" s="24" t="n">
        <f aca="false">H70</f>
        <v>20679.8852643796</v>
      </c>
      <c r="J69" s="24" t="n">
        <f aca="false">I70</f>
        <v>26387.5281016241</v>
      </c>
      <c r="K69" s="24" t="n">
        <f aca="false">J70</f>
        <v>32766.1783078545</v>
      </c>
      <c r="L69" s="24" t="n">
        <f aca="false">K70</f>
        <v>39844.543032409</v>
      </c>
    </row>
    <row r="70" customFormat="false" ht="15" hidden="false" customHeight="false" outlineLevel="0" collapsed="false">
      <c r="A70" s="7" t="s">
        <v>202</v>
      </c>
      <c r="B70" s="18" t="n">
        <v>2400</v>
      </c>
      <c r="C70" s="23" t="n">
        <f aca="false">C69+C68</f>
        <v>4062.39924657534</v>
      </c>
      <c r="D70" s="23" t="n">
        <f aca="false">D69+D68</f>
        <v>5911.26201478031</v>
      </c>
      <c r="E70" s="23" t="n">
        <f aca="false">E69+E68</f>
        <v>8259.79117492402</v>
      </c>
      <c r="F70" s="23" t="n">
        <f aca="false">F69+F68</f>
        <v>11147.0379458099</v>
      </c>
      <c r="G70" s="23" t="n">
        <f aca="false">G69+G68</f>
        <v>15611.2650972959</v>
      </c>
      <c r="H70" s="23" t="n">
        <f aca="false">H69+H68</f>
        <v>20679.8852643796</v>
      </c>
      <c r="I70" s="23" t="n">
        <f aca="false">I69+I68</f>
        <v>26387.5281016241</v>
      </c>
      <c r="J70" s="23" t="n">
        <f aca="false">J69+J68</f>
        <v>32766.1783078545</v>
      </c>
      <c r="K70" s="23" t="n">
        <f aca="false">K69+K68</f>
        <v>39844.543032409</v>
      </c>
      <c r="L70" s="23" t="n">
        <f aca="false">L69+L68</f>
        <v>47647.4381129946</v>
      </c>
    </row>
    <row r="72" customFormat="false" ht="15" hidden="false" customHeight="false" outlineLevel="0" collapsed="false">
      <c r="A72" s="5" t="s">
        <v>203</v>
      </c>
    </row>
    <row r="73" customFormat="false" ht="15" hidden="false" customHeight="false" outlineLevel="0" collapsed="false">
      <c r="A73" s="3" t="s">
        <v>204</v>
      </c>
      <c r="B73" s="24" t="n">
        <f aca="false">B70</f>
        <v>2400</v>
      </c>
      <c r="C73" s="24" t="n">
        <f aca="false">C70</f>
        <v>4062.39924657534</v>
      </c>
      <c r="D73" s="24" t="n">
        <f aca="false">D70</f>
        <v>5911.26201478031</v>
      </c>
      <c r="E73" s="24" t="n">
        <f aca="false">E70</f>
        <v>8259.79117492402</v>
      </c>
      <c r="F73" s="24" t="n">
        <f aca="false">F70</f>
        <v>11147.0379458099</v>
      </c>
      <c r="G73" s="24" t="n">
        <f aca="false">G70</f>
        <v>15611.2650972959</v>
      </c>
      <c r="H73" s="24" t="n">
        <f aca="false">H70</f>
        <v>20679.8852643796</v>
      </c>
      <c r="I73" s="24" t="n">
        <f aca="false">I70</f>
        <v>26387.5281016241</v>
      </c>
      <c r="J73" s="24" t="n">
        <f aca="false">J70</f>
        <v>32766.1783078545</v>
      </c>
      <c r="K73" s="24" t="n">
        <f aca="false">K70</f>
        <v>39844.543032409</v>
      </c>
      <c r="L73" s="24" t="n">
        <f aca="false">L70</f>
        <v>47647.4381129946</v>
      </c>
    </row>
    <row r="74" customFormat="false" ht="15" hidden="false" customHeight="false" outlineLevel="0" collapsed="false">
      <c r="A74" s="3" t="s">
        <v>169</v>
      </c>
      <c r="B74" s="24" t="n">
        <f aca="false">B35</f>
        <v>1900</v>
      </c>
      <c r="C74" s="24" t="n">
        <f aca="false">C35</f>
        <v>1853.56164383562</v>
      </c>
      <c r="D74" s="24" t="n">
        <f aca="false">D35</f>
        <v>2038.91780821918</v>
      </c>
      <c r="E74" s="24" t="n">
        <f aca="false">E35</f>
        <v>2232.615</v>
      </c>
      <c r="F74" s="24" t="n">
        <f aca="false">F35</f>
        <v>2433.55035</v>
      </c>
      <c r="G74" s="24" t="n">
        <f aca="false">G35</f>
        <v>2640.40212975</v>
      </c>
      <c r="H74" s="24" t="n">
        <f aca="false">H35</f>
        <v>2851.63430013</v>
      </c>
      <c r="I74" s="24" t="n">
        <f aca="false">I35</f>
        <v>3065.50687263975</v>
      </c>
      <c r="J74" s="24" t="n">
        <f aca="false">J35</f>
        <v>3280.09235372453</v>
      </c>
      <c r="K74" s="24" t="n">
        <f aca="false">K35</f>
        <v>3493.29835671663</v>
      </c>
      <c r="L74" s="24" t="n">
        <f aca="false">L35</f>
        <v>3702.89625811963</v>
      </c>
    </row>
    <row r="75" customFormat="false" ht="15" hidden="false" customHeight="false" outlineLevel="0" collapsed="false">
      <c r="A75" s="3" t="s">
        <v>205</v>
      </c>
      <c r="B75" s="24" t="n">
        <f aca="false">B36</f>
        <v>400</v>
      </c>
      <c r="C75" s="24" t="n">
        <f aca="false">C36</f>
        <v>635.506849315068</v>
      </c>
      <c r="D75" s="24" t="n">
        <f aca="false">D36</f>
        <v>691.290228310502</v>
      </c>
      <c r="E75" s="24" t="n">
        <f aca="false">E36</f>
        <v>748.4576</v>
      </c>
      <c r="F75" s="24" t="n">
        <f aca="false">F36</f>
        <v>806.548116</v>
      </c>
      <c r="G75" s="24" t="n">
        <f aca="false">G36</f>
        <v>865.04603108</v>
      </c>
      <c r="H75" s="24" t="n">
        <f aca="false">H36</f>
        <v>923.386344804</v>
      </c>
      <c r="I75" s="24" t="n">
        <f aca="false">I36</f>
        <v>980.96219924472</v>
      </c>
      <c r="J75" s="24" t="n">
        <f aca="false">J36</f>
        <v>1037.1339632729</v>
      </c>
      <c r="K75" s="24" t="n">
        <f aca="false">K36</f>
        <v>1091.23986762196</v>
      </c>
      <c r="L75" s="24" t="n">
        <f aca="false">L36</f>
        <v>1142.60798821977</v>
      </c>
    </row>
    <row r="76" customFormat="false" ht="15" hidden="false" customHeight="false" outlineLevel="0" collapsed="false">
      <c r="A76" s="3" t="s">
        <v>171</v>
      </c>
      <c r="B76" s="24" t="n">
        <f aca="false">B37</f>
        <v>950</v>
      </c>
      <c r="C76" s="24" t="n">
        <f aca="false">C37</f>
        <v>966.5</v>
      </c>
      <c r="D76" s="24" t="n">
        <f aca="false">D37</f>
        <v>1063.15</v>
      </c>
      <c r="E76" s="24" t="n">
        <f aca="false">E37</f>
        <v>1164.14925</v>
      </c>
      <c r="F76" s="24" t="n">
        <f aca="false">F37</f>
        <v>1268.9226825</v>
      </c>
      <c r="G76" s="24" t="n">
        <f aca="false">G37</f>
        <v>1376.7811105125</v>
      </c>
      <c r="H76" s="24" t="n">
        <f aca="false">H37</f>
        <v>1486.9235993535</v>
      </c>
      <c r="I76" s="24" t="n">
        <f aca="false">I37</f>
        <v>1598.44286930501</v>
      </c>
      <c r="J76" s="24" t="n">
        <f aca="false">J37</f>
        <v>1710.33387015636</v>
      </c>
      <c r="K76" s="24" t="n">
        <f aca="false">K37</f>
        <v>1821.50557171653</v>
      </c>
      <c r="L76" s="24" t="n">
        <f aca="false">L37</f>
        <v>1930.79590601952</v>
      </c>
    </row>
    <row r="77" customFormat="false" ht="15" hidden="false" customHeight="false" outlineLevel="0" collapsed="false">
      <c r="A77" s="3" t="s">
        <v>178</v>
      </c>
      <c r="B77" s="24" t="n">
        <f aca="false">B45</f>
        <v>600</v>
      </c>
      <c r="C77" s="24" t="n">
        <f aca="false">C45</f>
        <v>513.015</v>
      </c>
      <c r="D77" s="24" t="n">
        <f aca="false">D45</f>
        <v>424.419166666667</v>
      </c>
      <c r="E77" s="24" t="n">
        <f aca="false">E45</f>
        <v>335.167724166667</v>
      </c>
      <c r="F77" s="24" t="n">
        <f aca="false">F45</f>
        <v>246.343136391667</v>
      </c>
      <c r="G77" s="24" t="n">
        <f aca="false">G45</f>
        <v>159.146999392542</v>
      </c>
      <c r="H77" s="24" t="n">
        <f aca="false">H45</f>
        <v>74.8879954291766</v>
      </c>
      <c r="I77" s="24" t="n">
        <f aca="false">I45</f>
        <v>-5.0341480360741</v>
      </c>
      <c r="J77" s="24" t="n">
        <f aca="false">J45</f>
        <v>-79.1486157428499</v>
      </c>
      <c r="K77" s="24" t="n">
        <f aca="false">K45</f>
        <v>-145.937153372456</v>
      </c>
      <c r="L77" s="24" t="n">
        <f aca="false">L45</f>
        <v>-203.861030553041</v>
      </c>
    </row>
    <row r="78" customFormat="false" ht="15" hidden="false" customHeight="false" outlineLevel="0" collapsed="false">
      <c r="A78" s="3" t="s">
        <v>206</v>
      </c>
      <c r="B78" s="18" t="n">
        <v>38000</v>
      </c>
      <c r="C78" s="24" t="n">
        <f aca="false">B78-C65+C24*0.6</f>
        <v>37652.06</v>
      </c>
      <c r="D78" s="24" t="n">
        <f aca="false">C78-D65+D24*0.6</f>
        <v>37279.9575</v>
      </c>
      <c r="E78" s="24" t="n">
        <f aca="false">D78-E65+E24*0.6</f>
        <v>36884.146755</v>
      </c>
      <c r="F78" s="24" t="n">
        <f aca="false">E78-F65+F24*0.6</f>
        <v>36465.402269775</v>
      </c>
      <c r="G78" s="24" t="n">
        <f aca="false">F78-G65+G24*0.6</f>
        <v>36024.832314411</v>
      </c>
      <c r="H78" s="24" t="n">
        <f aca="false">G78-H65+H24*0.6</f>
        <v>35563.8859986114</v>
      </c>
      <c r="I78" s="24" t="n">
        <f aca="false">H78-I65+I24*0.6</f>
        <v>35084.3531378199</v>
      </c>
      <c r="J78" s="24" t="n">
        <f aca="false">I78-J65+J24*0.6</f>
        <v>34588.3563154746</v>
      </c>
      <c r="K78" s="24" t="n">
        <f aca="false">J78-K65+K24*0.6</f>
        <v>34078.3347553939</v>
      </c>
      <c r="L78" s="24" t="n">
        <f aca="false">K78-L65+L24*0.6</f>
        <v>33557.0198607687</v>
      </c>
    </row>
    <row r="79" customFormat="false" ht="15" hidden="false" customHeight="false" outlineLevel="0" collapsed="false">
      <c r="A79" s="7" t="s">
        <v>207</v>
      </c>
      <c r="B79" s="23" t="n">
        <f aca="false">SUM(B73:B78)</f>
        <v>44250</v>
      </c>
      <c r="C79" s="23" t="n">
        <f aca="false">SUM(C73:C78)</f>
        <v>45683.042739726</v>
      </c>
      <c r="D79" s="23" t="n">
        <f aca="false">SUM(D73:D78)</f>
        <v>47408.9967179767</v>
      </c>
      <c r="E79" s="23" t="n">
        <f aca="false">SUM(E73:E78)</f>
        <v>49624.3275040907</v>
      </c>
      <c r="F79" s="23" t="n">
        <f aca="false">SUM(F73:F78)</f>
        <v>52367.8045004766</v>
      </c>
      <c r="G79" s="23" t="n">
        <f aca="false">SUM(G73:G78)</f>
        <v>56677.4736824419</v>
      </c>
      <c r="H79" s="23" t="n">
        <f aca="false">SUM(H73:H78)</f>
        <v>61580.6035027077</v>
      </c>
      <c r="I79" s="23" t="n">
        <f aca="false">SUM(I73:I78)</f>
        <v>67111.7590325974</v>
      </c>
      <c r="J79" s="23" t="n">
        <f aca="false">SUM(J73:J78)</f>
        <v>73302.94619474</v>
      </c>
      <c r="K79" s="23" t="n">
        <f aca="false">SUM(K73:K78)</f>
        <v>80182.9844304856</v>
      </c>
      <c r="L79" s="23" t="n">
        <f aca="false">SUM(L73:L78)</f>
        <v>87776.8970955691</v>
      </c>
    </row>
    <row r="80" customFormat="false" ht="15" hidden="false" customHeight="false" outlineLevel="0" collapsed="false">
      <c r="A80" s="3" t="s">
        <v>172</v>
      </c>
      <c r="B80" s="24" t="n">
        <f aca="false">-B38</f>
        <v>1300</v>
      </c>
      <c r="C80" s="24" t="n">
        <f aca="false">-C38</f>
        <v>640.802739726027</v>
      </c>
      <c r="D80" s="24" t="n">
        <f aca="false">-D38</f>
        <v>695.173881278539</v>
      </c>
      <c r="E80" s="24" t="n">
        <f aca="false">-E38</f>
        <v>750.5839</v>
      </c>
      <c r="F80" s="24" t="n">
        <f aca="false">-F38</f>
        <v>806.548116</v>
      </c>
      <c r="G80" s="24" t="n">
        <f aca="false">-G38</f>
        <v>862.531362385</v>
      </c>
      <c r="H80" s="24" t="n">
        <f aca="false">-H38</f>
        <v>917.9546604228</v>
      </c>
      <c r="I80" s="24" t="n">
        <f aca="false">-I38</f>
        <v>972.203608180035</v>
      </c>
      <c r="J80" s="24" t="n">
        <f aca="false">-J38</f>
        <v>1024.63837335395</v>
      </c>
      <c r="K80" s="24" t="n">
        <f aca="false">-K38</f>
        <v>1074.60511354235</v>
      </c>
      <c r="L80" s="24" t="n">
        <f aca="false">-L38</f>
        <v>1121.44858103052</v>
      </c>
    </row>
    <row r="81" customFormat="false" ht="15" hidden="false" customHeight="false" outlineLevel="0" collapsed="false">
      <c r="A81" s="3" t="s">
        <v>173</v>
      </c>
      <c r="B81" s="24" t="n">
        <f aca="false">-B39</f>
        <v>2000</v>
      </c>
      <c r="C81" s="24" t="n">
        <f aca="false">-C39</f>
        <v>2029.65</v>
      </c>
      <c r="D81" s="24" t="n">
        <f aca="false">-D39</f>
        <v>2232.615</v>
      </c>
      <c r="E81" s="24" t="n">
        <f aca="false">-E39</f>
        <v>2444.713425</v>
      </c>
      <c r="F81" s="24" t="n">
        <f aca="false">-F39</f>
        <v>2664.73763325</v>
      </c>
      <c r="G81" s="24" t="n">
        <f aca="false">-G39</f>
        <v>2891.24033207625</v>
      </c>
      <c r="H81" s="24" t="n">
        <f aca="false">-H39</f>
        <v>3122.53955864235</v>
      </c>
      <c r="I81" s="24" t="n">
        <f aca="false">-I39</f>
        <v>3356.73002554053</v>
      </c>
      <c r="J81" s="24" t="n">
        <f aca="false">-J39</f>
        <v>3591.70112732836</v>
      </c>
      <c r="K81" s="24" t="n">
        <f aca="false">-K39</f>
        <v>3825.16170060471</v>
      </c>
      <c r="L81" s="24" t="n">
        <f aca="false">-L39</f>
        <v>4054.67140264099</v>
      </c>
    </row>
    <row r="82" customFormat="false" ht="15" hidden="false" customHeight="false" outlineLevel="0" collapsed="false">
      <c r="A82" s="3" t="s">
        <v>208</v>
      </c>
      <c r="B82" s="24" t="n">
        <f aca="false">B55</f>
        <v>11500</v>
      </c>
      <c r="C82" s="24" t="n">
        <f aca="false">C55</f>
        <v>11500</v>
      </c>
      <c r="D82" s="24" t="n">
        <f aca="false">D55</f>
        <v>10500</v>
      </c>
      <c r="E82" s="24" t="n">
        <f aca="false">E55</f>
        <v>9500</v>
      </c>
      <c r="F82" s="24" t="n">
        <f aca="false">F55</f>
        <v>8500</v>
      </c>
      <c r="G82" s="24" t="n">
        <f aca="false">G55</f>
        <v>8500</v>
      </c>
      <c r="H82" s="24" t="n">
        <f aca="false">H55</f>
        <v>8500</v>
      </c>
      <c r="I82" s="24" t="n">
        <f aca="false">I55</f>
        <v>8500</v>
      </c>
      <c r="J82" s="24" t="n">
        <f aca="false">J55</f>
        <v>8500</v>
      </c>
      <c r="K82" s="24" t="n">
        <f aca="false">K55</f>
        <v>8500</v>
      </c>
      <c r="L82" s="24" t="n">
        <f aca="false">L55</f>
        <v>8500</v>
      </c>
    </row>
    <row r="83" customFormat="false" ht="15" hidden="false" customHeight="false" outlineLevel="0" collapsed="false">
      <c r="A83" s="3" t="s">
        <v>209</v>
      </c>
      <c r="B83" s="18" t="n">
        <v>3500</v>
      </c>
      <c r="C83" s="24" t="n">
        <f aca="false">B83</f>
        <v>3500</v>
      </c>
      <c r="D83" s="24" t="n">
        <f aca="false">B83</f>
        <v>3500</v>
      </c>
      <c r="E83" s="24" t="n">
        <f aca="false">B83</f>
        <v>3500</v>
      </c>
      <c r="F83" s="24" t="n">
        <f aca="false">B83</f>
        <v>3500</v>
      </c>
      <c r="G83" s="24" t="n">
        <f aca="false">B83</f>
        <v>3500</v>
      </c>
      <c r="H83" s="24" t="n">
        <f aca="false">B83</f>
        <v>3500</v>
      </c>
      <c r="I83" s="24" t="n">
        <f aca="false">B83</f>
        <v>3500</v>
      </c>
      <c r="J83" s="24" t="n">
        <f aca="false">B83</f>
        <v>3500</v>
      </c>
      <c r="K83" s="24" t="n">
        <f aca="false">B83</f>
        <v>3500</v>
      </c>
      <c r="L83" s="24" t="n">
        <f aca="false">B83</f>
        <v>3500</v>
      </c>
    </row>
    <row r="84" customFormat="false" ht="15" hidden="false" customHeight="false" outlineLevel="0" collapsed="false">
      <c r="A84" s="7" t="s">
        <v>210</v>
      </c>
      <c r="B84" s="23" t="n">
        <f aca="false">SUM(B80:B83)</f>
        <v>18300</v>
      </c>
      <c r="C84" s="23" t="n">
        <f aca="false">SUM(C80:C83)</f>
        <v>17670.452739726</v>
      </c>
      <c r="D84" s="23" t="n">
        <f aca="false">SUM(D80:D83)</f>
        <v>16927.7888812785</v>
      </c>
      <c r="E84" s="23" t="n">
        <f aca="false">SUM(E80:E83)</f>
        <v>16195.297325</v>
      </c>
      <c r="F84" s="23" t="n">
        <f aca="false">SUM(F80:F83)</f>
        <v>15471.28574925</v>
      </c>
      <c r="G84" s="23" t="n">
        <f aca="false">SUM(G80:G83)</f>
        <v>15753.7716944613</v>
      </c>
      <c r="H84" s="23" t="n">
        <f aca="false">SUM(H80:H83)</f>
        <v>16040.4942190652</v>
      </c>
      <c r="I84" s="23" t="n">
        <f aca="false">SUM(I80:I83)</f>
        <v>16328.9336337206</v>
      </c>
      <c r="J84" s="23" t="n">
        <f aca="false">SUM(J80:J83)</f>
        <v>16616.3395006823</v>
      </c>
      <c r="K84" s="23" t="n">
        <f aca="false">SUM(K80:K83)</f>
        <v>16899.7668141471</v>
      </c>
      <c r="L84" s="23" t="n">
        <f aca="false">SUM(L80:L83)</f>
        <v>17176.1199836715</v>
      </c>
    </row>
    <row r="85" customFormat="false" ht="15" hidden="false" customHeight="false" outlineLevel="0" collapsed="false">
      <c r="A85" s="7" t="s">
        <v>211</v>
      </c>
      <c r="B85" s="23" t="n">
        <f aca="false">B79-B84</f>
        <v>25950</v>
      </c>
      <c r="C85" s="23" t="n">
        <f aca="false">B85+C30-C23+C66</f>
        <v>28012.59</v>
      </c>
      <c r="D85" s="23" t="n">
        <f aca="false">C85+D30-D23+D66</f>
        <v>30481.2078366981</v>
      </c>
      <c r="E85" s="23" t="n">
        <f aca="false">D85+E30-E23+E66</f>
        <v>33429.0301790907</v>
      </c>
      <c r="F85" s="23" t="n">
        <f aca="false">E85+F30-F23+F66</f>
        <v>36896.5187512266</v>
      </c>
      <c r="G85" s="23" t="n">
        <f aca="false">F85+G30-G23+G66</f>
        <v>40923.7019879807</v>
      </c>
      <c r="H85" s="23" t="n">
        <f aca="false">G85+H30-H23+H66</f>
        <v>45540.1092836425</v>
      </c>
      <c r="I85" s="23" t="n">
        <f aca="false">H85+I30-I23+I66</f>
        <v>50782.8253988769</v>
      </c>
      <c r="J85" s="23" t="n">
        <f aca="false">I85+J30-J23+J66</f>
        <v>56686.6066940576</v>
      </c>
      <c r="K85" s="23" t="n">
        <f aca="false">J85+K30-K23+K66</f>
        <v>63283.2176163385</v>
      </c>
      <c r="L85" s="23" t="n">
        <f aca="false">K85+L30-L23+L66</f>
        <v>70600.7771118976</v>
      </c>
    </row>
    <row r="86" customFormat="false" ht="15" hidden="false" customHeight="false" outlineLevel="0" collapsed="false">
      <c r="A86" s="7" t="s">
        <v>212</v>
      </c>
      <c r="B86" s="23" t="n">
        <f aca="false">B84+B85</f>
        <v>44250</v>
      </c>
      <c r="C86" s="23" t="n">
        <f aca="false">C84+C85</f>
        <v>45683.042739726</v>
      </c>
      <c r="D86" s="23" t="n">
        <f aca="false">D84+D85</f>
        <v>47408.9967179767</v>
      </c>
      <c r="E86" s="23" t="n">
        <f aca="false">E84+E85</f>
        <v>49624.3275040907</v>
      </c>
      <c r="F86" s="23" t="n">
        <f aca="false">F84+F85</f>
        <v>52367.8045004766</v>
      </c>
      <c r="G86" s="23" t="n">
        <f aca="false">G84+G85</f>
        <v>56677.4736824419</v>
      </c>
      <c r="H86" s="23" t="n">
        <f aca="false">H84+H85</f>
        <v>61580.6035027077</v>
      </c>
      <c r="I86" s="23" t="n">
        <f aca="false">I84+I85</f>
        <v>67111.7590325974</v>
      </c>
      <c r="J86" s="23" t="n">
        <f aca="false">J84+J85</f>
        <v>73302.94619474</v>
      </c>
      <c r="K86" s="23" t="n">
        <f aca="false">K84+K85</f>
        <v>80182.9844304856</v>
      </c>
      <c r="L86" s="23" t="n">
        <f aca="false">L84+L85</f>
        <v>87776.8970955691</v>
      </c>
    </row>
    <row r="87" customFormat="false" ht="15" hidden="false" customHeight="false" outlineLevel="0" collapsed="false">
      <c r="A87" s="25" t="s">
        <v>213</v>
      </c>
      <c r="B87" s="28" t="n">
        <f aca="false">B79-B86</f>
        <v>0</v>
      </c>
      <c r="C87" s="28" t="n">
        <f aca="false">C79-C86</f>
        <v>0</v>
      </c>
      <c r="D87" s="28" t="n">
        <f aca="false">D79-D86</f>
        <v>0</v>
      </c>
      <c r="E87" s="28" t="n">
        <f aca="false">E79-E86</f>
        <v>0</v>
      </c>
      <c r="F87" s="28" t="n">
        <f aca="false">F79-F86</f>
        <v>0</v>
      </c>
      <c r="G87" s="28" t="n">
        <f aca="false">G79-G86</f>
        <v>0</v>
      </c>
      <c r="H87" s="28" t="n">
        <f aca="false">H79-H86</f>
        <v>0</v>
      </c>
      <c r="I87" s="28" t="n">
        <f aca="false">I79-I86</f>
        <v>0</v>
      </c>
      <c r="J87" s="28" t="n">
        <f aca="false">J79-J86</f>
        <v>0</v>
      </c>
      <c r="K87" s="28" t="n">
        <f aca="false">K79-K86</f>
        <v>0</v>
      </c>
      <c r="L87" s="28" t="n">
        <f aca="false">L79-L86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214</v>
      </c>
    </row>
    <row r="4" customFormat="false" ht="15" hidden="false" customHeight="false" outlineLevel="0" collapsed="false">
      <c r="A4" s="5" t="s">
        <v>215</v>
      </c>
    </row>
    <row r="5" customFormat="false" ht="15" hidden="false" customHeight="false" outlineLevel="0" collapsed="false">
      <c r="A5" s="3" t="s">
        <v>216</v>
      </c>
      <c r="B5" s="29" t="n">
        <v>0.0455</v>
      </c>
      <c r="C5" s="13" t="s">
        <v>49</v>
      </c>
    </row>
    <row r="6" customFormat="false" ht="15" hidden="false" customHeight="false" outlineLevel="0" collapsed="false">
      <c r="A6" s="3" t="s">
        <v>217</v>
      </c>
      <c r="B6" s="30" t="n">
        <v>1.24</v>
      </c>
      <c r="C6" s="13" t="s">
        <v>218</v>
      </c>
    </row>
    <row r="7" customFormat="false" ht="15" hidden="false" customHeight="false" outlineLevel="0" collapsed="false">
      <c r="A7" s="3" t="s">
        <v>219</v>
      </c>
      <c r="B7" s="29" t="n">
        <v>0.0475</v>
      </c>
      <c r="C7" s="13" t="s">
        <v>220</v>
      </c>
    </row>
    <row r="8" customFormat="false" ht="15" hidden="false" customHeight="false" outlineLevel="0" collapsed="false">
      <c r="A8" s="3" t="s">
        <v>221</v>
      </c>
      <c r="B8" s="29" t="n">
        <v>0</v>
      </c>
    </row>
    <row r="9" customFormat="false" ht="15" hidden="false" customHeight="false" outlineLevel="0" collapsed="false">
      <c r="A9" s="7" t="s">
        <v>222</v>
      </c>
      <c r="B9" s="31" t="n">
        <f aca="false">B5+B6*B7+B8</f>
        <v>0.1044</v>
      </c>
    </row>
    <row r="11" customFormat="false" ht="15" hidden="false" customHeight="false" outlineLevel="0" collapsed="false">
      <c r="A11" s="5" t="s">
        <v>223</v>
      </c>
    </row>
    <row r="12" customFormat="false" ht="15" hidden="false" customHeight="false" outlineLevel="0" collapsed="false">
      <c r="A12" s="3" t="s">
        <v>224</v>
      </c>
      <c r="B12" s="29" t="n">
        <v>0.052</v>
      </c>
      <c r="C12" s="13" t="s">
        <v>225</v>
      </c>
    </row>
    <row r="13" customFormat="false" ht="15" hidden="false" customHeight="false" outlineLevel="0" collapsed="false">
      <c r="A13" s="3" t="s">
        <v>226</v>
      </c>
      <c r="B13" s="20" t="n">
        <f aca="false">Assumptions!B38</f>
        <v>0.22</v>
      </c>
    </row>
    <row r="14" customFormat="false" ht="15" hidden="false" customHeight="false" outlineLevel="0" collapsed="false">
      <c r="A14" s="3" t="s">
        <v>227</v>
      </c>
      <c r="B14" s="32" t="n">
        <f aca="false">B12*(1-B13)</f>
        <v>0.04056</v>
      </c>
    </row>
    <row r="16" customFormat="false" ht="15" hidden="false" customHeight="false" outlineLevel="0" collapsed="false">
      <c r="A16" s="5" t="s">
        <v>228</v>
      </c>
    </row>
    <row r="17" customFormat="false" ht="15" hidden="false" customHeight="false" outlineLevel="0" collapsed="false">
      <c r="A17" s="3" t="s">
        <v>229</v>
      </c>
      <c r="B17" s="11" t="n">
        <v>0.11</v>
      </c>
      <c r="C17" s="13" t="s">
        <v>230</v>
      </c>
    </row>
    <row r="18" customFormat="false" ht="15" hidden="false" customHeight="false" outlineLevel="0" collapsed="false">
      <c r="A18" s="3" t="s">
        <v>231</v>
      </c>
      <c r="B18" s="19" t="n">
        <f aca="false">1-B17</f>
        <v>0.89</v>
      </c>
    </row>
    <row r="20" customFormat="false" ht="15" hidden="false" customHeight="false" outlineLevel="0" collapsed="false">
      <c r="A20" s="7" t="s">
        <v>9</v>
      </c>
      <c r="B20" s="31" t="n">
        <f aca="false">B18*B9+B17*B14</f>
        <v>0.0973776</v>
      </c>
    </row>
    <row r="22" customFormat="false" ht="15" hidden="false" customHeight="false" outlineLevel="0" collapsed="false">
      <c r="A22" s="13" t="s">
        <v>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0" min="2" style="0" width="11"/>
  </cols>
  <sheetData>
    <row r="1" customFormat="false" ht="17.35" hidden="false" customHeight="false" outlineLevel="0" collapsed="false">
      <c r="A1" s="1" t="s">
        <v>233</v>
      </c>
    </row>
    <row r="4" customFormat="false" ht="15" hidden="false" customHeight="false" outlineLevel="0" collapsed="false">
      <c r="A4" s="10"/>
      <c r="B4" s="10" t="s">
        <v>134</v>
      </c>
      <c r="C4" s="10" t="s">
        <v>135</v>
      </c>
      <c r="D4" s="10" t="s">
        <v>136</v>
      </c>
      <c r="E4" s="10" t="s">
        <v>137</v>
      </c>
      <c r="F4" s="10" t="s">
        <v>138</v>
      </c>
      <c r="G4" s="10" t="s">
        <v>139</v>
      </c>
      <c r="H4" s="10" t="s">
        <v>140</v>
      </c>
      <c r="I4" s="10" t="s">
        <v>141</v>
      </c>
      <c r="J4" s="10" t="s">
        <v>142</v>
      </c>
    </row>
    <row r="5" customFormat="false" ht="15" hidden="false" customHeight="false" outlineLevel="0" collapsed="false">
      <c r="A5" s="3" t="s">
        <v>234</v>
      </c>
      <c r="B5" s="21" t="n">
        <f aca="false">Model_3S!D25</f>
        <v>2728.75166666667</v>
      </c>
      <c r="C5" s="21" t="n">
        <f aca="false">Model_3S!E25</f>
        <v>3123.8004875</v>
      </c>
      <c r="D5" s="21" t="n">
        <f aca="false">Model_3S!F25</f>
        <v>3552.983511</v>
      </c>
      <c r="E5" s="21" t="n">
        <f aca="false">Model_3S!G25</f>
        <v>4015.61157232813</v>
      </c>
      <c r="F5" s="21" t="n">
        <f aca="false">Model_3S!H25</f>
        <v>4510.33491803895</v>
      </c>
      <c r="G5" s="21" t="n">
        <f aca="false">Model_3S!I25</f>
        <v>5035.09503831079</v>
      </c>
      <c r="H5" s="21" t="n">
        <f aca="false">Model_3S!J25</f>
        <v>5587.09064251079</v>
      </c>
      <c r="I5" s="21" t="n">
        <f aca="false">Model_3S!K25</f>
        <v>6162.76051764092</v>
      </c>
      <c r="J5" s="21" t="n">
        <f aca="false">Model_3S!L25</f>
        <v>6757.78567106831</v>
      </c>
    </row>
    <row r="6" customFormat="false" ht="15" hidden="false" customHeight="false" outlineLevel="0" collapsed="false">
      <c r="A6" s="3" t="s">
        <v>235</v>
      </c>
      <c r="B6" s="21" t="n">
        <f aca="false">-MAX(0,B5)*Model_3S!D13</f>
        <v>-551.814225925926</v>
      </c>
      <c r="C6" s="21" t="n">
        <f aca="false">-MAX(0,C5)*Model_3S!E13</f>
        <v>-638.643655222222</v>
      </c>
      <c r="D6" s="21" t="n">
        <f aca="false">-MAX(0,D5)*Model_3S!F13</f>
        <v>-734.28325894</v>
      </c>
      <c r="E6" s="21" t="n">
        <f aca="false">-MAX(0,E5)*Model_3S!G13</f>
        <v>-838.816639552986</v>
      </c>
      <c r="F6" s="21" t="n">
        <f aca="false">-MAX(0,F5)*Model_3S!H13</f>
        <v>-952.181816030445</v>
      </c>
      <c r="G6" s="21" t="n">
        <f aca="false">-MAX(0,G5)*Model_3S!I13</f>
        <v>-1074.15360817297</v>
      </c>
      <c r="H6" s="21" t="n">
        <f aca="false">-MAX(0,H5)*Model_3S!J13</f>
        <v>-1204.32842738566</v>
      </c>
      <c r="I6" s="21" t="n">
        <f aca="false">-MAX(0,I5)*Model_3S!K13</f>
        <v>-1342.11229050847</v>
      </c>
      <c r="J6" s="21" t="n">
        <f aca="false">-MAX(0,J5)*Model_3S!L13</f>
        <v>-1486.71284763503</v>
      </c>
    </row>
    <row r="7" customFormat="false" ht="15" hidden="false" customHeight="false" outlineLevel="0" collapsed="false">
      <c r="A7" s="3" t="s">
        <v>191</v>
      </c>
      <c r="B7" s="21" t="n">
        <f aca="false">-Model_3S!D24</f>
        <v>620.170833333333</v>
      </c>
      <c r="C7" s="21" t="n">
        <f aca="false">-Model_3S!E24</f>
        <v>659.684575</v>
      </c>
      <c r="D7" s="21" t="n">
        <f aca="false">-Model_3S!F24</f>
        <v>697.907475375</v>
      </c>
      <c r="E7" s="21" t="n">
        <f aca="false">-Model_3S!G24</f>
        <v>734.28325894</v>
      </c>
      <c r="F7" s="21" t="n">
        <f aca="false">-Model_3S!H24</f>
        <v>768.243859665975</v>
      </c>
      <c r="G7" s="21" t="n">
        <f aca="false">-Model_3S!I24</f>
        <v>799.221434652506</v>
      </c>
      <c r="H7" s="21" t="n">
        <f aca="false">-Model_3S!J24</f>
        <v>826.661370575576</v>
      </c>
      <c r="I7" s="21" t="n">
        <f aca="false">-Model_3S!K24</f>
        <v>850.035933467713</v>
      </c>
      <c r="J7" s="21" t="n">
        <f aca="false">-Model_3S!L24</f>
        <v>868.858157708784</v>
      </c>
    </row>
    <row r="8" customFormat="false" ht="15" hidden="false" customHeight="false" outlineLevel="0" collapsed="false">
      <c r="A8" s="3" t="s">
        <v>236</v>
      </c>
      <c r="B8" s="21" t="n">
        <f aca="false">-Model_3S!D44</f>
        <v>-159.4725</v>
      </c>
      <c r="C8" s="21" t="n">
        <f aca="false">-Model_3S!E44</f>
        <v>-174.6223875</v>
      </c>
      <c r="D8" s="21" t="n">
        <f aca="false">-Model_3S!F44</f>
        <v>-190.338402375</v>
      </c>
      <c r="E8" s="21" t="n">
        <f aca="false">-Model_3S!G44</f>
        <v>-206.517166576875</v>
      </c>
      <c r="F8" s="21" t="n">
        <f aca="false">-Model_3S!H44</f>
        <v>-223.038539903025</v>
      </c>
      <c r="G8" s="21" t="n">
        <f aca="false">-Model_3S!I44</f>
        <v>-239.766430395752</v>
      </c>
      <c r="H8" s="21" t="n">
        <f aca="false">-Model_3S!J44</f>
        <v>-256.550080523455</v>
      </c>
      <c r="I8" s="21" t="n">
        <f aca="false">-Model_3S!K44</f>
        <v>-273.225835757479</v>
      </c>
      <c r="J8" s="21" t="n">
        <f aca="false">-Model_3S!L44</f>
        <v>-289.619385902928</v>
      </c>
    </row>
    <row r="9" customFormat="false" ht="15" hidden="false" customHeight="false" outlineLevel="0" collapsed="false">
      <c r="A9" s="3" t="s">
        <v>237</v>
      </c>
      <c r="B9" s="21" t="n">
        <f aca="false">Model_3S!D41</f>
        <v>-80.4534018264842</v>
      </c>
      <c r="C9" s="21" t="n">
        <f aca="false">Model_3S!E41</f>
        <v>-84.3553697488583</v>
      </c>
      <c r="D9" s="21" t="n">
        <f aca="false">Model_3S!F41</f>
        <v>-87.8108742500008</v>
      </c>
      <c r="E9" s="21" t="n">
        <f aca="false">Model_3S!G41</f>
        <v>-90.7221776312499</v>
      </c>
      <c r="F9" s="21" t="n">
        <f aca="false">Model_3S!H41</f>
        <v>-92.9924483410996</v>
      </c>
      <c r="G9" s="21" t="n">
        <f aca="false">Model_3S!I41</f>
        <v>-94.5282822465715</v>
      </c>
      <c r="H9" s="21" t="n">
        <f aca="false">Model_3S!J41</f>
        <v>-95.2423790025637</v>
      </c>
      <c r="I9" s="21" t="n">
        <f aca="false">Model_3S!K41</f>
        <v>-95.0562954365651</v>
      </c>
      <c r="J9" s="21" t="n">
        <f aca="false">Model_3S!L41</f>
        <v>-93.9031867793597</v>
      </c>
    </row>
    <row r="10" customFormat="false" ht="15" hidden="false" customHeight="false" outlineLevel="0" collapsed="false">
      <c r="A10" s="7" t="s">
        <v>238</v>
      </c>
      <c r="B10" s="23" t="n">
        <f aca="false">SUM(B5:B9)</f>
        <v>2557.18237224759</v>
      </c>
      <c r="C10" s="23" t="n">
        <f aca="false">SUM(C5:C9)</f>
        <v>2885.86365002892</v>
      </c>
      <c r="D10" s="23" t="n">
        <f aca="false">SUM(D5:D9)</f>
        <v>3238.45845081</v>
      </c>
      <c r="E10" s="23" t="n">
        <f aca="false">SUM(E5:E9)</f>
        <v>3613.83884750701</v>
      </c>
      <c r="F10" s="23" t="n">
        <f aca="false">SUM(F5:F9)</f>
        <v>4010.36597343036</v>
      </c>
      <c r="G10" s="23" t="n">
        <f aca="false">SUM(G5:G9)</f>
        <v>4425.86815214801</v>
      </c>
      <c r="H10" s="23" t="n">
        <f aca="false">SUM(H5:H9)</f>
        <v>4857.63112617469</v>
      </c>
      <c r="I10" s="23" t="n">
        <f aca="false">SUM(I5:I9)</f>
        <v>5302.40202940612</v>
      </c>
      <c r="J10" s="23" t="n">
        <f aca="false">SUM(J5:J9)</f>
        <v>5756.40840845978</v>
      </c>
    </row>
    <row r="11" customFormat="false" ht="15" hidden="false" customHeight="false" outlineLevel="0" collapsed="false">
      <c r="A11" s="3" t="s">
        <v>239</v>
      </c>
      <c r="B11" s="33" t="n">
        <v>0.5</v>
      </c>
      <c r="C11" s="33" t="n">
        <v>1.5</v>
      </c>
      <c r="D11" s="33" t="n">
        <v>2.5</v>
      </c>
      <c r="E11" s="33" t="n">
        <v>3.5</v>
      </c>
      <c r="F11" s="33" t="n">
        <v>4.5</v>
      </c>
      <c r="G11" s="33" t="n">
        <v>5.5</v>
      </c>
      <c r="H11" s="33" t="n">
        <v>6.5</v>
      </c>
      <c r="I11" s="33" t="n">
        <v>7.5</v>
      </c>
      <c r="J11" s="33" t="n">
        <v>8.5</v>
      </c>
    </row>
    <row r="12" customFormat="false" ht="15" hidden="false" customHeight="false" outlineLevel="0" collapsed="false">
      <c r="A12" s="3" t="s">
        <v>240</v>
      </c>
      <c r="B12" s="34" t="n">
        <f aca="false">(1+$B$16)^-B11</f>
        <v>0.954601152808542</v>
      </c>
      <c r="C12" s="34" t="n">
        <f aca="false">(1+$B$16)^-C11</f>
        <v>0.869893054868755</v>
      </c>
      <c r="D12" s="34" t="n">
        <f aca="false">(1+$B$16)^-D11</f>
        <v>0.792701668841021</v>
      </c>
      <c r="E12" s="34" t="n">
        <f aca="false">(1+$B$16)^-E11</f>
        <v>0.72235998697351</v>
      </c>
      <c r="F12" s="34" t="n">
        <f aca="false">(1+$B$16)^-F11</f>
        <v>0.65826018954051</v>
      </c>
      <c r="G12" s="34" t="n">
        <f aca="false">(1+$B$16)^-G11</f>
        <v>0.599848392695923</v>
      </c>
      <c r="H12" s="34" t="n">
        <f aca="false">(1+$B$16)^-H11</f>
        <v>0.546619862384583</v>
      </c>
      <c r="I12" s="34" t="n">
        <f aca="false">(1+$B$16)^-I11</f>
        <v>0.498114652954992</v>
      </c>
      <c r="J12" s="34" t="n">
        <f aca="false">(1+$B$16)^-J11</f>
        <v>0.453913632786921</v>
      </c>
    </row>
    <row r="13" customFormat="false" ht="15" hidden="false" customHeight="false" outlineLevel="0" collapsed="false">
      <c r="A13" s="3" t="s">
        <v>241</v>
      </c>
      <c r="B13" s="24" t="n">
        <f aca="false">B10*B12</f>
        <v>2441.08924048923</v>
      </c>
      <c r="C13" s="24" t="n">
        <f aca="false">C10*C12</f>
        <v>2510.39274645835</v>
      </c>
      <c r="D13" s="24" t="n">
        <f aca="false">D10*D12</f>
        <v>2567.1314184294</v>
      </c>
      <c r="E13" s="24" t="n">
        <f aca="false">E10*E12</f>
        <v>2610.49258280953</v>
      </c>
      <c r="F13" s="24" t="n">
        <f aca="false">F10*F12</f>
        <v>2639.86426579708</v>
      </c>
      <c r="G13" s="24" t="n">
        <f aca="false">G10*G12</f>
        <v>2654.84989735006</v>
      </c>
      <c r="H13" s="24" t="n">
        <f aca="false">H10*H12</f>
        <v>2655.27765770467</v>
      </c>
      <c r="I13" s="24" t="n">
        <f aca="false">I10*I12</f>
        <v>2641.20414670548</v>
      </c>
      <c r="J13" s="24" t="n">
        <f aca="false">J10*J12</f>
        <v>2612.91225248916</v>
      </c>
    </row>
    <row r="15" customFormat="false" ht="15" hidden="false" customHeight="false" outlineLevel="0" collapsed="false">
      <c r="A15" s="7" t="s">
        <v>242</v>
      </c>
      <c r="B15" s="23" t="n">
        <f aca="false">SUM(B13:J13)</f>
        <v>23333.214208233</v>
      </c>
    </row>
    <row r="16" customFormat="false" ht="15" hidden="false" customHeight="false" outlineLevel="0" collapsed="false">
      <c r="A16" s="7" t="s">
        <v>9</v>
      </c>
      <c r="B16" s="35" t="n">
        <f aca="false">WACC!B20</f>
        <v>0.0973776</v>
      </c>
    </row>
    <row r="18" customFormat="false" ht="15" hidden="false" customHeight="false" outlineLevel="0" collapsed="false">
      <c r="A18" s="5" t="s">
        <v>243</v>
      </c>
    </row>
    <row r="19" customFormat="false" ht="15" hidden="false" customHeight="false" outlineLevel="0" collapsed="false">
      <c r="A19" s="3" t="s">
        <v>244</v>
      </c>
      <c r="B19" s="20" t="n">
        <f aca="false">Assumptions!B47</f>
        <v>0.035</v>
      </c>
    </row>
    <row r="20" customFormat="false" ht="15" hidden="false" customHeight="false" outlineLevel="0" collapsed="false">
      <c r="A20" s="3" t="s">
        <v>245</v>
      </c>
      <c r="B20" s="24" t="n">
        <f aca="false">J10*(1+B19)/(B16-B19)</f>
        <v>95513.176248459</v>
      </c>
    </row>
    <row r="21" customFormat="false" ht="15" hidden="false" customHeight="false" outlineLevel="0" collapsed="false">
      <c r="A21" s="3" t="s">
        <v>246</v>
      </c>
      <c r="B21" s="24" t="n">
        <f aca="false">B20/(1+B16)^9</f>
        <v>41386.4779200898</v>
      </c>
    </row>
    <row r="22" customFormat="false" ht="15" hidden="false" customHeight="false" outlineLevel="0" collapsed="false">
      <c r="A22" s="25" t="s">
        <v>247</v>
      </c>
      <c r="B22" s="36" t="n">
        <f aca="false">B20/Model_3S!L22</f>
        <v>10.5251685742303</v>
      </c>
    </row>
    <row r="24" customFormat="false" ht="15" hidden="false" customHeight="false" outlineLevel="0" collapsed="false">
      <c r="A24" s="5" t="s">
        <v>248</v>
      </c>
    </row>
    <row r="25" customFormat="false" ht="15" hidden="false" customHeight="false" outlineLevel="0" collapsed="false">
      <c r="A25" s="3" t="s">
        <v>249</v>
      </c>
      <c r="B25" s="37" t="n">
        <f aca="false">Assumptions!B48</f>
        <v>18</v>
      </c>
    </row>
    <row r="26" customFormat="false" ht="15" hidden="false" customHeight="false" outlineLevel="0" collapsed="false">
      <c r="A26" s="3" t="s">
        <v>245</v>
      </c>
      <c r="B26" s="24" t="n">
        <f aca="false">B25*Model_3S!L22</f>
        <v>163345.333649251</v>
      </c>
    </row>
    <row r="27" customFormat="false" ht="15" hidden="false" customHeight="false" outlineLevel="0" collapsed="false">
      <c r="A27" s="3" t="s">
        <v>250</v>
      </c>
      <c r="B27" s="24" t="n">
        <f aca="false">B26/(1+B16)^9</f>
        <v>70778.5910798199</v>
      </c>
    </row>
    <row r="28" customFormat="false" ht="15" hidden="false" customHeight="false" outlineLevel="0" collapsed="false">
      <c r="A28" s="25" t="s">
        <v>251</v>
      </c>
      <c r="B28" s="27" t="n">
        <f aca="false">(B16*B26-J10)/(B26+J10)</f>
        <v>0.0600216652412702</v>
      </c>
    </row>
    <row r="30" customFormat="false" ht="15" hidden="false" customHeight="false" outlineLevel="0" collapsed="false">
      <c r="A30" s="5" t="s">
        <v>252</v>
      </c>
    </row>
    <row r="31" customFormat="false" ht="15" hidden="false" customHeight="false" outlineLevel="0" collapsed="false">
      <c r="A31" s="3" t="s">
        <v>253</v>
      </c>
      <c r="B31" s="21" t="n">
        <f aca="false">Model_3S!C55-Model_3S!C70</f>
        <v>7437.60075342466</v>
      </c>
    </row>
    <row r="32" customFormat="false" ht="15" hidden="false" customHeight="false" outlineLevel="0" collapsed="false">
      <c r="A32" s="3" t="s">
        <v>254</v>
      </c>
      <c r="B32" s="38" t="n">
        <f aca="false">Assumptions!B37</f>
        <v>191.6</v>
      </c>
    </row>
    <row r="33" customFormat="false" ht="15" hidden="false" customHeight="false" outlineLevel="0" collapsed="false">
      <c r="A33" s="10"/>
      <c r="B33" s="10" t="s">
        <v>255</v>
      </c>
      <c r="C33" s="10" t="s">
        <v>256</v>
      </c>
      <c r="D33" s="10" t="s">
        <v>257</v>
      </c>
    </row>
    <row r="34" customFormat="false" ht="15" hidden="false" customHeight="false" outlineLevel="0" collapsed="false">
      <c r="A34" s="3" t="s">
        <v>258</v>
      </c>
      <c r="B34" s="24" t="n">
        <f aca="false">B15+B21</f>
        <v>64719.6921283228</v>
      </c>
      <c r="C34" s="24" t="n">
        <f aca="false">B15+B27</f>
        <v>94111.8052880528</v>
      </c>
      <c r="D34" s="24" t="n">
        <f aca="false">AVERAGE(B34:C34)</f>
        <v>79415.7487081878</v>
      </c>
    </row>
    <row r="35" customFormat="false" ht="15" hidden="false" customHeight="false" outlineLevel="0" collapsed="false">
      <c r="A35" s="3" t="s">
        <v>259</v>
      </c>
      <c r="B35" s="24" t="n">
        <f aca="false">-$B$31</f>
        <v>-7437.60075342466</v>
      </c>
      <c r="C35" s="24" t="n">
        <f aca="false">-$B$31</f>
        <v>-7437.60075342466</v>
      </c>
      <c r="D35" s="24" t="n">
        <f aca="false">-$B$31</f>
        <v>-7437.60075342466</v>
      </c>
    </row>
    <row r="36" customFormat="false" ht="15" hidden="false" customHeight="false" outlineLevel="0" collapsed="false">
      <c r="A36" s="7" t="s">
        <v>260</v>
      </c>
      <c r="B36" s="23" t="n">
        <f aca="false">B34+B35</f>
        <v>57282.0913748981</v>
      </c>
      <c r="C36" s="23" t="n">
        <f aca="false">C34+C35</f>
        <v>86674.2045346282</v>
      </c>
      <c r="D36" s="23" t="n">
        <f aca="false">D34+D35</f>
        <v>71978.1479547631</v>
      </c>
    </row>
    <row r="37" customFormat="false" ht="15" hidden="false" customHeight="false" outlineLevel="0" collapsed="false">
      <c r="A37" s="7" t="s">
        <v>261</v>
      </c>
      <c r="B37" s="39" t="n">
        <f aca="false">B36/$B$32</f>
        <v>298.967073981723</v>
      </c>
      <c r="C37" s="39" t="n">
        <f aca="false">C36/$B$32</f>
        <v>452.370587341483</v>
      </c>
      <c r="D37" s="39" t="n">
        <f aca="false">D36/$B$32</f>
        <v>375.668830661603</v>
      </c>
    </row>
    <row r="38" customFormat="false" ht="15" hidden="false" customHeight="false" outlineLevel="0" collapsed="false">
      <c r="A38" s="25" t="s">
        <v>262</v>
      </c>
      <c r="B38" s="27" t="n">
        <f aca="false">B37/Assumptions!$B$49-1</f>
        <v>-0.22200719792411</v>
      </c>
      <c r="C38" s="27" t="n">
        <f aca="false">C37/Assumptions!$B$49-1</f>
        <v>0.177190036799946</v>
      </c>
      <c r="D38" s="27" t="n">
        <f aca="false">D37/Assumptions!$B$49-1</f>
        <v>-0.0224085805620823</v>
      </c>
    </row>
    <row r="42" customFormat="false" ht="15" hidden="false" customHeight="false" outlineLevel="0" collapsed="false">
      <c r="A42" s="5" t="s">
        <v>263</v>
      </c>
    </row>
    <row r="43" customFormat="false" ht="15" hidden="false" customHeight="false" outlineLevel="0" collapsed="false">
      <c r="B43" s="40" t="s">
        <v>264</v>
      </c>
      <c r="C43" s="41" t="n">
        <v>0.025</v>
      </c>
      <c r="D43" s="41" t="n">
        <v>0.03</v>
      </c>
      <c r="E43" s="41" t="n">
        <v>0.035</v>
      </c>
      <c r="F43" s="41" t="n">
        <v>0.04</v>
      </c>
      <c r="G43" s="41" t="n">
        <v>0.045</v>
      </c>
    </row>
    <row r="44" customFormat="false" ht="15" hidden="false" customHeight="false" outlineLevel="0" collapsed="false">
      <c r="B44" s="42" t="n">
        <v>0.088</v>
      </c>
      <c r="C44" s="43" t="n">
        <f aca="false">(SUMPRODUCT($B$10:$J$10,(1+$B$44)^-($B$11:$J$11))+$J$10*(1+C$43)/($B$44-C$43)/(1+$B$44)^9-$B$31)/$B$32</f>
        <v>316.661132361106</v>
      </c>
      <c r="D44" s="43" t="n">
        <f aca="false">(SUMPRODUCT($B$10:$J$10,(1+$B$44)^-($B$11:$J$11))+$J$10*(1+D$43)/($B$44-D$43)/(1+$B$44)^9-$B$31)/$B$32</f>
        <v>337.598707964381</v>
      </c>
      <c r="E44" s="43" t="n">
        <f aca="false">(SUMPRODUCT($B$10:$J$10,(1+$B$44)^-($B$11:$J$11))+$J$10*(1+E$43)/($B$44-E$43)/(1+$B$44)^9-$B$31)/$B$32</f>
        <v>362.486769530539</v>
      </c>
      <c r="F44" s="43" t="n">
        <f aca="false">(SUMPRODUCT($B$10:$J$10,(1+$B$44)^-($B$11:$J$11))+$J$10*(1+F$43)/($B$44-F$43)/(1+$B$44)^9-$B$31)/$B$32</f>
        <v>392.559843922979</v>
      </c>
      <c r="G44" s="43" t="n">
        <f aca="false">(SUMPRODUCT($B$10:$J$10,(1+$B$44)^-($B$11:$J$11))+$J$10*(1+G$43)/($B$44-G$43)/(1+$B$44)^9-$B$31)/$B$32</f>
        <v>429.626656546219</v>
      </c>
    </row>
    <row r="45" customFormat="false" ht="15" hidden="false" customHeight="false" outlineLevel="0" collapsed="false">
      <c r="B45" s="42" t="n">
        <v>0.093</v>
      </c>
      <c r="C45" s="43" t="n">
        <f aca="false">(SUMPRODUCT($B$10:$J$10,(1+$B$45)^-($B$11:$J$11))+$J$10*(1+C$43)/($B$45-C$43)/(1+$B$45)^9-$B$31)/$B$32</f>
        <v>288.62502119477</v>
      </c>
      <c r="D45" s="43" t="n">
        <f aca="false">(SUMPRODUCT($B$10:$J$10,(1+$B$45)^-($B$11:$J$11))+$J$10*(1+D$43)/($B$45-D$43)/(1+$B$45)^9-$B$31)/$B$32</f>
        <v>305.840350744257</v>
      </c>
      <c r="E45" s="43" t="n">
        <f aca="false">(SUMPRODUCT($B$10:$J$10,(1+$B$45)^-($B$11:$J$11))+$J$10*(1+E$43)/($B$45-E$43)/(1+$B$45)^9-$B$31)/$B$32</f>
        <v>326.023840560898</v>
      </c>
      <c r="F45" s="43" t="n">
        <f aca="false">(SUMPRODUCT($B$10:$J$10,(1+$B$45)^-($B$11:$J$11))+$J$10*(1+F$43)/($B$45-F$43)/(1+$B$45)^9-$B$31)/$B$32</f>
        <v>350.01553600332</v>
      </c>
      <c r="G45" s="43" t="n">
        <f aca="false">(SUMPRODUCT($B$10:$J$10,(1+$B$45)^-($B$11:$J$11))+$J$10*(1+G$43)/($B$45-G$43)/(1+$B$45)^9-$B$31)/$B$32</f>
        <v>379.005501329579</v>
      </c>
    </row>
    <row r="46" customFormat="false" ht="15" hidden="false" customHeight="false" outlineLevel="0" collapsed="false">
      <c r="B46" s="42" t="n">
        <v>0.097</v>
      </c>
      <c r="C46" s="43" t="n">
        <f aca="false">(SUMPRODUCT($B$10:$J$10,(1+$B$46)^-($B$11:$J$11))+$J$10*(1+C$43)/($B$46-C$43)/(1+$B$46)^9-$B$31)/$B$32</f>
        <v>269.057231547409</v>
      </c>
      <c r="D46" s="43" t="n">
        <f aca="false">(SUMPRODUCT($B$10:$J$10,(1+$B$46)^-($B$11:$J$11))+$J$10*(1+D$43)/($B$46-D$43)/(1+$B$46)^9-$B$31)/$B$32</f>
        <v>283.905157012029</v>
      </c>
      <c r="E46" s="43" t="n">
        <f aca="false">(SUMPRODUCT($B$10:$J$10,(1+$B$46)^-($B$11:$J$11))+$J$10*(1+E$43)/($B$46-E$43)/(1+$B$46)^9-$B$31)/$B$32</f>
        <v>301.147909164491</v>
      </c>
      <c r="F46" s="43" t="n">
        <f aca="false">(SUMPRODUCT($B$10:$J$10,(1+$B$46)^-($B$11:$J$11))+$J$10*(1+F$43)/($B$46-F$43)/(1+$B$46)^9-$B$31)/$B$32</f>
        <v>321.415705554227</v>
      </c>
      <c r="G46" s="43" t="n">
        <f aca="false">(SUMPRODUCT($B$10:$J$10,(1+$B$46)^-($B$11:$J$11))+$J$10*(1+G$43)/($B$46-G$43)/(1+$B$46)^9-$B$31)/$B$32</f>
        <v>345.581155095835</v>
      </c>
    </row>
    <row r="47" customFormat="false" ht="15" hidden="false" customHeight="false" outlineLevel="0" collapsed="false">
      <c r="B47" s="42" t="n">
        <v>0.103</v>
      </c>
      <c r="C47" s="43" t="n">
        <f aca="false">(SUMPRODUCT($B$10:$J$10,(1+$B$47)^-($B$11:$J$11))+$J$10*(1+C$43)/($B$47-C$43)/(1+$B$47)^9-$B$31)/$B$32</f>
        <v>243.552771842483</v>
      </c>
      <c r="D47" s="43" t="n">
        <f aca="false">(SUMPRODUCT($B$10:$J$10,(1+$B$47)^-($B$11:$J$11))+$J$10*(1+D$43)/($B$47-D$43)/(1+$B$47)^9-$B$31)/$B$32</f>
        <v>255.594935805523</v>
      </c>
      <c r="E47" s="43" t="n">
        <f aca="false">(SUMPRODUCT($B$10:$J$10,(1+$B$47)^-($B$11:$J$11))+$J$10*(1+E$43)/($B$47-E$43)/(1+$B$47)^9-$B$31)/$B$32</f>
        <v>269.408006233717</v>
      </c>
      <c r="F47" s="43" t="n">
        <f aca="false">(SUMPRODUCT($B$10:$J$10,(1+$B$47)^-($B$11:$J$11))+$J$10*(1+F$43)/($B$47-F$43)/(1+$B$47)^9-$B$31)/$B$32</f>
        <v>285.413627523528</v>
      </c>
      <c r="G47" s="43" t="n">
        <f aca="false">(SUMPRODUCT($B$10:$J$10,(1+$B$47)^-($B$11:$J$11))+$J$10*(1+G$43)/($B$47-G$43)/(1+$B$47)^9-$B$31)/$B$32</f>
        <v>304.178838690894</v>
      </c>
    </row>
    <row r="48" customFormat="false" ht="15" hidden="false" customHeight="false" outlineLevel="0" collapsed="false">
      <c r="B48" s="42" t="n">
        <v>0.108</v>
      </c>
      <c r="C48" s="43" t="n">
        <f aca="false">(SUMPRODUCT($B$10:$J$10,(1+$B$48)^-($B$11:$J$11))+$J$10*(1+C$43)/($B$48-C$43)/(1+$B$48)^9-$B$31)/$B$32</f>
        <v>225.184874465419</v>
      </c>
      <c r="D48" s="43" t="n">
        <f aca="false">(SUMPRODUCT($B$10:$J$10,(1+$B$48)^-($B$11:$J$11))+$J$10*(1+D$43)/($B$48-D$43)/(1+$B$48)^9-$B$31)/$B$32</f>
        <v>235.399802710739</v>
      </c>
      <c r="E48" s="43" t="n">
        <f aca="false">(SUMPRODUCT($B$10:$J$10,(1+$B$48)^-($B$11:$J$11))+$J$10*(1+E$43)/($B$48-E$43)/(1+$B$48)^9-$B$31)/$B$32</f>
        <v>247.014036195145</v>
      </c>
      <c r="F48" s="43" t="n">
        <f aca="false">(SUMPRODUCT($B$10:$J$10,(1+$B$48)^-($B$11:$J$11))+$J$10*(1+F$43)/($B$48-F$43)/(1+$B$48)^9-$B$31)/$B$32</f>
        <v>260.336245191963</v>
      </c>
      <c r="G48" s="43" t="n">
        <f aca="false">(SUMPRODUCT($B$10:$J$10,(1+$B$48)^-($B$11:$J$11))+$J$10*(1+G$43)/($B$48-G$43)/(1+$B$48)^9-$B$31)/$B$32</f>
        <v>275.773090537483</v>
      </c>
    </row>
    <row r="50" customFormat="false" ht="15" hidden="false" customHeight="false" outlineLevel="0" collapsed="false">
      <c r="A50" s="5" t="s">
        <v>265</v>
      </c>
    </row>
    <row r="51" customFormat="false" ht="15" hidden="false" customHeight="false" outlineLevel="0" collapsed="false">
      <c r="B51" s="40" t="s">
        <v>266</v>
      </c>
      <c r="C51" s="44" t="n">
        <v>14</v>
      </c>
      <c r="D51" s="44" t="n">
        <v>16</v>
      </c>
      <c r="E51" s="44" t="n">
        <v>18</v>
      </c>
      <c r="F51" s="44" t="n">
        <v>20</v>
      </c>
      <c r="G51" s="44" t="n">
        <v>22</v>
      </c>
    </row>
    <row r="52" customFormat="false" ht="15" hidden="false" customHeight="false" outlineLevel="0" collapsed="false">
      <c r="B52" s="42" t="n">
        <v>0.088</v>
      </c>
      <c r="C52" s="43" t="n">
        <f aca="false">(SUMPRODUCT($B$10:$J$10,(1+$B$52)^-($B$11:$J$11))+C$51*Model_3S!$L$22/(1+$B$52)^9-$B$31)/$B$32</f>
        <v>398.238110434272</v>
      </c>
      <c r="D52" s="43" t="n">
        <f aca="false">(SUMPRODUCT($B$10:$J$10,(1+$B$52)^-($B$11:$J$11))+D$51*Model_3S!$L$22/(1+$B$52)^9-$B$31)/$B$32</f>
        <v>442.579434760237</v>
      </c>
      <c r="E52" s="43" t="n">
        <f aca="false">(SUMPRODUCT($B$10:$J$10,(1+$B$52)^-($B$11:$J$11))+E$51*Model_3S!$L$22/(1+$B$52)^9-$B$31)/$B$32</f>
        <v>486.920759086201</v>
      </c>
      <c r="F52" s="43" t="n">
        <f aca="false">(SUMPRODUCT($B$10:$J$10,(1+$B$52)^-($B$11:$J$11))+F$51*Model_3S!$L$22/(1+$B$52)^9-$B$31)/$B$32</f>
        <v>531.262083412166</v>
      </c>
      <c r="G52" s="43" t="n">
        <f aca="false">(SUMPRODUCT($B$10:$J$10,(1+$B$52)^-($B$11:$J$11))+G$51*Model_3S!$L$22/(1+$B$52)^9-$B$31)/$B$32</f>
        <v>575.603407738131</v>
      </c>
    </row>
    <row r="53" customFormat="false" ht="15" hidden="false" customHeight="false" outlineLevel="0" collapsed="false">
      <c r="B53" s="42" t="n">
        <v>0.093</v>
      </c>
      <c r="C53" s="43" t="n">
        <f aca="false">(SUMPRODUCT($B$10:$J$10,(1+$B$53)^-($B$11:$J$11))+C$51*Model_3S!$L$22/(1+$B$53)^9-$B$31)/$B$32</f>
        <v>383.048485028894</v>
      </c>
      <c r="D53" s="43" t="n">
        <f aca="false">(SUMPRODUCT($B$10:$J$10,(1+$B$53)^-($B$11:$J$11))+D$51*Model_3S!$L$22/(1+$B$53)^9-$B$31)/$B$32</f>
        <v>425.59727957893</v>
      </c>
      <c r="E53" s="43" t="n">
        <f aca="false">(SUMPRODUCT($B$10:$J$10,(1+$B$53)^-($B$11:$J$11))+E$51*Model_3S!$L$22/(1+$B$53)^9-$B$31)/$B$32</f>
        <v>468.146074128967</v>
      </c>
      <c r="F53" s="43" t="n">
        <f aca="false">(SUMPRODUCT($B$10:$J$10,(1+$B$53)^-($B$11:$J$11))+F$51*Model_3S!$L$22/(1+$B$53)^9-$B$31)/$B$32</f>
        <v>510.694868679003</v>
      </c>
      <c r="G53" s="43" t="n">
        <f aca="false">(SUMPRODUCT($B$10:$J$10,(1+$B$53)^-($B$11:$J$11))+G$51*Model_3S!$L$22/(1+$B$53)^9-$B$31)/$B$32</f>
        <v>553.24366322904</v>
      </c>
    </row>
    <row r="54" customFormat="false" ht="15" hidden="false" customHeight="false" outlineLevel="0" collapsed="false">
      <c r="B54" s="42" t="n">
        <v>0.097</v>
      </c>
      <c r="C54" s="43" t="n">
        <f aca="false">(SUMPRODUCT($B$10:$J$10,(1+$B$54)^-($B$11:$J$11))+C$51*Model_3S!$L$22/(1+$B$54)^9-$B$31)/$B$32</f>
        <v>371.362340708803</v>
      </c>
      <c r="D54" s="43" t="n">
        <f aca="false">(SUMPRODUCT($B$10:$J$10,(1+$B$54)^-($B$11:$J$11))+D$51*Model_3S!$L$22/(1+$B$54)^9-$B$31)/$B$32</f>
        <v>412.535014365087</v>
      </c>
      <c r="E54" s="43" t="n">
        <f aca="false">(SUMPRODUCT($B$10:$J$10,(1+$B$54)^-($B$11:$J$11))+E$51*Model_3S!$L$22/(1+$B$54)^9-$B$31)/$B$32</f>
        <v>453.707688021371</v>
      </c>
      <c r="F54" s="43" t="n">
        <f aca="false">(SUMPRODUCT($B$10:$J$10,(1+$B$54)^-($B$11:$J$11))+F$51*Model_3S!$L$22/(1+$B$54)^9-$B$31)/$B$32</f>
        <v>494.880361677655</v>
      </c>
      <c r="G54" s="43" t="n">
        <f aca="false">(SUMPRODUCT($B$10:$J$10,(1+$B$54)^-($B$11:$J$11))+G$51*Model_3S!$L$22/(1+$B$54)^9-$B$31)/$B$32</f>
        <v>536.053035333939</v>
      </c>
    </row>
    <row r="55" customFormat="false" ht="15" hidden="false" customHeight="false" outlineLevel="0" collapsed="false">
      <c r="B55" s="42" t="n">
        <v>0.103</v>
      </c>
      <c r="C55" s="43" t="n">
        <f aca="false">(SUMPRODUCT($B$10:$J$10,(1+$B$55)^-($B$11:$J$11))+C$51*Model_3S!$L$22/(1+$B$55)^9-$B$31)/$B$32</f>
        <v>354.572113924458</v>
      </c>
      <c r="D55" s="43" t="n">
        <f aca="false">(SUMPRODUCT($B$10:$J$10,(1+$B$55)^-($B$11:$J$11))+D$51*Model_3S!$L$22/(1+$B$55)^9-$B$31)/$B$32</f>
        <v>393.772388244277</v>
      </c>
      <c r="E55" s="43" t="n">
        <f aca="false">(SUMPRODUCT($B$10:$J$10,(1+$B$55)^-($B$11:$J$11))+E$51*Model_3S!$L$22/(1+$B$55)^9-$B$31)/$B$32</f>
        <v>432.972662564096</v>
      </c>
      <c r="F55" s="43" t="n">
        <f aca="false">(SUMPRODUCT($B$10:$J$10,(1+$B$55)^-($B$11:$J$11))+F$51*Model_3S!$L$22/(1+$B$55)^9-$B$31)/$B$32</f>
        <v>472.172936883914</v>
      </c>
      <c r="G55" s="43" t="n">
        <f aca="false">(SUMPRODUCT($B$10:$J$10,(1+$B$55)^-($B$11:$J$11))+G$51*Model_3S!$L$22/(1+$B$55)^9-$B$31)/$B$32</f>
        <v>511.373211203733</v>
      </c>
    </row>
    <row r="56" customFormat="false" ht="15" hidden="false" customHeight="false" outlineLevel="0" collapsed="false">
      <c r="B56" s="42" t="n">
        <v>0.108</v>
      </c>
      <c r="C56" s="43" t="n">
        <f aca="false">(SUMPRODUCT($B$10:$J$10,(1+$B$56)^-($B$11:$J$11))+C$51*Model_3S!$L$22/(1+$B$56)^9-$B$31)/$B$32</f>
        <v>341.225575836829</v>
      </c>
      <c r="D56" s="43" t="n">
        <f aca="false">(SUMPRODUCT($B$10:$J$10,(1+$B$56)^-($B$11:$J$11))+D$51*Model_3S!$L$22/(1+$B$56)^9-$B$31)/$B$32</f>
        <v>378.862218405447</v>
      </c>
      <c r="E56" s="43" t="n">
        <f aca="false">(SUMPRODUCT($B$10:$J$10,(1+$B$56)^-($B$11:$J$11))+E$51*Model_3S!$L$22/(1+$B$56)^9-$B$31)/$B$32</f>
        <v>416.498860974065</v>
      </c>
      <c r="F56" s="43" t="n">
        <f aca="false">(SUMPRODUCT($B$10:$J$10,(1+$B$56)^-($B$11:$J$11))+F$51*Model_3S!$L$22/(1+$B$56)^9-$B$31)/$B$32</f>
        <v>454.135503542683</v>
      </c>
      <c r="G56" s="43" t="n">
        <f aca="false">(SUMPRODUCT($B$10:$J$10,(1+$B$56)^-($B$11:$J$11))+G$51*Model_3S!$L$22/(1+$B$56)^9-$B$31)/$B$32</f>
        <v>491.772146111301</v>
      </c>
    </row>
    <row r="58" customFormat="false" ht="15" hidden="false" customHeight="false" outlineLevel="0" collapsed="false">
      <c r="A58" s="5" t="s">
        <v>267</v>
      </c>
    </row>
    <row r="59" customFormat="false" ht="15" hidden="false" customHeight="false" outlineLevel="0" collapsed="false">
      <c r="A59" s="13" t="s">
        <v>268</v>
      </c>
    </row>
    <row r="60" customFormat="false" ht="15" hidden="false" customHeight="false" outlineLevel="0" collapsed="false">
      <c r="B60" s="40" t="s">
        <v>269</v>
      </c>
      <c r="C60" s="41" t="n">
        <v>0.41</v>
      </c>
      <c r="D60" s="41" t="n">
        <v>0.44</v>
      </c>
      <c r="E60" s="41" t="n">
        <v>0.47</v>
      </c>
      <c r="F60" s="41" t="n">
        <v>0.49</v>
      </c>
      <c r="G60" s="41" t="n">
        <v>0.51</v>
      </c>
    </row>
    <row r="61" customFormat="false" ht="15" hidden="false" customHeight="false" outlineLevel="0" collapsed="false">
      <c r="B61" s="41" t="n">
        <v>0.05</v>
      </c>
      <c r="C61" s="43" t="n">
        <f aca="false">($B$15*(Model_3S!$C$18*(1+($B$61+Assumptions!$E$13)/2)^9*C$60)/Model_3S!$L$22+$B$25*(Model_3S!$C$18*(1+($B$61+Assumptions!$E$13)/2)^9*C$60)/(1+$B$16)^9-$B$31)/$B$32</f>
        <v>308.45558824806</v>
      </c>
      <c r="D61" s="43" t="n">
        <f aca="false">($B$15*(Model_3S!$C$18*(1+($B$61+Assumptions!$E$13)/2)^9*D$60)/Model_3S!$L$22+$B$25*(Model_3S!$C$18*(1+($B$61+Assumptions!$E$13)/2)^9*D$60)/(1+$B$16)^9-$B$31)/$B$32</f>
        <v>333.865878281317</v>
      </c>
      <c r="E61" s="43" t="n">
        <f aca="false">($B$15*(Model_3S!$C$18*(1+($B$61+Assumptions!$E$13)/2)^9*E$60)/Model_3S!$L$22+$B$25*(Model_3S!$C$18*(1+($B$61+Assumptions!$E$13)/2)^9*E$60)/(1+$B$16)^9-$B$31)/$B$32</f>
        <v>359.276168314575</v>
      </c>
      <c r="F61" s="43" t="n">
        <f aca="false">($B$15*(Model_3S!$C$18*(1+($B$61+Assumptions!$E$13)/2)^9*F$60)/Model_3S!$L$22+$B$25*(Model_3S!$C$18*(1+($B$61+Assumptions!$E$13)/2)^9*F$60)/(1+$B$16)^9-$B$31)/$B$32</f>
        <v>376.21636167008</v>
      </c>
      <c r="G61" s="43" t="n">
        <f aca="false">($B$15*(Model_3S!$C$18*(1+($B$61+Assumptions!$E$13)/2)^9*G$60)/Model_3S!$L$22+$B$25*(Model_3S!$C$18*(1+($B$61+Assumptions!$E$13)/2)^9*G$60)/(1+$B$16)^9-$B$31)/$B$32</f>
        <v>393.156555025585</v>
      </c>
    </row>
    <row r="62" customFormat="false" ht="15" hidden="false" customHeight="false" outlineLevel="0" collapsed="false">
      <c r="B62" s="41" t="n">
        <v>0.075</v>
      </c>
      <c r="C62" s="43" t="n">
        <f aca="false">($B$15*(Model_3S!$C$18*(1+($B$62+Assumptions!$E$13)/2)^9*C$60)/Model_3S!$L$22+$B$25*(Model_3S!$C$18*(1+($B$62+Assumptions!$E$13)/2)^9*C$60)/(1+$B$16)^9-$B$31)/$B$32</f>
        <v>347.291616434673</v>
      </c>
      <c r="D62" s="43" t="n">
        <f aca="false">($B$15*(Model_3S!$C$18*(1+($B$62+Assumptions!$E$13)/2)^9*D$60)/Model_3S!$L$22+$B$25*(Model_3S!$C$18*(1+($B$62+Assumptions!$E$13)/2)^9*D$60)/(1+$B$16)^9-$B$31)/$B$32</f>
        <v>375.543567066951</v>
      </c>
      <c r="E62" s="43" t="n">
        <f aca="false">($B$15*(Model_3S!$C$18*(1+($B$62+Assumptions!$E$13)/2)^9*E$60)/Model_3S!$L$22+$B$25*(Model_3S!$C$18*(1+($B$62+Assumptions!$E$13)/2)^9*E$60)/(1+$B$16)^9-$B$31)/$B$32</f>
        <v>403.79551769923</v>
      </c>
      <c r="F62" s="43" t="n">
        <f aca="false">($B$15*(Model_3S!$C$18*(1+($B$62+Assumptions!$E$13)/2)^9*F$60)/Model_3S!$L$22+$B$25*(Model_3S!$C$18*(1+($B$62+Assumptions!$E$13)/2)^9*F$60)/(1+$B$16)^9-$B$31)/$B$32</f>
        <v>422.630151454082</v>
      </c>
      <c r="G62" s="43" t="n">
        <f aca="false">($B$15*(Model_3S!$C$18*(1+($B$62+Assumptions!$E$13)/2)^9*G$60)/Model_3S!$L$22+$B$25*(Model_3S!$C$18*(1+($B$62+Assumptions!$E$13)/2)^9*G$60)/(1+$B$16)^9-$B$31)/$B$32</f>
        <v>441.464785208934</v>
      </c>
    </row>
    <row r="63" customFormat="false" ht="15" hidden="false" customHeight="false" outlineLevel="0" collapsed="false">
      <c r="B63" s="41" t="n">
        <v>0.1</v>
      </c>
      <c r="C63" s="43" t="n">
        <f aca="false">($B$15*(Model_3S!$C$18*(1+($B$63+Assumptions!$E$13)/2)^9*C$60)/Model_3S!$L$22+$B$25*(Model_3S!$C$18*(1+($B$63+Assumptions!$E$13)/2)^9*C$60)/(1+$B$16)^9-$B$31)/$B$32</f>
        <v>389.941253793544</v>
      </c>
      <c r="D63" s="43" t="n">
        <f aca="false">($B$15*(Model_3S!$C$18*(1+($B$63+Assumptions!$E$13)/2)^9*D$60)/Model_3S!$L$22+$B$25*(Model_3S!$C$18*(1+($B$63+Assumptions!$E$13)/2)^9*D$60)/(1+$B$16)^9-$B$31)/$B$32</f>
        <v>421.313909598423</v>
      </c>
      <c r="E63" s="43" t="n">
        <f aca="false">($B$15*(Model_3S!$C$18*(1+($B$63+Assumptions!$E$13)/2)^9*E$60)/Model_3S!$L$22+$B$25*(Model_3S!$C$18*(1+($B$63+Assumptions!$E$13)/2)^9*E$60)/(1+$B$16)^9-$B$31)/$B$32</f>
        <v>452.686565403301</v>
      </c>
      <c r="F63" s="43" t="n">
        <f aca="false">($B$15*(Model_3S!$C$18*(1+($B$63+Assumptions!$E$13)/2)^9*F$60)/Model_3S!$L$22+$B$25*(Model_3S!$C$18*(1+($B$63+Assumptions!$E$13)/2)^9*F$60)/(1+$B$16)^9-$B$31)/$B$32</f>
        <v>473.60166927322</v>
      </c>
      <c r="G63" s="43" t="n">
        <f aca="false">($B$15*(Model_3S!$C$18*(1+($B$63+Assumptions!$E$13)/2)^9*G$60)/Model_3S!$L$22+$B$25*(Model_3S!$C$18*(1+($B$63+Assumptions!$E$13)/2)^9*G$60)/(1+$B$16)^9-$B$31)/$B$32</f>
        <v>494.516773143139</v>
      </c>
    </row>
    <row r="64" customFormat="false" ht="15" hidden="false" customHeight="false" outlineLevel="0" collapsed="false">
      <c r="B64" s="41" t="n">
        <v>0.12</v>
      </c>
      <c r="C64" s="43" t="n">
        <f aca="false">($B$15*(Model_3S!$C$18*(1+($B$64+Assumptions!$E$13)/2)^9*C$60)/Model_3S!$L$22+$B$25*(Model_3S!$C$18*(1+($B$64+Assumptions!$E$13)/2)^9*C$60)/(1+$B$16)^9-$B$31)/$B$32</f>
        <v>427.023546394189</v>
      </c>
      <c r="D64" s="43" t="n">
        <f aca="false">($B$15*(Model_3S!$C$18*(1+($B$64+Assumptions!$E$13)/2)^9*D$60)/Model_3S!$L$22+$B$25*(Model_3S!$C$18*(1+($B$64+Assumptions!$E$13)/2)^9*D$60)/(1+$B$16)^9-$B$31)/$B$32</f>
        <v>461.109540682041</v>
      </c>
      <c r="E64" s="43" t="n">
        <f aca="false">($B$15*(Model_3S!$C$18*(1+($B$64+Assumptions!$E$13)/2)^9*E$60)/Model_3S!$L$22+$B$25*(Model_3S!$C$18*(1+($B$64+Assumptions!$E$13)/2)^9*E$60)/(1+$B$16)^9-$B$31)/$B$32</f>
        <v>495.195534969894</v>
      </c>
      <c r="F64" s="43" t="n">
        <f aca="false">($B$15*(Model_3S!$C$18*(1+($B$64+Assumptions!$E$13)/2)^9*F$60)/Model_3S!$L$22+$B$25*(Model_3S!$C$18*(1+($B$64+Assumptions!$E$13)/2)^9*F$60)/(1+$B$16)^9-$B$31)/$B$32</f>
        <v>517.919531161796</v>
      </c>
      <c r="G64" s="43" t="n">
        <f aca="false">($B$15*(Model_3S!$C$18*(1+($B$64+Assumptions!$E$13)/2)^9*G$60)/Model_3S!$L$22+$B$25*(Model_3S!$C$18*(1+($B$64+Assumptions!$E$13)/2)^9*G$60)/(1+$B$16)^9-$B$31)/$B$32</f>
        <v>540.643527353697</v>
      </c>
    </row>
    <row r="65" customFormat="false" ht="15" hidden="false" customHeight="false" outlineLevel="0" collapsed="false">
      <c r="B65" s="41" t="n">
        <v>0.14</v>
      </c>
      <c r="C65" s="43" t="n">
        <f aca="false">($B$15*(Model_3S!$C$18*(1+($B$65+Assumptions!$E$13)/2)^9*C$60)/Model_3S!$L$22+$B$25*(Model_3S!$C$18*(1+($B$65+Assumptions!$E$13)/2)^9*C$60)/(1+$B$16)^9-$B$31)/$B$32</f>
        <v>466.929717422347</v>
      </c>
      <c r="D65" s="43" t="n">
        <f aca="false">($B$15*(Model_3S!$C$18*(1+($B$65+Assumptions!$E$13)/2)^9*D$60)/Model_3S!$L$22+$B$25*(Model_3S!$C$18*(1+($B$65+Assumptions!$E$13)/2)^9*D$60)/(1+$B$16)^9-$B$31)/$B$32</f>
        <v>503.935675443967</v>
      </c>
      <c r="E65" s="43" t="n">
        <f aca="false">($B$15*(Model_3S!$C$18*(1+($B$65+Assumptions!$E$13)/2)^9*E$60)/Model_3S!$L$22+$B$25*(Model_3S!$C$18*(1+($B$65+Assumptions!$E$13)/2)^9*E$60)/(1+$B$16)^9-$B$31)/$B$32</f>
        <v>540.941633465587</v>
      </c>
      <c r="F65" s="43" t="n">
        <f aca="false">($B$15*(Model_3S!$C$18*(1+($B$65+Assumptions!$E$13)/2)^9*F$60)/Model_3S!$L$22+$B$25*(Model_3S!$C$18*(1+($B$65+Assumptions!$E$13)/2)^9*F$60)/(1+$B$16)^9-$B$31)/$B$32</f>
        <v>565.612272146667</v>
      </c>
      <c r="G65" s="43" t="n">
        <f aca="false">($B$15*(Model_3S!$C$18*(1+($B$65+Assumptions!$E$13)/2)^9*G$60)/Model_3S!$L$22+$B$25*(Model_3S!$C$18*(1+($B$65+Assumptions!$E$13)/2)^9*G$60)/(1+$B$16)^9-$B$31)/$B$32</f>
        <v>590.282910827747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9"/>
    <col collapsed="false" customWidth="true" hidden="false" outlineLevel="0" max="4" min="4" style="0" width="11"/>
    <col collapsed="false" customWidth="true" hidden="false" outlineLevel="0" max="6" min="5" style="0" width="10"/>
    <col collapsed="false" customWidth="true" hidden="false" outlineLevel="0" max="7" min="7" style="0" width="45"/>
  </cols>
  <sheetData>
    <row r="1" customFormat="false" ht="17.35" hidden="false" customHeight="false" outlineLevel="0" collapsed="false">
      <c r="A1" s="1" t="s">
        <v>270</v>
      </c>
    </row>
    <row r="4" customFormat="false" ht="15" hidden="false" customHeight="false" outlineLevel="0" collapsed="false">
      <c r="A4" s="10" t="s">
        <v>271</v>
      </c>
      <c r="B4" s="10" t="s">
        <v>272</v>
      </c>
      <c r="C4" s="10" t="s">
        <v>273</v>
      </c>
      <c r="D4" s="10" t="s">
        <v>274</v>
      </c>
      <c r="E4" s="10" t="s">
        <v>275</v>
      </c>
    </row>
    <row r="5" customFormat="false" ht="15" hidden="false" customHeight="false" outlineLevel="0" collapsed="false">
      <c r="A5" s="3" t="s">
        <v>276</v>
      </c>
      <c r="B5" s="3" t="s">
        <v>277</v>
      </c>
      <c r="C5" s="45" t="n">
        <v>15</v>
      </c>
      <c r="D5" s="45" t="n">
        <v>33</v>
      </c>
      <c r="E5" s="13" t="s">
        <v>278</v>
      </c>
    </row>
    <row r="6" customFormat="false" ht="15" hidden="false" customHeight="false" outlineLevel="0" collapsed="false">
      <c r="A6" s="3" t="s">
        <v>279</v>
      </c>
      <c r="B6" s="3" t="s">
        <v>280</v>
      </c>
      <c r="C6" s="45" t="n">
        <v>7</v>
      </c>
      <c r="D6" s="45" t="n">
        <v>25</v>
      </c>
      <c r="E6" s="13" t="s">
        <v>281</v>
      </c>
    </row>
    <row r="7" customFormat="false" ht="15" hidden="false" customHeight="false" outlineLevel="0" collapsed="false">
      <c r="A7" s="3" t="s">
        <v>282</v>
      </c>
      <c r="B7" s="3" t="s">
        <v>283</v>
      </c>
      <c r="C7" s="45" t="n">
        <v>11.5</v>
      </c>
      <c r="D7" s="45" t="n">
        <v>22</v>
      </c>
      <c r="E7" s="13" t="s">
        <v>281</v>
      </c>
    </row>
    <row r="8" customFormat="false" ht="15" hidden="false" customHeight="false" outlineLevel="0" collapsed="false">
      <c r="A8" s="3" t="s">
        <v>284</v>
      </c>
      <c r="B8" s="3" t="s">
        <v>285</v>
      </c>
      <c r="C8" s="45" t="n">
        <v>9</v>
      </c>
      <c r="D8" s="45" t="n">
        <v>18</v>
      </c>
      <c r="E8" s="13" t="s">
        <v>281</v>
      </c>
    </row>
    <row r="9" customFormat="false" ht="15" hidden="false" customHeight="false" outlineLevel="0" collapsed="false">
      <c r="A9" s="3" t="s">
        <v>286</v>
      </c>
      <c r="B9" s="3" t="s">
        <v>287</v>
      </c>
      <c r="C9" s="46" t="n">
        <f aca="false">(Assumptions!B49*Assumptions!B37+DCF!B31)/Model_3S!C18</f>
        <v>8.38754772409981</v>
      </c>
      <c r="D9" s="46" t="n">
        <f aca="false">(Assumptions!B49*Assumptions!B37+DCF!B31)/Model_3S!C22</f>
        <v>21.2342980356957</v>
      </c>
      <c r="E9" s="13" t="s">
        <v>288</v>
      </c>
    </row>
    <row r="10" customFormat="false" ht="15" hidden="false" customHeight="false" outlineLevel="0" collapsed="false">
      <c r="A10" s="7" t="s">
        <v>289</v>
      </c>
      <c r="C10" s="46" t="n">
        <f aca="false">MEDIAN(C5:C8)</f>
        <v>10.25</v>
      </c>
      <c r="D10" s="46" t="n">
        <f aca="false">MEDIAN(D5:D8)</f>
        <v>23.5</v>
      </c>
    </row>
    <row r="11" customFormat="false" ht="15" hidden="false" customHeight="false" outlineLevel="0" collapsed="false">
      <c r="A11" s="13" t="s">
        <v>290</v>
      </c>
    </row>
    <row r="12" customFormat="false" ht="15" hidden="false" customHeight="false" outlineLevel="0" collapsed="false">
      <c r="A12" s="5" t="s">
        <v>291</v>
      </c>
    </row>
    <row r="13" customFormat="false" ht="15" hidden="false" customHeight="false" outlineLevel="0" collapsed="false">
      <c r="A13" s="10" t="s">
        <v>292</v>
      </c>
      <c r="B13" s="10" t="s">
        <v>293</v>
      </c>
      <c r="C13" s="10" t="s">
        <v>294</v>
      </c>
      <c r="D13" s="10" t="s">
        <v>295</v>
      </c>
      <c r="E13" s="10" t="s">
        <v>296</v>
      </c>
      <c r="F13" s="10" t="s">
        <v>297</v>
      </c>
    </row>
    <row r="14" customFormat="false" ht="15" hidden="false" customHeight="false" outlineLevel="0" collapsed="false">
      <c r="A14" s="3" t="s">
        <v>298</v>
      </c>
      <c r="B14" s="16" t="n">
        <v>20</v>
      </c>
      <c r="C14" s="16" t="n">
        <v>30</v>
      </c>
      <c r="D14" s="21" t="n">
        <f aca="false">Model_3S!C22</f>
        <v>3817.675</v>
      </c>
      <c r="E14" s="39" t="n">
        <f aca="false">(B14*D14-DCF!$B$31)/Assumptions!$B$37</f>
        <v>359.686321746218</v>
      </c>
      <c r="F14" s="39" t="n">
        <f aca="false">(C14*D14-DCF!$B$31)/Assumptions!$B$37</f>
        <v>558.938670389224</v>
      </c>
    </row>
    <row r="15" customFormat="false" ht="15" hidden="false" customHeight="false" outlineLevel="0" collapsed="false">
      <c r="A15" s="3" t="s">
        <v>299</v>
      </c>
      <c r="B15" s="16" t="n">
        <v>25</v>
      </c>
      <c r="C15" s="16" t="n">
        <v>35</v>
      </c>
      <c r="D15" s="17" t="n">
        <v>14.76</v>
      </c>
      <c r="E15" s="39" t="n">
        <f aca="false">B15*D15</f>
        <v>369</v>
      </c>
      <c r="F15" s="39" t="n">
        <f aca="false">C15*D15</f>
        <v>516.6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6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55"/>
  </cols>
  <sheetData>
    <row r="1" customFormat="false" ht="17.35" hidden="false" customHeight="false" outlineLevel="0" collapsed="false">
      <c r="A1" s="1" t="s">
        <v>300</v>
      </c>
    </row>
    <row r="4" customFormat="false" ht="15" hidden="false" customHeight="false" outlineLevel="0" collapsed="false">
      <c r="A4" s="10" t="s">
        <v>301</v>
      </c>
      <c r="B4" s="10" t="s">
        <v>302</v>
      </c>
      <c r="C4" s="10" t="s">
        <v>303</v>
      </c>
      <c r="D4" s="10" t="s">
        <v>304</v>
      </c>
      <c r="E4" s="10" t="s">
        <v>273</v>
      </c>
      <c r="F4" s="10" t="s">
        <v>275</v>
      </c>
    </row>
    <row r="5" customFormat="false" ht="15" hidden="false" customHeight="false" outlineLevel="0" collapsed="false">
      <c r="A5" s="3" t="s">
        <v>305</v>
      </c>
      <c r="B5" s="3" t="s">
        <v>306</v>
      </c>
      <c r="C5" s="3" t="s">
        <v>307</v>
      </c>
      <c r="D5" s="18" t="n">
        <v>35000</v>
      </c>
      <c r="E5" s="45" t="n">
        <v>15.4</v>
      </c>
      <c r="F5" s="13" t="s">
        <v>308</v>
      </c>
    </row>
    <row r="6" customFormat="false" ht="15" hidden="false" customHeight="false" outlineLevel="0" collapsed="false">
      <c r="A6" s="3" t="s">
        <v>309</v>
      </c>
      <c r="B6" s="3" t="s">
        <v>310</v>
      </c>
      <c r="C6" s="3" t="s">
        <v>311</v>
      </c>
      <c r="D6" s="18" t="n">
        <v>10600</v>
      </c>
      <c r="E6" s="45" t="n">
        <v>15</v>
      </c>
      <c r="F6" s="13" t="s">
        <v>281</v>
      </c>
    </row>
    <row r="7" customFormat="false" ht="15" hidden="false" customHeight="false" outlineLevel="0" collapsed="false">
      <c r="A7" s="3" t="s">
        <v>312</v>
      </c>
      <c r="B7" s="3" t="s">
        <v>313</v>
      </c>
      <c r="C7" s="3" t="s">
        <v>314</v>
      </c>
      <c r="D7" s="18" t="n">
        <v>5900</v>
      </c>
      <c r="E7" s="45" t="n">
        <v>20</v>
      </c>
      <c r="F7" s="13" t="s">
        <v>281</v>
      </c>
    </row>
    <row r="8" customFormat="false" ht="15" hidden="false" customHeight="false" outlineLevel="0" collapsed="false">
      <c r="A8" s="3" t="s">
        <v>315</v>
      </c>
      <c r="B8" s="3" t="s">
        <v>316</v>
      </c>
      <c r="C8" s="3" t="s">
        <v>317</v>
      </c>
      <c r="D8" s="18" t="n">
        <v>1240</v>
      </c>
      <c r="E8" s="45" t="n">
        <v>14</v>
      </c>
      <c r="F8" s="13" t="s">
        <v>281</v>
      </c>
    </row>
    <row r="9" customFormat="false" ht="15" hidden="false" customHeight="false" outlineLevel="0" collapsed="false">
      <c r="A9" s="3" t="s">
        <v>318</v>
      </c>
      <c r="B9" s="3" t="s">
        <v>310</v>
      </c>
      <c r="C9" s="3" t="s">
        <v>319</v>
      </c>
      <c r="D9" s="18" t="n">
        <v>4500</v>
      </c>
      <c r="E9" s="45" t="n">
        <v>3.7</v>
      </c>
      <c r="F9" s="13" t="s">
        <v>320</v>
      </c>
    </row>
    <row r="10" customFormat="false" ht="15" hidden="false" customHeight="false" outlineLevel="0" collapsed="false">
      <c r="A10" s="7" t="s">
        <v>321</v>
      </c>
      <c r="E10" s="46" t="n">
        <f aca="false">MEDIAN(E5:E9)</f>
        <v>15</v>
      </c>
    </row>
    <row r="12" customFormat="false" ht="15" hidden="false" customHeight="false" outlineLevel="0" collapsed="false">
      <c r="A12" s="5" t="s">
        <v>322</v>
      </c>
    </row>
    <row r="13" customFormat="false" ht="15" hidden="false" customHeight="false" outlineLevel="0" collapsed="false">
      <c r="A13" s="13" t="s">
        <v>323</v>
      </c>
    </row>
    <row r="14" customFormat="false" ht="15" hidden="false" customHeight="false" outlineLevel="0" collapsed="false">
      <c r="A14" s="10"/>
      <c r="B14" s="10" t="s">
        <v>324</v>
      </c>
      <c r="C14" s="10" t="s">
        <v>325</v>
      </c>
    </row>
    <row r="15" customFormat="false" ht="15" hidden="false" customHeight="false" outlineLevel="0" collapsed="false">
      <c r="A15" s="3" t="s">
        <v>326</v>
      </c>
      <c r="B15" s="16" t="n">
        <v>8</v>
      </c>
      <c r="C15" s="16" t="n">
        <v>12</v>
      </c>
    </row>
    <row r="16" customFormat="false" ht="15" hidden="false" customHeight="false" outlineLevel="0" collapsed="false">
      <c r="A16" s="3" t="s">
        <v>327</v>
      </c>
      <c r="B16" s="24" t="n">
        <f aca="false">B15*Model_3S!C18</f>
        <v>77320</v>
      </c>
      <c r="C16" s="24" t="n">
        <f aca="false">C15*Model_3S!C18</f>
        <v>115980</v>
      </c>
    </row>
    <row r="17" customFormat="false" ht="15" hidden="false" customHeight="false" outlineLevel="0" collapsed="false">
      <c r="A17" s="7" t="s">
        <v>261</v>
      </c>
      <c r="B17" s="39" t="n">
        <f aca="false">(B16-DCF!$B$31)/Assumptions!$B$37</f>
        <v>364.730685003003</v>
      </c>
      <c r="C17" s="39" t="n">
        <f aca="false">(C16-DCF!$B$31)/Assumptions!$B$37</f>
        <v>566.505215274402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5" min="2" style="0" width="15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328</v>
      </c>
    </row>
    <row r="4" customFormat="false" ht="15" hidden="false" customHeight="false" outlineLevel="0" collapsed="false">
      <c r="A4" s="5" t="s">
        <v>329</v>
      </c>
    </row>
    <row r="5" customFormat="false" ht="15" hidden="false" customHeight="false" outlineLevel="0" collapsed="false">
      <c r="A5" s="3" t="s">
        <v>330</v>
      </c>
      <c r="B5" s="11" t="n">
        <v>0.2</v>
      </c>
    </row>
    <row r="6" customFormat="false" ht="15" hidden="false" customHeight="false" outlineLevel="0" collapsed="false">
      <c r="A6" s="3" t="s">
        <v>331</v>
      </c>
      <c r="B6" s="39" t="n">
        <f aca="false">Assumptions!B49*(1+B5)</f>
        <v>461.136</v>
      </c>
    </row>
    <row r="7" customFormat="false" ht="15" hidden="false" customHeight="false" outlineLevel="0" collapsed="false">
      <c r="A7" s="3" t="s">
        <v>254</v>
      </c>
      <c r="B7" s="38" t="n">
        <f aca="false">Assumptions!B37</f>
        <v>191.6</v>
      </c>
    </row>
    <row r="8" customFormat="false" ht="15" hidden="false" customHeight="false" outlineLevel="0" collapsed="false">
      <c r="A8" s="3" t="s">
        <v>332</v>
      </c>
      <c r="B8" s="24" t="n">
        <f aca="false">B6*B7</f>
        <v>88353.6576</v>
      </c>
    </row>
    <row r="9" customFormat="false" ht="15" hidden="false" customHeight="false" outlineLevel="0" collapsed="false">
      <c r="A9" s="3" t="s">
        <v>333</v>
      </c>
      <c r="B9" s="21" t="n">
        <f aca="false">DCF!B31</f>
        <v>7437.60075342466</v>
      </c>
    </row>
    <row r="10" customFormat="false" ht="15" hidden="false" customHeight="false" outlineLevel="0" collapsed="false">
      <c r="A10" s="3" t="s">
        <v>334</v>
      </c>
      <c r="B10" s="23" t="n">
        <f aca="false">B8+B9</f>
        <v>95791.2583534247</v>
      </c>
    </row>
    <row r="11" customFormat="false" ht="15" hidden="false" customHeight="false" outlineLevel="0" collapsed="false">
      <c r="A11" s="3" t="s">
        <v>335</v>
      </c>
      <c r="B11" s="11" t="n">
        <v>0.02</v>
      </c>
    </row>
    <row r="12" customFormat="false" ht="15" hidden="false" customHeight="false" outlineLevel="0" collapsed="false">
      <c r="A12" s="3" t="s">
        <v>336</v>
      </c>
      <c r="B12" s="21" t="n">
        <f aca="false">Model_3S!C22</f>
        <v>3817.675</v>
      </c>
    </row>
    <row r="13" customFormat="false" ht="15" hidden="false" customHeight="false" outlineLevel="0" collapsed="false">
      <c r="A13" s="25" t="s">
        <v>337</v>
      </c>
      <c r="B13" s="36" t="n">
        <f aca="false">B10/B12</f>
        <v>25.0915173118258</v>
      </c>
    </row>
    <row r="14" customFormat="false" ht="15" hidden="false" customHeight="false" outlineLevel="0" collapsed="false">
      <c r="A14" s="10" t="s">
        <v>338</v>
      </c>
      <c r="B14" s="10" t="s">
        <v>339</v>
      </c>
      <c r="C14" s="10" t="s">
        <v>340</v>
      </c>
      <c r="D14" s="10" t="s">
        <v>341</v>
      </c>
    </row>
    <row r="15" customFormat="false" ht="15" hidden="false" customHeight="false" outlineLevel="0" collapsed="false">
      <c r="A15" s="3" t="s">
        <v>342</v>
      </c>
      <c r="B15" s="16" t="n">
        <v>4.5</v>
      </c>
      <c r="C15" s="11" t="n">
        <v>0.075</v>
      </c>
      <c r="D15" s="24" t="n">
        <f aca="false">B15*$B$12</f>
        <v>17179.5375</v>
      </c>
    </row>
    <row r="16" customFormat="false" ht="15" hidden="false" customHeight="false" outlineLevel="0" collapsed="false">
      <c r="A16" s="3" t="s">
        <v>343</v>
      </c>
      <c r="B16" s="16" t="n">
        <v>2</v>
      </c>
      <c r="C16" s="11" t="n">
        <v>0.09</v>
      </c>
      <c r="D16" s="24" t="n">
        <f aca="false">B16*$B$12</f>
        <v>7635.35</v>
      </c>
    </row>
    <row r="17" customFormat="false" ht="15" hidden="false" customHeight="false" outlineLevel="0" collapsed="false">
      <c r="A17" s="7" t="s">
        <v>344</v>
      </c>
      <c r="B17" s="46" t="n">
        <f aca="false">B15+B16</f>
        <v>6.5</v>
      </c>
      <c r="D17" s="23" t="n">
        <f aca="false">D15+D16</f>
        <v>24814.8875</v>
      </c>
    </row>
    <row r="18" customFormat="false" ht="15" hidden="false" customHeight="false" outlineLevel="0" collapsed="false">
      <c r="A18" s="7" t="s">
        <v>345</v>
      </c>
      <c r="B18" s="23" t="n">
        <f aca="false">B10*(1+B11)-D17</f>
        <v>72892.1960204932</v>
      </c>
    </row>
    <row r="20" customFormat="false" ht="15" hidden="false" customHeight="false" outlineLevel="0" collapsed="false">
      <c r="A20" s="5" t="s">
        <v>346</v>
      </c>
    </row>
    <row r="21" customFormat="false" ht="15" hidden="false" customHeight="false" outlineLevel="0" collapsed="false">
      <c r="A21" s="10"/>
      <c r="B21" s="10" t="s">
        <v>134</v>
      </c>
      <c r="C21" s="10" t="s">
        <v>135</v>
      </c>
      <c r="D21" s="10" t="s">
        <v>136</v>
      </c>
      <c r="E21" s="10" t="s">
        <v>137</v>
      </c>
      <c r="F21" s="10" t="s">
        <v>138</v>
      </c>
    </row>
    <row r="22" customFormat="false" ht="15" hidden="false" customHeight="false" outlineLevel="0" collapsed="false">
      <c r="A22" s="3" t="s">
        <v>347</v>
      </c>
      <c r="B22" s="21" t="n">
        <f aca="false">DCF!B10</f>
        <v>2557.18237224759</v>
      </c>
      <c r="C22" s="21" t="n">
        <f aca="false">DCF!C10</f>
        <v>2885.86365002892</v>
      </c>
      <c r="D22" s="21" t="n">
        <f aca="false">DCF!D10</f>
        <v>3238.45845081</v>
      </c>
      <c r="E22" s="21" t="n">
        <f aca="false">DCF!E10</f>
        <v>3613.83884750701</v>
      </c>
      <c r="F22" s="21" t="n">
        <f aca="false">DCF!F10</f>
        <v>4010.36597343036</v>
      </c>
    </row>
    <row r="23" customFormat="false" ht="15" hidden="false" customHeight="false" outlineLevel="0" collapsed="false">
      <c r="A23" s="3" t="s">
        <v>348</v>
      </c>
      <c r="B23" s="24" t="n">
        <f aca="false">-$D$15*$C$15</f>
        <v>-1288.4653125</v>
      </c>
      <c r="C23" s="24" t="n">
        <f aca="false">-B29*$C$15</f>
        <v>-1212.25197311268</v>
      </c>
      <c r="D23" s="24" t="n">
        <f aca="false">-C29*$C$15</f>
        <v>-1106.9290575376</v>
      </c>
      <c r="E23" s="24" t="n">
        <f aca="false">-D29*$C$15</f>
        <v>-969.000141342803</v>
      </c>
      <c r="F23" s="24" t="n">
        <f aca="false">-E29*$C$15</f>
        <v>-794.848853798331</v>
      </c>
    </row>
    <row r="24" customFormat="false" ht="15" hidden="false" customHeight="false" outlineLevel="0" collapsed="false">
      <c r="A24" s="3" t="s">
        <v>349</v>
      </c>
      <c r="B24" s="24" t="n">
        <f aca="false">-$D$16*$C$16</f>
        <v>-687.1815</v>
      </c>
      <c r="C24" s="24" t="n">
        <f aca="false">-$D$16*$C$16</f>
        <v>-687.1815</v>
      </c>
      <c r="D24" s="24" t="n">
        <f aca="false">-$D$16*$C$16</f>
        <v>-687.1815</v>
      </c>
      <c r="E24" s="24" t="n">
        <f aca="false">-$D$16*$C$16</f>
        <v>-687.1815</v>
      </c>
      <c r="F24" s="24" t="n">
        <f aca="false">-$D$16*$C$16</f>
        <v>-687.1815</v>
      </c>
    </row>
    <row r="25" customFormat="false" ht="15" hidden="false" customHeight="false" outlineLevel="0" collapsed="false">
      <c r="A25" s="3" t="s">
        <v>350</v>
      </c>
      <c r="B25" s="24" t="n">
        <f aca="false">-(B23+B24)*Assumptions!$B$38</f>
        <v>434.64229875</v>
      </c>
      <c r="C25" s="24" t="n">
        <f aca="false">-(C23+C24)*Assumptions!$B$38</f>
        <v>417.87536408479</v>
      </c>
      <c r="D25" s="24" t="n">
        <f aca="false">-(D23+D24)*Assumptions!$B$38</f>
        <v>394.704322658273</v>
      </c>
      <c r="E25" s="24" t="n">
        <f aca="false">-(E23+E24)*Assumptions!$B$38</f>
        <v>364.359961095417</v>
      </c>
      <c r="F25" s="24" t="n">
        <f aca="false">-(F23+F24)*Assumptions!$B$38</f>
        <v>326.046677835633</v>
      </c>
    </row>
    <row r="26" customFormat="false" ht="15" hidden="false" customHeight="false" outlineLevel="0" collapsed="false">
      <c r="A26" s="3" t="s">
        <v>351</v>
      </c>
      <c r="B26" s="24" t="n">
        <f aca="false">MAX(0,B22+B23+B24+B25)</f>
        <v>1016.17785849759</v>
      </c>
      <c r="C26" s="24" t="n">
        <f aca="false">MAX(0,C22+C23+C24+C25)</f>
        <v>1404.30554100103</v>
      </c>
      <c r="D26" s="24" t="n">
        <f aca="false">MAX(0,D22+D23+D24+D25)</f>
        <v>1839.05221593067</v>
      </c>
      <c r="E26" s="24" t="n">
        <f aca="false">MAX(0,E22+E23+E24+E25)</f>
        <v>2322.01716725963</v>
      </c>
      <c r="F26" s="24" t="n">
        <f aca="false">MAX(0,F22+F23+F24+F25)</f>
        <v>2854.38229746766</v>
      </c>
    </row>
    <row r="27" customFormat="false" ht="15" hidden="false" customHeight="false" outlineLevel="0" collapsed="false">
      <c r="A27" s="3" t="s">
        <v>352</v>
      </c>
      <c r="B27" s="24" t="n">
        <f aca="false">$D$15</f>
        <v>17179.5375</v>
      </c>
      <c r="C27" s="24" t="n">
        <f aca="false">B29</f>
        <v>16163.3596415024</v>
      </c>
      <c r="D27" s="24" t="n">
        <f aca="false">C29</f>
        <v>14759.0541005014</v>
      </c>
      <c r="E27" s="24" t="n">
        <f aca="false">D29</f>
        <v>12920.0018845707</v>
      </c>
      <c r="F27" s="24" t="n">
        <f aca="false">E29</f>
        <v>10597.9847173111</v>
      </c>
    </row>
    <row r="28" customFormat="false" ht="15" hidden="false" customHeight="false" outlineLevel="0" collapsed="false">
      <c r="A28" s="3" t="s">
        <v>353</v>
      </c>
      <c r="B28" s="24" t="n">
        <f aca="false">-MIN(B27,B26)</f>
        <v>-1016.17785849759</v>
      </c>
      <c r="C28" s="24" t="n">
        <f aca="false">-MIN(C27,C26)</f>
        <v>-1404.30554100103</v>
      </c>
      <c r="D28" s="24" t="n">
        <f aca="false">-MIN(D27,D26)</f>
        <v>-1839.05221593067</v>
      </c>
      <c r="E28" s="24" t="n">
        <f aca="false">-MIN(E27,E26)</f>
        <v>-2322.01716725963</v>
      </c>
      <c r="F28" s="24" t="n">
        <f aca="false">-MIN(F27,F26)</f>
        <v>-2854.38229746766</v>
      </c>
    </row>
    <row r="29" customFormat="false" ht="15" hidden="false" customHeight="false" outlineLevel="0" collapsed="false">
      <c r="A29" s="3" t="s">
        <v>354</v>
      </c>
      <c r="B29" s="24" t="n">
        <f aca="false">B27+B28</f>
        <v>16163.3596415024</v>
      </c>
      <c r="C29" s="24" t="n">
        <f aca="false">C27+C28</f>
        <v>14759.0541005014</v>
      </c>
      <c r="D29" s="24" t="n">
        <f aca="false">D27+D28</f>
        <v>12920.0018845707</v>
      </c>
      <c r="E29" s="24" t="n">
        <f aca="false">E27+E28</f>
        <v>10597.9847173111</v>
      </c>
      <c r="F29" s="24" t="n">
        <f aca="false">F27+F28</f>
        <v>7743.60241984343</v>
      </c>
    </row>
    <row r="30" customFormat="false" ht="15" hidden="false" customHeight="false" outlineLevel="0" collapsed="false">
      <c r="A30" s="3" t="s">
        <v>355</v>
      </c>
      <c r="B30" s="24" t="n">
        <f aca="false">$D$16</f>
        <v>7635.35</v>
      </c>
      <c r="C30" s="24" t="n">
        <f aca="false">$D$16</f>
        <v>7635.35</v>
      </c>
      <c r="D30" s="24" t="n">
        <f aca="false">$D$16</f>
        <v>7635.35</v>
      </c>
      <c r="E30" s="24" t="n">
        <f aca="false">$D$16</f>
        <v>7635.35</v>
      </c>
      <c r="F30" s="24" t="n">
        <f aca="false">$D$16</f>
        <v>7635.35</v>
      </c>
    </row>
    <row r="31" customFormat="false" ht="15" hidden="false" customHeight="false" outlineLevel="0" collapsed="false">
      <c r="A31" s="7" t="s">
        <v>188</v>
      </c>
      <c r="B31" s="23" t="n">
        <f aca="false">B29+B30</f>
        <v>23798.7096415024</v>
      </c>
      <c r="C31" s="23" t="n">
        <f aca="false">C29+C30</f>
        <v>22394.4041005014</v>
      </c>
      <c r="D31" s="23" t="n">
        <f aca="false">D29+D30</f>
        <v>20555.3518845707</v>
      </c>
      <c r="E31" s="23" t="n">
        <f aca="false">E29+E30</f>
        <v>18233.3347173111</v>
      </c>
      <c r="F31" s="23" t="n">
        <f aca="false">F29+F30</f>
        <v>15378.9524198434</v>
      </c>
    </row>
    <row r="33" customFormat="false" ht="15" hidden="false" customHeight="false" outlineLevel="0" collapsed="false">
      <c r="A33" s="5" t="s">
        <v>356</v>
      </c>
    </row>
    <row r="34" customFormat="false" ht="15" hidden="false" customHeight="false" outlineLevel="0" collapsed="false">
      <c r="A34" s="3" t="s">
        <v>357</v>
      </c>
      <c r="B34" s="21" t="n">
        <f aca="false">Model_3S!H22</f>
        <v>6492.89971717695</v>
      </c>
    </row>
    <row r="35" customFormat="false" ht="15" hidden="false" customHeight="false" outlineLevel="0" collapsed="false">
      <c r="A35" s="3" t="s">
        <v>358</v>
      </c>
      <c r="B35" s="16" t="n">
        <v>18</v>
      </c>
    </row>
    <row r="36" customFormat="false" ht="15" hidden="false" customHeight="false" outlineLevel="0" collapsed="false">
      <c r="A36" s="3" t="s">
        <v>359</v>
      </c>
      <c r="B36" s="24" t="n">
        <f aca="false">B34*B35</f>
        <v>116872.194909185</v>
      </c>
    </row>
    <row r="37" customFormat="false" ht="15" hidden="false" customHeight="false" outlineLevel="0" collapsed="false">
      <c r="A37" s="3" t="s">
        <v>360</v>
      </c>
      <c r="B37" s="24" t="n">
        <f aca="false">-F31</f>
        <v>-15378.9524198434</v>
      </c>
    </row>
    <row r="38" customFormat="false" ht="15" hidden="false" customHeight="false" outlineLevel="0" collapsed="false">
      <c r="A38" s="7" t="s">
        <v>361</v>
      </c>
      <c r="B38" s="23" t="n">
        <f aca="false">B36+B37</f>
        <v>101493.242489342</v>
      </c>
    </row>
    <row r="39" customFormat="false" ht="15" hidden="false" customHeight="false" outlineLevel="0" collapsed="false">
      <c r="A39" s="7" t="s">
        <v>362</v>
      </c>
      <c r="B39" s="46" t="n">
        <f aca="false">B38/B18</f>
        <v>1.39237460291096</v>
      </c>
    </row>
    <row r="40" customFormat="false" ht="15" hidden="false" customHeight="false" outlineLevel="0" collapsed="false">
      <c r="A40" s="7" t="s">
        <v>363</v>
      </c>
      <c r="B40" s="12" t="n">
        <f aca="false">(B38/B18)^(1/5)-1</f>
        <v>0.0684426568767831</v>
      </c>
    </row>
    <row r="42" customFormat="false" ht="15" hidden="false" customHeight="false" outlineLevel="0" collapsed="false">
      <c r="A42" s="5" t="s">
        <v>364</v>
      </c>
    </row>
    <row r="43" customFormat="false" ht="15" hidden="false" customHeight="false" outlineLevel="0" collapsed="false">
      <c r="A43" s="10" t="s">
        <v>365</v>
      </c>
      <c r="B43" s="10" t="s">
        <v>366</v>
      </c>
      <c r="C43" s="10" t="s">
        <v>367</v>
      </c>
      <c r="D43" s="10" t="s">
        <v>368</v>
      </c>
      <c r="E43" s="10" t="s">
        <v>369</v>
      </c>
    </row>
    <row r="44" customFormat="false" ht="15" hidden="false" customHeight="false" outlineLevel="0" collapsed="false">
      <c r="A44" s="11" t="n">
        <v>0.15</v>
      </c>
      <c r="B44" s="24" t="n">
        <f aca="false">$B$38/(1+A44)^5</f>
        <v>50460.0789556886</v>
      </c>
      <c r="C44" s="24" t="n">
        <f aca="false">(B44+$D$17)/(1+$B$11)</f>
        <v>73798.9867212633</v>
      </c>
      <c r="D44" s="39" t="n">
        <f aca="false">(C44-$B$9)/$B$7</f>
        <v>346.353788976193</v>
      </c>
      <c r="E44" s="27" t="n">
        <f aca="false">D44/Assumptions!$B$49-1</f>
        <v>-0.0986942100130285</v>
      </c>
    </row>
    <row r="45" customFormat="false" ht="15" hidden="false" customHeight="false" outlineLevel="0" collapsed="false">
      <c r="A45" s="11" t="n">
        <v>0.2</v>
      </c>
      <c r="B45" s="24" t="n">
        <f aca="false">$B$38/(1+A45)^5</f>
        <v>40787.8578676946</v>
      </c>
      <c r="C45" s="24" t="n">
        <f aca="false">(B45+$D$17)/(1+$B$11)</f>
        <v>64316.4170271515</v>
      </c>
      <c r="D45" s="39" t="n">
        <f aca="false">(C45-$B$9)/$B$7</f>
        <v>296.862297879577</v>
      </c>
      <c r="E45" s="27" t="n">
        <f aca="false">D45/Assumptions!$B$49-1</f>
        <v>-0.22748439190284</v>
      </c>
    </row>
    <row r="46" customFormat="false" ht="15" hidden="false" customHeight="false" outlineLevel="0" collapsed="false">
      <c r="A46" s="11" t="n">
        <v>0.25</v>
      </c>
      <c r="B46" s="24" t="n">
        <f aca="false">$B$38/(1+A46)^5</f>
        <v>33257.3056989075</v>
      </c>
      <c r="C46" s="24" t="n">
        <f aca="false">(B46+$D$17)/(1+$B$11)</f>
        <v>56933.5227440269</v>
      </c>
      <c r="D46" s="39" t="n">
        <f aca="false">(C46-$B$9)/$B$7</f>
        <v>258.329446715043</v>
      </c>
      <c r="E46" s="27" t="n">
        <f aca="false">D46/Assumptions!$B$49-1</f>
        <v>-0.327757242856659</v>
      </c>
    </row>
    <row r="47" customFormat="false" ht="15" hidden="false" customHeight="false" outlineLevel="0" collapsed="false">
      <c r="A47" s="11" t="n">
        <v>0.3</v>
      </c>
      <c r="B47" s="24" t="n">
        <f aca="false">$B$38/(1+A47)^5</f>
        <v>27335.0810517143</v>
      </c>
      <c r="C47" s="24" t="n">
        <f aca="false">(B47+$D$17)/(1+$B$11)</f>
        <v>51127.4201487395</v>
      </c>
      <c r="D47" s="39" t="n">
        <f aca="false">(C47-$B$9)/$B$7</f>
        <v>228.02619726156</v>
      </c>
      <c r="E47" s="27" t="n">
        <f aca="false">D47/Assumptions!$B$49-1</f>
        <v>-0.406614454924638</v>
      </c>
    </row>
    <row r="49" customFormat="false" ht="15" hidden="false" customHeight="false" outlineLevel="0" collapsed="false">
      <c r="A49" s="13" t="s">
        <v>370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11" min="3" style="0" width="11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1" t="s">
        <v>371</v>
      </c>
    </row>
    <row r="2" customFormat="false" ht="15" hidden="false" customHeight="false" outlineLevel="0" collapsed="false">
      <c r="A2" s="47" t="s">
        <v>372</v>
      </c>
    </row>
    <row r="4" customFormat="false" ht="15" hidden="false" customHeight="false" outlineLevel="0" collapsed="false">
      <c r="A4" s="5" t="s">
        <v>373</v>
      </c>
    </row>
    <row r="5" customFormat="false" ht="15" hidden="false" customHeight="false" outlineLevel="0" collapsed="false">
      <c r="A5" s="10" t="s">
        <v>374</v>
      </c>
      <c r="B5" s="10" t="s">
        <v>375</v>
      </c>
      <c r="C5" s="10" t="s">
        <v>376</v>
      </c>
    </row>
    <row r="6" customFormat="false" ht="15" hidden="false" customHeight="false" outlineLevel="0" collapsed="false">
      <c r="A6" s="3" t="s">
        <v>63</v>
      </c>
      <c r="B6" s="20" t="n">
        <f aca="false">Assumptions!E12</f>
        <v>0.1</v>
      </c>
      <c r="C6" s="11" t="n">
        <v>0.03</v>
      </c>
    </row>
    <row r="7" customFormat="false" ht="15" hidden="false" customHeight="false" outlineLevel="0" collapsed="false">
      <c r="A7" s="3" t="s">
        <v>377</v>
      </c>
      <c r="B7" s="20" t="n">
        <f aca="false">Assumptions!F17-Assumptions!F18</f>
        <v>0.47</v>
      </c>
      <c r="C7" s="11" t="n">
        <v>0.03</v>
      </c>
    </row>
    <row r="8" customFormat="false" ht="15" hidden="false" customHeight="false" outlineLevel="0" collapsed="false">
      <c r="A8" s="3" t="s">
        <v>9</v>
      </c>
      <c r="B8" s="48" t="n">
        <f aca="false">WACC!B20</f>
        <v>0.0973776</v>
      </c>
      <c r="C8" s="29" t="n">
        <v>0.0075</v>
      </c>
    </row>
    <row r="9" customFormat="false" ht="15" hidden="false" customHeight="false" outlineLevel="0" collapsed="false">
      <c r="A9" s="3" t="s">
        <v>358</v>
      </c>
      <c r="B9" s="37" t="n">
        <f aca="false">Assumptions!B48</f>
        <v>18</v>
      </c>
      <c r="C9" s="16" t="n">
        <v>3</v>
      </c>
    </row>
    <row r="11" customFormat="false" ht="15" hidden="false" customHeight="false" outlineLevel="0" collapsed="false">
      <c r="A11" s="5" t="s">
        <v>378</v>
      </c>
    </row>
    <row r="12" customFormat="false" ht="15" hidden="false" customHeight="false" outlineLevel="0" collapsed="false">
      <c r="A12" s="3" t="s">
        <v>379</v>
      </c>
      <c r="B12" s="21" t="n">
        <f aca="false">Model_3S!L22</f>
        <v>9074.74075829174</v>
      </c>
    </row>
    <row r="13" customFormat="false" ht="15" hidden="false" customHeight="false" outlineLevel="0" collapsed="false">
      <c r="A13" s="3" t="s">
        <v>380</v>
      </c>
      <c r="B13" s="21" t="n">
        <f aca="false">DCF!B15</f>
        <v>23333.214208233</v>
      </c>
    </row>
    <row r="14" customFormat="false" ht="15" hidden="false" customHeight="false" outlineLevel="0" collapsed="false">
      <c r="A14" s="3" t="s">
        <v>381</v>
      </c>
      <c r="B14" s="21" t="n">
        <f aca="false">DCF!B31</f>
        <v>7437.60075342466</v>
      </c>
    </row>
    <row r="15" customFormat="false" ht="15" hidden="false" customHeight="false" outlineLevel="0" collapsed="false">
      <c r="A15" s="3" t="s">
        <v>254</v>
      </c>
      <c r="B15" s="38" t="n">
        <f aca="false">Assumptions!B37</f>
        <v>191.6</v>
      </c>
    </row>
    <row r="16" customFormat="false" ht="15" hidden="false" customHeight="false" outlineLevel="0" collapsed="false">
      <c r="A16" s="3" t="s">
        <v>382</v>
      </c>
      <c r="B16" s="49" t="n">
        <f aca="false">Assumptions!B49</f>
        <v>384.28</v>
      </c>
    </row>
    <row r="17" customFormat="false" ht="15" hidden="false" customHeight="false" outlineLevel="0" collapsed="false">
      <c r="A17" s="3" t="s">
        <v>383</v>
      </c>
      <c r="B17" s="20" t="n">
        <f aca="false">Assumptions!E13</f>
        <v>0.06</v>
      </c>
    </row>
    <row r="18" customFormat="false" ht="15" hidden="false" customHeight="false" outlineLevel="0" collapsed="false">
      <c r="A18" s="3" t="s">
        <v>384</v>
      </c>
      <c r="B18" s="21" t="n">
        <f aca="false">Model_3S!C18</f>
        <v>9665</v>
      </c>
    </row>
    <row r="20" customFormat="false" ht="15" hidden="false" customHeight="false" outlineLevel="0" collapsed="false">
      <c r="A20" s="5" t="s">
        <v>385</v>
      </c>
    </row>
    <row r="21" customFormat="false" ht="15" hidden="false" customHeight="false" outlineLevel="0" collapsed="false">
      <c r="A21" s="7" t="s">
        <v>386</v>
      </c>
      <c r="B21" s="39" t="n">
        <f aca="false">AVERAGE($K$41:$K$540)</f>
        <v>456.381617858977</v>
      </c>
    </row>
    <row r="22" customFormat="false" ht="15" hidden="false" customHeight="false" outlineLevel="0" collapsed="false">
      <c r="A22" s="3" t="s">
        <v>387</v>
      </c>
      <c r="B22" s="43" t="n">
        <f aca="false">MEDIAN($K$41:$K$540)</f>
        <v>447.417777294396</v>
      </c>
    </row>
    <row r="23" customFormat="false" ht="15" hidden="false" customHeight="false" outlineLevel="0" collapsed="false">
      <c r="A23" s="3" t="s">
        <v>388</v>
      </c>
      <c r="B23" s="43" t="n">
        <f aca="false">STDEV($K$41:$K$540)</f>
        <v>96.1580499466203</v>
      </c>
    </row>
    <row r="24" customFormat="false" ht="15" hidden="false" customHeight="false" outlineLevel="0" collapsed="false">
      <c r="A24" s="3" t="s">
        <v>389</v>
      </c>
      <c r="B24" s="43" t="n">
        <f aca="false">PERCENTILE($K$41:$K$540,0.05)</f>
        <v>310.046218237875</v>
      </c>
    </row>
    <row r="25" customFormat="false" ht="15" hidden="false" customHeight="false" outlineLevel="0" collapsed="false">
      <c r="A25" s="3" t="s">
        <v>390</v>
      </c>
      <c r="B25" s="43" t="n">
        <f aca="false">PERCENTILE($K$41:$K$540,0.25)</f>
        <v>390.390327935994</v>
      </c>
    </row>
    <row r="26" customFormat="false" ht="15" hidden="false" customHeight="false" outlineLevel="0" collapsed="false">
      <c r="A26" s="3" t="s">
        <v>391</v>
      </c>
      <c r="B26" s="43" t="n">
        <f aca="false">PERCENTILE($K$41:$K$540,0.75)</f>
        <v>516.348264755361</v>
      </c>
    </row>
    <row r="27" customFormat="false" ht="15" hidden="false" customHeight="false" outlineLevel="0" collapsed="false">
      <c r="A27" s="3" t="s">
        <v>392</v>
      </c>
      <c r="B27" s="43" t="n">
        <f aca="false">PERCENTILE($K$41:$K$540,0.95)</f>
        <v>617.047523076291</v>
      </c>
    </row>
    <row r="28" customFormat="false" ht="15" hidden="false" customHeight="false" outlineLevel="0" collapsed="false">
      <c r="A28" s="7" t="s">
        <v>393</v>
      </c>
      <c r="B28" s="12" t="n">
        <f aca="false">COUNTIF($K$41:$K$540,"&gt;"&amp;B16)/500</f>
        <v>0.764</v>
      </c>
    </row>
    <row r="30" customFormat="false" ht="15" hidden="false" customHeight="false" outlineLevel="0" collapsed="false">
      <c r="A30" s="5" t="s">
        <v>394</v>
      </c>
    </row>
    <row r="31" customFormat="false" ht="15" hidden="false" customHeight="false" outlineLevel="0" collapsed="false">
      <c r="A31" s="10" t="s">
        <v>395</v>
      </c>
      <c r="B31" s="10" t="s">
        <v>60</v>
      </c>
      <c r="C31" s="10" t="s">
        <v>396</v>
      </c>
    </row>
    <row r="32" customFormat="false" ht="15" hidden="false" customHeight="false" outlineLevel="0" collapsed="false">
      <c r="A32" s="3" t="s">
        <v>56</v>
      </c>
      <c r="B32" s="20" t="n">
        <f aca="false">Assumptions!B8</f>
        <v>0.5</v>
      </c>
      <c r="C32" s="39" t="n">
        <f aca="false">($B$13*($B$18*(1+(Assumptions!B12+Assumptions!B13)/2)^9*(Assumptions!C17-Assumptions!C18))/$B$12+Assumptions!$B$48*($B$18*(1+(Assumptions!B12+Assumptions!B13)/2)^9*(Assumptions!C17-Assumptions!C18))/(1+$B$8)^9-$B$14)/$B$15</f>
        <v>452.686565403301</v>
      </c>
    </row>
    <row r="33" customFormat="false" ht="15" hidden="false" customHeight="false" outlineLevel="0" collapsed="false">
      <c r="A33" s="3" t="s">
        <v>57</v>
      </c>
      <c r="B33" s="20" t="n">
        <f aca="false">Assumptions!C8</f>
        <v>0.25</v>
      </c>
      <c r="C33" s="39" t="n">
        <f aca="false">($B$13*($B$18*(1+(Assumptions!C12+Assumptions!C13)/2)^9*(Assumptions!D17-Assumptions!D18))/$B$12+Assumptions!$B$48*($B$18*(1+(Assumptions!C12+Assumptions!C13)/2)^9*(Assumptions!D17-Assumptions!D18))/(1+$B$8)^9-$B$14)/$B$15</f>
        <v>671.83891088655</v>
      </c>
    </row>
    <row r="34" customFormat="false" ht="15" hidden="false" customHeight="false" outlineLevel="0" collapsed="false">
      <c r="A34" s="3" t="s">
        <v>58</v>
      </c>
      <c r="B34" s="20" t="n">
        <f aca="false">Assumptions!D8</f>
        <v>0.25</v>
      </c>
      <c r="C34" s="39" t="n">
        <f aca="false">($B$13*($B$18*(1+(Assumptions!D12+Assumptions!D13)/2)^9*(Assumptions!E17-Assumptions!E18))/$B$12+Assumptions!$B$48*($B$18*(1+(Assumptions!D12+Assumptions!D13)/2)^9*(Assumptions!E17-Assumptions!E18))/(1+$B$8)^9-$B$14)/$B$15</f>
        <v>253.50479173989</v>
      </c>
    </row>
    <row r="35" customFormat="false" ht="15" hidden="false" customHeight="false" outlineLevel="0" collapsed="false">
      <c r="A35" s="7" t="s">
        <v>397</v>
      </c>
      <c r="C35" s="39" t="n">
        <f aca="false">SUMPRODUCT(B32:B34,C32:C34)</f>
        <v>457.679208358261</v>
      </c>
    </row>
    <row r="39" customFormat="false" ht="15" hidden="false" customHeight="false" outlineLevel="0" collapsed="false">
      <c r="A39" s="5" t="s">
        <v>398</v>
      </c>
    </row>
    <row r="40" customFormat="false" ht="15" hidden="false" customHeight="false" outlineLevel="0" collapsed="false">
      <c r="A40" s="10" t="s">
        <v>399</v>
      </c>
      <c r="B40" s="10" t="s">
        <v>400</v>
      </c>
      <c r="C40" s="10" t="s">
        <v>401</v>
      </c>
      <c r="D40" s="10" t="s">
        <v>9</v>
      </c>
      <c r="E40" s="10" t="s">
        <v>402</v>
      </c>
      <c r="F40" s="10" t="s">
        <v>403</v>
      </c>
      <c r="G40" s="10" t="s">
        <v>404</v>
      </c>
      <c r="H40" s="10" t="s">
        <v>405</v>
      </c>
      <c r="I40" s="10" t="s">
        <v>406</v>
      </c>
      <c r="J40" s="10" t="s">
        <v>407</v>
      </c>
      <c r="K40" s="10" t="s">
        <v>408</v>
      </c>
      <c r="N40" s="40" t="s">
        <v>409</v>
      </c>
      <c r="O40" s="40" t="s">
        <v>410</v>
      </c>
      <c r="P40" s="40" t="s">
        <v>411</v>
      </c>
      <c r="Q40" s="40" t="s">
        <v>412</v>
      </c>
    </row>
    <row r="41" customFormat="false" ht="15" hidden="false" customHeight="false" outlineLevel="0" collapsed="false">
      <c r="A41" s="50" t="n">
        <v>1</v>
      </c>
      <c r="B41" s="19" t="n">
        <f aca="true">NORMINV(RAND(),$B$6,$C$6)</f>
        <v>0.0604685048364254</v>
      </c>
      <c r="C41" s="19" t="n">
        <f aca="true">MAX(0.25,NORMINV(RAND(),$B$7,$C$7))</f>
        <v>0.449504516393434</v>
      </c>
      <c r="D41" s="32" t="n">
        <f aca="true">MAX(0.07,NORMINV(RAND(),$B$8,$C$8))</f>
        <v>0.111841914202576</v>
      </c>
      <c r="E41" s="51" t="n">
        <f aca="true">MAX(8,NORMINV(RAND(),$B$9,$C$9))</f>
        <v>24.6169867265913</v>
      </c>
      <c r="F41" s="24" t="n">
        <f aca="false">$B$18*(1+(B41+$B$17)/2)^9</f>
        <v>16361.3198224496</v>
      </c>
      <c r="G41" s="24" t="n">
        <f aca="false">F41*C41</f>
        <v>7354.48715434849</v>
      </c>
      <c r="H41" s="24" t="n">
        <f aca="false">E41*G41/(1+D41)^9</f>
        <v>69726.8276896847</v>
      </c>
      <c r="I41" s="24" t="n">
        <f aca="false">$B$13*G41/$B$12*((1+$B$8)/(1+D41))^4.5</f>
        <v>17827.9519504051</v>
      </c>
      <c r="J41" s="24" t="n">
        <f aca="false">H41+I41-$B$14</f>
        <v>80117.1788866652</v>
      </c>
      <c r="K41" s="43" t="n">
        <f aca="false">J41/$B$15</f>
        <v>418.148115274871</v>
      </c>
      <c r="N41" s="3" t="s">
        <v>413</v>
      </c>
      <c r="O41" s="50" t="n">
        <v>100</v>
      </c>
      <c r="P41" s="50" t="n">
        <v>125</v>
      </c>
      <c r="Q41" s="50" t="n">
        <f aca="false">COUNTIF($K$41:$K$540,"&lt;"&amp;P41)</f>
        <v>0</v>
      </c>
    </row>
    <row r="42" customFormat="false" ht="15" hidden="false" customHeight="false" outlineLevel="0" collapsed="false">
      <c r="A42" s="50" t="n">
        <v>2</v>
      </c>
      <c r="B42" s="19" t="n">
        <f aca="true">NORMINV(RAND(),$B$6,$C$6)</f>
        <v>0.113312736182446</v>
      </c>
      <c r="C42" s="19" t="n">
        <f aca="true">MAX(0.25,NORMINV(RAND(),$B$7,$C$7))</f>
        <v>0.482840246407582</v>
      </c>
      <c r="D42" s="32" t="n">
        <f aca="true">MAX(0.07,NORMINV(RAND(),$B$8,$C$8))</f>
        <v>0.106669520958277</v>
      </c>
      <c r="E42" s="51" t="n">
        <f aca="true">MAX(8,NORMINV(RAND(),$B$9,$C$9))</f>
        <v>8.61355521644255</v>
      </c>
      <c r="F42" s="24" t="n">
        <f aca="false">$B$18*(1+(B42+$B$17)/2)^9</f>
        <v>20418.8802992678</v>
      </c>
      <c r="G42" s="24" t="n">
        <f aca="false">F42*C42</f>
        <v>9859.0571950654</v>
      </c>
      <c r="H42" s="24" t="n">
        <f aca="false">E42*G42/(1+D42)^9</f>
        <v>34108.0025039864</v>
      </c>
      <c r="I42" s="24" t="n">
        <f aca="false">$B$13*G42/$B$12*((1+$B$8)/(1+D42))^4.5</f>
        <v>24406.0426259734</v>
      </c>
      <c r="J42" s="24" t="n">
        <f aca="false">H42+I42-$B$14</f>
        <v>51076.4443765352</v>
      </c>
      <c r="K42" s="43" t="n">
        <f aca="false">J42/$B$15</f>
        <v>266.578519710518</v>
      </c>
      <c r="N42" s="3" t="s">
        <v>414</v>
      </c>
      <c r="O42" s="50" t="n">
        <v>125</v>
      </c>
      <c r="P42" s="50" t="n">
        <v>150</v>
      </c>
      <c r="Q42" s="50" t="n">
        <f aca="false">COUNTIFS($K$41:$K$540,"&gt;="&amp;O42,$K$41:$K$540,"&lt;"&amp;P42)</f>
        <v>0</v>
      </c>
    </row>
    <row r="43" customFormat="false" ht="15" hidden="false" customHeight="false" outlineLevel="0" collapsed="false">
      <c r="A43" s="50" t="n">
        <v>3</v>
      </c>
      <c r="B43" s="19" t="n">
        <f aca="true">NORMINV(RAND(),$B$6,$C$6)</f>
        <v>0.0796360346584538</v>
      </c>
      <c r="C43" s="19" t="n">
        <f aca="true">MAX(0.25,NORMINV(RAND(),$B$7,$C$7))</f>
        <v>0.490761375937332</v>
      </c>
      <c r="D43" s="32" t="n">
        <f aca="true">MAX(0.07,NORMINV(RAND(),$B$8,$C$8))</f>
        <v>0.101759667741698</v>
      </c>
      <c r="E43" s="51" t="n">
        <f aca="true">MAX(8,NORMINV(RAND(),$B$9,$C$9))</f>
        <v>17.2464503794289</v>
      </c>
      <c r="F43" s="24" t="n">
        <f aca="false">$B$18*(1+(B43+$B$17)/2)^9</f>
        <v>17741.5283047124</v>
      </c>
      <c r="G43" s="24" t="n">
        <f aca="false">F43*C43</f>
        <v>8706.85684205178</v>
      </c>
      <c r="H43" s="24" t="n">
        <f aca="false">E43*G43/(1+D43)^9</f>
        <v>62773.9267939546</v>
      </c>
      <c r="I43" s="24" t="n">
        <f aca="false">$B$13*G43/$B$12*((1+$B$8)/(1+D43))^4.5</f>
        <v>21989.3928881127</v>
      </c>
      <c r="J43" s="24" t="n">
        <f aca="false">H43+I43-$B$14</f>
        <v>77325.7189286426</v>
      </c>
      <c r="K43" s="43" t="n">
        <f aca="false">J43/$B$15</f>
        <v>403.578908813375</v>
      </c>
      <c r="N43" s="3" t="s">
        <v>415</v>
      </c>
      <c r="O43" s="50" t="n">
        <v>150</v>
      </c>
      <c r="P43" s="50" t="n">
        <v>175</v>
      </c>
      <c r="Q43" s="50" t="n">
        <f aca="false">COUNTIFS($K$41:$K$540,"&gt;="&amp;O43,$K$41:$K$540,"&lt;"&amp;P43)</f>
        <v>0</v>
      </c>
    </row>
    <row r="44" customFormat="false" ht="15" hidden="false" customHeight="false" outlineLevel="0" collapsed="false">
      <c r="A44" s="50" t="n">
        <v>4</v>
      </c>
      <c r="B44" s="19" t="n">
        <f aca="true">NORMINV(RAND(),$B$6,$C$6)</f>
        <v>0.109539947881365</v>
      </c>
      <c r="C44" s="19" t="n">
        <f aca="true">MAX(0.25,NORMINV(RAND(),$B$7,$C$7))</f>
        <v>0.55431958184185</v>
      </c>
      <c r="D44" s="32" t="n">
        <f aca="true">MAX(0.07,NORMINV(RAND(),$B$8,$C$8))</f>
        <v>0.103446681229477</v>
      </c>
      <c r="E44" s="51" t="n">
        <f aca="true">MAX(8,NORMINV(RAND(),$B$9,$C$9))</f>
        <v>17.101001975711</v>
      </c>
      <c r="F44" s="24" t="n">
        <f aca="false">$B$18*(1+(B44+$B$17)/2)^9</f>
        <v>20102.0689588369</v>
      </c>
      <c r="G44" s="24" t="n">
        <f aca="false">F44*C44</f>
        <v>11142.9704594185</v>
      </c>
      <c r="H44" s="24" t="n">
        <f aca="false">E44*G44/(1+D44)^9</f>
        <v>78570.6527312241</v>
      </c>
      <c r="I44" s="24" t="n">
        <f aca="false">$B$13*G44/$B$12*((1+$B$8)/(1+D44))^4.5</f>
        <v>27948.7662778631</v>
      </c>
      <c r="J44" s="24" t="n">
        <f aca="false">H44+I44-$B$14</f>
        <v>99081.8182556625</v>
      </c>
      <c r="K44" s="43" t="n">
        <f aca="false">J44/$B$15</f>
        <v>517.128487764418</v>
      </c>
      <c r="N44" s="3" t="s">
        <v>416</v>
      </c>
      <c r="O44" s="50" t="n">
        <v>175</v>
      </c>
      <c r="P44" s="50" t="n">
        <v>200</v>
      </c>
      <c r="Q44" s="50" t="n">
        <f aca="false">COUNTIFS($K$41:$K$540,"&gt;="&amp;O44,$K$41:$K$540,"&lt;"&amp;P44)</f>
        <v>0</v>
      </c>
    </row>
    <row r="45" customFormat="false" ht="15" hidden="false" customHeight="false" outlineLevel="0" collapsed="false">
      <c r="A45" s="50" t="n">
        <v>5</v>
      </c>
      <c r="B45" s="19" t="n">
        <f aca="true">NORMINV(RAND(),$B$6,$C$6)</f>
        <v>0.0816374211589653</v>
      </c>
      <c r="C45" s="19" t="n">
        <f aca="true">MAX(0.25,NORMINV(RAND(),$B$7,$C$7))</f>
        <v>0.455335477395057</v>
      </c>
      <c r="D45" s="32" t="n">
        <f aca="true">MAX(0.07,NORMINV(RAND(),$B$8,$C$8))</f>
        <v>0.108947365216812</v>
      </c>
      <c r="E45" s="51" t="n">
        <f aca="true">MAX(8,NORMINV(RAND(),$B$9,$C$9))</f>
        <v>13.6552500236578</v>
      </c>
      <c r="F45" s="24" t="n">
        <f aca="false">$B$18*(1+(B45+$B$17)/2)^9</f>
        <v>17891.4450134359</v>
      </c>
      <c r="G45" s="24" t="n">
        <f aca="false">F45*C45</f>
        <v>8146.60965648024</v>
      </c>
      <c r="H45" s="24" t="n">
        <f aca="false">E45*G45/(1+D45)^9</f>
        <v>43860.9630711123</v>
      </c>
      <c r="I45" s="24" t="n">
        <f aca="false">$B$13*G45/$B$12*((1+$B$8)/(1+D45))^4.5</f>
        <v>19981.1489693226</v>
      </c>
      <c r="J45" s="24" t="n">
        <f aca="false">H45+I45-$B$14</f>
        <v>56404.5112870102</v>
      </c>
      <c r="K45" s="43" t="n">
        <f aca="false">J45/$B$15</f>
        <v>294.386802124271</v>
      </c>
      <c r="N45" s="3" t="s">
        <v>417</v>
      </c>
      <c r="O45" s="50" t="n">
        <v>200</v>
      </c>
      <c r="P45" s="50" t="n">
        <v>225</v>
      </c>
      <c r="Q45" s="50" t="n">
        <f aca="false">COUNTIFS($K$41:$K$540,"&gt;="&amp;O45,$K$41:$K$540,"&lt;"&amp;P45)</f>
        <v>1</v>
      </c>
    </row>
    <row r="46" customFormat="false" ht="15" hidden="false" customHeight="false" outlineLevel="0" collapsed="false">
      <c r="A46" s="50" t="n">
        <v>6</v>
      </c>
      <c r="B46" s="19" t="n">
        <f aca="true">NORMINV(RAND(),$B$6,$C$6)</f>
        <v>0.0709481949002709</v>
      </c>
      <c r="C46" s="19" t="n">
        <f aca="true">MAX(0.25,NORMINV(RAND(),$B$7,$C$7))</f>
        <v>0.453833858642587</v>
      </c>
      <c r="D46" s="32" t="n">
        <f aca="true">MAX(0.07,NORMINV(RAND(),$B$8,$C$8))</f>
        <v>0.0865036007884326</v>
      </c>
      <c r="E46" s="51" t="n">
        <f aca="true">MAX(8,NORMINV(RAND(),$B$9,$C$9))</f>
        <v>19.3878889593267</v>
      </c>
      <c r="F46" s="24" t="n">
        <f aca="false">$B$18*(1+(B46+$B$17)/2)^9</f>
        <v>17103.6154492522</v>
      </c>
      <c r="G46" s="24" t="n">
        <f aca="false">F46*C46</f>
        <v>7762.19979607307</v>
      </c>
      <c r="H46" s="24" t="n">
        <f aca="false">E46*G46/(1+D46)^9</f>
        <v>71323.8554598437</v>
      </c>
      <c r="I46" s="24" t="n">
        <f aca="false">$B$13*G46/$B$12*((1+$B$8)/(1+D46))^4.5</f>
        <v>20873.1167689585</v>
      </c>
      <c r="J46" s="24" t="n">
        <f aca="false">H46+I46-$B$14</f>
        <v>84759.3714753776</v>
      </c>
      <c r="K46" s="43" t="n">
        <f aca="false">J46/$B$15</f>
        <v>442.376677846438</v>
      </c>
      <c r="N46" s="3" t="s">
        <v>418</v>
      </c>
      <c r="O46" s="50" t="n">
        <v>225</v>
      </c>
      <c r="P46" s="50" t="n">
        <v>250</v>
      </c>
      <c r="Q46" s="50" t="n">
        <f aca="false">COUNTIFS($K$41:$K$540,"&gt;="&amp;O46,$K$41:$K$540,"&lt;"&amp;P46)</f>
        <v>0</v>
      </c>
    </row>
    <row r="47" customFormat="false" ht="15" hidden="false" customHeight="false" outlineLevel="0" collapsed="false">
      <c r="A47" s="50" t="n">
        <v>7</v>
      </c>
      <c r="B47" s="19" t="n">
        <f aca="true">NORMINV(RAND(),$B$6,$C$6)</f>
        <v>0.0998889186239891</v>
      </c>
      <c r="C47" s="19" t="n">
        <f aca="true">MAX(0.25,NORMINV(RAND(),$B$7,$C$7))</f>
        <v>0.531649237717706</v>
      </c>
      <c r="D47" s="32" t="n">
        <f aca="true">MAX(0.07,NORMINV(RAND(),$B$8,$C$8))</f>
        <v>0.0931397795489278</v>
      </c>
      <c r="E47" s="51" t="n">
        <f aca="true">MAX(8,NORMINV(RAND(),$B$9,$C$9))</f>
        <v>17.6159149730864</v>
      </c>
      <c r="F47" s="24" t="n">
        <f aca="false">$B$18*(1+(B47+$B$17)/2)^9</f>
        <v>19311.4393336969</v>
      </c>
      <c r="G47" s="24" t="n">
        <f aca="false">F47*C47</f>
        <v>10266.9120009917</v>
      </c>
      <c r="H47" s="24" t="n">
        <f aca="false">E47*G47/(1+D47)^9</f>
        <v>81145.3723215996</v>
      </c>
      <c r="I47" s="24" t="n">
        <f aca="false">$B$13*G47/$B$12*((1+$B$8)/(1+D47))^4.5</f>
        <v>26862.2227504311</v>
      </c>
      <c r="J47" s="24" t="n">
        <f aca="false">H47+I47-$B$14</f>
        <v>100569.994318606</v>
      </c>
      <c r="K47" s="43" t="n">
        <f aca="false">J47/$B$15</f>
        <v>524.895586214019</v>
      </c>
      <c r="N47" s="3" t="s">
        <v>419</v>
      </c>
      <c r="O47" s="50" t="n">
        <v>250</v>
      </c>
      <c r="P47" s="50" t="n">
        <v>275</v>
      </c>
      <c r="Q47" s="50" t="n">
        <f aca="false">COUNTIFS($K$41:$K$540,"&gt;="&amp;O47,$K$41:$K$540,"&lt;"&amp;P47)</f>
        <v>8</v>
      </c>
    </row>
    <row r="48" customFormat="false" ht="15" hidden="false" customHeight="false" outlineLevel="0" collapsed="false">
      <c r="A48" s="50" t="n">
        <v>8</v>
      </c>
      <c r="B48" s="19" t="n">
        <f aca="true">NORMINV(RAND(),$B$6,$C$6)</f>
        <v>0.0925917407562337</v>
      </c>
      <c r="C48" s="19" t="n">
        <f aca="true">MAX(0.25,NORMINV(RAND(),$B$7,$C$7))</f>
        <v>0.425405041941929</v>
      </c>
      <c r="D48" s="32" t="n">
        <f aca="true">MAX(0.07,NORMINV(RAND(),$B$8,$C$8))</f>
        <v>0.096737492332002</v>
      </c>
      <c r="E48" s="51" t="n">
        <f aca="true">MAX(8,NORMINV(RAND(),$B$9,$C$9))</f>
        <v>23.6731479611545</v>
      </c>
      <c r="F48" s="24" t="n">
        <f aca="false">$B$18*(1+(B48+$B$17)/2)^9</f>
        <v>18732.1196800041</v>
      </c>
      <c r="G48" s="24" t="n">
        <f aca="false">F48*C48</f>
        <v>7968.73815813336</v>
      </c>
      <c r="H48" s="24" t="n">
        <f aca="false">E48*G48/(1+D48)^9</f>
        <v>82171.5269377818</v>
      </c>
      <c r="I48" s="24" t="n">
        <f aca="false">$B$13*G48/$B$12*((1+$B$8)/(1+D48))^4.5</f>
        <v>20543.2996567075</v>
      </c>
      <c r="J48" s="24" t="n">
        <f aca="false">H48+I48-$B$14</f>
        <v>95277.2258410647</v>
      </c>
      <c r="K48" s="43" t="n">
        <f aca="false">J48/$B$15</f>
        <v>497.271533617248</v>
      </c>
      <c r="N48" s="3" t="s">
        <v>420</v>
      </c>
      <c r="O48" s="50" t="n">
        <v>275</v>
      </c>
      <c r="P48" s="50" t="n">
        <v>300</v>
      </c>
      <c r="Q48" s="50" t="n">
        <f aca="false">COUNTIFS($K$41:$K$540,"&gt;="&amp;O48,$K$41:$K$540,"&lt;"&amp;P48)</f>
        <v>12</v>
      </c>
    </row>
    <row r="49" customFormat="false" ht="15" hidden="false" customHeight="false" outlineLevel="0" collapsed="false">
      <c r="A49" s="50" t="n">
        <v>9</v>
      </c>
      <c r="B49" s="19" t="n">
        <f aca="true">NORMINV(RAND(),$B$6,$C$6)</f>
        <v>0.10589618718921</v>
      </c>
      <c r="C49" s="19" t="n">
        <f aca="true">MAX(0.25,NORMINV(RAND(),$B$7,$C$7))</f>
        <v>0.450123761064463</v>
      </c>
      <c r="D49" s="32" t="n">
        <f aca="true">MAX(0.07,NORMINV(RAND(),$B$8,$C$8))</f>
        <v>0.092799622594122</v>
      </c>
      <c r="E49" s="51" t="n">
        <f aca="true">MAX(8,NORMINV(RAND(),$B$9,$C$9))</f>
        <v>21.4061985851664</v>
      </c>
      <c r="F49" s="24" t="n">
        <f aca="false">$B$18*(1+(B49+$B$17)/2)^9</f>
        <v>19800.2479296796</v>
      </c>
      <c r="G49" s="24" t="n">
        <f aca="false">F49*C49</f>
        <v>8912.56206811625</v>
      </c>
      <c r="H49" s="24" t="n">
        <f aca="false">E49*G49/(1+D49)^9</f>
        <v>85837.5454281896</v>
      </c>
      <c r="I49" s="24" t="n">
        <f aca="false">$B$13*G49/$B$12*((1+$B$8)/(1+D49))^4.5</f>
        <v>23351.3989741029</v>
      </c>
      <c r="J49" s="24" t="n">
        <f aca="false">H49+I49-$B$14</f>
        <v>101751.343648868</v>
      </c>
      <c r="K49" s="43" t="n">
        <f aca="false">J49/$B$15</f>
        <v>531.061292530625</v>
      </c>
      <c r="N49" s="3" t="s">
        <v>421</v>
      </c>
      <c r="O49" s="50" t="n">
        <v>300</v>
      </c>
      <c r="P49" s="50" t="n">
        <v>325</v>
      </c>
      <c r="Q49" s="50" t="n">
        <f aca="false">COUNTIFS($K$41:$K$540,"&gt;="&amp;O49,$K$41:$K$540,"&lt;"&amp;P49)</f>
        <v>14</v>
      </c>
    </row>
    <row r="50" customFormat="false" ht="15" hidden="false" customHeight="false" outlineLevel="0" collapsed="false">
      <c r="A50" s="50" t="n">
        <v>10</v>
      </c>
      <c r="B50" s="19" t="n">
        <f aca="true">NORMINV(RAND(),$B$6,$C$6)</f>
        <v>0.105852894210593</v>
      </c>
      <c r="C50" s="19" t="n">
        <f aca="true">MAX(0.25,NORMINV(RAND(),$B$7,$C$7))</f>
        <v>0.49859597748343</v>
      </c>
      <c r="D50" s="32" t="n">
        <f aca="true">MAX(0.07,NORMINV(RAND(),$B$8,$C$8))</f>
        <v>0.0972120804060654</v>
      </c>
      <c r="E50" s="51" t="n">
        <f aca="true">MAX(8,NORMINV(RAND(),$B$9,$C$9))</f>
        <v>17.2976215528686</v>
      </c>
      <c r="F50" s="24" t="n">
        <f aca="false">$B$18*(1+(B50+$B$17)/2)^9</f>
        <v>19796.6862222306</v>
      </c>
      <c r="G50" s="24" t="n">
        <f aca="false">F50*C50</f>
        <v>9870.5481179058</v>
      </c>
      <c r="H50" s="24" t="n">
        <f aca="false">E50*G50/(1+D50)^9</f>
        <v>74081.9552005236</v>
      </c>
      <c r="I50" s="24" t="n">
        <f aca="false">$B$13*G50/$B$12*((1+$B$8)/(1+D50))^4.5</f>
        <v>25396.6484722192</v>
      </c>
      <c r="J50" s="24" t="n">
        <f aca="false">H50+I50-$B$14</f>
        <v>92041.0029193181</v>
      </c>
      <c r="K50" s="43" t="n">
        <f aca="false">J50/$B$15</f>
        <v>480.381017324207</v>
      </c>
      <c r="N50" s="3" t="s">
        <v>422</v>
      </c>
      <c r="O50" s="50" t="n">
        <v>325</v>
      </c>
      <c r="P50" s="50" t="n">
        <v>350</v>
      </c>
      <c r="Q50" s="50" t="n">
        <f aca="false">COUNTIFS($K$41:$K$540,"&gt;="&amp;O50,$K$41:$K$540,"&lt;"&amp;P50)</f>
        <v>27</v>
      </c>
    </row>
    <row r="51" customFormat="false" ht="15" hidden="false" customHeight="false" outlineLevel="0" collapsed="false">
      <c r="A51" s="50" t="n">
        <v>11</v>
      </c>
      <c r="B51" s="19" t="n">
        <f aca="true">NORMINV(RAND(),$B$6,$C$6)</f>
        <v>0.136887468867973</v>
      </c>
      <c r="C51" s="19" t="n">
        <f aca="true">MAX(0.25,NORMINV(RAND(),$B$7,$C$7))</f>
        <v>0.510686688913843</v>
      </c>
      <c r="D51" s="32" t="n">
        <f aca="true">MAX(0.07,NORMINV(RAND(),$B$8,$C$8))</f>
        <v>0.101512640259763</v>
      </c>
      <c r="E51" s="51" t="n">
        <f aca="true">MAX(8,NORMINV(RAND(),$B$9,$C$9))</f>
        <v>17.7528026435659</v>
      </c>
      <c r="F51" s="24" t="n">
        <f aca="false">$B$18*(1+(B51+$B$17)/2)^9</f>
        <v>22501.0198127029</v>
      </c>
      <c r="G51" s="24" t="n">
        <f aca="false">F51*C51</f>
        <v>11490.971305334</v>
      </c>
      <c r="H51" s="24" t="n">
        <f aca="false">E51*G51/(1+D51)^9</f>
        <v>85451.2260638788</v>
      </c>
      <c r="I51" s="24" t="n">
        <f aca="false">$B$13*G51/$B$12*((1+$B$8)/(1+D51))^4.5</f>
        <v>29050.0448400901</v>
      </c>
      <c r="J51" s="24" t="n">
        <f aca="false">H51+I51-$B$14</f>
        <v>107063.670150544</v>
      </c>
      <c r="K51" s="43" t="n">
        <f aca="false">J51/$B$15</f>
        <v>558.787422497621</v>
      </c>
      <c r="N51" s="3" t="s">
        <v>423</v>
      </c>
      <c r="O51" s="50" t="n">
        <v>350</v>
      </c>
      <c r="P51" s="50" t="n">
        <v>375</v>
      </c>
      <c r="Q51" s="50" t="n">
        <f aca="false">COUNTIFS($K$41:$K$540,"&gt;="&amp;O51,$K$41:$K$540,"&lt;"&amp;P51)</f>
        <v>38</v>
      </c>
    </row>
    <row r="52" customFormat="false" ht="15" hidden="false" customHeight="false" outlineLevel="0" collapsed="false">
      <c r="A52" s="50" t="n">
        <v>12</v>
      </c>
      <c r="B52" s="19" t="n">
        <f aca="true">NORMINV(RAND(),$B$6,$C$6)</f>
        <v>0.0770722202792263</v>
      </c>
      <c r="C52" s="19" t="n">
        <f aca="true">MAX(0.25,NORMINV(RAND(),$B$7,$C$7))</f>
        <v>0.488769354398636</v>
      </c>
      <c r="D52" s="32" t="n">
        <f aca="true">MAX(0.07,NORMINV(RAND(),$B$8,$C$8))</f>
        <v>0.0798568778740895</v>
      </c>
      <c r="E52" s="51" t="n">
        <f aca="true">MAX(8,NORMINV(RAND(),$B$9,$C$9))</f>
        <v>18.8606785093157</v>
      </c>
      <c r="F52" s="24" t="n">
        <f aca="false">$B$18*(1+(B52+$B$17)/2)^9</f>
        <v>17551.1140415537</v>
      </c>
      <c r="G52" s="24" t="n">
        <f aca="false">F52*C52</f>
        <v>8578.44667906703</v>
      </c>
      <c r="H52" s="24" t="n">
        <f aca="false">E52*G52/(1+D52)^9</f>
        <v>81034.5415958793</v>
      </c>
      <c r="I52" s="24" t="n">
        <f aca="false">$B$13*G52/$B$12*((1+$B$8)/(1+D52))^4.5</f>
        <v>23713.9288287218</v>
      </c>
      <c r="J52" s="24" t="n">
        <f aca="false">H52+I52-$B$14</f>
        <v>97310.8696711764</v>
      </c>
      <c r="K52" s="43" t="n">
        <f aca="false">J52/$B$15</f>
        <v>507.885541081296</v>
      </c>
      <c r="N52" s="3" t="s">
        <v>424</v>
      </c>
      <c r="O52" s="50" t="n">
        <v>375</v>
      </c>
      <c r="P52" s="50" t="n">
        <v>400</v>
      </c>
      <c r="Q52" s="50" t="n">
        <f aca="false">COUNTIFS($K$41:$K$540,"&gt;="&amp;O52,$K$41:$K$540,"&lt;"&amp;P52)</f>
        <v>42</v>
      </c>
    </row>
    <row r="53" customFormat="false" ht="15" hidden="false" customHeight="false" outlineLevel="0" collapsed="false">
      <c r="A53" s="50" t="n">
        <v>13</v>
      </c>
      <c r="B53" s="19" t="n">
        <f aca="true">NORMINV(RAND(),$B$6,$C$6)</f>
        <v>0.0667170498269304</v>
      </c>
      <c r="C53" s="19" t="n">
        <f aca="true">MAX(0.25,NORMINV(RAND(),$B$7,$C$7))</f>
        <v>0.455709374802714</v>
      </c>
      <c r="D53" s="32" t="n">
        <f aca="true">MAX(0.07,NORMINV(RAND(),$B$8,$C$8))</f>
        <v>0.0967631021450692</v>
      </c>
      <c r="E53" s="51" t="n">
        <f aca="true">MAX(8,NORMINV(RAND(),$B$9,$C$9))</f>
        <v>16.8015462201976</v>
      </c>
      <c r="F53" s="24" t="n">
        <f aca="false">$B$18*(1+(B53+$B$17)/2)^9</f>
        <v>16800.3880366669</v>
      </c>
      <c r="G53" s="24" t="n">
        <f aca="false">F53*C53</f>
        <v>7656.09432863246</v>
      </c>
      <c r="H53" s="24" t="n">
        <f aca="false">E53*G53/(1+D53)^9</f>
        <v>56019.7343673452</v>
      </c>
      <c r="I53" s="24" t="n">
        <f aca="false">$B$13*G53/$B$12*((1+$B$8)/(1+D53))^4.5</f>
        <v>19735.2342297689</v>
      </c>
      <c r="J53" s="24" t="n">
        <f aca="false">H53+I53-$B$14</f>
        <v>68317.3678436894</v>
      </c>
      <c r="K53" s="43" t="n">
        <f aca="false">J53/$B$15</f>
        <v>356.562462649736</v>
      </c>
      <c r="N53" s="3" t="s">
        <v>425</v>
      </c>
      <c r="O53" s="50" t="n">
        <v>400</v>
      </c>
      <c r="P53" s="50" t="n">
        <v>425</v>
      </c>
      <c r="Q53" s="50" t="n">
        <f aca="false">COUNTIFS($K$41:$K$540,"&gt;="&amp;O53,$K$41:$K$540,"&lt;"&amp;P53)</f>
        <v>49</v>
      </c>
    </row>
    <row r="54" customFormat="false" ht="15" hidden="false" customHeight="false" outlineLevel="0" collapsed="false">
      <c r="A54" s="50" t="n">
        <v>14</v>
      </c>
      <c r="B54" s="19" t="n">
        <f aca="true">NORMINV(RAND(),$B$6,$C$6)</f>
        <v>0.116261587529581</v>
      </c>
      <c r="C54" s="19" t="n">
        <f aca="true">MAX(0.25,NORMINV(RAND(),$B$7,$C$7))</f>
        <v>0.480895224201241</v>
      </c>
      <c r="D54" s="32" t="n">
        <f aca="true">MAX(0.07,NORMINV(RAND(),$B$8,$C$8))</f>
        <v>0.0999279438308047</v>
      </c>
      <c r="E54" s="51" t="n">
        <f aca="true">MAX(8,NORMINV(RAND(),$B$9,$C$9))</f>
        <v>15.1444167011226</v>
      </c>
      <c r="F54" s="24" t="n">
        <f aca="false">$B$18*(1+(B54+$B$17)/2)^9</f>
        <v>20669.5854375308</v>
      </c>
      <c r="G54" s="24" t="n">
        <f aca="false">F54*C54</f>
        <v>9939.90492312809</v>
      </c>
      <c r="H54" s="24" t="n">
        <f aca="false">E54*G54/(1+D54)^9</f>
        <v>63878.7871344304</v>
      </c>
      <c r="I54" s="24" t="n">
        <f aca="false">$B$13*G54/$B$12*((1+$B$8)/(1+D54))^4.5</f>
        <v>25292.1600216835</v>
      </c>
      <c r="J54" s="24" t="n">
        <f aca="false">H54+I54-$B$14</f>
        <v>81733.3464026892</v>
      </c>
      <c r="K54" s="43" t="n">
        <f aca="false">J54/$B$15</f>
        <v>426.583227571447</v>
      </c>
      <c r="N54" s="3" t="s">
        <v>426</v>
      </c>
      <c r="O54" s="50" t="n">
        <v>425</v>
      </c>
      <c r="P54" s="50" t="n">
        <v>450</v>
      </c>
      <c r="Q54" s="50" t="n">
        <f aca="false">COUNTIFS($K$41:$K$540,"&gt;="&amp;O54,$K$41:$K$540,"&lt;"&amp;P54)</f>
        <v>65</v>
      </c>
    </row>
    <row r="55" customFormat="false" ht="15" hidden="false" customHeight="false" outlineLevel="0" collapsed="false">
      <c r="A55" s="50" t="n">
        <v>15</v>
      </c>
      <c r="B55" s="19" t="n">
        <f aca="true">NORMINV(RAND(),$B$6,$C$6)</f>
        <v>0.0927111852125249</v>
      </c>
      <c r="C55" s="19" t="n">
        <f aca="true">MAX(0.25,NORMINV(RAND(),$B$7,$C$7))</f>
        <v>0.460402004979891</v>
      </c>
      <c r="D55" s="32" t="n">
        <f aca="true">MAX(0.07,NORMINV(RAND(),$B$8,$C$8))</f>
        <v>0.103952229768555</v>
      </c>
      <c r="E55" s="51" t="n">
        <f aca="true">MAX(8,NORMINV(RAND(),$B$9,$C$9))</f>
        <v>22.865422486374</v>
      </c>
      <c r="F55" s="24" t="n">
        <f aca="false">$B$18*(1+(B55+$B$17)/2)^9</f>
        <v>18741.4765405545</v>
      </c>
      <c r="G55" s="24" t="n">
        <f aca="false">F55*C55</f>
        <v>8628.61337555487</v>
      </c>
      <c r="H55" s="24" t="n">
        <f aca="false">E55*G55/(1+D55)^9</f>
        <v>81015.424349474</v>
      </c>
      <c r="I55" s="24" t="n">
        <f aca="false">$B$13*G55/$B$12*((1+$B$8)/(1+D55))^4.5</f>
        <v>21597.6995691107</v>
      </c>
      <c r="J55" s="24" t="n">
        <f aca="false">H55+I55-$B$14</f>
        <v>95175.52316516</v>
      </c>
      <c r="K55" s="43" t="n">
        <f aca="false">J55/$B$15</f>
        <v>496.740726331733</v>
      </c>
      <c r="N55" s="3" t="s">
        <v>427</v>
      </c>
      <c r="O55" s="50" t="n">
        <v>450</v>
      </c>
      <c r="P55" s="50" t="n">
        <v>475</v>
      </c>
      <c r="Q55" s="50" t="n">
        <f aca="false">COUNTIFS($K$41:$K$540,"&gt;="&amp;O55,$K$41:$K$540,"&lt;"&amp;P55)</f>
        <v>48</v>
      </c>
    </row>
    <row r="56" customFormat="false" ht="15" hidden="false" customHeight="false" outlineLevel="0" collapsed="false">
      <c r="A56" s="50" t="n">
        <v>16</v>
      </c>
      <c r="B56" s="19" t="n">
        <f aca="true">NORMINV(RAND(),$B$6,$C$6)</f>
        <v>0.0625316503147771</v>
      </c>
      <c r="C56" s="19" t="n">
        <f aca="true">MAX(0.25,NORMINV(RAND(),$B$7,$C$7))</f>
        <v>0.436541763583502</v>
      </c>
      <c r="D56" s="32" t="n">
        <f aca="true">MAX(0.07,NORMINV(RAND(),$B$8,$C$8))</f>
        <v>0.100569565111418</v>
      </c>
      <c r="E56" s="51" t="n">
        <f aca="true">MAX(8,NORMINV(RAND(),$B$9,$C$9))</f>
        <v>13.3934879183548</v>
      </c>
      <c r="F56" s="24" t="n">
        <f aca="false">$B$18*(1+(B56+$B$17)/2)^9</f>
        <v>16505.1498731287</v>
      </c>
      <c r="G56" s="24" t="n">
        <f aca="false">F56*C56</f>
        <v>7205.18723382563</v>
      </c>
      <c r="H56" s="24" t="n">
        <f aca="false">E56*G56/(1+D56)^9</f>
        <v>40736.2898622624</v>
      </c>
      <c r="I56" s="24" t="n">
        <f aca="false">$B$13*G56/$B$12*((1+$B$8)/(1+D56))^4.5</f>
        <v>18285.6025884857</v>
      </c>
      <c r="J56" s="24" t="n">
        <f aca="false">H56+I56-$B$14</f>
        <v>51584.2916973235</v>
      </c>
      <c r="K56" s="43" t="n">
        <f aca="false">J56/$B$15</f>
        <v>269.229079839893</v>
      </c>
      <c r="N56" s="3" t="s">
        <v>428</v>
      </c>
      <c r="O56" s="50" t="n">
        <v>475</v>
      </c>
      <c r="P56" s="50" t="n">
        <v>500</v>
      </c>
      <c r="Q56" s="50" t="n">
        <f aca="false">COUNTIFS($K$41:$K$540,"&gt;="&amp;O56,$K$41:$K$540,"&lt;"&amp;P56)</f>
        <v>52</v>
      </c>
    </row>
    <row r="57" customFormat="false" ht="15" hidden="false" customHeight="false" outlineLevel="0" collapsed="false">
      <c r="A57" s="50" t="n">
        <v>17</v>
      </c>
      <c r="B57" s="19" t="n">
        <f aca="true">NORMINV(RAND(),$B$6,$C$6)</f>
        <v>0.115881256674645</v>
      </c>
      <c r="C57" s="19" t="n">
        <f aca="true">MAX(0.25,NORMINV(RAND(),$B$7,$C$7))</f>
        <v>0.49454381977845</v>
      </c>
      <c r="D57" s="32" t="n">
        <f aca="true">MAX(0.07,NORMINV(RAND(),$B$8,$C$8))</f>
        <v>0.0942363407403494</v>
      </c>
      <c r="E57" s="51" t="n">
        <f aca="true">MAX(8,NORMINV(RAND(),$B$9,$C$9))</f>
        <v>15.7590529544453</v>
      </c>
      <c r="F57" s="24" t="n">
        <f aca="false">$B$18*(1+(B57+$B$17)/2)^9</f>
        <v>20637.0975733123</v>
      </c>
      <c r="G57" s="24" t="n">
        <f aca="false">F57*C57</f>
        <v>10205.9490630464</v>
      </c>
      <c r="H57" s="24" t="n">
        <f aca="false">E57*G57/(1+D57)^9</f>
        <v>71512.7213165189</v>
      </c>
      <c r="I57" s="24" t="n">
        <f aca="false">$B$13*G57/$B$12*((1+$B$8)/(1+D57))^4.5</f>
        <v>26582.5135277873</v>
      </c>
      <c r="J57" s="24" t="n">
        <f aca="false">H57+I57-$B$14</f>
        <v>90657.6340908815</v>
      </c>
      <c r="K57" s="43" t="n">
        <f aca="false">J57/$B$15</f>
        <v>473.160929493119</v>
      </c>
      <c r="N57" s="3" t="s">
        <v>429</v>
      </c>
      <c r="O57" s="50" t="n">
        <v>500</v>
      </c>
      <c r="P57" s="50" t="n">
        <v>525</v>
      </c>
      <c r="Q57" s="50" t="n">
        <f aca="false">COUNTIFS($K$41:$K$540,"&gt;="&amp;O57,$K$41:$K$540,"&lt;"&amp;P57)</f>
        <v>31</v>
      </c>
    </row>
    <row r="58" customFormat="false" ht="15" hidden="false" customHeight="false" outlineLevel="0" collapsed="false">
      <c r="A58" s="50" t="n">
        <v>18</v>
      </c>
      <c r="B58" s="19" t="n">
        <f aca="true">NORMINV(RAND(),$B$6,$C$6)</f>
        <v>0.110074207739015</v>
      </c>
      <c r="C58" s="19" t="n">
        <f aca="true">MAX(0.25,NORMINV(RAND(),$B$7,$C$7))</f>
        <v>0.437759379568164</v>
      </c>
      <c r="D58" s="32" t="n">
        <f aca="true">MAX(0.07,NORMINV(RAND(),$B$8,$C$8))</f>
        <v>0.0911147921075488</v>
      </c>
      <c r="E58" s="51" t="n">
        <f aca="true">MAX(8,NORMINV(RAND(),$B$9,$C$9))</f>
        <v>18.7567752930856</v>
      </c>
      <c r="F58" s="24" t="n">
        <f aca="false">$B$18*(1+(B58+$B$17)/2)^9</f>
        <v>20146.6649668135</v>
      </c>
      <c r="G58" s="24" t="n">
        <f aca="false">F58*C58</f>
        <v>8819.39155623993</v>
      </c>
      <c r="H58" s="24" t="n">
        <f aca="false">E58*G58/(1+D58)^9</f>
        <v>75467.9944175249</v>
      </c>
      <c r="I58" s="24" t="n">
        <f aca="false">$B$13*G58/$B$12*((1+$B$8)/(1+D58))^4.5</f>
        <v>23268.2852431047</v>
      </c>
      <c r="J58" s="24" t="n">
        <f aca="false">H58+I58-$B$14</f>
        <v>91298.6789072049</v>
      </c>
      <c r="K58" s="43" t="n">
        <f aca="false">J58/$B$15</f>
        <v>476.506674881028</v>
      </c>
      <c r="N58" s="3" t="s">
        <v>430</v>
      </c>
      <c r="O58" s="50" t="n">
        <v>525</v>
      </c>
      <c r="P58" s="50" t="n">
        <v>550</v>
      </c>
      <c r="Q58" s="50" t="n">
        <f aca="false">COUNTIFS($K$41:$K$540,"&gt;="&amp;O58,$K$41:$K$540,"&lt;"&amp;P58)</f>
        <v>31</v>
      </c>
    </row>
    <row r="59" customFormat="false" ht="15" hidden="false" customHeight="false" outlineLevel="0" collapsed="false">
      <c r="A59" s="50" t="n">
        <v>19</v>
      </c>
      <c r="B59" s="19" t="n">
        <f aca="true">NORMINV(RAND(),$B$6,$C$6)</f>
        <v>0.110541319469225</v>
      </c>
      <c r="C59" s="19" t="n">
        <f aca="true">MAX(0.25,NORMINV(RAND(),$B$7,$C$7))</f>
        <v>0.451709615798401</v>
      </c>
      <c r="D59" s="32" t="n">
        <f aca="true">MAX(0.07,NORMINV(RAND(),$B$8,$C$8))</f>
        <v>0.0965409897441486</v>
      </c>
      <c r="E59" s="51" t="n">
        <f aca="true">MAX(8,NORMINV(RAND(),$B$9,$C$9))</f>
        <v>16.700187609445</v>
      </c>
      <c r="F59" s="24" t="n">
        <f aca="false">$B$18*(1+(B59+$B$17)/2)^9</f>
        <v>20185.7279870879</v>
      </c>
      <c r="G59" s="24" t="n">
        <f aca="false">F59*C59</f>
        <v>9118.0874336585</v>
      </c>
      <c r="H59" s="24" t="n">
        <f aca="false">E59*G59/(1+D59)^9</f>
        <v>66435.6619327103</v>
      </c>
      <c r="I59" s="24" t="n">
        <f aca="false">$B$13*G59/$B$12*((1+$B$8)/(1+D59))^4.5</f>
        <v>23525.2682774729</v>
      </c>
      <c r="J59" s="24" t="n">
        <f aca="false">H59+I59-$B$14</f>
        <v>82523.3294567585</v>
      </c>
      <c r="K59" s="43" t="n">
        <f aca="false">J59/$B$15</f>
        <v>430.706312404794</v>
      </c>
      <c r="N59" s="3" t="s">
        <v>431</v>
      </c>
      <c r="O59" s="50" t="n">
        <v>550</v>
      </c>
      <c r="P59" s="50" t="n">
        <v>575</v>
      </c>
      <c r="Q59" s="50" t="n">
        <f aca="false">COUNTIFS($K$41:$K$540,"&gt;="&amp;O59,$K$41:$K$540,"&lt;"&amp;P59)</f>
        <v>25</v>
      </c>
    </row>
    <row r="60" customFormat="false" ht="15" hidden="false" customHeight="false" outlineLevel="0" collapsed="false">
      <c r="A60" s="50" t="n">
        <v>20</v>
      </c>
      <c r="B60" s="19" t="n">
        <f aca="true">NORMINV(RAND(),$B$6,$C$6)</f>
        <v>0.117654396110139</v>
      </c>
      <c r="C60" s="19" t="n">
        <f aca="true">MAX(0.25,NORMINV(RAND(),$B$7,$C$7))</f>
        <v>0.499616894869199</v>
      </c>
      <c r="D60" s="32" t="n">
        <f aca="true">MAX(0.07,NORMINV(RAND(),$B$8,$C$8))</f>
        <v>0.105432673200713</v>
      </c>
      <c r="E60" s="51" t="n">
        <f aca="true">MAX(8,NORMINV(RAND(),$B$9,$C$9))</f>
        <v>23.2339235780683</v>
      </c>
      <c r="F60" s="24" t="n">
        <f aca="false">$B$18*(1+(B60+$B$17)/2)^9</f>
        <v>20788.9475907287</v>
      </c>
      <c r="G60" s="24" t="n">
        <f aca="false">F60*C60</f>
        <v>10386.5094428784</v>
      </c>
      <c r="H60" s="24" t="n">
        <f aca="false">E60*G60/(1+D60)^9</f>
        <v>97904.2410582491</v>
      </c>
      <c r="I60" s="24" t="n">
        <f aca="false">$B$13*G60/$B$12*((1+$B$8)/(1+D60))^4.5</f>
        <v>25841.4592778762</v>
      </c>
      <c r="J60" s="24" t="n">
        <f aca="false">H60+I60-$B$14</f>
        <v>116308.099582701</v>
      </c>
      <c r="K60" s="43" t="n">
        <f aca="false">J60/$B$15</f>
        <v>607.036010348125</v>
      </c>
      <c r="N60" s="3" t="s">
        <v>432</v>
      </c>
      <c r="O60" s="50" t="n">
        <v>575</v>
      </c>
      <c r="P60" s="50" t="n">
        <v>600</v>
      </c>
      <c r="Q60" s="50" t="n">
        <f aca="false">COUNTIFS($K$41:$K$540,"&gt;="&amp;O60,$K$41:$K$540,"&lt;"&amp;P60)</f>
        <v>15</v>
      </c>
    </row>
    <row r="61" customFormat="false" ht="15" hidden="false" customHeight="false" outlineLevel="0" collapsed="false">
      <c r="A61" s="50" t="n">
        <v>21</v>
      </c>
      <c r="B61" s="19" t="n">
        <f aca="true">NORMINV(RAND(),$B$6,$C$6)</f>
        <v>0.141122741884479</v>
      </c>
      <c r="C61" s="19" t="n">
        <f aca="true">MAX(0.25,NORMINV(RAND(),$B$7,$C$7))</f>
        <v>0.419885625861617</v>
      </c>
      <c r="D61" s="32" t="n">
        <f aca="true">MAX(0.07,NORMINV(RAND(),$B$8,$C$8))</f>
        <v>0.1124622619034</v>
      </c>
      <c r="E61" s="51" t="n">
        <f aca="true">MAX(8,NORMINV(RAND(),$B$9,$C$9))</f>
        <v>19.778074609288</v>
      </c>
      <c r="F61" s="24" t="n">
        <f aca="false">$B$18*(1+(B61+$B$17)/2)^9</f>
        <v>22894.4516294734</v>
      </c>
      <c r="G61" s="24" t="n">
        <f aca="false">F61*C61</f>
        <v>9613.05115119995</v>
      </c>
      <c r="H61" s="24" t="n">
        <f aca="false">E61*G61/(1+D61)^9</f>
        <v>72858.0726108584</v>
      </c>
      <c r="I61" s="24" t="n">
        <f aca="false">$B$13*G61/$B$12*((1+$B$8)/(1+D61))^4.5</f>
        <v>23244.5001008532</v>
      </c>
      <c r="J61" s="24" t="n">
        <f aca="false">H61+I61-$B$14</f>
        <v>88664.9719582869</v>
      </c>
      <c r="K61" s="43" t="n">
        <f aca="false">J61/$B$15</f>
        <v>462.760813978533</v>
      </c>
      <c r="N61" s="3" t="s">
        <v>433</v>
      </c>
      <c r="O61" s="50" t="n">
        <v>600</v>
      </c>
      <c r="P61" s="50" t="n">
        <v>625</v>
      </c>
      <c r="Q61" s="50" t="n">
        <f aca="false">COUNTIF($K$41:$K$540,"&gt;="&amp;O61)</f>
        <v>42</v>
      </c>
    </row>
    <row r="62" customFormat="false" ht="15" hidden="false" customHeight="false" outlineLevel="0" collapsed="false">
      <c r="A62" s="50" t="n">
        <v>22</v>
      </c>
      <c r="B62" s="19" t="n">
        <f aca="true">NORMINV(RAND(),$B$6,$C$6)</f>
        <v>0.0702019606197304</v>
      </c>
      <c r="C62" s="19" t="n">
        <f aca="true">MAX(0.25,NORMINV(RAND(),$B$7,$C$7))</f>
        <v>0.452925666368278</v>
      </c>
      <c r="D62" s="32" t="n">
        <f aca="true">MAX(0.07,NORMINV(RAND(),$B$8,$C$8))</f>
        <v>0.100511981088236</v>
      </c>
      <c r="E62" s="51" t="n">
        <f aca="true">MAX(8,NORMINV(RAND(),$B$9,$C$9))</f>
        <v>19.5775571439362</v>
      </c>
      <c r="F62" s="24" t="n">
        <f aca="false">$B$18*(1+(B62+$B$17)/2)^9</f>
        <v>17049.7854383655</v>
      </c>
      <c r="G62" s="24" t="n">
        <f aca="false">F62*C62</f>
        <v>7722.28543110784</v>
      </c>
      <c r="H62" s="24" t="n">
        <f aca="false">E62*G62/(1+D62)^9</f>
        <v>63848.5994444173</v>
      </c>
      <c r="I62" s="24" t="n">
        <f aca="false">$B$13*G62/$B$12*((1+$B$8)/(1+D62))^4.5</f>
        <v>19602.5293506626</v>
      </c>
      <c r="J62" s="24" t="n">
        <f aca="false">H62+I62-$B$14</f>
        <v>76013.5280416552</v>
      </c>
      <c r="K62" s="43" t="n">
        <f aca="false">J62/$B$15</f>
        <v>396.730313369808</v>
      </c>
    </row>
    <row r="63" customFormat="false" ht="15" hidden="false" customHeight="false" outlineLevel="0" collapsed="false">
      <c r="A63" s="50" t="n">
        <v>23</v>
      </c>
      <c r="B63" s="19" t="n">
        <f aca="true">NORMINV(RAND(),$B$6,$C$6)</f>
        <v>0.127650067675021</v>
      </c>
      <c r="C63" s="19" t="n">
        <f aca="true">MAX(0.25,NORMINV(RAND(),$B$7,$C$7))</f>
        <v>0.491783685424459</v>
      </c>
      <c r="D63" s="32" t="n">
        <f aca="true">MAX(0.07,NORMINV(RAND(),$B$8,$C$8))</f>
        <v>0.085516178974353</v>
      </c>
      <c r="E63" s="51" t="n">
        <f aca="true">MAX(8,NORMINV(RAND(),$B$9,$C$9))</f>
        <v>15.9255467442501</v>
      </c>
      <c r="F63" s="24" t="n">
        <f aca="false">$B$18*(1+(B63+$B$17)/2)^9</f>
        <v>21663.6976647811</v>
      </c>
      <c r="G63" s="24" t="n">
        <f aca="false">F63*C63</f>
        <v>10653.8530775073</v>
      </c>
      <c r="H63" s="24" t="n">
        <f aca="false">E63*G63/(1+D63)^9</f>
        <v>81072.6460605261</v>
      </c>
      <c r="I63" s="24" t="n">
        <f aca="false">$B$13*G63/$B$12*((1+$B$8)/(1+D63))^4.5</f>
        <v>28766.438766621</v>
      </c>
      <c r="J63" s="24" t="n">
        <f aca="false">H63+I63-$B$14</f>
        <v>102401.484073723</v>
      </c>
      <c r="K63" s="43" t="n">
        <f aca="false">J63/$B$15</f>
        <v>534.454509779345</v>
      </c>
    </row>
    <row r="64" customFormat="false" ht="15" hidden="false" customHeight="false" outlineLevel="0" collapsed="false">
      <c r="A64" s="50" t="n">
        <v>24</v>
      </c>
      <c r="B64" s="19" t="n">
        <f aca="true">NORMINV(RAND(),$B$6,$C$6)</f>
        <v>0.0699483296721322</v>
      </c>
      <c r="C64" s="19" t="n">
        <f aca="true">MAX(0.25,NORMINV(RAND(),$B$7,$C$7))</f>
        <v>0.494811013352317</v>
      </c>
      <c r="D64" s="32" t="n">
        <f aca="true">MAX(0.07,NORMINV(RAND(),$B$8,$C$8))</f>
        <v>0.0900839154898571</v>
      </c>
      <c r="E64" s="51" t="n">
        <f aca="true">MAX(8,NORMINV(RAND(),$B$9,$C$9))</f>
        <v>19.607265657844</v>
      </c>
      <c r="F64" s="24" t="n">
        <f aca="false">$B$18*(1+(B64+$B$17)/2)^9</f>
        <v>17031.5239544938</v>
      </c>
      <c r="G64" s="24" t="n">
        <f aca="false">F64*C64</f>
        <v>8427.38562685735</v>
      </c>
      <c r="H64" s="24" t="n">
        <f aca="false">E64*G64/(1+D64)^9</f>
        <v>76027.466118694</v>
      </c>
      <c r="I64" s="24" t="n">
        <f aca="false">$B$13*G64/$B$12*((1+$B$8)/(1+D64))^4.5</f>
        <v>22328.8278563285</v>
      </c>
      <c r="J64" s="24" t="n">
        <f aca="false">H64+I64-$B$14</f>
        <v>90918.6932215978</v>
      </c>
      <c r="K64" s="43" t="n">
        <f aca="false">J64/$B$15</f>
        <v>474.523451052181</v>
      </c>
    </row>
    <row r="65" customFormat="false" ht="15" hidden="false" customHeight="false" outlineLevel="0" collapsed="false">
      <c r="A65" s="50" t="n">
        <v>25</v>
      </c>
      <c r="B65" s="19" t="n">
        <f aca="true">NORMINV(RAND(),$B$6,$C$6)</f>
        <v>0.0957236518753846</v>
      </c>
      <c r="C65" s="19" t="n">
        <f aca="true">MAX(0.25,NORMINV(RAND(),$B$7,$C$7))</f>
        <v>0.429970647419802</v>
      </c>
      <c r="D65" s="32" t="n">
        <f aca="true">MAX(0.07,NORMINV(RAND(),$B$8,$C$8))</f>
        <v>0.11291865006792</v>
      </c>
      <c r="E65" s="51" t="n">
        <f aca="true">MAX(8,NORMINV(RAND(),$B$9,$C$9))</f>
        <v>16.8897791101573</v>
      </c>
      <c r="F65" s="24" t="n">
        <f aca="false">$B$18*(1+(B65+$B$17)/2)^9</f>
        <v>18978.8405686833</v>
      </c>
      <c r="G65" s="24" t="n">
        <f aca="false">F65*C65</f>
        <v>8160.34436659397</v>
      </c>
      <c r="H65" s="24" t="n">
        <f aca="false">E65*G65/(1+D65)^9</f>
        <v>52621.3121705503</v>
      </c>
      <c r="I65" s="24" t="n">
        <f aca="false">$B$13*G65/$B$12*((1+$B$8)/(1+D65))^4.5</f>
        <v>19695.4471615177</v>
      </c>
      <c r="J65" s="24" t="n">
        <f aca="false">H65+I65-$B$14</f>
        <v>64879.1585786433</v>
      </c>
      <c r="K65" s="43" t="n">
        <f aca="false">J65/$B$15</f>
        <v>338.61773788436</v>
      </c>
    </row>
    <row r="66" customFormat="false" ht="15" hidden="false" customHeight="false" outlineLevel="0" collapsed="false">
      <c r="A66" s="50" t="n">
        <v>26</v>
      </c>
      <c r="B66" s="19" t="n">
        <f aca="true">NORMINV(RAND(),$B$6,$C$6)</f>
        <v>0.0931385711928092</v>
      </c>
      <c r="C66" s="19" t="n">
        <f aca="true">MAX(0.25,NORMINV(RAND(),$B$7,$C$7))</f>
        <v>0.469966488818579</v>
      </c>
      <c r="D66" s="32" t="n">
        <f aca="true">MAX(0.07,NORMINV(RAND(),$B$8,$C$8))</f>
        <v>0.100720348843176</v>
      </c>
      <c r="E66" s="51" t="n">
        <f aca="true">MAX(8,NORMINV(RAND(),$B$9,$C$9))</f>
        <v>19.3303685782993</v>
      </c>
      <c r="F66" s="24" t="n">
        <f aca="false">$B$18*(1+(B66+$B$17)/2)^9</f>
        <v>18774.9904991539</v>
      </c>
      <c r="G66" s="24" t="n">
        <f aca="false">F66*C66</f>
        <v>8823.61636248951</v>
      </c>
      <c r="H66" s="24" t="n">
        <f aca="false">E66*G66/(1+D66)^9</f>
        <v>71910.7461040973</v>
      </c>
      <c r="I66" s="24" t="n">
        <f aca="false">$B$13*G66/$B$12*((1+$B$8)/(1+D66))^4.5</f>
        <v>22379.1140174876</v>
      </c>
      <c r="J66" s="24" t="n">
        <f aca="false">H66+I66-$B$14</f>
        <v>86852.2593681603</v>
      </c>
      <c r="K66" s="43" t="n">
        <f aca="false">J66/$B$15</f>
        <v>453.299892318164</v>
      </c>
    </row>
    <row r="67" customFormat="false" ht="15" hidden="false" customHeight="false" outlineLevel="0" collapsed="false">
      <c r="A67" s="50" t="n">
        <v>27</v>
      </c>
      <c r="B67" s="19" t="n">
        <f aca="true">NORMINV(RAND(),$B$6,$C$6)</f>
        <v>0.134013177363842</v>
      </c>
      <c r="C67" s="19" t="n">
        <f aca="true">MAX(0.25,NORMINV(RAND(),$B$7,$C$7))</f>
        <v>0.456432971751787</v>
      </c>
      <c r="D67" s="32" t="n">
        <f aca="true">MAX(0.07,NORMINV(RAND(),$B$8,$C$8))</f>
        <v>0.0864516476728459</v>
      </c>
      <c r="E67" s="51" t="n">
        <f aca="true">MAX(8,NORMINV(RAND(),$B$9,$C$9))</f>
        <v>22.8999291882678</v>
      </c>
      <c r="F67" s="24" t="n">
        <f aca="false">$B$18*(1+(B67+$B$17)/2)^9</f>
        <v>22237.4498759226</v>
      </c>
      <c r="G67" s="24" t="n">
        <f aca="false">F67*C67</f>
        <v>10149.9053310487</v>
      </c>
      <c r="H67" s="24" t="n">
        <f aca="false">E67*G67/(1+D67)^9</f>
        <v>110205.306042647</v>
      </c>
      <c r="I67" s="24" t="n">
        <f aca="false">$B$13*G67/$B$12*((1+$B$8)/(1+D67))^4.5</f>
        <v>27299.7034164834</v>
      </c>
      <c r="J67" s="24" t="n">
        <f aca="false">H67+I67-$B$14</f>
        <v>130067.408705706</v>
      </c>
      <c r="K67" s="43" t="n">
        <f aca="false">J67/$B$15</f>
        <v>678.84868844314</v>
      </c>
    </row>
    <row r="68" customFormat="false" ht="15" hidden="false" customHeight="false" outlineLevel="0" collapsed="false">
      <c r="A68" s="50" t="n">
        <v>28</v>
      </c>
      <c r="B68" s="19" t="n">
        <f aca="true">NORMINV(RAND(),$B$6,$C$6)</f>
        <v>0.131782188847043</v>
      </c>
      <c r="C68" s="19" t="n">
        <f aca="true">MAX(0.25,NORMINV(RAND(),$B$7,$C$7))</f>
        <v>0.459753449537058</v>
      </c>
      <c r="D68" s="32" t="n">
        <f aca="true">MAX(0.07,NORMINV(RAND(),$B$8,$C$8))</f>
        <v>0.100024425481991</v>
      </c>
      <c r="E68" s="51" t="n">
        <f aca="true">MAX(8,NORMINV(RAND(),$B$9,$C$9))</f>
        <v>18.226442147139</v>
      </c>
      <c r="F68" s="24" t="n">
        <f aca="false">$B$18*(1+(B68+$B$17)/2)^9</f>
        <v>22034.7657481998</v>
      </c>
      <c r="G68" s="24" t="n">
        <f aca="false">F68*C68</f>
        <v>10130.5595624759</v>
      </c>
      <c r="H68" s="24" t="n">
        <f aca="false">E68*G68/(1+D68)^9</f>
        <v>78291.4576180876</v>
      </c>
      <c r="I68" s="24" t="n">
        <f aca="false">$B$13*G68/$B$12*((1+$B$8)/(1+D68))^4.5</f>
        <v>25767.1096858264</v>
      </c>
      <c r="J68" s="24" t="n">
        <f aca="false">H68+I68-$B$14</f>
        <v>96620.9665504893</v>
      </c>
      <c r="K68" s="43" t="n">
        <f aca="false">J68/$B$15</f>
        <v>504.28479410485</v>
      </c>
    </row>
    <row r="69" customFormat="false" ht="15" hidden="false" customHeight="false" outlineLevel="0" collapsed="false">
      <c r="A69" s="50" t="n">
        <v>29</v>
      </c>
      <c r="B69" s="19" t="n">
        <f aca="true">NORMINV(RAND(),$B$6,$C$6)</f>
        <v>0.0897203290263748</v>
      </c>
      <c r="C69" s="19" t="n">
        <f aca="true">MAX(0.25,NORMINV(RAND(),$B$7,$C$7))</f>
        <v>0.471671062565583</v>
      </c>
      <c r="D69" s="32" t="n">
        <f aca="true">MAX(0.07,NORMINV(RAND(),$B$8,$C$8))</f>
        <v>0.0926898217200686</v>
      </c>
      <c r="E69" s="51" t="n">
        <f aca="true">MAX(8,NORMINV(RAND(),$B$9,$C$9))</f>
        <v>15.7800774117199</v>
      </c>
      <c r="F69" s="24" t="n">
        <f aca="false">$B$18*(1+(B69+$B$17)/2)^9</f>
        <v>18508.4294642251</v>
      </c>
      <c r="G69" s="24" t="n">
        <f aca="false">F69*C69</f>
        <v>8729.89059181121</v>
      </c>
      <c r="H69" s="24" t="n">
        <f aca="false">E69*G69/(1+D69)^9</f>
        <v>62036.2947927472</v>
      </c>
      <c r="I69" s="24" t="n">
        <f aca="false">$B$13*G69/$B$12*((1+$B$8)/(1+D69))^4.5</f>
        <v>22883.1344145573</v>
      </c>
      <c r="J69" s="24" t="n">
        <f aca="false">H69+I69-$B$14</f>
        <v>77481.8284538798</v>
      </c>
      <c r="K69" s="43" t="n">
        <f aca="false">J69/$B$15</f>
        <v>404.393676690396</v>
      </c>
    </row>
    <row r="70" customFormat="false" ht="15" hidden="false" customHeight="false" outlineLevel="0" collapsed="false">
      <c r="A70" s="50" t="n">
        <v>30</v>
      </c>
      <c r="B70" s="19" t="n">
        <f aca="true">NORMINV(RAND(),$B$6,$C$6)</f>
        <v>0.096749627795439</v>
      </c>
      <c r="C70" s="19" t="n">
        <f aca="true">MAX(0.25,NORMINV(RAND(),$B$7,$C$7))</f>
        <v>0.432957791889821</v>
      </c>
      <c r="D70" s="32" t="n">
        <f aca="true">MAX(0.07,NORMINV(RAND(),$B$8,$C$8))</f>
        <v>0.098675408684191</v>
      </c>
      <c r="E70" s="51" t="n">
        <f aca="true">MAX(8,NORMINV(RAND(),$B$9,$C$9))</f>
        <v>19.1549012002495</v>
      </c>
      <c r="F70" s="24" t="n">
        <f aca="false">$B$18*(1+(B70+$B$17)/2)^9</f>
        <v>19060.2890847595</v>
      </c>
      <c r="G70" s="24" t="n">
        <f aca="false">F70*C70</f>
        <v>8252.30067491912</v>
      </c>
      <c r="H70" s="24" t="n">
        <f aca="false">E70*G70/(1+D70)^9</f>
        <v>67768.882462326</v>
      </c>
      <c r="I70" s="24" t="n">
        <f aca="false">$B$13*G70/$B$12*((1+$B$8)/(1+D70))^4.5</f>
        <v>21105.9777431074</v>
      </c>
      <c r="J70" s="24" t="n">
        <f aca="false">H70+I70-$B$14</f>
        <v>81437.2594520087</v>
      </c>
      <c r="K70" s="43" t="n">
        <f aca="false">J70/$B$15</f>
        <v>425.037888580421</v>
      </c>
    </row>
    <row r="71" customFormat="false" ht="15" hidden="false" customHeight="false" outlineLevel="0" collapsed="false">
      <c r="A71" s="50" t="n">
        <v>31</v>
      </c>
      <c r="B71" s="19" t="n">
        <f aca="true">NORMINV(RAND(),$B$6,$C$6)</f>
        <v>0.0755354688620848</v>
      </c>
      <c r="C71" s="19" t="n">
        <f aca="true">MAX(0.25,NORMINV(RAND(),$B$7,$C$7))</f>
        <v>0.410807554521877</v>
      </c>
      <c r="D71" s="32" t="n">
        <f aca="true">MAX(0.07,NORMINV(RAND(),$B$8,$C$8))</f>
        <v>0.0933702115576363</v>
      </c>
      <c r="E71" s="51" t="n">
        <f aca="true">MAX(8,NORMINV(RAND(),$B$9,$C$9))</f>
        <v>15.344475643405</v>
      </c>
      <c r="F71" s="24" t="n">
        <f aca="false">$B$18*(1+(B71+$B$17)/2)^9</f>
        <v>17437.8524317597</v>
      </c>
      <c r="G71" s="24" t="n">
        <f aca="false">F71*C71</f>
        <v>7163.60151360455</v>
      </c>
      <c r="H71" s="24" t="n">
        <f aca="false">E71*G71/(1+D71)^9</f>
        <v>49224.1622869224</v>
      </c>
      <c r="I71" s="24" t="n">
        <f aca="false">$B$13*G71/$B$12*((1+$B$8)/(1+D71))^4.5</f>
        <v>18724.9902823673</v>
      </c>
      <c r="J71" s="24" t="n">
        <f aca="false">H71+I71-$B$14</f>
        <v>60511.551815865</v>
      </c>
      <c r="K71" s="43" t="n">
        <f aca="false">J71/$B$15</f>
        <v>315.822295489901</v>
      </c>
    </row>
    <row r="72" customFormat="false" ht="15" hidden="false" customHeight="false" outlineLevel="0" collapsed="false">
      <c r="A72" s="50" t="n">
        <v>32</v>
      </c>
      <c r="B72" s="19" t="n">
        <f aca="true">NORMINV(RAND(),$B$6,$C$6)</f>
        <v>0.102796357751004</v>
      </c>
      <c r="C72" s="19" t="n">
        <f aca="true">MAX(0.25,NORMINV(RAND(),$B$7,$C$7))</f>
        <v>0.486086832879841</v>
      </c>
      <c r="D72" s="32" t="n">
        <f aca="true">MAX(0.07,NORMINV(RAND(),$B$8,$C$8))</f>
        <v>0.0917116730645774</v>
      </c>
      <c r="E72" s="51" t="n">
        <f aca="true">MAX(8,NORMINV(RAND(),$B$9,$C$9))</f>
        <v>21.0156094274103</v>
      </c>
      <c r="F72" s="24" t="n">
        <f aca="false">$B$18*(1+(B72+$B$17)/2)^9</f>
        <v>19546.6601974803</v>
      </c>
      <c r="G72" s="24" t="n">
        <f aca="false">F72*C72</f>
        <v>9501.37414877166</v>
      </c>
      <c r="H72" s="24" t="n">
        <f aca="false">E72*G72/(1+D72)^9</f>
        <v>90647.7070031369</v>
      </c>
      <c r="I72" s="24" t="n">
        <f aca="false">$B$13*G72/$B$12*((1+$B$8)/(1+D72))^4.5</f>
        <v>25005.9511013317</v>
      </c>
      <c r="J72" s="24" t="n">
        <f aca="false">H72+I72-$B$14</f>
        <v>108216.057351044</v>
      </c>
      <c r="K72" s="43" t="n">
        <f aca="false">J72/$B$15</f>
        <v>564.80196947309</v>
      </c>
    </row>
    <row r="73" customFormat="false" ht="15" hidden="false" customHeight="false" outlineLevel="0" collapsed="false">
      <c r="A73" s="50" t="n">
        <v>33</v>
      </c>
      <c r="B73" s="19" t="n">
        <f aca="true">NORMINV(RAND(),$B$6,$C$6)</f>
        <v>0.0697634780666771</v>
      </c>
      <c r="C73" s="19" t="n">
        <f aca="true">MAX(0.25,NORMINV(RAND(),$B$7,$C$7))</f>
        <v>0.453812876363042</v>
      </c>
      <c r="D73" s="32" t="n">
        <f aca="true">MAX(0.07,NORMINV(RAND(),$B$8,$C$8))</f>
        <v>0.0925407345095041</v>
      </c>
      <c r="E73" s="51" t="n">
        <f aca="true">MAX(8,NORMINV(RAND(),$B$9,$C$9))</f>
        <v>16.6224093927992</v>
      </c>
      <c r="F73" s="24" t="n">
        <f aca="false">$B$18*(1+(B73+$B$17)/2)^9</f>
        <v>17018.2255536936</v>
      </c>
      <c r="G73" s="24" t="n">
        <f aca="false">F73*C73</f>
        <v>7723.08988911672</v>
      </c>
      <c r="H73" s="24" t="n">
        <f aca="false">E73*G73/(1+D73)^9</f>
        <v>57882.3719328665</v>
      </c>
      <c r="I73" s="24" t="n">
        <f aca="false">$B$13*G73/$B$12*((1+$B$8)/(1+D73))^4.5</f>
        <v>20256.5027712517</v>
      </c>
      <c r="J73" s="24" t="n">
        <f aca="false">H73+I73-$B$14</f>
        <v>70701.2739506936</v>
      </c>
      <c r="K73" s="43" t="n">
        <f aca="false">J73/$B$15</f>
        <v>369.004561329298</v>
      </c>
    </row>
    <row r="74" customFormat="false" ht="15" hidden="false" customHeight="false" outlineLevel="0" collapsed="false">
      <c r="A74" s="50" t="n">
        <v>34</v>
      </c>
      <c r="B74" s="19" t="n">
        <f aca="true">NORMINV(RAND(),$B$6,$C$6)</f>
        <v>0.13599801919541</v>
      </c>
      <c r="C74" s="19" t="n">
        <f aca="true">MAX(0.25,NORMINV(RAND(),$B$7,$C$7))</f>
        <v>0.426866119924063</v>
      </c>
      <c r="D74" s="32" t="n">
        <f aca="true">MAX(0.07,NORMINV(RAND(),$B$8,$C$8))</f>
        <v>0.101008671657901</v>
      </c>
      <c r="E74" s="51" t="n">
        <f aca="true">MAX(8,NORMINV(RAND(),$B$9,$C$9))</f>
        <v>16.8822674237612</v>
      </c>
      <c r="F74" s="24" t="n">
        <f aca="false">$B$18*(1+(B74+$B$17)/2)^9</f>
        <v>22419.162959255</v>
      </c>
      <c r="G74" s="24" t="n">
        <f aca="false">F74*C74</f>
        <v>9569.98110436244</v>
      </c>
      <c r="H74" s="24" t="n">
        <f aca="false">E74*G74/(1+D74)^9</f>
        <v>67955.5919528908</v>
      </c>
      <c r="I74" s="24" t="n">
        <f aca="false">$B$13*G74/$B$12*((1+$B$8)/(1+D74))^4.5</f>
        <v>24243.5102833729</v>
      </c>
      <c r="J74" s="24" t="n">
        <f aca="false">H74+I74-$B$14</f>
        <v>84761.501482839</v>
      </c>
      <c r="K74" s="43" t="n">
        <f aca="false">J74/$B$15</f>
        <v>442.387794795611</v>
      </c>
    </row>
    <row r="75" customFormat="false" ht="15" hidden="false" customHeight="false" outlineLevel="0" collapsed="false">
      <c r="A75" s="50" t="n">
        <v>35</v>
      </c>
      <c r="B75" s="19" t="n">
        <f aca="true">NORMINV(RAND(),$B$6,$C$6)</f>
        <v>0.139375255532744</v>
      </c>
      <c r="C75" s="19" t="n">
        <f aca="true">MAX(0.25,NORMINV(RAND(),$B$7,$C$7))</f>
        <v>0.491455605918225</v>
      </c>
      <c r="D75" s="32" t="n">
        <f aca="true">MAX(0.07,NORMINV(RAND(),$B$8,$C$8))</f>
        <v>0.092819535393061</v>
      </c>
      <c r="E75" s="51" t="n">
        <f aca="true">MAX(8,NORMINV(RAND(),$B$9,$C$9))</f>
        <v>19.1081150623756</v>
      </c>
      <c r="F75" s="24" t="n">
        <f aca="false">$B$18*(1+(B75+$B$17)/2)^9</f>
        <v>22731.3856007045</v>
      </c>
      <c r="G75" s="24" t="n">
        <f aca="false">F75*C75</f>
        <v>11171.4668837551</v>
      </c>
      <c r="H75" s="24" t="n">
        <f aca="false">E75*G75/(1+D75)^9</f>
        <v>96026.6992498442</v>
      </c>
      <c r="I75" s="24" t="n">
        <f aca="false">$B$13*G75/$B$12*((1+$B$8)/(1+D75))^4.5</f>
        <v>29267.4529039802</v>
      </c>
      <c r="J75" s="24" t="n">
        <f aca="false">H75+I75-$B$14</f>
        <v>117856.5514004</v>
      </c>
      <c r="K75" s="43" t="n">
        <f aca="false">J75/$B$15</f>
        <v>615.117700419623</v>
      </c>
    </row>
    <row r="76" customFormat="false" ht="15" hidden="false" customHeight="false" outlineLevel="0" collapsed="false">
      <c r="A76" s="50" t="n">
        <v>36</v>
      </c>
      <c r="B76" s="19" t="n">
        <f aca="true">NORMINV(RAND(),$B$6,$C$6)</f>
        <v>0.0894243557698917</v>
      </c>
      <c r="C76" s="19" t="n">
        <f aca="true">MAX(0.25,NORMINV(RAND(),$B$7,$C$7))</f>
        <v>0.455711605853328</v>
      </c>
      <c r="D76" s="32" t="n">
        <f aca="true">MAX(0.07,NORMINV(RAND(),$B$8,$C$8))</f>
        <v>0.10262142916889</v>
      </c>
      <c r="E76" s="51" t="n">
        <f aca="true">MAX(8,NORMINV(RAND(),$B$9,$C$9))</f>
        <v>17.298247367429</v>
      </c>
      <c r="F76" s="24" t="n">
        <f aca="false">$B$18*(1+(B76+$B$17)/2)^9</f>
        <v>18485.5079438081</v>
      </c>
      <c r="G76" s="24" t="n">
        <f aca="false">F76*C76</f>
        <v>8424.06051008723</v>
      </c>
      <c r="H76" s="24" t="n">
        <f aca="false">E76*G76/(1+D76)^9</f>
        <v>60490.297907308</v>
      </c>
      <c r="I76" s="24" t="n">
        <f aca="false">$B$13*G76/$B$12*((1+$B$8)/(1+D76))^4.5</f>
        <v>21200.4607344224</v>
      </c>
      <c r="J76" s="24" t="n">
        <f aca="false">H76+I76-$B$14</f>
        <v>74253.1578883057</v>
      </c>
      <c r="K76" s="43" t="n">
        <f aca="false">J76/$B$15</f>
        <v>387.542577705145</v>
      </c>
    </row>
    <row r="77" customFormat="false" ht="15" hidden="false" customHeight="false" outlineLevel="0" collapsed="false">
      <c r="A77" s="50" t="n">
        <v>37</v>
      </c>
      <c r="B77" s="19" t="n">
        <f aca="true">NORMINV(RAND(),$B$6,$C$6)</f>
        <v>0.12257272475863</v>
      </c>
      <c r="C77" s="19" t="n">
        <f aca="true">MAX(0.25,NORMINV(RAND(),$B$7,$C$7))</f>
        <v>0.493859527812596</v>
      </c>
      <c r="D77" s="32" t="n">
        <f aca="true">MAX(0.07,NORMINV(RAND(),$B$8,$C$8))</f>
        <v>0.0880702293627367</v>
      </c>
      <c r="E77" s="51" t="n">
        <f aca="true">MAX(8,NORMINV(RAND(),$B$9,$C$9))</f>
        <v>12.956391734371</v>
      </c>
      <c r="F77" s="24" t="n">
        <f aca="false">$B$18*(1+(B77+$B$17)/2)^9</f>
        <v>21215.3602012254</v>
      </c>
      <c r="G77" s="24" t="n">
        <f aca="false">F77*C77</f>
        <v>10477.4077713513</v>
      </c>
      <c r="H77" s="24" t="n">
        <f aca="false">E77*G77/(1+D77)^9</f>
        <v>63507.580470493</v>
      </c>
      <c r="I77" s="24" t="n">
        <f aca="false">$B$13*G77/$B$12*((1+$B$8)/(1+D77))^4.5</f>
        <v>27992.4184753695</v>
      </c>
      <c r="J77" s="24" t="n">
        <f aca="false">H77+I77-$B$14</f>
        <v>84062.3981924378</v>
      </c>
      <c r="K77" s="43" t="n">
        <f aca="false">J77/$B$15</f>
        <v>438.73903023193</v>
      </c>
    </row>
    <row r="78" customFormat="false" ht="15" hidden="false" customHeight="false" outlineLevel="0" collapsed="false">
      <c r="A78" s="50" t="n">
        <v>38</v>
      </c>
      <c r="B78" s="19" t="n">
        <f aca="true">NORMINV(RAND(),$B$6,$C$6)</f>
        <v>0.0997027449446727</v>
      </c>
      <c r="C78" s="19" t="n">
        <f aca="true">MAX(0.25,NORMINV(RAND(),$B$7,$C$7))</f>
        <v>0.447919242860015</v>
      </c>
      <c r="D78" s="32" t="n">
        <f aca="true">MAX(0.07,NORMINV(RAND(),$B$8,$C$8))</f>
        <v>0.105643984204715</v>
      </c>
      <c r="E78" s="51" t="n">
        <f aca="true">MAX(8,NORMINV(RAND(),$B$9,$C$9))</f>
        <v>12.4473101194801</v>
      </c>
      <c r="F78" s="24" t="n">
        <f aca="false">$B$18*(1+(B78+$B$17)/2)^9</f>
        <v>19296.4633870021</v>
      </c>
      <c r="G78" s="24" t="n">
        <f aca="false">F78*C78</f>
        <v>8643.25727018197</v>
      </c>
      <c r="H78" s="24" t="n">
        <f aca="false">E78*G78/(1+D78)^9</f>
        <v>43572.7715007185</v>
      </c>
      <c r="I78" s="24" t="n">
        <f aca="false">$B$13*G78/$B$12*((1+$B$8)/(1+D78))^4.5</f>
        <v>21485.789065401</v>
      </c>
      <c r="J78" s="24" t="n">
        <f aca="false">H78+I78-$B$14</f>
        <v>57620.9598126948</v>
      </c>
      <c r="K78" s="43" t="n">
        <f aca="false">J78/$B$15</f>
        <v>300.735698396111</v>
      </c>
    </row>
    <row r="79" customFormat="false" ht="15" hidden="false" customHeight="false" outlineLevel="0" collapsed="false">
      <c r="A79" s="50" t="n">
        <v>39</v>
      </c>
      <c r="B79" s="19" t="n">
        <f aca="true">NORMINV(RAND(),$B$6,$C$6)</f>
        <v>0.102784313722004</v>
      </c>
      <c r="C79" s="19" t="n">
        <f aca="true">MAX(0.25,NORMINV(RAND(),$B$7,$C$7))</f>
        <v>0.478807054648807</v>
      </c>
      <c r="D79" s="32" t="n">
        <f aca="true">MAX(0.07,NORMINV(RAND(),$B$8,$C$8))</f>
        <v>0.104187538454624</v>
      </c>
      <c r="E79" s="51" t="n">
        <f aca="true">MAX(8,NORMINV(RAND(),$B$9,$C$9))</f>
        <v>15.8734225746211</v>
      </c>
      <c r="F79" s="24" t="n">
        <f aca="false">$B$18*(1+(B79+$B$17)/2)^9</f>
        <v>19545.6805686412</v>
      </c>
      <c r="G79" s="24" t="n">
        <f aca="false">F79*C79</f>
        <v>9358.60974417749</v>
      </c>
      <c r="H79" s="24" t="n">
        <f aca="false">E79*G79/(1+D79)^9</f>
        <v>60883.0417509948</v>
      </c>
      <c r="I79" s="24" t="n">
        <f aca="false">$B$13*G79/$B$12*((1+$B$8)/(1+D79))^4.5</f>
        <v>23402.4486535434</v>
      </c>
      <c r="J79" s="24" t="n">
        <f aca="false">H79+I79-$B$14</f>
        <v>76847.8896511135</v>
      </c>
      <c r="K79" s="43" t="n">
        <f aca="false">J79/$B$15</f>
        <v>401.085019055916</v>
      </c>
    </row>
    <row r="80" customFormat="false" ht="15" hidden="false" customHeight="false" outlineLevel="0" collapsed="false">
      <c r="A80" s="50" t="n">
        <v>40</v>
      </c>
      <c r="B80" s="19" t="n">
        <f aca="true">NORMINV(RAND(),$B$6,$C$6)</f>
        <v>0.116992399736512</v>
      </c>
      <c r="C80" s="19" t="n">
        <f aca="true">MAX(0.25,NORMINV(RAND(),$B$7,$C$7))</f>
        <v>0.516856970923029</v>
      </c>
      <c r="D80" s="32" t="n">
        <f aca="true">MAX(0.07,NORMINV(RAND(),$B$8,$C$8))</f>
        <v>0.106012993498242</v>
      </c>
      <c r="E80" s="51" t="n">
        <f aca="true">MAX(8,NORMINV(RAND(),$B$9,$C$9))</f>
        <v>22.570911220874</v>
      </c>
      <c r="F80" s="24" t="n">
        <f aca="false">$B$18*(1+(B80+$B$17)/2)^9</f>
        <v>20732.139050745</v>
      </c>
      <c r="G80" s="24" t="n">
        <f aca="false">F80*C80</f>
        <v>10715.5505905231</v>
      </c>
      <c r="H80" s="24" t="n">
        <f aca="false">E80*G80/(1+D80)^9</f>
        <v>97661.0797465278</v>
      </c>
      <c r="I80" s="24" t="n">
        <f aca="false">$B$13*G80/$B$12*((1+$B$8)/(1+D80))^4.5</f>
        <v>26597.2178432732</v>
      </c>
      <c r="J80" s="24" t="n">
        <f aca="false">H80+I80-$B$14</f>
        <v>116820.696836376</v>
      </c>
      <c r="K80" s="43" t="n">
        <f aca="false">J80/$B$15</f>
        <v>609.711361358958</v>
      </c>
    </row>
    <row r="81" customFormat="false" ht="15" hidden="false" customHeight="false" outlineLevel="0" collapsed="false">
      <c r="A81" s="50" t="n">
        <v>41</v>
      </c>
      <c r="B81" s="19" t="n">
        <f aca="true">NORMINV(RAND(),$B$6,$C$6)</f>
        <v>0.073307562572024</v>
      </c>
      <c r="C81" s="19" t="n">
        <f aca="true">MAX(0.25,NORMINV(RAND(),$B$7,$C$7))</f>
        <v>0.536113669129694</v>
      </c>
      <c r="D81" s="32" t="n">
        <f aca="true">MAX(0.07,NORMINV(RAND(),$B$8,$C$8))</f>
        <v>0.0839962423649854</v>
      </c>
      <c r="E81" s="51" t="n">
        <f aca="true">MAX(8,NORMINV(RAND(),$B$9,$C$9))</f>
        <v>14.1963892632672</v>
      </c>
      <c r="F81" s="24" t="n">
        <f aca="false">$B$18*(1+(B81+$B$17)/2)^9</f>
        <v>17274.8050041612</v>
      </c>
      <c r="G81" s="24" t="n">
        <f aca="false">F81*C81</f>
        <v>9261.25909428084</v>
      </c>
      <c r="H81" s="24" t="n">
        <f aca="false">E81*G81/(1+D81)^9</f>
        <v>63620.6266862154</v>
      </c>
      <c r="I81" s="24" t="n">
        <f aca="false">$B$13*G81/$B$12*((1+$B$8)/(1+D81))^4.5</f>
        <v>25164.4700760847</v>
      </c>
      <c r="J81" s="24" t="n">
        <f aca="false">H81+I81-$B$14</f>
        <v>81347.4960088755</v>
      </c>
      <c r="K81" s="43" t="n">
        <f aca="false">J81/$B$15</f>
        <v>424.569394618348</v>
      </c>
    </row>
    <row r="82" customFormat="false" ht="15" hidden="false" customHeight="false" outlineLevel="0" collapsed="false">
      <c r="A82" s="50" t="n">
        <v>42</v>
      </c>
      <c r="B82" s="19" t="n">
        <f aca="true">NORMINV(RAND(),$B$6,$C$6)</f>
        <v>0.117429687680673</v>
      </c>
      <c r="C82" s="19" t="n">
        <f aca="true">MAX(0.25,NORMINV(RAND(),$B$7,$C$7))</f>
        <v>0.459821610191432</v>
      </c>
      <c r="D82" s="32" t="n">
        <f aca="true">MAX(0.07,NORMINV(RAND(),$B$8,$C$8))</f>
        <v>0.0945281795665806</v>
      </c>
      <c r="E82" s="51" t="n">
        <f aca="true">MAX(8,NORMINV(RAND(),$B$9,$C$9))</f>
        <v>21.0212140331494</v>
      </c>
      <c r="F82" s="24" t="n">
        <f aca="false">$B$18*(1+(B82+$B$17)/2)^9</f>
        <v>20769.6489744217</v>
      </c>
      <c r="G82" s="24" t="n">
        <f aca="false">F82*C82</f>
        <v>9550.33343452941</v>
      </c>
      <c r="H82" s="24" t="n">
        <f aca="false">E82*G82/(1+D82)^9</f>
        <v>89049.9751646425</v>
      </c>
      <c r="I82" s="24" t="n">
        <f aca="false">$B$13*G82/$B$12*((1+$B$8)/(1+D82))^4.5</f>
        <v>24845.0583982841</v>
      </c>
      <c r="J82" s="24" t="n">
        <f aca="false">H82+I82-$B$14</f>
        <v>106457.432809502</v>
      </c>
      <c r="K82" s="43" t="n">
        <f aca="false">J82/$B$15</f>
        <v>555.623344517234</v>
      </c>
    </row>
    <row r="83" customFormat="false" ht="15" hidden="false" customHeight="false" outlineLevel="0" collapsed="false">
      <c r="A83" s="50" t="n">
        <v>43</v>
      </c>
      <c r="B83" s="19" t="n">
        <f aca="true">NORMINV(RAND(),$B$6,$C$6)</f>
        <v>0.101837372879738</v>
      </c>
      <c r="C83" s="19" t="n">
        <f aca="true">MAX(0.25,NORMINV(RAND(),$B$7,$C$7))</f>
        <v>0.429569453841048</v>
      </c>
      <c r="D83" s="32" t="n">
        <f aca="true">MAX(0.07,NORMINV(RAND(),$B$8,$C$8))</f>
        <v>0.0746143008156618</v>
      </c>
      <c r="E83" s="51" t="n">
        <f aca="true">MAX(8,NORMINV(RAND(),$B$9,$C$9))</f>
        <v>16.4374995604217</v>
      </c>
      <c r="F83" s="24" t="n">
        <f aca="false">$B$18*(1+(B83+$B$17)/2)^9</f>
        <v>19468.7954198913</v>
      </c>
      <c r="G83" s="24" t="n">
        <f aca="false">F83*C83</f>
        <v>8363.19981546578</v>
      </c>
      <c r="H83" s="24" t="n">
        <f aca="false">E83*G83/(1+D83)^9</f>
        <v>71934.078610362</v>
      </c>
      <c r="I83" s="24" t="n">
        <f aca="false">$B$13*G83/$B$12*((1+$B$8)/(1+D83))^4.5</f>
        <v>23630.8015164469</v>
      </c>
      <c r="J83" s="24" t="n">
        <f aca="false">H83+I83-$B$14</f>
        <v>88127.2793733842</v>
      </c>
      <c r="K83" s="43" t="n">
        <f aca="false">J83/$B$15</f>
        <v>459.954485247308</v>
      </c>
    </row>
    <row r="84" customFormat="false" ht="15" hidden="false" customHeight="false" outlineLevel="0" collapsed="false">
      <c r="A84" s="50" t="n">
        <v>44</v>
      </c>
      <c r="B84" s="19" t="n">
        <f aca="true">NORMINV(RAND(),$B$6,$C$6)</f>
        <v>0.0773761264235548</v>
      </c>
      <c r="C84" s="19" t="n">
        <f aca="true">MAX(0.25,NORMINV(RAND(),$B$7,$C$7))</f>
        <v>0.406963855486079</v>
      </c>
      <c r="D84" s="32" t="n">
        <f aca="true">MAX(0.07,NORMINV(RAND(),$B$8,$C$8))</f>
        <v>0.0990321246828587</v>
      </c>
      <c r="E84" s="51" t="n">
        <f aca="true">MAX(8,NORMINV(RAND(),$B$9,$C$9))</f>
        <v>19.0503769400639</v>
      </c>
      <c r="F84" s="24" t="n">
        <f aca="false">$B$18*(1+(B84+$B$17)/2)^9</f>
        <v>17573.5898089787</v>
      </c>
      <c r="G84" s="24" t="n">
        <f aca="false">F84*C84</f>
        <v>7151.81586339285</v>
      </c>
      <c r="H84" s="24" t="n">
        <f aca="false">E84*G84/(1+D84)^9</f>
        <v>58240.6769457589</v>
      </c>
      <c r="I84" s="24" t="n">
        <f aca="false">$B$13*G84/$B$12*((1+$B$8)/(1+D84))^4.5</f>
        <v>18264.6911549208</v>
      </c>
      <c r="J84" s="24" t="n">
        <f aca="false">H84+I84-$B$14</f>
        <v>69067.7673472551</v>
      </c>
      <c r="K84" s="43" t="n">
        <f aca="false">J84/$B$15</f>
        <v>360.478952751853</v>
      </c>
    </row>
    <row r="85" customFormat="false" ht="15" hidden="false" customHeight="false" outlineLevel="0" collapsed="false">
      <c r="A85" s="50" t="n">
        <v>45</v>
      </c>
      <c r="B85" s="19" t="n">
        <f aca="true">NORMINV(RAND(),$B$6,$C$6)</f>
        <v>0.118864625878235</v>
      </c>
      <c r="C85" s="19" t="n">
        <f aca="true">MAX(0.25,NORMINV(RAND(),$B$7,$C$7))</f>
        <v>0.453477215814955</v>
      </c>
      <c r="D85" s="32" t="n">
        <f aca="true">MAX(0.07,NORMINV(RAND(),$B$8,$C$8))</f>
        <v>0.105981536333091</v>
      </c>
      <c r="E85" s="51" t="n">
        <f aca="true">MAX(8,NORMINV(RAND(),$B$9,$C$9))</f>
        <v>23.8891238230348</v>
      </c>
      <c r="F85" s="24" t="n">
        <f aca="false">$B$18*(1+(B85+$B$17)/2)^9</f>
        <v>20893.160015882</v>
      </c>
      <c r="G85" s="24" t="n">
        <f aca="false">F85*C85</f>
        <v>9474.57203357848</v>
      </c>
      <c r="H85" s="24" t="n">
        <f aca="false">E85*G85/(1+D85)^9</f>
        <v>91417.4141734822</v>
      </c>
      <c r="I85" s="24" t="n">
        <f aca="false">$B$13*G85/$B$12*((1+$B$8)/(1+D85))^4.5</f>
        <v>23519.9777707732</v>
      </c>
      <c r="J85" s="24" t="n">
        <f aca="false">H85+I85-$B$14</f>
        <v>107499.791190831</v>
      </c>
      <c r="K85" s="43" t="n">
        <f aca="false">J85/$B$15</f>
        <v>561.063628344628</v>
      </c>
    </row>
    <row r="86" customFormat="false" ht="15" hidden="false" customHeight="false" outlineLevel="0" collapsed="false">
      <c r="A86" s="50" t="n">
        <v>46</v>
      </c>
      <c r="B86" s="19" t="n">
        <f aca="true">NORMINV(RAND(),$B$6,$C$6)</f>
        <v>0.113592640185051</v>
      </c>
      <c r="C86" s="19" t="n">
        <f aca="true">MAX(0.25,NORMINV(RAND(),$B$7,$C$7))</f>
        <v>0.41919133693478</v>
      </c>
      <c r="D86" s="32" t="n">
        <f aca="true">MAX(0.07,NORMINV(RAND(),$B$8,$C$8))</f>
        <v>0.104851335740477</v>
      </c>
      <c r="E86" s="51" t="n">
        <f aca="true">MAX(8,NORMINV(RAND(),$B$9,$C$9))</f>
        <v>19.2491582967279</v>
      </c>
      <c r="F86" s="24" t="n">
        <f aca="false">$B$18*(1+(B86+$B$17)/2)^9</f>
        <v>20442.5604825591</v>
      </c>
      <c r="G86" s="24" t="n">
        <f aca="false">F86*C86</f>
        <v>8569.34425905403</v>
      </c>
      <c r="H86" s="24" t="n">
        <f aca="false">E86*G86/(1+D86)^9</f>
        <v>67239.5392102874</v>
      </c>
      <c r="I86" s="24" t="n">
        <f aca="false">$B$13*G86/$B$12*((1+$B$8)/(1+D86))^4.5</f>
        <v>21370.9111024827</v>
      </c>
      <c r="J86" s="24" t="n">
        <f aca="false">H86+I86-$B$14</f>
        <v>81172.8495593455</v>
      </c>
      <c r="K86" s="43" t="n">
        <f aca="false">J86/$B$15</f>
        <v>423.657878702221</v>
      </c>
    </row>
    <row r="87" customFormat="false" ht="15" hidden="false" customHeight="false" outlineLevel="0" collapsed="false">
      <c r="A87" s="50" t="n">
        <v>47</v>
      </c>
      <c r="B87" s="19" t="n">
        <f aca="true">NORMINV(RAND(),$B$6,$C$6)</f>
        <v>0.103002099180623</v>
      </c>
      <c r="C87" s="19" t="n">
        <f aca="true">MAX(0.25,NORMINV(RAND(),$B$7,$C$7))</f>
        <v>0.463347710408908</v>
      </c>
      <c r="D87" s="32" t="n">
        <f aca="true">MAX(0.07,NORMINV(RAND(),$B$8,$C$8))</f>
        <v>0.105719624837682</v>
      </c>
      <c r="E87" s="51" t="n">
        <f aca="true">MAX(8,NORMINV(RAND(),$B$9,$C$9))</f>
        <v>18.7285446567652</v>
      </c>
      <c r="F87" s="24" t="n">
        <f aca="false">$B$18*(1+(B87+$B$17)/2)^9</f>
        <v>19563.4013924779</v>
      </c>
      <c r="G87" s="24" t="n">
        <f aca="false">F87*C87</f>
        <v>9064.65724301506</v>
      </c>
      <c r="H87" s="24" t="n">
        <f aca="false">E87*G87/(1+D87)^9</f>
        <v>68714.7954984339</v>
      </c>
      <c r="I87" s="24" t="n">
        <f aca="false">$B$13*G87/$B$12*((1+$B$8)/(1+D87))^4.5</f>
        <v>22526.3878620092</v>
      </c>
      <c r="J87" s="24" t="n">
        <f aca="false">H87+I87-$B$14</f>
        <v>83803.5826070185</v>
      </c>
      <c r="K87" s="43" t="n">
        <f aca="false">J87/$B$15</f>
        <v>437.38821819947</v>
      </c>
    </row>
    <row r="88" customFormat="false" ht="15" hidden="false" customHeight="false" outlineLevel="0" collapsed="false">
      <c r="A88" s="50" t="n">
        <v>48</v>
      </c>
      <c r="B88" s="19" t="n">
        <f aca="true">NORMINV(RAND(),$B$6,$C$6)</f>
        <v>0.07428962736616</v>
      </c>
      <c r="C88" s="19" t="n">
        <f aca="true">MAX(0.25,NORMINV(RAND(),$B$7,$C$7))</f>
        <v>0.480995386298548</v>
      </c>
      <c r="D88" s="32" t="n">
        <f aca="true">MAX(0.07,NORMINV(RAND(),$B$8,$C$8))</f>
        <v>0.0960500770062136</v>
      </c>
      <c r="E88" s="51" t="n">
        <f aca="true">MAX(8,NORMINV(RAND(),$B$9,$C$9))</f>
        <v>18.7036985700299</v>
      </c>
      <c r="F88" s="24" t="n">
        <f aca="false">$B$18*(1+(B88+$B$17)/2)^9</f>
        <v>17346.5088025762</v>
      </c>
      <c r="G88" s="24" t="n">
        <f aca="false">F88*C88</f>
        <v>8343.59070242627</v>
      </c>
      <c r="H88" s="24" t="n">
        <f aca="false">E88*G88/(1+D88)^9</f>
        <v>68360.7649864475</v>
      </c>
      <c r="I88" s="24" t="n">
        <f aca="false">$B$13*G88/$B$12*((1+$B$8)/(1+D88))^4.5</f>
        <v>21570.4375990059</v>
      </c>
      <c r="J88" s="24" t="n">
        <f aca="false">H88+I88-$B$14</f>
        <v>82493.6018320287</v>
      </c>
      <c r="K88" s="43" t="n">
        <f aca="false">J88/$B$15</f>
        <v>430.551157787206</v>
      </c>
    </row>
    <row r="89" customFormat="false" ht="15" hidden="false" customHeight="false" outlineLevel="0" collapsed="false">
      <c r="A89" s="50" t="n">
        <v>49</v>
      </c>
      <c r="B89" s="19" t="n">
        <f aca="true">NORMINV(RAND(),$B$6,$C$6)</f>
        <v>0.134706550822584</v>
      </c>
      <c r="C89" s="19" t="n">
        <f aca="true">MAX(0.25,NORMINV(RAND(),$B$7,$C$7))</f>
        <v>0.495306589738634</v>
      </c>
      <c r="D89" s="32" t="n">
        <f aca="true">MAX(0.07,NORMINV(RAND(),$B$8,$C$8))</f>
        <v>0.0917727714911188</v>
      </c>
      <c r="E89" s="51" t="n">
        <f aca="true">MAX(8,NORMINV(RAND(),$B$9,$C$9))</f>
        <v>20.3823533808404</v>
      </c>
      <c r="F89" s="24" t="n">
        <f aca="false">$B$18*(1+(B89+$B$17)/2)^9</f>
        <v>22300.7791531121</v>
      </c>
      <c r="G89" s="24" t="n">
        <f aca="false">F89*C89</f>
        <v>11045.7228708424</v>
      </c>
      <c r="H89" s="24" t="n">
        <f aca="false">E89*G89/(1+D89)^9</f>
        <v>102154.649851924</v>
      </c>
      <c r="I89" s="24" t="n">
        <f aca="false">$B$13*G89/$B$12*((1+$B$8)/(1+D89))^4.5</f>
        <v>29063.0860716213</v>
      </c>
      <c r="J89" s="24" t="n">
        <f aca="false">H89+I89-$B$14</f>
        <v>123780.13517012</v>
      </c>
      <c r="K89" s="43" t="n">
        <f aca="false">J89/$B$15</f>
        <v>646.034108403551</v>
      </c>
    </row>
    <row r="90" customFormat="false" ht="15" hidden="false" customHeight="false" outlineLevel="0" collapsed="false">
      <c r="A90" s="50" t="n">
        <v>50</v>
      </c>
      <c r="B90" s="19" t="n">
        <f aca="true">NORMINV(RAND(),$B$6,$C$6)</f>
        <v>0.0672838424981754</v>
      </c>
      <c r="C90" s="19" t="n">
        <f aca="true">MAX(0.25,NORMINV(RAND(),$B$7,$C$7))</f>
        <v>0.550147779259207</v>
      </c>
      <c r="D90" s="32" t="n">
        <f aca="true">MAX(0.07,NORMINV(RAND(),$B$8,$C$8))</f>
        <v>0.0923426284053416</v>
      </c>
      <c r="E90" s="51" t="n">
        <f aca="true">MAX(8,NORMINV(RAND(),$B$9,$C$9))</f>
        <v>13.8467667261328</v>
      </c>
      <c r="F90" s="24" t="n">
        <f aca="false">$B$18*(1+(B90+$B$17)/2)^9</f>
        <v>16840.7283579622</v>
      </c>
      <c r="G90" s="24" t="n">
        <f aca="false">F90*C90</f>
        <v>9264.88930724044</v>
      </c>
      <c r="H90" s="24" t="n">
        <f aca="false">E90*G90/(1+D90)^9</f>
        <v>57937.3558205175</v>
      </c>
      <c r="I90" s="24" t="n">
        <f aca="false">$B$13*G90/$B$12*((1+$B$8)/(1+D90))^4.5</f>
        <v>24320.2488981989</v>
      </c>
      <c r="J90" s="24" t="n">
        <f aca="false">H90+I90-$B$14</f>
        <v>74820.0039652918</v>
      </c>
      <c r="K90" s="43" t="n">
        <f aca="false">J90/$B$15</f>
        <v>390.501064537014</v>
      </c>
    </row>
    <row r="91" customFormat="false" ht="15" hidden="false" customHeight="false" outlineLevel="0" collapsed="false">
      <c r="A91" s="50" t="n">
        <v>51</v>
      </c>
      <c r="B91" s="19" t="n">
        <f aca="true">NORMINV(RAND(),$B$6,$C$6)</f>
        <v>0.105792460974231</v>
      </c>
      <c r="C91" s="19" t="n">
        <f aca="true">MAX(0.25,NORMINV(RAND(),$B$7,$C$7))</f>
        <v>0.475518472128829</v>
      </c>
      <c r="D91" s="32" t="n">
        <f aca="true">MAX(0.07,NORMINV(RAND(),$B$8,$C$8))</f>
        <v>0.109024216989499</v>
      </c>
      <c r="E91" s="51" t="n">
        <f aca="true">MAX(8,NORMINV(RAND(),$B$9,$C$9))</f>
        <v>18.3688404192342</v>
      </c>
      <c r="F91" s="24" t="n">
        <f aca="false">$B$18*(1+(B91+$B$17)/2)^9</f>
        <v>19791.7153404566</v>
      </c>
      <c r="G91" s="24" t="n">
        <f aca="false">F91*C91</f>
        <v>9411.32623950261</v>
      </c>
      <c r="H91" s="24" t="n">
        <f aca="false">E91*G91/(1+D91)^9</f>
        <v>68118.2218646954</v>
      </c>
      <c r="I91" s="24" t="n">
        <f aca="false">$B$13*G91/$B$12*((1+$B$8)/(1+D91))^4.5</f>
        <v>23075.9157814105</v>
      </c>
      <c r="J91" s="24" t="n">
        <f aca="false">H91+I91-$B$14</f>
        <v>83756.5368926812</v>
      </c>
      <c r="K91" s="43" t="n">
        <f aca="false">J91/$B$15</f>
        <v>437.142676892908</v>
      </c>
    </row>
    <row r="92" customFormat="false" ht="15" hidden="false" customHeight="false" outlineLevel="0" collapsed="false">
      <c r="A92" s="50" t="n">
        <v>52</v>
      </c>
      <c r="B92" s="19" t="n">
        <f aca="true">NORMINV(RAND(),$B$6,$C$6)</f>
        <v>0.105094316823452</v>
      </c>
      <c r="C92" s="19" t="n">
        <f aca="true">MAX(0.25,NORMINV(RAND(),$B$7,$C$7))</f>
        <v>0.440792008689099</v>
      </c>
      <c r="D92" s="32" t="n">
        <f aca="true">MAX(0.07,NORMINV(RAND(),$B$8,$C$8))</f>
        <v>0.103076918234528</v>
      </c>
      <c r="E92" s="51" t="n">
        <f aca="true">MAX(8,NORMINV(RAND(),$B$9,$C$9))</f>
        <v>16.9193832954549</v>
      </c>
      <c r="F92" s="24" t="n">
        <f aca="false">$B$18*(1+(B92+$B$17)/2)^9</f>
        <v>19734.3705075423</v>
      </c>
      <c r="G92" s="24" t="n">
        <f aca="false">F92*C92</f>
        <v>8698.75281623448</v>
      </c>
      <c r="H92" s="24" t="n">
        <f aca="false">E92*G92/(1+D92)^9</f>
        <v>60868.0439007526</v>
      </c>
      <c r="I92" s="24" t="n">
        <f aca="false">$B$13*G92/$B$12*((1+$B$8)/(1+D92))^4.5</f>
        <v>21851.1175527947</v>
      </c>
      <c r="J92" s="24" t="n">
        <f aca="false">H92+I92-$B$14</f>
        <v>75281.5607001226</v>
      </c>
      <c r="K92" s="43" t="n">
        <f aca="false">J92/$B$15</f>
        <v>392.910024530911</v>
      </c>
    </row>
    <row r="93" customFormat="false" ht="15" hidden="false" customHeight="false" outlineLevel="0" collapsed="false">
      <c r="A93" s="50" t="n">
        <v>53</v>
      </c>
      <c r="B93" s="19" t="n">
        <f aca="true">NORMINV(RAND(),$B$6,$C$6)</f>
        <v>0.130889681291001</v>
      </c>
      <c r="C93" s="19" t="n">
        <f aca="true">MAX(0.25,NORMINV(RAND(),$B$7,$C$7))</f>
        <v>0.474560503525184</v>
      </c>
      <c r="D93" s="32" t="n">
        <f aca="true">MAX(0.07,NORMINV(RAND(),$B$8,$C$8))</f>
        <v>0.110691599577976</v>
      </c>
      <c r="E93" s="51" t="n">
        <f aca="true">MAX(8,NORMINV(RAND(),$B$9,$C$9))</f>
        <v>16.2828427674232</v>
      </c>
      <c r="F93" s="24" t="n">
        <f aca="false">$B$18*(1+(B93+$B$17)/2)^9</f>
        <v>21954.1428953315</v>
      </c>
      <c r="G93" s="24" t="n">
        <f aca="false">F93*C93</f>
        <v>10418.5691068723</v>
      </c>
      <c r="H93" s="24" t="n">
        <f aca="false">E93*G93/(1+D93)^9</f>
        <v>65947.2850640107</v>
      </c>
      <c r="I93" s="24" t="n">
        <f aca="false">$B$13*G93/$B$12*((1+$B$8)/(1+D93))^4.5</f>
        <v>25373.4858081473</v>
      </c>
      <c r="J93" s="24" t="n">
        <f aca="false">H93+I93-$B$14</f>
        <v>83883.1701187334</v>
      </c>
      <c r="K93" s="43" t="n">
        <f aca="false">J93/$B$15</f>
        <v>437.803601872304</v>
      </c>
    </row>
    <row r="94" customFormat="false" ht="15" hidden="false" customHeight="false" outlineLevel="0" collapsed="false">
      <c r="A94" s="50" t="n">
        <v>54</v>
      </c>
      <c r="B94" s="19" t="n">
        <f aca="true">NORMINV(RAND(),$B$6,$C$6)</f>
        <v>0.116154632173266</v>
      </c>
      <c r="C94" s="19" t="n">
        <f aca="true">MAX(0.25,NORMINV(RAND(),$B$7,$C$7))</f>
        <v>0.450275574377048</v>
      </c>
      <c r="D94" s="32" t="n">
        <f aca="true">MAX(0.07,NORMINV(RAND(),$B$8,$C$8))</f>
        <v>0.0998866886718999</v>
      </c>
      <c r="E94" s="51" t="n">
        <f aca="true">MAX(8,NORMINV(RAND(),$B$9,$C$9))</f>
        <v>12.82265573469</v>
      </c>
      <c r="F94" s="24" t="n">
        <f aca="false">$B$18*(1+(B94+$B$17)/2)^9</f>
        <v>20660.4447188431</v>
      </c>
      <c r="G94" s="24" t="n">
        <f aca="false">F94*C94</f>
        <v>9302.89361266231</v>
      </c>
      <c r="H94" s="24" t="n">
        <f aca="false">E94*G94/(1+D94)^9</f>
        <v>50636.5982661734</v>
      </c>
      <c r="I94" s="24" t="n">
        <f aca="false">$B$13*G94/$B$12*((1+$B$8)/(1+D94))^4.5</f>
        <v>23675.2758334668</v>
      </c>
      <c r="J94" s="24" t="n">
        <f aca="false">H94+I94-$B$14</f>
        <v>66874.2733462156</v>
      </c>
      <c r="K94" s="43" t="n">
        <f aca="false">J94/$B$15</f>
        <v>349.030654207806</v>
      </c>
    </row>
    <row r="95" customFormat="false" ht="15" hidden="false" customHeight="false" outlineLevel="0" collapsed="false">
      <c r="A95" s="50" t="n">
        <v>55</v>
      </c>
      <c r="B95" s="19" t="n">
        <f aca="true">NORMINV(RAND(),$B$6,$C$6)</f>
        <v>0.116244688392742</v>
      </c>
      <c r="C95" s="19" t="n">
        <f aca="true">MAX(0.25,NORMINV(RAND(),$B$7,$C$7))</f>
        <v>0.527187985667416</v>
      </c>
      <c r="D95" s="32" t="n">
        <f aca="true">MAX(0.07,NORMINV(RAND(),$B$8,$C$8))</f>
        <v>0.108384525388562</v>
      </c>
      <c r="E95" s="51" t="n">
        <f aca="true">MAX(8,NORMINV(RAND(),$B$9,$C$9))</f>
        <v>16.7005090301462</v>
      </c>
      <c r="F95" s="24" t="n">
        <f aca="false">$B$18*(1+(B95+$B$17)/2)^9</f>
        <v>20668.1409486197</v>
      </c>
      <c r="G95" s="24" t="n">
        <f aca="false">F95*C95</f>
        <v>10895.9955941931</v>
      </c>
      <c r="H95" s="24" t="n">
        <f aca="false">E95*G95/(1+D95)^9</f>
        <v>72074.6502277134</v>
      </c>
      <c r="I95" s="24" t="n">
        <f aca="false">$B$13*G95/$B$12*((1+$B$8)/(1+D95))^4.5</f>
        <v>26785.6769841243</v>
      </c>
      <c r="J95" s="24" t="n">
        <f aca="false">H95+I95-$B$14</f>
        <v>91422.7264584131</v>
      </c>
      <c r="K95" s="43" t="n">
        <f aca="false">J95/$B$15</f>
        <v>477.154104689004</v>
      </c>
    </row>
    <row r="96" customFormat="false" ht="15" hidden="false" customHeight="false" outlineLevel="0" collapsed="false">
      <c r="A96" s="50" t="n">
        <v>56</v>
      </c>
      <c r="B96" s="19" t="n">
        <f aca="true">NORMINV(RAND(),$B$6,$C$6)</f>
        <v>0.0470159020742182</v>
      </c>
      <c r="C96" s="19" t="n">
        <f aca="true">MAX(0.25,NORMINV(RAND(),$B$7,$C$7))</f>
        <v>0.496070736573779</v>
      </c>
      <c r="D96" s="32" t="n">
        <f aca="true">MAX(0.07,NORMINV(RAND(),$B$8,$C$8))</f>
        <v>0.0949942323650104</v>
      </c>
      <c r="E96" s="51" t="n">
        <f aca="true">MAX(8,NORMINV(RAND(),$B$9,$C$9))</f>
        <v>16.0346510337641</v>
      </c>
      <c r="F96" s="24" t="n">
        <f aca="false">$B$18*(1+(B96+$B$17)/2)^9</f>
        <v>15450.4885791826</v>
      </c>
      <c r="G96" s="24" t="n">
        <f aca="false">F96*C96</f>
        <v>7664.53524989989</v>
      </c>
      <c r="H96" s="24" t="n">
        <f aca="false">E96*G96/(1+D96)^9</f>
        <v>54304.8794455667</v>
      </c>
      <c r="I96" s="24" t="n">
        <f aca="false">$B$13*G96/$B$12*((1+$B$8)/(1+D96))^4.5</f>
        <v>19901.0198968757</v>
      </c>
      <c r="J96" s="24" t="n">
        <f aca="false">H96+I96-$B$14</f>
        <v>66768.2985890177</v>
      </c>
      <c r="K96" s="43" t="n">
        <f aca="false">J96/$B$15</f>
        <v>348.477550047065</v>
      </c>
    </row>
    <row r="97" customFormat="false" ht="15" hidden="false" customHeight="false" outlineLevel="0" collapsed="false">
      <c r="A97" s="50" t="n">
        <v>57</v>
      </c>
      <c r="B97" s="19" t="n">
        <f aca="true">NORMINV(RAND(),$B$6,$C$6)</f>
        <v>0.103588328213351</v>
      </c>
      <c r="C97" s="19" t="n">
        <f aca="true">MAX(0.25,NORMINV(RAND(),$B$7,$C$7))</f>
        <v>0.445778778021092</v>
      </c>
      <c r="D97" s="32" t="n">
        <f aca="true">MAX(0.07,NORMINV(RAND(),$B$8,$C$8))</f>
        <v>0.0938152971742468</v>
      </c>
      <c r="E97" s="51" t="n">
        <f aca="true">MAX(8,NORMINV(RAND(),$B$9,$C$9))</f>
        <v>16.2705780804814</v>
      </c>
      <c r="F97" s="24" t="n">
        <f aca="false">$B$18*(1+(B97+$B$17)/2)^9</f>
        <v>19611.1728090138</v>
      </c>
      <c r="G97" s="24" t="n">
        <f aca="false">F97*C97</f>
        <v>8742.24465036265</v>
      </c>
      <c r="H97" s="24" t="n">
        <f aca="false">E97*G97/(1+D97)^9</f>
        <v>63464.3745719753</v>
      </c>
      <c r="I97" s="24" t="n">
        <f aca="false">$B$13*G97/$B$12*((1+$B$8)/(1+D97))^4.5</f>
        <v>22809.6036544211</v>
      </c>
      <c r="J97" s="24" t="n">
        <f aca="false">H97+I97-$B$14</f>
        <v>78836.3774729718</v>
      </c>
      <c r="K97" s="43" t="n">
        <f aca="false">J97/$B$15</f>
        <v>411.46334798002</v>
      </c>
    </row>
    <row r="98" customFormat="false" ht="15" hidden="false" customHeight="false" outlineLevel="0" collapsed="false">
      <c r="A98" s="50" t="n">
        <v>58</v>
      </c>
      <c r="B98" s="19" t="n">
        <f aca="true">NORMINV(RAND(),$B$6,$C$6)</f>
        <v>0.0602251965169723</v>
      </c>
      <c r="C98" s="19" t="n">
        <f aca="true">MAX(0.25,NORMINV(RAND(),$B$7,$C$7))</f>
        <v>0.475168233279798</v>
      </c>
      <c r="D98" s="32" t="n">
        <f aca="true">MAX(0.07,NORMINV(RAND(),$B$8,$C$8))</f>
        <v>0.0876681176350515</v>
      </c>
      <c r="E98" s="51" t="n">
        <f aca="true">MAX(8,NORMINV(RAND(),$B$9,$C$9))</f>
        <v>15.4020903066439</v>
      </c>
      <c r="F98" s="24" t="n">
        <f aca="false">$B$18*(1+(B98+$B$17)/2)^9</f>
        <v>16344.4314944398</v>
      </c>
      <c r="G98" s="24" t="n">
        <f aca="false">F98*C98</f>
        <v>7766.35463717562</v>
      </c>
      <c r="H98" s="24" t="n">
        <f aca="false">E98*G98/(1+D98)^9</f>
        <v>56147.3543974886</v>
      </c>
      <c r="I98" s="24" t="n">
        <f aca="false">$B$13*G98/$B$12*((1+$B$8)/(1+D98))^4.5</f>
        <v>20783.8584239624</v>
      </c>
      <c r="J98" s="24" t="n">
        <f aca="false">H98+I98-$B$14</f>
        <v>69493.6120680263</v>
      </c>
      <c r="K98" s="43" t="n">
        <f aca="false">J98/$B$15</f>
        <v>362.701524363394</v>
      </c>
    </row>
    <row r="99" customFormat="false" ht="15" hidden="false" customHeight="false" outlineLevel="0" collapsed="false">
      <c r="A99" s="50" t="n">
        <v>59</v>
      </c>
      <c r="B99" s="19" t="n">
        <f aca="true">NORMINV(RAND(),$B$6,$C$6)</f>
        <v>0.0951270606219716</v>
      </c>
      <c r="C99" s="19" t="n">
        <f aca="true">MAX(0.25,NORMINV(RAND(),$B$7,$C$7))</f>
        <v>0.455412308330658</v>
      </c>
      <c r="D99" s="32" t="n">
        <f aca="true">MAX(0.07,NORMINV(RAND(),$B$8,$C$8))</f>
        <v>0.0939494197092886</v>
      </c>
      <c r="E99" s="51" t="n">
        <f aca="true">MAX(8,NORMINV(RAND(),$B$9,$C$9))</f>
        <v>17.655948160851</v>
      </c>
      <c r="F99" s="24" t="n">
        <f aca="false">$B$18*(1+(B99+$B$17)/2)^9</f>
        <v>18931.6217337907</v>
      </c>
      <c r="G99" s="24" t="n">
        <f aca="false">F99*C99</f>
        <v>8621.69355422845</v>
      </c>
      <c r="H99" s="24" t="n">
        <f aca="false">E99*G99/(1+D99)^9</f>
        <v>67843.5316275719</v>
      </c>
      <c r="I99" s="24" t="n">
        <f aca="false">$B$13*G99/$B$12*((1+$B$8)/(1+D99))^4.5</f>
        <v>22482.6625811901</v>
      </c>
      <c r="J99" s="24" t="n">
        <f aca="false">H99+I99-$B$14</f>
        <v>82888.5934553373</v>
      </c>
      <c r="K99" s="43" t="n">
        <f aca="false">J99/$B$15</f>
        <v>432.612700706353</v>
      </c>
    </row>
    <row r="100" customFormat="false" ht="15" hidden="false" customHeight="false" outlineLevel="0" collapsed="false">
      <c r="A100" s="50" t="n">
        <v>60</v>
      </c>
      <c r="B100" s="19" t="n">
        <f aca="true">NORMINV(RAND(),$B$6,$C$6)</f>
        <v>0.0739864613483097</v>
      </c>
      <c r="C100" s="19" t="n">
        <f aca="true">MAX(0.25,NORMINV(RAND(),$B$7,$C$7))</f>
        <v>0.471715426171645</v>
      </c>
      <c r="D100" s="32" t="n">
        <f aca="true">MAX(0.07,NORMINV(RAND(),$B$8,$C$8))</f>
        <v>0.0990624153439619</v>
      </c>
      <c r="E100" s="51" t="n">
        <f aca="true">MAX(8,NORMINV(RAND(),$B$9,$C$9))</f>
        <v>16.1941162230568</v>
      </c>
      <c r="F100" s="24" t="n">
        <f aca="false">$B$18*(1+(B100+$B$17)/2)^9</f>
        <v>17324.3454727582</v>
      </c>
      <c r="G100" s="24" t="n">
        <f aca="false">F100*C100</f>
        <v>8172.16100782694</v>
      </c>
      <c r="H100" s="24" t="n">
        <f aca="false">E100*G100/(1+D100)^9</f>
        <v>56557.8585525262</v>
      </c>
      <c r="I100" s="24" t="n">
        <f aca="false">$B$13*G100/$B$12*((1+$B$8)/(1+D100))^4.5</f>
        <v>20867.9150639188</v>
      </c>
      <c r="J100" s="24" t="n">
        <f aca="false">H100+I100-$B$14</f>
        <v>69988.1728630204</v>
      </c>
      <c r="K100" s="43" t="n">
        <f aca="false">J100/$B$15</f>
        <v>365.282739368582</v>
      </c>
    </row>
    <row r="101" customFormat="false" ht="15" hidden="false" customHeight="false" outlineLevel="0" collapsed="false">
      <c r="A101" s="50" t="n">
        <v>61</v>
      </c>
      <c r="B101" s="19" t="n">
        <f aca="true">NORMINV(RAND(),$B$6,$C$6)</f>
        <v>0.161672906638707</v>
      </c>
      <c r="C101" s="19" t="n">
        <f aca="true">MAX(0.25,NORMINV(RAND(),$B$7,$C$7))</f>
        <v>0.466259325487088</v>
      </c>
      <c r="D101" s="32" t="n">
        <f aca="true">MAX(0.07,NORMINV(RAND(),$B$8,$C$8))</f>
        <v>0.0979296074071157</v>
      </c>
      <c r="E101" s="51" t="n">
        <f aca="true">MAX(8,NORMINV(RAND(),$B$9,$C$9))</f>
        <v>18.6916796659987</v>
      </c>
      <c r="F101" s="24" t="n">
        <f aca="false">$B$18*(1+(B101+$B$17)/2)^9</f>
        <v>24891.6087941217</v>
      </c>
      <c r="G101" s="24" t="n">
        <f aca="false">F101*C101</f>
        <v>11605.9447266357</v>
      </c>
      <c r="H101" s="24" t="n">
        <f aca="false">E101*G101/(1+D101)^9</f>
        <v>93574.6814581737</v>
      </c>
      <c r="I101" s="24" t="n">
        <f aca="false">$B$13*G101/$B$12*((1+$B$8)/(1+D101))^4.5</f>
        <v>29774.0568456127</v>
      </c>
      <c r="J101" s="24" t="n">
        <f aca="false">H101+I101-$B$14</f>
        <v>115911.137550362</v>
      </c>
      <c r="K101" s="43" t="n">
        <f aca="false">J101/$B$15</f>
        <v>604.964183457002</v>
      </c>
    </row>
    <row r="102" customFormat="false" ht="15" hidden="false" customHeight="false" outlineLevel="0" collapsed="false">
      <c r="A102" s="50" t="n">
        <v>62</v>
      </c>
      <c r="B102" s="19" t="n">
        <f aca="true">NORMINV(RAND(),$B$6,$C$6)</f>
        <v>0.0898844160976938</v>
      </c>
      <c r="C102" s="19" t="n">
        <f aca="true">MAX(0.25,NORMINV(RAND(),$B$7,$C$7))</f>
        <v>0.461989148999638</v>
      </c>
      <c r="D102" s="32" t="n">
        <f aca="true">MAX(0.07,NORMINV(RAND(),$B$8,$C$8))</f>
        <v>0.0939331748860265</v>
      </c>
      <c r="E102" s="51" t="n">
        <f aca="true">MAX(8,NORMINV(RAND(),$B$9,$C$9))</f>
        <v>15.1831268378849</v>
      </c>
      <c r="F102" s="24" t="n">
        <f aca="false">$B$18*(1+(B102+$B$17)/2)^9</f>
        <v>18521.1479989233</v>
      </c>
      <c r="G102" s="24" t="n">
        <f aca="false">F102*C102</f>
        <v>8556.56940251891</v>
      </c>
      <c r="H102" s="24" t="n">
        <f aca="false">E102*G102/(1+D102)^9</f>
        <v>57908.6925817044</v>
      </c>
      <c r="I102" s="24" t="n">
        <f aca="false">$B$13*G102/$B$12*((1+$B$8)/(1+D102))^4.5</f>
        <v>22314.3303818526</v>
      </c>
      <c r="J102" s="24" t="n">
        <f aca="false">H102+I102-$B$14</f>
        <v>72785.4222101323</v>
      </c>
      <c r="K102" s="43" t="n">
        <f aca="false">J102/$B$15</f>
        <v>379.882161848289</v>
      </c>
    </row>
    <row r="103" customFormat="false" ht="15" hidden="false" customHeight="false" outlineLevel="0" collapsed="false">
      <c r="A103" s="50" t="n">
        <v>63</v>
      </c>
      <c r="B103" s="19" t="n">
        <f aca="true">NORMINV(RAND(),$B$6,$C$6)</f>
        <v>0.111624003297339</v>
      </c>
      <c r="C103" s="19" t="n">
        <f aca="true">MAX(0.25,NORMINV(RAND(),$B$7,$C$7))</f>
        <v>0.518640974292223</v>
      </c>
      <c r="D103" s="32" t="n">
        <f aca="true">MAX(0.07,NORMINV(RAND(),$B$8,$C$8))</f>
        <v>0.0888696871123372</v>
      </c>
      <c r="E103" s="51" t="n">
        <f aca="true">MAX(8,NORMINV(RAND(),$B$9,$C$9))</f>
        <v>18.1521184377359</v>
      </c>
      <c r="F103" s="24" t="n">
        <f aca="false">$B$18*(1+(B103+$B$17)/2)^9</f>
        <v>20276.5282656301</v>
      </c>
      <c r="G103" s="24" t="n">
        <f aca="false">F103*C103</f>
        <v>10516.2383749502</v>
      </c>
      <c r="H103" s="24" t="n">
        <f aca="false">E103*G103/(1+D103)^9</f>
        <v>88716.5345343868</v>
      </c>
      <c r="I103" s="24" t="n">
        <f aca="false">$B$13*G103/$B$12*((1+$B$8)/(1+D103))^4.5</f>
        <v>28003.453104185</v>
      </c>
      <c r="J103" s="24" t="n">
        <f aca="false">H103+I103-$B$14</f>
        <v>109282.386885147</v>
      </c>
      <c r="K103" s="43" t="n">
        <f aca="false">J103/$B$15</f>
        <v>570.367363701186</v>
      </c>
    </row>
    <row r="104" customFormat="false" ht="15" hidden="false" customHeight="false" outlineLevel="0" collapsed="false">
      <c r="A104" s="50" t="n">
        <v>64</v>
      </c>
      <c r="B104" s="19" t="n">
        <f aca="true">NORMINV(RAND(),$B$6,$C$6)</f>
        <v>0.0789129730464294</v>
      </c>
      <c r="C104" s="19" t="n">
        <f aca="true">MAX(0.25,NORMINV(RAND(),$B$7,$C$7))</f>
        <v>0.465276933122195</v>
      </c>
      <c r="D104" s="32" t="n">
        <f aca="true">MAX(0.07,NORMINV(RAND(),$B$8,$C$8))</f>
        <v>0.086490591190642</v>
      </c>
      <c r="E104" s="51" t="n">
        <f aca="true">MAX(8,NORMINV(RAND(),$B$9,$C$9))</f>
        <v>16.547094087574</v>
      </c>
      <c r="F104" s="24" t="n">
        <f aca="false">$B$18*(1+(B104+$B$17)/2)^9</f>
        <v>17687.6415599146</v>
      </c>
      <c r="G104" s="24" t="n">
        <f aca="false">F104*C104</f>
        <v>8229.65161916175</v>
      </c>
      <c r="H104" s="24" t="n">
        <f aca="false">E104*G104/(1+D104)^9</f>
        <v>64546.0186825299</v>
      </c>
      <c r="I104" s="24" t="n">
        <f aca="false">$B$13*G104/$B$12*((1+$B$8)/(1+D104))^4.5</f>
        <v>22131.3209956823</v>
      </c>
      <c r="J104" s="24" t="n">
        <f aca="false">H104+I104-$B$14</f>
        <v>79239.7389247876</v>
      </c>
      <c r="K104" s="43" t="n">
        <f aca="false">J104/$B$15</f>
        <v>413.568574764027</v>
      </c>
    </row>
    <row r="105" customFormat="false" ht="15" hidden="false" customHeight="false" outlineLevel="0" collapsed="false">
      <c r="A105" s="50" t="n">
        <v>65</v>
      </c>
      <c r="B105" s="19" t="n">
        <f aca="true">NORMINV(RAND(),$B$6,$C$6)</f>
        <v>0.120836716852896</v>
      </c>
      <c r="C105" s="19" t="n">
        <f aca="true">MAX(0.25,NORMINV(RAND(),$B$7,$C$7))</f>
        <v>0.467578610653222</v>
      </c>
      <c r="D105" s="32" t="n">
        <f aca="true">MAX(0.07,NORMINV(RAND(),$B$8,$C$8))</f>
        <v>0.10116706765871</v>
      </c>
      <c r="E105" s="51" t="n">
        <f aca="true">MAX(8,NORMINV(RAND(),$B$9,$C$9))</f>
        <v>12.2778249401847</v>
      </c>
      <c r="F105" s="24" t="n">
        <f aca="false">$B$18*(1+(B105+$B$17)/2)^9</f>
        <v>21063.9711323032</v>
      </c>
      <c r="G105" s="24" t="n">
        <f aca="false">F105*C105</f>
        <v>9849.06235688189</v>
      </c>
      <c r="H105" s="24" t="n">
        <f aca="false">E105*G105/(1+D105)^9</f>
        <v>50796.9214621728</v>
      </c>
      <c r="I105" s="24" t="n">
        <f aca="false">$B$13*G105/$B$12*((1+$B$8)/(1+D105))^4.5</f>
        <v>24934.3569200338</v>
      </c>
      <c r="J105" s="24" t="n">
        <f aca="false">H105+I105-$B$14</f>
        <v>68293.677628782</v>
      </c>
      <c r="K105" s="43" t="n">
        <f aca="false">J105/$B$15</f>
        <v>356.438818521827</v>
      </c>
    </row>
    <row r="106" customFormat="false" ht="15" hidden="false" customHeight="false" outlineLevel="0" collapsed="false">
      <c r="A106" s="50" t="n">
        <v>66</v>
      </c>
      <c r="B106" s="19" t="n">
        <f aca="true">NORMINV(RAND(),$B$6,$C$6)</f>
        <v>0.0954990945851336</v>
      </c>
      <c r="C106" s="19" t="n">
        <f aca="true">MAX(0.25,NORMINV(RAND(),$B$7,$C$7))</f>
        <v>0.475723201597897</v>
      </c>
      <c r="D106" s="32" t="n">
        <f aca="true">MAX(0.07,NORMINV(RAND(),$B$8,$C$8))</f>
        <v>0.111262376072302</v>
      </c>
      <c r="E106" s="51" t="n">
        <f aca="true">MAX(8,NORMINV(RAND(),$B$9,$C$9))</f>
        <v>22.3428097412437</v>
      </c>
      <c r="F106" s="24" t="n">
        <f aca="false">$B$18*(1+(B106+$B$17)/2)^9</f>
        <v>18961.0551002823</v>
      </c>
      <c r="G106" s="24" t="n">
        <f aca="false">F106*C106</f>
        <v>9020.21383798044</v>
      </c>
      <c r="H106" s="24" t="n">
        <f aca="false">E106*G106/(1+D106)^9</f>
        <v>77983.9311580849</v>
      </c>
      <c r="I106" s="24" t="n">
        <f aca="false">$B$13*G106/$B$12*((1+$B$8)/(1+D106))^4.5</f>
        <v>21917.1881244432</v>
      </c>
      <c r="J106" s="24" t="n">
        <f aca="false">H106+I106-$B$14</f>
        <v>92463.5185291035</v>
      </c>
      <c r="K106" s="43" t="n">
        <f aca="false">J106/$B$15</f>
        <v>482.58621361745</v>
      </c>
    </row>
    <row r="107" customFormat="false" ht="15" hidden="false" customHeight="false" outlineLevel="0" collapsed="false">
      <c r="A107" s="50" t="n">
        <v>67</v>
      </c>
      <c r="B107" s="19" t="n">
        <f aca="true">NORMINV(RAND(),$B$6,$C$6)</f>
        <v>0.112732208405011</v>
      </c>
      <c r="C107" s="19" t="n">
        <f aca="true">MAX(0.25,NORMINV(RAND(),$B$7,$C$7))</f>
        <v>0.456082179633713</v>
      </c>
      <c r="D107" s="32" t="n">
        <f aca="true">MAX(0.07,NORMINV(RAND(),$B$8,$C$8))</f>
        <v>0.0970428293279046</v>
      </c>
      <c r="E107" s="51" t="n">
        <f aca="true">MAX(8,NORMINV(RAND(),$B$9,$C$9))</f>
        <v>21.5848849382204</v>
      </c>
      <c r="F107" s="24" t="n">
        <f aca="false">$B$18*(1+(B107+$B$17)/2)^9</f>
        <v>20369.8447296206</v>
      </c>
      <c r="G107" s="24" t="n">
        <f aca="false">F107*C107</f>
        <v>9290.32318308565</v>
      </c>
      <c r="H107" s="24" t="n">
        <f aca="false">E107*G107/(1+D107)^9</f>
        <v>87130.1200433547</v>
      </c>
      <c r="I107" s="24" t="n">
        <f aca="false">$B$13*G107/$B$12*((1+$B$8)/(1+D107))^4.5</f>
        <v>23920.3455223467</v>
      </c>
      <c r="J107" s="24" t="n">
        <f aca="false">H107+I107-$B$14</f>
        <v>103612.864812277</v>
      </c>
      <c r="K107" s="43" t="n">
        <f aca="false">J107/$B$15</f>
        <v>540.776956222739</v>
      </c>
    </row>
    <row r="108" customFormat="false" ht="15" hidden="false" customHeight="false" outlineLevel="0" collapsed="false">
      <c r="A108" s="50" t="n">
        <v>68</v>
      </c>
      <c r="B108" s="19" t="n">
        <f aca="true">NORMINV(RAND(),$B$6,$C$6)</f>
        <v>0.123774963680226</v>
      </c>
      <c r="C108" s="19" t="n">
        <f aca="true">MAX(0.25,NORMINV(RAND(),$B$7,$C$7))</f>
        <v>0.513879112168285</v>
      </c>
      <c r="D108" s="32" t="n">
        <f aca="true">MAX(0.07,NORMINV(RAND(),$B$8,$C$8))</f>
        <v>0.0923543791624858</v>
      </c>
      <c r="E108" s="51" t="n">
        <f aca="true">MAX(8,NORMINV(RAND(),$B$9,$C$9))</f>
        <v>20.2902025482765</v>
      </c>
      <c r="F108" s="24" t="n">
        <f aca="false">$B$18*(1+(B108+$B$17)/2)^9</f>
        <v>21320.7678326452</v>
      </c>
      <c r="G108" s="24" t="n">
        <f aca="false">F108*C108</f>
        <v>10956.2972445858</v>
      </c>
      <c r="H108" s="24" t="n">
        <f aca="false">E108*G108/(1+D108)^9</f>
        <v>100387.167844189</v>
      </c>
      <c r="I108" s="24" t="n">
        <f aca="false">$B$13*G108/$B$12*((1+$B$8)/(1+D108))^4.5</f>
        <v>28758.7869296056</v>
      </c>
      <c r="J108" s="24" t="n">
        <f aca="false">H108+I108-$B$14</f>
        <v>121708.35402037</v>
      </c>
      <c r="K108" s="43" t="n">
        <f aca="false">J108/$B$15</f>
        <v>635.221054386066</v>
      </c>
    </row>
    <row r="109" customFormat="false" ht="15" hidden="false" customHeight="false" outlineLevel="0" collapsed="false">
      <c r="A109" s="50" t="n">
        <v>69</v>
      </c>
      <c r="B109" s="19" t="n">
        <f aca="true">NORMINV(RAND(),$B$6,$C$6)</f>
        <v>0.109001409017578</v>
      </c>
      <c r="C109" s="19" t="n">
        <f aca="true">MAX(0.25,NORMINV(RAND(),$B$7,$C$7))</f>
        <v>0.411154147210141</v>
      </c>
      <c r="D109" s="32" t="n">
        <f aca="true">MAX(0.07,NORMINV(RAND(),$B$8,$C$8))</f>
        <v>0.106219485587658</v>
      </c>
      <c r="E109" s="51" t="n">
        <f aca="true">MAX(8,NORMINV(RAND(),$B$9,$C$9))</f>
        <v>19.4648374991613</v>
      </c>
      <c r="F109" s="24" t="n">
        <f aca="false">$B$18*(1+(B109+$B$17)/2)^9</f>
        <v>20057.2045977587</v>
      </c>
      <c r="G109" s="24" t="n">
        <f aca="false">F109*C109</f>
        <v>8246.60285181079</v>
      </c>
      <c r="H109" s="24" t="n">
        <f aca="false">E109*G109/(1+D109)^9</f>
        <v>64707.4261341654</v>
      </c>
      <c r="I109" s="24" t="n">
        <f aca="false">$B$13*G109/$B$12*((1+$B$8)/(1+D109))^4.5</f>
        <v>20451.819996999</v>
      </c>
      <c r="J109" s="24" t="n">
        <f aca="false">H109+I109-$B$14</f>
        <v>77721.6453777398</v>
      </c>
      <c r="K109" s="43" t="n">
        <f aca="false">J109/$B$15</f>
        <v>405.645330781523</v>
      </c>
    </row>
    <row r="110" customFormat="false" ht="15" hidden="false" customHeight="false" outlineLevel="0" collapsed="false">
      <c r="A110" s="50" t="n">
        <v>70</v>
      </c>
      <c r="B110" s="19" t="n">
        <f aca="true">NORMINV(RAND(),$B$6,$C$6)</f>
        <v>0.0942362557750649</v>
      </c>
      <c r="C110" s="19" t="n">
        <f aca="true">MAX(0.25,NORMINV(RAND(),$B$7,$C$7))</f>
        <v>0.460165213507758</v>
      </c>
      <c r="D110" s="32" t="n">
        <f aca="true">MAX(0.07,NORMINV(RAND(),$B$8,$C$8))</f>
        <v>0.0845795758105574</v>
      </c>
      <c r="E110" s="51" t="n">
        <f aca="true">MAX(8,NORMINV(RAND(),$B$9,$C$9))</f>
        <v>18.7523632351878</v>
      </c>
      <c r="F110" s="24" t="n">
        <f aca="false">$B$18*(1+(B110+$B$17)/2)^9</f>
        <v>18861.3109289571</v>
      </c>
      <c r="G110" s="24" t="n">
        <f aca="false">F110*C110</f>
        <v>8679.31917065976</v>
      </c>
      <c r="H110" s="24" t="n">
        <f aca="false">E110*G110/(1+D110)^9</f>
        <v>78377.0421859883</v>
      </c>
      <c r="I110" s="24" t="n">
        <f aca="false">$B$13*G110/$B$12*((1+$B$8)/(1+D110))^4.5</f>
        <v>23526.2122894793</v>
      </c>
      <c r="J110" s="24" t="n">
        <f aca="false">H110+I110-$B$14</f>
        <v>94465.6537220429</v>
      </c>
      <c r="K110" s="43" t="n">
        <f aca="false">J110/$B$15</f>
        <v>493.035770991873</v>
      </c>
    </row>
    <row r="111" customFormat="false" ht="15" hidden="false" customHeight="false" outlineLevel="0" collapsed="false">
      <c r="A111" s="50" t="n">
        <v>71</v>
      </c>
      <c r="B111" s="19" t="n">
        <f aca="true">NORMINV(RAND(),$B$6,$C$6)</f>
        <v>0.0919434883105066</v>
      </c>
      <c r="C111" s="19" t="n">
        <f aca="true">MAX(0.25,NORMINV(RAND(),$B$7,$C$7))</f>
        <v>0.507686019303825</v>
      </c>
      <c r="D111" s="32" t="n">
        <f aca="true">MAX(0.07,NORMINV(RAND(),$B$8,$C$8))</f>
        <v>0.0924906923912095</v>
      </c>
      <c r="E111" s="51" t="n">
        <f aca="true">MAX(8,NORMINV(RAND(),$B$9,$C$9))</f>
        <v>15.3011541250513</v>
      </c>
      <c r="F111" s="24" t="n">
        <f aca="false">$B$18*(1+(B111+$B$17)/2)^9</f>
        <v>18681.4102382582</v>
      </c>
      <c r="G111" s="24" t="n">
        <f aca="false">F111*C111</f>
        <v>9484.29079884302</v>
      </c>
      <c r="H111" s="24" t="n">
        <f aca="false">E111*G111/(1+D111)^9</f>
        <v>65458.9960909374</v>
      </c>
      <c r="I111" s="24" t="n">
        <f aca="false">$B$13*G111/$B$12*((1+$B$8)/(1+D111))^4.5</f>
        <v>24880.9957157848</v>
      </c>
      <c r="J111" s="24" t="n">
        <f aca="false">H111+I111-$B$14</f>
        <v>82902.3910532975</v>
      </c>
      <c r="K111" s="43" t="n">
        <f aca="false">J111/$B$15</f>
        <v>432.684713221803</v>
      </c>
    </row>
    <row r="112" customFormat="false" ht="15" hidden="false" customHeight="false" outlineLevel="0" collapsed="false">
      <c r="A112" s="50" t="n">
        <v>72</v>
      </c>
      <c r="B112" s="19" t="n">
        <f aca="true">NORMINV(RAND(),$B$6,$C$6)</f>
        <v>0.0374016673821434</v>
      </c>
      <c r="C112" s="19" t="n">
        <f aca="true">MAX(0.25,NORMINV(RAND(),$B$7,$C$7))</f>
        <v>0.537739085225758</v>
      </c>
      <c r="D112" s="32" t="n">
        <f aca="true">MAX(0.07,NORMINV(RAND(),$B$8,$C$8))</f>
        <v>0.0950917848792676</v>
      </c>
      <c r="E112" s="51" t="n">
        <f aca="true">MAX(8,NORMINV(RAND(),$B$9,$C$9))</f>
        <v>15.9590469830673</v>
      </c>
      <c r="F112" s="24" t="n">
        <f aca="false">$B$18*(1+(B112+$B$17)/2)^9</f>
        <v>14827.4469092301</v>
      </c>
      <c r="G112" s="24" t="n">
        <f aca="false">F112*C112</f>
        <v>7973.2977372029</v>
      </c>
      <c r="H112" s="24" t="n">
        <f aca="false">E112*G112/(1+D112)^9</f>
        <v>56181.1010073582</v>
      </c>
      <c r="I112" s="24" t="n">
        <f aca="false">$B$13*G112/$B$12*((1+$B$8)/(1+D112))^4.5</f>
        <v>20694.4261272901</v>
      </c>
      <c r="J112" s="24" t="n">
        <f aca="false">H112+I112-$B$14</f>
        <v>69437.9263812236</v>
      </c>
      <c r="K112" s="43" t="n">
        <f aca="false">J112/$B$15</f>
        <v>362.41088925482</v>
      </c>
    </row>
    <row r="113" customFormat="false" ht="15" hidden="false" customHeight="false" outlineLevel="0" collapsed="false">
      <c r="A113" s="50" t="n">
        <v>73</v>
      </c>
      <c r="B113" s="19" t="n">
        <f aca="true">NORMINV(RAND(),$B$6,$C$6)</f>
        <v>0.0814217628582302</v>
      </c>
      <c r="C113" s="19" t="n">
        <f aca="true">MAX(0.25,NORMINV(RAND(),$B$7,$C$7))</f>
        <v>0.452109063220985</v>
      </c>
      <c r="D113" s="32" t="n">
        <f aca="true">MAX(0.07,NORMINV(RAND(),$B$8,$C$8))</f>
        <v>0.097769874448244</v>
      </c>
      <c r="E113" s="51" t="n">
        <f aca="true">MAX(8,NORMINV(RAND(),$B$9,$C$9))</f>
        <v>15.1655901420278</v>
      </c>
      <c r="F113" s="24" t="n">
        <f aca="false">$B$18*(1+(B113+$B$17)/2)^9</f>
        <v>17875.2368713421</v>
      </c>
      <c r="G113" s="24" t="n">
        <f aca="false">F113*C113</f>
        <v>8081.5565967557</v>
      </c>
      <c r="H113" s="24" t="n">
        <f aca="false">E113*G113/(1+D113)^9</f>
        <v>52936.1749765265</v>
      </c>
      <c r="I113" s="24" t="n">
        <f aca="false">$B$13*G113/$B$12*((1+$B$8)/(1+D113))^4.5</f>
        <v>20746.1197747006</v>
      </c>
      <c r="J113" s="24" t="n">
        <f aca="false">H113+I113-$B$14</f>
        <v>66244.6939978024</v>
      </c>
      <c r="K113" s="43" t="n">
        <f aca="false">J113/$B$15</f>
        <v>345.74474946661</v>
      </c>
    </row>
    <row r="114" customFormat="false" ht="15" hidden="false" customHeight="false" outlineLevel="0" collapsed="false">
      <c r="A114" s="50" t="n">
        <v>74</v>
      </c>
      <c r="B114" s="19" t="n">
        <f aca="true">NORMINV(RAND(),$B$6,$C$6)</f>
        <v>0.101254708150823</v>
      </c>
      <c r="C114" s="19" t="n">
        <f aca="true">MAX(0.25,NORMINV(RAND(),$B$7,$C$7))</f>
        <v>0.526566542718373</v>
      </c>
      <c r="D114" s="32" t="n">
        <f aca="true">MAX(0.07,NORMINV(RAND(),$B$8,$C$8))</f>
        <v>0.0928239159724683</v>
      </c>
      <c r="E114" s="51" t="n">
        <f aca="true">MAX(8,NORMINV(RAND(),$B$9,$C$9))</f>
        <v>22.1229619844565</v>
      </c>
      <c r="F114" s="24" t="n">
        <f aca="false">$B$18*(1+(B114+$B$17)/2)^9</f>
        <v>19421.6207214599</v>
      </c>
      <c r="G114" s="24" t="n">
        <f aca="false">F114*C114</f>
        <v>10226.7756772867</v>
      </c>
      <c r="H114" s="24" t="n">
        <f aca="false">E114*G114/(1+D114)^9</f>
        <v>101772.463194771</v>
      </c>
      <c r="I114" s="24" t="n">
        <f aca="false">$B$13*G114/$B$12*((1+$B$8)/(1+D114))^4.5</f>
        <v>26792.0300525008</v>
      </c>
      <c r="J114" s="24" t="n">
        <f aca="false">H114+I114-$B$14</f>
        <v>121126.892493848</v>
      </c>
      <c r="K114" s="43" t="n">
        <f aca="false">J114/$B$15</f>
        <v>632.186286502336</v>
      </c>
    </row>
    <row r="115" customFormat="false" ht="15" hidden="false" customHeight="false" outlineLevel="0" collapsed="false">
      <c r="A115" s="50" t="n">
        <v>75</v>
      </c>
      <c r="B115" s="19" t="n">
        <f aca="true">NORMINV(RAND(),$B$6,$C$6)</f>
        <v>0.127375104194174</v>
      </c>
      <c r="C115" s="19" t="n">
        <f aca="true">MAX(0.25,NORMINV(RAND(),$B$7,$C$7))</f>
        <v>0.458233230150256</v>
      </c>
      <c r="D115" s="32" t="n">
        <f aca="true">MAX(0.07,NORMINV(RAND(),$B$8,$C$8))</f>
        <v>0.100178381008475</v>
      </c>
      <c r="E115" s="51" t="n">
        <f aca="true">MAX(8,NORMINV(RAND(),$B$9,$C$9))</f>
        <v>15.0770225698518</v>
      </c>
      <c r="F115" s="24" t="n">
        <f aca="false">$B$18*(1+(B115+$B$17)/2)^9</f>
        <v>21639.2039913428</v>
      </c>
      <c r="G115" s="24" t="n">
        <f aca="false">F115*C115</f>
        <v>9915.80234283331</v>
      </c>
      <c r="H115" s="24" t="n">
        <f aca="false">E115*G115/(1+D115)^9</f>
        <v>63310.4625533469</v>
      </c>
      <c r="I115" s="24" t="n">
        <f aca="false">$B$13*G115/$B$12*((1+$B$8)/(1+D115))^4.5</f>
        <v>25204.9959335462</v>
      </c>
      <c r="J115" s="24" t="n">
        <f aca="false">H115+I115-$B$14</f>
        <v>81077.8577334685</v>
      </c>
      <c r="K115" s="43" t="n">
        <f aca="false">J115/$B$15</f>
        <v>423.162096730003</v>
      </c>
    </row>
    <row r="116" customFormat="false" ht="15" hidden="false" customHeight="false" outlineLevel="0" collapsed="false">
      <c r="A116" s="50" t="n">
        <v>76</v>
      </c>
      <c r="B116" s="19" t="n">
        <f aca="true">NORMINV(RAND(),$B$6,$C$6)</f>
        <v>0.0762199062515427</v>
      </c>
      <c r="C116" s="19" t="n">
        <f aca="true">MAX(0.25,NORMINV(RAND(),$B$7,$C$7))</f>
        <v>0.469853915151843</v>
      </c>
      <c r="D116" s="32" t="n">
        <f aca="true">MAX(0.07,NORMINV(RAND(),$B$8,$C$8))</f>
        <v>0.0950027232728487</v>
      </c>
      <c r="E116" s="51" t="n">
        <f aca="true">MAX(8,NORMINV(RAND(),$B$9,$C$9))</f>
        <v>19.632458530267</v>
      </c>
      <c r="F116" s="24" t="n">
        <f aca="false">$B$18*(1+(B116+$B$17)/2)^9</f>
        <v>17488.2163219459</v>
      </c>
      <c r="G116" s="24" t="n">
        <f aca="false">F116*C116</f>
        <v>8216.90690788863</v>
      </c>
      <c r="H116" s="24" t="n">
        <f aca="false">E116*G116/(1+D116)^9</f>
        <v>71276.4829907795</v>
      </c>
      <c r="I116" s="24" t="n">
        <f aca="false">$B$13*G116/$B$12*((1+$B$8)/(1+D116))^4.5</f>
        <v>21334.5123437057</v>
      </c>
      <c r="J116" s="24" t="n">
        <f aca="false">H116+I116-$B$14</f>
        <v>85173.3945810605</v>
      </c>
      <c r="K116" s="43" t="n">
        <f aca="false">J116/$B$15</f>
        <v>444.537550005535</v>
      </c>
    </row>
    <row r="117" customFormat="false" ht="15" hidden="false" customHeight="false" outlineLevel="0" collapsed="false">
      <c r="A117" s="50" t="n">
        <v>77</v>
      </c>
      <c r="B117" s="19" t="n">
        <f aca="true">NORMINV(RAND(),$B$6,$C$6)</f>
        <v>0.0838700561040317</v>
      </c>
      <c r="C117" s="19" t="n">
        <f aca="true">MAX(0.25,NORMINV(RAND(),$B$7,$C$7))</f>
        <v>0.47855044332597</v>
      </c>
      <c r="D117" s="32" t="n">
        <f aca="true">MAX(0.07,NORMINV(RAND(),$B$8,$C$8))</f>
        <v>0.100205274325808</v>
      </c>
      <c r="E117" s="51" t="n">
        <f aca="true">MAX(8,NORMINV(RAND(),$B$9,$C$9))</f>
        <v>17.0895468108631</v>
      </c>
      <c r="F117" s="24" t="n">
        <f aca="false">$B$18*(1+(B117+$B$17)/2)^9</f>
        <v>18060.0115319334</v>
      </c>
      <c r="G117" s="24" t="n">
        <f aca="false">F117*C117</f>
        <v>8642.62652507884</v>
      </c>
      <c r="H117" s="24" t="n">
        <f aca="false">E117*G117/(1+D117)^9</f>
        <v>62533.5074822032</v>
      </c>
      <c r="I117" s="24" t="n">
        <f aca="false">$B$13*G117/$B$12*((1+$B$8)/(1+D117))^4.5</f>
        <v>21966.2916150192</v>
      </c>
      <c r="J117" s="24" t="n">
        <f aca="false">H117+I117-$B$14</f>
        <v>77062.1983437978</v>
      </c>
      <c r="K117" s="43" t="n">
        <f aca="false">J117/$B$15</f>
        <v>402.203540416481</v>
      </c>
    </row>
    <row r="118" customFormat="false" ht="15" hidden="false" customHeight="false" outlineLevel="0" collapsed="false">
      <c r="A118" s="50" t="n">
        <v>78</v>
      </c>
      <c r="B118" s="19" t="n">
        <f aca="true">NORMINV(RAND(),$B$6,$C$6)</f>
        <v>0.088539719417705</v>
      </c>
      <c r="C118" s="19" t="n">
        <f aca="true">MAX(0.25,NORMINV(RAND(),$B$7,$C$7))</f>
        <v>0.459339580267337</v>
      </c>
      <c r="D118" s="32" t="n">
        <f aca="true">MAX(0.07,NORMINV(RAND(),$B$8,$C$8))</f>
        <v>0.105031705788078</v>
      </c>
      <c r="E118" s="51" t="n">
        <f aca="true">MAX(8,NORMINV(RAND(),$B$9,$C$9))</f>
        <v>15.9138501000395</v>
      </c>
      <c r="F118" s="24" t="n">
        <f aca="false">$B$18*(1+(B118+$B$17)/2)^9</f>
        <v>18417.1480083909</v>
      </c>
      <c r="G118" s="24" t="n">
        <f aca="false">F118*C118</f>
        <v>8459.72503589569</v>
      </c>
      <c r="H118" s="24" t="n">
        <f aca="false">E118*G118/(1+D118)^9</f>
        <v>54797.2619750279</v>
      </c>
      <c r="I118" s="24" t="n">
        <f aca="false">$B$13*G118/$B$12*((1+$B$8)/(1+D118))^4.5</f>
        <v>21082.041896527</v>
      </c>
      <c r="J118" s="24" t="n">
        <f aca="false">H118+I118-$B$14</f>
        <v>68441.7031181303</v>
      </c>
      <c r="K118" s="43" t="n">
        <f aca="false">J118/$B$15</f>
        <v>357.21139414473</v>
      </c>
    </row>
    <row r="119" customFormat="false" ht="15" hidden="false" customHeight="false" outlineLevel="0" collapsed="false">
      <c r="A119" s="50" t="n">
        <v>79</v>
      </c>
      <c r="B119" s="19" t="n">
        <f aca="true">NORMINV(RAND(),$B$6,$C$6)</f>
        <v>0.0846568688312935</v>
      </c>
      <c r="C119" s="19" t="n">
        <f aca="true">MAX(0.25,NORMINV(RAND(),$B$7,$C$7))</f>
        <v>0.496661324269231</v>
      </c>
      <c r="D119" s="32" t="n">
        <f aca="true">MAX(0.07,NORMINV(RAND(),$B$8,$C$8))</f>
        <v>0.107356827499206</v>
      </c>
      <c r="E119" s="51" t="n">
        <f aca="true">MAX(8,NORMINV(RAND(),$B$9,$C$9))</f>
        <v>18.8612565691777</v>
      </c>
      <c r="F119" s="24" t="n">
        <f aca="false">$B$18*(1+(B119+$B$17)/2)^9</f>
        <v>18119.7523386619</v>
      </c>
      <c r="G119" s="24" t="n">
        <f aca="false">F119*C119</f>
        <v>8999.3801919503</v>
      </c>
      <c r="H119" s="24" t="n">
        <f aca="false">E119*G119/(1+D119)^9</f>
        <v>67794.57356829</v>
      </c>
      <c r="I119" s="24" t="n">
        <f aca="false">$B$13*G119/$B$12*((1+$B$8)/(1+D119))^4.5</f>
        <v>22215.7615546124</v>
      </c>
      <c r="J119" s="24" t="n">
        <f aca="false">H119+I119-$B$14</f>
        <v>82572.7343694778</v>
      </c>
      <c r="K119" s="43" t="n">
        <f aca="false">J119/$B$15</f>
        <v>430.964166855312</v>
      </c>
    </row>
    <row r="120" customFormat="false" ht="15" hidden="false" customHeight="false" outlineLevel="0" collapsed="false">
      <c r="A120" s="50" t="n">
        <v>80</v>
      </c>
      <c r="B120" s="19" t="n">
        <f aca="true">NORMINV(RAND(),$B$6,$C$6)</f>
        <v>0.14120044189223</v>
      </c>
      <c r="C120" s="19" t="n">
        <f aca="true">MAX(0.25,NORMINV(RAND(),$B$7,$C$7))</f>
        <v>0.47053913628987</v>
      </c>
      <c r="D120" s="32" t="n">
        <f aca="true">MAX(0.07,NORMINV(RAND(),$B$8,$C$8))</f>
        <v>0.100727207687468</v>
      </c>
      <c r="E120" s="51" t="n">
        <f aca="true">MAX(8,NORMINV(RAND(),$B$9,$C$9))</f>
        <v>13.8703825384802</v>
      </c>
      <c r="F120" s="24" t="n">
        <f aca="false">$B$18*(1+(B120+$B$17)/2)^9</f>
        <v>22901.726258979</v>
      </c>
      <c r="G120" s="24" t="n">
        <f aca="false">F120*C120</f>
        <v>10776.158493447</v>
      </c>
      <c r="H120" s="24" t="n">
        <f aca="false">E120*G120/(1+D120)^9</f>
        <v>63013.716679988</v>
      </c>
      <c r="I120" s="24" t="n">
        <f aca="false">$B$13*G120/$B$12*((1+$B$8)/(1+D120))^4.5</f>
        <v>27330.5306488331</v>
      </c>
      <c r="J120" s="24" t="n">
        <f aca="false">H120+I120-$B$14</f>
        <v>82906.6465753964</v>
      </c>
      <c r="K120" s="43" t="n">
        <f aca="false">J120/$B$15</f>
        <v>432.706923671171</v>
      </c>
    </row>
    <row r="121" customFormat="false" ht="15" hidden="false" customHeight="false" outlineLevel="0" collapsed="false">
      <c r="A121" s="50" t="n">
        <v>81</v>
      </c>
      <c r="B121" s="19" t="n">
        <f aca="true">NORMINV(RAND(),$B$6,$C$6)</f>
        <v>0.0715290511179418</v>
      </c>
      <c r="C121" s="19" t="n">
        <f aca="true">MAX(0.25,NORMINV(RAND(),$B$7,$C$7))</f>
        <v>0.491265683690109</v>
      </c>
      <c r="D121" s="32" t="n">
        <f aca="true">MAX(0.07,NORMINV(RAND(),$B$8,$C$8))</f>
        <v>0.088201965769438</v>
      </c>
      <c r="E121" s="51" t="n">
        <f aca="true">MAX(8,NORMINV(RAND(),$B$9,$C$9))</f>
        <v>16.2035454684074</v>
      </c>
      <c r="F121" s="24" t="n">
        <f aca="false">$B$18*(1+(B121+$B$17)/2)^9</f>
        <v>17145.6203292725</v>
      </c>
      <c r="G121" s="24" t="n">
        <f aca="false">F121*C121</f>
        <v>8423.0548933511</v>
      </c>
      <c r="H121" s="24" t="n">
        <f aca="false">E121*G121/(1+D121)^9</f>
        <v>63781.4118236506</v>
      </c>
      <c r="I121" s="24" t="n">
        <f aca="false">$B$13*G121/$B$12*((1+$B$8)/(1+D121))^4.5</f>
        <v>22491.5612976962</v>
      </c>
      <c r="J121" s="24" t="n">
        <f aca="false">H121+I121-$B$14</f>
        <v>78835.3723679221</v>
      </c>
      <c r="K121" s="43" t="n">
        <f aca="false">J121/$B$15</f>
        <v>411.45810212903</v>
      </c>
    </row>
    <row r="122" customFormat="false" ht="15" hidden="false" customHeight="false" outlineLevel="0" collapsed="false">
      <c r="A122" s="50" t="n">
        <v>82</v>
      </c>
      <c r="B122" s="19" t="n">
        <f aca="true">NORMINV(RAND(),$B$6,$C$6)</f>
        <v>0.14405455965821</v>
      </c>
      <c r="C122" s="19" t="n">
        <f aca="true">MAX(0.25,NORMINV(RAND(),$B$7,$C$7))</f>
        <v>0.448291978194387</v>
      </c>
      <c r="D122" s="32" t="n">
        <f aca="true">MAX(0.07,NORMINV(RAND(),$B$8,$C$8))</f>
        <v>0.103279117834711</v>
      </c>
      <c r="E122" s="51" t="n">
        <f aca="true">MAX(8,NORMINV(RAND(),$B$9,$C$9))</f>
        <v>15.6073110032367</v>
      </c>
      <c r="F122" s="24" t="n">
        <f aca="false">$B$18*(1+(B122+$B$17)/2)^9</f>
        <v>23170.3698322408</v>
      </c>
      <c r="G122" s="24" t="n">
        <f aca="false">F122*C122</f>
        <v>10387.0909275908</v>
      </c>
      <c r="H122" s="24" t="n">
        <f aca="false">E122*G122/(1+D122)^9</f>
        <v>66935.0256414713</v>
      </c>
      <c r="I122" s="24" t="n">
        <f aca="false">$B$13*G122/$B$12*((1+$B$8)/(1+D122))^4.5</f>
        <v>26070.6819706879</v>
      </c>
      <c r="J122" s="24" t="n">
        <f aca="false">H122+I122-$B$14</f>
        <v>85568.1068587345</v>
      </c>
      <c r="K122" s="43" t="n">
        <f aca="false">J122/$B$15</f>
        <v>446.59763496208</v>
      </c>
    </row>
    <row r="123" customFormat="false" ht="15" hidden="false" customHeight="false" outlineLevel="0" collapsed="false">
      <c r="A123" s="50" t="n">
        <v>83</v>
      </c>
      <c r="B123" s="19" t="n">
        <f aca="true">NORMINV(RAND(),$B$6,$C$6)</f>
        <v>0.103856248460508</v>
      </c>
      <c r="C123" s="19" t="n">
        <f aca="true">MAX(0.25,NORMINV(RAND(),$B$7,$C$7))</f>
        <v>0.439986666199055</v>
      </c>
      <c r="D123" s="32" t="n">
        <f aca="true">MAX(0.07,NORMINV(RAND(),$B$8,$C$8))</f>
        <v>0.0978472375623406</v>
      </c>
      <c r="E123" s="51" t="n">
        <f aca="true">MAX(8,NORMINV(RAND(),$B$9,$C$9))</f>
        <v>18.3518329972875</v>
      </c>
      <c r="F123" s="24" t="n">
        <f aca="false">$B$18*(1+(B123+$B$17)/2)^9</f>
        <v>19633.0399551552</v>
      </c>
      <c r="G123" s="24" t="n">
        <f aca="false">F123*C123</f>
        <v>8638.27579722158</v>
      </c>
      <c r="H123" s="24" t="n">
        <f aca="false">E123*G123/(1+D123)^9</f>
        <v>68427.2825793896</v>
      </c>
      <c r="I123" s="24" t="n">
        <f aca="false">$B$13*G123/$B$12*((1+$B$8)/(1+D123))^4.5</f>
        <v>22168.2395462081</v>
      </c>
      <c r="J123" s="24" t="n">
        <f aca="false">H123+I123-$B$14</f>
        <v>83157.921372173</v>
      </c>
      <c r="K123" s="43" t="n">
        <f aca="false">J123/$B$15</f>
        <v>434.01837876917</v>
      </c>
    </row>
    <row r="124" customFormat="false" ht="15" hidden="false" customHeight="false" outlineLevel="0" collapsed="false">
      <c r="A124" s="50" t="n">
        <v>84</v>
      </c>
      <c r="B124" s="19" t="n">
        <f aca="true">NORMINV(RAND(),$B$6,$C$6)</f>
        <v>0.0577176586011582</v>
      </c>
      <c r="C124" s="19" t="n">
        <f aca="true">MAX(0.25,NORMINV(RAND(),$B$7,$C$7))</f>
        <v>0.428602124306268</v>
      </c>
      <c r="D124" s="32" t="n">
        <f aca="true">MAX(0.07,NORMINV(RAND(),$B$8,$C$8))</f>
        <v>0.0923901634998482</v>
      </c>
      <c r="E124" s="51" t="n">
        <f aca="true">MAX(8,NORMINV(RAND(),$B$9,$C$9))</f>
        <v>15.2200996515161</v>
      </c>
      <c r="F124" s="24" t="n">
        <f aca="false">$B$18*(1+(B124+$B$17)/2)^9</f>
        <v>16171.2808389792</v>
      </c>
      <c r="G124" s="24" t="n">
        <f aca="false">F124*C124</f>
        <v>6931.04532033974</v>
      </c>
      <c r="H124" s="24" t="n">
        <f aca="false">E124*G124/(1+D124)^9</f>
        <v>47622.9404181972</v>
      </c>
      <c r="I124" s="24" t="n">
        <f aca="false">$B$13*G124/$B$12*((1+$B$8)/(1+D124))^4.5</f>
        <v>18190.3675797469</v>
      </c>
      <c r="J124" s="24" t="n">
        <f aca="false">H124+I124-$B$14</f>
        <v>58375.7072445194</v>
      </c>
      <c r="K124" s="43" t="n">
        <f aca="false">J124/$B$15</f>
        <v>304.674881234444</v>
      </c>
    </row>
    <row r="125" customFormat="false" ht="15" hidden="false" customHeight="false" outlineLevel="0" collapsed="false">
      <c r="A125" s="50" t="n">
        <v>85</v>
      </c>
      <c r="B125" s="19" t="n">
        <f aca="true">NORMINV(RAND(),$B$6,$C$6)</f>
        <v>0.0390771492287201</v>
      </c>
      <c r="C125" s="19" t="n">
        <f aca="true">MAX(0.25,NORMINV(RAND(),$B$7,$C$7))</f>
        <v>0.460412507415095</v>
      </c>
      <c r="D125" s="32" t="n">
        <f aca="true">MAX(0.07,NORMINV(RAND(),$B$8,$C$8))</f>
        <v>0.0947883210096438</v>
      </c>
      <c r="E125" s="51" t="n">
        <f aca="true">MAX(8,NORMINV(RAND(),$B$9,$C$9))</f>
        <v>13.8711544931036</v>
      </c>
      <c r="F125" s="24" t="n">
        <f aca="false">$B$18*(1+(B125+$B$17)/2)^9</f>
        <v>14934.3905822038</v>
      </c>
      <c r="G125" s="24" t="n">
        <f aca="false">F125*C125</f>
        <v>6875.98021466885</v>
      </c>
      <c r="H125" s="24" t="n">
        <f aca="false">E125*G125/(1+D125)^9</f>
        <v>42215.8778956115</v>
      </c>
      <c r="I125" s="24" t="n">
        <f aca="false">$B$13*G125/$B$12*((1+$B$8)/(1+D125))^4.5</f>
        <v>17868.6469306946</v>
      </c>
      <c r="J125" s="24" t="n">
        <f aca="false">H125+I125-$B$14</f>
        <v>52646.9240728814</v>
      </c>
      <c r="K125" s="43" t="n">
        <f aca="false">J125/$B$15</f>
        <v>274.77517783341</v>
      </c>
    </row>
    <row r="126" customFormat="false" ht="15" hidden="false" customHeight="false" outlineLevel="0" collapsed="false">
      <c r="A126" s="50" t="n">
        <v>86</v>
      </c>
      <c r="B126" s="19" t="n">
        <f aca="true">NORMINV(RAND(),$B$6,$C$6)</f>
        <v>0.0627412580609075</v>
      </c>
      <c r="C126" s="19" t="n">
        <f aca="true">MAX(0.25,NORMINV(RAND(),$B$7,$C$7))</f>
        <v>0.459957115825894</v>
      </c>
      <c r="D126" s="32" t="n">
        <f aca="true">MAX(0.07,NORMINV(RAND(),$B$8,$C$8))</f>
        <v>0.100917922382486</v>
      </c>
      <c r="E126" s="51" t="n">
        <f aca="true">MAX(8,NORMINV(RAND(),$B$9,$C$9))</f>
        <v>18.2838278005696</v>
      </c>
      <c r="F126" s="24" t="n">
        <f aca="false">$B$18*(1+(B126+$B$17)/2)^9</f>
        <v>16519.8251631619</v>
      </c>
      <c r="G126" s="24" t="n">
        <f aca="false">F126*C126</f>
        <v>7598.41113599596</v>
      </c>
      <c r="H126" s="24" t="n">
        <f aca="false">E126*G126/(1+D126)^9</f>
        <v>58478.3936276385</v>
      </c>
      <c r="I126" s="24" t="n">
        <f aca="false">$B$13*G126/$B$12*((1+$B$8)/(1+D126))^4.5</f>
        <v>19256.0985813895</v>
      </c>
      <c r="J126" s="24" t="n">
        <f aca="false">H126+I126-$B$14</f>
        <v>70296.8914556034</v>
      </c>
      <c r="K126" s="43" t="n">
        <f aca="false">J126/$B$15</f>
        <v>366.894005509412</v>
      </c>
    </row>
    <row r="127" customFormat="false" ht="15" hidden="false" customHeight="false" outlineLevel="0" collapsed="false">
      <c r="A127" s="50" t="n">
        <v>87</v>
      </c>
      <c r="B127" s="19" t="n">
        <f aca="true">NORMINV(RAND(),$B$6,$C$6)</f>
        <v>0.132433775300496</v>
      </c>
      <c r="C127" s="19" t="n">
        <f aca="true">MAX(0.25,NORMINV(RAND(),$B$7,$C$7))</f>
        <v>0.458434821251459</v>
      </c>
      <c r="D127" s="32" t="n">
        <f aca="true">MAX(0.07,NORMINV(RAND(),$B$8,$C$8))</f>
        <v>0.089950734818566</v>
      </c>
      <c r="E127" s="51" t="n">
        <f aca="true">MAX(8,NORMINV(RAND(),$B$9,$C$9))</f>
        <v>15.8874798342129</v>
      </c>
      <c r="F127" s="24" t="n">
        <f aca="false">$B$18*(1+(B127+$B$17)/2)^9</f>
        <v>22093.7915765709</v>
      </c>
      <c r="G127" s="24" t="n">
        <f aca="false">F127*C127</f>
        <v>10128.5633921723</v>
      </c>
      <c r="H127" s="24" t="n">
        <f aca="false">E127*G127/(1+D127)^9</f>
        <v>74120.9618322779</v>
      </c>
      <c r="I127" s="24" t="n">
        <f aca="false">$B$13*G127/$B$12*((1+$B$8)/(1+D127))^4.5</f>
        <v>26850.9522733689</v>
      </c>
      <c r="J127" s="24" t="n">
        <f aca="false">H127+I127-$B$14</f>
        <v>93534.3133522221</v>
      </c>
      <c r="K127" s="43" t="n">
        <f aca="false">J127/$B$15</f>
        <v>488.174913111806</v>
      </c>
    </row>
    <row r="128" customFormat="false" ht="15" hidden="false" customHeight="false" outlineLevel="0" collapsed="false">
      <c r="A128" s="50" t="n">
        <v>88</v>
      </c>
      <c r="B128" s="19" t="n">
        <f aca="true">NORMINV(RAND(),$B$6,$C$6)</f>
        <v>0.126647372497372</v>
      </c>
      <c r="C128" s="19" t="n">
        <f aca="true">MAX(0.25,NORMINV(RAND(),$B$7,$C$7))</f>
        <v>0.442129842025928</v>
      </c>
      <c r="D128" s="32" t="n">
        <f aca="true">MAX(0.07,NORMINV(RAND(),$B$8,$C$8))</f>
        <v>0.081543734264618</v>
      </c>
      <c r="E128" s="51" t="n">
        <f aca="true">MAX(8,NORMINV(RAND(),$B$9,$C$9))</f>
        <v>16.1013004770784</v>
      </c>
      <c r="F128" s="24" t="n">
        <f aca="false">$B$18*(1+(B128+$B$17)/2)^9</f>
        <v>21574.4965945567</v>
      </c>
      <c r="G128" s="24" t="n">
        <f aca="false">F128*C128</f>
        <v>9538.72877114026</v>
      </c>
      <c r="H128" s="24" t="n">
        <f aca="false">E128*G128/(1+D128)^9</f>
        <v>75849.8426056486</v>
      </c>
      <c r="I128" s="24" t="n">
        <f aca="false">$B$13*G128/$B$12*((1+$B$8)/(1+D128))^4.5</f>
        <v>26183.9320310273</v>
      </c>
      <c r="J128" s="24" t="n">
        <f aca="false">H128+I128-$B$14</f>
        <v>94596.1738832512</v>
      </c>
      <c r="K128" s="43" t="n">
        <f aca="false">J128/$B$15</f>
        <v>493.716982689203</v>
      </c>
    </row>
    <row r="129" customFormat="false" ht="15" hidden="false" customHeight="false" outlineLevel="0" collapsed="false">
      <c r="A129" s="50" t="n">
        <v>89</v>
      </c>
      <c r="B129" s="19" t="n">
        <f aca="true">NORMINV(RAND(),$B$6,$C$6)</f>
        <v>0.124466099586103</v>
      </c>
      <c r="C129" s="19" t="n">
        <f aca="true">MAX(0.25,NORMINV(RAND(),$B$7,$C$7))</f>
        <v>0.483554172794694</v>
      </c>
      <c r="D129" s="32" t="n">
        <f aca="true">MAX(0.07,NORMINV(RAND(),$B$8,$C$8))</f>
        <v>0.100421329214103</v>
      </c>
      <c r="E129" s="51" t="n">
        <f aca="true">MAX(8,NORMINV(RAND(),$B$9,$C$9))</f>
        <v>15.1722098253137</v>
      </c>
      <c r="F129" s="24" t="n">
        <f aca="false">$B$18*(1+(B129+$B$17)/2)^9</f>
        <v>21381.5744403689</v>
      </c>
      <c r="G129" s="24" t="n">
        <f aca="false">F129*C129</f>
        <v>10339.1495415607</v>
      </c>
      <c r="H129" s="24" t="n">
        <f aca="false">E129*G129/(1+D129)^9</f>
        <v>66298.340890064</v>
      </c>
      <c r="I129" s="24" t="n">
        <f aca="false">$B$13*G129/$B$12*((1+$B$8)/(1+D129))^4.5</f>
        <v>26255.0027948103</v>
      </c>
      <c r="J129" s="24" t="n">
        <f aca="false">H129+I129-$B$14</f>
        <v>85115.7429314496</v>
      </c>
      <c r="K129" s="43" t="n">
        <f aca="false">J129/$B$15</f>
        <v>444.236654130739</v>
      </c>
    </row>
    <row r="130" customFormat="false" ht="15" hidden="false" customHeight="false" outlineLevel="0" collapsed="false">
      <c r="A130" s="50" t="n">
        <v>90</v>
      </c>
      <c r="B130" s="19" t="n">
        <f aca="true">NORMINV(RAND(),$B$6,$C$6)</f>
        <v>0.134013767705999</v>
      </c>
      <c r="C130" s="19" t="n">
        <f aca="true">MAX(0.25,NORMINV(RAND(),$B$7,$C$7))</f>
        <v>0.477491998133354</v>
      </c>
      <c r="D130" s="32" t="n">
        <f aca="true">MAX(0.07,NORMINV(RAND(),$B$8,$C$8))</f>
        <v>0.0990920867053736</v>
      </c>
      <c r="E130" s="51" t="n">
        <f aca="true">MAX(8,NORMINV(RAND(),$B$9,$C$9))</f>
        <v>21.2121939593744</v>
      </c>
      <c r="F130" s="24" t="n">
        <f aca="false">$B$18*(1+(B130+$B$17)/2)^9</f>
        <v>22237.5037267679</v>
      </c>
      <c r="G130" s="24" t="n">
        <f aca="false">F130*C130</f>
        <v>10618.2300879923</v>
      </c>
      <c r="H130" s="24" t="n">
        <f aca="false">E130*G130/(1+D130)^9</f>
        <v>96234.5438774234</v>
      </c>
      <c r="I130" s="24" t="n">
        <f aca="false">$B$13*G130/$B$12*((1+$B$8)/(1+D130))^4.5</f>
        <v>27110.7490904466</v>
      </c>
      <c r="J130" s="24" t="n">
        <f aca="false">H130+I130-$B$14</f>
        <v>115907.692214445</v>
      </c>
      <c r="K130" s="43" t="n">
        <f aca="false">J130/$B$15</f>
        <v>604.946201536771</v>
      </c>
    </row>
    <row r="131" customFormat="false" ht="15" hidden="false" customHeight="false" outlineLevel="0" collapsed="false">
      <c r="A131" s="50" t="n">
        <v>91</v>
      </c>
      <c r="B131" s="19" t="n">
        <f aca="true">NORMINV(RAND(),$B$6,$C$6)</f>
        <v>0.0852003035454118</v>
      </c>
      <c r="C131" s="19" t="n">
        <f aca="true">MAX(0.25,NORMINV(RAND(),$B$7,$C$7))</f>
        <v>0.499899356965316</v>
      </c>
      <c r="D131" s="32" t="n">
        <f aca="true">MAX(0.07,NORMINV(RAND(),$B$8,$C$8))</f>
        <v>0.0761467109853487</v>
      </c>
      <c r="E131" s="51" t="n">
        <f aca="true">MAX(8,NORMINV(RAND(),$B$9,$C$9))</f>
        <v>14.619006927948</v>
      </c>
      <c r="F131" s="24" t="n">
        <f aca="false">$B$18*(1+(B131+$B$17)/2)^9</f>
        <v>18161.1165308372</v>
      </c>
      <c r="G131" s="24" t="n">
        <f aca="false">F131*C131</f>
        <v>9078.7304755377</v>
      </c>
      <c r="H131" s="24" t="n">
        <f aca="false">E131*G131/(1+D131)^9</f>
        <v>68564.5532899983</v>
      </c>
      <c r="I131" s="24" t="n">
        <f aca="false">$B$13*G131/$B$12*((1+$B$8)/(1+D131))^4.5</f>
        <v>25488.612886149</v>
      </c>
      <c r="J131" s="24" t="n">
        <f aca="false">H131+I131-$B$14</f>
        <v>86615.5654227227</v>
      </c>
      <c r="K131" s="43" t="n">
        <f aca="false">J131/$B$15</f>
        <v>452.064537696883</v>
      </c>
    </row>
    <row r="132" customFormat="false" ht="15" hidden="false" customHeight="false" outlineLevel="0" collapsed="false">
      <c r="A132" s="50" t="n">
        <v>92</v>
      </c>
      <c r="B132" s="19" t="n">
        <f aca="true">NORMINV(RAND(),$B$6,$C$6)</f>
        <v>0.0854068599979923</v>
      </c>
      <c r="C132" s="19" t="n">
        <f aca="true">MAX(0.25,NORMINV(RAND(),$B$7,$C$7))</f>
        <v>0.471316427247375</v>
      </c>
      <c r="D132" s="32" t="n">
        <f aca="true">MAX(0.07,NORMINV(RAND(),$B$8,$C$8))</f>
        <v>0.103897999835166</v>
      </c>
      <c r="E132" s="51" t="n">
        <f aca="true">MAX(8,NORMINV(RAND(),$B$9,$C$9))</f>
        <v>14.9150877960705</v>
      </c>
      <c r="F132" s="24" t="n">
        <f aca="false">$B$18*(1+(B132+$B$17)/2)^9</f>
        <v>18176.8608268128</v>
      </c>
      <c r="G132" s="24" t="n">
        <f aca="false">F132*C132</f>
        <v>8567.05310346616</v>
      </c>
      <c r="H132" s="24" t="n">
        <f aca="false">E132*G132/(1+D132)^9</f>
        <v>52492.439345011</v>
      </c>
      <c r="I132" s="24" t="n">
        <f aca="false">$B$13*G132/$B$12*((1+$B$8)/(1+D132))^4.5</f>
        <v>21448.3530769723</v>
      </c>
      <c r="J132" s="24" t="n">
        <f aca="false">H132+I132-$B$14</f>
        <v>66503.1916685586</v>
      </c>
      <c r="K132" s="43" t="n">
        <f aca="false">J132/$B$15</f>
        <v>347.093902236736</v>
      </c>
    </row>
    <row r="133" customFormat="false" ht="15" hidden="false" customHeight="false" outlineLevel="0" collapsed="false">
      <c r="A133" s="50" t="n">
        <v>93</v>
      </c>
      <c r="B133" s="19" t="n">
        <f aca="true">NORMINV(RAND(),$B$6,$C$6)</f>
        <v>0.0342094793031165</v>
      </c>
      <c r="C133" s="19" t="n">
        <f aca="true">MAX(0.25,NORMINV(RAND(),$B$7,$C$7))</f>
        <v>0.429864655698314</v>
      </c>
      <c r="D133" s="32" t="n">
        <f aca="true">MAX(0.07,NORMINV(RAND(),$B$8,$C$8))</f>
        <v>0.106124363152607</v>
      </c>
      <c r="E133" s="51" t="n">
        <f aca="true">MAX(8,NORMINV(RAND(),$B$9,$C$9))</f>
        <v>16.8384069459561</v>
      </c>
      <c r="F133" s="24" t="n">
        <f aca="false">$B$18*(1+(B133+$B$17)/2)^9</f>
        <v>14625.5762707398</v>
      </c>
      <c r="G133" s="24" t="n">
        <f aca="false">F133*C133</f>
        <v>6287.01830801099</v>
      </c>
      <c r="H133" s="24" t="n">
        <f aca="false">E133*G133/(1+D133)^9</f>
        <v>42708.085515323</v>
      </c>
      <c r="I133" s="24" t="n">
        <f aca="false">$B$13*G133/$B$12*((1+$B$8)/(1+D133))^4.5</f>
        <v>15598.0268674556</v>
      </c>
      <c r="J133" s="24" t="n">
        <f aca="false">H133+I133-$B$14</f>
        <v>50868.5116293539</v>
      </c>
      <c r="K133" s="43" t="n">
        <f aca="false">J133/$B$15</f>
        <v>265.493275727317</v>
      </c>
    </row>
    <row r="134" customFormat="false" ht="15" hidden="false" customHeight="false" outlineLevel="0" collapsed="false">
      <c r="A134" s="50" t="n">
        <v>94</v>
      </c>
      <c r="B134" s="19" t="n">
        <f aca="true">NORMINV(RAND(),$B$6,$C$6)</f>
        <v>0.0617554919843963</v>
      </c>
      <c r="C134" s="19" t="n">
        <f aca="true">MAX(0.25,NORMINV(RAND(),$B$7,$C$7))</f>
        <v>0.428863392720492</v>
      </c>
      <c r="D134" s="32" t="n">
        <f aca="true">MAX(0.07,NORMINV(RAND(),$B$8,$C$8))</f>
        <v>0.100264582468806</v>
      </c>
      <c r="E134" s="51" t="n">
        <f aca="true">MAX(8,NORMINV(RAND(),$B$9,$C$9))</f>
        <v>19.9071824370831</v>
      </c>
      <c r="F134" s="24" t="n">
        <f aca="false">$B$18*(1+(B134+$B$17)/2)^9</f>
        <v>16450.9094631622</v>
      </c>
      <c r="G134" s="24" t="n">
        <f aca="false">F134*C134</f>
        <v>7055.19284570937</v>
      </c>
      <c r="H134" s="24" t="n">
        <f aca="false">E134*G134/(1+D134)^9</f>
        <v>59435.303750649</v>
      </c>
      <c r="I134" s="24" t="n">
        <f aca="false">$B$13*G134/$B$12*((1+$B$8)/(1+D134))^4.5</f>
        <v>17927.285710346</v>
      </c>
      <c r="J134" s="24" t="n">
        <f aca="false">H134+I134-$B$14</f>
        <v>69924.9887075703</v>
      </c>
      <c r="K134" s="43" t="n">
        <f aca="false">J134/$B$15</f>
        <v>364.95296820235</v>
      </c>
    </row>
    <row r="135" customFormat="false" ht="15" hidden="false" customHeight="false" outlineLevel="0" collapsed="false">
      <c r="A135" s="50" t="n">
        <v>95</v>
      </c>
      <c r="B135" s="19" t="n">
        <f aca="true">NORMINV(RAND(),$B$6,$C$6)</f>
        <v>0.137284790750682</v>
      </c>
      <c r="C135" s="19" t="n">
        <f aca="true">MAX(0.25,NORMINV(RAND(),$B$7,$C$7))</f>
        <v>0.427509349428078</v>
      </c>
      <c r="D135" s="32" t="n">
        <f aca="true">MAX(0.07,NORMINV(RAND(),$B$8,$C$8))</f>
        <v>0.0980451278044325</v>
      </c>
      <c r="E135" s="51" t="n">
        <f aca="true">MAX(8,NORMINV(RAND(),$B$9,$C$9))</f>
        <v>16.4110093402293</v>
      </c>
      <c r="F135" s="24" t="n">
        <f aca="false">$B$18*(1+(B135+$B$17)/2)^9</f>
        <v>22537.6714671893</v>
      </c>
      <c r="G135" s="24" t="n">
        <f aca="false">F135*C135</f>
        <v>9635.06526656187</v>
      </c>
      <c r="H135" s="24" t="n">
        <f aca="false">E135*G135/(1+D135)^9</f>
        <v>68140.960381117</v>
      </c>
      <c r="I135" s="24" t="n">
        <f aca="false">$B$13*G135/$B$12*((1+$B$8)/(1+D135))^4.5</f>
        <v>24706.2345190675</v>
      </c>
      <c r="J135" s="24" t="n">
        <f aca="false">H135+I135-$B$14</f>
        <v>85409.5941467598</v>
      </c>
      <c r="K135" s="43" t="n">
        <f aca="false">J135/$B$15</f>
        <v>445.770324356784</v>
      </c>
    </row>
    <row r="136" customFormat="false" ht="15" hidden="false" customHeight="false" outlineLevel="0" collapsed="false">
      <c r="A136" s="50" t="n">
        <v>96</v>
      </c>
      <c r="B136" s="19" t="n">
        <f aca="true">NORMINV(RAND(),$B$6,$C$6)</f>
        <v>0.104751642863493</v>
      </c>
      <c r="C136" s="19" t="n">
        <f aca="true">MAX(0.25,NORMINV(RAND(),$B$7,$C$7))</f>
        <v>0.455154809782573</v>
      </c>
      <c r="D136" s="32" t="n">
        <f aca="true">MAX(0.07,NORMINV(RAND(),$B$8,$C$8))</f>
        <v>0.0956880621805673</v>
      </c>
      <c r="E136" s="51" t="n">
        <f aca="true">MAX(8,NORMINV(RAND(),$B$9,$C$9))</f>
        <v>19.8274094652721</v>
      </c>
      <c r="F136" s="24" t="n">
        <f aca="false">$B$18*(1+(B136+$B$17)/2)^9</f>
        <v>19706.2777003712</v>
      </c>
      <c r="G136" s="24" t="n">
        <f aca="false">F136*C136</f>
        <v>8969.40707823501</v>
      </c>
      <c r="H136" s="24" t="n">
        <f aca="false">E136*G136/(1+D136)^9</f>
        <v>78135.3103048533</v>
      </c>
      <c r="I136" s="24" t="n">
        <f aca="false">$B$13*G136/$B$12*((1+$B$8)/(1+D136))^4.5</f>
        <v>23222.8384338717</v>
      </c>
      <c r="J136" s="24" t="n">
        <f aca="false">H136+I136-$B$14</f>
        <v>93920.5479853003</v>
      </c>
      <c r="K136" s="43" t="n">
        <f aca="false">J136/$B$15</f>
        <v>490.190751489041</v>
      </c>
    </row>
    <row r="137" customFormat="false" ht="15" hidden="false" customHeight="false" outlineLevel="0" collapsed="false">
      <c r="A137" s="50" t="n">
        <v>97</v>
      </c>
      <c r="B137" s="19" t="n">
        <f aca="true">NORMINV(RAND(),$B$6,$C$6)</f>
        <v>0.160092309696611</v>
      </c>
      <c r="C137" s="19" t="n">
        <f aca="true">MAX(0.25,NORMINV(RAND(),$B$7,$C$7))</f>
        <v>0.450163633457246</v>
      </c>
      <c r="D137" s="32" t="n">
        <f aca="true">MAX(0.07,NORMINV(RAND(),$B$8,$C$8))</f>
        <v>0.102540867920515</v>
      </c>
      <c r="E137" s="51" t="n">
        <f aca="true">MAX(8,NORMINV(RAND(),$B$9,$C$9))</f>
        <v>18.9386495182378</v>
      </c>
      <c r="F137" s="24" t="n">
        <f aca="false">$B$18*(1+(B137+$B$17)/2)^9</f>
        <v>24732.6806241559</v>
      </c>
      <c r="G137" s="24" t="n">
        <f aca="false">F137*C137</f>
        <v>11133.7533749077</v>
      </c>
      <c r="H137" s="24" t="n">
        <f aca="false">E137*G137/(1+D137)^9</f>
        <v>87586.7347257286</v>
      </c>
      <c r="I137" s="24" t="n">
        <f aca="false">$B$13*G137/$B$12*((1+$B$8)/(1+D137))^4.5</f>
        <v>28029.0393517126</v>
      </c>
      <c r="J137" s="24" t="n">
        <f aca="false">H137+I137-$B$14</f>
        <v>108178.173324017</v>
      </c>
      <c r="K137" s="43" t="n">
        <f aca="false">J137/$B$15</f>
        <v>564.604244906141</v>
      </c>
    </row>
    <row r="138" customFormat="false" ht="15" hidden="false" customHeight="false" outlineLevel="0" collapsed="false">
      <c r="A138" s="50" t="n">
        <v>98</v>
      </c>
      <c r="B138" s="19" t="n">
        <f aca="true">NORMINV(RAND(),$B$6,$C$6)</f>
        <v>0.074024524735425</v>
      </c>
      <c r="C138" s="19" t="n">
        <f aca="true">MAX(0.25,NORMINV(RAND(),$B$7,$C$7))</f>
        <v>0.453561527148072</v>
      </c>
      <c r="D138" s="32" t="n">
        <f aca="true">MAX(0.07,NORMINV(RAND(),$B$8,$C$8))</f>
        <v>0.0970724560676306</v>
      </c>
      <c r="E138" s="51" t="n">
        <f aca="true">MAX(8,NORMINV(RAND(),$B$9,$C$9))</f>
        <v>20.8024941243491</v>
      </c>
      <c r="F138" s="24" t="n">
        <f aca="false">$B$18*(1+(B138+$B$17)/2)^9</f>
        <v>17327.1267616605</v>
      </c>
      <c r="G138" s="24" t="n">
        <f aca="false">F138*C138</f>
        <v>7858.91807510698</v>
      </c>
      <c r="H138" s="24" t="n">
        <f aca="false">E138*G138/(1+D138)^9</f>
        <v>71016.6801573985</v>
      </c>
      <c r="I138" s="24" t="n">
        <f aca="false">$B$13*G138/$B$12*((1+$B$8)/(1+D138))^4.5</f>
        <v>20232.3630898333</v>
      </c>
      <c r="J138" s="24" t="n">
        <f aca="false">H138+I138-$B$14</f>
        <v>83811.4424938071</v>
      </c>
      <c r="K138" s="43" t="n">
        <f aca="false">J138/$B$15</f>
        <v>437.429240573106</v>
      </c>
    </row>
    <row r="139" customFormat="false" ht="15" hidden="false" customHeight="false" outlineLevel="0" collapsed="false">
      <c r="A139" s="50" t="n">
        <v>99</v>
      </c>
      <c r="B139" s="19" t="n">
        <f aca="true">NORMINV(RAND(),$B$6,$C$6)</f>
        <v>0.12260883069876</v>
      </c>
      <c r="C139" s="19" t="n">
        <f aca="true">MAX(0.25,NORMINV(RAND(),$B$7,$C$7))</f>
        <v>0.468334861200047</v>
      </c>
      <c r="D139" s="32" t="n">
        <f aca="true">MAX(0.07,NORMINV(RAND(),$B$8,$C$8))</f>
        <v>0.103071519036428</v>
      </c>
      <c r="E139" s="51" t="n">
        <f aca="true">MAX(8,NORMINV(RAND(),$B$9,$C$9))</f>
        <v>18.8078271449318</v>
      </c>
      <c r="F139" s="24" t="n">
        <f aca="false">$B$18*(1+(B139+$B$17)/2)^9</f>
        <v>21218.5190700467</v>
      </c>
      <c r="G139" s="24" t="n">
        <f aca="false">F139*C139</f>
        <v>9937.37218354086</v>
      </c>
      <c r="H139" s="24" t="n">
        <f aca="false">E139*G139/(1+D139)^9</f>
        <v>77299.5806657169</v>
      </c>
      <c r="I139" s="24" t="n">
        <f aca="false">$B$13*G139/$B$12*((1+$B$8)/(1+D139))^4.5</f>
        <v>24963.0579450618</v>
      </c>
      <c r="J139" s="24" t="n">
        <f aca="false">H139+I139-$B$14</f>
        <v>94825.037857354</v>
      </c>
      <c r="K139" s="43" t="n">
        <f aca="false">J139/$B$15</f>
        <v>494.911471071785</v>
      </c>
    </row>
    <row r="140" customFormat="false" ht="15" hidden="false" customHeight="false" outlineLevel="0" collapsed="false">
      <c r="A140" s="50" t="n">
        <v>100</v>
      </c>
      <c r="B140" s="19" t="n">
        <f aca="true">NORMINV(RAND(),$B$6,$C$6)</f>
        <v>0.118184106512031</v>
      </c>
      <c r="C140" s="19" t="n">
        <f aca="true">MAX(0.25,NORMINV(RAND(),$B$7,$C$7))</f>
        <v>0.422866638108298</v>
      </c>
      <c r="D140" s="32" t="n">
        <f aca="true">MAX(0.07,NORMINV(RAND(),$B$8,$C$8))</f>
        <v>0.102668422753783</v>
      </c>
      <c r="E140" s="51" t="n">
        <f aca="true">MAX(8,NORMINV(RAND(),$B$9,$C$9))</f>
        <v>19.4584266946107</v>
      </c>
      <c r="F140" s="24" t="n">
        <f aca="false">$B$18*(1+(B140+$B$17)/2)^9</f>
        <v>20834.5037558373</v>
      </c>
      <c r="G140" s="24" t="n">
        <f aca="false">F140*C140</f>
        <v>8810.21655988562</v>
      </c>
      <c r="H140" s="24" t="n">
        <f aca="false">E140*G140/(1+D140)^9</f>
        <v>71136.0696181012</v>
      </c>
      <c r="I140" s="24" t="n">
        <f aca="false">$B$13*G140/$B$12*((1+$B$8)/(1+D140))^4.5</f>
        <v>22168.0306854765</v>
      </c>
      <c r="J140" s="24" t="n">
        <f aca="false">H140+I140-$B$14</f>
        <v>85866.499550153</v>
      </c>
      <c r="K140" s="43" t="n">
        <f aca="false">J140/$B$15</f>
        <v>448.155008090569</v>
      </c>
    </row>
    <row r="141" customFormat="false" ht="15" hidden="false" customHeight="false" outlineLevel="0" collapsed="false">
      <c r="A141" s="50" t="n">
        <v>101</v>
      </c>
      <c r="B141" s="19" t="n">
        <f aca="true">NORMINV(RAND(),$B$6,$C$6)</f>
        <v>0.171208772930339</v>
      </c>
      <c r="C141" s="19" t="n">
        <f aca="true">MAX(0.25,NORMINV(RAND(),$B$7,$C$7))</f>
        <v>0.456389662286105</v>
      </c>
      <c r="D141" s="32" t="n">
        <f aca="true">MAX(0.07,NORMINV(RAND(),$B$8,$C$8))</f>
        <v>0.100565382244145</v>
      </c>
      <c r="E141" s="51" t="n">
        <f aca="true">MAX(8,NORMINV(RAND(),$B$9,$C$9))</f>
        <v>14.0101379549718</v>
      </c>
      <c r="F141" s="24" t="n">
        <f aca="false">$B$18*(1+(B141+$B$17)/2)^9</f>
        <v>25869.8420573108</v>
      </c>
      <c r="G141" s="24" t="n">
        <f aca="false">F141*C141</f>
        <v>11806.7284799309</v>
      </c>
      <c r="H141" s="24" t="n">
        <f aca="false">E141*G141/(1+D141)^9</f>
        <v>69827.9599393087</v>
      </c>
      <c r="I141" s="24" t="n">
        <f aca="false">$B$13*G141/$B$12*((1+$B$8)/(1+D141))^4.5</f>
        <v>29964.0842464844</v>
      </c>
      <c r="J141" s="24" t="n">
        <f aca="false">H141+I141-$B$14</f>
        <v>92354.4434323684</v>
      </c>
      <c r="K141" s="43" t="n">
        <f aca="false">J141/$B$15</f>
        <v>482.016928143885</v>
      </c>
    </row>
    <row r="142" customFormat="false" ht="15" hidden="false" customHeight="false" outlineLevel="0" collapsed="false">
      <c r="A142" s="50" t="n">
        <v>102</v>
      </c>
      <c r="B142" s="19" t="n">
        <f aca="true">NORMINV(RAND(),$B$6,$C$6)</f>
        <v>0.0586494804715888</v>
      </c>
      <c r="C142" s="19" t="n">
        <f aca="true">MAX(0.25,NORMINV(RAND(),$B$7,$C$7))</f>
        <v>0.481644902032563</v>
      </c>
      <c r="D142" s="32" t="n">
        <f aca="true">MAX(0.07,NORMINV(RAND(),$B$8,$C$8))</f>
        <v>0.0938742080946152</v>
      </c>
      <c r="E142" s="51" t="n">
        <f aca="true">MAX(8,NORMINV(RAND(),$B$9,$C$9))</f>
        <v>20.0124304202905</v>
      </c>
      <c r="F142" s="24" t="n">
        <f aca="false">$B$18*(1+(B142+$B$17)/2)^9</f>
        <v>16235.4337343577</v>
      </c>
      <c r="G142" s="24" t="n">
        <f aca="false">F142*C142</f>
        <v>7819.71389044087</v>
      </c>
      <c r="H142" s="24" t="n">
        <f aca="false">E142*G142/(1+D142)^9</f>
        <v>69788.5630460945</v>
      </c>
      <c r="I142" s="24" t="n">
        <f aca="false">$B$13*G142/$B$12*((1+$B$8)/(1+D142))^4.5</f>
        <v>20397.6620754009</v>
      </c>
      <c r="J142" s="24" t="n">
        <f aca="false">H142+I142-$B$14</f>
        <v>82748.6243680708</v>
      </c>
      <c r="K142" s="43" t="n">
        <f aca="false">J142/$B$15</f>
        <v>431.882173111017</v>
      </c>
    </row>
    <row r="143" customFormat="false" ht="15" hidden="false" customHeight="false" outlineLevel="0" collapsed="false">
      <c r="A143" s="50" t="n">
        <v>103</v>
      </c>
      <c r="B143" s="19" t="n">
        <f aca="true">NORMINV(RAND(),$B$6,$C$6)</f>
        <v>0.114892697973201</v>
      </c>
      <c r="C143" s="19" t="n">
        <f aca="true">MAX(0.25,NORMINV(RAND(),$B$7,$C$7))</f>
        <v>0.417283243276082</v>
      </c>
      <c r="D143" s="32" t="n">
        <f aca="true">MAX(0.07,NORMINV(RAND(),$B$8,$C$8))</f>
        <v>0.0905570057058814</v>
      </c>
      <c r="E143" s="51" t="n">
        <f aca="true">MAX(8,NORMINV(RAND(),$B$9,$C$9))</f>
        <v>17.4769176479728</v>
      </c>
      <c r="F143" s="24" t="n">
        <f aca="false">$B$18*(1+(B143+$B$17)/2)^9</f>
        <v>20552.8670935964</v>
      </c>
      <c r="G143" s="24" t="n">
        <f aca="false">F143*C143</f>
        <v>8576.36703943816</v>
      </c>
      <c r="H143" s="24" t="n">
        <f aca="false">E143*G143/(1+D143)^9</f>
        <v>68696.2216201086</v>
      </c>
      <c r="I143" s="24" t="n">
        <f aca="false">$B$13*G143/$B$12*((1+$B$8)/(1+D143))^4.5</f>
        <v>22679.2367911769</v>
      </c>
      <c r="J143" s="24" t="n">
        <f aca="false">H143+I143-$B$14</f>
        <v>83937.8576578608</v>
      </c>
      <c r="K143" s="43" t="n">
        <f aca="false">J143/$B$15</f>
        <v>438.089027441862</v>
      </c>
    </row>
    <row r="144" customFormat="false" ht="15" hidden="false" customHeight="false" outlineLevel="0" collapsed="false">
      <c r="A144" s="50" t="n">
        <v>104</v>
      </c>
      <c r="B144" s="19" t="n">
        <f aca="true">NORMINV(RAND(),$B$6,$C$6)</f>
        <v>0.0997911503093341</v>
      </c>
      <c r="C144" s="19" t="n">
        <f aca="true">MAX(0.25,NORMINV(RAND(),$B$7,$C$7))</f>
        <v>0.480977539267325</v>
      </c>
      <c r="D144" s="32" t="n">
        <f aca="true">MAX(0.07,NORMINV(RAND(),$B$8,$C$8))</f>
        <v>0.108736544890789</v>
      </c>
      <c r="E144" s="51" t="n">
        <f aca="true">MAX(8,NORMINV(RAND(),$B$9,$C$9))</f>
        <v>15.5256564618261</v>
      </c>
      <c r="F144" s="24" t="n">
        <f aca="false">$B$18*(1+(B144+$B$17)/2)^9</f>
        <v>19303.5734914326</v>
      </c>
      <c r="G144" s="24" t="n">
        <f aca="false">F144*C144</f>
        <v>9284.58527697523</v>
      </c>
      <c r="H144" s="24" t="n">
        <f aca="false">E144*G144/(1+D144)^9</f>
        <v>56932.1020874911</v>
      </c>
      <c r="I144" s="24" t="n">
        <f aca="false">$B$13*G144/$B$12*((1+$B$8)/(1+D144))^4.5</f>
        <v>22791.7476985892</v>
      </c>
      <c r="J144" s="24" t="n">
        <f aca="false">H144+I144-$B$14</f>
        <v>72286.2490326556</v>
      </c>
      <c r="K144" s="43" t="n">
        <f aca="false">J144/$B$15</f>
        <v>377.276873865635</v>
      </c>
    </row>
    <row r="145" customFormat="false" ht="15" hidden="false" customHeight="false" outlineLevel="0" collapsed="false">
      <c r="A145" s="50" t="n">
        <v>105</v>
      </c>
      <c r="B145" s="19" t="n">
        <f aca="true">NORMINV(RAND(),$B$6,$C$6)</f>
        <v>0.125066400437315</v>
      </c>
      <c r="C145" s="19" t="n">
        <f aca="true">MAX(0.25,NORMINV(RAND(),$B$7,$C$7))</f>
        <v>0.484635720496505</v>
      </c>
      <c r="D145" s="32" t="n">
        <f aca="true">MAX(0.07,NORMINV(RAND(),$B$8,$C$8))</f>
        <v>0.0945512242421163</v>
      </c>
      <c r="E145" s="51" t="n">
        <f aca="true">MAX(8,NORMINV(RAND(),$B$9,$C$9))</f>
        <v>14.5187838513644</v>
      </c>
      <c r="F145" s="24" t="n">
        <f aca="false">$B$18*(1+(B145+$B$17)/2)^9</f>
        <v>21434.5143588927</v>
      </c>
      <c r="G145" s="24" t="n">
        <f aca="false">F145*C145</f>
        <v>10387.9313098146</v>
      </c>
      <c r="H145" s="24" t="n">
        <f aca="false">E145*G145/(1+D145)^9</f>
        <v>66885.8867804487</v>
      </c>
      <c r="I145" s="24" t="n">
        <f aca="false">$B$13*G145/$B$12*((1+$B$8)/(1+D145))^4.5</f>
        <v>27021.4972705029</v>
      </c>
      <c r="J145" s="24" t="n">
        <f aca="false">H145+I145-$B$14</f>
        <v>86469.7832975269</v>
      </c>
      <c r="K145" s="43" t="n">
        <f aca="false">J145/$B$15</f>
        <v>451.303670655151</v>
      </c>
    </row>
    <row r="146" customFormat="false" ht="15" hidden="false" customHeight="false" outlineLevel="0" collapsed="false">
      <c r="A146" s="50" t="n">
        <v>106</v>
      </c>
      <c r="B146" s="19" t="n">
        <f aca="true">NORMINV(RAND(),$B$6,$C$6)</f>
        <v>0.0778804872989631</v>
      </c>
      <c r="C146" s="19" t="n">
        <f aca="true">MAX(0.25,NORMINV(RAND(),$B$7,$C$7))</f>
        <v>0.468839969528344</v>
      </c>
      <c r="D146" s="32" t="n">
        <f aca="true">MAX(0.07,NORMINV(RAND(),$B$8,$C$8))</f>
        <v>0.103406382834363</v>
      </c>
      <c r="E146" s="51" t="n">
        <f aca="true">MAX(8,NORMINV(RAND(),$B$9,$C$9))</f>
        <v>18.114956017892</v>
      </c>
      <c r="F146" s="24" t="n">
        <f aca="false">$B$18*(1+(B146+$B$17)/2)^9</f>
        <v>17610.9469290083</v>
      </c>
      <c r="G146" s="24" t="n">
        <f aca="false">F146*C146</f>
        <v>8256.71582156153</v>
      </c>
      <c r="H146" s="24" t="n">
        <f aca="false">E146*G146/(1+D146)^9</f>
        <v>61691.4807339692</v>
      </c>
      <c r="I146" s="24" t="n">
        <f aca="false">$B$13*G146/$B$12*((1+$B$8)/(1+D146))^4.5</f>
        <v>20712.8745233838</v>
      </c>
      <c r="J146" s="24" t="n">
        <f aca="false">H146+I146-$B$14</f>
        <v>74966.7545039283</v>
      </c>
      <c r="K146" s="43" t="n">
        <f aca="false">J146/$B$15</f>
        <v>391.266985928645</v>
      </c>
    </row>
    <row r="147" customFormat="false" ht="15" hidden="false" customHeight="false" outlineLevel="0" collapsed="false">
      <c r="A147" s="50" t="n">
        <v>107</v>
      </c>
      <c r="B147" s="19" t="n">
        <f aca="true">NORMINV(RAND(),$B$6,$C$6)</f>
        <v>0.0899151535808666</v>
      </c>
      <c r="C147" s="19" t="n">
        <f aca="true">MAX(0.25,NORMINV(RAND(),$B$7,$C$7))</f>
        <v>0.472616079024174</v>
      </c>
      <c r="D147" s="32" t="n">
        <f aca="true">MAX(0.07,NORMINV(RAND(),$B$8,$C$8))</f>
        <v>0.0979458344141495</v>
      </c>
      <c r="E147" s="51" t="n">
        <f aca="true">MAX(8,NORMINV(RAND(),$B$9,$C$9))</f>
        <v>12.9539995808937</v>
      </c>
      <c r="F147" s="24" t="n">
        <f aca="false">$B$18*(1+(B147+$B$17)/2)^9</f>
        <v>18523.5313523084</v>
      </c>
      <c r="G147" s="24" t="n">
        <f aca="false">F147*C147</f>
        <v>8754.51875740935</v>
      </c>
      <c r="H147" s="24" t="n">
        <f aca="false">E147*G147/(1+D147)^9</f>
        <v>48911.1549605451</v>
      </c>
      <c r="I147" s="24" t="n">
        <f aca="false">$B$13*G147/$B$12*((1+$B$8)/(1+D147))^4.5</f>
        <v>22457.4741711426</v>
      </c>
      <c r="J147" s="24" t="n">
        <f aca="false">H147+I147-$B$14</f>
        <v>63931.028378263</v>
      </c>
      <c r="K147" s="43" t="n">
        <f aca="false">J147/$B$15</f>
        <v>333.669250408471</v>
      </c>
    </row>
    <row r="148" customFormat="false" ht="15" hidden="false" customHeight="false" outlineLevel="0" collapsed="false">
      <c r="A148" s="50" t="n">
        <v>108</v>
      </c>
      <c r="B148" s="19" t="n">
        <f aca="true">NORMINV(RAND(),$B$6,$C$6)</f>
        <v>0.0839581025331148</v>
      </c>
      <c r="C148" s="19" t="n">
        <f aca="true">MAX(0.25,NORMINV(RAND(),$B$7,$C$7))</f>
        <v>0.519967686200143</v>
      </c>
      <c r="D148" s="32" t="n">
        <f aca="true">MAX(0.07,NORMINV(RAND(),$B$8,$C$8))</f>
        <v>0.0972784617106028</v>
      </c>
      <c r="E148" s="51" t="n">
        <f aca="true">MAX(8,NORMINV(RAND(),$B$9,$C$9))</f>
        <v>19.4638942362609</v>
      </c>
      <c r="F148" s="24" t="n">
        <f aca="false">$B$18*(1+(B148+$B$17)/2)^9</f>
        <v>18066.6879752502</v>
      </c>
      <c r="G148" s="24" t="n">
        <f aca="false">F148*C148</f>
        <v>9394.0939437908</v>
      </c>
      <c r="H148" s="24" t="n">
        <f aca="false">E148*G148/(1+D148)^9</f>
        <v>79292.6520496452</v>
      </c>
      <c r="I148" s="24" t="n">
        <f aca="false">$B$13*G148/$B$12*((1+$B$8)/(1+D148))^4.5</f>
        <v>24164.1656157481</v>
      </c>
      <c r="J148" s="24" t="n">
        <f aca="false">H148+I148-$B$14</f>
        <v>96019.2169119686</v>
      </c>
      <c r="K148" s="43" t="n">
        <f aca="false">J148/$B$15</f>
        <v>501.144138371444</v>
      </c>
    </row>
    <row r="149" customFormat="false" ht="15" hidden="false" customHeight="false" outlineLevel="0" collapsed="false">
      <c r="A149" s="50" t="n">
        <v>109</v>
      </c>
      <c r="B149" s="19" t="n">
        <f aca="true">NORMINV(RAND(),$B$6,$C$6)</f>
        <v>0.0867434039712727</v>
      </c>
      <c r="C149" s="19" t="n">
        <f aca="true">MAX(0.25,NORMINV(RAND(),$B$7,$C$7))</f>
        <v>0.493136616448782</v>
      </c>
      <c r="D149" s="32" t="n">
        <f aca="true">MAX(0.07,NORMINV(RAND(),$B$8,$C$8))</f>
        <v>0.100658966649671</v>
      </c>
      <c r="E149" s="51" t="n">
        <f aca="true">MAX(8,NORMINV(RAND(),$B$9,$C$9))</f>
        <v>23.0798692623542</v>
      </c>
      <c r="F149" s="24" t="n">
        <f aca="false">$B$18*(1+(B149+$B$17)/2)^9</f>
        <v>18279.0294236154</v>
      </c>
      <c r="G149" s="24" t="n">
        <f aca="false">F149*C149</f>
        <v>9014.05872192943</v>
      </c>
      <c r="H149" s="24" t="n">
        <f aca="false">E149*G149/(1+D149)^9</f>
        <v>87756.3888045882</v>
      </c>
      <c r="I149" s="24" t="n">
        <f aca="false">$B$13*G149/$B$12*((1+$B$8)/(1+D149))^4.5</f>
        <v>22867.8661439944</v>
      </c>
      <c r="J149" s="24" t="n">
        <f aca="false">H149+I149-$B$14</f>
        <v>103186.654195158</v>
      </c>
      <c r="K149" s="43" t="n">
        <f aca="false">J149/$B$15</f>
        <v>538.552474922536</v>
      </c>
    </row>
    <row r="150" customFormat="false" ht="15" hidden="false" customHeight="false" outlineLevel="0" collapsed="false">
      <c r="A150" s="50" t="n">
        <v>110</v>
      </c>
      <c r="B150" s="19" t="n">
        <f aca="true">NORMINV(RAND(),$B$6,$C$6)</f>
        <v>0.159185712910076</v>
      </c>
      <c r="C150" s="19" t="n">
        <f aca="true">MAX(0.25,NORMINV(RAND(),$B$7,$C$7))</f>
        <v>0.509338444551119</v>
      </c>
      <c r="D150" s="32" t="n">
        <f aca="true">MAX(0.07,NORMINV(RAND(),$B$8,$C$8))</f>
        <v>0.108078582813014</v>
      </c>
      <c r="E150" s="51" t="n">
        <f aca="true">MAX(8,NORMINV(RAND(),$B$9,$C$9))</f>
        <v>18.9000447391189</v>
      </c>
      <c r="F150" s="24" t="n">
        <f aca="false">$B$18*(1+(B150+$B$17)/2)^9</f>
        <v>24641.9304338351</v>
      </c>
      <c r="G150" s="24" t="n">
        <f aca="false">F150*C150</f>
        <v>12551.0825179064</v>
      </c>
      <c r="H150" s="24" t="n">
        <f aca="false">E150*G150/(1+D150)^9</f>
        <v>94190.9050103678</v>
      </c>
      <c r="I150" s="24" t="n">
        <f aca="false">$B$13*G150/$B$12*((1+$B$8)/(1+D150))^4.5</f>
        <v>30892.7387358519</v>
      </c>
      <c r="J150" s="24" t="n">
        <f aca="false">H150+I150-$B$14</f>
        <v>117646.042992795</v>
      </c>
      <c r="K150" s="43" t="n">
        <f aca="false">J150/$B$15</f>
        <v>614.019013532333</v>
      </c>
    </row>
    <row r="151" customFormat="false" ht="15" hidden="false" customHeight="false" outlineLevel="0" collapsed="false">
      <c r="A151" s="50" t="n">
        <v>111</v>
      </c>
      <c r="B151" s="19" t="n">
        <f aca="true">NORMINV(RAND(),$B$6,$C$6)</f>
        <v>0.0579047058556177</v>
      </c>
      <c r="C151" s="19" t="n">
        <f aca="true">MAX(0.25,NORMINV(RAND(),$B$7,$C$7))</f>
        <v>0.529063119238785</v>
      </c>
      <c r="D151" s="32" t="n">
        <f aca="true">MAX(0.07,NORMINV(RAND(),$B$8,$C$8))</f>
        <v>0.117009501111795</v>
      </c>
      <c r="E151" s="51" t="n">
        <f aca="true">MAX(8,NORMINV(RAND(),$B$9,$C$9))</f>
        <v>14.3122755885431</v>
      </c>
      <c r="F151" s="24" t="n">
        <f aca="false">$B$18*(1+(B151+$B$17)/2)^9</f>
        <v>16184.1403261438</v>
      </c>
      <c r="G151" s="24" t="n">
        <f aca="false">F151*C151</f>
        <v>8562.43176314786</v>
      </c>
      <c r="H151" s="24" t="n">
        <f aca="false">E151*G151/(1+D151)^9</f>
        <v>45268.2816240921</v>
      </c>
      <c r="I151" s="24" t="n">
        <f aca="false">$B$13*G151/$B$12*((1+$B$8)/(1+D151))^4.5</f>
        <v>20327.5000843604</v>
      </c>
      <c r="J151" s="24" t="n">
        <f aca="false">H151+I151-$B$14</f>
        <v>58158.1809550279</v>
      </c>
      <c r="K151" s="43" t="n">
        <f aca="false">J151/$B$15</f>
        <v>303.539566571127</v>
      </c>
    </row>
    <row r="152" customFormat="false" ht="15" hidden="false" customHeight="false" outlineLevel="0" collapsed="false">
      <c r="A152" s="50" t="n">
        <v>112</v>
      </c>
      <c r="B152" s="19" t="n">
        <f aca="true">NORMINV(RAND(),$B$6,$C$6)</f>
        <v>0.103299057085356</v>
      </c>
      <c r="C152" s="19" t="n">
        <f aca="true">MAX(0.25,NORMINV(RAND(),$B$7,$C$7))</f>
        <v>0.483247037199879</v>
      </c>
      <c r="D152" s="32" t="n">
        <f aca="true">MAX(0.07,NORMINV(RAND(),$B$8,$C$8))</f>
        <v>0.102247506477539</v>
      </c>
      <c r="E152" s="51" t="n">
        <f aca="true">MAX(8,NORMINV(RAND(),$B$9,$C$9))</f>
        <v>17.7473278149487</v>
      </c>
      <c r="F152" s="24" t="n">
        <f aca="false">$B$18*(1+(B152+$B$17)/2)^9</f>
        <v>19587.5873525735</v>
      </c>
      <c r="G152" s="24" t="n">
        <f aca="false">F152*C152</f>
        <v>9465.64355402498</v>
      </c>
      <c r="H152" s="24" t="n">
        <f aca="false">E152*G152/(1+D152)^9</f>
        <v>69947.3059864953</v>
      </c>
      <c r="I152" s="24" t="n">
        <f aca="false">$B$13*G152/$B$12*((1+$B$8)/(1+D152))^4.5</f>
        <v>23858.1538048388</v>
      </c>
      <c r="J152" s="24" t="n">
        <f aca="false">H152+I152-$B$14</f>
        <v>86367.8590379095</v>
      </c>
      <c r="K152" s="43" t="n">
        <f aca="false">J152/$B$15</f>
        <v>450.771706878442</v>
      </c>
    </row>
    <row r="153" customFormat="false" ht="15" hidden="false" customHeight="false" outlineLevel="0" collapsed="false">
      <c r="A153" s="50" t="n">
        <v>113</v>
      </c>
      <c r="B153" s="19" t="n">
        <f aca="true">NORMINV(RAND(),$B$6,$C$6)</f>
        <v>0.144540610431744</v>
      </c>
      <c r="C153" s="19" t="n">
        <f aca="true">MAX(0.25,NORMINV(RAND(),$B$7,$C$7))</f>
        <v>0.472151052462922</v>
      </c>
      <c r="D153" s="32" t="n">
        <f aca="true">MAX(0.07,NORMINV(RAND(),$B$8,$C$8))</f>
        <v>0.0830822782427519</v>
      </c>
      <c r="E153" s="51" t="n">
        <f aca="true">MAX(8,NORMINV(RAND(),$B$9,$C$9))</f>
        <v>20.84828421506</v>
      </c>
      <c r="F153" s="24" t="n">
        <f aca="false">$B$18*(1+(B153+$B$17)/2)^9</f>
        <v>23216.3973859606</v>
      </c>
      <c r="G153" s="24" t="n">
        <f aca="false">F153*C153</f>
        <v>10961.6464601787</v>
      </c>
      <c r="H153" s="24" t="n">
        <f aca="false">E153*G153/(1+D153)^9</f>
        <v>111427.673115687</v>
      </c>
      <c r="I153" s="24" t="n">
        <f aca="false">$B$13*G153/$B$12*((1+$B$8)/(1+D153))^4.5</f>
        <v>29897.9917048415</v>
      </c>
      <c r="J153" s="24" t="n">
        <f aca="false">H153+I153-$B$14</f>
        <v>133888.064067104</v>
      </c>
      <c r="K153" s="43" t="n">
        <f aca="false">J153/$B$15</f>
        <v>698.789478429562</v>
      </c>
    </row>
    <row r="154" customFormat="false" ht="15" hidden="false" customHeight="false" outlineLevel="0" collapsed="false">
      <c r="A154" s="50" t="n">
        <v>114</v>
      </c>
      <c r="B154" s="19" t="n">
        <f aca="true">NORMINV(RAND(),$B$6,$C$6)</f>
        <v>0.0901209317757092</v>
      </c>
      <c r="C154" s="19" t="n">
        <f aca="true">MAX(0.25,NORMINV(RAND(),$B$7,$C$7))</f>
        <v>0.471552161373189</v>
      </c>
      <c r="D154" s="32" t="n">
        <f aca="true">MAX(0.07,NORMINV(RAND(),$B$8,$C$8))</f>
        <v>0.103726000760353</v>
      </c>
      <c r="E154" s="51" t="n">
        <f aca="true">MAX(8,NORMINV(RAND(),$B$9,$C$9))</f>
        <v>22.3518304598838</v>
      </c>
      <c r="F154" s="24" t="n">
        <f aca="false">$B$18*(1+(B154+$B$17)/2)^9</f>
        <v>18539.4942086435</v>
      </c>
      <c r="G154" s="24" t="n">
        <f aca="false">F154*C154</f>
        <v>8742.33856485155</v>
      </c>
      <c r="H154" s="24" t="n">
        <f aca="false">E154*G154/(1+D154)^9</f>
        <v>80387.6355523012</v>
      </c>
      <c r="I154" s="24" t="n">
        <f aca="false">$B$13*G154/$B$12*((1+$B$8)/(1+D154))^4.5</f>
        <v>21902.5480210701</v>
      </c>
      <c r="J154" s="24" t="n">
        <f aca="false">H154+I154-$B$14</f>
        <v>94852.5828199467</v>
      </c>
      <c r="K154" s="43" t="n">
        <f aca="false">J154/$B$15</f>
        <v>495.055233924565</v>
      </c>
    </row>
    <row r="155" customFormat="false" ht="15" hidden="false" customHeight="false" outlineLevel="0" collapsed="false">
      <c r="A155" s="50" t="n">
        <v>115</v>
      </c>
      <c r="B155" s="19" t="n">
        <f aca="true">NORMINV(RAND(),$B$6,$C$6)</f>
        <v>0.0903410700529181</v>
      </c>
      <c r="C155" s="19" t="n">
        <f aca="true">MAX(0.25,NORMINV(RAND(),$B$7,$C$7))</f>
        <v>0.463110543013796</v>
      </c>
      <c r="D155" s="32" t="n">
        <f aca="true">MAX(0.07,NORMINV(RAND(),$B$8,$C$8))</f>
        <v>0.0980461394278967</v>
      </c>
      <c r="E155" s="51" t="n">
        <f aca="true">MAX(8,NORMINV(RAND(),$B$9,$C$9))</f>
        <v>23.6881621894629</v>
      </c>
      <c r="F155" s="24" t="n">
        <f aca="false">$B$18*(1+(B155+$B$17)/2)^9</f>
        <v>18556.5845576968</v>
      </c>
      <c r="G155" s="24" t="n">
        <f aca="false">F155*C155</f>
        <v>8593.74995099639</v>
      </c>
      <c r="H155" s="24" t="n">
        <f aca="false">E155*G155/(1+D155)^9</f>
        <v>87726.0907358378</v>
      </c>
      <c r="I155" s="24" t="n">
        <f aca="false">$B$13*G155/$B$12*((1+$B$8)/(1+D155))^4.5</f>
        <v>22036.0024117167</v>
      </c>
      <c r="J155" s="24" t="n">
        <f aca="false">H155+I155-$B$14</f>
        <v>102324.49239413</v>
      </c>
      <c r="K155" s="43" t="n">
        <f aca="false">J155/$B$15</f>
        <v>534.052674290866</v>
      </c>
    </row>
    <row r="156" customFormat="false" ht="15" hidden="false" customHeight="false" outlineLevel="0" collapsed="false">
      <c r="A156" s="50" t="n">
        <v>116</v>
      </c>
      <c r="B156" s="19" t="n">
        <f aca="true">NORMINV(RAND(),$B$6,$C$6)</f>
        <v>0.156325093559379</v>
      </c>
      <c r="C156" s="19" t="n">
        <f aca="true">MAX(0.25,NORMINV(RAND(),$B$7,$C$7))</f>
        <v>0.489378915201932</v>
      </c>
      <c r="D156" s="32" t="n">
        <f aca="true">MAX(0.07,NORMINV(RAND(),$B$8,$C$8))</f>
        <v>0.0914894165091937</v>
      </c>
      <c r="E156" s="51" t="n">
        <f aca="true">MAX(8,NORMINV(RAND(),$B$9,$C$9))</f>
        <v>14.5937575242389</v>
      </c>
      <c r="F156" s="24" t="n">
        <f aca="false">$B$18*(1+(B156+$B$17)/2)^9</f>
        <v>24357.5201255935</v>
      </c>
      <c r="G156" s="24" t="n">
        <f aca="false">F156*C156</f>
        <v>11920.0567760722</v>
      </c>
      <c r="H156" s="24" t="n">
        <f aca="false">E156*G156/(1+D156)^9</f>
        <v>79116.9778110256</v>
      </c>
      <c r="I156" s="24" t="n">
        <f aca="false">$B$13*G156/$B$12*((1+$B$8)/(1+D156))^4.5</f>
        <v>31400.2563686179</v>
      </c>
      <c r="J156" s="24" t="n">
        <f aca="false">H156+I156-$B$14</f>
        <v>103079.633426219</v>
      </c>
      <c r="K156" s="43" t="n">
        <f aca="false">J156/$B$15</f>
        <v>537.993911410328</v>
      </c>
    </row>
    <row r="157" customFormat="false" ht="15" hidden="false" customHeight="false" outlineLevel="0" collapsed="false">
      <c r="A157" s="50" t="n">
        <v>117</v>
      </c>
      <c r="B157" s="19" t="n">
        <f aca="true">NORMINV(RAND(),$B$6,$C$6)</f>
        <v>0.105897186071647</v>
      </c>
      <c r="C157" s="19" t="n">
        <f aca="true">MAX(0.25,NORMINV(RAND(),$B$7,$C$7))</f>
        <v>0.509461031938415</v>
      </c>
      <c r="D157" s="32" t="n">
        <f aca="true">MAX(0.07,NORMINV(RAND(),$B$8,$C$8))</f>
        <v>0.104193267017727</v>
      </c>
      <c r="E157" s="51" t="n">
        <f aca="true">MAX(8,NORMINV(RAND(),$B$9,$C$9))</f>
        <v>15.7019364142058</v>
      </c>
      <c r="F157" s="24" t="n">
        <f aca="false">$B$18*(1+(B157+$B$17)/2)^9</f>
        <v>19800.3301143239</v>
      </c>
      <c r="G157" s="24" t="n">
        <f aca="false">F157*C157</f>
        <v>10087.4966127647</v>
      </c>
      <c r="H157" s="24" t="n">
        <f aca="false">E157*G157/(1+D157)^9</f>
        <v>64912.8630391693</v>
      </c>
      <c r="I157" s="24" t="n">
        <f aca="false">$B$13*G157/$B$12*((1+$B$8)/(1+D157))^4.5</f>
        <v>25224.5383318889</v>
      </c>
      <c r="J157" s="24" t="n">
        <f aca="false">H157+I157-$B$14</f>
        <v>82699.8006176335</v>
      </c>
      <c r="K157" s="43" t="n">
        <f aca="false">J157/$B$15</f>
        <v>431.627351866563</v>
      </c>
    </row>
    <row r="158" customFormat="false" ht="15" hidden="false" customHeight="false" outlineLevel="0" collapsed="false">
      <c r="A158" s="50" t="n">
        <v>118</v>
      </c>
      <c r="B158" s="19" t="n">
        <f aca="true">NORMINV(RAND(),$B$6,$C$6)</f>
        <v>0.117160575835466</v>
      </c>
      <c r="C158" s="19" t="n">
        <f aca="true">MAX(0.25,NORMINV(RAND(),$B$7,$C$7))</f>
        <v>0.474148842960253</v>
      </c>
      <c r="D158" s="32" t="n">
        <f aca="true">MAX(0.07,NORMINV(RAND(),$B$8,$C$8))</f>
        <v>0.105569076293969</v>
      </c>
      <c r="E158" s="51" t="n">
        <f aca="true">MAX(8,NORMINV(RAND(),$B$9,$C$9))</f>
        <v>21.7807470023792</v>
      </c>
      <c r="F158" s="24" t="n">
        <f aca="false">$B$18*(1+(B158+$B$17)/2)^9</f>
        <v>20746.5578198418</v>
      </c>
      <c r="G158" s="24" t="n">
        <f aca="false">F158*C158</f>
        <v>9836.95638568599</v>
      </c>
      <c r="H158" s="24" t="n">
        <f aca="false">E158*G158/(1+D158)^9</f>
        <v>86828.1549807263</v>
      </c>
      <c r="I158" s="24" t="n">
        <f aca="false">$B$13*G158/$B$12*((1+$B$8)/(1+D158))^4.5</f>
        <v>24460.5954201066</v>
      </c>
      <c r="J158" s="24" t="n">
        <f aca="false">H158+I158-$B$14</f>
        <v>103851.149647408</v>
      </c>
      <c r="K158" s="43" t="n">
        <f aca="false">J158/$B$15</f>
        <v>542.020614026139</v>
      </c>
    </row>
    <row r="159" customFormat="false" ht="15" hidden="false" customHeight="false" outlineLevel="0" collapsed="false">
      <c r="A159" s="50" t="n">
        <v>119</v>
      </c>
      <c r="B159" s="19" t="n">
        <f aca="true">NORMINV(RAND(),$B$6,$C$6)</f>
        <v>0.099352025741348</v>
      </c>
      <c r="C159" s="19" t="n">
        <f aca="true">MAX(0.25,NORMINV(RAND(),$B$7,$C$7))</f>
        <v>0.462032713767066</v>
      </c>
      <c r="D159" s="32" t="n">
        <f aca="true">MAX(0.07,NORMINV(RAND(),$B$8,$C$8))</f>
        <v>0.0999595489230762</v>
      </c>
      <c r="E159" s="51" t="n">
        <f aca="true">MAX(8,NORMINV(RAND(),$B$9,$C$9))</f>
        <v>20.7625961056279</v>
      </c>
      <c r="F159" s="24" t="n">
        <f aca="false">$B$18*(1+(B159+$B$17)/2)^9</f>
        <v>19268.2793172003</v>
      </c>
      <c r="G159" s="24" t="n">
        <f aca="false">F159*C159</f>
        <v>8902.5753825479</v>
      </c>
      <c r="H159" s="24" t="n">
        <f aca="false">E159*G159/(1+D159)^9</f>
        <v>78416.3976075686</v>
      </c>
      <c r="I159" s="24" t="n">
        <f aca="false">$B$13*G159/$B$12*((1+$B$8)/(1+D159))^4.5</f>
        <v>22649.7386930672</v>
      </c>
      <c r="J159" s="24" t="n">
        <f aca="false">H159+I159-$B$14</f>
        <v>93628.5355472111</v>
      </c>
      <c r="K159" s="43" t="n">
        <f aca="false">J159/$B$15</f>
        <v>488.666678221352</v>
      </c>
    </row>
    <row r="160" customFormat="false" ht="15" hidden="false" customHeight="false" outlineLevel="0" collapsed="false">
      <c r="A160" s="50" t="n">
        <v>120</v>
      </c>
      <c r="B160" s="19" t="n">
        <f aca="true">NORMINV(RAND(),$B$6,$C$6)</f>
        <v>0.138303429497282</v>
      </c>
      <c r="C160" s="19" t="n">
        <f aca="true">MAX(0.25,NORMINV(RAND(),$B$7,$C$7))</f>
        <v>0.406243630317131</v>
      </c>
      <c r="D160" s="32" t="n">
        <f aca="true">MAX(0.07,NORMINV(RAND(),$B$8,$C$8))</f>
        <v>0.0984160268927846</v>
      </c>
      <c r="E160" s="51" t="n">
        <f aca="true">MAX(8,NORMINV(RAND(),$B$9,$C$9))</f>
        <v>19.4978083705623</v>
      </c>
      <c r="F160" s="24" t="n">
        <f aca="false">$B$18*(1+(B160+$B$17)/2)^9</f>
        <v>22631.8801339386</v>
      </c>
      <c r="G160" s="24" t="n">
        <f aca="false">F160*C160</f>
        <v>9194.05714651337</v>
      </c>
      <c r="H160" s="24" t="n">
        <f aca="false">E160*G160/(1+D160)^9</f>
        <v>77017.8245383471</v>
      </c>
      <c r="I160" s="24" t="n">
        <f aca="false">$B$13*G160/$B$12*((1+$B$8)/(1+D160))^4.5</f>
        <v>23539.5997711412</v>
      </c>
      <c r="J160" s="24" t="n">
        <f aca="false">H160+I160-$B$14</f>
        <v>93119.8235560637</v>
      </c>
      <c r="K160" s="43" t="n">
        <f aca="false">J160/$B$15</f>
        <v>486.011605198662</v>
      </c>
    </row>
    <row r="161" customFormat="false" ht="15" hidden="false" customHeight="false" outlineLevel="0" collapsed="false">
      <c r="A161" s="50" t="n">
        <v>121</v>
      </c>
      <c r="B161" s="19" t="n">
        <f aca="true">NORMINV(RAND(),$B$6,$C$6)</f>
        <v>0.150199173733493</v>
      </c>
      <c r="C161" s="19" t="n">
        <f aca="true">MAX(0.25,NORMINV(RAND(),$B$7,$C$7))</f>
        <v>0.483698708762801</v>
      </c>
      <c r="D161" s="32" t="n">
        <f aca="true">MAX(0.07,NORMINV(RAND(),$B$8,$C$8))</f>
        <v>0.102834947437373</v>
      </c>
      <c r="E161" s="51" t="n">
        <f aca="true">MAX(8,NORMINV(RAND(),$B$9,$C$9))</f>
        <v>13.3764328677055</v>
      </c>
      <c r="F161" s="24" t="n">
        <f aca="false">$B$18*(1+(B161+$B$17)/2)^9</f>
        <v>23758.2587194708</v>
      </c>
      <c r="G161" s="24" t="n">
        <f aca="false">F161*C161</f>
        <v>11491.8390650606</v>
      </c>
      <c r="H161" s="24" t="n">
        <f aca="false">E161*G161/(1+D161)^9</f>
        <v>63699.3749221022</v>
      </c>
      <c r="I161" s="24" t="n">
        <f aca="false">$B$13*G161/$B$12*((1+$B$8)/(1+D161))^4.5</f>
        <v>28895.8148706874</v>
      </c>
      <c r="J161" s="24" t="n">
        <f aca="false">H161+I161-$B$14</f>
        <v>85157.5890393649</v>
      </c>
      <c r="K161" s="43" t="n">
        <f aca="false">J161/$B$15</f>
        <v>444.455057616727</v>
      </c>
    </row>
    <row r="162" customFormat="false" ht="15" hidden="false" customHeight="false" outlineLevel="0" collapsed="false">
      <c r="A162" s="50" t="n">
        <v>122</v>
      </c>
      <c r="B162" s="19" t="n">
        <f aca="true">NORMINV(RAND(),$B$6,$C$6)</f>
        <v>0.113423999814076</v>
      </c>
      <c r="C162" s="19" t="n">
        <f aca="true">MAX(0.25,NORMINV(RAND(),$B$7,$C$7))</f>
        <v>0.463676838890967</v>
      </c>
      <c r="D162" s="32" t="n">
        <f aca="true">MAX(0.07,NORMINV(RAND(),$B$8,$C$8))</f>
        <v>0.100463337423855</v>
      </c>
      <c r="E162" s="51" t="n">
        <f aca="true">MAX(8,NORMINV(RAND(),$B$9,$C$9))</f>
        <v>16.5495194115163</v>
      </c>
      <c r="F162" s="24" t="n">
        <f aca="false">$B$18*(1+(B162+$B$17)/2)^9</f>
        <v>20428.2904022384</v>
      </c>
      <c r="G162" s="24" t="n">
        <f aca="false">F162*C162</f>
        <v>9472.12511765657</v>
      </c>
      <c r="H162" s="24" t="n">
        <f aca="false">E162*G162/(1+D162)^9</f>
        <v>66229.6724916455</v>
      </c>
      <c r="I162" s="24" t="n">
        <f aca="false">$B$13*G162/$B$12*((1+$B$8)/(1+D162))^4.5</f>
        <v>24049.1689721721</v>
      </c>
      <c r="J162" s="24" t="n">
        <f aca="false">H162+I162-$B$14</f>
        <v>82841.2407103929</v>
      </c>
      <c r="K162" s="43" t="n">
        <f aca="false">J162/$B$15</f>
        <v>432.365556943596</v>
      </c>
    </row>
    <row r="163" customFormat="false" ht="15" hidden="false" customHeight="false" outlineLevel="0" collapsed="false">
      <c r="A163" s="50" t="n">
        <v>123</v>
      </c>
      <c r="B163" s="19" t="n">
        <f aca="true">NORMINV(RAND(),$B$6,$C$6)</f>
        <v>0.0839746239052326</v>
      </c>
      <c r="C163" s="19" t="n">
        <f aca="true">MAX(0.25,NORMINV(RAND(),$B$7,$C$7))</f>
        <v>0.489810679683458</v>
      </c>
      <c r="D163" s="32" t="n">
        <f aca="true">MAX(0.07,NORMINV(RAND(),$B$8,$C$8))</f>
        <v>0.0893074676177966</v>
      </c>
      <c r="E163" s="51" t="n">
        <f aca="true">MAX(8,NORMINV(RAND(),$B$9,$C$9))</f>
        <v>20.0860979950401</v>
      </c>
      <c r="F163" s="24" t="n">
        <f aca="false">$B$18*(1+(B163+$B$17)/2)^9</f>
        <v>18067.9410133008</v>
      </c>
      <c r="G163" s="24" t="n">
        <f aca="false">F163*C163</f>
        <v>8849.87046820549</v>
      </c>
      <c r="H163" s="24" t="n">
        <f aca="false">E163*G163/(1+D163)^9</f>
        <v>82314.8447200436</v>
      </c>
      <c r="I163" s="24" t="n">
        <f aca="false">$B$13*G163/$B$12*((1+$B$8)/(1+D163))^4.5</f>
        <v>23523.5303711196</v>
      </c>
      <c r="J163" s="24" t="n">
        <f aca="false">H163+I163-$B$14</f>
        <v>98400.7743377386</v>
      </c>
      <c r="K163" s="43" t="n">
        <f aca="false">J163/$B$15</f>
        <v>513.573978798218</v>
      </c>
    </row>
    <row r="164" customFormat="false" ht="15" hidden="false" customHeight="false" outlineLevel="0" collapsed="false">
      <c r="A164" s="50" t="n">
        <v>124</v>
      </c>
      <c r="B164" s="19" t="n">
        <f aca="true">NORMINV(RAND(),$B$6,$C$6)</f>
        <v>0.0727752152104687</v>
      </c>
      <c r="C164" s="19" t="n">
        <f aca="true">MAX(0.25,NORMINV(RAND(),$B$7,$C$7))</f>
        <v>0.51792194628155</v>
      </c>
      <c r="D164" s="32" t="n">
        <f aca="true">MAX(0.07,NORMINV(RAND(),$B$8,$C$8))</f>
        <v>0.0973559646919666</v>
      </c>
      <c r="E164" s="51" t="n">
        <f aca="true">MAX(8,NORMINV(RAND(),$B$9,$C$9))</f>
        <v>19.2682606683336</v>
      </c>
      <c r="F164" s="24" t="n">
        <f aca="false">$B$18*(1+(B164+$B$17)/2)^9</f>
        <v>17236.0467830951</v>
      </c>
      <c r="G164" s="24" t="n">
        <f aca="false">F164*C164</f>
        <v>8926.92689610047</v>
      </c>
      <c r="H164" s="24" t="n">
        <f aca="false">E164*G164/(1+D164)^9</f>
        <v>74544.6935758472</v>
      </c>
      <c r="I164" s="24" t="n">
        <f aca="false">$B$13*G164/$B$12*((1+$B$8)/(1+D164))^4.5</f>
        <v>22955.1877884656</v>
      </c>
      <c r="J164" s="24" t="n">
        <f aca="false">H164+I164-$B$14</f>
        <v>90062.2806108881</v>
      </c>
      <c r="K164" s="43" t="n">
        <f aca="false">J164/$B$15</f>
        <v>470.053656633028</v>
      </c>
    </row>
    <row r="165" customFormat="false" ht="15" hidden="false" customHeight="false" outlineLevel="0" collapsed="false">
      <c r="A165" s="50" t="n">
        <v>125</v>
      </c>
      <c r="B165" s="19" t="n">
        <f aca="true">NORMINV(RAND(),$B$6,$C$6)</f>
        <v>0.125214575927966</v>
      </c>
      <c r="C165" s="19" t="n">
        <f aca="true">MAX(0.25,NORMINV(RAND(),$B$7,$C$7))</f>
        <v>0.484091308614044</v>
      </c>
      <c r="D165" s="32" t="n">
        <f aca="true">MAX(0.07,NORMINV(RAND(),$B$8,$C$8))</f>
        <v>0.100241986229209</v>
      </c>
      <c r="E165" s="51" t="n">
        <f aca="true">MAX(8,NORMINV(RAND(),$B$9,$C$9))</f>
        <v>20.4583436881014</v>
      </c>
      <c r="F165" s="24" t="n">
        <f aca="false">$B$18*(1+(B165+$B$17)/2)^9</f>
        <v>21447.5997195823</v>
      </c>
      <c r="G165" s="24" t="n">
        <f aca="false">F165*C165</f>
        <v>10382.5966148828</v>
      </c>
      <c r="H165" s="24" t="n">
        <f aca="false">E165*G165/(1+D165)^9</f>
        <v>89904.7267348078</v>
      </c>
      <c r="I165" s="24" t="n">
        <f aca="false">$B$13*G165/$B$12*((1+$B$8)/(1+D165))^4.5</f>
        <v>26384.6761811607</v>
      </c>
      <c r="J165" s="24" t="n">
        <f aca="false">H165+I165-$B$14</f>
        <v>108851.802162544</v>
      </c>
      <c r="K165" s="43" t="n">
        <f aca="false">J165/$B$15</f>
        <v>568.120053040417</v>
      </c>
    </row>
    <row r="166" customFormat="false" ht="15" hidden="false" customHeight="false" outlineLevel="0" collapsed="false">
      <c r="A166" s="50" t="n">
        <v>126</v>
      </c>
      <c r="B166" s="19" t="n">
        <f aca="true">NORMINV(RAND(),$B$6,$C$6)</f>
        <v>0.153516743344259</v>
      </c>
      <c r="C166" s="19" t="n">
        <f aca="true">MAX(0.25,NORMINV(RAND(),$B$7,$C$7))</f>
        <v>0.446915753544882</v>
      </c>
      <c r="D166" s="32" t="n">
        <f aca="true">MAX(0.07,NORMINV(RAND(),$B$8,$C$8))</f>
        <v>0.0971931479608264</v>
      </c>
      <c r="E166" s="51" t="n">
        <f aca="true">MAX(8,NORMINV(RAND(),$B$9,$C$9))</f>
        <v>15.3625315702089</v>
      </c>
      <c r="F166" s="24" t="n">
        <f aca="false">$B$18*(1+(B166+$B$17)/2)^9</f>
        <v>24081.1487248526</v>
      </c>
      <c r="G166" s="24" t="n">
        <f aca="false">F166*C166</f>
        <v>10762.2447285939</v>
      </c>
      <c r="H166" s="24" t="n">
        <f aca="false">E166*G166/(1+D166)^9</f>
        <v>71749.3335025065</v>
      </c>
      <c r="I166" s="24" t="n">
        <f aca="false">$B$13*G166/$B$12*((1+$B$8)/(1+D166))^4.5</f>
        <v>27693.1095357327</v>
      </c>
      <c r="J166" s="24" t="n">
        <f aca="false">H166+I166-$B$14</f>
        <v>92004.8422848146</v>
      </c>
      <c r="K166" s="43" t="n">
        <f aca="false">J166/$B$15</f>
        <v>480.192287499032</v>
      </c>
    </row>
    <row r="167" customFormat="false" ht="15" hidden="false" customHeight="false" outlineLevel="0" collapsed="false">
      <c r="A167" s="50" t="n">
        <v>127</v>
      </c>
      <c r="B167" s="19" t="n">
        <f aca="true">NORMINV(RAND(),$B$6,$C$6)</f>
        <v>0.0754882945648964</v>
      </c>
      <c r="C167" s="19" t="n">
        <f aca="true">MAX(0.25,NORMINV(RAND(),$B$7,$C$7))</f>
        <v>0.468618779211491</v>
      </c>
      <c r="D167" s="32" t="n">
        <f aca="true">MAX(0.07,NORMINV(RAND(),$B$8,$C$8))</f>
        <v>0.102628088339451</v>
      </c>
      <c r="E167" s="51" t="n">
        <f aca="true">MAX(8,NORMINV(RAND(),$B$9,$C$9))</f>
        <v>13.0261410311373</v>
      </c>
      <c r="F167" s="24" t="n">
        <f aca="false">$B$18*(1+(B167+$B$17)/2)^9</f>
        <v>17434.3858952143</v>
      </c>
      <c r="G167" s="24" t="n">
        <f aca="false">F167*C167</f>
        <v>8170.08063451737</v>
      </c>
      <c r="H167" s="24" t="n">
        <f aca="false">E167*G167/(1+D167)^9</f>
        <v>44175.4167379681</v>
      </c>
      <c r="I167" s="24" t="n">
        <f aca="false">$B$13*G167/$B$12*((1+$B$8)/(1+D167))^4.5</f>
        <v>20560.7220170153</v>
      </c>
      <c r="J167" s="24" t="n">
        <f aca="false">H167+I167-$B$14</f>
        <v>57298.5380015588</v>
      </c>
      <c r="K167" s="43" t="n">
        <f aca="false">J167/$B$15</f>
        <v>299.052912325463</v>
      </c>
    </row>
    <row r="168" customFormat="false" ht="15" hidden="false" customHeight="false" outlineLevel="0" collapsed="false">
      <c r="A168" s="50" t="n">
        <v>128</v>
      </c>
      <c r="B168" s="19" t="n">
        <f aca="true">NORMINV(RAND(),$B$6,$C$6)</f>
        <v>0.0812002052245623</v>
      </c>
      <c r="C168" s="19" t="n">
        <f aca="true">MAX(0.25,NORMINV(RAND(),$B$7,$C$7))</f>
        <v>0.464935200409124</v>
      </c>
      <c r="D168" s="32" t="n">
        <f aca="true">MAX(0.07,NORMINV(RAND(),$B$8,$C$8))</f>
        <v>0.110620279702868</v>
      </c>
      <c r="E168" s="51" t="n">
        <f aca="true">MAX(8,NORMINV(RAND(),$B$9,$C$9))</f>
        <v>16.9362484151727</v>
      </c>
      <c r="F168" s="24" t="n">
        <f aca="false">$B$18*(1+(B168+$B$17)/2)^9</f>
        <v>17858.5989489662</v>
      </c>
      <c r="G168" s="24" t="n">
        <f aca="false">F168*C168</f>
        <v>8303.09128136376</v>
      </c>
      <c r="H168" s="24" t="n">
        <f aca="false">E168*G168/(1+D168)^9</f>
        <v>54697.3937743034</v>
      </c>
      <c r="I168" s="24" t="n">
        <f aca="false">$B$13*G168/$B$12*((1+$B$8)/(1+D168))^4.5</f>
        <v>20227.2743850968</v>
      </c>
      <c r="J168" s="24" t="n">
        <f aca="false">H168+I168-$B$14</f>
        <v>67487.0674059756</v>
      </c>
      <c r="K168" s="43" t="n">
        <f aca="false">J168/$B$15</f>
        <v>352.228953058328</v>
      </c>
    </row>
    <row r="169" customFormat="false" ht="15" hidden="false" customHeight="false" outlineLevel="0" collapsed="false">
      <c r="A169" s="50" t="n">
        <v>129</v>
      </c>
      <c r="B169" s="19" t="n">
        <f aca="true">NORMINV(RAND(),$B$6,$C$6)</f>
        <v>0.0595822739924474</v>
      </c>
      <c r="C169" s="19" t="n">
        <f aca="true">MAX(0.25,NORMINV(RAND(),$B$7,$C$7))</f>
        <v>0.440019890494476</v>
      </c>
      <c r="D169" s="32" t="n">
        <f aca="true">MAX(0.07,NORMINV(RAND(),$B$8,$C$8))</f>
        <v>0.0991467031227216</v>
      </c>
      <c r="E169" s="51" t="n">
        <f aca="true">MAX(8,NORMINV(RAND(),$B$9,$C$9))</f>
        <v>17.038078100335</v>
      </c>
      <c r="F169" s="24" t="n">
        <f aca="false">$B$18*(1+(B169+$B$17)/2)^9</f>
        <v>16299.8800014972</v>
      </c>
      <c r="G169" s="24" t="n">
        <f aca="false">F169*C169</f>
        <v>7172.2714133319</v>
      </c>
      <c r="H169" s="24" t="n">
        <f aca="false">E169*G169/(1+D169)^9</f>
        <v>52188.6864606605</v>
      </c>
      <c r="I169" s="24" t="n">
        <f aca="false">$B$13*G169/$B$12*((1+$B$8)/(1+D169))^4.5</f>
        <v>18308.3408431067</v>
      </c>
      <c r="J169" s="24" t="n">
        <f aca="false">H169+I169-$B$14</f>
        <v>63059.4265503426</v>
      </c>
      <c r="K169" s="43" t="n">
        <f aca="false">J169/$B$15</f>
        <v>329.120180325379</v>
      </c>
    </row>
    <row r="170" customFormat="false" ht="15" hidden="false" customHeight="false" outlineLevel="0" collapsed="false">
      <c r="A170" s="50" t="n">
        <v>130</v>
      </c>
      <c r="B170" s="19" t="n">
        <f aca="true">NORMINV(RAND(),$B$6,$C$6)</f>
        <v>0.111140179893941</v>
      </c>
      <c r="C170" s="19" t="n">
        <f aca="true">MAX(0.25,NORMINV(RAND(),$B$7,$C$7))</f>
        <v>0.463788528819665</v>
      </c>
      <c r="D170" s="32" t="n">
        <f aca="true">MAX(0.07,NORMINV(RAND(),$B$8,$C$8))</f>
        <v>0.099399712136851</v>
      </c>
      <c r="E170" s="51" t="n">
        <f aca="true">MAX(8,NORMINV(RAND(),$B$9,$C$9))</f>
        <v>20.0456724562756</v>
      </c>
      <c r="F170" s="24" t="n">
        <f aca="false">$B$18*(1+(B170+$B$17)/2)^9</f>
        <v>20235.9071971538</v>
      </c>
      <c r="G170" s="24" t="n">
        <f aca="false">F170*C170</f>
        <v>9385.18162829925</v>
      </c>
      <c r="H170" s="24" t="n">
        <f aca="false">E170*G170/(1+D170)^9</f>
        <v>80179.3887960215</v>
      </c>
      <c r="I170" s="24" t="n">
        <f aca="false">$B$13*G170/$B$12*((1+$B$8)/(1+D170))^4.5</f>
        <v>23932.3390579748</v>
      </c>
      <c r="J170" s="24" t="n">
        <f aca="false">H170+I170-$B$14</f>
        <v>96674.1271005716</v>
      </c>
      <c r="K170" s="43" t="n">
        <f aca="false">J170/$B$15</f>
        <v>504.562250002983</v>
      </c>
    </row>
    <row r="171" customFormat="false" ht="15" hidden="false" customHeight="false" outlineLevel="0" collapsed="false">
      <c r="A171" s="50" t="n">
        <v>131</v>
      </c>
      <c r="B171" s="19" t="n">
        <f aca="true">NORMINV(RAND(),$B$6,$C$6)</f>
        <v>0.119700349557355</v>
      </c>
      <c r="C171" s="19" t="n">
        <f aca="true">MAX(0.25,NORMINV(RAND(),$B$7,$C$7))</f>
        <v>0.509592035578786</v>
      </c>
      <c r="D171" s="32" t="n">
        <f aca="true">MAX(0.07,NORMINV(RAND(),$B$8,$C$8))</f>
        <v>0.101590878076542</v>
      </c>
      <c r="E171" s="51" t="n">
        <f aca="true">MAX(8,NORMINV(RAND(),$B$9,$C$9))</f>
        <v>16.8397541584119</v>
      </c>
      <c r="F171" s="24" t="n">
        <f aca="false">$B$18*(1+(B171+$B$17)/2)^9</f>
        <v>20965.3946529466</v>
      </c>
      <c r="G171" s="24" t="n">
        <f aca="false">F171*C171</f>
        <v>10683.7981379076</v>
      </c>
      <c r="H171" s="24" t="n">
        <f aca="false">E171*G171/(1+D171)^9</f>
        <v>75314.4730243364</v>
      </c>
      <c r="I171" s="24" t="n">
        <f aca="false">$B$13*G171/$B$12*((1+$B$8)/(1+D171))^4.5</f>
        <v>27000.818814165</v>
      </c>
      <c r="J171" s="24" t="n">
        <f aca="false">H171+I171-$B$14</f>
        <v>94877.6910850767</v>
      </c>
      <c r="K171" s="43" t="n">
        <f aca="false">J171/$B$15</f>
        <v>495.186279149669</v>
      </c>
    </row>
    <row r="172" customFormat="false" ht="15" hidden="false" customHeight="false" outlineLevel="0" collapsed="false">
      <c r="A172" s="50" t="n">
        <v>132</v>
      </c>
      <c r="B172" s="19" t="n">
        <f aca="true">NORMINV(RAND(),$B$6,$C$6)</f>
        <v>0.145360202053816</v>
      </c>
      <c r="C172" s="19" t="n">
        <f aca="true">MAX(0.25,NORMINV(RAND(),$B$7,$C$7))</f>
        <v>0.457790945392142</v>
      </c>
      <c r="D172" s="32" t="n">
        <f aca="true">MAX(0.07,NORMINV(RAND(),$B$8,$C$8))</f>
        <v>0.102683166313391</v>
      </c>
      <c r="E172" s="51" t="n">
        <f aca="true">MAX(8,NORMINV(RAND(),$B$9,$C$9))</f>
        <v>22.7540993747778</v>
      </c>
      <c r="F172" s="24" t="n">
        <f aca="false">$B$18*(1+(B172+$B$17)/2)^9</f>
        <v>23294.1943524954</v>
      </c>
      <c r="G172" s="24" t="n">
        <f aca="false">F172*C172</f>
        <v>10663.8712547771</v>
      </c>
      <c r="H172" s="24" t="n">
        <f aca="false">E172*G172/(1+D172)^9</f>
        <v>100674.119961146</v>
      </c>
      <c r="I172" s="24" t="n">
        <f aca="false">$B$13*G172/$B$12*((1+$B$8)/(1+D172))^4.5</f>
        <v>26830.5325345188</v>
      </c>
      <c r="J172" s="24" t="n">
        <f aca="false">H172+I172-$B$14</f>
        <v>120067.05174224</v>
      </c>
      <c r="K172" s="43" t="n">
        <f aca="false">J172/$B$15</f>
        <v>626.654758571189</v>
      </c>
    </row>
    <row r="173" customFormat="false" ht="15" hidden="false" customHeight="false" outlineLevel="0" collapsed="false">
      <c r="A173" s="50" t="n">
        <v>133</v>
      </c>
      <c r="B173" s="19" t="n">
        <f aca="true">NORMINV(RAND(),$B$6,$C$6)</f>
        <v>0.0898019843204774</v>
      </c>
      <c r="C173" s="19" t="n">
        <f aca="true">MAX(0.25,NORMINV(RAND(),$B$7,$C$7))</f>
        <v>0.472469966675362</v>
      </c>
      <c r="D173" s="32" t="n">
        <f aca="true">MAX(0.07,NORMINV(RAND(),$B$8,$C$8))</f>
        <v>0.0972272040277292</v>
      </c>
      <c r="E173" s="51" t="n">
        <f aca="true">MAX(8,NORMINV(RAND(),$B$9,$C$9))</f>
        <v>15.105286882969</v>
      </c>
      <c r="F173" s="24" t="n">
        <f aca="false">$B$18*(1+(B173+$B$17)/2)^9</f>
        <v>18514.757667886</v>
      </c>
      <c r="G173" s="24" t="n">
        <f aca="false">F173*C173</f>
        <v>8747.66693834848</v>
      </c>
      <c r="H173" s="24" t="n">
        <f aca="false">E173*G173/(1+D173)^9</f>
        <v>57326.0630052652</v>
      </c>
      <c r="I173" s="24" t="n">
        <f aca="false">$B$13*G173/$B$12*((1+$B$8)/(1+D173))^4.5</f>
        <v>22506.1101109983</v>
      </c>
      <c r="J173" s="24" t="n">
        <f aca="false">H173+I173-$B$14</f>
        <v>72394.5723628388</v>
      </c>
      <c r="K173" s="43" t="n">
        <f aca="false">J173/$B$15</f>
        <v>377.84223571419</v>
      </c>
    </row>
    <row r="174" customFormat="false" ht="15" hidden="false" customHeight="false" outlineLevel="0" collapsed="false">
      <c r="A174" s="50" t="n">
        <v>134</v>
      </c>
      <c r="B174" s="19" t="n">
        <f aca="true">NORMINV(RAND(),$B$6,$C$6)</f>
        <v>0.123073726141046</v>
      </c>
      <c r="C174" s="19" t="n">
        <f aca="true">MAX(0.25,NORMINV(RAND(),$B$7,$C$7))</f>
        <v>0.490325833954622</v>
      </c>
      <c r="D174" s="32" t="n">
        <f aca="true">MAX(0.07,NORMINV(RAND(),$B$8,$C$8))</f>
        <v>0.0954772038606572</v>
      </c>
      <c r="E174" s="51" t="n">
        <f aca="true">MAX(8,NORMINV(RAND(),$B$9,$C$9))</f>
        <v>17.3368019309202</v>
      </c>
      <c r="F174" s="24" t="n">
        <f aca="false">$B$18*(1+(B174+$B$17)/2)^9</f>
        <v>21259.2296232847</v>
      </c>
      <c r="G174" s="24" t="n">
        <f aca="false">F174*C174</f>
        <v>10423.9494942699</v>
      </c>
      <c r="H174" s="24" t="n">
        <f aca="false">E174*G174/(1+D174)^9</f>
        <v>79537.3623116951</v>
      </c>
      <c r="I174" s="24" t="n">
        <f aca="false">$B$13*G174/$B$12*((1+$B$8)/(1+D174))^4.5</f>
        <v>27012.2025779535</v>
      </c>
      <c r="J174" s="24" t="n">
        <f aca="false">H174+I174-$B$14</f>
        <v>99111.964136224</v>
      </c>
      <c r="K174" s="43" t="n">
        <f aca="false">J174/$B$15</f>
        <v>517.285825345637</v>
      </c>
    </row>
    <row r="175" customFormat="false" ht="15" hidden="false" customHeight="false" outlineLevel="0" collapsed="false">
      <c r="A175" s="50" t="n">
        <v>135</v>
      </c>
      <c r="B175" s="19" t="n">
        <f aca="true">NORMINV(RAND(),$B$6,$C$6)</f>
        <v>0.113757559101873</v>
      </c>
      <c r="C175" s="19" t="n">
        <f aca="true">MAX(0.25,NORMINV(RAND(),$B$7,$C$7))</f>
        <v>0.46404605927171</v>
      </c>
      <c r="D175" s="32" t="n">
        <f aca="true">MAX(0.07,NORMINV(RAND(),$B$8,$C$8))</f>
        <v>0.0946921706365344</v>
      </c>
      <c r="E175" s="51" t="n">
        <f aca="true">MAX(8,NORMINV(RAND(),$B$9,$C$9))</f>
        <v>17.9655609687268</v>
      </c>
      <c r="F175" s="24" t="n">
        <f aca="false">$B$18*(1+(B175+$B$17)/2)^9</f>
        <v>20456.5242282048</v>
      </c>
      <c r="G175" s="24" t="n">
        <f aca="false">F175*C175</f>
        <v>9492.76945449468</v>
      </c>
      <c r="H175" s="24" t="n">
        <f aca="false">E175*G175/(1+D175)^9</f>
        <v>75544.9795980627</v>
      </c>
      <c r="I175" s="24" t="n">
        <f aca="false">$B$13*G175/$B$12*((1+$B$8)/(1+D175))^4.5</f>
        <v>24678.6631421407</v>
      </c>
      <c r="J175" s="24" t="n">
        <f aca="false">H175+I175-$B$14</f>
        <v>92786.0419867787</v>
      </c>
      <c r="K175" s="43" t="n">
        <f aca="false">J175/$B$15</f>
        <v>484.269530202394</v>
      </c>
    </row>
    <row r="176" customFormat="false" ht="15" hidden="false" customHeight="false" outlineLevel="0" collapsed="false">
      <c r="A176" s="50" t="n">
        <v>136</v>
      </c>
      <c r="B176" s="19" t="n">
        <f aca="true">NORMINV(RAND(),$B$6,$C$6)</f>
        <v>0.0516602635297262</v>
      </c>
      <c r="C176" s="19" t="n">
        <f aca="true">MAX(0.25,NORMINV(RAND(),$B$7,$C$7))</f>
        <v>0.496750968636664</v>
      </c>
      <c r="D176" s="32" t="n">
        <f aca="true">MAX(0.07,NORMINV(RAND(),$B$8,$C$8))</f>
        <v>0.0931564403772522</v>
      </c>
      <c r="E176" s="51" t="n">
        <f aca="true">MAX(8,NORMINV(RAND(),$B$9,$C$9))</f>
        <v>22.8832480617701</v>
      </c>
      <c r="F176" s="24" t="n">
        <f aca="false">$B$18*(1+(B176+$B$17)/2)^9</f>
        <v>15759.7137803928</v>
      </c>
      <c r="G176" s="24" t="n">
        <f aca="false">F176*C176</f>
        <v>7828.65308584672</v>
      </c>
      <c r="H176" s="24" t="n">
        <f aca="false">E176*G176/(1+D176)^9</f>
        <v>80364.4278010178</v>
      </c>
      <c r="I176" s="24" t="n">
        <f aca="false">$B$13*G176/$B$12*((1+$B$8)/(1+D176))^4.5</f>
        <v>20481.3872356535</v>
      </c>
      <c r="J176" s="24" t="n">
        <f aca="false">H176+I176-$B$14</f>
        <v>93408.2142832467</v>
      </c>
      <c r="K176" s="43" t="n">
        <f aca="false">J176/$B$15</f>
        <v>487.516776008594</v>
      </c>
    </row>
    <row r="177" customFormat="false" ht="15" hidden="false" customHeight="false" outlineLevel="0" collapsed="false">
      <c r="A177" s="50" t="n">
        <v>137</v>
      </c>
      <c r="B177" s="19" t="n">
        <f aca="true">NORMINV(RAND(),$B$6,$C$6)</f>
        <v>0.0929995542811475</v>
      </c>
      <c r="C177" s="19" t="n">
        <f aca="true">MAX(0.25,NORMINV(RAND(),$B$7,$C$7))</f>
        <v>0.474946240604391</v>
      </c>
      <c r="D177" s="32" t="n">
        <f aca="true">MAX(0.07,NORMINV(RAND(),$B$8,$C$8))</f>
        <v>0.102156406552663</v>
      </c>
      <c r="E177" s="51" t="n">
        <f aca="true">MAX(8,NORMINV(RAND(),$B$9,$C$9))</f>
        <v>13.413974925921</v>
      </c>
      <c r="F177" s="24" t="n">
        <f aca="false">$B$18*(1+(B177+$B$17)/2)^9</f>
        <v>18764.0834886219</v>
      </c>
      <c r="G177" s="24" t="n">
        <f aca="false">F177*C177</f>
        <v>8911.93091130791</v>
      </c>
      <c r="H177" s="24" t="n">
        <f aca="false">E177*G177/(1+D177)^9</f>
        <v>49812.7176454634</v>
      </c>
      <c r="I177" s="24" t="n">
        <f aca="false">$B$13*G177/$B$12*((1+$B$8)/(1+D177))^4.5</f>
        <v>22470.8773301606</v>
      </c>
      <c r="J177" s="24" t="n">
        <f aca="false">H177+I177-$B$14</f>
        <v>64845.9942221994</v>
      </c>
      <c r="K177" s="43" t="n">
        <f aca="false">J177/$B$15</f>
        <v>338.44464625365</v>
      </c>
    </row>
    <row r="178" customFormat="false" ht="15" hidden="false" customHeight="false" outlineLevel="0" collapsed="false">
      <c r="A178" s="50" t="n">
        <v>138</v>
      </c>
      <c r="B178" s="19" t="n">
        <f aca="true">NORMINV(RAND(),$B$6,$C$6)</f>
        <v>0.0974908312115956</v>
      </c>
      <c r="C178" s="19" t="n">
        <f aca="true">MAX(0.25,NORMINV(RAND(),$B$7,$C$7))</f>
        <v>0.498937972205515</v>
      </c>
      <c r="D178" s="32" t="n">
        <f aca="true">MAX(0.07,NORMINV(RAND(),$B$8,$C$8))</f>
        <v>0.0954190196973618</v>
      </c>
      <c r="E178" s="51" t="n">
        <f aca="true">MAX(8,NORMINV(RAND(),$B$9,$C$9))</f>
        <v>12.931865892216</v>
      </c>
      <c r="F178" s="24" t="n">
        <f aca="false">$B$18*(1+(B178+$B$17)/2)^9</f>
        <v>19119.3237020409</v>
      </c>
      <c r="G178" s="24" t="n">
        <f aca="false">F178*C178</f>
        <v>9539.35659783715</v>
      </c>
      <c r="H178" s="24" t="n">
        <f aca="false">E178*G178/(1+D178)^9</f>
        <v>54319.7522360013</v>
      </c>
      <c r="I178" s="24" t="n">
        <f aca="false">$B$13*G178/$B$12*((1+$B$8)/(1+D178))^4.5</f>
        <v>24725.8133386868</v>
      </c>
      <c r="J178" s="24" t="n">
        <f aca="false">H178+I178-$B$14</f>
        <v>71607.9648212634</v>
      </c>
      <c r="K178" s="43" t="n">
        <f aca="false">J178/$B$15</f>
        <v>373.736768378202</v>
      </c>
    </row>
    <row r="179" customFormat="false" ht="15" hidden="false" customHeight="false" outlineLevel="0" collapsed="false">
      <c r="A179" s="50" t="n">
        <v>139</v>
      </c>
      <c r="B179" s="19" t="n">
        <f aca="true">NORMINV(RAND(),$B$6,$C$6)</f>
        <v>0.0684356965089423</v>
      </c>
      <c r="C179" s="19" t="n">
        <f aca="true">MAX(0.25,NORMINV(RAND(),$B$7,$C$7))</f>
        <v>0.495539057451447</v>
      </c>
      <c r="D179" s="32" t="n">
        <f aca="true">MAX(0.07,NORMINV(RAND(),$B$8,$C$8))</f>
        <v>0.0971203253686302</v>
      </c>
      <c r="E179" s="51" t="n">
        <f aca="true">MAX(8,NORMINV(RAND(),$B$9,$C$9))</f>
        <v>21.2256925883365</v>
      </c>
      <c r="F179" s="24" t="n">
        <f aca="false">$B$18*(1+(B179+$B$17)/2)^9</f>
        <v>16922.9746204975</v>
      </c>
      <c r="G179" s="24" t="n">
        <f aca="false">F179*C179</f>
        <v>8385.9948927161</v>
      </c>
      <c r="H179" s="24" t="n">
        <f aca="false">E179*G179/(1+D179)^9</f>
        <v>77290.8556800902</v>
      </c>
      <c r="I179" s="24" t="n">
        <f aca="false">$B$13*G179/$B$12*((1+$B$8)/(1+D179))^4.5</f>
        <v>21585.0555059471</v>
      </c>
      <c r="J179" s="24" t="n">
        <f aca="false">H179+I179-$B$14</f>
        <v>91438.3104326127</v>
      </c>
      <c r="K179" s="43" t="n">
        <f aca="false">J179/$B$15</f>
        <v>477.235440671256</v>
      </c>
    </row>
    <row r="180" customFormat="false" ht="15" hidden="false" customHeight="false" outlineLevel="0" collapsed="false">
      <c r="A180" s="50" t="n">
        <v>140</v>
      </c>
      <c r="B180" s="19" t="n">
        <f aca="true">NORMINV(RAND(),$B$6,$C$6)</f>
        <v>0.127869373691267</v>
      </c>
      <c r="C180" s="19" t="n">
        <f aca="true">MAX(0.25,NORMINV(RAND(),$B$7,$C$7))</f>
        <v>0.463825251927823</v>
      </c>
      <c r="D180" s="32" t="n">
        <f aca="true">MAX(0.07,NORMINV(RAND(),$B$8,$C$8))</f>
        <v>0.109038185403099</v>
      </c>
      <c r="E180" s="51" t="n">
        <f aca="true">MAX(8,NORMINV(RAND(),$B$9,$C$9))</f>
        <v>17.8236237008994</v>
      </c>
      <c r="F180" s="24" t="n">
        <f aca="false">$B$18*(1+(B180+$B$17)/2)^9</f>
        <v>21683.2510492797</v>
      </c>
      <c r="G180" s="24" t="n">
        <f aca="false">F180*C180</f>
        <v>10057.2393805464</v>
      </c>
      <c r="H180" s="24" t="n">
        <f aca="false">E180*G180/(1+D180)^9</f>
        <v>70624.6478043097</v>
      </c>
      <c r="I180" s="24" t="n">
        <f aca="false">$B$13*G180/$B$12*((1+$B$8)/(1+D180))^4.5</f>
        <v>24658.2521459091</v>
      </c>
      <c r="J180" s="24" t="n">
        <f aca="false">H180+I180-$B$14</f>
        <v>87845.2991967941</v>
      </c>
      <c r="K180" s="43" t="n">
        <f aca="false">J180/$B$15</f>
        <v>458.482772425857</v>
      </c>
    </row>
    <row r="181" customFormat="false" ht="15" hidden="false" customHeight="false" outlineLevel="0" collapsed="false">
      <c r="A181" s="50" t="n">
        <v>141</v>
      </c>
      <c r="B181" s="19" t="n">
        <f aca="true">NORMINV(RAND(),$B$6,$C$6)</f>
        <v>0.0624530169264043</v>
      </c>
      <c r="C181" s="19" t="n">
        <f aca="true">MAX(0.25,NORMINV(RAND(),$B$7,$C$7))</f>
        <v>0.440761623256385</v>
      </c>
      <c r="D181" s="32" t="n">
        <f aca="true">MAX(0.07,NORMINV(RAND(),$B$8,$C$8))</f>
        <v>0.112970611498203</v>
      </c>
      <c r="E181" s="51" t="n">
        <f aca="true">MAX(8,NORMINV(RAND(),$B$9,$C$9))</f>
        <v>14.2692671531833</v>
      </c>
      <c r="F181" s="24" t="n">
        <f aca="false">$B$18*(1+(B181+$B$17)/2)^9</f>
        <v>16499.6474948957</v>
      </c>
      <c r="G181" s="24" t="n">
        <f aca="false">F181*C181</f>
        <v>7272.41141300836</v>
      </c>
      <c r="H181" s="24" t="n">
        <f aca="false">E181*G181/(1+D181)^9</f>
        <v>39602.886221706</v>
      </c>
      <c r="I181" s="24" t="n">
        <f aca="false">$B$13*G181/$B$12*((1+$B$8)/(1+D181))^4.5</f>
        <v>17548.6840418762</v>
      </c>
      <c r="J181" s="24" t="n">
        <f aca="false">H181+I181-$B$14</f>
        <v>49713.9695101575</v>
      </c>
      <c r="K181" s="43" t="n">
        <f aca="false">J181/$B$15</f>
        <v>259.467481785791</v>
      </c>
    </row>
    <row r="182" customFormat="false" ht="15" hidden="false" customHeight="false" outlineLevel="0" collapsed="false">
      <c r="A182" s="50" t="n">
        <v>142</v>
      </c>
      <c r="B182" s="19" t="n">
        <f aca="true">NORMINV(RAND(),$B$6,$C$6)</f>
        <v>0.113320983221524</v>
      </c>
      <c r="C182" s="19" t="n">
        <f aca="true">MAX(0.25,NORMINV(RAND(),$B$7,$C$7))</f>
        <v>0.506040219212396</v>
      </c>
      <c r="D182" s="32" t="n">
        <f aca="true">MAX(0.07,NORMINV(RAND(),$B$8,$C$8))</f>
        <v>0.0925907117720571</v>
      </c>
      <c r="E182" s="51" t="n">
        <f aca="true">MAX(8,NORMINV(RAND(),$B$9,$C$9))</f>
        <v>19.2825195706331</v>
      </c>
      <c r="F182" s="24" t="n">
        <f aca="false">$B$18*(1+(B182+$B$17)/2)^9</f>
        <v>20419.5776589773</v>
      </c>
      <c r="G182" s="24" t="n">
        <f aca="false">F182*C182</f>
        <v>10333.1275547734</v>
      </c>
      <c r="H182" s="24" t="n">
        <f aca="false">E182*G182/(1+D182)^9</f>
        <v>89800.3508336286</v>
      </c>
      <c r="I182" s="24" t="n">
        <f aca="false">$B$13*G182/$B$12*((1+$B$8)/(1+D182))^4.5</f>
        <v>27096.6606160095</v>
      </c>
      <c r="J182" s="24" t="n">
        <f aca="false">H182+I182-$B$14</f>
        <v>109459.410696213</v>
      </c>
      <c r="K182" s="43" t="n">
        <f aca="false">J182/$B$15</f>
        <v>571.291287558525</v>
      </c>
    </row>
    <row r="183" customFormat="false" ht="15" hidden="false" customHeight="false" outlineLevel="0" collapsed="false">
      <c r="A183" s="50" t="n">
        <v>143</v>
      </c>
      <c r="B183" s="19" t="n">
        <f aca="true">NORMINV(RAND(),$B$6,$C$6)</f>
        <v>0.0966088862673364</v>
      </c>
      <c r="C183" s="19" t="n">
        <f aca="true">MAX(0.25,NORMINV(RAND(),$B$7,$C$7))</f>
        <v>0.475894057737841</v>
      </c>
      <c r="D183" s="32" t="n">
        <f aca="true">MAX(0.07,NORMINV(RAND(),$B$8,$C$8))</f>
        <v>0.0924619834313495</v>
      </c>
      <c r="E183" s="51" t="n">
        <f aca="true">MAX(8,NORMINV(RAND(),$B$9,$C$9))</f>
        <v>16.2218621459724</v>
      </c>
      <c r="F183" s="24" t="n">
        <f aca="false">$B$18*(1+(B183+$B$17)/2)^9</f>
        <v>19049.0977686332</v>
      </c>
      <c r="G183" s="24" t="n">
        <f aca="false">F183*C183</f>
        <v>9065.35243335972</v>
      </c>
      <c r="H183" s="24" t="n">
        <f aca="false">E183*G183/(1+D183)^9</f>
        <v>66348.0866476465</v>
      </c>
      <c r="I183" s="24" t="n">
        <f aca="false">$B$13*G183/$B$12*((1+$B$8)/(1+D183))^4.5</f>
        <v>23784.7693967894</v>
      </c>
      <c r="J183" s="24" t="n">
        <f aca="false">H183+I183-$B$14</f>
        <v>82695.2552910112</v>
      </c>
      <c r="K183" s="43" t="n">
        <f aca="false">J183/$B$15</f>
        <v>431.603628867491</v>
      </c>
    </row>
    <row r="184" customFormat="false" ht="15" hidden="false" customHeight="false" outlineLevel="0" collapsed="false">
      <c r="A184" s="50" t="n">
        <v>144</v>
      </c>
      <c r="B184" s="19" t="n">
        <f aca="true">NORMINV(RAND(),$B$6,$C$6)</f>
        <v>0.0715318676245702</v>
      </c>
      <c r="C184" s="19" t="n">
        <f aca="true">MAX(0.25,NORMINV(RAND(),$B$7,$C$7))</f>
        <v>0.497404169234242</v>
      </c>
      <c r="D184" s="32" t="n">
        <f aca="true">MAX(0.07,NORMINV(RAND(),$B$8,$C$8))</f>
        <v>0.0864032886547259</v>
      </c>
      <c r="E184" s="51" t="n">
        <f aca="true">MAX(8,NORMINV(RAND(),$B$9,$C$9))</f>
        <v>15.1680923467574</v>
      </c>
      <c r="F184" s="24" t="n">
        <f aca="false">$B$18*(1+(B184+$B$17)/2)^9</f>
        <v>17145.8242294149</v>
      </c>
      <c r="G184" s="24" t="n">
        <f aca="false">F184*C184</f>
        <v>8528.40445666843</v>
      </c>
      <c r="H184" s="24" t="n">
        <f aca="false">E184*G184/(1+D184)^9</f>
        <v>61359.1179891134</v>
      </c>
      <c r="I184" s="24" t="n">
        <f aca="false">$B$13*G184/$B$12*((1+$B$8)/(1+D184))^4.5</f>
        <v>22943.0270213654</v>
      </c>
      <c r="J184" s="24" t="n">
        <f aca="false">H184+I184-$B$14</f>
        <v>76864.5442570541</v>
      </c>
      <c r="K184" s="43" t="n">
        <f aca="false">J184/$B$15</f>
        <v>401.171942886504</v>
      </c>
    </row>
    <row r="185" customFormat="false" ht="15" hidden="false" customHeight="false" outlineLevel="0" collapsed="false">
      <c r="A185" s="50" t="n">
        <v>145</v>
      </c>
      <c r="B185" s="19" t="n">
        <f aca="true">NORMINV(RAND(),$B$6,$C$6)</f>
        <v>0.109273361478688</v>
      </c>
      <c r="C185" s="19" t="n">
        <f aca="true">MAX(0.25,NORMINV(RAND(),$B$7,$C$7))</f>
        <v>0.48388139663923</v>
      </c>
      <c r="D185" s="32" t="n">
        <f aca="true">MAX(0.07,NORMINV(RAND(),$B$8,$C$8))</f>
        <v>0.0956631728953962</v>
      </c>
      <c r="E185" s="51" t="n">
        <f aca="true">MAX(8,NORMINV(RAND(),$B$9,$C$9))</f>
        <v>18.4435282345436</v>
      </c>
      <c r="F185" s="24" t="n">
        <f aca="false">$B$18*(1+(B185+$B$17)/2)^9</f>
        <v>20079.8491580639</v>
      </c>
      <c r="G185" s="24" t="n">
        <f aca="false">F185*C185</f>
        <v>9716.26545490901</v>
      </c>
      <c r="H185" s="24" t="n">
        <f aca="false">E185*G185/(1+D185)^9</f>
        <v>78749.8609757982</v>
      </c>
      <c r="I185" s="24" t="n">
        <f aca="false">$B$13*G185/$B$12*((1+$B$8)/(1+D185))^4.5</f>
        <v>25159.1133361604</v>
      </c>
      <c r="J185" s="24" t="n">
        <f aca="false">H185+I185-$B$14</f>
        <v>96471.373558534</v>
      </c>
      <c r="K185" s="43" t="n">
        <f aca="false">J185/$B$15</f>
        <v>503.504037361868</v>
      </c>
    </row>
    <row r="186" customFormat="false" ht="15" hidden="false" customHeight="false" outlineLevel="0" collapsed="false">
      <c r="A186" s="50" t="n">
        <v>146</v>
      </c>
      <c r="B186" s="19" t="n">
        <f aca="true">NORMINV(RAND(),$B$6,$C$6)</f>
        <v>0.0989075833508607</v>
      </c>
      <c r="C186" s="19" t="n">
        <f aca="true">MAX(0.25,NORMINV(RAND(),$B$7,$C$7))</f>
        <v>0.473563210399601</v>
      </c>
      <c r="D186" s="32" t="n">
        <f aca="true">MAX(0.07,NORMINV(RAND(),$B$8,$C$8))</f>
        <v>0.0988247551069294</v>
      </c>
      <c r="E186" s="51" t="n">
        <f aca="true">MAX(8,NORMINV(RAND(),$B$9,$C$9))</f>
        <v>22.353352679928</v>
      </c>
      <c r="F186" s="24" t="n">
        <f aca="false">$B$18*(1+(B186+$B$17)/2)^9</f>
        <v>19232.6161471773</v>
      </c>
      <c r="G186" s="24" t="n">
        <f aca="false">F186*C186</f>
        <v>9107.8594470405</v>
      </c>
      <c r="H186" s="24" t="n">
        <f aca="false">E186*G186/(1+D186)^9</f>
        <v>87177.2320328794</v>
      </c>
      <c r="I186" s="24" t="n">
        <f aca="false">$B$13*G186/$B$12*((1+$B$8)/(1+D186))^4.5</f>
        <v>23279.9001361935</v>
      </c>
      <c r="J186" s="24" t="n">
        <f aca="false">H186+I186-$B$14</f>
        <v>103019.531415648</v>
      </c>
      <c r="K186" s="43" t="n">
        <f aca="false">J186/$B$15</f>
        <v>537.680226595241</v>
      </c>
    </row>
    <row r="187" customFormat="false" ht="15" hidden="false" customHeight="false" outlineLevel="0" collapsed="false">
      <c r="A187" s="50" t="n">
        <v>147</v>
      </c>
      <c r="B187" s="19" t="n">
        <f aca="true">NORMINV(RAND(),$B$6,$C$6)</f>
        <v>0.0670792545795052</v>
      </c>
      <c r="C187" s="19" t="n">
        <f aca="true">MAX(0.25,NORMINV(RAND(),$B$7,$C$7))</f>
        <v>0.457848268072642</v>
      </c>
      <c r="D187" s="32" t="n">
        <f aca="true">MAX(0.07,NORMINV(RAND(),$B$8,$C$8))</f>
        <v>0.0744949366517922</v>
      </c>
      <c r="E187" s="51" t="n">
        <f aca="true">MAX(8,NORMINV(RAND(),$B$9,$C$9))</f>
        <v>23.8493554299</v>
      </c>
      <c r="F187" s="24" t="n">
        <f aca="false">$B$18*(1+(B187+$B$17)/2)^9</f>
        <v>16826.1573076403</v>
      </c>
      <c r="G187" s="24" t="n">
        <f aca="false">F187*C187</f>
        <v>7703.82698162092</v>
      </c>
      <c r="H187" s="24" t="n">
        <f aca="false">E187*G187/(1+D187)^9</f>
        <v>96237.3834660803</v>
      </c>
      <c r="I187" s="24" t="n">
        <f aca="false">$B$13*G187/$B$12*((1+$B$8)/(1+D187))^4.5</f>
        <v>21778.5815732574</v>
      </c>
      <c r="J187" s="24" t="n">
        <f aca="false">H187+I187-$B$14</f>
        <v>110578.364285913</v>
      </c>
      <c r="K187" s="43" t="n">
        <f aca="false">J187/$B$15</f>
        <v>577.131337609149</v>
      </c>
    </row>
    <row r="188" customFormat="false" ht="15" hidden="false" customHeight="false" outlineLevel="0" collapsed="false">
      <c r="A188" s="50" t="n">
        <v>148</v>
      </c>
      <c r="B188" s="19" t="n">
        <f aca="true">NORMINV(RAND(),$B$6,$C$6)</f>
        <v>0.107932373928842</v>
      </c>
      <c r="C188" s="19" t="n">
        <f aca="true">MAX(0.25,NORMINV(RAND(),$B$7,$C$7))</f>
        <v>0.451703820115208</v>
      </c>
      <c r="D188" s="32" t="n">
        <f aca="true">MAX(0.07,NORMINV(RAND(),$B$8,$C$8))</f>
        <v>0.108171554758139</v>
      </c>
      <c r="E188" s="51" t="n">
        <f aca="true">MAX(8,NORMINV(RAND(),$B$9,$C$9))</f>
        <v>20.6217284496455</v>
      </c>
      <c r="F188" s="24" t="n">
        <f aca="false">$B$18*(1+(B188+$B$17)/2)^9</f>
        <v>19968.4095022832</v>
      </c>
      <c r="G188" s="24" t="n">
        <f aca="false">F188*C188</f>
        <v>9019.80685380615</v>
      </c>
      <c r="H188" s="24" t="n">
        <f aca="false">E188*G188/(1+D188)^9</f>
        <v>73800.5022672265</v>
      </c>
      <c r="I188" s="24" t="n">
        <f aca="false">$B$13*G188/$B$12*((1+$B$8)/(1+D188))^4.5</f>
        <v>22192.6158765554</v>
      </c>
      <c r="J188" s="24" t="n">
        <f aca="false">H188+I188-$B$14</f>
        <v>88555.5173903572</v>
      </c>
      <c r="K188" s="43" t="n">
        <f aca="false">J188/$B$15</f>
        <v>462.189547966374</v>
      </c>
    </row>
    <row r="189" customFormat="false" ht="15" hidden="false" customHeight="false" outlineLevel="0" collapsed="false">
      <c r="A189" s="50" t="n">
        <v>149</v>
      </c>
      <c r="B189" s="19" t="n">
        <f aca="true">NORMINV(RAND(),$B$6,$C$6)</f>
        <v>0.109429183367579</v>
      </c>
      <c r="C189" s="19" t="n">
        <f aca="true">MAX(0.25,NORMINV(RAND(),$B$7,$C$7))</f>
        <v>0.509377062069686</v>
      </c>
      <c r="D189" s="32" t="n">
        <f aca="true">MAX(0.07,NORMINV(RAND(),$B$8,$C$8))</f>
        <v>0.0956805678591376</v>
      </c>
      <c r="E189" s="51" t="n">
        <f aca="true">MAX(8,NORMINV(RAND(),$B$9,$C$9))</f>
        <v>16.4428355246125</v>
      </c>
      <c r="F189" s="24" t="n">
        <f aca="false">$B$18*(1+(B189+$B$17)/2)^9</f>
        <v>20092.8341571607</v>
      </c>
      <c r="G189" s="24" t="n">
        <f aca="false">F189*C189</f>
        <v>10234.8288316279</v>
      </c>
      <c r="H189" s="24" t="n">
        <f aca="false">E189*G189/(1+D189)^9</f>
        <v>73943.7823718682</v>
      </c>
      <c r="I189" s="24" t="n">
        <f aca="false">$B$13*G189/$B$12*((1+$B$8)/(1+D189))^4.5</f>
        <v>26499.978213072</v>
      </c>
      <c r="J189" s="24" t="n">
        <f aca="false">H189+I189-$B$14</f>
        <v>93006.1598315155</v>
      </c>
      <c r="K189" s="43" t="n">
        <f aca="false">J189/$B$15</f>
        <v>485.418370728161</v>
      </c>
    </row>
    <row r="190" customFormat="false" ht="15" hidden="false" customHeight="false" outlineLevel="0" collapsed="false">
      <c r="A190" s="50" t="n">
        <v>150</v>
      </c>
      <c r="B190" s="19" t="n">
        <f aca="true">NORMINV(RAND(),$B$6,$C$6)</f>
        <v>0.123518500314089</v>
      </c>
      <c r="C190" s="19" t="n">
        <f aca="true">MAX(0.25,NORMINV(RAND(),$B$7,$C$7))</f>
        <v>0.484816460244783</v>
      </c>
      <c r="D190" s="32" t="n">
        <f aca="true">MAX(0.07,NORMINV(RAND(),$B$8,$C$8))</f>
        <v>0.0972422268689169</v>
      </c>
      <c r="E190" s="51" t="n">
        <f aca="true">MAX(8,NORMINV(RAND(),$B$9,$C$9))</f>
        <v>16.2884643569059</v>
      </c>
      <c r="F190" s="24" t="n">
        <f aca="false">$B$18*(1+(B190+$B$17)/2)^9</f>
        <v>21298.2431438619</v>
      </c>
      <c r="G190" s="24" t="n">
        <f aca="false">F190*C190</f>
        <v>10325.7388504398</v>
      </c>
      <c r="H190" s="24" t="n">
        <f aca="false">E190*G190/(1+D190)^9</f>
        <v>72958.9647544667</v>
      </c>
      <c r="I190" s="24" t="n">
        <f aca="false">$B$13*G190/$B$12*((1+$B$8)/(1+D190))^4.5</f>
        <v>26564.5570965959</v>
      </c>
      <c r="J190" s="24" t="n">
        <f aca="false">H190+I190-$B$14</f>
        <v>92085.9210976379</v>
      </c>
      <c r="K190" s="43" t="n">
        <f aca="false">J190/$B$15</f>
        <v>480.615454580574</v>
      </c>
    </row>
    <row r="191" customFormat="false" ht="15" hidden="false" customHeight="false" outlineLevel="0" collapsed="false">
      <c r="A191" s="50" t="n">
        <v>151</v>
      </c>
      <c r="B191" s="19" t="n">
        <f aca="true">NORMINV(RAND(),$B$6,$C$6)</f>
        <v>0.144224043312889</v>
      </c>
      <c r="C191" s="19" t="n">
        <f aca="true">MAX(0.25,NORMINV(RAND(),$B$7,$C$7))</f>
        <v>0.451893379557535</v>
      </c>
      <c r="D191" s="32" t="n">
        <f aca="true">MAX(0.07,NORMINV(RAND(),$B$8,$C$8))</f>
        <v>0.0923470854343936</v>
      </c>
      <c r="E191" s="51" t="n">
        <f aca="true">MAX(8,NORMINV(RAND(),$B$9,$C$9))</f>
        <v>11.8189254813232</v>
      </c>
      <c r="F191" s="24" t="n">
        <f aca="false">$B$18*(1+(B191+$B$17)/2)^9</f>
        <v>23186.4102081074</v>
      </c>
      <c r="G191" s="24" t="n">
        <f aca="false">F191*C191</f>
        <v>10477.785268749</v>
      </c>
      <c r="H191" s="24" t="n">
        <f aca="false">E191*G191/(1+D191)^9</f>
        <v>55924.4343358443</v>
      </c>
      <c r="I191" s="24" t="n">
        <f aca="false">$B$13*G191/$B$12*((1+$B$8)/(1+D191))^4.5</f>
        <v>27503.5845995843</v>
      </c>
      <c r="J191" s="24" t="n">
        <f aca="false">H191+I191-$B$14</f>
        <v>75990.4181820039</v>
      </c>
      <c r="K191" s="43" t="n">
        <f aca="false">J191/$B$15</f>
        <v>396.609698235929</v>
      </c>
    </row>
    <row r="192" customFormat="false" ht="15" hidden="false" customHeight="false" outlineLevel="0" collapsed="false">
      <c r="A192" s="50" t="n">
        <v>152</v>
      </c>
      <c r="B192" s="19" t="n">
        <f aca="true">NORMINV(RAND(),$B$6,$C$6)</f>
        <v>0.103669483663794</v>
      </c>
      <c r="C192" s="19" t="n">
        <f aca="true">MAX(0.25,NORMINV(RAND(),$B$7,$C$7))</f>
        <v>0.405723394108727</v>
      </c>
      <c r="D192" s="32" t="n">
        <f aca="true">MAX(0.07,NORMINV(RAND(),$B$8,$C$8))</f>
        <v>0.0871557658511231</v>
      </c>
      <c r="E192" s="51" t="n">
        <f aca="true">MAX(8,NORMINV(RAND(),$B$9,$C$9))</f>
        <v>20.0205292356564</v>
      </c>
      <c r="F192" s="24" t="n">
        <f aca="false">$B$18*(1+(B192+$B$17)/2)^9</f>
        <v>19617.7942772567</v>
      </c>
      <c r="G192" s="24" t="n">
        <f aca="false">F192*C192</f>
        <v>7959.39807909534</v>
      </c>
      <c r="H192" s="24" t="n">
        <f aca="false">E192*G192/(1+D192)^9</f>
        <v>75115.5441837863</v>
      </c>
      <c r="I192" s="24" t="n">
        <f aca="false">$B$13*G192/$B$12*((1+$B$8)/(1+D192))^4.5</f>
        <v>21345.6800444334</v>
      </c>
      <c r="J192" s="24" t="n">
        <f aca="false">H192+I192-$B$14</f>
        <v>89023.623474795</v>
      </c>
      <c r="K192" s="43" t="n">
        <f aca="false">J192/$B$15</f>
        <v>464.632690369494</v>
      </c>
    </row>
    <row r="193" customFormat="false" ht="15" hidden="false" customHeight="false" outlineLevel="0" collapsed="false">
      <c r="A193" s="50" t="n">
        <v>153</v>
      </c>
      <c r="B193" s="19" t="n">
        <f aca="true">NORMINV(RAND(),$B$6,$C$6)</f>
        <v>0.10358942271749</v>
      </c>
      <c r="C193" s="19" t="n">
        <f aca="true">MAX(0.25,NORMINV(RAND(),$B$7,$C$7))</f>
        <v>0.508828301984643</v>
      </c>
      <c r="D193" s="32" t="n">
        <f aca="true">MAX(0.07,NORMINV(RAND(),$B$8,$C$8))</f>
        <v>0.100067151977714</v>
      </c>
      <c r="E193" s="51" t="n">
        <f aca="true">MAX(8,NORMINV(RAND(),$B$9,$C$9))</f>
        <v>15.4316292831915</v>
      </c>
      <c r="F193" s="24" t="n">
        <f aca="false">$B$18*(1+(B193+$B$17)/2)^9</f>
        <v>19611.2620963227</v>
      </c>
      <c r="G193" s="24" t="n">
        <f aca="false">F193*C193</f>
        <v>9978.76519224766</v>
      </c>
      <c r="H193" s="24" t="n">
        <f aca="false">E193*G193/(1+D193)^9</f>
        <v>65270.3307735442</v>
      </c>
      <c r="I193" s="24" t="n">
        <f aca="false">$B$13*G193/$B$12*((1+$B$8)/(1+D193))^4.5</f>
        <v>25376.5844525497</v>
      </c>
      <c r="J193" s="24" t="n">
        <f aca="false">H193+I193-$B$14</f>
        <v>83209.3144726692</v>
      </c>
      <c r="K193" s="43" t="n">
        <f aca="false">J193/$B$15</f>
        <v>434.286609982616</v>
      </c>
    </row>
    <row r="194" customFormat="false" ht="15" hidden="false" customHeight="false" outlineLevel="0" collapsed="false">
      <c r="A194" s="50" t="n">
        <v>154</v>
      </c>
      <c r="B194" s="19" t="n">
        <f aca="true">NORMINV(RAND(),$B$6,$C$6)</f>
        <v>0.107681957365326</v>
      </c>
      <c r="C194" s="19" t="n">
        <f aca="true">MAX(0.25,NORMINV(RAND(),$B$7,$C$7))</f>
        <v>0.476003823829873</v>
      </c>
      <c r="D194" s="32" t="n">
        <f aca="true">MAX(0.07,NORMINV(RAND(),$B$8,$C$8))</f>
        <v>0.104415511297482</v>
      </c>
      <c r="E194" s="51" t="n">
        <f aca="true">MAX(8,NORMINV(RAND(),$B$9,$C$9))</f>
        <v>18.2040743990677</v>
      </c>
      <c r="F194" s="24" t="n">
        <f aca="false">$B$18*(1+(B194+$B$17)/2)^9</f>
        <v>19947.6602404141</v>
      </c>
      <c r="G194" s="24" t="n">
        <f aca="false">F194*C194</f>
        <v>9495.16255089625</v>
      </c>
      <c r="H194" s="24" t="n">
        <f aca="false">E194*G194/(1+D194)^9</f>
        <v>70709.6239276273</v>
      </c>
      <c r="I194" s="24" t="n">
        <f aca="false">$B$13*G194/$B$12*((1+$B$8)/(1+D194))^4.5</f>
        <v>23721.8696499017</v>
      </c>
      <c r="J194" s="24" t="n">
        <f aca="false">H194+I194-$B$14</f>
        <v>86993.8928241043</v>
      </c>
      <c r="K194" s="43" t="n">
        <f aca="false">J194/$B$15</f>
        <v>454.039106597621</v>
      </c>
    </row>
    <row r="195" customFormat="false" ht="15" hidden="false" customHeight="false" outlineLevel="0" collapsed="false">
      <c r="A195" s="50" t="n">
        <v>155</v>
      </c>
      <c r="B195" s="19" t="n">
        <f aca="true">NORMINV(RAND(),$B$6,$C$6)</f>
        <v>0.0386325935670827</v>
      </c>
      <c r="C195" s="19" t="n">
        <f aca="true">MAX(0.25,NORMINV(RAND(),$B$7,$C$7))</f>
        <v>0.437226749319853</v>
      </c>
      <c r="D195" s="32" t="n">
        <f aca="true">MAX(0.07,NORMINV(RAND(),$B$8,$C$8))</f>
        <v>0.0907910787479193</v>
      </c>
      <c r="E195" s="51" t="n">
        <f aca="true">MAX(8,NORMINV(RAND(),$B$9,$C$9))</f>
        <v>21.0634285172808</v>
      </c>
      <c r="F195" s="24" t="n">
        <f aca="false">$B$18*(1+(B195+$B$17)/2)^9</f>
        <v>14905.9485990366</v>
      </c>
      <c r="G195" s="24" t="n">
        <f aca="false">F195*C195</f>
        <v>6517.27945148559</v>
      </c>
      <c r="H195" s="24" t="n">
        <f aca="false">E195*G195/(1+D195)^9</f>
        <v>62794.4427272121</v>
      </c>
      <c r="I195" s="24" t="n">
        <f aca="false">$B$13*G195/$B$12*((1+$B$8)/(1+D195))^4.5</f>
        <v>17217.5754860233</v>
      </c>
      <c r="J195" s="24" t="n">
        <f aca="false">H195+I195-$B$14</f>
        <v>72574.4174598107</v>
      </c>
      <c r="K195" s="43" t="n">
        <f aca="false">J195/$B$15</f>
        <v>378.780884445776</v>
      </c>
    </row>
    <row r="196" customFormat="false" ht="15" hidden="false" customHeight="false" outlineLevel="0" collapsed="false">
      <c r="A196" s="50" t="n">
        <v>156</v>
      </c>
      <c r="B196" s="19" t="n">
        <f aca="true">NORMINV(RAND(),$B$6,$C$6)</f>
        <v>0.0633184661035402</v>
      </c>
      <c r="C196" s="19" t="n">
        <f aca="true">MAX(0.25,NORMINV(RAND(),$B$7,$C$7))</f>
        <v>0.449544730492812</v>
      </c>
      <c r="D196" s="32" t="n">
        <f aca="true">MAX(0.07,NORMINV(RAND(),$B$8,$C$8))</f>
        <v>0.086614269334256</v>
      </c>
      <c r="E196" s="51" t="n">
        <f aca="true">MAX(8,NORMINV(RAND(),$B$9,$C$9))</f>
        <v>15.9807293270375</v>
      </c>
      <c r="F196" s="24" t="n">
        <f aca="false">$B$18*(1+(B196+$B$17)/2)^9</f>
        <v>16560.2972575015</v>
      </c>
      <c r="G196" s="24" t="n">
        <f aca="false">F196*C196</f>
        <v>7444.59436750436</v>
      </c>
      <c r="H196" s="24" t="n">
        <f aca="false">E196*G196/(1+D196)^9</f>
        <v>56332.4967617645</v>
      </c>
      <c r="I196" s="24" t="n">
        <f aca="false">$B$13*G196/$B$12*((1+$B$8)/(1+D196))^4.5</f>
        <v>20009.8794571932</v>
      </c>
      <c r="J196" s="24" t="n">
        <f aca="false">H196+I196-$B$14</f>
        <v>68904.775465533</v>
      </c>
      <c r="K196" s="43" t="n">
        <f aca="false">J196/$B$15</f>
        <v>359.628264433888</v>
      </c>
    </row>
    <row r="197" customFormat="false" ht="15" hidden="false" customHeight="false" outlineLevel="0" collapsed="false">
      <c r="A197" s="50" t="n">
        <v>157</v>
      </c>
      <c r="B197" s="19" t="n">
        <f aca="true">NORMINV(RAND(),$B$6,$C$6)</f>
        <v>0.0935579632426316</v>
      </c>
      <c r="C197" s="19" t="n">
        <f aca="true">MAX(0.25,NORMINV(RAND(),$B$7,$C$7))</f>
        <v>0.524300338794603</v>
      </c>
      <c r="D197" s="32" t="n">
        <f aca="true">MAX(0.07,NORMINV(RAND(),$B$8,$C$8))</f>
        <v>0.102375026326358</v>
      </c>
      <c r="E197" s="51" t="n">
        <f aca="true">MAX(8,NORMINV(RAND(),$B$9,$C$9))</f>
        <v>16.0801081400439</v>
      </c>
      <c r="F197" s="24" t="n">
        <f aca="false">$B$18*(1+(B197+$B$17)/2)^9</f>
        <v>18807.929380092</v>
      </c>
      <c r="G197" s="24" t="n">
        <f aca="false">F197*C197</f>
        <v>9861.00374600723</v>
      </c>
      <c r="H197" s="24" t="n">
        <f aca="false">E197*G197/(1+D197)^9</f>
        <v>65954.706950473</v>
      </c>
      <c r="I197" s="24" t="n">
        <f aca="false">$B$13*G197/$B$12*((1+$B$8)/(1+D197))^4.5</f>
        <v>24841.7237075921</v>
      </c>
      <c r="J197" s="24" t="n">
        <f aca="false">H197+I197-$B$14</f>
        <v>83358.8299046404</v>
      </c>
      <c r="K197" s="43" t="n">
        <f aca="false">J197/$B$15</f>
        <v>435.066961924011</v>
      </c>
    </row>
    <row r="198" customFormat="false" ht="15" hidden="false" customHeight="false" outlineLevel="0" collapsed="false">
      <c r="A198" s="50" t="n">
        <v>158</v>
      </c>
      <c r="B198" s="19" t="n">
        <f aca="true">NORMINV(RAND(),$B$6,$C$6)</f>
        <v>0.0880362063173183</v>
      </c>
      <c r="C198" s="19" t="n">
        <f aca="true">MAX(0.25,NORMINV(RAND(),$B$7,$C$7))</f>
        <v>0.439278913553113</v>
      </c>
      <c r="D198" s="32" t="n">
        <f aca="true">MAX(0.07,NORMINV(RAND(),$B$8,$C$8))</f>
        <v>0.106360194641457</v>
      </c>
      <c r="E198" s="51" t="n">
        <f aca="true">MAX(8,NORMINV(RAND(),$B$9,$C$9))</f>
        <v>20.8436360290547</v>
      </c>
      <c r="F198" s="24" t="n">
        <f aca="false">$B$18*(1+(B198+$B$17)/2)^9</f>
        <v>18378.339656697</v>
      </c>
      <c r="G198" s="24" t="n">
        <f aca="false">F198*C198</f>
        <v>8073.21707730395</v>
      </c>
      <c r="H198" s="24" t="n">
        <f aca="false">E198*G198/(1+D198)^9</f>
        <v>67756.5418919235</v>
      </c>
      <c r="I198" s="24" t="n">
        <f aca="false">$B$13*G198/$B$12*((1+$B$8)/(1+D198))^4.5</f>
        <v>20010.3618137861</v>
      </c>
      <c r="J198" s="24" t="n">
        <f aca="false">H198+I198-$B$14</f>
        <v>80329.302952285</v>
      </c>
      <c r="K198" s="43" t="n">
        <f aca="false">J198/$B$15</f>
        <v>419.255234615266</v>
      </c>
    </row>
    <row r="199" customFormat="false" ht="15" hidden="false" customHeight="false" outlineLevel="0" collapsed="false">
      <c r="A199" s="50" t="n">
        <v>159</v>
      </c>
      <c r="B199" s="19" t="n">
        <f aca="true">NORMINV(RAND(),$B$6,$C$6)</f>
        <v>0.0458569477191596</v>
      </c>
      <c r="C199" s="19" t="n">
        <f aca="true">MAX(0.25,NORMINV(RAND(),$B$7,$C$7))</f>
        <v>0.500172834317758</v>
      </c>
      <c r="D199" s="32" t="n">
        <f aca="true">MAX(0.07,NORMINV(RAND(),$B$8,$C$8))</f>
        <v>0.0904021214187791</v>
      </c>
      <c r="E199" s="51" t="n">
        <f aca="true">MAX(8,NORMINV(RAND(),$B$9,$C$9))</f>
        <v>20.5015083059392</v>
      </c>
      <c r="F199" s="24" t="n">
        <f aca="false">$B$18*(1+(B199+$B$17)/2)^9</f>
        <v>15374.170418701</v>
      </c>
      <c r="G199" s="24" t="n">
        <f aca="false">F199*C199</f>
        <v>7689.74239360588</v>
      </c>
      <c r="H199" s="24" t="n">
        <f aca="false">E199*G199/(1+D199)^9</f>
        <v>72346.4815512742</v>
      </c>
      <c r="I199" s="24" t="n">
        <f aca="false">$B$13*G199/$B$12*((1+$B$8)/(1+D199))^4.5</f>
        <v>20347.6588017149</v>
      </c>
      <c r="J199" s="24" t="n">
        <f aca="false">H199+I199-$B$14</f>
        <v>85256.5395995644</v>
      </c>
      <c r="K199" s="43" t="n">
        <f aca="false">J199/$B$15</f>
        <v>444.971501041568</v>
      </c>
    </row>
    <row r="200" customFormat="false" ht="15" hidden="false" customHeight="false" outlineLevel="0" collapsed="false">
      <c r="A200" s="50" t="n">
        <v>160</v>
      </c>
      <c r="B200" s="19" t="n">
        <f aca="true">NORMINV(RAND(),$B$6,$C$6)</f>
        <v>0.10815744292867</v>
      </c>
      <c r="C200" s="19" t="n">
        <f aca="true">MAX(0.25,NORMINV(RAND(),$B$7,$C$7))</f>
        <v>0.463595334052298</v>
      </c>
      <c r="D200" s="32" t="n">
        <f aca="true">MAX(0.07,NORMINV(RAND(),$B$8,$C$8))</f>
        <v>0.101908786185236</v>
      </c>
      <c r="E200" s="51" t="n">
        <f aca="true">MAX(8,NORMINV(RAND(),$B$9,$C$9))</f>
        <v>18.3408141010254</v>
      </c>
      <c r="F200" s="24" t="n">
        <f aca="false">$B$18*(1+(B200+$B$17)/2)^9</f>
        <v>19987.0748587976</v>
      </c>
      <c r="G200" s="24" t="n">
        <f aca="false">F200*C200</f>
        <v>9265.91464589258</v>
      </c>
      <c r="H200" s="24" t="n">
        <f aca="false">E200*G200/(1+D200)^9</f>
        <v>70957.1380486905</v>
      </c>
      <c r="I200" s="24" t="n">
        <f aca="false">$B$13*G200/$B$12*((1+$B$8)/(1+D200))^4.5</f>
        <v>23387.0604822232</v>
      </c>
      <c r="J200" s="24" t="n">
        <f aca="false">H200+I200-$B$14</f>
        <v>86906.597777489</v>
      </c>
      <c r="K200" s="43" t="n">
        <f aca="false">J200/$B$15</f>
        <v>453.583495707145</v>
      </c>
    </row>
    <row r="201" customFormat="false" ht="15" hidden="false" customHeight="false" outlineLevel="0" collapsed="false">
      <c r="A201" s="50" t="n">
        <v>161</v>
      </c>
      <c r="B201" s="19" t="n">
        <f aca="true">NORMINV(RAND(),$B$6,$C$6)</f>
        <v>0.122043849663845</v>
      </c>
      <c r="C201" s="19" t="n">
        <f aca="true">MAX(0.25,NORMINV(RAND(),$B$7,$C$7))</f>
        <v>0.429640241690859</v>
      </c>
      <c r="D201" s="32" t="n">
        <f aca="true">MAX(0.07,NORMINV(RAND(),$B$8,$C$8))</f>
        <v>0.10257177640104</v>
      </c>
      <c r="E201" s="51" t="n">
        <f aca="true">MAX(8,NORMINV(RAND(),$B$9,$C$9))</f>
        <v>16.7181122356065</v>
      </c>
      <c r="F201" s="24" t="n">
        <f aca="false">$B$18*(1+(B201+$B$17)/2)^9</f>
        <v>21169.1373855038</v>
      </c>
      <c r="G201" s="24" t="n">
        <f aca="false">F201*C201</f>
        <v>9095.11330269485</v>
      </c>
      <c r="H201" s="24" t="n">
        <f aca="false">E201*G201/(1+D201)^9</f>
        <v>63144.2063617614</v>
      </c>
      <c r="I201" s="24" t="n">
        <f aca="false">$B$13*G201/$B$12*((1+$B$8)/(1+D201))^4.5</f>
        <v>22893.9085391562</v>
      </c>
      <c r="J201" s="24" t="n">
        <f aca="false">H201+I201-$B$14</f>
        <v>78600.5141474929</v>
      </c>
      <c r="K201" s="43" t="n">
        <f aca="false">J201/$B$15</f>
        <v>410.232328535976</v>
      </c>
    </row>
    <row r="202" customFormat="false" ht="15" hidden="false" customHeight="false" outlineLevel="0" collapsed="false">
      <c r="A202" s="50" t="n">
        <v>162</v>
      </c>
      <c r="B202" s="19" t="n">
        <f aca="true">NORMINV(RAND(),$B$6,$C$6)</f>
        <v>0.172724819334958</v>
      </c>
      <c r="C202" s="19" t="n">
        <f aca="true">MAX(0.25,NORMINV(RAND(),$B$7,$C$7))</f>
        <v>0.472598710263006</v>
      </c>
      <c r="D202" s="32" t="n">
        <f aca="true">MAX(0.07,NORMINV(RAND(),$B$8,$C$8))</f>
        <v>0.0895960465028981</v>
      </c>
      <c r="E202" s="51" t="n">
        <f aca="true">MAX(8,NORMINV(RAND(),$B$9,$C$9))</f>
        <v>19.3046338322397</v>
      </c>
      <c r="F202" s="24" t="n">
        <f aca="false">$B$18*(1+(B202+$B$17)/2)^9</f>
        <v>26028.4734749484</v>
      </c>
      <c r="G202" s="24" t="n">
        <f aca="false">F202*C202</f>
        <v>12301.0229943754</v>
      </c>
      <c r="H202" s="24" t="n">
        <f aca="false">E202*G202/(1+D202)^9</f>
        <v>109701.642420894</v>
      </c>
      <c r="I202" s="24" t="n">
        <f aca="false">$B$13*G202/$B$12*((1+$B$8)/(1+D202))^4.5</f>
        <v>32657.9670245823</v>
      </c>
      <c r="J202" s="24" t="n">
        <f aca="false">H202+I202-$B$14</f>
        <v>134922.008692052</v>
      </c>
      <c r="K202" s="43" t="n">
        <f aca="false">J202/$B$15</f>
        <v>704.185849123445</v>
      </c>
    </row>
    <row r="203" customFormat="false" ht="15" hidden="false" customHeight="false" outlineLevel="0" collapsed="false">
      <c r="A203" s="50" t="n">
        <v>163</v>
      </c>
      <c r="B203" s="19" t="n">
        <f aca="true">NORMINV(RAND(),$B$6,$C$6)</f>
        <v>0.0861820431868625</v>
      </c>
      <c r="C203" s="19" t="n">
        <f aca="true">MAX(0.25,NORMINV(RAND(),$B$7,$C$7))</f>
        <v>0.4522917271881</v>
      </c>
      <c r="D203" s="32" t="n">
        <f aca="true">MAX(0.07,NORMINV(RAND(),$B$8,$C$8))</f>
        <v>0.0950747750424136</v>
      </c>
      <c r="E203" s="51" t="n">
        <f aca="true">MAX(8,NORMINV(RAND(),$B$9,$C$9))</f>
        <v>21.2576117709561</v>
      </c>
      <c r="F203" s="24" t="n">
        <f aca="false">$B$18*(1+(B203+$B$17)/2)^9</f>
        <v>18236.0556637826</v>
      </c>
      <c r="G203" s="24" t="n">
        <f aca="false">F203*C203</f>
        <v>8248.01711327054</v>
      </c>
      <c r="H203" s="24" t="n">
        <f aca="false">E203*G203/(1+D203)^9</f>
        <v>77423.0094356221</v>
      </c>
      <c r="I203" s="24" t="n">
        <f aca="false">$B$13*G203/$B$12*((1+$B$8)/(1+D203))^4.5</f>
        <v>21408.9474217415</v>
      </c>
      <c r="J203" s="24" t="n">
        <f aca="false">H203+I203-$B$14</f>
        <v>91394.356103939</v>
      </c>
      <c r="K203" s="43" t="n">
        <f aca="false">J203/$B$15</f>
        <v>477.006033945402</v>
      </c>
    </row>
    <row r="204" customFormat="false" ht="15" hidden="false" customHeight="false" outlineLevel="0" collapsed="false">
      <c r="A204" s="50" t="n">
        <v>164</v>
      </c>
      <c r="B204" s="19" t="n">
        <f aca="true">NORMINV(RAND(),$B$6,$C$6)</f>
        <v>0.0974281880609231</v>
      </c>
      <c r="C204" s="19" t="n">
        <f aca="true">MAX(0.25,NORMINV(RAND(),$B$7,$C$7))</f>
        <v>0.43416144000243</v>
      </c>
      <c r="D204" s="32" t="n">
        <f aca="true">MAX(0.07,NORMINV(RAND(),$B$8,$C$8))</f>
        <v>0.0985480549019697</v>
      </c>
      <c r="E204" s="51" t="n">
        <f aca="true">MAX(8,NORMINV(RAND(),$B$9,$C$9))</f>
        <v>18.24622017764</v>
      </c>
      <c r="F204" s="24" t="n">
        <f aca="false">$B$18*(1+(B204+$B$17)/2)^9</f>
        <v>19114.3280839381</v>
      </c>
      <c r="G204" s="24" t="n">
        <f aca="false">F204*C204</f>
        <v>8298.70420560143</v>
      </c>
      <c r="H204" s="24" t="n">
        <f aca="false">E204*G204/(1+D204)^9</f>
        <v>64984.7812266569</v>
      </c>
      <c r="I204" s="24" t="n">
        <f aca="false">$B$13*G204/$B$12*((1+$B$8)/(1+D204))^4.5</f>
        <v>21235.7335695173</v>
      </c>
      <c r="J204" s="24" t="n">
        <f aca="false">H204+I204-$B$14</f>
        <v>78782.9140427496</v>
      </c>
      <c r="K204" s="43" t="n">
        <f aca="false">J204/$B$15</f>
        <v>411.184311287837</v>
      </c>
    </row>
    <row r="205" customFormat="false" ht="15" hidden="false" customHeight="false" outlineLevel="0" collapsed="false">
      <c r="A205" s="50" t="n">
        <v>165</v>
      </c>
      <c r="B205" s="19" t="n">
        <f aca="true">NORMINV(RAND(),$B$6,$C$6)</f>
        <v>0.11732846002997</v>
      </c>
      <c r="C205" s="19" t="n">
        <f aca="true">MAX(0.25,NORMINV(RAND(),$B$7,$C$7))</f>
        <v>0.449685392580734</v>
      </c>
      <c r="D205" s="32" t="n">
        <f aca="true">MAX(0.07,NORMINV(RAND(),$B$8,$C$8))</f>
        <v>0.0966251195344485</v>
      </c>
      <c r="E205" s="51" t="n">
        <f aca="true">MAX(8,NORMINV(RAND(),$B$9,$C$9))</f>
        <v>16.0406478911971</v>
      </c>
      <c r="F205" s="24" t="n">
        <f aca="false">$B$18*(1+(B205+$B$17)/2)^9</f>
        <v>20760.9604520303</v>
      </c>
      <c r="G205" s="24" t="n">
        <f aca="false">F205*C205</f>
        <v>9335.90065122435</v>
      </c>
      <c r="H205" s="24" t="n">
        <f aca="false">E205*G205/(1+D205)^9</f>
        <v>65291.1652986813</v>
      </c>
      <c r="I205" s="24" t="n">
        <f aca="false">$B$13*G205/$B$12*((1+$B$8)/(1+D205))^4.5</f>
        <v>24078.9263384847</v>
      </c>
      <c r="J205" s="24" t="n">
        <f aca="false">H205+I205-$B$14</f>
        <v>81932.4908837414</v>
      </c>
      <c r="K205" s="43" t="n">
        <f aca="false">J205/$B$15</f>
        <v>427.622603777356</v>
      </c>
    </row>
    <row r="206" customFormat="false" ht="15" hidden="false" customHeight="false" outlineLevel="0" collapsed="false">
      <c r="A206" s="50" t="n">
        <v>166</v>
      </c>
      <c r="B206" s="19" t="n">
        <f aca="true">NORMINV(RAND(),$B$6,$C$6)</f>
        <v>0.138897209341188</v>
      </c>
      <c r="C206" s="19" t="n">
        <f aca="true">MAX(0.25,NORMINV(RAND(),$B$7,$C$7))</f>
        <v>0.476135787808461</v>
      </c>
      <c r="D206" s="32" t="n">
        <f aca="true">MAX(0.07,NORMINV(RAND(),$B$8,$C$8))</f>
        <v>0.101667423621155</v>
      </c>
      <c r="E206" s="51" t="n">
        <f aca="true">MAX(8,NORMINV(RAND(),$B$9,$C$9))</f>
        <v>21.3966199506621</v>
      </c>
      <c r="F206" s="24" t="n">
        <f aca="false">$B$18*(1+(B206+$B$17)/2)^9</f>
        <v>22686.9571274997</v>
      </c>
      <c r="G206" s="24" t="n">
        <f aca="false">F206*C206</f>
        <v>10802.0722048788</v>
      </c>
      <c r="H206" s="24" t="n">
        <f aca="false">E206*G206/(1+D206)^9</f>
        <v>96693.5891764045</v>
      </c>
      <c r="I206" s="24" t="n">
        <f aca="false">$B$13*G206/$B$12*((1+$B$8)/(1+D206))^4.5</f>
        <v>27291.1943688215</v>
      </c>
      <c r="J206" s="24" t="n">
        <f aca="false">H206+I206-$B$14</f>
        <v>116547.182791801</v>
      </c>
      <c r="K206" s="43" t="n">
        <f aca="false">J206/$B$15</f>
        <v>608.283835030279</v>
      </c>
    </row>
    <row r="207" customFormat="false" ht="15" hidden="false" customHeight="false" outlineLevel="0" collapsed="false">
      <c r="A207" s="50" t="n">
        <v>167</v>
      </c>
      <c r="B207" s="19" t="n">
        <f aca="true">NORMINV(RAND(),$B$6,$C$6)</f>
        <v>0.0391117141691983</v>
      </c>
      <c r="C207" s="19" t="n">
        <f aca="true">MAX(0.25,NORMINV(RAND(),$B$7,$C$7))</f>
        <v>0.463952565662773</v>
      </c>
      <c r="D207" s="32" t="n">
        <f aca="true">MAX(0.07,NORMINV(RAND(),$B$8,$C$8))</f>
        <v>0.0972597794218864</v>
      </c>
      <c r="E207" s="51" t="n">
        <f aca="true">MAX(8,NORMINV(RAND(),$B$9,$C$9))</f>
        <v>16.3160111460094</v>
      </c>
      <c r="F207" s="24" t="n">
        <f aca="false">$B$18*(1+(B207+$B$17)/2)^9</f>
        <v>14936.6040134328</v>
      </c>
      <c r="G207" s="24" t="n">
        <f aca="false">F207*C207</f>
        <v>6929.87575432101</v>
      </c>
      <c r="H207" s="24" t="n">
        <f aca="false">E207*G207/(1+D207)^9</f>
        <v>49040.4333893517</v>
      </c>
      <c r="I207" s="24" t="n">
        <f aca="false">$B$13*G207/$B$12*((1+$B$8)/(1+D207))^4.5</f>
        <v>17826.8917596996</v>
      </c>
      <c r="J207" s="24" t="n">
        <f aca="false">H207+I207-$B$14</f>
        <v>59429.7243956266</v>
      </c>
      <c r="K207" s="43" t="n">
        <f aca="false">J207/$B$15</f>
        <v>310.176014590953</v>
      </c>
    </row>
    <row r="208" customFormat="false" ht="15" hidden="false" customHeight="false" outlineLevel="0" collapsed="false">
      <c r="A208" s="50" t="n">
        <v>168</v>
      </c>
      <c r="B208" s="19" t="n">
        <f aca="true">NORMINV(RAND(),$B$6,$C$6)</f>
        <v>0.127027451956642</v>
      </c>
      <c r="C208" s="19" t="n">
        <f aca="true">MAX(0.25,NORMINV(RAND(),$B$7,$C$7))</f>
        <v>0.475249688478872</v>
      </c>
      <c r="D208" s="32" t="n">
        <f aca="true">MAX(0.07,NORMINV(RAND(),$B$8,$C$8))</f>
        <v>0.105954770920271</v>
      </c>
      <c r="E208" s="51" t="n">
        <f aca="true">MAX(8,NORMINV(RAND(),$B$9,$C$9))</f>
        <v>14.8123140990197</v>
      </c>
      <c r="F208" s="24" t="n">
        <f aca="false">$B$18*(1+(B208+$B$17)/2)^9</f>
        <v>21608.2704622895</v>
      </c>
      <c r="G208" s="24" t="n">
        <f aca="false">F208*C208</f>
        <v>10269.3238057703</v>
      </c>
      <c r="H208" s="24" t="n">
        <f aca="false">E208*G208/(1+D208)^9</f>
        <v>61450.9304090034</v>
      </c>
      <c r="I208" s="24" t="n">
        <f aca="false">$B$13*G208/$B$12*((1+$B$8)/(1+D208))^4.5</f>
        <v>25495.6711772456</v>
      </c>
      <c r="J208" s="24" t="n">
        <f aca="false">H208+I208-$B$14</f>
        <v>79509.0008328244</v>
      </c>
      <c r="K208" s="43" t="n">
        <f aca="false">J208/$B$15</f>
        <v>414.97390831328</v>
      </c>
    </row>
    <row r="209" customFormat="false" ht="15" hidden="false" customHeight="false" outlineLevel="0" collapsed="false">
      <c r="A209" s="50" t="n">
        <v>169</v>
      </c>
      <c r="B209" s="19" t="n">
        <f aca="true">NORMINV(RAND(),$B$6,$C$6)</f>
        <v>0.0814894017038297</v>
      </c>
      <c r="C209" s="19" t="n">
        <f aca="true">MAX(0.25,NORMINV(RAND(),$B$7,$C$7))</f>
        <v>0.458133572569179</v>
      </c>
      <c r="D209" s="32" t="n">
        <f aca="true">MAX(0.07,NORMINV(RAND(),$B$8,$C$8))</f>
        <v>0.0928517095041458</v>
      </c>
      <c r="E209" s="51" t="n">
        <f aca="true">MAX(8,NORMINV(RAND(),$B$9,$C$9))</f>
        <v>20.058762401095</v>
      </c>
      <c r="F209" s="24" t="n">
        <f aca="false">$B$18*(1+(B209+$B$17)/2)^9</f>
        <v>17880.3189708084</v>
      </c>
      <c r="G209" s="24" t="n">
        <f aca="false">F209*C209</f>
        <v>8191.57440877292</v>
      </c>
      <c r="H209" s="24" t="n">
        <f aca="false">E209*G209/(1+D209)^9</f>
        <v>73895.9081987712</v>
      </c>
      <c r="I209" s="24" t="n">
        <f aca="false">$B$13*G209/$B$12*((1+$B$8)/(1+D209))^4.5</f>
        <v>21457.7691703857</v>
      </c>
      <c r="J209" s="24" t="n">
        <f aca="false">H209+I209-$B$14</f>
        <v>87916.0766157322</v>
      </c>
      <c r="K209" s="43" t="n">
        <f aca="false">J209/$B$15</f>
        <v>458.852174403613</v>
      </c>
    </row>
    <row r="210" customFormat="false" ht="15" hidden="false" customHeight="false" outlineLevel="0" collapsed="false">
      <c r="A210" s="50" t="n">
        <v>170</v>
      </c>
      <c r="B210" s="19" t="n">
        <f aca="true">NORMINV(RAND(),$B$6,$C$6)</f>
        <v>0.1390554211563</v>
      </c>
      <c r="C210" s="19" t="n">
        <f aca="true">MAX(0.25,NORMINV(RAND(),$B$7,$C$7))</f>
        <v>0.449671851609059</v>
      </c>
      <c r="D210" s="32" t="n">
        <f aca="true">MAX(0.07,NORMINV(RAND(),$B$8,$C$8))</f>
        <v>0.10482619376732</v>
      </c>
      <c r="E210" s="51" t="n">
        <f aca="true">MAX(8,NORMINV(RAND(),$B$9,$C$9))</f>
        <v>18.8014806618069</v>
      </c>
      <c r="F210" s="24" t="n">
        <f aca="false">$B$18*(1+(B210+$B$17)/2)^9</f>
        <v>22701.6524032092</v>
      </c>
      <c r="G210" s="24" t="n">
        <f aca="false">F210*C210</f>
        <v>10208.2940707363</v>
      </c>
      <c r="H210" s="24" t="n">
        <f aca="false">E210*G210/(1+D210)^9</f>
        <v>78252.7421603849</v>
      </c>
      <c r="I210" s="24" t="n">
        <f aca="false">$B$13*G210/$B$12*((1+$B$8)/(1+D210))^4.5</f>
        <v>25460.8614091127</v>
      </c>
      <c r="J210" s="24" t="n">
        <f aca="false">H210+I210-$B$14</f>
        <v>96276.0028160728</v>
      </c>
      <c r="K210" s="43" t="n">
        <f aca="false">J210/$B$15</f>
        <v>502.484357077624</v>
      </c>
    </row>
    <row r="211" customFormat="false" ht="15" hidden="false" customHeight="false" outlineLevel="0" collapsed="false">
      <c r="A211" s="50" t="n">
        <v>171</v>
      </c>
      <c r="B211" s="19" t="n">
        <f aca="true">NORMINV(RAND(),$B$6,$C$6)</f>
        <v>0.108773367833119</v>
      </c>
      <c r="C211" s="19" t="n">
        <f aca="true">MAX(0.25,NORMINV(RAND(),$B$7,$C$7))</f>
        <v>0.439356430272193</v>
      </c>
      <c r="D211" s="32" t="n">
        <f aca="true">MAX(0.07,NORMINV(RAND(),$B$8,$C$8))</f>
        <v>0.101366771224369</v>
      </c>
      <c r="E211" s="51" t="n">
        <f aca="true">MAX(8,NORMINV(RAND(),$B$9,$C$9))</f>
        <v>14.2813878621382</v>
      </c>
      <c r="F211" s="24" t="n">
        <f aca="false">$B$18*(1+(B211+$B$17)/2)^9</f>
        <v>20038.2338812719</v>
      </c>
      <c r="G211" s="24" t="n">
        <f aca="false">F211*C211</f>
        <v>8803.92690703495</v>
      </c>
      <c r="H211" s="24" t="n">
        <f aca="false">E211*G211/(1+D211)^9</f>
        <v>52730.1634083185</v>
      </c>
      <c r="I211" s="24" t="n">
        <f aca="false">$B$13*G211/$B$12*((1+$B$8)/(1+D211))^4.5</f>
        <v>22270.2614689859</v>
      </c>
      <c r="J211" s="24" t="n">
        <f aca="false">H211+I211-$B$14</f>
        <v>67562.8241238797</v>
      </c>
      <c r="K211" s="43" t="n">
        <f aca="false">J211/$B$15</f>
        <v>352.624343026512</v>
      </c>
    </row>
    <row r="212" customFormat="false" ht="15" hidden="false" customHeight="false" outlineLevel="0" collapsed="false">
      <c r="A212" s="50" t="n">
        <v>172</v>
      </c>
      <c r="B212" s="19" t="n">
        <f aca="true">NORMINV(RAND(),$B$6,$C$6)</f>
        <v>0.108917408715913</v>
      </c>
      <c r="C212" s="19" t="n">
        <f aca="true">MAX(0.25,NORMINV(RAND(),$B$7,$C$7))</f>
        <v>0.4585601542146</v>
      </c>
      <c r="D212" s="32" t="n">
        <f aca="true">MAX(0.07,NORMINV(RAND(),$B$8,$C$8))</f>
        <v>0.0987000407624517</v>
      </c>
      <c r="E212" s="51" t="n">
        <f aca="true">MAX(8,NORMINV(RAND(),$B$9,$C$9))</f>
        <v>21.0523073888271</v>
      </c>
      <c r="F212" s="24" t="n">
        <f aca="false">$B$18*(1+(B212+$B$17)/2)^9</f>
        <v>20050.2147671736</v>
      </c>
      <c r="G212" s="24" t="n">
        <f aca="false">F212*C212</f>
        <v>9194.22957567099</v>
      </c>
      <c r="H212" s="24" t="n">
        <f aca="false">E212*G212/(1+D212)^9</f>
        <v>82966.5021350874</v>
      </c>
      <c r="I212" s="24" t="n">
        <f aca="false">$B$13*G212/$B$12*((1+$B$8)/(1+D212))^4.5</f>
        <v>23512.6706830228</v>
      </c>
      <c r="J212" s="24" t="n">
        <f aca="false">H212+I212-$B$14</f>
        <v>99041.5720646855</v>
      </c>
      <c r="K212" s="43" t="n">
        <f aca="false">J212/$B$15</f>
        <v>516.918434575603</v>
      </c>
    </row>
    <row r="213" customFormat="false" ht="15" hidden="false" customHeight="false" outlineLevel="0" collapsed="false">
      <c r="A213" s="50" t="n">
        <v>173</v>
      </c>
      <c r="B213" s="19" t="n">
        <f aca="true">NORMINV(RAND(),$B$6,$C$6)</f>
        <v>0.141050352709449</v>
      </c>
      <c r="C213" s="19" t="n">
        <f aca="true">MAX(0.25,NORMINV(RAND(),$B$7,$C$7))</f>
        <v>0.511194548466023</v>
      </c>
      <c r="D213" s="32" t="n">
        <f aca="true">MAX(0.07,NORMINV(RAND(),$B$8,$C$8))</f>
        <v>0.100615141237508</v>
      </c>
      <c r="E213" s="51" t="n">
        <f aca="true">MAX(8,NORMINV(RAND(),$B$9,$C$9))</f>
        <v>10.3710307274513</v>
      </c>
      <c r="F213" s="24" t="n">
        <f aca="false">$B$18*(1+(B213+$B$17)/2)^9</f>
        <v>22887.6760726646</v>
      </c>
      <c r="G213" s="24" t="n">
        <f aca="false">F213*C213</f>
        <v>11700.0552354024</v>
      </c>
      <c r="H213" s="24" t="n">
        <f aca="false">E213*G213/(1+D213)^9</f>
        <v>51202.4196612692</v>
      </c>
      <c r="I213" s="24" t="n">
        <f aca="false">$B$13*G213/$B$12*((1+$B$8)/(1+D213))^4.5</f>
        <v>29687.3196243516</v>
      </c>
      <c r="J213" s="24" t="n">
        <f aca="false">H213+I213-$B$14</f>
        <v>73452.1385321962</v>
      </c>
      <c r="K213" s="43" t="n">
        <f aca="false">J213/$B$15</f>
        <v>383.36189213046</v>
      </c>
    </row>
    <row r="214" customFormat="false" ht="15" hidden="false" customHeight="false" outlineLevel="0" collapsed="false">
      <c r="A214" s="50" t="n">
        <v>174</v>
      </c>
      <c r="B214" s="19" t="n">
        <f aca="true">NORMINV(RAND(),$B$6,$C$6)</f>
        <v>0.0698454470329812</v>
      </c>
      <c r="C214" s="19" t="n">
        <f aca="true">MAX(0.25,NORMINV(RAND(),$B$7,$C$7))</f>
        <v>0.49128849255355</v>
      </c>
      <c r="D214" s="32" t="n">
        <f aca="true">MAX(0.07,NORMINV(RAND(),$B$8,$C$8))</f>
        <v>0.100645628868074</v>
      </c>
      <c r="E214" s="51" t="n">
        <f aca="true">MAX(8,NORMINV(RAND(),$B$9,$C$9))</f>
        <v>18.4530453642357</v>
      </c>
      <c r="F214" s="24" t="n">
        <f aca="false">$B$18*(1+(B214+$B$17)/2)^9</f>
        <v>17024.1213399178</v>
      </c>
      <c r="G214" s="24" t="n">
        <f aca="false">F214*C214</f>
        <v>8363.75491013693</v>
      </c>
      <c r="H214" s="24" t="n">
        <f aca="false">E214*G214/(1+D214)^9</f>
        <v>65109.1054962797</v>
      </c>
      <c r="I214" s="24" t="n">
        <f aca="false">$B$13*G214/$B$12*((1+$B$8)/(1+D214))^4.5</f>
        <v>21219.260230855</v>
      </c>
      <c r="J214" s="24" t="n">
        <f aca="false">H214+I214-$B$14</f>
        <v>78890.76497371</v>
      </c>
      <c r="K214" s="43" t="n">
        <f aca="false">J214/$B$15</f>
        <v>411.747207587213</v>
      </c>
    </row>
    <row r="215" customFormat="false" ht="15" hidden="false" customHeight="false" outlineLevel="0" collapsed="false">
      <c r="A215" s="50" t="n">
        <v>175</v>
      </c>
      <c r="B215" s="19" t="n">
        <f aca="true">NORMINV(RAND(),$B$6,$C$6)</f>
        <v>0.0879789459619009</v>
      </c>
      <c r="C215" s="19" t="n">
        <f aca="true">MAX(0.25,NORMINV(RAND(),$B$7,$C$7))</f>
        <v>0.465494127000956</v>
      </c>
      <c r="D215" s="32" t="n">
        <f aca="true">MAX(0.07,NORMINV(RAND(),$B$8,$C$8))</f>
        <v>0.0988792314411743</v>
      </c>
      <c r="E215" s="51" t="n">
        <f aca="true">MAX(8,NORMINV(RAND(),$B$9,$C$9))</f>
        <v>15.27093458818</v>
      </c>
      <c r="F215" s="24" t="n">
        <f aca="false">$B$18*(1+(B215+$B$17)/2)^9</f>
        <v>18373.9309123338</v>
      </c>
      <c r="G215" s="24" t="n">
        <f aca="false">F215*C215</f>
        <v>8552.95692961271</v>
      </c>
      <c r="H215" s="24" t="n">
        <f aca="false">E215*G215/(1+D215)^9</f>
        <v>55902.6265409719</v>
      </c>
      <c r="I215" s="24" t="n">
        <f aca="false">$B$13*G215/$B$12*((1+$B$8)/(1+D215))^4.5</f>
        <v>21856.6798597563</v>
      </c>
      <c r="J215" s="24" t="n">
        <f aca="false">H215+I215-$B$14</f>
        <v>70321.7056473035</v>
      </c>
      <c r="K215" s="43" t="n">
        <f aca="false">J215/$B$15</f>
        <v>367.023515904507</v>
      </c>
    </row>
    <row r="216" customFormat="false" ht="15" hidden="false" customHeight="false" outlineLevel="0" collapsed="false">
      <c r="A216" s="50" t="n">
        <v>176</v>
      </c>
      <c r="B216" s="19" t="n">
        <f aca="true">NORMINV(RAND(),$B$6,$C$6)</f>
        <v>0.0855740701507284</v>
      </c>
      <c r="C216" s="19" t="n">
        <f aca="true">MAX(0.25,NORMINV(RAND(),$B$7,$C$7))</f>
        <v>0.451564971383332</v>
      </c>
      <c r="D216" s="32" t="n">
        <f aca="true">MAX(0.07,NORMINV(RAND(),$B$8,$C$8))</f>
        <v>0.111015175035295</v>
      </c>
      <c r="E216" s="51" t="n">
        <f aca="true">MAX(8,NORMINV(RAND(),$B$9,$C$9))</f>
        <v>15.5246271767211</v>
      </c>
      <c r="F216" s="24" t="n">
        <f aca="false">$B$18*(1+(B216+$B$17)/2)^9</f>
        <v>18189.6149253184</v>
      </c>
      <c r="G216" s="24" t="n">
        <f aca="false">F216*C216</f>
        <v>8213.79294322521</v>
      </c>
      <c r="H216" s="24" t="n">
        <f aca="false">E216*G216/(1+D216)^9</f>
        <v>49440.7456731114</v>
      </c>
      <c r="I216" s="24" t="n">
        <f aca="false">$B$13*G216/$B$12*((1+$B$8)/(1+D216))^4.5</f>
        <v>19977.7485298284</v>
      </c>
      <c r="J216" s="24" t="n">
        <f aca="false">H216+I216-$B$14</f>
        <v>61980.8934495151</v>
      </c>
      <c r="K216" s="43" t="n">
        <f aca="false">J216/$B$15</f>
        <v>323.491093160309</v>
      </c>
    </row>
    <row r="217" customFormat="false" ht="15" hidden="false" customHeight="false" outlineLevel="0" collapsed="false">
      <c r="A217" s="50" t="n">
        <v>177</v>
      </c>
      <c r="B217" s="19" t="n">
        <f aca="true">NORMINV(RAND(),$B$6,$C$6)</f>
        <v>0.104045623369596</v>
      </c>
      <c r="C217" s="19" t="n">
        <f aca="true">MAX(0.25,NORMINV(RAND(),$B$7,$C$7))</f>
        <v>0.424107980425705</v>
      </c>
      <c r="D217" s="32" t="n">
        <f aca="true">MAX(0.07,NORMINV(RAND(),$B$8,$C$8))</f>
        <v>0.0916320674168749</v>
      </c>
      <c r="E217" s="51" t="n">
        <f aca="true">MAX(8,NORMINV(RAND(),$B$9,$C$9))</f>
        <v>21.2978939632147</v>
      </c>
      <c r="F217" s="24" t="n">
        <f aca="false">$B$18*(1+(B217+$B$17)/2)^9</f>
        <v>19648.5094498876</v>
      </c>
      <c r="G217" s="24" t="n">
        <f aca="false">F217*C217</f>
        <v>8333.08966116719</v>
      </c>
      <c r="H217" s="24" t="n">
        <f aca="false">E217*G217/(1+D217)^9</f>
        <v>80622.4796478018</v>
      </c>
      <c r="I217" s="24" t="n">
        <f aca="false">$B$13*G217/$B$12*((1+$B$8)/(1+D217))^4.5</f>
        <v>21938.4289181064</v>
      </c>
      <c r="J217" s="24" t="n">
        <f aca="false">H217+I217-$B$14</f>
        <v>95123.3078124836</v>
      </c>
      <c r="K217" s="43" t="n">
        <f aca="false">J217/$B$15</f>
        <v>496.468203614215</v>
      </c>
    </row>
    <row r="218" customFormat="false" ht="15" hidden="false" customHeight="false" outlineLevel="0" collapsed="false">
      <c r="A218" s="50" t="n">
        <v>178</v>
      </c>
      <c r="B218" s="19" t="n">
        <f aca="true">NORMINV(RAND(),$B$6,$C$6)</f>
        <v>0.120978664000187</v>
      </c>
      <c r="C218" s="19" t="n">
        <f aca="true">MAX(0.25,NORMINV(RAND(),$B$7,$C$7))</f>
        <v>0.441329762203713</v>
      </c>
      <c r="D218" s="32" t="n">
        <f aca="true">MAX(0.07,NORMINV(RAND(),$B$8,$C$8))</f>
        <v>0.0885202889723987</v>
      </c>
      <c r="E218" s="51" t="n">
        <f aca="true">MAX(8,NORMINV(RAND(),$B$9,$C$9))</f>
        <v>17.3580706759817</v>
      </c>
      <c r="F218" s="24" t="n">
        <f aca="false">$B$18*(1+(B218+$B$17)/2)^9</f>
        <v>21076.3135247515</v>
      </c>
      <c r="G218" s="24" t="n">
        <f aca="false">F218*C218</f>
        <v>9301.60443600945</v>
      </c>
      <c r="H218" s="24" t="n">
        <f aca="false">E218*G218/(1+D218)^9</f>
        <v>75254.1689942598</v>
      </c>
      <c r="I218" s="24" t="n">
        <f aca="false">$B$13*G218/$B$12*((1+$B$8)/(1+D218))^4.5</f>
        <v>24804.82912587</v>
      </c>
      <c r="J218" s="24" t="n">
        <f aca="false">H218+I218-$B$14</f>
        <v>92621.3973667051</v>
      </c>
      <c r="K218" s="43" t="n">
        <f aca="false">J218/$B$15</f>
        <v>483.410215901384</v>
      </c>
    </row>
    <row r="219" customFormat="false" ht="15" hidden="false" customHeight="false" outlineLevel="0" collapsed="false">
      <c r="A219" s="50" t="n">
        <v>179</v>
      </c>
      <c r="B219" s="19" t="n">
        <f aca="true">NORMINV(RAND(),$B$6,$C$6)</f>
        <v>0.102494229198852</v>
      </c>
      <c r="C219" s="19" t="n">
        <f aca="true">MAX(0.25,NORMINV(RAND(),$B$7,$C$7))</f>
        <v>0.44766534726634</v>
      </c>
      <c r="D219" s="32" t="n">
        <f aca="true">MAX(0.07,NORMINV(RAND(),$B$8,$C$8))</f>
        <v>0.107780581159467</v>
      </c>
      <c r="E219" s="51" t="n">
        <f aca="true">MAX(8,NORMINV(RAND(),$B$9,$C$9))</f>
        <v>16.5384900337977</v>
      </c>
      <c r="F219" s="24" t="n">
        <f aca="false">$B$18*(1+(B219+$B$17)/2)^9</f>
        <v>19522.0990557374</v>
      </c>
      <c r="G219" s="24" t="n">
        <f aca="false">F219*C219</f>
        <v>8739.36725315456</v>
      </c>
      <c r="H219" s="24" t="n">
        <f aca="false">E219*G219/(1+D219)^9</f>
        <v>57529.7007134907</v>
      </c>
      <c r="I219" s="24" t="n">
        <f aca="false">$B$13*G219/$B$12*((1+$B$8)/(1+D219))^4.5</f>
        <v>21536.7851098919</v>
      </c>
      <c r="J219" s="24" t="n">
        <f aca="false">H219+I219-$B$14</f>
        <v>71628.8850699579</v>
      </c>
      <c r="K219" s="43" t="n">
        <f aca="false">J219/$B$15</f>
        <v>373.845955479947</v>
      </c>
    </row>
    <row r="220" customFormat="false" ht="15" hidden="false" customHeight="false" outlineLevel="0" collapsed="false">
      <c r="A220" s="50" t="n">
        <v>180</v>
      </c>
      <c r="B220" s="19" t="n">
        <f aca="true">NORMINV(RAND(),$B$6,$C$6)</f>
        <v>0.122116297859894</v>
      </c>
      <c r="C220" s="19" t="n">
        <f aca="true">MAX(0.25,NORMINV(RAND(),$B$7,$C$7))</f>
        <v>0.416647963582148</v>
      </c>
      <c r="D220" s="32" t="n">
        <f aca="true">MAX(0.07,NORMINV(RAND(),$B$8,$C$8))</f>
        <v>0.0944103453497974</v>
      </c>
      <c r="E220" s="51" t="n">
        <f aca="true">MAX(8,NORMINV(RAND(),$B$9,$C$9))</f>
        <v>14.798092737041</v>
      </c>
      <c r="F220" s="24" t="n">
        <f aca="false">$B$18*(1+(B220+$B$17)/2)^9</f>
        <v>21175.4639428875</v>
      </c>
      <c r="G220" s="24" t="n">
        <f aca="false">F220*C220</f>
        <v>8822.7139297113</v>
      </c>
      <c r="H220" s="24" t="n">
        <f aca="false">E220*G220/(1+D220)^9</f>
        <v>57967.722113708</v>
      </c>
      <c r="I220" s="24" t="n">
        <f aca="false">$B$13*G220/$B$12*((1+$B$8)/(1+D220))^4.5</f>
        <v>22963.2891433657</v>
      </c>
      <c r="J220" s="24" t="n">
        <f aca="false">H220+I220-$B$14</f>
        <v>73493.410503649</v>
      </c>
      <c r="K220" s="43" t="n">
        <f aca="false">J220/$B$15</f>
        <v>383.577299079588</v>
      </c>
    </row>
    <row r="221" customFormat="false" ht="15" hidden="false" customHeight="false" outlineLevel="0" collapsed="false">
      <c r="A221" s="50" t="n">
        <v>181</v>
      </c>
      <c r="B221" s="19" t="n">
        <f aca="true">NORMINV(RAND(),$B$6,$C$6)</f>
        <v>0.065022323986327</v>
      </c>
      <c r="C221" s="19" t="n">
        <f aca="true">MAX(0.25,NORMINV(RAND(),$B$7,$C$7))</f>
        <v>0.454187336052908</v>
      </c>
      <c r="D221" s="32" t="n">
        <f aca="true">MAX(0.07,NORMINV(RAND(),$B$8,$C$8))</f>
        <v>0.10223628600729</v>
      </c>
      <c r="E221" s="51" t="n">
        <f aca="true">MAX(8,NORMINV(RAND(),$B$9,$C$9))</f>
        <v>20.2550533885651</v>
      </c>
      <c r="F221" s="24" t="n">
        <f aca="false">$B$18*(1+(B221+$B$17)/2)^9</f>
        <v>16680.2812309897</v>
      </c>
      <c r="G221" s="24" t="n">
        <f aca="false">F221*C221</f>
        <v>7575.97249691651</v>
      </c>
      <c r="H221" s="24" t="n">
        <f aca="false">E221*G221/(1+D221)^9</f>
        <v>63899.7920966612</v>
      </c>
      <c r="I221" s="24" t="n">
        <f aca="false">$B$13*G221/$B$12*((1+$B$8)/(1+D221))^4.5</f>
        <v>19096.1128051605</v>
      </c>
      <c r="J221" s="24" t="n">
        <f aca="false">H221+I221-$B$14</f>
        <v>75558.304148397</v>
      </c>
      <c r="K221" s="43" t="n">
        <f aca="false">J221/$B$15</f>
        <v>394.354405784953</v>
      </c>
    </row>
    <row r="222" customFormat="false" ht="15" hidden="false" customHeight="false" outlineLevel="0" collapsed="false">
      <c r="A222" s="50" t="n">
        <v>182</v>
      </c>
      <c r="B222" s="19" t="n">
        <f aca="true">NORMINV(RAND(),$B$6,$C$6)</f>
        <v>0.0530449771364907</v>
      </c>
      <c r="C222" s="19" t="n">
        <f aca="true">MAX(0.25,NORMINV(RAND(),$B$7,$C$7))</f>
        <v>0.504533878464908</v>
      </c>
      <c r="D222" s="32" t="n">
        <f aca="true">MAX(0.07,NORMINV(RAND(),$B$8,$C$8))</f>
        <v>0.096673085136848</v>
      </c>
      <c r="E222" s="51" t="n">
        <f aca="true">MAX(8,NORMINV(RAND(),$B$9,$C$9))</f>
        <v>20.937636963045</v>
      </c>
      <c r="F222" s="24" t="n">
        <f aca="false">$B$18*(1+(B222+$B$17)/2)^9</f>
        <v>15852.9674958821</v>
      </c>
      <c r="G222" s="24" t="n">
        <f aca="false">F222*C222</f>
        <v>7998.35917587551</v>
      </c>
      <c r="H222" s="24" t="n">
        <f aca="false">E222*G222/(1+D222)^9</f>
        <v>72985.0488214307</v>
      </c>
      <c r="I222" s="24" t="n">
        <f aca="false">$B$13*G222/$B$12*((1+$B$8)/(1+D222))^4.5</f>
        <v>20625.1122339548</v>
      </c>
      <c r="J222" s="24" t="n">
        <f aca="false">H222+I222-$B$14</f>
        <v>86172.5603019609</v>
      </c>
      <c r="K222" s="43" t="n">
        <f aca="false">J222/$B$15</f>
        <v>449.752402411069</v>
      </c>
    </row>
    <row r="223" customFormat="false" ht="15" hidden="false" customHeight="false" outlineLevel="0" collapsed="false">
      <c r="A223" s="50" t="n">
        <v>183</v>
      </c>
      <c r="B223" s="19" t="n">
        <f aca="true">NORMINV(RAND(),$B$6,$C$6)</f>
        <v>0.0975615458614569</v>
      </c>
      <c r="C223" s="19" t="n">
        <f aca="true">MAX(0.25,NORMINV(RAND(),$B$7,$C$7))</f>
        <v>0.456830530652719</v>
      </c>
      <c r="D223" s="32" t="n">
        <f aca="true">MAX(0.07,NORMINV(RAND(),$B$8,$C$8))</f>
        <v>0.0891725270926034</v>
      </c>
      <c r="E223" s="51" t="n">
        <f aca="true">MAX(8,NORMINV(RAND(),$B$9,$C$9))</f>
        <v>23.3975396424109</v>
      </c>
      <c r="F223" s="24" t="n">
        <f aca="false">$B$18*(1+(B223+$B$17)/2)^9</f>
        <v>19124.9643943608</v>
      </c>
      <c r="G223" s="24" t="n">
        <f aca="false">F223*C223</f>
        <v>8736.86763299018</v>
      </c>
      <c r="H223" s="24" t="n">
        <f aca="false">E223*G223/(1+D223)^9</f>
        <v>94766.7186017055</v>
      </c>
      <c r="I223" s="24" t="n">
        <f aca="false">$B$13*G223/$B$12*((1+$B$8)/(1+D223))^4.5</f>
        <v>23236.111615516</v>
      </c>
      <c r="J223" s="24" t="n">
        <f aca="false">H223+I223-$B$14</f>
        <v>110565.229463797</v>
      </c>
      <c r="K223" s="43" t="n">
        <f aca="false">J223/$B$15</f>
        <v>577.062784257812</v>
      </c>
    </row>
    <row r="224" customFormat="false" ht="15" hidden="false" customHeight="false" outlineLevel="0" collapsed="false">
      <c r="A224" s="50" t="n">
        <v>184</v>
      </c>
      <c r="B224" s="19" t="n">
        <f aca="true">NORMINV(RAND(),$B$6,$C$6)</f>
        <v>0.118944971534493</v>
      </c>
      <c r="C224" s="19" t="n">
        <f aca="true">MAX(0.25,NORMINV(RAND(),$B$7,$C$7))</f>
        <v>0.454431604496899</v>
      </c>
      <c r="D224" s="32" t="n">
        <f aca="true">MAX(0.07,NORMINV(RAND(),$B$8,$C$8))</f>
        <v>0.101210478706554</v>
      </c>
      <c r="E224" s="51" t="n">
        <f aca="true">MAX(8,NORMINV(RAND(),$B$9,$C$9))</f>
        <v>16.3558720091332</v>
      </c>
      <c r="F224" s="24" t="n">
        <f aca="false">$B$18*(1+(B224+$B$17)/2)^9</f>
        <v>20900.094958204</v>
      </c>
      <c r="G224" s="24" t="n">
        <f aca="false">F224*C224</f>
        <v>9497.66368599417</v>
      </c>
      <c r="H224" s="24" t="n">
        <f aca="false">E224*G224/(1+D224)^9</f>
        <v>65231.5161131703</v>
      </c>
      <c r="I224" s="24" t="n">
        <f aca="false">$B$13*G224/$B$12*((1+$B$8)/(1+D224))^4.5</f>
        <v>24040.4741197152</v>
      </c>
      <c r="J224" s="24" t="n">
        <f aca="false">H224+I224-$B$14</f>
        <v>81834.3894794609</v>
      </c>
      <c r="K224" s="43" t="n">
        <f aca="false">J224/$B$15</f>
        <v>427.11059227276</v>
      </c>
    </row>
    <row r="225" customFormat="false" ht="15" hidden="false" customHeight="false" outlineLevel="0" collapsed="false">
      <c r="A225" s="50" t="n">
        <v>185</v>
      </c>
      <c r="B225" s="19" t="n">
        <f aca="true">NORMINV(RAND(),$B$6,$C$6)</f>
        <v>0.0940635829662023</v>
      </c>
      <c r="C225" s="19" t="n">
        <f aca="true">MAX(0.25,NORMINV(RAND(),$B$7,$C$7))</f>
        <v>0.476781675618222</v>
      </c>
      <c r="D225" s="32" t="n">
        <f aca="true">MAX(0.07,NORMINV(RAND(),$B$8,$C$8))</f>
        <v>0.1002858601522</v>
      </c>
      <c r="E225" s="51" t="n">
        <f aca="true">MAX(8,NORMINV(RAND(),$B$9,$C$9))</f>
        <v>14.1799150869947</v>
      </c>
      <c r="F225" s="24" t="n">
        <f aca="false">$B$18*(1+(B225+$B$17)/2)^9</f>
        <v>18847.7088351052</v>
      </c>
      <c r="G225" s="24" t="n">
        <f aca="false">F225*C225</f>
        <v>8986.24219996582</v>
      </c>
      <c r="H225" s="24" t="n">
        <f aca="false">E225*G225/(1+D225)^9</f>
        <v>53914.0507629709</v>
      </c>
      <c r="I225" s="24" t="n">
        <f aca="false">$B$13*G225/$B$12*((1+$B$8)/(1+D225))^4.5</f>
        <v>22832.106244872</v>
      </c>
      <c r="J225" s="24" t="n">
        <f aca="false">H225+I225-$B$14</f>
        <v>69308.5562544183</v>
      </c>
      <c r="K225" s="43" t="n">
        <f aca="false">J225/$B$15</f>
        <v>361.73567982473</v>
      </c>
    </row>
    <row r="226" customFormat="false" ht="15" hidden="false" customHeight="false" outlineLevel="0" collapsed="false">
      <c r="A226" s="50" t="n">
        <v>186</v>
      </c>
      <c r="B226" s="19" t="n">
        <f aca="true">NORMINV(RAND(),$B$6,$C$6)</f>
        <v>0.0663360140250824</v>
      </c>
      <c r="C226" s="19" t="n">
        <f aca="true">MAX(0.25,NORMINV(RAND(),$B$7,$C$7))</f>
        <v>0.452864729317615</v>
      </c>
      <c r="D226" s="32" t="n">
        <f aca="true">MAX(0.07,NORMINV(RAND(),$B$8,$C$8))</f>
        <v>0.103931136830745</v>
      </c>
      <c r="E226" s="51" t="n">
        <f aca="true">MAX(8,NORMINV(RAND(),$B$9,$C$9))</f>
        <v>16.611346408046</v>
      </c>
      <c r="F226" s="24" t="n">
        <f aca="false">$B$18*(1+(B226+$B$17)/2)^9</f>
        <v>16773.3168889939</v>
      </c>
      <c r="G226" s="24" t="n">
        <f aca="false">F226*C226</f>
        <v>7596.04361269281</v>
      </c>
      <c r="H226" s="24" t="n">
        <f aca="false">E226*G226/(1+D226)^9</f>
        <v>51822.0319594424</v>
      </c>
      <c r="I226" s="24" t="n">
        <f aca="false">$B$13*G226/$B$12*((1+$B$8)/(1+D226))^4.5</f>
        <v>19014.7787539138</v>
      </c>
      <c r="J226" s="24" t="n">
        <f aca="false">H226+I226-$B$14</f>
        <v>63399.2099599316</v>
      </c>
      <c r="K226" s="43" t="n">
        <f aca="false">J226/$B$15</f>
        <v>330.893580166658</v>
      </c>
    </row>
    <row r="227" customFormat="false" ht="15" hidden="false" customHeight="false" outlineLevel="0" collapsed="false">
      <c r="A227" s="50" t="n">
        <v>187</v>
      </c>
      <c r="B227" s="19" t="n">
        <f aca="true">NORMINV(RAND(),$B$6,$C$6)</f>
        <v>0.0976773235724964</v>
      </c>
      <c r="C227" s="19" t="n">
        <f aca="true">MAX(0.25,NORMINV(RAND(),$B$7,$C$7))</f>
        <v>0.489306719546113</v>
      </c>
      <c r="D227" s="32" t="n">
        <f aca="true">MAX(0.07,NORMINV(RAND(),$B$8,$C$8))</f>
        <v>0.0968390276271846</v>
      </c>
      <c r="E227" s="51" t="n">
        <f aca="true">MAX(8,NORMINV(RAND(),$B$9,$C$9))</f>
        <v>15.1762278028318</v>
      </c>
      <c r="F227" s="24" t="n">
        <f aca="false">$B$18*(1+(B227+$B$17)/2)^9</f>
        <v>19134.2028234957</v>
      </c>
      <c r="G227" s="24" t="n">
        <f aca="false">F227*C227</f>
        <v>9362.49401469465</v>
      </c>
      <c r="H227" s="24" t="n">
        <f aca="false">E227*G227/(1+D227)^9</f>
        <v>61839.9791135799</v>
      </c>
      <c r="I227" s="24" t="n">
        <f aca="false">$B$13*G227/$B$12*((1+$B$8)/(1+D227))^4.5</f>
        <v>24126.3306515638</v>
      </c>
      <c r="J227" s="24" t="n">
        <f aca="false">H227+I227-$B$14</f>
        <v>78528.709011719</v>
      </c>
      <c r="K227" s="43" t="n">
        <f aca="false">J227/$B$15</f>
        <v>409.857562691644</v>
      </c>
    </row>
    <row r="228" customFormat="false" ht="15" hidden="false" customHeight="false" outlineLevel="0" collapsed="false">
      <c r="A228" s="50" t="n">
        <v>188</v>
      </c>
      <c r="B228" s="19" t="n">
        <f aca="true">NORMINV(RAND(),$B$6,$C$6)</f>
        <v>0.0979302478311689</v>
      </c>
      <c r="C228" s="19" t="n">
        <f aca="true">MAX(0.25,NORMINV(RAND(),$B$7,$C$7))</f>
        <v>0.484361782755006</v>
      </c>
      <c r="D228" s="32" t="n">
        <f aca="true">MAX(0.07,NORMINV(RAND(),$B$8,$C$8))</f>
        <v>0.0943505568751689</v>
      </c>
      <c r="E228" s="51" t="n">
        <f aca="true">MAX(8,NORMINV(RAND(),$B$9,$C$9))</f>
        <v>16.3824162179007</v>
      </c>
      <c r="F228" s="24" t="n">
        <f aca="false">$B$18*(1+(B228+$B$17)/2)^9</f>
        <v>19154.3985979599</v>
      </c>
      <c r="G228" s="24" t="n">
        <f aca="false">F228*C228</f>
        <v>9277.65865250785</v>
      </c>
      <c r="H228" s="24" t="n">
        <f aca="false">E228*G228/(1+D228)^9</f>
        <v>67516.2287725141</v>
      </c>
      <c r="I228" s="24" t="n">
        <f aca="false">$B$13*G228/$B$12*((1+$B$8)/(1+D228))^4.5</f>
        <v>24153.3322474865</v>
      </c>
      <c r="J228" s="24" t="n">
        <f aca="false">H228+I228-$B$14</f>
        <v>84231.9602665759</v>
      </c>
      <c r="K228" s="43" t="n">
        <f aca="false">J228/$B$15</f>
        <v>439.624009742046</v>
      </c>
    </row>
    <row r="229" customFormat="false" ht="15" hidden="false" customHeight="false" outlineLevel="0" collapsed="false">
      <c r="A229" s="50" t="n">
        <v>189</v>
      </c>
      <c r="B229" s="19" t="n">
        <f aca="true">NORMINV(RAND(),$B$6,$C$6)</f>
        <v>0.116366003705904</v>
      </c>
      <c r="C229" s="19" t="n">
        <f aca="true">MAX(0.25,NORMINV(RAND(),$B$7,$C$7))</f>
        <v>0.4691282910014</v>
      </c>
      <c r="D229" s="32" t="n">
        <f aca="true">MAX(0.07,NORMINV(RAND(),$B$8,$C$8))</f>
        <v>0.109312306875985</v>
      </c>
      <c r="E229" s="51" t="n">
        <f aca="true">MAX(8,NORMINV(RAND(),$B$9,$C$9))</f>
        <v>14.0071591710571</v>
      </c>
      <c r="F229" s="24" t="n">
        <f aca="false">$B$18*(1+(B229+$B$17)/2)^9</f>
        <v>20678.5126180129</v>
      </c>
      <c r="G229" s="24" t="n">
        <f aca="false">F229*C229</f>
        <v>9700.87528493926</v>
      </c>
      <c r="H229" s="24" t="n">
        <f aca="false">E229*G229/(1+D229)^9</f>
        <v>53416.6323935446</v>
      </c>
      <c r="I229" s="24" t="n">
        <f aca="false">$B$13*G229/$B$12*((1+$B$8)/(1+D229))^4.5</f>
        <v>23758.0849844102</v>
      </c>
      <c r="J229" s="24" t="n">
        <f aca="false">H229+I229-$B$14</f>
        <v>69737.1166245301</v>
      </c>
      <c r="K229" s="43" t="n">
        <f aca="false">J229/$B$15</f>
        <v>363.972424971452</v>
      </c>
    </row>
    <row r="230" customFormat="false" ht="15" hidden="false" customHeight="false" outlineLevel="0" collapsed="false">
      <c r="A230" s="50" t="n">
        <v>190</v>
      </c>
      <c r="B230" s="19" t="n">
        <f aca="true">NORMINV(RAND(),$B$6,$C$6)</f>
        <v>0.0917655641199894</v>
      </c>
      <c r="C230" s="19" t="n">
        <f aca="true">MAX(0.25,NORMINV(RAND(),$B$7,$C$7))</f>
        <v>0.437998430443647</v>
      </c>
      <c r="D230" s="32" t="n">
        <f aca="true">MAX(0.07,NORMINV(RAND(),$B$8,$C$8))</f>
        <v>0.0811097518052638</v>
      </c>
      <c r="E230" s="51" t="n">
        <f aca="true">MAX(8,NORMINV(RAND(),$B$9,$C$9))</f>
        <v>21.5526671391443</v>
      </c>
      <c r="F230" s="24" t="n">
        <f aca="false">$B$18*(1+(B230+$B$17)/2)^9</f>
        <v>18667.5135064482</v>
      </c>
      <c r="G230" s="24" t="n">
        <f aca="false">F230*C230</f>
        <v>8176.34161610992</v>
      </c>
      <c r="H230" s="24" t="n">
        <f aca="false">E230*G230/(1+D230)^9</f>
        <v>87343.7808147939</v>
      </c>
      <c r="I230" s="24" t="n">
        <f aca="false">$B$13*G230/$B$12*((1+$B$8)/(1+D230))^4.5</f>
        <v>22484.733645702</v>
      </c>
      <c r="J230" s="24" t="n">
        <f aca="false">H230+I230-$B$14</f>
        <v>102390.913707071</v>
      </c>
      <c r="K230" s="43" t="n">
        <f aca="false">J230/$B$15</f>
        <v>534.399340851103</v>
      </c>
    </row>
    <row r="231" customFormat="false" ht="15" hidden="false" customHeight="false" outlineLevel="0" collapsed="false">
      <c r="A231" s="50" t="n">
        <v>191</v>
      </c>
      <c r="B231" s="19" t="n">
        <f aca="true">NORMINV(RAND(),$B$6,$C$6)</f>
        <v>0.097597908244066</v>
      </c>
      <c r="C231" s="19" t="n">
        <f aca="true">MAX(0.25,NORMINV(RAND(),$B$7,$C$7))</f>
        <v>0.481813853399187</v>
      </c>
      <c r="D231" s="32" t="n">
        <f aca="true">MAX(0.07,NORMINV(RAND(),$B$8,$C$8))</f>
        <v>0.0889115455585992</v>
      </c>
      <c r="E231" s="51" t="n">
        <f aca="true">MAX(8,NORMINV(RAND(),$B$9,$C$9))</f>
        <v>17.0423543375282</v>
      </c>
      <c r="F231" s="24" t="n">
        <f aca="false">$B$18*(1+(B231+$B$17)/2)^9</f>
        <v>19127.8654867616</v>
      </c>
      <c r="G231" s="24" t="n">
        <f aca="false">F231*C231</f>
        <v>9216.0705774779</v>
      </c>
      <c r="H231" s="24" t="n">
        <f aca="false">E231*G231/(1+D231)^9</f>
        <v>72969.5989632967</v>
      </c>
      <c r="I231" s="24" t="n">
        <f aca="false">$B$13*G231/$B$12*((1+$B$8)/(1+D231))^4.5</f>
        <v>24537.020777041</v>
      </c>
      <c r="J231" s="24" t="n">
        <f aca="false">H231+I231-$B$14</f>
        <v>90069.0189869131</v>
      </c>
      <c r="K231" s="43" t="n">
        <f aca="false">J231/$B$15</f>
        <v>470.088825610194</v>
      </c>
    </row>
    <row r="232" customFormat="false" ht="15" hidden="false" customHeight="false" outlineLevel="0" collapsed="false">
      <c r="A232" s="50" t="n">
        <v>192</v>
      </c>
      <c r="B232" s="19" t="n">
        <f aca="true">NORMINV(RAND(),$B$6,$C$6)</f>
        <v>0.109609841017536</v>
      </c>
      <c r="C232" s="19" t="n">
        <f aca="true">MAX(0.25,NORMINV(RAND(),$B$7,$C$7))</f>
        <v>0.427085196634423</v>
      </c>
      <c r="D232" s="32" t="n">
        <f aca="true">MAX(0.07,NORMINV(RAND(),$B$8,$C$8))</f>
        <v>0.100934928004973</v>
      </c>
      <c r="E232" s="51" t="n">
        <f aca="true">MAX(8,NORMINV(RAND(),$B$9,$C$9))</f>
        <v>22.7933698225602</v>
      </c>
      <c r="F232" s="24" t="n">
        <f aca="false">$B$18*(1+(B232+$B$17)/2)^9</f>
        <v>20107.8981206304</v>
      </c>
      <c r="G232" s="24" t="n">
        <f aca="false">F232*C232</f>
        <v>8587.78562275439</v>
      </c>
      <c r="H232" s="24" t="n">
        <f aca="false">E232*G232/(1+D232)^9</f>
        <v>82382.4833342086</v>
      </c>
      <c r="I232" s="24" t="n">
        <f aca="false">$B$13*G232/$B$12*((1+$B$8)/(1+D232))^4.5</f>
        <v>21761.8853895192</v>
      </c>
      <c r="J232" s="24" t="n">
        <f aca="false">H232+I232-$B$14</f>
        <v>96706.7679703032</v>
      </c>
      <c r="K232" s="43" t="n">
        <f aca="false">J232/$B$15</f>
        <v>504.732609448347</v>
      </c>
    </row>
    <row r="233" customFormat="false" ht="15" hidden="false" customHeight="false" outlineLevel="0" collapsed="false">
      <c r="A233" s="50" t="n">
        <v>193</v>
      </c>
      <c r="B233" s="19" t="n">
        <f aca="true">NORMINV(RAND(),$B$6,$C$6)</f>
        <v>0.139225339275481</v>
      </c>
      <c r="C233" s="19" t="n">
        <f aca="true">MAX(0.25,NORMINV(RAND(),$B$7,$C$7))</f>
        <v>0.431564697383587</v>
      </c>
      <c r="D233" s="32" t="n">
        <f aca="true">MAX(0.07,NORMINV(RAND(),$B$8,$C$8))</f>
        <v>0.0961173186485755</v>
      </c>
      <c r="E233" s="51" t="n">
        <f aca="true">MAX(8,NORMINV(RAND(),$B$9,$C$9))</f>
        <v>19.3050896164048</v>
      </c>
      <c r="F233" s="24" t="n">
        <f aca="false">$B$18*(1+(B233+$B$17)/2)^9</f>
        <v>22717.4444248172</v>
      </c>
      <c r="G233" s="24" t="n">
        <f aca="false">F233*C233</f>
        <v>9804.04702852469</v>
      </c>
      <c r="H233" s="24" t="n">
        <f aca="false">E233*G233/(1+D233)^9</f>
        <v>82863.6102456251</v>
      </c>
      <c r="I233" s="24" t="n">
        <f aca="false">$B$13*G233/$B$12*((1+$B$8)/(1+D233))^4.5</f>
        <v>25339.1158860988</v>
      </c>
      <c r="J233" s="24" t="n">
        <f aca="false">H233+I233-$B$14</f>
        <v>100765.125378299</v>
      </c>
      <c r="K233" s="43" t="n">
        <f aca="false">J233/$B$15</f>
        <v>525.91401554436</v>
      </c>
    </row>
    <row r="234" customFormat="false" ht="15" hidden="false" customHeight="false" outlineLevel="0" collapsed="false">
      <c r="A234" s="50" t="n">
        <v>194</v>
      </c>
      <c r="B234" s="19" t="n">
        <f aca="true">NORMINV(RAND(),$B$6,$C$6)</f>
        <v>0.142066074566254</v>
      </c>
      <c r="C234" s="19" t="n">
        <f aca="true">MAX(0.25,NORMINV(RAND(),$B$7,$C$7))</f>
        <v>0.450101169141867</v>
      </c>
      <c r="D234" s="32" t="n">
        <f aca="true">MAX(0.07,NORMINV(RAND(),$B$8,$C$8))</f>
        <v>0.0924624044556861</v>
      </c>
      <c r="E234" s="51" t="n">
        <f aca="true">MAX(8,NORMINV(RAND(),$B$9,$C$9))</f>
        <v>19.6415837781277</v>
      </c>
      <c r="F234" s="24" t="n">
        <f aca="false">$B$18*(1+(B234+$B$17)/2)^9</f>
        <v>22982.9098058246</v>
      </c>
      <c r="G234" s="24" t="n">
        <f aca="false">F234*C234</f>
        <v>10344.6345738837</v>
      </c>
      <c r="H234" s="24" t="n">
        <f aca="false">E234*G234/(1+D234)^9</f>
        <v>91671.2503682426</v>
      </c>
      <c r="I234" s="24" t="n">
        <f aca="false">$B$13*G234/$B$12*((1+$B$8)/(1+D234))^4.5</f>
        <v>27141.1754742327</v>
      </c>
      <c r="J234" s="24" t="n">
        <f aca="false">H234+I234-$B$14</f>
        <v>111374.825089051</v>
      </c>
      <c r="K234" s="43" t="n">
        <f aca="false">J234/$B$15</f>
        <v>581.288231153709</v>
      </c>
    </row>
    <row r="235" customFormat="false" ht="15" hidden="false" customHeight="false" outlineLevel="0" collapsed="false">
      <c r="A235" s="50" t="n">
        <v>195</v>
      </c>
      <c r="B235" s="19" t="n">
        <f aca="true">NORMINV(RAND(),$B$6,$C$6)</f>
        <v>0.0903468415462777</v>
      </c>
      <c r="C235" s="19" t="n">
        <f aca="true">MAX(0.25,NORMINV(RAND(),$B$7,$C$7))</f>
        <v>0.502398645640299</v>
      </c>
      <c r="D235" s="32" t="n">
        <f aca="true">MAX(0.07,NORMINV(RAND(),$B$8,$C$8))</f>
        <v>0.0846733270493886</v>
      </c>
      <c r="E235" s="51" t="n">
        <f aca="true">MAX(8,NORMINV(RAND(),$B$9,$C$9))</f>
        <v>18.0235648987289</v>
      </c>
      <c r="F235" s="24" t="n">
        <f aca="false">$B$18*(1+(B235+$B$17)/2)^9</f>
        <v>18557.0328136515</v>
      </c>
      <c r="G235" s="24" t="n">
        <f aca="false">F235*C235</f>
        <v>9323.02815268112</v>
      </c>
      <c r="H235" s="24" t="n">
        <f aca="false">E235*G235/(1+D235)^9</f>
        <v>80855.0303475567</v>
      </c>
      <c r="I235" s="24" t="n">
        <f aca="false">$B$13*G235/$B$12*((1+$B$8)/(1+D235))^4.5</f>
        <v>25261.2259284947</v>
      </c>
      <c r="J235" s="24" t="n">
        <f aca="false">H235+I235-$B$14</f>
        <v>98678.6555226268</v>
      </c>
      <c r="K235" s="43" t="n">
        <f aca="false">J235/$B$15</f>
        <v>515.024298134795</v>
      </c>
    </row>
    <row r="236" customFormat="false" ht="15" hidden="false" customHeight="false" outlineLevel="0" collapsed="false">
      <c r="A236" s="50" t="n">
        <v>196</v>
      </c>
      <c r="B236" s="19" t="n">
        <f aca="true">NORMINV(RAND(),$B$6,$C$6)</f>
        <v>0.0882107574517737</v>
      </c>
      <c r="C236" s="19" t="n">
        <f aca="true">MAX(0.25,NORMINV(RAND(),$B$7,$C$7))</f>
        <v>0.461857387171941</v>
      </c>
      <c r="D236" s="32" t="n">
        <f aca="true">MAX(0.07,NORMINV(RAND(),$B$8,$C$8))</f>
        <v>0.0892599243754163</v>
      </c>
      <c r="E236" s="51" t="n">
        <f aca="true">MAX(8,NORMINV(RAND(),$B$9,$C$9))</f>
        <v>18.9227296718161</v>
      </c>
      <c r="F236" s="24" t="n">
        <f aca="false">$B$18*(1+(B236+$B$17)/2)^9</f>
        <v>18391.7849731926</v>
      </c>
      <c r="G236" s="24" t="n">
        <f aca="false">F236*C236</f>
        <v>8494.38175314692</v>
      </c>
      <c r="H236" s="24" t="n">
        <f aca="false">E236*G236/(1+D236)^9</f>
        <v>74461.5085265359</v>
      </c>
      <c r="I236" s="24" t="n">
        <f aca="false">$B$13*G236/$B$12*((1+$B$8)/(1+D236))^4.5</f>
        <v>22583.0533511889</v>
      </c>
      <c r="J236" s="24" t="n">
        <f aca="false">H236+I236-$B$14</f>
        <v>89606.9611243001</v>
      </c>
      <c r="K236" s="43" t="n">
        <f aca="false">J236/$B$15</f>
        <v>467.677250126827</v>
      </c>
    </row>
    <row r="237" customFormat="false" ht="15" hidden="false" customHeight="false" outlineLevel="0" collapsed="false">
      <c r="A237" s="50" t="n">
        <v>197</v>
      </c>
      <c r="B237" s="19" t="n">
        <f aca="true">NORMINV(RAND(),$B$6,$C$6)</f>
        <v>0.0875749894440458</v>
      </c>
      <c r="C237" s="19" t="n">
        <f aca="true">MAX(0.25,NORMINV(RAND(),$B$7,$C$7))</f>
        <v>0.482089059769725</v>
      </c>
      <c r="D237" s="32" t="n">
        <f aca="true">MAX(0.07,NORMINV(RAND(),$B$8,$C$8))</f>
        <v>0.100241447304873</v>
      </c>
      <c r="E237" s="51" t="n">
        <f aca="true">MAX(8,NORMINV(RAND(),$B$9,$C$9))</f>
        <v>18.9774432086353</v>
      </c>
      <c r="F237" s="24" t="n">
        <f aca="false">$B$18*(1+(B237+$B$17)/2)^9</f>
        <v>18342.8550986573</v>
      </c>
      <c r="G237" s="24" t="n">
        <f aca="false">F237*C237</f>
        <v>8842.88976800403</v>
      </c>
      <c r="H237" s="24" t="n">
        <f aca="false">E237*G237/(1+D237)^9</f>
        <v>71029.6868991507</v>
      </c>
      <c r="I237" s="24" t="n">
        <f aca="false">$B$13*G237/$B$12*((1+$B$8)/(1+D237))^4.5</f>
        <v>22471.9601432733</v>
      </c>
      <c r="J237" s="24" t="n">
        <f aca="false">H237+I237-$B$14</f>
        <v>86064.0462889993</v>
      </c>
      <c r="K237" s="43" t="n">
        <f aca="false">J237/$B$15</f>
        <v>449.186045349683</v>
      </c>
    </row>
    <row r="238" customFormat="false" ht="15" hidden="false" customHeight="false" outlineLevel="0" collapsed="false">
      <c r="A238" s="50" t="n">
        <v>198</v>
      </c>
      <c r="B238" s="19" t="n">
        <f aca="true">NORMINV(RAND(),$B$6,$C$6)</f>
        <v>0.106020080194265</v>
      </c>
      <c r="C238" s="19" t="n">
        <f aca="true">MAX(0.25,NORMINV(RAND(),$B$7,$C$7))</f>
        <v>0.471105872251294</v>
      </c>
      <c r="D238" s="32" t="n">
        <f aca="true">MAX(0.07,NORMINV(RAND(),$B$8,$C$8))</f>
        <v>0.105326588821485</v>
      </c>
      <c r="E238" s="51" t="n">
        <f aca="true">MAX(8,NORMINV(RAND(),$B$9,$C$9))</f>
        <v>19.0544766176247</v>
      </c>
      <c r="F238" s="24" t="n">
        <f aca="false">$B$18*(1+(B238+$B$17)/2)^9</f>
        <v>19810.4437379357</v>
      </c>
      <c r="G238" s="24" t="n">
        <f aca="false">F238*C238</f>
        <v>9332.8163768454</v>
      </c>
      <c r="H238" s="24" t="n">
        <f aca="false">E238*G238/(1+D238)^9</f>
        <v>72209.4755525932</v>
      </c>
      <c r="I238" s="24" t="n">
        <f aca="false">$B$13*G238/$B$12*((1+$B$8)/(1+D238))^4.5</f>
        <v>23229.9189329796</v>
      </c>
      <c r="J238" s="24" t="n">
        <f aca="false">H238+I238-$B$14</f>
        <v>88001.7937321481</v>
      </c>
      <c r="K238" s="43" t="n">
        <f aca="false">J238/$B$15</f>
        <v>459.299549750251</v>
      </c>
    </row>
    <row r="239" customFormat="false" ht="15" hidden="false" customHeight="false" outlineLevel="0" collapsed="false">
      <c r="A239" s="50" t="n">
        <v>199</v>
      </c>
      <c r="B239" s="19" t="n">
        <f aca="true">NORMINV(RAND(),$B$6,$C$6)</f>
        <v>0.12455468198464</v>
      </c>
      <c r="C239" s="19" t="n">
        <f aca="true">MAX(0.25,NORMINV(RAND(),$B$7,$C$7))</f>
        <v>0.471936591146347</v>
      </c>
      <c r="D239" s="32" t="n">
        <f aca="true">MAX(0.07,NORMINV(RAND(),$B$8,$C$8))</f>
        <v>0.112558450566986</v>
      </c>
      <c r="E239" s="51" t="n">
        <f aca="true">MAX(8,NORMINV(RAND(),$B$9,$C$9))</f>
        <v>18.1273521007583</v>
      </c>
      <c r="F239" s="24" t="n">
        <f aca="false">$B$18*(1+(B239+$B$17)/2)^9</f>
        <v>21389.3791142794</v>
      </c>
      <c r="G239" s="24" t="n">
        <f aca="false">F239*C239</f>
        <v>10094.4306659299</v>
      </c>
      <c r="H239" s="24" t="n">
        <f aca="false">E239*G239/(1+D239)^9</f>
        <v>70066.5394639301</v>
      </c>
      <c r="I239" s="24" t="n">
        <f aca="false">$B$13*G239/$B$12*((1+$B$8)/(1+D239))^4.5</f>
        <v>24398.9880373519</v>
      </c>
      <c r="J239" s="24" t="n">
        <f aca="false">H239+I239-$B$14</f>
        <v>87027.9267478573</v>
      </c>
      <c r="K239" s="43" t="n">
        <f aca="false">J239/$B$15</f>
        <v>454.21673667984</v>
      </c>
    </row>
    <row r="240" customFormat="false" ht="15" hidden="false" customHeight="false" outlineLevel="0" collapsed="false">
      <c r="A240" s="50" t="n">
        <v>200</v>
      </c>
      <c r="B240" s="19" t="n">
        <f aca="true">NORMINV(RAND(),$B$6,$C$6)</f>
        <v>0.0870231300635012</v>
      </c>
      <c r="C240" s="19" t="n">
        <f aca="true">MAX(0.25,NORMINV(RAND(),$B$7,$C$7))</f>
        <v>0.4221980075895</v>
      </c>
      <c r="D240" s="32" t="n">
        <f aca="true">MAX(0.07,NORMINV(RAND(),$B$8,$C$8))</f>
        <v>0.0958189486849851</v>
      </c>
      <c r="E240" s="51" t="n">
        <f aca="true">MAX(8,NORMINV(RAND(),$B$9,$C$9))</f>
        <v>20.1846613919323</v>
      </c>
      <c r="F240" s="24" t="n">
        <f aca="false">$B$18*(1+(B240+$B$17)/2)^9</f>
        <v>18300.4768334632</v>
      </c>
      <c r="G240" s="24" t="n">
        <f aca="false">F240*C240</f>
        <v>7726.42485702594</v>
      </c>
      <c r="H240" s="24" t="n">
        <f aca="false">E240*G240/(1+D240)^9</f>
        <v>68446.4298653633</v>
      </c>
      <c r="I240" s="24" t="n">
        <f aca="false">$B$13*G240/$B$12*((1+$B$8)/(1+D240))^4.5</f>
        <v>19993.8628662991</v>
      </c>
      <c r="J240" s="24" t="n">
        <f aca="false">H240+I240-$B$14</f>
        <v>81002.6919782377</v>
      </c>
      <c r="K240" s="43" t="n">
        <f aca="false">J240/$B$15</f>
        <v>422.769791118151</v>
      </c>
    </row>
    <row r="241" customFormat="false" ht="15" hidden="false" customHeight="false" outlineLevel="0" collapsed="false">
      <c r="A241" s="50" t="n">
        <v>201</v>
      </c>
      <c r="B241" s="19" t="n">
        <f aca="true">NORMINV(RAND(),$B$6,$C$6)</f>
        <v>0.0750054031296842</v>
      </c>
      <c r="C241" s="19" t="n">
        <f aca="true">MAX(0.25,NORMINV(RAND(),$B$7,$C$7))</f>
        <v>0.509330675458864</v>
      </c>
      <c r="D241" s="32" t="n">
        <f aca="true">MAX(0.07,NORMINV(RAND(),$B$8,$C$8))</f>
        <v>0.0985627270294922</v>
      </c>
      <c r="E241" s="51" t="n">
        <f aca="true">MAX(8,NORMINV(RAND(),$B$9,$C$9))</f>
        <v>15.8464152608966</v>
      </c>
      <c r="F241" s="24" t="n">
        <f aca="false">$B$18*(1+(B241+$B$17)/2)^9</f>
        <v>17398.9365124135</v>
      </c>
      <c r="G241" s="24" t="n">
        <f aca="false">F241*C241</f>
        <v>8861.81208613348</v>
      </c>
      <c r="H241" s="24" t="n">
        <f aca="false">E241*G241/(1+D241)^9</f>
        <v>60260.0976075666</v>
      </c>
      <c r="I241" s="24" t="n">
        <f aca="false">$B$13*G241/$B$12*((1+$B$8)/(1+D241))^4.5</f>
        <v>22675.3196402208</v>
      </c>
      <c r="J241" s="24" t="n">
        <f aca="false">H241+I241-$B$14</f>
        <v>75497.8164943627</v>
      </c>
      <c r="K241" s="43" t="n">
        <f aca="false">J241/$B$15</f>
        <v>394.038708216924</v>
      </c>
    </row>
    <row r="242" customFormat="false" ht="15" hidden="false" customHeight="false" outlineLevel="0" collapsed="false">
      <c r="A242" s="50" t="n">
        <v>202</v>
      </c>
      <c r="B242" s="19" t="n">
        <f aca="true">NORMINV(RAND(),$B$6,$C$6)</f>
        <v>0.147769149961132</v>
      </c>
      <c r="C242" s="19" t="n">
        <f aca="true">MAX(0.25,NORMINV(RAND(),$B$7,$C$7))</f>
        <v>0.491347382238688</v>
      </c>
      <c r="D242" s="32" t="n">
        <f aca="true">MAX(0.07,NORMINV(RAND(),$B$8,$C$8))</f>
        <v>0.109873096574404</v>
      </c>
      <c r="E242" s="51" t="n">
        <f aca="true">MAX(8,NORMINV(RAND(),$B$9,$C$9))</f>
        <v>20.1676918820935</v>
      </c>
      <c r="F242" s="24" t="n">
        <f aca="false">$B$18*(1+(B242+$B$17)/2)^9</f>
        <v>23524.1988428899</v>
      </c>
      <c r="G242" s="24" t="n">
        <f aca="false">F242*C242</f>
        <v>11558.5535207164</v>
      </c>
      <c r="H242" s="24" t="n">
        <f aca="false">E242*G242/(1+D242)^9</f>
        <v>91222.0375099073</v>
      </c>
      <c r="I242" s="24" t="n">
        <f aca="false">$B$13*G242/$B$12*((1+$B$8)/(1+D242))^4.5</f>
        <v>28243.3546721058</v>
      </c>
      <c r="J242" s="24" t="n">
        <f aca="false">H242+I242-$B$14</f>
        <v>112027.791428588</v>
      </c>
      <c r="K242" s="43" t="n">
        <f aca="false">J242/$B$15</f>
        <v>584.696197435221</v>
      </c>
    </row>
    <row r="243" customFormat="false" ht="15" hidden="false" customHeight="false" outlineLevel="0" collapsed="false">
      <c r="A243" s="50" t="n">
        <v>203</v>
      </c>
      <c r="B243" s="19" t="n">
        <f aca="true">NORMINV(RAND(),$B$6,$C$6)</f>
        <v>0.0851903815280925</v>
      </c>
      <c r="C243" s="19" t="n">
        <f aca="true">MAX(0.25,NORMINV(RAND(),$B$7,$C$7))</f>
        <v>0.491395655652083</v>
      </c>
      <c r="D243" s="32" t="n">
        <f aca="true">MAX(0.07,NORMINV(RAND(),$B$8,$C$8))</f>
        <v>0.0962292513824503</v>
      </c>
      <c r="E243" s="51" t="n">
        <f aca="true">MAX(8,NORMINV(RAND(),$B$9,$C$9))</f>
        <v>18.7905281471897</v>
      </c>
      <c r="F243" s="24" t="n">
        <f aca="false">$B$18*(1+(B243+$B$17)/2)^9</f>
        <v>18160.3605528483</v>
      </c>
      <c r="G243" s="24" t="n">
        <f aca="false">F243*C243</f>
        <v>8923.92228074513</v>
      </c>
      <c r="H243" s="24" t="n">
        <f aca="false">E243*G243/(1+D243)^9</f>
        <v>73346.9886956565</v>
      </c>
      <c r="I243" s="24" t="n">
        <f aca="false">$B$13*G243/$B$12*((1+$B$8)/(1+D243))^4.5</f>
        <v>23053.7877627461</v>
      </c>
      <c r="J243" s="24" t="n">
        <f aca="false">H243+I243-$B$14</f>
        <v>88963.1757049779</v>
      </c>
      <c r="K243" s="43" t="n">
        <f aca="false">J243/$B$15</f>
        <v>464.317200965438</v>
      </c>
    </row>
    <row r="244" customFormat="false" ht="15" hidden="false" customHeight="false" outlineLevel="0" collapsed="false">
      <c r="A244" s="50" t="n">
        <v>204</v>
      </c>
      <c r="B244" s="19" t="n">
        <f aca="true">NORMINV(RAND(),$B$6,$C$6)</f>
        <v>0.0669760073209429</v>
      </c>
      <c r="C244" s="19" t="n">
        <f aca="true">MAX(0.25,NORMINV(RAND(),$B$7,$C$7))</f>
        <v>0.514737957479034</v>
      </c>
      <c r="D244" s="32" t="n">
        <f aca="true">MAX(0.07,NORMINV(RAND(),$B$8,$C$8))</f>
        <v>0.0989829219088376</v>
      </c>
      <c r="E244" s="51" t="n">
        <f aca="true">MAX(8,NORMINV(RAND(),$B$9,$C$9))</f>
        <v>17.7223181933955</v>
      </c>
      <c r="F244" s="24" t="n">
        <f aca="false">$B$18*(1+(B244+$B$17)/2)^9</f>
        <v>16818.8081427591</v>
      </c>
      <c r="G244" s="24" t="n">
        <f aca="false">F244*C244</f>
        <v>8657.27895063555</v>
      </c>
      <c r="H244" s="24" t="n">
        <f aca="false">E244*G244/(1+D244)^9</f>
        <v>65612.0260915838</v>
      </c>
      <c r="I244" s="24" t="n">
        <f aca="false">$B$13*G244/$B$12*((1+$B$8)/(1+D244))^4.5</f>
        <v>22113.8783204681</v>
      </c>
      <c r="J244" s="24" t="n">
        <f aca="false">H244+I244-$B$14</f>
        <v>80288.3036586272</v>
      </c>
      <c r="K244" s="43" t="n">
        <f aca="false">J244/$B$15</f>
        <v>419.041250827908</v>
      </c>
    </row>
    <row r="245" customFormat="false" ht="15" hidden="false" customHeight="false" outlineLevel="0" collapsed="false">
      <c r="A245" s="50" t="n">
        <v>205</v>
      </c>
      <c r="B245" s="19" t="n">
        <f aca="true">NORMINV(RAND(),$B$6,$C$6)</f>
        <v>0.060048690140171</v>
      </c>
      <c r="C245" s="19" t="n">
        <f aca="true">MAX(0.25,NORMINV(RAND(),$B$7,$C$7))</f>
        <v>0.461095688884446</v>
      </c>
      <c r="D245" s="32" t="n">
        <f aca="true">MAX(0.07,NORMINV(RAND(),$B$8,$C$8))</f>
        <v>0.0903251411029145</v>
      </c>
      <c r="E245" s="51" t="n">
        <f aca="true">MAX(8,NORMINV(RAND(),$B$9,$C$9))</f>
        <v>22.1671929134122</v>
      </c>
      <c r="F245" s="24" t="n">
        <f aca="false">$B$18*(1+(B245+$B$17)/2)^9</f>
        <v>16332.189670666</v>
      </c>
      <c r="G245" s="24" t="n">
        <f aca="false">F245*C245</f>
        <v>7530.70224718716</v>
      </c>
      <c r="H245" s="24" t="n">
        <f aca="false">E245*G245/(1+D245)^9</f>
        <v>76655.256383584</v>
      </c>
      <c r="I245" s="24" t="n">
        <f aca="false">$B$13*G245/$B$12*((1+$B$8)/(1+D245))^4.5</f>
        <v>19933.157967521</v>
      </c>
      <c r="J245" s="24" t="n">
        <f aca="false">H245+I245-$B$14</f>
        <v>89150.8135976804</v>
      </c>
      <c r="K245" s="43" t="n">
        <f aca="false">J245/$B$15</f>
        <v>465.296521908561</v>
      </c>
    </row>
    <row r="246" customFormat="false" ht="15" hidden="false" customHeight="false" outlineLevel="0" collapsed="false">
      <c r="A246" s="50" t="n">
        <v>206</v>
      </c>
      <c r="B246" s="19" t="n">
        <f aca="true">NORMINV(RAND(),$B$6,$C$6)</f>
        <v>0.132310939102403</v>
      </c>
      <c r="C246" s="19" t="n">
        <f aca="true">MAX(0.25,NORMINV(RAND(),$B$7,$C$7))</f>
        <v>0.442724461190408</v>
      </c>
      <c r="D246" s="32" t="n">
        <f aca="true">MAX(0.07,NORMINV(RAND(),$B$8,$C$8))</f>
        <v>0.102533194690878</v>
      </c>
      <c r="E246" s="51" t="n">
        <f aca="true">MAX(8,NORMINV(RAND(),$B$9,$C$9))</f>
        <v>20.1353459204879</v>
      </c>
      <c r="F246" s="24" t="n">
        <f aca="false">$B$18*(1+(B246+$B$17)/2)^9</f>
        <v>22082.6533687526</v>
      </c>
      <c r="G246" s="24" t="n">
        <f aca="false">F246*C246</f>
        <v>9776.53081433553</v>
      </c>
      <c r="H246" s="24" t="n">
        <f aca="false">E246*G246/(1+D246)^9</f>
        <v>81774.6705626147</v>
      </c>
      <c r="I246" s="24" t="n">
        <f aca="false">$B$13*G246/$B$12*((1+$B$8)/(1+D246))^4.5</f>
        <v>24613.0249040511</v>
      </c>
      <c r="J246" s="24" t="n">
        <f aca="false">H246+I246-$B$14</f>
        <v>98950.0947132412</v>
      </c>
      <c r="K246" s="43" t="n">
        <f aca="false">J246/$B$15</f>
        <v>516.440995371823</v>
      </c>
    </row>
    <row r="247" customFormat="false" ht="15" hidden="false" customHeight="false" outlineLevel="0" collapsed="false">
      <c r="A247" s="50" t="n">
        <v>207</v>
      </c>
      <c r="B247" s="19" t="n">
        <f aca="true">NORMINV(RAND(),$B$6,$C$6)</f>
        <v>0.0872219305724093</v>
      </c>
      <c r="C247" s="19" t="n">
        <f aca="true">MAX(0.25,NORMINV(RAND(),$B$7,$C$7))</f>
        <v>0.465133323115948</v>
      </c>
      <c r="D247" s="32" t="n">
        <f aca="true">MAX(0.07,NORMINV(RAND(),$B$8,$C$8))</f>
        <v>0.0894402176974376</v>
      </c>
      <c r="E247" s="51" t="n">
        <f aca="true">MAX(8,NORMINV(RAND(),$B$9,$C$9))</f>
        <v>19.2781006462743</v>
      </c>
      <c r="F247" s="24" t="n">
        <f aca="false">$B$18*(1+(B247+$B$17)/2)^9</f>
        <v>18315.7330393256</v>
      </c>
      <c r="G247" s="24" t="n">
        <f aca="false">F247*C247</f>
        <v>8519.25777388606</v>
      </c>
      <c r="H247" s="24" t="n">
        <f aca="false">E247*G247/(1+D247)^9</f>
        <v>75968.8181229474</v>
      </c>
      <c r="I247" s="24" t="n">
        <f aca="false">$B$13*G247/$B$12*((1+$B$8)/(1+D247))^4.5</f>
        <v>22632.3261641719</v>
      </c>
      <c r="J247" s="24" t="n">
        <f aca="false">H247+I247-$B$14</f>
        <v>91163.5435336946</v>
      </c>
      <c r="K247" s="43" t="n">
        <f aca="false">J247/$B$15</f>
        <v>475.801375436819</v>
      </c>
    </row>
    <row r="248" customFormat="false" ht="15" hidden="false" customHeight="false" outlineLevel="0" collapsed="false">
      <c r="A248" s="50" t="n">
        <v>208</v>
      </c>
      <c r="B248" s="19" t="n">
        <f aca="true">NORMINV(RAND(),$B$6,$C$6)</f>
        <v>0.00490277560446804</v>
      </c>
      <c r="C248" s="19" t="n">
        <f aca="true">MAX(0.25,NORMINV(RAND(),$B$7,$C$7))</f>
        <v>0.455562363758105</v>
      </c>
      <c r="D248" s="32" t="n">
        <f aca="true">MAX(0.07,NORMINV(RAND(),$B$8,$C$8))</f>
        <v>0.0865883287469104</v>
      </c>
      <c r="E248" s="51" t="n">
        <f aca="true">MAX(8,NORMINV(RAND(),$B$9,$C$9))</f>
        <v>22.2420425232839</v>
      </c>
      <c r="F248" s="24" t="n">
        <f aca="false">$B$18*(1+(B248+$B$17)/2)^9</f>
        <v>12883.3370786642</v>
      </c>
      <c r="G248" s="24" t="n">
        <f aca="false">F248*C248</f>
        <v>5869.16349264868</v>
      </c>
      <c r="H248" s="24" t="n">
        <f aca="false">E248*G248/(1+D248)^9</f>
        <v>61825.203033154</v>
      </c>
      <c r="I248" s="24" t="n">
        <f aca="false">$B$13*G248/$B$12*((1+$B$8)/(1+D248))^4.5</f>
        <v>15777.0679630016</v>
      </c>
      <c r="J248" s="24" t="n">
        <f aca="false">H248+I248-$B$14</f>
        <v>70164.670242731</v>
      </c>
      <c r="K248" s="43" t="n">
        <f aca="false">J248/$B$15</f>
        <v>366.203915671874</v>
      </c>
    </row>
    <row r="249" customFormat="false" ht="15" hidden="false" customHeight="false" outlineLevel="0" collapsed="false">
      <c r="A249" s="50" t="n">
        <v>209</v>
      </c>
      <c r="B249" s="19" t="n">
        <f aca="true">NORMINV(RAND(),$B$6,$C$6)</f>
        <v>0.155469650099005</v>
      </c>
      <c r="C249" s="19" t="n">
        <f aca="true">MAX(0.25,NORMINV(RAND(),$B$7,$C$7))</f>
        <v>0.472687756658903</v>
      </c>
      <c r="D249" s="32" t="n">
        <f aca="true">MAX(0.07,NORMINV(RAND(),$B$8,$C$8))</f>
        <v>0.0943126587710732</v>
      </c>
      <c r="E249" s="51" t="n">
        <f aca="true">MAX(8,NORMINV(RAND(),$B$9,$C$9))</f>
        <v>19.8038231526821</v>
      </c>
      <c r="F249" s="24" t="n">
        <f aca="false">$B$18*(1+(B249+$B$17)/2)^9</f>
        <v>24273.038354956</v>
      </c>
      <c r="G249" s="24" t="n">
        <f aca="false">F249*C249</f>
        <v>11473.5680472997</v>
      </c>
      <c r="H249" s="24" t="n">
        <f aca="false">E249*G249/(1+D249)^9</f>
        <v>100965.901528207</v>
      </c>
      <c r="I249" s="24" t="n">
        <f aca="false">$B$13*G249/$B$12*((1+$B$8)/(1+D249))^4.5</f>
        <v>29874.7886953085</v>
      </c>
      <c r="J249" s="24" t="n">
        <f aca="false">H249+I249-$B$14</f>
        <v>123403.08947009</v>
      </c>
      <c r="K249" s="43" t="n">
        <f aca="false">J249/$B$15</f>
        <v>644.066228967069</v>
      </c>
    </row>
    <row r="250" customFormat="false" ht="15" hidden="false" customHeight="false" outlineLevel="0" collapsed="false">
      <c r="A250" s="50" t="n">
        <v>210</v>
      </c>
      <c r="B250" s="19" t="n">
        <f aca="true">NORMINV(RAND(),$B$6,$C$6)</f>
        <v>0.126482264913162</v>
      </c>
      <c r="C250" s="19" t="n">
        <f aca="true">MAX(0.25,NORMINV(RAND(),$B$7,$C$7))</f>
        <v>0.454836282615565</v>
      </c>
      <c r="D250" s="32" t="n">
        <f aca="true">MAX(0.07,NORMINV(RAND(),$B$8,$C$8))</f>
        <v>0.0874793390906801</v>
      </c>
      <c r="E250" s="51" t="n">
        <f aca="true">MAX(8,NORMINV(RAND(),$B$9,$C$9))</f>
        <v>16.3897648565386</v>
      </c>
      <c r="F250" s="24" t="n">
        <f aca="false">$B$18*(1+(B250+$B$17)/2)^9</f>
        <v>21559.8397566577</v>
      </c>
      <c r="G250" s="24" t="n">
        <f aca="false">F250*C250</f>
        <v>9806.19736870547</v>
      </c>
      <c r="H250" s="24" t="n">
        <f aca="false">E250*G250/(1+D250)^9</f>
        <v>75558.6555167181</v>
      </c>
      <c r="I250" s="24" t="n">
        <f aca="false">$B$13*G250/$B$12*((1+$B$8)/(1+D250))^4.5</f>
        <v>26263.270982183</v>
      </c>
      <c r="J250" s="24" t="n">
        <f aca="false">H250+I250-$B$14</f>
        <v>94384.3257454764</v>
      </c>
      <c r="K250" s="43" t="n">
        <f aca="false">J250/$B$15</f>
        <v>492.611303473259</v>
      </c>
    </row>
    <row r="251" customFormat="false" ht="15" hidden="false" customHeight="false" outlineLevel="0" collapsed="false">
      <c r="A251" s="50" t="n">
        <v>211</v>
      </c>
      <c r="B251" s="19" t="n">
        <f aca="true">NORMINV(RAND(),$B$6,$C$6)</f>
        <v>0.089193088474272</v>
      </c>
      <c r="C251" s="19" t="n">
        <f aca="true">MAX(0.25,NORMINV(RAND(),$B$7,$C$7))</f>
        <v>0.470030523553021</v>
      </c>
      <c r="D251" s="32" t="n">
        <f aca="true">MAX(0.07,NORMINV(RAND(),$B$8,$C$8))</f>
        <v>0.0914230872345755</v>
      </c>
      <c r="E251" s="51" t="n">
        <f aca="true">MAX(8,NORMINV(RAND(),$B$9,$C$9))</f>
        <v>18.046968922331</v>
      </c>
      <c r="F251" s="24" t="n">
        <f aca="false">$B$18*(1+(B251+$B$17)/2)^9</f>
        <v>18467.6151132485</v>
      </c>
      <c r="G251" s="24" t="n">
        <f aca="false">F251*C251</f>
        <v>8680.34280045589</v>
      </c>
      <c r="H251" s="24" t="n">
        <f aca="false">E251*G251/(1+D251)^9</f>
        <v>71285.7823168759</v>
      </c>
      <c r="I251" s="24" t="n">
        <f aca="false">$B$13*G251/$B$12*((1+$B$8)/(1+D251))^4.5</f>
        <v>22872.3355318294</v>
      </c>
      <c r="J251" s="24" t="n">
        <f aca="false">H251+I251-$B$14</f>
        <v>86720.5170952807</v>
      </c>
      <c r="K251" s="43" t="n">
        <f aca="false">J251/$B$15</f>
        <v>452.612302167436</v>
      </c>
    </row>
    <row r="252" customFormat="false" ht="15" hidden="false" customHeight="false" outlineLevel="0" collapsed="false">
      <c r="A252" s="50" t="n">
        <v>212</v>
      </c>
      <c r="B252" s="19" t="n">
        <f aca="true">NORMINV(RAND(),$B$6,$C$6)</f>
        <v>0.110268269032284</v>
      </c>
      <c r="C252" s="19" t="n">
        <f aca="true">MAX(0.25,NORMINV(RAND(),$B$7,$C$7))</f>
        <v>0.461858703942007</v>
      </c>
      <c r="D252" s="32" t="n">
        <f aca="true">MAX(0.07,NORMINV(RAND(),$B$8,$C$8))</f>
        <v>0.100854844199655</v>
      </c>
      <c r="E252" s="51" t="n">
        <f aca="true">MAX(8,NORMINV(RAND(),$B$9,$C$9))</f>
        <v>12.5095850274255</v>
      </c>
      <c r="F252" s="24" t="n">
        <f aca="false">$B$18*(1+(B252+$B$17)/2)^9</f>
        <v>20162.885508877</v>
      </c>
      <c r="G252" s="24" t="n">
        <f aca="false">F252*C252</f>
        <v>9312.40416886099</v>
      </c>
      <c r="H252" s="24" t="n">
        <f aca="false">E252*G252/(1+D252)^9</f>
        <v>49060.7518564333</v>
      </c>
      <c r="I252" s="24" t="n">
        <f aca="false">$B$13*G252/$B$12*((1+$B$8)/(1+D252))^4.5</f>
        <v>23605.8317133783</v>
      </c>
      <c r="J252" s="24" t="n">
        <f aca="false">H252+I252-$B$14</f>
        <v>65228.9828163869</v>
      </c>
      <c r="K252" s="43" t="n">
        <f aca="false">J252/$B$15</f>
        <v>340.443542883021</v>
      </c>
    </row>
    <row r="253" customFormat="false" ht="15" hidden="false" customHeight="false" outlineLevel="0" collapsed="false">
      <c r="A253" s="50" t="n">
        <v>213</v>
      </c>
      <c r="B253" s="19" t="n">
        <f aca="true">NORMINV(RAND(),$B$6,$C$6)</f>
        <v>0.129785396237021</v>
      </c>
      <c r="C253" s="19" t="n">
        <f aca="true">MAX(0.25,NORMINV(RAND(),$B$7,$C$7))</f>
        <v>0.476391898554426</v>
      </c>
      <c r="D253" s="32" t="n">
        <f aca="true">MAX(0.07,NORMINV(RAND(),$B$8,$C$8))</f>
        <v>0.105813256014994</v>
      </c>
      <c r="E253" s="51" t="n">
        <f aca="true">MAX(8,NORMINV(RAND(),$B$9,$C$9))</f>
        <v>16.7857293252682</v>
      </c>
      <c r="F253" s="24" t="n">
        <f aca="false">$B$18*(1+(B253+$B$17)/2)^9</f>
        <v>21854.7525432328</v>
      </c>
      <c r="G253" s="24" t="n">
        <f aca="false">F253*C253</f>
        <v>10411.4270565078</v>
      </c>
      <c r="H253" s="24" t="n">
        <f aca="false">E253*G253/(1+D253)^9</f>
        <v>70682.8985302963</v>
      </c>
      <c r="I253" s="24" t="n">
        <f aca="false">$B$13*G253/$B$12*((1+$B$8)/(1+D253))^4.5</f>
        <v>25863.3601908318</v>
      </c>
      <c r="J253" s="24" t="n">
        <f aca="false">H253+I253-$B$14</f>
        <v>89108.6579677034</v>
      </c>
      <c r="K253" s="43" t="n">
        <f aca="false">J253/$B$15</f>
        <v>465.076502962961</v>
      </c>
    </row>
    <row r="254" customFormat="false" ht="15" hidden="false" customHeight="false" outlineLevel="0" collapsed="false">
      <c r="A254" s="50" t="n">
        <v>214</v>
      </c>
      <c r="B254" s="19" t="n">
        <f aca="true">NORMINV(RAND(),$B$6,$C$6)</f>
        <v>0.0942738162634771</v>
      </c>
      <c r="C254" s="19" t="n">
        <f aca="true">MAX(0.25,NORMINV(RAND(),$B$7,$C$7))</f>
        <v>0.469780684601486</v>
      </c>
      <c r="D254" s="32" t="n">
        <f aca="true">MAX(0.07,NORMINV(RAND(),$B$8,$C$8))</f>
        <v>0.117933190762321</v>
      </c>
      <c r="E254" s="51" t="n">
        <f aca="true">MAX(8,NORMINV(RAND(),$B$9,$C$9))</f>
        <v>20.2521745218645</v>
      </c>
      <c r="F254" s="24" t="n">
        <f aca="false">$B$18*(1+(B254+$B$17)/2)^9</f>
        <v>18864.2708666762</v>
      </c>
      <c r="G254" s="24" t="n">
        <f aca="false">F254*C254</f>
        <v>8862.07008225499</v>
      </c>
      <c r="H254" s="24" t="n">
        <f aca="false">E254*G254/(1+D254)^9</f>
        <v>65805.8023673503</v>
      </c>
      <c r="I254" s="24" t="n">
        <f aca="false">$B$13*G254/$B$12*((1+$B$8)/(1+D254))^4.5</f>
        <v>20960.7396747243</v>
      </c>
      <c r="J254" s="24" t="n">
        <f aca="false">H254+I254-$B$14</f>
        <v>79328.9412886499</v>
      </c>
      <c r="K254" s="43" t="n">
        <f aca="false">J254/$B$15</f>
        <v>414.034140337421</v>
      </c>
    </row>
    <row r="255" customFormat="false" ht="15" hidden="false" customHeight="false" outlineLevel="0" collapsed="false">
      <c r="A255" s="50" t="n">
        <v>215</v>
      </c>
      <c r="B255" s="19" t="n">
        <f aca="true">NORMINV(RAND(),$B$6,$C$6)</f>
        <v>0.133421802811742</v>
      </c>
      <c r="C255" s="19" t="n">
        <f aca="true">MAX(0.25,NORMINV(RAND(),$B$7,$C$7))</f>
        <v>0.433796803055321</v>
      </c>
      <c r="D255" s="32" t="n">
        <f aca="true">MAX(0.07,NORMINV(RAND(),$B$8,$C$8))</f>
        <v>0.0887625601749146</v>
      </c>
      <c r="E255" s="51" t="n">
        <f aca="true">MAX(8,NORMINV(RAND(),$B$9,$C$9))</f>
        <v>18.6013132428618</v>
      </c>
      <c r="F255" s="24" t="n">
        <f aca="false">$B$18*(1+(B255+$B$17)/2)^9</f>
        <v>22183.5630386084</v>
      </c>
      <c r="G255" s="24" t="n">
        <f aca="false">F255*C255</f>
        <v>9623.15872652449</v>
      </c>
      <c r="H255" s="24" t="n">
        <f aca="false">E255*G255/(1+D255)^9</f>
        <v>83265.0317746356</v>
      </c>
      <c r="I255" s="24" t="n">
        <f aca="false">$B$13*G255/$B$12*((1+$B$8)/(1+D255))^4.5</f>
        <v>25636.6395856583</v>
      </c>
      <c r="J255" s="24" t="n">
        <f aca="false">H255+I255-$B$14</f>
        <v>101464.070606869</v>
      </c>
      <c r="K255" s="43" t="n">
        <f aca="false">J255/$B$15</f>
        <v>529.561955150675</v>
      </c>
    </row>
    <row r="256" customFormat="false" ht="15" hidden="false" customHeight="false" outlineLevel="0" collapsed="false">
      <c r="A256" s="50" t="n">
        <v>216</v>
      </c>
      <c r="B256" s="19" t="n">
        <f aca="true">NORMINV(RAND(),$B$6,$C$6)</f>
        <v>0.069679965313525</v>
      </c>
      <c r="C256" s="19" t="n">
        <f aca="true">MAX(0.25,NORMINV(RAND(),$B$7,$C$7))</f>
        <v>0.45158608826975</v>
      </c>
      <c r="D256" s="32" t="n">
        <f aca="true">MAX(0.07,NORMINV(RAND(),$B$8,$C$8))</f>
        <v>0.0932565715404427</v>
      </c>
      <c r="E256" s="51" t="n">
        <f aca="true">MAX(8,NORMINV(RAND(),$B$9,$C$9))</f>
        <v>15.750028679955</v>
      </c>
      <c r="F256" s="24" t="n">
        <f aca="false">$B$18*(1+(B256+$B$17)/2)^9</f>
        <v>17012.2205940511</v>
      </c>
      <c r="G256" s="24" t="n">
        <f aca="false">F256*C256</f>
        <v>7682.48215084962</v>
      </c>
      <c r="H256" s="24" t="n">
        <f aca="false">E256*G256/(1+D256)^9</f>
        <v>54235.5488956287</v>
      </c>
      <c r="I256" s="24" t="n">
        <f aca="false">$B$13*G256/$B$12*((1+$B$8)/(1+D256))^4.5</f>
        <v>20090.6910735172</v>
      </c>
      <c r="J256" s="24" t="n">
        <f aca="false">H256+I256-$B$14</f>
        <v>66888.6392157213</v>
      </c>
      <c r="K256" s="43" t="n">
        <f aca="false">J256/$B$15</f>
        <v>349.105632649902</v>
      </c>
    </row>
    <row r="257" customFormat="false" ht="15" hidden="false" customHeight="false" outlineLevel="0" collapsed="false">
      <c r="A257" s="50" t="n">
        <v>217</v>
      </c>
      <c r="B257" s="19" t="n">
        <f aca="true">NORMINV(RAND(),$B$6,$C$6)</f>
        <v>0.109950211419558</v>
      </c>
      <c r="C257" s="19" t="n">
        <f aca="true">MAX(0.25,NORMINV(RAND(),$B$7,$C$7))</f>
        <v>0.445133947459154</v>
      </c>
      <c r="D257" s="32" t="n">
        <f aca="true">MAX(0.07,NORMINV(RAND(),$B$8,$C$8))</f>
        <v>0.0914751833130657</v>
      </c>
      <c r="E257" s="51" t="n">
        <f aca="true">MAX(8,NORMINV(RAND(),$B$9,$C$9))</f>
        <v>15.92628888874</v>
      </c>
      <c r="F257" s="24" t="n">
        <f aca="false">$B$18*(1+(B257+$B$17)/2)^9</f>
        <v>20136.3068543092</v>
      </c>
      <c r="G257" s="24" t="n">
        <f aca="false">F257*C257</f>
        <v>8963.35375730747</v>
      </c>
      <c r="H257" s="24" t="n">
        <f aca="false">E257*G257/(1+D257)^9</f>
        <v>64932.2325199772</v>
      </c>
      <c r="I257" s="24" t="n">
        <f aca="false">$B$13*G257/$B$12*((1+$B$8)/(1+D257))^4.5</f>
        <v>23612.9850355792</v>
      </c>
      <c r="J257" s="24" t="n">
        <f aca="false">H257+I257-$B$14</f>
        <v>81107.6168021317</v>
      </c>
      <c r="K257" s="43" t="n">
        <f aca="false">J257/$B$15</f>
        <v>423.317415459978</v>
      </c>
    </row>
    <row r="258" customFormat="false" ht="15" hidden="false" customHeight="false" outlineLevel="0" collapsed="false">
      <c r="A258" s="50" t="n">
        <v>218</v>
      </c>
      <c r="B258" s="19" t="n">
        <f aca="true">NORMINV(RAND(),$B$6,$C$6)</f>
        <v>0.0975206591245261</v>
      </c>
      <c r="C258" s="19" t="n">
        <f aca="true">MAX(0.25,NORMINV(RAND(),$B$7,$C$7))</f>
        <v>0.458986884127962</v>
      </c>
      <c r="D258" s="32" t="n">
        <f aca="true">MAX(0.07,NORMINV(RAND(),$B$8,$C$8))</f>
        <v>0.0941294289546312</v>
      </c>
      <c r="E258" s="51" t="n">
        <f aca="true">MAX(8,NORMINV(RAND(),$B$9,$C$9))</f>
        <v>19.778607960274</v>
      </c>
      <c r="F258" s="24" t="n">
        <f aca="false">$B$18*(1+(B258+$B$17)/2)^9</f>
        <v>19121.702803485</v>
      </c>
      <c r="G258" s="24" t="n">
        <f aca="false">F258*C258</f>
        <v>8776.61078899249</v>
      </c>
      <c r="H258" s="24" t="n">
        <f aca="false">E258*G258/(1+D258)^9</f>
        <v>77251.0278165655</v>
      </c>
      <c r="I258" s="24" t="n">
        <f aca="false">$B$13*G258/$B$12*((1+$B$8)/(1+D258))^4.5</f>
        <v>22869.6986548586</v>
      </c>
      <c r="J258" s="24" t="n">
        <f aca="false">H258+I258-$B$14</f>
        <v>92683.1257179994</v>
      </c>
      <c r="K258" s="43" t="n">
        <f aca="false">J258/$B$15</f>
        <v>483.73238892484</v>
      </c>
    </row>
    <row r="259" customFormat="false" ht="15" hidden="false" customHeight="false" outlineLevel="0" collapsed="false">
      <c r="A259" s="50" t="n">
        <v>219</v>
      </c>
      <c r="B259" s="19" t="n">
        <f aca="true">NORMINV(RAND(),$B$6,$C$6)</f>
        <v>0.0715108945026392</v>
      </c>
      <c r="C259" s="19" t="n">
        <f aca="true">MAX(0.25,NORMINV(RAND(),$B$7,$C$7))</f>
        <v>0.496178970479766</v>
      </c>
      <c r="D259" s="32" t="n">
        <f aca="true">MAX(0.07,NORMINV(RAND(),$B$8,$C$8))</f>
        <v>0.0917707476235242</v>
      </c>
      <c r="E259" s="51" t="n">
        <f aca="true">MAX(8,NORMINV(RAND(),$B$9,$C$9))</f>
        <v>17.1081459043444</v>
      </c>
      <c r="F259" s="24" t="n">
        <f aca="false">$B$18*(1+(B259+$B$17)/2)^9</f>
        <v>17144.3059383523</v>
      </c>
      <c r="G259" s="24" t="n">
        <f aca="false">F259*C259</f>
        <v>8506.64407008176</v>
      </c>
      <c r="H259" s="24" t="n">
        <f aca="false">E259*G259/(1+D259)^9</f>
        <v>66035.5991281433</v>
      </c>
      <c r="I259" s="24" t="n">
        <f aca="false">$B$13*G259/$B$12*((1+$B$8)/(1+D259))^4.5</f>
        <v>22382.5451752395</v>
      </c>
      <c r="J259" s="24" t="n">
        <f aca="false">H259+I259-$B$14</f>
        <v>80980.5435499581</v>
      </c>
      <c r="K259" s="43" t="n">
        <f aca="false">J259/$B$15</f>
        <v>422.654193893309</v>
      </c>
    </row>
    <row r="260" customFormat="false" ht="15" hidden="false" customHeight="false" outlineLevel="0" collapsed="false">
      <c r="A260" s="50" t="n">
        <v>220</v>
      </c>
      <c r="B260" s="19" t="n">
        <f aca="true">NORMINV(RAND(),$B$6,$C$6)</f>
        <v>0.109992861342118</v>
      </c>
      <c r="C260" s="19" t="n">
        <f aca="true">MAX(0.25,NORMINV(RAND(),$B$7,$C$7))</f>
        <v>0.436965203351005</v>
      </c>
      <c r="D260" s="32" t="n">
        <f aca="true">MAX(0.07,NORMINV(RAND(),$B$8,$C$8))</f>
        <v>0.0867154288407072</v>
      </c>
      <c r="E260" s="51" t="n">
        <f aca="true">MAX(8,NORMINV(RAND(),$B$9,$C$9))</f>
        <v>17.6003524464592</v>
      </c>
      <c r="F260" s="24" t="n">
        <f aca="false">$B$18*(1+(B260+$B$17)/2)^9</f>
        <v>20139.8691088765</v>
      </c>
      <c r="G260" s="24" t="n">
        <f aca="false">F260*C260</f>
        <v>8800.42200062284</v>
      </c>
      <c r="H260" s="24" t="n">
        <f aca="false">E260*G260/(1+D260)^9</f>
        <v>73279.4776594605</v>
      </c>
      <c r="I260" s="24" t="n">
        <f aca="false">$B$13*G260/$B$12*((1+$B$8)/(1+D260))^4.5</f>
        <v>23644.2204316673</v>
      </c>
      <c r="J260" s="24" t="n">
        <f aca="false">H260+I260-$B$14</f>
        <v>89486.0973377032</v>
      </c>
      <c r="K260" s="43" t="n">
        <f aca="false">J260/$B$15</f>
        <v>467.04643704438</v>
      </c>
    </row>
    <row r="261" customFormat="false" ht="15" hidden="false" customHeight="false" outlineLevel="0" collapsed="false">
      <c r="A261" s="50" t="n">
        <v>221</v>
      </c>
      <c r="B261" s="19" t="n">
        <f aca="true">NORMINV(RAND(),$B$6,$C$6)</f>
        <v>0.0937881364844831</v>
      </c>
      <c r="C261" s="19" t="n">
        <f aca="true">MAX(0.25,NORMINV(RAND(),$B$7,$C$7))</f>
        <v>0.458415296448033</v>
      </c>
      <c r="D261" s="32" t="n">
        <f aca="true">MAX(0.07,NORMINV(RAND(),$B$8,$C$8))</f>
        <v>0.108465517030171</v>
      </c>
      <c r="E261" s="51" t="n">
        <f aca="true">MAX(8,NORMINV(RAND(),$B$9,$C$9))</f>
        <v>18.4889539707224</v>
      </c>
      <c r="F261" s="24" t="n">
        <f aca="false">$B$18*(1+(B261+$B$17)/2)^9</f>
        <v>18826.0289160757</v>
      </c>
      <c r="G261" s="24" t="n">
        <f aca="false">F261*C261</f>
        <v>8630.13962650208</v>
      </c>
      <c r="H261" s="24" t="n">
        <f aca="false">E261*G261/(1+D261)^9</f>
        <v>63158.3066743763</v>
      </c>
      <c r="I261" s="24" t="n">
        <f aca="false">$B$13*G261/$B$12*((1+$B$8)/(1+D261))^4.5</f>
        <v>21208.5379019453</v>
      </c>
      <c r="J261" s="24" t="n">
        <f aca="false">H261+I261-$B$14</f>
        <v>76929.2438228969</v>
      </c>
      <c r="K261" s="43" t="n">
        <f aca="false">J261/$B$15</f>
        <v>401.509623292781</v>
      </c>
    </row>
    <row r="262" customFormat="false" ht="15" hidden="false" customHeight="false" outlineLevel="0" collapsed="false">
      <c r="A262" s="50" t="n">
        <v>222</v>
      </c>
      <c r="B262" s="19" t="n">
        <f aca="true">NORMINV(RAND(),$B$6,$C$6)</f>
        <v>0.0989317277023068</v>
      </c>
      <c r="C262" s="19" t="n">
        <f aca="true">MAX(0.25,NORMINV(RAND(),$B$7,$C$7))</f>
        <v>0.434134314014779</v>
      </c>
      <c r="D262" s="32" t="n">
        <f aca="true">MAX(0.07,NORMINV(RAND(),$B$8,$C$8))</f>
        <v>0.0910956412416663</v>
      </c>
      <c r="E262" s="51" t="n">
        <f aca="true">MAX(8,NORMINV(RAND(),$B$9,$C$9))</f>
        <v>17.8714808973281</v>
      </c>
      <c r="F262" s="24" t="n">
        <f aca="false">$B$18*(1+(B262+$B$17)/2)^9</f>
        <v>19234.5520421567</v>
      </c>
      <c r="G262" s="24" t="n">
        <f aca="false">F262*C262</f>
        <v>8350.37905620328</v>
      </c>
      <c r="H262" s="24" t="n">
        <f aca="false">E262*G262/(1+D262)^9</f>
        <v>68092.8236852966</v>
      </c>
      <c r="I262" s="24" t="n">
        <f aca="false">$B$13*G262/$B$12*((1+$B$8)/(1+D262))^4.5</f>
        <v>22032.6252073633</v>
      </c>
      <c r="J262" s="24" t="n">
        <f aca="false">H262+I262-$B$14</f>
        <v>82687.8481392352</v>
      </c>
      <c r="K262" s="43" t="n">
        <f aca="false">J262/$B$15</f>
        <v>431.564969411457</v>
      </c>
    </row>
    <row r="263" customFormat="false" ht="15" hidden="false" customHeight="false" outlineLevel="0" collapsed="false">
      <c r="A263" s="50" t="n">
        <v>223</v>
      </c>
      <c r="B263" s="19" t="n">
        <f aca="true">NORMINV(RAND(),$B$6,$C$6)</f>
        <v>0.0744072179914508</v>
      </c>
      <c r="C263" s="19" t="n">
        <f aca="true">MAX(0.25,NORMINV(RAND(),$B$7,$C$7))</f>
        <v>0.509966409836095</v>
      </c>
      <c r="D263" s="32" t="n">
        <f aca="true">MAX(0.07,NORMINV(RAND(),$B$8,$C$8))</f>
        <v>0.104841012358285</v>
      </c>
      <c r="E263" s="51" t="n">
        <f aca="true">MAX(8,NORMINV(RAND(),$B$9,$C$9))</f>
        <v>17.3269690583576</v>
      </c>
      <c r="F263" s="24" t="n">
        <f aca="false">$B$18*(1+(B263+$B$17)/2)^9</f>
        <v>17355.1121933511</v>
      </c>
      <c r="G263" s="24" t="n">
        <f aca="false">F263*C263</f>
        <v>8850.5242575459</v>
      </c>
      <c r="H263" s="24" t="n">
        <f aca="false">E263*G263/(1+D263)^9</f>
        <v>62516.3353750506</v>
      </c>
      <c r="I263" s="24" t="n">
        <f aca="false">$B$13*G263/$B$12*((1+$B$8)/(1+D263))^4.5</f>
        <v>22073.0681897139</v>
      </c>
      <c r="J263" s="24" t="n">
        <f aca="false">H263+I263-$B$14</f>
        <v>77151.8028113398</v>
      </c>
      <c r="K263" s="43" t="n">
        <f aca="false">J263/$B$15</f>
        <v>402.671204652087</v>
      </c>
    </row>
    <row r="264" customFormat="false" ht="15" hidden="false" customHeight="false" outlineLevel="0" collapsed="false">
      <c r="A264" s="50" t="n">
        <v>224</v>
      </c>
      <c r="B264" s="19" t="n">
        <f aca="true">NORMINV(RAND(),$B$6,$C$6)</f>
        <v>0.120416020030615</v>
      </c>
      <c r="C264" s="19" t="n">
        <f aca="true">MAX(0.25,NORMINV(RAND(),$B$7,$C$7))</f>
        <v>0.486196055519706</v>
      </c>
      <c r="D264" s="32" t="n">
        <f aca="true">MAX(0.07,NORMINV(RAND(),$B$8,$C$8))</f>
        <v>0.0980098950090741</v>
      </c>
      <c r="E264" s="51" t="n">
        <f aca="true">MAX(8,NORMINV(RAND(),$B$9,$C$9))</f>
        <v>12.5879716392497</v>
      </c>
      <c r="F264" s="24" t="n">
        <f aca="false">$B$18*(1+(B264+$B$17)/2)^9</f>
        <v>21027.429011348</v>
      </c>
      <c r="G264" s="24" t="n">
        <f aca="false">F264*C264</f>
        <v>10223.453043038</v>
      </c>
      <c r="H264" s="24" t="n">
        <f aca="false">E264*G264/(1+D264)^9</f>
        <v>55474.9701643554</v>
      </c>
      <c r="I264" s="24" t="n">
        <f aca="false">$B$13*G264/$B$12*((1+$B$8)/(1+D264))^4.5</f>
        <v>26218.7640003281</v>
      </c>
      <c r="J264" s="24" t="n">
        <f aca="false">H264+I264-$B$14</f>
        <v>74256.1334112588</v>
      </c>
      <c r="K264" s="43" t="n">
        <f aca="false">J264/$B$15</f>
        <v>387.55810757442</v>
      </c>
    </row>
    <row r="265" customFormat="false" ht="15" hidden="false" customHeight="false" outlineLevel="0" collapsed="false">
      <c r="A265" s="50" t="n">
        <v>225</v>
      </c>
      <c r="B265" s="19" t="n">
        <f aca="true">NORMINV(RAND(),$B$6,$C$6)</f>
        <v>0.112064459724549</v>
      </c>
      <c r="C265" s="19" t="n">
        <f aca="true">MAX(0.25,NORMINV(RAND(),$B$7,$C$7))</f>
        <v>0.496307077316182</v>
      </c>
      <c r="D265" s="32" t="n">
        <f aca="true">MAX(0.07,NORMINV(RAND(),$B$8,$C$8))</f>
        <v>0.0923468540975062</v>
      </c>
      <c r="E265" s="51" t="n">
        <f aca="true">MAX(8,NORMINV(RAND(),$B$9,$C$9))</f>
        <v>21.1576091324259</v>
      </c>
      <c r="F265" s="24" t="n">
        <f aca="false">$B$18*(1+(B265+$B$17)/2)^9</f>
        <v>20313.5713200396</v>
      </c>
      <c r="G265" s="24" t="n">
        <f aca="false">F265*C265</f>
        <v>10081.7692117026</v>
      </c>
      <c r="H265" s="24" t="n">
        <f aca="false">E265*G265/(1+D265)^9</f>
        <v>96329.2725705647</v>
      </c>
      <c r="I265" s="24" t="n">
        <f aca="false">$B$13*G265/$B$12*((1+$B$8)/(1+D265))^4.5</f>
        <v>26464.0904132173</v>
      </c>
      <c r="J265" s="24" t="n">
        <f aca="false">H265+I265-$B$14</f>
        <v>115355.762230357</v>
      </c>
      <c r="K265" s="43" t="n">
        <f aca="false">J265/$B$15</f>
        <v>602.065564876604</v>
      </c>
    </row>
    <row r="266" customFormat="false" ht="15" hidden="false" customHeight="false" outlineLevel="0" collapsed="false">
      <c r="A266" s="50" t="n">
        <v>226</v>
      </c>
      <c r="B266" s="19" t="n">
        <f aca="true">NORMINV(RAND(),$B$6,$C$6)</f>
        <v>0.0866024267991916</v>
      </c>
      <c r="C266" s="19" t="n">
        <f aca="true">MAX(0.25,NORMINV(RAND(),$B$7,$C$7))</f>
        <v>0.421797776009871</v>
      </c>
      <c r="D266" s="32" t="n">
        <f aca="true">MAX(0.07,NORMINV(RAND(),$B$8,$C$8))</f>
        <v>0.0881099053764636</v>
      </c>
      <c r="E266" s="51" t="n">
        <f aca="true">MAX(8,NORMINV(RAND(),$B$9,$C$9))</f>
        <v>15.4464643469133</v>
      </c>
      <c r="F266" s="24" t="n">
        <f aca="false">$B$18*(1+(B266+$B$17)/2)^9</f>
        <v>18268.2287654677</v>
      </c>
      <c r="G266" s="24" t="n">
        <f aca="false">F266*C266</f>
        <v>7705.49826491383</v>
      </c>
      <c r="H266" s="24" t="n">
        <f aca="false">E266*G266/(1+D266)^9</f>
        <v>55664.067608227</v>
      </c>
      <c r="I266" s="24" t="n">
        <f aca="false">$B$13*G266/$B$12*((1+$B$8)/(1+D266))^4.5</f>
        <v>20583.3491113106</v>
      </c>
      <c r="J266" s="24" t="n">
        <f aca="false">H266+I266-$B$14</f>
        <v>68809.8159661129</v>
      </c>
      <c r="K266" s="43" t="n">
        <f aca="false">J266/$B$15</f>
        <v>359.13265118013</v>
      </c>
    </row>
    <row r="267" customFormat="false" ht="15" hidden="false" customHeight="false" outlineLevel="0" collapsed="false">
      <c r="A267" s="50" t="n">
        <v>227</v>
      </c>
      <c r="B267" s="19" t="n">
        <f aca="true">NORMINV(RAND(),$B$6,$C$6)</f>
        <v>0.0977269552055283</v>
      </c>
      <c r="C267" s="19" t="n">
        <f aca="true">MAX(0.25,NORMINV(RAND(),$B$7,$C$7))</f>
        <v>0.491855069341466</v>
      </c>
      <c r="D267" s="32" t="n">
        <f aca="true">MAX(0.07,NORMINV(RAND(),$B$8,$C$8))</f>
        <v>0.0938723046640109</v>
      </c>
      <c r="E267" s="51" t="n">
        <f aca="true">MAX(8,NORMINV(RAND(),$B$9,$C$9))</f>
        <v>16.8282510085602</v>
      </c>
      <c r="F267" s="24" t="n">
        <f aca="false">$B$18*(1+(B267+$B$17)/2)^9</f>
        <v>19138.164371381</v>
      </c>
      <c r="G267" s="24" t="n">
        <f aca="false">F267*C267</f>
        <v>9413.20316395396</v>
      </c>
      <c r="H267" s="24" t="n">
        <f aca="false">E267*G267/(1+D267)^9</f>
        <v>70644.2425192032</v>
      </c>
      <c r="I267" s="24" t="n">
        <f aca="false">$B$13*G267/$B$12*((1+$B$8)/(1+D267))^4.5</f>
        <v>24554.4585608781</v>
      </c>
      <c r="J267" s="24" t="n">
        <f aca="false">H267+I267-$B$14</f>
        <v>87761.1003266565</v>
      </c>
      <c r="K267" s="43" t="n">
        <f aca="false">J267/$B$15</f>
        <v>458.043321120337</v>
      </c>
    </row>
    <row r="268" customFormat="false" ht="15" hidden="false" customHeight="false" outlineLevel="0" collapsed="false">
      <c r="A268" s="50" t="n">
        <v>228</v>
      </c>
      <c r="B268" s="19" t="n">
        <f aca="true">NORMINV(RAND(),$B$6,$C$6)</f>
        <v>0.134732181201383</v>
      </c>
      <c r="C268" s="19" t="n">
        <f aca="true">MAX(0.25,NORMINV(RAND(),$B$7,$C$7))</f>
        <v>0.452556266075931</v>
      </c>
      <c r="D268" s="32" t="n">
        <f aca="true">MAX(0.07,NORMINV(RAND(),$B$8,$C$8))</f>
        <v>0.0870190943410301</v>
      </c>
      <c r="E268" s="51" t="n">
        <f aca="true">MAX(8,NORMINV(RAND(),$B$9,$C$9))</f>
        <v>16.6180100798885</v>
      </c>
      <c r="F268" s="24" t="n">
        <f aca="false">$B$18*(1+(B268+$B$17)/2)^9</f>
        <v>22303.1231735739</v>
      </c>
      <c r="G268" s="24" t="n">
        <f aca="false">F268*C268</f>
        <v>10093.4181452642</v>
      </c>
      <c r="H268" s="24" t="n">
        <f aca="false">E268*G268/(1+D268)^9</f>
        <v>79155.7972714904</v>
      </c>
      <c r="I268" s="24" t="n">
        <f aca="false">$B$13*G268/$B$12*((1+$B$8)/(1+D268))^4.5</f>
        <v>27084.0581628034</v>
      </c>
      <c r="J268" s="24" t="n">
        <f aca="false">H268+I268-$B$14</f>
        <v>98802.2546808691</v>
      </c>
      <c r="K268" s="43" t="n">
        <f aca="false">J268/$B$15</f>
        <v>515.669387687208</v>
      </c>
    </row>
    <row r="269" customFormat="false" ht="15" hidden="false" customHeight="false" outlineLevel="0" collapsed="false">
      <c r="A269" s="50" t="n">
        <v>229</v>
      </c>
      <c r="B269" s="19" t="n">
        <f aca="true">NORMINV(RAND(),$B$6,$C$6)</f>
        <v>0.0733232101335731</v>
      </c>
      <c r="C269" s="19" t="n">
        <f aca="true">MAX(0.25,NORMINV(RAND(),$B$7,$C$7))</f>
        <v>0.487990291216406</v>
      </c>
      <c r="D269" s="32" t="n">
        <f aca="true">MAX(0.07,NORMINV(RAND(),$B$8,$C$8))</f>
        <v>0.0912237946574173</v>
      </c>
      <c r="E269" s="51" t="n">
        <f aca="true">MAX(8,NORMINV(RAND(),$B$9,$C$9))</f>
        <v>16.8161969841373</v>
      </c>
      <c r="F269" s="24" t="n">
        <f aca="false">$B$18*(1+(B269+$B$17)/2)^9</f>
        <v>17275.9454156946</v>
      </c>
      <c r="G269" s="24" t="n">
        <f aca="false">F269*C269</f>
        <v>8430.49363444355</v>
      </c>
      <c r="H269" s="24" t="n">
        <f aca="false">E269*G269/(1+D269)^9</f>
        <v>64618.4213862375</v>
      </c>
      <c r="I269" s="24" t="n">
        <f aca="false">$B$13*G269/$B$12*((1+$B$8)/(1+D269))^4.5</f>
        <v>22232.2558551623</v>
      </c>
      <c r="J269" s="24" t="n">
        <f aca="false">H269+I269-$B$14</f>
        <v>79413.0764879752</v>
      </c>
      <c r="K269" s="43" t="n">
        <f aca="false">J269/$B$15</f>
        <v>414.473259331812</v>
      </c>
    </row>
    <row r="270" customFormat="false" ht="15" hidden="false" customHeight="false" outlineLevel="0" collapsed="false">
      <c r="A270" s="50" t="n">
        <v>230</v>
      </c>
      <c r="B270" s="19" t="n">
        <f aca="true">NORMINV(RAND(),$B$6,$C$6)</f>
        <v>0.0954219787839274</v>
      </c>
      <c r="C270" s="19" t="n">
        <f aca="true">MAX(0.25,NORMINV(RAND(),$B$7,$C$7))</f>
        <v>0.503160095497925</v>
      </c>
      <c r="D270" s="32" t="n">
        <f aca="true">MAX(0.07,NORMINV(RAND(),$B$8,$C$8))</f>
        <v>0.11559169528112</v>
      </c>
      <c r="E270" s="51" t="n">
        <f aca="true">MAX(8,NORMINV(RAND(),$B$9,$C$9))</f>
        <v>15.232530829118</v>
      </c>
      <c r="F270" s="24" t="n">
        <f aca="false">$B$18*(1+(B270+$B$17)/2)^9</f>
        <v>18954.9507648363</v>
      </c>
      <c r="G270" s="24" t="n">
        <f aca="false">F270*C270</f>
        <v>9537.37483699351</v>
      </c>
      <c r="H270" s="24" t="n">
        <f aca="false">E270*G270/(1+D270)^9</f>
        <v>54281.7029103082</v>
      </c>
      <c r="I270" s="24" t="n">
        <f aca="false">$B$13*G270/$B$12*((1+$B$8)/(1+D270))^4.5</f>
        <v>22771.8269662868</v>
      </c>
      <c r="J270" s="24" t="n">
        <f aca="false">H270+I270-$B$14</f>
        <v>69615.9291231703</v>
      </c>
      <c r="K270" s="43" t="n">
        <f aca="false">J270/$B$15</f>
        <v>363.339922354751</v>
      </c>
    </row>
    <row r="271" customFormat="false" ht="15" hidden="false" customHeight="false" outlineLevel="0" collapsed="false">
      <c r="A271" s="50" t="n">
        <v>231</v>
      </c>
      <c r="B271" s="19" t="n">
        <f aca="true">NORMINV(RAND(),$B$6,$C$6)</f>
        <v>0.0558745300891567</v>
      </c>
      <c r="C271" s="19" t="n">
        <f aca="true">MAX(0.25,NORMINV(RAND(),$B$7,$C$7))</f>
        <v>0.485766688563572</v>
      </c>
      <c r="D271" s="32" t="n">
        <f aca="true">MAX(0.07,NORMINV(RAND(),$B$8,$C$8))</f>
        <v>0.101638186817198</v>
      </c>
      <c r="E271" s="51" t="n">
        <f aca="true">MAX(8,NORMINV(RAND(),$B$9,$C$9))</f>
        <v>20.9676376802233</v>
      </c>
      <c r="F271" s="24" t="n">
        <f aca="false">$B$18*(1+(B271+$B$17)/2)^9</f>
        <v>16045.0507184724</v>
      </c>
      <c r="G271" s="24" t="n">
        <f aca="false">F271*C271</f>
        <v>7794.15115534691</v>
      </c>
      <c r="H271" s="24" t="n">
        <f aca="false">E271*G271/(1+D271)^9</f>
        <v>68386.0456240809</v>
      </c>
      <c r="I271" s="24" t="n">
        <f aca="false">$B$13*G271/$B$12*((1+$B$8)/(1+D271))^4.5</f>
        <v>19694.1008019502</v>
      </c>
      <c r="J271" s="24" t="n">
        <f aca="false">H271+I271-$B$14</f>
        <v>80642.5456726064</v>
      </c>
      <c r="K271" s="43" t="n">
        <f aca="false">J271/$B$15</f>
        <v>420.890113113812</v>
      </c>
    </row>
    <row r="272" customFormat="false" ht="15" hidden="false" customHeight="false" outlineLevel="0" collapsed="false">
      <c r="A272" s="50" t="n">
        <v>232</v>
      </c>
      <c r="B272" s="19" t="n">
        <f aca="true">NORMINV(RAND(),$B$6,$C$6)</f>
        <v>0.116305424434999</v>
      </c>
      <c r="C272" s="19" t="n">
        <f aca="true">MAX(0.25,NORMINV(RAND(),$B$7,$C$7))</f>
        <v>0.489303572628749</v>
      </c>
      <c r="D272" s="32" t="n">
        <f aca="true">MAX(0.07,NORMINV(RAND(),$B$8,$C$8))</f>
        <v>0.098727776423668</v>
      </c>
      <c r="E272" s="51" t="n">
        <f aca="true">MAX(8,NORMINV(RAND(),$B$9,$C$9))</f>
        <v>19.0078083986774</v>
      </c>
      <c r="F272" s="24" t="n">
        <f aca="false">$B$18*(1+(B272+$B$17)/2)^9</f>
        <v>20673.3329066269</v>
      </c>
      <c r="G272" s="24" t="n">
        <f aca="false">F272*C272</f>
        <v>10115.535649356</v>
      </c>
      <c r="H272" s="24" t="n">
        <f aca="false">E272*G272/(1+D272)^9</f>
        <v>82396.7336581907</v>
      </c>
      <c r="I272" s="24" t="n">
        <f aca="false">$B$13*G272/$B$12*((1+$B$8)/(1+D272))^4.5</f>
        <v>25865.8150560727</v>
      </c>
      <c r="J272" s="24" t="n">
        <f aca="false">H272+I272-$B$14</f>
        <v>100824.947960839</v>
      </c>
      <c r="K272" s="43" t="n">
        <f aca="false">J272/$B$15</f>
        <v>526.2262419668</v>
      </c>
    </row>
    <row r="273" customFormat="false" ht="15" hidden="false" customHeight="false" outlineLevel="0" collapsed="false">
      <c r="A273" s="50" t="n">
        <v>233</v>
      </c>
      <c r="B273" s="19" t="n">
        <f aca="true">NORMINV(RAND(),$B$6,$C$6)</f>
        <v>0.0771490981085823</v>
      </c>
      <c r="C273" s="19" t="n">
        <f aca="true">MAX(0.25,NORMINV(RAND(),$B$7,$C$7))</f>
        <v>0.475991159343618</v>
      </c>
      <c r="D273" s="32" t="n">
        <f aca="true">MAX(0.07,NORMINV(RAND(),$B$8,$C$8))</f>
        <v>0.113244187384745</v>
      </c>
      <c r="E273" s="51" t="n">
        <f aca="true">MAX(8,NORMINV(RAND(),$B$9,$C$9))</f>
        <v>19.0177404744771</v>
      </c>
      <c r="F273" s="24" t="n">
        <f aca="false">$B$18*(1+(B273+$B$17)/2)^9</f>
        <v>17556.7972240758</v>
      </c>
      <c r="G273" s="24" t="n">
        <f aca="false">F273*C273</f>
        <v>8356.88026504865</v>
      </c>
      <c r="H273" s="24" t="n">
        <f aca="false">E273*G273/(1+D273)^9</f>
        <v>60518.6414669318</v>
      </c>
      <c r="I273" s="24" t="n">
        <f aca="false">$B$13*G273/$B$12*((1+$B$8)/(1+D273))^4.5</f>
        <v>20143.2696798687</v>
      </c>
      <c r="J273" s="24" t="n">
        <f aca="false">H273+I273-$B$14</f>
        <v>73224.3103933758</v>
      </c>
      <c r="K273" s="43" t="n">
        <f aca="false">J273/$B$15</f>
        <v>382.172809986304</v>
      </c>
    </row>
    <row r="274" customFormat="false" ht="15" hidden="false" customHeight="false" outlineLevel="0" collapsed="false">
      <c r="A274" s="50" t="n">
        <v>234</v>
      </c>
      <c r="B274" s="19" t="n">
        <f aca="true">NORMINV(RAND(),$B$6,$C$6)</f>
        <v>0.0778256870218771</v>
      </c>
      <c r="C274" s="19" t="n">
        <f aca="true">MAX(0.25,NORMINV(RAND(),$B$7,$C$7))</f>
        <v>0.474005407926304</v>
      </c>
      <c r="D274" s="32" t="n">
        <f aca="true">MAX(0.07,NORMINV(RAND(),$B$8,$C$8))</f>
        <v>0.0814626185664554</v>
      </c>
      <c r="E274" s="51" t="n">
        <f aca="true">MAX(8,NORMINV(RAND(),$B$9,$C$9))</f>
        <v>17.6226748565243</v>
      </c>
      <c r="F274" s="24" t="n">
        <f aca="false">$B$18*(1+(B274+$B$17)/2)^9</f>
        <v>17606.8845539226</v>
      </c>
      <c r="G274" s="24" t="n">
        <f aca="false">F274*C274</f>
        <v>8345.75849529339</v>
      </c>
      <c r="H274" s="24" t="n">
        <f aca="false">E274*G274/(1+D274)^9</f>
        <v>72683.1984389168</v>
      </c>
      <c r="I274" s="24" t="n">
        <f aca="false">$B$13*G274/$B$12*((1+$B$8)/(1+D274))^4.5</f>
        <v>22916.9468682034</v>
      </c>
      <c r="J274" s="24" t="n">
        <f aca="false">H274+I274-$B$14</f>
        <v>88162.5445536956</v>
      </c>
      <c r="K274" s="43" t="n">
        <f aca="false">J274/$B$15</f>
        <v>460.138541511981</v>
      </c>
    </row>
    <row r="275" customFormat="false" ht="15" hidden="false" customHeight="false" outlineLevel="0" collapsed="false">
      <c r="A275" s="50" t="n">
        <v>235</v>
      </c>
      <c r="B275" s="19" t="n">
        <f aca="true">NORMINV(RAND(),$B$6,$C$6)</f>
        <v>0.128500016739553</v>
      </c>
      <c r="C275" s="19" t="n">
        <f aca="true">MAX(0.25,NORMINV(RAND(),$B$7,$C$7))</f>
        <v>0.469561221723179</v>
      </c>
      <c r="D275" s="32" t="n">
        <f aca="true">MAX(0.07,NORMINV(RAND(),$B$8,$C$8))</f>
        <v>0.0956357608703832</v>
      </c>
      <c r="E275" s="51" t="n">
        <f aca="true">MAX(8,NORMINV(RAND(),$B$9,$C$9))</f>
        <v>19.3256059853827</v>
      </c>
      <c r="F275" s="24" t="n">
        <f aca="false">$B$18*(1+(B275+$B$17)/2)^9</f>
        <v>21739.5668045294</v>
      </c>
      <c r="G275" s="24" t="n">
        <f aca="false">F275*C275</f>
        <v>10208.0575484675</v>
      </c>
      <c r="H275" s="24" t="n">
        <f aca="false">E275*G275/(1+D275)^9</f>
        <v>86712.2469878017</v>
      </c>
      <c r="I275" s="24" t="n">
        <f aca="false">$B$13*G275/$B$12*((1+$B$8)/(1+D275))^4.5</f>
        <v>26435.5265343819</v>
      </c>
      <c r="J275" s="24" t="n">
        <f aca="false">H275+I275-$B$14</f>
        <v>105710.172768759</v>
      </c>
      <c r="K275" s="43" t="n">
        <f aca="false">J275/$B$15</f>
        <v>551.723239920454</v>
      </c>
    </row>
    <row r="276" customFormat="false" ht="15" hidden="false" customHeight="false" outlineLevel="0" collapsed="false">
      <c r="A276" s="50" t="n">
        <v>236</v>
      </c>
      <c r="B276" s="19" t="n">
        <f aca="true">NORMINV(RAND(),$B$6,$C$6)</f>
        <v>0.0907393766312397</v>
      </c>
      <c r="C276" s="19" t="n">
        <f aca="true">MAX(0.25,NORMINV(RAND(),$B$7,$C$7))</f>
        <v>0.462951405301344</v>
      </c>
      <c r="D276" s="32" t="n">
        <f aca="true">MAX(0.07,NORMINV(RAND(),$B$8,$C$8))</f>
        <v>0.102048369028439</v>
      </c>
      <c r="E276" s="51" t="n">
        <f aca="true">MAX(8,NORMINV(RAND(),$B$9,$C$9))</f>
        <v>13.5152661054412</v>
      </c>
      <c r="F276" s="24" t="n">
        <f aca="false">$B$18*(1+(B276+$B$17)/2)^9</f>
        <v>18587.5425280669</v>
      </c>
      <c r="G276" s="24" t="n">
        <f aca="false">F276*C276</f>
        <v>8605.12893446704</v>
      </c>
      <c r="H276" s="24" t="n">
        <f aca="false">E276*G276/(1+D276)^9</f>
        <v>48503.8349582055</v>
      </c>
      <c r="I276" s="24" t="n">
        <f aca="false">$B$13*G276/$B$12*((1+$B$8)/(1+D276))^4.5</f>
        <v>21706.8687107567</v>
      </c>
      <c r="J276" s="24" t="n">
        <f aca="false">H276+I276-$B$14</f>
        <v>62773.1029155375</v>
      </c>
      <c r="K276" s="43" t="n">
        <f aca="false">J276/$B$15</f>
        <v>327.625798097795</v>
      </c>
    </row>
    <row r="277" customFormat="false" ht="15" hidden="false" customHeight="false" outlineLevel="0" collapsed="false">
      <c r="A277" s="50" t="n">
        <v>237</v>
      </c>
      <c r="B277" s="19" t="n">
        <f aca="true">NORMINV(RAND(),$B$6,$C$6)</f>
        <v>0.0645065624806869</v>
      </c>
      <c r="C277" s="19" t="n">
        <f aca="true">MAX(0.25,NORMINV(RAND(),$B$7,$C$7))</f>
        <v>0.457856975539562</v>
      </c>
      <c r="D277" s="32" t="n">
        <f aca="true">MAX(0.07,NORMINV(RAND(),$B$8,$C$8))</f>
        <v>0.111007964784875</v>
      </c>
      <c r="E277" s="51" t="n">
        <f aca="true">MAX(8,NORMINV(RAND(),$B$9,$C$9))</f>
        <v>18.3718813856983</v>
      </c>
      <c r="F277" s="24" t="n">
        <f aca="false">$B$18*(1+(B277+$B$17)/2)^9</f>
        <v>16643.8805329405</v>
      </c>
      <c r="G277" s="24" t="n">
        <f aca="false">F277*C277</f>
        <v>7620.51680205393</v>
      </c>
      <c r="H277" s="24" t="n">
        <f aca="false">E277*G277/(1+D277)^9</f>
        <v>54285.457993596</v>
      </c>
      <c r="I277" s="24" t="n">
        <f aca="false">$B$13*G277/$B$12*((1+$B$8)/(1+D277))^4.5</f>
        <v>18535.3119460515</v>
      </c>
      <c r="J277" s="24" t="n">
        <f aca="false">H277+I277-$B$14</f>
        <v>65383.1691862229</v>
      </c>
      <c r="K277" s="43" t="n">
        <f aca="false">J277/$B$15</f>
        <v>341.248273414524</v>
      </c>
    </row>
    <row r="278" customFormat="false" ht="15" hidden="false" customHeight="false" outlineLevel="0" collapsed="false">
      <c r="A278" s="50" t="n">
        <v>238</v>
      </c>
      <c r="B278" s="19" t="n">
        <f aca="true">NORMINV(RAND(),$B$6,$C$6)</f>
        <v>0.101529776794616</v>
      </c>
      <c r="C278" s="19" t="n">
        <f aca="true">MAX(0.25,NORMINV(RAND(),$B$7,$C$7))</f>
        <v>0.473321354859019</v>
      </c>
      <c r="D278" s="32" t="n">
        <f aca="true">MAX(0.07,NORMINV(RAND(),$B$8,$C$8))</f>
        <v>0.0925735087057165</v>
      </c>
      <c r="E278" s="51" t="n">
        <f aca="true">MAX(8,NORMINV(RAND(),$B$9,$C$9))</f>
        <v>20.2856208629446</v>
      </c>
      <c r="F278" s="24" t="n">
        <f aca="false">$B$18*(1+(B278+$B$17)/2)^9</f>
        <v>19443.8786229817</v>
      </c>
      <c r="G278" s="24" t="n">
        <f aca="false">F278*C278</f>
        <v>9203.20297354403</v>
      </c>
      <c r="H278" s="24" t="n">
        <f aca="false">E278*G278/(1+D278)^9</f>
        <v>84153.3307303965</v>
      </c>
      <c r="I278" s="24" t="n">
        <f aca="false">$B$13*G278/$B$12*((1+$B$8)/(1+D278))^4.5</f>
        <v>24135.3584524149</v>
      </c>
      <c r="J278" s="24" t="n">
        <f aca="false">H278+I278-$B$14</f>
        <v>100851.088429387</v>
      </c>
      <c r="K278" s="43" t="n">
        <f aca="false">J278/$B$15</f>
        <v>526.362674474878</v>
      </c>
    </row>
    <row r="279" customFormat="false" ht="15" hidden="false" customHeight="false" outlineLevel="0" collapsed="false">
      <c r="A279" s="50" t="n">
        <v>239</v>
      </c>
      <c r="B279" s="19" t="n">
        <f aca="true">NORMINV(RAND(),$B$6,$C$6)</f>
        <v>0.140739149929719</v>
      </c>
      <c r="C279" s="19" t="n">
        <f aca="true">MAX(0.25,NORMINV(RAND(),$B$7,$C$7))</f>
        <v>0.498111864639415</v>
      </c>
      <c r="D279" s="32" t="n">
        <f aca="true">MAX(0.07,NORMINV(RAND(),$B$8,$C$8))</f>
        <v>0.100659833284313</v>
      </c>
      <c r="E279" s="51" t="n">
        <f aca="true">MAX(8,NORMINV(RAND(),$B$9,$C$9))</f>
        <v>20.1276776010437</v>
      </c>
      <c r="F279" s="24" t="n">
        <f aca="false">$B$18*(1+(B279+$B$17)/2)^9</f>
        <v>22858.5680910225</v>
      </c>
      <c r="G279" s="24" t="n">
        <f aca="false">F279*C279</f>
        <v>11386.1239748063</v>
      </c>
      <c r="H279" s="24" t="n">
        <f aca="false">E279*G279/(1+D279)^9</f>
        <v>96669.9545297561</v>
      </c>
      <c r="I279" s="24" t="n">
        <f aca="false">$B$13*G279/$B$12*((1+$B$8)/(1+D279))^4.5</f>
        <v>28885.4826025917</v>
      </c>
      <c r="J279" s="24" t="n">
        <f aca="false">H279+I279-$B$14</f>
        <v>118117.836378923</v>
      </c>
      <c r="K279" s="43" t="n">
        <f aca="false">J279/$B$15</f>
        <v>616.481400725068</v>
      </c>
    </row>
    <row r="280" customFormat="false" ht="15" hidden="false" customHeight="false" outlineLevel="0" collapsed="false">
      <c r="A280" s="50" t="n">
        <v>240</v>
      </c>
      <c r="B280" s="19" t="n">
        <f aca="true">NORMINV(RAND(),$B$6,$C$6)</f>
        <v>0.0572163758423716</v>
      </c>
      <c r="C280" s="19" t="n">
        <f aca="true">MAX(0.25,NORMINV(RAND(),$B$7,$C$7))</f>
        <v>0.472389154681992</v>
      </c>
      <c r="D280" s="32" t="n">
        <f aca="true">MAX(0.07,NORMINV(RAND(),$B$8,$C$8))</f>
        <v>0.0969976303904491</v>
      </c>
      <c r="E280" s="51" t="n">
        <f aca="true">MAX(8,NORMINV(RAND(),$B$9,$C$9))</f>
        <v>20.8935654739599</v>
      </c>
      <c r="F280" s="24" t="n">
        <f aca="false">$B$18*(1+(B280+$B$17)/2)^9</f>
        <v>16136.8624557947</v>
      </c>
      <c r="G280" s="24" t="n">
        <f aca="false">F280*C280</f>
        <v>7622.87881471243</v>
      </c>
      <c r="H280" s="24" t="n">
        <f aca="false">E280*G280/(1+D280)^9</f>
        <v>69227.7742562859</v>
      </c>
      <c r="I280" s="24" t="n">
        <f aca="false">$B$13*G280/$B$12*((1+$B$8)/(1+D280))^4.5</f>
        <v>19630.7170509518</v>
      </c>
      <c r="J280" s="24" t="n">
        <f aca="false">H280+I280-$B$14</f>
        <v>81420.8905538131</v>
      </c>
      <c r="K280" s="43" t="n">
        <f aca="false">J280/$B$15</f>
        <v>424.952455917605</v>
      </c>
    </row>
    <row r="281" customFormat="false" ht="15" hidden="false" customHeight="false" outlineLevel="0" collapsed="false">
      <c r="A281" s="50" t="n">
        <v>241</v>
      </c>
      <c r="B281" s="19" t="n">
        <f aca="true">NORMINV(RAND(),$B$6,$C$6)</f>
        <v>0.138654461981246</v>
      </c>
      <c r="C281" s="19" t="n">
        <f aca="true">MAX(0.25,NORMINV(RAND(),$B$7,$C$7))</f>
        <v>0.441028508145257</v>
      </c>
      <c r="D281" s="32" t="n">
        <f aca="true">MAX(0.07,NORMINV(RAND(),$B$8,$C$8))</f>
        <v>0.101935181419751</v>
      </c>
      <c r="E281" s="51" t="n">
        <f aca="true">MAX(8,NORMINV(RAND(),$B$9,$C$9))</f>
        <v>18.4831152712006</v>
      </c>
      <c r="F281" s="24" t="n">
        <f aca="false">$B$18*(1+(B281+$B$17)/2)^9</f>
        <v>22664.4263292761</v>
      </c>
      <c r="G281" s="24" t="n">
        <f aca="false">F281*C281</f>
        <v>9995.65813196873</v>
      </c>
      <c r="H281" s="24" t="n">
        <f aca="false">E281*G281/(1+D281)^9</f>
        <v>77122.6822206821</v>
      </c>
      <c r="I281" s="24" t="n">
        <f aca="false">$B$13*G281/$B$12*((1+$B$8)/(1+D281))^4.5</f>
        <v>25226.2051950395</v>
      </c>
      <c r="J281" s="24" t="n">
        <f aca="false">H281+I281-$B$14</f>
        <v>94911.2866622969</v>
      </c>
      <c r="K281" s="43" t="n">
        <f aca="false">J281/$B$15</f>
        <v>495.361621410736</v>
      </c>
    </row>
    <row r="282" customFormat="false" ht="15" hidden="false" customHeight="false" outlineLevel="0" collapsed="false">
      <c r="A282" s="50" t="n">
        <v>242</v>
      </c>
      <c r="B282" s="19" t="n">
        <f aca="true">NORMINV(RAND(),$B$6,$C$6)</f>
        <v>0.116236456588615</v>
      </c>
      <c r="C282" s="19" t="n">
        <f aca="true">MAX(0.25,NORMINV(RAND(),$B$7,$C$7))</f>
        <v>0.439943762222407</v>
      </c>
      <c r="D282" s="32" t="n">
        <f aca="true">MAX(0.07,NORMINV(RAND(),$B$8,$C$8))</f>
        <v>0.111110840058497</v>
      </c>
      <c r="E282" s="51" t="n">
        <f aca="true">MAX(8,NORMINV(RAND(),$B$9,$C$9))</f>
        <v>10.4932534906519</v>
      </c>
      <c r="F282" s="24" t="n">
        <f aca="false">$B$18*(1+(B282+$B$17)/2)^9</f>
        <v>20667.4373505215</v>
      </c>
      <c r="G282" s="24" t="n">
        <f aca="false">F282*C282</f>
        <v>9092.51014348431</v>
      </c>
      <c r="H282" s="24" t="n">
        <f aca="false">E282*G282/(1+D282)^9</f>
        <v>36963.8753577073</v>
      </c>
      <c r="I282" s="24" t="n">
        <f aca="false">$B$13*G282/$B$12*((1+$B$8)/(1+D282))^4.5</f>
        <v>22106.4147501856</v>
      </c>
      <c r="J282" s="24" t="n">
        <f aca="false">H282+I282-$B$14</f>
        <v>51632.6893544682</v>
      </c>
      <c r="K282" s="43" t="n">
        <f aca="false">J282/$B$15</f>
        <v>269.481677215387</v>
      </c>
    </row>
    <row r="283" customFormat="false" ht="15" hidden="false" customHeight="false" outlineLevel="0" collapsed="false">
      <c r="A283" s="50" t="n">
        <v>243</v>
      </c>
      <c r="B283" s="19" t="n">
        <f aca="true">NORMINV(RAND(),$B$6,$C$6)</f>
        <v>0.131429394418565</v>
      </c>
      <c r="C283" s="19" t="n">
        <f aca="true">MAX(0.25,NORMINV(RAND(),$B$7,$C$7))</f>
        <v>0.500272768186007</v>
      </c>
      <c r="D283" s="32" t="n">
        <f aca="true">MAX(0.07,NORMINV(RAND(),$B$8,$C$8))</f>
        <v>0.103068775696659</v>
      </c>
      <c r="E283" s="51" t="n">
        <f aca="true">MAX(8,NORMINV(RAND(),$B$9,$C$9))</f>
        <v>19.3237021512363</v>
      </c>
      <c r="F283" s="24" t="n">
        <f aca="false">$B$18*(1+(B283+$B$17)/2)^9</f>
        <v>22002.8653821453</v>
      </c>
      <c r="G283" s="24" t="n">
        <f aca="false">F283*C283</f>
        <v>11007.4343727499</v>
      </c>
      <c r="H283" s="24" t="n">
        <f aca="false">E283*G283/(1+D283)^9</f>
        <v>87973.7526846143</v>
      </c>
      <c r="I283" s="24" t="n">
        <f aca="false">$B$13*G283/$B$12*((1+$B$8)/(1+D283))^4.5</f>
        <v>27651.4044369039</v>
      </c>
      <c r="J283" s="24" t="n">
        <f aca="false">H283+I283-$B$14</f>
        <v>108187.556368094</v>
      </c>
      <c r="K283" s="43" t="n">
        <f aca="false">J283/$B$15</f>
        <v>564.653216952472</v>
      </c>
    </row>
    <row r="284" customFormat="false" ht="15" hidden="false" customHeight="false" outlineLevel="0" collapsed="false">
      <c r="A284" s="50" t="n">
        <v>244</v>
      </c>
      <c r="B284" s="19" t="n">
        <f aca="true">NORMINV(RAND(),$B$6,$C$6)</f>
        <v>0.0515475875897686</v>
      </c>
      <c r="C284" s="19" t="n">
        <f aca="true">MAX(0.25,NORMINV(RAND(),$B$7,$C$7))</f>
        <v>0.504809995295844</v>
      </c>
      <c r="D284" s="32" t="n">
        <f aca="true">MAX(0.07,NORMINV(RAND(),$B$8,$C$8))</f>
        <v>0.0941753690766061</v>
      </c>
      <c r="E284" s="51" t="n">
        <f aca="true">MAX(8,NORMINV(RAND(),$B$9,$C$9))</f>
        <v>11.4032983579978</v>
      </c>
      <c r="F284" s="24" t="n">
        <f aca="false">$B$18*(1+(B284+$B$17)/2)^9</f>
        <v>15752.1471018342</v>
      </c>
      <c r="G284" s="24" t="n">
        <f aca="false">F284*C284</f>
        <v>7951.84130437635</v>
      </c>
      <c r="H284" s="24" t="n">
        <f aca="false">E284*G284/(1+D284)^9</f>
        <v>40338.1321216972</v>
      </c>
      <c r="I284" s="24" t="n">
        <f aca="false">$B$13*G284/$B$12*((1+$B$8)/(1+D284))^4.5</f>
        <v>20716.6367353623</v>
      </c>
      <c r="J284" s="24" t="n">
        <f aca="false">H284+I284-$B$14</f>
        <v>53617.1681036349</v>
      </c>
      <c r="K284" s="43" t="n">
        <f aca="false">J284/$B$15</f>
        <v>279.839081960516</v>
      </c>
    </row>
    <row r="285" customFormat="false" ht="15" hidden="false" customHeight="false" outlineLevel="0" collapsed="false">
      <c r="A285" s="50" t="n">
        <v>245</v>
      </c>
      <c r="B285" s="19" t="n">
        <f aca="true">NORMINV(RAND(),$B$6,$C$6)</f>
        <v>0.104000685398641</v>
      </c>
      <c r="C285" s="19" t="n">
        <f aca="true">MAX(0.25,NORMINV(RAND(),$B$7,$C$7))</f>
        <v>0.418489947737101</v>
      </c>
      <c r="D285" s="32" t="n">
        <f aca="true">MAX(0.07,NORMINV(RAND(),$B$8,$C$8))</f>
        <v>0.102741751928903</v>
      </c>
      <c r="E285" s="51" t="n">
        <f aca="true">MAX(8,NORMINV(RAND(),$B$9,$C$9))</f>
        <v>13.8165000499073</v>
      </c>
      <c r="F285" s="24" t="n">
        <f aca="false">$B$18*(1+(B285+$B$17)/2)^9</f>
        <v>19644.8376154332</v>
      </c>
      <c r="G285" s="24" t="n">
        <f aca="false">F285*C285</f>
        <v>8221.16706698648</v>
      </c>
      <c r="H285" s="24" t="n">
        <f aca="false">E285*G285/(1+D285)^9</f>
        <v>47105.0157953324</v>
      </c>
      <c r="I285" s="24" t="n">
        <f aca="false">$B$13*G285/$B$12*((1+$B$8)/(1+D285))^4.5</f>
        <v>20679.6908819128</v>
      </c>
      <c r="J285" s="24" t="n">
        <f aca="false">H285+I285-$B$14</f>
        <v>60347.1059238206</v>
      </c>
      <c r="K285" s="43" t="n">
        <f aca="false">J285/$B$15</f>
        <v>314.964018391548</v>
      </c>
    </row>
    <row r="286" customFormat="false" ht="15" hidden="false" customHeight="false" outlineLevel="0" collapsed="false">
      <c r="A286" s="50" t="n">
        <v>246</v>
      </c>
      <c r="B286" s="19" t="n">
        <f aca="true">NORMINV(RAND(),$B$6,$C$6)</f>
        <v>0.066304632609854</v>
      </c>
      <c r="C286" s="19" t="n">
        <f aca="true">MAX(0.25,NORMINV(RAND(),$B$7,$C$7))</f>
        <v>0.506238042405529</v>
      </c>
      <c r="D286" s="32" t="n">
        <f aca="true">MAX(0.07,NORMINV(RAND(),$B$8,$C$8))</f>
        <v>0.0980348154243613</v>
      </c>
      <c r="E286" s="51" t="n">
        <f aca="true">MAX(8,NORMINV(RAND(),$B$9,$C$9))</f>
        <v>17.627639652448</v>
      </c>
      <c r="F286" s="24" t="n">
        <f aca="false">$B$18*(1+(B286+$B$17)/2)^9</f>
        <v>16771.0890876896</v>
      </c>
      <c r="G286" s="24" t="n">
        <f aca="false">F286*C286</f>
        <v>8490.16330876072</v>
      </c>
      <c r="H286" s="24" t="n">
        <f aca="false">E286*G286/(1+D286)^9</f>
        <v>64500.81665052</v>
      </c>
      <c r="I286" s="24" t="n">
        <f aca="false">$B$13*G286/$B$12*((1+$B$8)/(1+D286))^4.5</f>
        <v>21771.3969897367</v>
      </c>
      <c r="J286" s="24" t="n">
        <f aca="false">H286+I286-$B$14</f>
        <v>78834.6128868321</v>
      </c>
      <c r="K286" s="43" t="n">
        <f aca="false">J286/$B$15</f>
        <v>411.454138240251</v>
      </c>
    </row>
    <row r="287" customFormat="false" ht="15" hidden="false" customHeight="false" outlineLevel="0" collapsed="false">
      <c r="A287" s="50" t="n">
        <v>247</v>
      </c>
      <c r="B287" s="19" t="n">
        <f aca="true">NORMINV(RAND(),$B$6,$C$6)</f>
        <v>0.0751442808015242</v>
      </c>
      <c r="C287" s="19" t="n">
        <f aca="true">MAX(0.25,NORMINV(RAND(),$B$7,$C$7))</f>
        <v>0.437161155659387</v>
      </c>
      <c r="D287" s="32" t="n">
        <f aca="true">MAX(0.07,NORMINV(RAND(),$B$8,$C$8))</f>
        <v>0.101639072373982</v>
      </c>
      <c r="E287" s="51" t="n">
        <f aca="true">MAX(8,NORMINV(RAND(),$B$9,$C$9))</f>
        <v>15.9588503657773</v>
      </c>
      <c r="F287" s="24" t="n">
        <f aca="false">$B$18*(1+(B287+$B$17)/2)^9</f>
        <v>17409.1250455908</v>
      </c>
      <c r="G287" s="24" t="n">
        <f aca="false">F287*C287</f>
        <v>7610.59322394926</v>
      </c>
      <c r="H287" s="24" t="n">
        <f aca="false">E287*G287/(1+D287)^9</f>
        <v>50823.6831804484</v>
      </c>
      <c r="I287" s="24" t="n">
        <f aca="false">$B$13*G287/$B$12*((1+$B$8)/(1+D287))^4.5</f>
        <v>19230.2208345132</v>
      </c>
      <c r="J287" s="24" t="n">
        <f aca="false">H287+I287-$B$14</f>
        <v>62616.3032615369</v>
      </c>
      <c r="K287" s="43" t="n">
        <f aca="false">J287/$B$15</f>
        <v>326.807428296122</v>
      </c>
    </row>
    <row r="288" customFormat="false" ht="15" hidden="false" customHeight="false" outlineLevel="0" collapsed="false">
      <c r="A288" s="50" t="n">
        <v>248</v>
      </c>
      <c r="B288" s="19" t="n">
        <f aca="true">NORMINV(RAND(),$B$6,$C$6)</f>
        <v>0.113954265990569</v>
      </c>
      <c r="C288" s="19" t="n">
        <f aca="true">MAX(0.25,NORMINV(RAND(),$B$7,$C$7))</f>
        <v>0.48702729285602</v>
      </c>
      <c r="D288" s="32" t="n">
        <f aca="true">MAX(0.07,NORMINV(RAND(),$B$8,$C$8))</f>
        <v>0.0932397716644876</v>
      </c>
      <c r="E288" s="51" t="n">
        <f aca="true">MAX(8,NORMINV(RAND(),$B$9,$C$9))</f>
        <v>15.043852440786</v>
      </c>
      <c r="F288" s="24" t="n">
        <f aca="false">$B$18*(1+(B288+$B$17)/2)^9</f>
        <v>20473.1905599721</v>
      </c>
      <c r="G288" s="24" t="n">
        <f aca="false">F288*C288</f>
        <v>9971.00257454862</v>
      </c>
      <c r="H288" s="24" t="n">
        <f aca="false">E288*G288/(1+D288)^9</f>
        <v>67244.8591557307</v>
      </c>
      <c r="I288" s="24" t="n">
        <f aca="false">$B$13*G288/$B$12*((1+$B$8)/(1+D288))^4.5</f>
        <v>26077.2731566643</v>
      </c>
      <c r="J288" s="24" t="n">
        <f aca="false">H288+I288-$B$14</f>
        <v>85884.5315589703</v>
      </c>
      <c r="K288" s="43" t="n">
        <f aca="false">J288/$B$15</f>
        <v>448.249120871453</v>
      </c>
    </row>
    <row r="289" customFormat="false" ht="15" hidden="false" customHeight="false" outlineLevel="0" collapsed="false">
      <c r="A289" s="50" t="n">
        <v>249</v>
      </c>
      <c r="B289" s="19" t="n">
        <f aca="true">NORMINV(RAND(),$B$6,$C$6)</f>
        <v>0.0436121758692797</v>
      </c>
      <c r="C289" s="19" t="n">
        <f aca="true">MAX(0.25,NORMINV(RAND(),$B$7,$C$7))</f>
        <v>0.49001996506951</v>
      </c>
      <c r="D289" s="32" t="n">
        <f aca="true">MAX(0.07,NORMINV(RAND(),$B$8,$C$8))</f>
        <v>0.1018516812698</v>
      </c>
      <c r="E289" s="51" t="n">
        <f aca="true">MAX(8,NORMINV(RAND(),$B$9,$C$9))</f>
        <v>18.0912673130498</v>
      </c>
      <c r="F289" s="24" t="n">
        <f aca="false">$B$18*(1+(B289+$B$17)/2)^9</f>
        <v>15227.3026731864</v>
      </c>
      <c r="G289" s="24" t="n">
        <f aca="false">F289*C289</f>
        <v>7461.68232401765</v>
      </c>
      <c r="H289" s="24" t="n">
        <f aca="false">E289*G289/(1+D289)^9</f>
        <v>56389.4031696651</v>
      </c>
      <c r="I289" s="24" t="n">
        <f aca="false">$B$13*G289/$B$12*((1+$B$8)/(1+D289))^4.5</f>
        <v>18837.5917951376</v>
      </c>
      <c r="J289" s="24" t="n">
        <f aca="false">H289+I289-$B$14</f>
        <v>67789.3942113781</v>
      </c>
      <c r="K289" s="43" t="n">
        <f aca="false">J289/$B$15</f>
        <v>353.806859140804</v>
      </c>
    </row>
    <row r="290" customFormat="false" ht="15" hidden="false" customHeight="false" outlineLevel="0" collapsed="false">
      <c r="A290" s="50" t="n">
        <v>250</v>
      </c>
      <c r="B290" s="19" t="n">
        <f aca="true">NORMINV(RAND(),$B$6,$C$6)</f>
        <v>0.124016032194817</v>
      </c>
      <c r="C290" s="19" t="n">
        <f aca="true">MAX(0.25,NORMINV(RAND(),$B$7,$C$7))</f>
        <v>0.491544154968287</v>
      </c>
      <c r="D290" s="32" t="n">
        <f aca="true">MAX(0.07,NORMINV(RAND(),$B$8,$C$8))</f>
        <v>0.0968685097192385</v>
      </c>
      <c r="E290" s="51" t="n">
        <f aca="true">MAX(8,NORMINV(RAND(),$B$9,$C$9))</f>
        <v>24.4911571141902</v>
      </c>
      <c r="F290" s="24" t="n">
        <f aca="false">$B$18*(1+(B290+$B$17)/2)^9</f>
        <v>21341.9597247972</v>
      </c>
      <c r="G290" s="24" t="n">
        <f aca="false">F290*C290</f>
        <v>10490.5155582926</v>
      </c>
      <c r="H290" s="24" t="n">
        <f aca="false">E290*G290/(1+D290)^9</f>
        <v>111793.105624487</v>
      </c>
      <c r="I290" s="24" t="n">
        <f aca="false">$B$13*G290/$B$12*((1+$B$8)/(1+D290))^4.5</f>
        <v>27029.8742211262</v>
      </c>
      <c r="J290" s="24" t="n">
        <f aca="false">H290+I290-$B$14</f>
        <v>131385.379092188</v>
      </c>
      <c r="K290" s="43" t="n">
        <f aca="false">J290/$B$15</f>
        <v>685.727448289082</v>
      </c>
    </row>
    <row r="291" customFormat="false" ht="15" hidden="false" customHeight="false" outlineLevel="0" collapsed="false">
      <c r="A291" s="50" t="n">
        <v>251</v>
      </c>
      <c r="B291" s="19" t="n">
        <f aca="true">NORMINV(RAND(),$B$6,$C$6)</f>
        <v>0.089477750645065</v>
      </c>
      <c r="C291" s="19" t="n">
        <f aca="true">MAX(0.25,NORMINV(RAND(),$B$7,$C$7))</f>
        <v>0.464168593505481</v>
      </c>
      <c r="D291" s="32" t="n">
        <f aca="true">MAX(0.07,NORMINV(RAND(),$B$8,$C$8))</f>
        <v>0.0975051253597603</v>
      </c>
      <c r="E291" s="51" t="n">
        <f aca="true">MAX(8,NORMINV(RAND(),$B$9,$C$9))</f>
        <v>16.8961104866482</v>
      </c>
      <c r="F291" s="24" t="n">
        <f aca="false">$B$18*(1+(B291+$B$17)/2)^9</f>
        <v>18489.6412203411</v>
      </c>
      <c r="G291" s="24" t="n">
        <f aca="false">F291*C291</f>
        <v>8582.31075966668</v>
      </c>
      <c r="H291" s="24" t="n">
        <f aca="false">E291*G291/(1+D291)^9</f>
        <v>62767.085471335</v>
      </c>
      <c r="I291" s="24" t="n">
        <f aca="false">$B$13*G291/$B$12*((1+$B$8)/(1+D291))^4.5</f>
        <v>22055.5290368074</v>
      </c>
      <c r="J291" s="24" t="n">
        <f aca="false">H291+I291-$B$14</f>
        <v>77385.0137547178</v>
      </c>
      <c r="K291" s="43" t="n">
        <f aca="false">J291/$B$15</f>
        <v>403.88838076575</v>
      </c>
    </row>
    <row r="292" customFormat="false" ht="15" hidden="false" customHeight="false" outlineLevel="0" collapsed="false">
      <c r="A292" s="50" t="n">
        <v>252</v>
      </c>
      <c r="B292" s="19" t="n">
        <f aca="true">NORMINV(RAND(),$B$6,$C$6)</f>
        <v>0.0750689579304967</v>
      </c>
      <c r="C292" s="19" t="n">
        <f aca="true">MAX(0.25,NORMINV(RAND(),$B$7,$C$7))</f>
        <v>0.51138682925767</v>
      </c>
      <c r="D292" s="32" t="n">
        <f aca="true">MAX(0.07,NORMINV(RAND(),$B$8,$C$8))</f>
        <v>0.0865712403351003</v>
      </c>
      <c r="E292" s="51" t="n">
        <f aca="true">MAX(8,NORMINV(RAND(),$B$9,$C$9))</f>
        <v>18.324561633733</v>
      </c>
      <c r="F292" s="24" t="n">
        <f aca="false">$B$18*(1+(B292+$B$17)/2)^9</f>
        <v>17403.5984484348</v>
      </c>
      <c r="G292" s="24" t="n">
        <f aca="false">F292*C292</f>
        <v>8899.97102821877</v>
      </c>
      <c r="H292" s="24" t="n">
        <f aca="false">E292*G292/(1+D292)^9</f>
        <v>77249.9726934367</v>
      </c>
      <c r="I292" s="24" t="n">
        <f aca="false">$B$13*G292/$B$12*((1+$B$8)/(1+D292))^4.5</f>
        <v>23925.9624625366</v>
      </c>
      <c r="J292" s="24" t="n">
        <f aca="false">H292+I292-$B$14</f>
        <v>93738.3344025486</v>
      </c>
      <c r="K292" s="43" t="n">
        <f aca="false">J292/$B$15</f>
        <v>489.23974114065</v>
      </c>
    </row>
    <row r="293" customFormat="false" ht="15" hidden="false" customHeight="false" outlineLevel="0" collapsed="false">
      <c r="A293" s="50" t="n">
        <v>253</v>
      </c>
      <c r="B293" s="19" t="n">
        <f aca="true">NORMINV(RAND(),$B$6,$C$6)</f>
        <v>0.122446031761861</v>
      </c>
      <c r="C293" s="19" t="n">
        <f aca="true">MAX(0.25,NORMINV(RAND(),$B$7,$C$7))</f>
        <v>0.443229812590486</v>
      </c>
      <c r="D293" s="32" t="n">
        <f aca="true">MAX(0.07,NORMINV(RAND(),$B$8,$C$8))</f>
        <v>0.100038170619776</v>
      </c>
      <c r="E293" s="51" t="n">
        <f aca="true">MAX(8,NORMINV(RAND(),$B$9,$C$9))</f>
        <v>18.2458853402653</v>
      </c>
      <c r="F293" s="24" t="n">
        <f aca="false">$B$18*(1+(B293+$B$17)/2)^9</f>
        <v>21204.2792774452</v>
      </c>
      <c r="G293" s="24" t="n">
        <f aca="false">F293*C293</f>
        <v>9398.36873025837</v>
      </c>
      <c r="H293" s="24" t="n">
        <f aca="false">E293*G293/(1+D293)^9</f>
        <v>72702.2120221886</v>
      </c>
      <c r="I293" s="24" t="n">
        <f aca="false">$B$13*G293/$B$12*((1+$B$8)/(1+D293))^4.5</f>
        <v>23903.4359394801</v>
      </c>
      <c r="J293" s="24" t="n">
        <f aca="false">H293+I293-$B$14</f>
        <v>89168.047208244</v>
      </c>
      <c r="K293" s="43" t="n">
        <f aca="false">J293/$B$15</f>
        <v>465.386467683946</v>
      </c>
    </row>
    <row r="294" customFormat="false" ht="15" hidden="false" customHeight="false" outlineLevel="0" collapsed="false">
      <c r="A294" s="50" t="n">
        <v>254</v>
      </c>
      <c r="B294" s="19" t="n">
        <f aca="true">NORMINV(RAND(),$B$6,$C$6)</f>
        <v>0.142126300122997</v>
      </c>
      <c r="C294" s="19" t="n">
        <f aca="true">MAX(0.25,NORMINV(RAND(),$B$7,$C$7))</f>
        <v>0.489893552442617</v>
      </c>
      <c r="D294" s="32" t="n">
        <f aca="true">MAX(0.07,NORMINV(RAND(),$B$8,$C$8))</f>
        <v>0.0912467020040232</v>
      </c>
      <c r="E294" s="51" t="n">
        <f aca="true">MAX(8,NORMINV(RAND(),$B$9,$C$9))</f>
        <v>17.8264768248442</v>
      </c>
      <c r="F294" s="24" t="n">
        <f aca="false">$B$18*(1+(B294+$B$17)/2)^9</f>
        <v>22988.5675787224</v>
      </c>
      <c r="G294" s="24" t="n">
        <f aca="false">F294*C294</f>
        <v>11261.9510367075</v>
      </c>
      <c r="H294" s="24" t="n">
        <f aca="false">E294*G294/(1+D294)^9</f>
        <v>91489.7953491065</v>
      </c>
      <c r="I294" s="24" t="n">
        <f aca="false">$B$13*G294/$B$12*((1+$B$8)/(1+D294))^4.5</f>
        <v>29696.3543235538</v>
      </c>
      <c r="J294" s="24" t="n">
        <f aca="false">H294+I294-$B$14</f>
        <v>113748.548919236</v>
      </c>
      <c r="K294" s="43" t="n">
        <f aca="false">J294/$B$15</f>
        <v>593.677186426073</v>
      </c>
    </row>
    <row r="295" customFormat="false" ht="15" hidden="false" customHeight="false" outlineLevel="0" collapsed="false">
      <c r="A295" s="50" t="n">
        <v>255</v>
      </c>
      <c r="B295" s="19" t="n">
        <f aca="true">NORMINV(RAND(),$B$6,$C$6)</f>
        <v>0.0799626198831219</v>
      </c>
      <c r="C295" s="19" t="n">
        <f aca="true">MAX(0.25,NORMINV(RAND(),$B$7,$C$7))</f>
        <v>0.409843043901947</v>
      </c>
      <c r="D295" s="32" t="n">
        <f aca="true">MAX(0.07,NORMINV(RAND(),$B$8,$C$8))</f>
        <v>0.106960325513901</v>
      </c>
      <c r="E295" s="51" t="n">
        <f aca="true">MAX(8,NORMINV(RAND(),$B$9,$C$9))</f>
        <v>21.5940880564258</v>
      </c>
      <c r="F295" s="24" t="n">
        <f aca="false">$B$18*(1+(B295+$B$17)/2)^9</f>
        <v>17765.9151338878</v>
      </c>
      <c r="G295" s="24" t="n">
        <f aca="false">F295*C295</f>
        <v>7281.23673617626</v>
      </c>
      <c r="H295" s="24" t="n">
        <f aca="false">E295*G295/(1+D295)^9</f>
        <v>63001.5912682272</v>
      </c>
      <c r="I295" s="24" t="n">
        <f aca="false">$B$13*G295/$B$12*((1+$B$8)/(1+D295))^4.5</f>
        <v>18003.3635525406</v>
      </c>
      <c r="J295" s="24" t="n">
        <f aca="false">H295+I295-$B$14</f>
        <v>73567.3540673431</v>
      </c>
      <c r="K295" s="43" t="n">
        <f aca="false">J295/$B$15</f>
        <v>383.963225821206</v>
      </c>
    </row>
    <row r="296" customFormat="false" ht="15" hidden="false" customHeight="false" outlineLevel="0" collapsed="false">
      <c r="A296" s="50" t="n">
        <v>256</v>
      </c>
      <c r="B296" s="19" t="n">
        <f aca="true">NORMINV(RAND(),$B$6,$C$6)</f>
        <v>0.0915894072671148</v>
      </c>
      <c r="C296" s="19" t="n">
        <f aca="true">MAX(0.25,NORMINV(RAND(),$B$7,$C$7))</f>
        <v>0.438378100779529</v>
      </c>
      <c r="D296" s="32" t="n">
        <f aca="true">MAX(0.07,NORMINV(RAND(),$B$8,$C$8))</f>
        <v>0.108127323921296</v>
      </c>
      <c r="E296" s="51" t="n">
        <f aca="true">MAX(8,NORMINV(RAND(),$B$9,$C$9))</f>
        <v>15.8021034438493</v>
      </c>
      <c r="F296" s="24" t="n">
        <f aca="false">$B$18*(1+(B296+$B$17)/2)^9</f>
        <v>18653.7638653767</v>
      </c>
      <c r="G296" s="24" t="n">
        <f aca="false">F296*C296</f>
        <v>8177.40157569365</v>
      </c>
      <c r="H296" s="24" t="n">
        <f aca="false">E296*G296/(1+D296)^9</f>
        <v>51288.8843731672</v>
      </c>
      <c r="I296" s="24" t="n">
        <f aca="false">$B$13*G296/$B$12*((1+$B$8)/(1+D296))^4.5</f>
        <v>20123.5496303825</v>
      </c>
      <c r="J296" s="24" t="n">
        <f aca="false">H296+I296-$B$14</f>
        <v>63974.833250125</v>
      </c>
      <c r="K296" s="43" t="n">
        <f aca="false">J296/$B$15</f>
        <v>333.897877088335</v>
      </c>
    </row>
    <row r="297" customFormat="false" ht="15" hidden="false" customHeight="false" outlineLevel="0" collapsed="false">
      <c r="A297" s="50" t="n">
        <v>257</v>
      </c>
      <c r="B297" s="19" t="n">
        <f aca="true">NORMINV(RAND(),$B$6,$C$6)</f>
        <v>0.0949074688455719</v>
      </c>
      <c r="C297" s="19" t="n">
        <f aca="true">MAX(0.25,NORMINV(RAND(),$B$7,$C$7))</f>
        <v>0.466457951473928</v>
      </c>
      <c r="D297" s="32" t="n">
        <f aca="true">MAX(0.07,NORMINV(RAND(),$B$8,$C$8))</f>
        <v>0.0982581060599565</v>
      </c>
      <c r="E297" s="51" t="n">
        <f aca="true">MAX(8,NORMINV(RAND(),$B$9,$C$9))</f>
        <v>13.3583696208955</v>
      </c>
      <c r="F297" s="24" t="n">
        <f aca="false">$B$18*(1+(B297+$B$17)/2)^9</f>
        <v>18914.2678565926</v>
      </c>
      <c r="G297" s="24" t="n">
        <f aca="false">F297*C297</f>
        <v>8822.71063801534</v>
      </c>
      <c r="H297" s="24" t="n">
        <f aca="false">E297*G297/(1+D297)^9</f>
        <v>50700.9077646705</v>
      </c>
      <c r="I297" s="24" t="n">
        <f aca="false">$B$13*G297/$B$12*((1+$B$8)/(1+D297))^4.5</f>
        <v>22603.4591861206</v>
      </c>
      <c r="J297" s="24" t="n">
        <f aca="false">H297+I297-$B$14</f>
        <v>65866.7661973665</v>
      </c>
      <c r="K297" s="43" t="n">
        <f aca="false">J297/$B$15</f>
        <v>343.772266165796</v>
      </c>
    </row>
    <row r="298" customFormat="false" ht="15" hidden="false" customHeight="false" outlineLevel="0" collapsed="false">
      <c r="A298" s="50" t="n">
        <v>258</v>
      </c>
      <c r="B298" s="19" t="n">
        <f aca="true">NORMINV(RAND(),$B$6,$C$6)</f>
        <v>0.138337876980009</v>
      </c>
      <c r="C298" s="19" t="n">
        <f aca="true">MAX(0.25,NORMINV(RAND(),$B$7,$C$7))</f>
        <v>0.448281705898624</v>
      </c>
      <c r="D298" s="32" t="n">
        <f aca="true">MAX(0.07,NORMINV(RAND(),$B$8,$C$8))</f>
        <v>0.0886220611013773</v>
      </c>
      <c r="E298" s="51" t="n">
        <f aca="true">MAX(8,NORMINV(RAND(),$B$9,$C$9))</f>
        <v>15.5907318550571</v>
      </c>
      <c r="F298" s="24" t="n">
        <f aca="false">$B$18*(1+(B298+$B$17)/2)^9</f>
        <v>22635.0721143618</v>
      </c>
      <c r="G298" s="24" t="n">
        <f aca="false">F298*C298</f>
        <v>10146.8887405645</v>
      </c>
      <c r="H298" s="24" t="n">
        <f aca="false">E298*G298/(1+D298)^9</f>
        <v>73672.4682933523</v>
      </c>
      <c r="I298" s="24" t="n">
        <f aca="false">$B$13*G298/$B$12*((1+$B$8)/(1+D298))^4.5</f>
        <v>27047.5890132655</v>
      </c>
      <c r="J298" s="24" t="n">
        <f aca="false">H298+I298-$B$14</f>
        <v>93282.4565531931</v>
      </c>
      <c r="K298" s="43" t="n">
        <f aca="false">J298/$B$15</f>
        <v>486.860420423763</v>
      </c>
    </row>
    <row r="299" customFormat="false" ht="15" hidden="false" customHeight="false" outlineLevel="0" collapsed="false">
      <c r="A299" s="50" t="n">
        <v>259</v>
      </c>
      <c r="B299" s="19" t="n">
        <f aca="true">NORMINV(RAND(),$B$6,$C$6)</f>
        <v>0.141296388384477</v>
      </c>
      <c r="C299" s="19" t="n">
        <f aca="true">MAX(0.25,NORMINV(RAND(),$B$7,$C$7))</f>
        <v>0.465006331268755</v>
      </c>
      <c r="D299" s="32" t="n">
        <f aca="true">MAX(0.07,NORMINV(RAND(),$B$8,$C$8))</f>
        <v>0.105554685905268</v>
      </c>
      <c r="E299" s="51" t="n">
        <f aca="true">MAX(8,NORMINV(RAND(),$B$9,$C$9))</f>
        <v>20.1011854183907</v>
      </c>
      <c r="F299" s="24" t="n">
        <f aca="false">$B$18*(1+(B299+$B$17)/2)^9</f>
        <v>22910.7120426901</v>
      </c>
      <c r="G299" s="24" t="n">
        <f aca="false">F299*C299</f>
        <v>10653.6261537262</v>
      </c>
      <c r="H299" s="24" t="n">
        <f aca="false">E299*G299/(1+D299)^9</f>
        <v>86795.4692346657</v>
      </c>
      <c r="I299" s="24" t="n">
        <f aca="false">$B$13*G299/$B$12*((1+$B$8)/(1+D299))^4.5</f>
        <v>26492.8798365857</v>
      </c>
      <c r="J299" s="24" t="n">
        <f aca="false">H299+I299-$B$14</f>
        <v>105850.748317827</v>
      </c>
      <c r="K299" s="43" t="n">
        <f aca="false">J299/$B$15</f>
        <v>552.456932765275</v>
      </c>
    </row>
    <row r="300" customFormat="false" ht="15" hidden="false" customHeight="false" outlineLevel="0" collapsed="false">
      <c r="A300" s="50" t="n">
        <v>260</v>
      </c>
      <c r="B300" s="19" t="n">
        <f aca="true">NORMINV(RAND(),$B$6,$C$6)</f>
        <v>0.0954163776097557</v>
      </c>
      <c r="C300" s="19" t="n">
        <f aca="true">MAX(0.25,NORMINV(RAND(),$B$7,$C$7))</f>
        <v>0.491241266318508</v>
      </c>
      <c r="D300" s="32" t="n">
        <f aca="true">MAX(0.07,NORMINV(RAND(),$B$8,$C$8))</f>
        <v>0.08441795955141</v>
      </c>
      <c r="E300" s="51" t="n">
        <f aca="true">MAX(8,NORMINV(RAND(),$B$9,$C$9))</f>
        <v>19.2709970990062</v>
      </c>
      <c r="F300" s="24" t="n">
        <f aca="false">$B$18*(1+(B300+$B$17)/2)^9</f>
        <v>18954.5074549402</v>
      </c>
      <c r="G300" s="24" t="n">
        <f aca="false">F300*C300</f>
        <v>9311.23624460841</v>
      </c>
      <c r="H300" s="24" t="n">
        <f aca="false">E300*G300/(1+D300)^9</f>
        <v>86524.9223149379</v>
      </c>
      <c r="I300" s="24" t="n">
        <f aca="false">$B$13*G300/$B$12*((1+$B$8)/(1+D300))^4.5</f>
        <v>25256.021535415</v>
      </c>
      <c r="J300" s="24" t="n">
        <f aca="false">H300+I300-$B$14</f>
        <v>104343.343096928</v>
      </c>
      <c r="K300" s="43" t="n">
        <f aca="false">J300/$B$15</f>
        <v>544.589473366014</v>
      </c>
    </row>
    <row r="301" customFormat="false" ht="15" hidden="false" customHeight="false" outlineLevel="0" collapsed="false">
      <c r="A301" s="50" t="n">
        <v>261</v>
      </c>
      <c r="B301" s="19" t="n">
        <f aca="true">NORMINV(RAND(),$B$6,$C$6)</f>
        <v>0.0443953358801117</v>
      </c>
      <c r="C301" s="19" t="n">
        <f aca="true">MAX(0.25,NORMINV(RAND(),$B$7,$C$7))</f>
        <v>0.498289794407738</v>
      </c>
      <c r="D301" s="32" t="n">
        <f aca="true">MAX(0.07,NORMINV(RAND(),$B$8,$C$8))</f>
        <v>0.0914995373272144</v>
      </c>
      <c r="E301" s="51" t="n">
        <f aca="true">MAX(8,NORMINV(RAND(),$B$9,$C$9))</f>
        <v>18.1318823810573</v>
      </c>
      <c r="F301" s="24" t="n">
        <f aca="false">$B$18*(1+(B301+$B$17)/2)^9</f>
        <v>15278.399877232</v>
      </c>
      <c r="G301" s="24" t="n">
        <f aca="false">F301*C301</f>
        <v>7613.07073370514</v>
      </c>
      <c r="H301" s="24" t="n">
        <f aca="false">E301*G301/(1+D301)^9</f>
        <v>62775.5829669413</v>
      </c>
      <c r="I301" s="24" t="n">
        <f aca="false">$B$13*G301/$B$12*((1+$B$8)/(1+D301))^4.5</f>
        <v>20053.7969570096</v>
      </c>
      <c r="J301" s="24" t="n">
        <f aca="false">H301+I301-$B$14</f>
        <v>75391.7791705262</v>
      </c>
      <c r="K301" s="43" t="n">
        <f aca="false">J301/$B$15</f>
        <v>393.485277507966</v>
      </c>
    </row>
    <row r="302" customFormat="false" ht="15" hidden="false" customHeight="false" outlineLevel="0" collapsed="false">
      <c r="A302" s="50" t="n">
        <v>262</v>
      </c>
      <c r="B302" s="19" t="n">
        <f aca="true">NORMINV(RAND(),$B$6,$C$6)</f>
        <v>0.029223428193854</v>
      </c>
      <c r="C302" s="19" t="n">
        <f aca="true">MAX(0.25,NORMINV(RAND(),$B$7,$C$7))</f>
        <v>0.432914806715738</v>
      </c>
      <c r="D302" s="32" t="n">
        <f aca="true">MAX(0.07,NORMINV(RAND(),$B$8,$C$8))</f>
        <v>0.097656246570438</v>
      </c>
      <c r="E302" s="51" t="n">
        <f aca="true">MAX(8,NORMINV(RAND(),$B$9,$C$9))</f>
        <v>18.1672584621921</v>
      </c>
      <c r="F302" s="24" t="n">
        <f aca="false">$B$18*(1+(B302+$B$17)/2)^9</f>
        <v>14315.1493393807</v>
      </c>
      <c r="G302" s="24" t="n">
        <f aca="false">F302*C302</f>
        <v>6197.24010936491</v>
      </c>
      <c r="H302" s="24" t="n">
        <f aca="false">E302*G302/(1+D302)^9</f>
        <v>48673.2716222956</v>
      </c>
      <c r="I302" s="24" t="n">
        <f aca="false">$B$13*G302/$B$12*((1+$B$8)/(1+D302))^4.5</f>
        <v>15916.3134650808</v>
      </c>
      <c r="J302" s="24" t="n">
        <f aca="false">H302+I302-$B$14</f>
        <v>57151.9843339517</v>
      </c>
      <c r="K302" s="43" t="n">
        <f aca="false">J302/$B$15</f>
        <v>298.288018444424</v>
      </c>
    </row>
    <row r="303" customFormat="false" ht="15" hidden="false" customHeight="false" outlineLevel="0" collapsed="false">
      <c r="A303" s="50" t="n">
        <v>263</v>
      </c>
      <c r="B303" s="19" t="n">
        <f aca="true">NORMINV(RAND(),$B$6,$C$6)</f>
        <v>0.0982094569458539</v>
      </c>
      <c r="C303" s="19" t="n">
        <f aca="true">MAX(0.25,NORMINV(RAND(),$B$7,$C$7))</f>
        <v>0.469459755207452</v>
      </c>
      <c r="D303" s="32" t="n">
        <f aca="true">MAX(0.07,NORMINV(RAND(),$B$8,$C$8))</f>
        <v>0.100789192947931</v>
      </c>
      <c r="E303" s="51" t="n">
        <f aca="true">MAX(8,NORMINV(RAND(),$B$9,$C$9))</f>
        <v>22.5277223018697</v>
      </c>
      <c r="F303" s="24" t="n">
        <f aca="false">$B$18*(1+(B303+$B$17)/2)^9</f>
        <v>19176.7151963479</v>
      </c>
      <c r="G303" s="24" t="n">
        <f aca="false">F303*C303</f>
        <v>9002.69602176049</v>
      </c>
      <c r="H303" s="24" t="n">
        <f aca="false">E303*G303/(1+D303)^9</f>
        <v>85457.9470252677</v>
      </c>
      <c r="I303" s="24" t="n">
        <f aca="false">$B$13*G303/$B$12*((1+$B$8)/(1+D303))^4.5</f>
        <v>22826.883862985</v>
      </c>
      <c r="J303" s="24" t="n">
        <f aca="false">H303+I303-$B$14</f>
        <v>100847.230134828</v>
      </c>
      <c r="K303" s="43" t="n">
        <f aca="false">J303/$B$15</f>
        <v>526.342537238142</v>
      </c>
    </row>
    <row r="304" customFormat="false" ht="15" hidden="false" customHeight="false" outlineLevel="0" collapsed="false">
      <c r="A304" s="50" t="n">
        <v>264</v>
      </c>
      <c r="B304" s="19" t="n">
        <f aca="true">NORMINV(RAND(),$B$6,$C$6)</f>
        <v>0.0820585710354157</v>
      </c>
      <c r="C304" s="19" t="n">
        <f aca="true">MAX(0.25,NORMINV(RAND(),$B$7,$C$7))</f>
        <v>0.477255063075416</v>
      </c>
      <c r="D304" s="32" t="n">
        <f aca="true">MAX(0.07,NORMINV(RAND(),$B$8,$C$8))</f>
        <v>0.0976856609776566</v>
      </c>
      <c r="E304" s="51" t="n">
        <f aca="true">MAX(8,NORMINV(RAND(),$B$9,$C$9))</f>
        <v>18.1229269848492</v>
      </c>
      <c r="F304" s="24" t="n">
        <f aca="false">$B$18*(1+(B304+$B$17)/2)^9</f>
        <v>17923.1348715165</v>
      </c>
      <c r="G304" s="24" t="n">
        <f aca="false">F304*C304</f>
        <v>8553.90686361479</v>
      </c>
      <c r="H304" s="24" t="n">
        <f aca="false">E304*G304/(1+D304)^9</f>
        <v>67002.4893450185</v>
      </c>
      <c r="I304" s="24" t="n">
        <f aca="false">$B$13*G304/$B$12*((1+$B$8)/(1+D304))^4.5</f>
        <v>21966.269510956</v>
      </c>
      <c r="J304" s="24" t="n">
        <f aca="false">H304+I304-$B$14</f>
        <v>81531.1581025498</v>
      </c>
      <c r="K304" s="43" t="n">
        <f aca="false">J304/$B$15</f>
        <v>425.527965044623</v>
      </c>
    </row>
    <row r="305" customFormat="false" ht="15" hidden="false" customHeight="false" outlineLevel="0" collapsed="false">
      <c r="A305" s="50" t="n">
        <v>265</v>
      </c>
      <c r="B305" s="19" t="n">
        <f aca="true">NORMINV(RAND(),$B$6,$C$6)</f>
        <v>0.0944303921573535</v>
      </c>
      <c r="C305" s="19" t="n">
        <f aca="true">MAX(0.25,NORMINV(RAND(),$B$7,$C$7))</f>
        <v>0.442147549825079</v>
      </c>
      <c r="D305" s="32" t="n">
        <f aca="true">MAX(0.07,NORMINV(RAND(),$B$8,$C$8))</f>
        <v>0.0908223271212197</v>
      </c>
      <c r="E305" s="51" t="n">
        <f aca="true">MAX(8,NORMINV(RAND(),$B$9,$C$9))</f>
        <v>13.0460201465369</v>
      </c>
      <c r="F305" s="24" t="n">
        <f aca="false">$B$18*(1+(B305+$B$17)/2)^9</f>
        <v>18876.6142095707</v>
      </c>
      <c r="G305" s="24" t="n">
        <f aca="false">F305*C305</f>
        <v>8346.24872175493</v>
      </c>
      <c r="H305" s="24" t="n">
        <f aca="false">E305*G305/(1+D305)^9</f>
        <v>49794.7092033346</v>
      </c>
      <c r="I305" s="24" t="n">
        <f aca="false">$B$13*G305/$B$12*((1+$B$8)/(1+D305))^4.5</f>
        <v>22046.5678621857</v>
      </c>
      <c r="J305" s="24" t="n">
        <f aca="false">H305+I305-$B$14</f>
        <v>64403.6763120957</v>
      </c>
      <c r="K305" s="43" t="n">
        <f aca="false">J305/$B$15</f>
        <v>336.136097662295</v>
      </c>
    </row>
    <row r="306" customFormat="false" ht="15" hidden="false" customHeight="false" outlineLevel="0" collapsed="false">
      <c r="A306" s="50" t="n">
        <v>266</v>
      </c>
      <c r="B306" s="19" t="n">
        <f aca="true">NORMINV(RAND(),$B$6,$C$6)</f>
        <v>0.127610879283792</v>
      </c>
      <c r="C306" s="19" t="n">
        <f aca="true">MAX(0.25,NORMINV(RAND(),$B$7,$C$7))</f>
        <v>0.479359023282076</v>
      </c>
      <c r="D306" s="32" t="n">
        <f aca="true">MAX(0.07,NORMINV(RAND(),$B$8,$C$8))</f>
        <v>0.0947992420096203</v>
      </c>
      <c r="E306" s="51" t="n">
        <f aca="true">MAX(8,NORMINV(RAND(),$B$9,$C$9))</f>
        <v>13.3090381674034</v>
      </c>
      <c r="F306" s="24" t="n">
        <f aca="false">$B$18*(1+(B306+$B$17)/2)^9</f>
        <v>21660.2052681739</v>
      </c>
      <c r="G306" s="24" t="n">
        <f aca="false">F306*C306</f>
        <v>10383.0148414411</v>
      </c>
      <c r="H306" s="24" t="n">
        <f aca="false">E306*G306/(1+D306)^9</f>
        <v>61158.9122843065</v>
      </c>
      <c r="I306" s="24" t="n">
        <f aca="false">$B$13*G306/$B$12*((1+$B$8)/(1+D306))^4.5</f>
        <v>26981.1855686492</v>
      </c>
      <c r="J306" s="24" t="n">
        <f aca="false">H306+I306-$B$14</f>
        <v>80702.497099531</v>
      </c>
      <c r="K306" s="43" t="n">
        <f aca="false">J306/$B$15</f>
        <v>421.203012001728</v>
      </c>
    </row>
    <row r="307" customFormat="false" ht="15" hidden="false" customHeight="false" outlineLevel="0" collapsed="false">
      <c r="A307" s="50" t="n">
        <v>267</v>
      </c>
      <c r="B307" s="19" t="n">
        <f aca="true">NORMINV(RAND(),$B$6,$C$6)</f>
        <v>0.145414040658311</v>
      </c>
      <c r="C307" s="19" t="n">
        <f aca="true">MAX(0.25,NORMINV(RAND(),$B$7,$C$7))</f>
        <v>0.480029121159138</v>
      </c>
      <c r="D307" s="32" t="n">
        <f aca="true">MAX(0.07,NORMINV(RAND(),$B$8,$C$8))</f>
        <v>0.101879418297336</v>
      </c>
      <c r="E307" s="51" t="n">
        <f aca="true">MAX(8,NORMINV(RAND(),$B$9,$C$9))</f>
        <v>20.7048002551523</v>
      </c>
      <c r="F307" s="24" t="n">
        <f aca="false">$B$18*(1+(B307+$B$17)/2)^9</f>
        <v>23299.3129016093</v>
      </c>
      <c r="G307" s="24" t="n">
        <f aca="false">F307*C307</f>
        <v>11184.3486957713</v>
      </c>
      <c r="H307" s="24" t="n">
        <f aca="false">E307*G307/(1+D307)^9</f>
        <v>96710.8285655301</v>
      </c>
      <c r="I307" s="24" t="n">
        <f aca="false">$B$13*G307/$B$12*((1+$B$8)/(1+D307))^4.5</f>
        <v>28232.551509753</v>
      </c>
      <c r="J307" s="24" t="n">
        <f aca="false">H307+I307-$B$14</f>
        <v>117505.779321858</v>
      </c>
      <c r="K307" s="43" t="n">
        <f aca="false">J307/$B$15</f>
        <v>613.286948443938</v>
      </c>
    </row>
    <row r="308" customFormat="false" ht="15" hidden="false" customHeight="false" outlineLevel="0" collapsed="false">
      <c r="A308" s="50" t="n">
        <v>268</v>
      </c>
      <c r="B308" s="19" t="n">
        <f aca="true">NORMINV(RAND(),$B$6,$C$6)</f>
        <v>0.123025868340706</v>
      </c>
      <c r="C308" s="19" t="n">
        <f aca="true">MAX(0.25,NORMINV(RAND(),$B$7,$C$7))</f>
        <v>0.52729071698407</v>
      </c>
      <c r="D308" s="32" t="n">
        <f aca="true">MAX(0.07,NORMINV(RAND(),$B$8,$C$8))</f>
        <v>0.100079392153421</v>
      </c>
      <c r="E308" s="51" t="n">
        <f aca="true">MAX(8,NORMINV(RAND(),$B$9,$C$9))</f>
        <v>19.2257694757164</v>
      </c>
      <c r="F308" s="24" t="n">
        <f aca="false">$B$18*(1+(B308+$B$17)/2)^9</f>
        <v>21255.0355474345</v>
      </c>
      <c r="G308" s="24" t="n">
        <f aca="false">F308*C308</f>
        <v>11207.5829333286</v>
      </c>
      <c r="H308" s="24" t="n">
        <f aca="false">E308*G308/(1+D308)^9</f>
        <v>91322.8444373847</v>
      </c>
      <c r="I308" s="24" t="n">
        <f aca="false">$B$13*G308/$B$12*((1+$B$8)/(1+D308))^4.5</f>
        <v>28500.1129142746</v>
      </c>
      <c r="J308" s="24" t="n">
        <f aca="false">H308+I308-$B$14</f>
        <v>112385.356598235</v>
      </c>
      <c r="K308" s="43" t="n">
        <f aca="false">J308/$B$15</f>
        <v>586.562403957383</v>
      </c>
    </row>
    <row r="309" customFormat="false" ht="15" hidden="false" customHeight="false" outlineLevel="0" collapsed="false">
      <c r="A309" s="50" t="n">
        <v>269</v>
      </c>
      <c r="B309" s="19" t="n">
        <f aca="true">NORMINV(RAND(),$B$6,$C$6)</f>
        <v>0.0993263278511858</v>
      </c>
      <c r="C309" s="19" t="n">
        <f aca="true">MAX(0.25,NORMINV(RAND(),$B$7,$C$7))</f>
        <v>0.436988245638181</v>
      </c>
      <c r="D309" s="32" t="n">
        <f aca="true">MAX(0.07,NORMINV(RAND(),$B$8,$C$8))</f>
        <v>0.0878394878991606</v>
      </c>
      <c r="E309" s="51" t="n">
        <f aca="true">MAX(8,NORMINV(RAND(),$B$9,$C$9))</f>
        <v>18.8256467435835</v>
      </c>
      <c r="F309" s="24" t="n">
        <f aca="false">$B$18*(1+(B309+$B$17)/2)^9</f>
        <v>19266.2156541454</v>
      </c>
      <c r="G309" s="24" t="n">
        <f aca="false">F309*C309</f>
        <v>8419.10977879185</v>
      </c>
      <c r="H309" s="24" t="n">
        <f aca="false">E309*G309/(1+D309)^9</f>
        <v>74290.4010756729</v>
      </c>
      <c r="I309" s="24" t="n">
        <f aca="false">$B$13*G309/$B$12*((1+$B$8)/(1+D309))^4.5</f>
        <v>22514.7555232647</v>
      </c>
      <c r="J309" s="24" t="n">
        <f aca="false">H309+I309-$B$14</f>
        <v>89367.5558455129</v>
      </c>
      <c r="K309" s="43" t="n">
        <f aca="false">J309/$B$15</f>
        <v>466.427744496414</v>
      </c>
    </row>
    <row r="310" customFormat="false" ht="15" hidden="false" customHeight="false" outlineLevel="0" collapsed="false">
      <c r="A310" s="50" t="n">
        <v>270</v>
      </c>
      <c r="B310" s="19" t="n">
        <f aca="true">NORMINV(RAND(),$B$6,$C$6)</f>
        <v>0.162084499260032</v>
      </c>
      <c r="C310" s="19" t="n">
        <f aca="true">MAX(0.25,NORMINV(RAND(),$B$7,$C$7))</f>
        <v>0.480894058196699</v>
      </c>
      <c r="D310" s="32" t="n">
        <f aca="true">MAX(0.07,NORMINV(RAND(),$B$8,$C$8))</f>
        <v>0.101310425476448</v>
      </c>
      <c r="E310" s="51" t="n">
        <f aca="true">MAX(8,NORMINV(RAND(),$B$9,$C$9))</f>
        <v>19.3559022445365</v>
      </c>
      <c r="F310" s="24" t="n">
        <f aca="false">$B$18*(1+(B310+$B$17)/2)^9</f>
        <v>24933.1428929261</v>
      </c>
      <c r="G310" s="24" t="n">
        <f aca="false">F310*C310</f>
        <v>11990.2002693774</v>
      </c>
      <c r="H310" s="24" t="n">
        <f aca="false">E310*G310/(1+D310)^9</f>
        <v>97376.0386371229</v>
      </c>
      <c r="I310" s="24" t="n">
        <f aca="false">$B$13*G310/$B$12*((1+$B$8)/(1+D310))^4.5</f>
        <v>30337.1871227244</v>
      </c>
      <c r="J310" s="24" t="n">
        <f aca="false">H310+I310-$B$14</f>
        <v>120275.625006423</v>
      </c>
      <c r="K310" s="43" t="n">
        <f aca="false">J310/$B$15</f>
        <v>627.743345545003</v>
      </c>
    </row>
    <row r="311" customFormat="false" ht="15" hidden="false" customHeight="false" outlineLevel="0" collapsed="false">
      <c r="A311" s="50" t="n">
        <v>271</v>
      </c>
      <c r="B311" s="19" t="n">
        <f aca="true">NORMINV(RAND(),$B$6,$C$6)</f>
        <v>0.0813281103932955</v>
      </c>
      <c r="C311" s="19" t="n">
        <f aca="true">MAX(0.25,NORMINV(RAND(),$B$7,$C$7))</f>
        <v>0.512945183189609</v>
      </c>
      <c r="D311" s="32" t="n">
        <f aca="true">MAX(0.07,NORMINV(RAND(),$B$8,$C$8))</f>
        <v>0.10012703252989</v>
      </c>
      <c r="E311" s="51" t="n">
        <f aca="true">MAX(8,NORMINV(RAND(),$B$9,$C$9))</f>
        <v>16.4386186143234</v>
      </c>
      <c r="F311" s="24" t="n">
        <f aca="false">$B$18*(1+(B311+$B$17)/2)^9</f>
        <v>17868.202337178</v>
      </c>
      <c r="G311" s="24" t="n">
        <f aca="false">F311*C311</f>
        <v>9165.40832111274</v>
      </c>
      <c r="H311" s="24" t="n">
        <f aca="false">E311*G311/(1+D311)^9</f>
        <v>63830.9943621025</v>
      </c>
      <c r="I311" s="24" t="n">
        <f aca="false">$B$13*G311/$B$12*((1+$B$8)/(1+D311))^4.5</f>
        <v>23302.4617780676</v>
      </c>
      <c r="J311" s="24" t="n">
        <f aca="false">H311+I311-$B$14</f>
        <v>79695.8553867454</v>
      </c>
      <c r="K311" s="43" t="n">
        <f aca="false">J311/$B$15</f>
        <v>415.949140849402</v>
      </c>
    </row>
    <row r="312" customFormat="false" ht="15" hidden="false" customHeight="false" outlineLevel="0" collapsed="false">
      <c r="A312" s="50" t="n">
        <v>272</v>
      </c>
      <c r="B312" s="19" t="n">
        <f aca="true">NORMINV(RAND(),$B$6,$C$6)</f>
        <v>0.0816544703554257</v>
      </c>
      <c r="C312" s="19" t="n">
        <f aca="true">MAX(0.25,NORMINV(RAND(),$B$7,$C$7))</f>
        <v>0.457426207125103</v>
      </c>
      <c r="D312" s="32" t="n">
        <f aca="true">MAX(0.07,NORMINV(RAND(),$B$8,$C$8))</f>
        <v>0.0954143987904802</v>
      </c>
      <c r="E312" s="51" t="n">
        <f aca="true">MAX(8,NORMINV(RAND(),$B$9,$C$9))</f>
        <v>25.7045263131707</v>
      </c>
      <c r="F312" s="24" t="n">
        <f aca="false">$B$18*(1+(B312+$B$17)/2)^9</f>
        <v>17892.7269299</v>
      </c>
      <c r="G312" s="24" t="n">
        <f aca="false">F312*C312</f>
        <v>8184.60221466935</v>
      </c>
      <c r="H312" s="24" t="n">
        <f aca="false">E312*G312/(1+D312)^9</f>
        <v>92640.5606127999</v>
      </c>
      <c r="I312" s="24" t="n">
        <f aca="false">$B$13*G312/$B$12*((1+$B$8)/(1+D312))^4.5</f>
        <v>21214.7209447784</v>
      </c>
      <c r="J312" s="24" t="n">
        <f aca="false">H312+I312-$B$14</f>
        <v>106417.680804154</v>
      </c>
      <c r="K312" s="43" t="n">
        <f aca="false">J312/$B$15</f>
        <v>555.415870585353</v>
      </c>
    </row>
    <row r="313" customFormat="false" ht="15" hidden="false" customHeight="false" outlineLevel="0" collapsed="false">
      <c r="A313" s="50" t="n">
        <v>273</v>
      </c>
      <c r="B313" s="19" t="n">
        <f aca="true">NORMINV(RAND(),$B$6,$C$6)</f>
        <v>0.058152368797277</v>
      </c>
      <c r="C313" s="19" t="n">
        <f aca="true">MAX(0.25,NORMINV(RAND(),$B$7,$C$7))</f>
        <v>0.422833576642663</v>
      </c>
      <c r="D313" s="32" t="n">
        <f aca="true">MAX(0.07,NORMINV(RAND(),$B$8,$C$8))</f>
        <v>0.0906406971003706</v>
      </c>
      <c r="E313" s="51" t="n">
        <f aca="true">MAX(8,NORMINV(RAND(),$B$9,$C$9))</f>
        <v>17.0525678613537</v>
      </c>
      <c r="F313" s="24" t="n">
        <f aca="false">$B$18*(1+(B313+$B$17)/2)^9</f>
        <v>16201.1811232669</v>
      </c>
      <c r="G313" s="24" t="n">
        <f aca="false">F313*C313</f>
        <v>6850.40336018652</v>
      </c>
      <c r="H313" s="24" t="n">
        <f aca="false">E313*G313/(1+D313)^9</f>
        <v>53502.0763685425</v>
      </c>
      <c r="I313" s="24" t="n">
        <f aca="false">$B$13*G313/$B$12*((1+$B$8)/(1+D313))^4.5</f>
        <v>18108.8656865518</v>
      </c>
      <c r="J313" s="24" t="n">
        <f aca="false">H313+I313-$B$14</f>
        <v>64173.3413016696</v>
      </c>
      <c r="K313" s="43" t="n">
        <f aca="false">J313/$B$15</f>
        <v>334.933931637106</v>
      </c>
    </row>
    <row r="314" customFormat="false" ht="15" hidden="false" customHeight="false" outlineLevel="0" collapsed="false">
      <c r="A314" s="50" t="n">
        <v>274</v>
      </c>
      <c r="B314" s="19" t="n">
        <f aca="true">NORMINV(RAND(),$B$6,$C$6)</f>
        <v>0.119221280758583</v>
      </c>
      <c r="C314" s="19" t="n">
        <f aca="true">MAX(0.25,NORMINV(RAND(),$B$7,$C$7))</f>
        <v>0.481255545764947</v>
      </c>
      <c r="D314" s="32" t="n">
        <f aca="true">MAX(0.07,NORMINV(RAND(),$B$8,$C$8))</f>
        <v>0.106067368147929</v>
      </c>
      <c r="E314" s="51" t="n">
        <f aca="true">MAX(8,NORMINV(RAND(),$B$9,$C$9))</f>
        <v>16.2827573426114</v>
      </c>
      <c r="F314" s="24" t="n">
        <f aca="false">$B$18*(1+(B314+$B$17)/2)^9</f>
        <v>20923.9598894892</v>
      </c>
      <c r="G314" s="24" t="n">
        <f aca="false">F314*C314</f>
        <v>10069.77173618</v>
      </c>
      <c r="H314" s="24" t="n">
        <f aca="false">E314*G314/(1+D314)^9</f>
        <v>66177.9575514553</v>
      </c>
      <c r="I314" s="24" t="n">
        <f aca="false">$B$13*G314/$B$12*((1+$B$8)/(1+D314))^4.5</f>
        <v>24988.7923193165</v>
      </c>
      <c r="J314" s="24" t="n">
        <f aca="false">H314+I314-$B$14</f>
        <v>83729.1491173472</v>
      </c>
      <c r="K314" s="43" t="n">
        <f aca="false">J314/$B$15</f>
        <v>436.999734432919</v>
      </c>
    </row>
    <row r="315" customFormat="false" ht="15" hidden="false" customHeight="false" outlineLevel="0" collapsed="false">
      <c r="A315" s="50" t="n">
        <v>275</v>
      </c>
      <c r="B315" s="19" t="n">
        <f aca="true">NORMINV(RAND(),$B$6,$C$6)</f>
        <v>0.114616301511593</v>
      </c>
      <c r="C315" s="19" t="n">
        <f aca="true">MAX(0.25,NORMINV(RAND(),$B$7,$C$7))</f>
        <v>0.491432053326922</v>
      </c>
      <c r="D315" s="32" t="n">
        <f aca="true">MAX(0.07,NORMINV(RAND(),$B$8,$C$8))</f>
        <v>0.112049540646667</v>
      </c>
      <c r="E315" s="51" t="n">
        <f aca="true">MAX(8,NORMINV(RAND(),$B$9,$C$9))</f>
        <v>17.5079800781393</v>
      </c>
      <c r="F315" s="24" t="n">
        <f aca="false">$B$18*(1+(B315+$B$17)/2)^9</f>
        <v>20529.3713709468</v>
      </c>
      <c r="G315" s="24" t="n">
        <f aca="false">F315*C315</f>
        <v>10088.7911263353</v>
      </c>
      <c r="H315" s="24" t="n">
        <f aca="false">E315*G315/(1+D315)^9</f>
        <v>67913.7886985125</v>
      </c>
      <c r="I315" s="24" t="n">
        <f aca="false">$B$13*G315/$B$12*((1+$B$8)/(1+D315))^4.5</f>
        <v>24435.6149685051</v>
      </c>
      <c r="J315" s="24" t="n">
        <f aca="false">H315+I315-$B$14</f>
        <v>84911.802913593</v>
      </c>
      <c r="K315" s="43" t="n">
        <f aca="false">J315/$B$15</f>
        <v>443.172249027103</v>
      </c>
    </row>
    <row r="316" customFormat="false" ht="15" hidden="false" customHeight="false" outlineLevel="0" collapsed="false">
      <c r="A316" s="50" t="n">
        <v>276</v>
      </c>
      <c r="B316" s="19" t="n">
        <f aca="true">NORMINV(RAND(),$B$6,$C$6)</f>
        <v>0.120363044205953</v>
      </c>
      <c r="C316" s="19" t="n">
        <f aca="true">MAX(0.25,NORMINV(RAND(),$B$7,$C$7))</f>
        <v>0.463656730140248</v>
      </c>
      <c r="D316" s="32" t="n">
        <f aca="true">MAX(0.07,NORMINV(RAND(),$B$8,$C$8))</f>
        <v>0.0935575670362344</v>
      </c>
      <c r="E316" s="51" t="n">
        <f aca="true">MAX(8,NORMINV(RAND(),$B$9,$C$9))</f>
        <v>20.0958333783301</v>
      </c>
      <c r="F316" s="24" t="n">
        <f aca="false">$B$18*(1+(B316+$B$17)/2)^9</f>
        <v>21022.8314785067</v>
      </c>
      <c r="G316" s="24" t="n">
        <f aca="false">F316*C316</f>
        <v>9747.3773016139</v>
      </c>
      <c r="H316" s="24" t="n">
        <f aca="false">E316*G316/(1+D316)^9</f>
        <v>87582.8246058553</v>
      </c>
      <c r="I316" s="24" t="n">
        <f aca="false">$B$13*G316/$B$12*((1+$B$8)/(1+D316))^4.5</f>
        <v>25459.1032270321</v>
      </c>
      <c r="J316" s="24" t="n">
        <f aca="false">H316+I316-$B$14</f>
        <v>105604.327079463</v>
      </c>
      <c r="K316" s="43" t="n">
        <f aca="false">J316/$B$15</f>
        <v>551.170809391768</v>
      </c>
    </row>
    <row r="317" customFormat="false" ht="15" hidden="false" customHeight="false" outlineLevel="0" collapsed="false">
      <c r="A317" s="50" t="n">
        <v>277</v>
      </c>
      <c r="B317" s="19" t="n">
        <f aca="true">NORMINV(RAND(),$B$6,$C$6)</f>
        <v>0.0757589018396553</v>
      </c>
      <c r="C317" s="19" t="n">
        <f aca="true">MAX(0.25,NORMINV(RAND(),$B$7,$C$7))</f>
        <v>0.409669863248658</v>
      </c>
      <c r="D317" s="32" t="n">
        <f aca="true">MAX(0.07,NORMINV(RAND(),$B$8,$C$8))</f>
        <v>0.0917911578418801</v>
      </c>
      <c r="E317" s="51" t="n">
        <f aca="true">MAX(8,NORMINV(RAND(),$B$9,$C$9))</f>
        <v>19.3863480550799</v>
      </c>
      <c r="F317" s="24" t="n">
        <f aca="false">$B$18*(1+(B317+$B$17)/2)^9</f>
        <v>17454.2794126691</v>
      </c>
      <c r="G317" s="24" t="n">
        <f aca="false">F317*C317</f>
        <v>7150.49226009202</v>
      </c>
      <c r="H317" s="24" t="n">
        <f aca="false">E317*G317/(1+D317)^9</f>
        <v>62889.1596996001</v>
      </c>
      <c r="I317" s="24" t="n">
        <f aca="false">$B$13*G317/$B$12*((1+$B$8)/(1+D317))^4.5</f>
        <v>18812.6776446584</v>
      </c>
      <c r="J317" s="24" t="n">
        <f aca="false">H317+I317-$B$14</f>
        <v>74264.2365908339</v>
      </c>
      <c r="K317" s="43" t="n">
        <f aca="false">J317/$B$15</f>
        <v>387.600399743392</v>
      </c>
    </row>
    <row r="318" customFormat="false" ht="15" hidden="false" customHeight="false" outlineLevel="0" collapsed="false">
      <c r="A318" s="50" t="n">
        <v>278</v>
      </c>
      <c r="B318" s="19" t="n">
        <f aca="true">NORMINV(RAND(),$B$6,$C$6)</f>
        <v>0.134088349766673</v>
      </c>
      <c r="C318" s="19" t="n">
        <f aca="true">MAX(0.25,NORMINV(RAND(),$B$7,$C$7))</f>
        <v>0.472715995709992</v>
      </c>
      <c r="D318" s="32" t="n">
        <f aca="true">MAX(0.07,NORMINV(RAND(),$B$8,$C$8))</f>
        <v>0.0980828038046987</v>
      </c>
      <c r="E318" s="51" t="n">
        <f aca="true">MAX(8,NORMINV(RAND(),$B$9,$C$9))</f>
        <v>13.8766433160089</v>
      </c>
      <c r="F318" s="24" t="n">
        <f aca="false">$B$18*(1+(B318+$B$17)/2)^9</f>
        <v>22244.3080138172</v>
      </c>
      <c r="G318" s="24" t="n">
        <f aca="false">F318*C318</f>
        <v>10515.2402116314</v>
      </c>
      <c r="H318" s="24" t="n">
        <f aca="false">E318*G318/(1+D318)^9</f>
        <v>62861.9442955736</v>
      </c>
      <c r="I318" s="24" t="n">
        <f aca="false">$B$13*G318/$B$12*((1+$B$8)/(1+D318))^4.5</f>
        <v>26959.0163118749</v>
      </c>
      <c r="J318" s="24" t="n">
        <f aca="false">H318+I318-$B$14</f>
        <v>82383.3598540238</v>
      </c>
      <c r="K318" s="43" t="n">
        <f aca="false">J318/$B$15</f>
        <v>429.975782119122</v>
      </c>
    </row>
    <row r="319" customFormat="false" ht="15" hidden="false" customHeight="false" outlineLevel="0" collapsed="false">
      <c r="A319" s="50" t="n">
        <v>279</v>
      </c>
      <c r="B319" s="19" t="n">
        <f aca="true">NORMINV(RAND(),$B$6,$C$6)</f>
        <v>0.0890283196137175</v>
      </c>
      <c r="C319" s="19" t="n">
        <f aca="true">MAX(0.25,NORMINV(RAND(),$B$7,$C$7))</f>
        <v>0.527023542191693</v>
      </c>
      <c r="D319" s="32" t="n">
        <f aca="true">MAX(0.07,NORMINV(RAND(),$B$8,$C$8))</f>
        <v>0.0790346181284717</v>
      </c>
      <c r="E319" s="51" t="n">
        <f aca="true">MAX(8,NORMINV(RAND(),$B$9,$C$9))</f>
        <v>16.8986768956693</v>
      </c>
      <c r="F319" s="24" t="n">
        <f aca="false">$B$18*(1+(B319+$B$17)/2)^9</f>
        <v>18454.8765675563</v>
      </c>
      <c r="G319" s="24" t="n">
        <f aca="false">F319*C319</f>
        <v>9726.15441934402</v>
      </c>
      <c r="H319" s="24" t="n">
        <f aca="false">E319*G319/(1+D319)^9</f>
        <v>82884.9079140175</v>
      </c>
      <c r="I319" s="24" t="n">
        <f aca="false">$B$13*G319/$B$12*((1+$B$8)/(1+D319))^4.5</f>
        <v>26978.9292405227</v>
      </c>
      <c r="J319" s="24" t="n">
        <f aca="false">H319+I319-$B$14</f>
        <v>102426.236401116</v>
      </c>
      <c r="K319" s="43" t="n">
        <f aca="false">J319/$B$15</f>
        <v>534.583697291835</v>
      </c>
    </row>
    <row r="320" customFormat="false" ht="15" hidden="false" customHeight="false" outlineLevel="0" collapsed="false">
      <c r="A320" s="50" t="n">
        <v>280</v>
      </c>
      <c r="B320" s="19" t="n">
        <f aca="true">NORMINV(RAND(),$B$6,$C$6)</f>
        <v>0.103948830758109</v>
      </c>
      <c r="C320" s="19" t="n">
        <f aca="true">MAX(0.25,NORMINV(RAND(),$B$7,$C$7))</f>
        <v>0.533833642120079</v>
      </c>
      <c r="D320" s="32" t="n">
        <f aca="true">MAX(0.07,NORMINV(RAND(),$B$8,$C$8))</f>
        <v>0.101798163491296</v>
      </c>
      <c r="E320" s="51" t="n">
        <f aca="true">MAX(8,NORMINV(RAND(),$B$9,$C$9))</f>
        <v>16.6214973909417</v>
      </c>
      <c r="F320" s="24" t="n">
        <f aca="false">$B$18*(1+(B320+$B$17)/2)^9</f>
        <v>19640.6013851539</v>
      </c>
      <c r="G320" s="24" t="n">
        <f aca="false">F320*C320</f>
        <v>10484.8137708654</v>
      </c>
      <c r="H320" s="24" t="n">
        <f aca="false">E320*G320/(1+D320)^9</f>
        <v>72830.3621491581</v>
      </c>
      <c r="I320" s="24" t="n">
        <f aca="false">$B$13*G320/$B$12*((1+$B$8)/(1+D320))^4.5</f>
        <v>26475.5062206528</v>
      </c>
      <c r="J320" s="24" t="n">
        <f aca="false">H320+I320-$B$14</f>
        <v>91868.2676163863</v>
      </c>
      <c r="K320" s="43" t="n">
        <f aca="false">J320/$B$15</f>
        <v>479.479476077173</v>
      </c>
    </row>
    <row r="321" customFormat="false" ht="15" hidden="false" customHeight="false" outlineLevel="0" collapsed="false">
      <c r="A321" s="50" t="n">
        <v>281</v>
      </c>
      <c r="B321" s="19" t="n">
        <f aca="true">NORMINV(RAND(),$B$6,$C$6)</f>
        <v>0.145904659166917</v>
      </c>
      <c r="C321" s="19" t="n">
        <f aca="true">MAX(0.25,NORMINV(RAND(),$B$7,$C$7))</f>
        <v>0.468579163543209</v>
      </c>
      <c r="D321" s="32" t="n">
        <f aca="true">MAX(0.07,NORMINV(RAND(),$B$8,$C$8))</f>
        <v>0.104224268178066</v>
      </c>
      <c r="E321" s="51" t="n">
        <f aca="true">MAX(8,NORMINV(RAND(),$B$9,$C$9))</f>
        <v>19.3013774082843</v>
      </c>
      <c r="F321" s="24" t="n">
        <f aca="false">$B$18*(1+(B321+$B$17)/2)^9</f>
        <v>23346.0031193183</v>
      </c>
      <c r="G321" s="24" t="n">
        <f aca="false">F321*C321</f>
        <v>10939.4506137273</v>
      </c>
      <c r="H321" s="24" t="n">
        <f aca="false">E321*G321/(1+D321)^9</f>
        <v>86510.3812396031</v>
      </c>
      <c r="I321" s="24" t="n">
        <f aca="false">$B$13*G321/$B$12*((1+$B$8)/(1+D321))^4.5</f>
        <v>27351.4571227015</v>
      </c>
      <c r="J321" s="24" t="n">
        <f aca="false">H321+I321-$B$14</f>
        <v>106424.23760888</v>
      </c>
      <c r="K321" s="43" t="n">
        <f aca="false">J321/$B$15</f>
        <v>555.450091904384</v>
      </c>
    </row>
    <row r="322" customFormat="false" ht="15" hidden="false" customHeight="false" outlineLevel="0" collapsed="false">
      <c r="A322" s="50" t="n">
        <v>282</v>
      </c>
      <c r="B322" s="19" t="n">
        <f aca="true">NORMINV(RAND(),$B$6,$C$6)</f>
        <v>0.129574472800242</v>
      </c>
      <c r="C322" s="19" t="n">
        <f aca="true">MAX(0.25,NORMINV(RAND(),$B$7,$C$7))</f>
        <v>0.451633556496412</v>
      </c>
      <c r="D322" s="32" t="n">
        <f aca="true">MAX(0.07,NORMINV(RAND(),$B$8,$C$8))</f>
        <v>0.0931587365820872</v>
      </c>
      <c r="E322" s="51" t="n">
        <f aca="true">MAX(8,NORMINV(RAND(),$B$9,$C$9))</f>
        <v>17.9524318373075</v>
      </c>
      <c r="F322" s="24" t="n">
        <f aca="false">$B$18*(1+(B322+$B$17)/2)^9</f>
        <v>21835.8140961576</v>
      </c>
      <c r="G322" s="24" t="n">
        <f aca="false">F322*C322</f>
        <v>9861.78637924214</v>
      </c>
      <c r="H322" s="24" t="n">
        <f aca="false">E322*G322/(1+D322)^9</f>
        <v>79419.9861490543</v>
      </c>
      <c r="I322" s="24" t="n">
        <f aca="false">$B$13*G322/$B$12*((1+$B$8)/(1+D322))^4.5</f>
        <v>25800.2435726248</v>
      </c>
      <c r="J322" s="24" t="n">
        <f aca="false">H322+I322-$B$14</f>
        <v>97782.6289682545</v>
      </c>
      <c r="K322" s="43" t="n">
        <f aca="false">J322/$B$15</f>
        <v>510.347750356234</v>
      </c>
    </row>
    <row r="323" customFormat="false" ht="15" hidden="false" customHeight="false" outlineLevel="0" collapsed="false">
      <c r="A323" s="50" t="n">
        <v>283</v>
      </c>
      <c r="B323" s="19" t="n">
        <f aca="true">NORMINV(RAND(),$B$6,$C$6)</f>
        <v>0.0673791249673884</v>
      </c>
      <c r="C323" s="19" t="n">
        <f aca="true">MAX(0.25,NORMINV(RAND(),$B$7,$C$7))</f>
        <v>0.4344017263107</v>
      </c>
      <c r="D323" s="32" t="n">
        <f aca="true">MAX(0.07,NORMINV(RAND(),$B$8,$C$8))</f>
        <v>0.091757135270293</v>
      </c>
      <c r="E323" s="51" t="n">
        <f aca="true">MAX(8,NORMINV(RAND(),$B$9,$C$9))</f>
        <v>16.5839991656315</v>
      </c>
      <c r="F323" s="24" t="n">
        <f aca="false">$B$18*(1+(B323+$B$17)/2)^9</f>
        <v>16847.5183419857</v>
      </c>
      <c r="G323" s="24" t="n">
        <f aca="false">F323*C323</f>
        <v>7318.59105180979</v>
      </c>
      <c r="H323" s="24" t="n">
        <f aca="false">E323*G323/(1+D323)^9</f>
        <v>55078.537108316</v>
      </c>
      <c r="I323" s="24" t="n">
        <f aca="false">$B$13*G323/$B$12*((1+$B$8)/(1+D323))^4.5</f>
        <v>19257.6396235012</v>
      </c>
      <c r="J323" s="24" t="n">
        <f aca="false">H323+I323-$B$14</f>
        <v>66898.5759783925</v>
      </c>
      <c r="K323" s="43" t="n">
        <f aca="false">J323/$B$15</f>
        <v>349.157494668019</v>
      </c>
    </row>
    <row r="324" customFormat="false" ht="15" hidden="false" customHeight="false" outlineLevel="0" collapsed="false">
      <c r="A324" s="50" t="n">
        <v>284</v>
      </c>
      <c r="B324" s="19" t="n">
        <f aca="true">NORMINV(RAND(),$B$6,$C$6)</f>
        <v>0.0666085591601108</v>
      </c>
      <c r="C324" s="19" t="n">
        <f aca="true">MAX(0.25,NORMINV(RAND(),$B$7,$C$7))</f>
        <v>0.507853193058545</v>
      </c>
      <c r="D324" s="32" t="n">
        <f aca="true">MAX(0.07,NORMINV(RAND(),$B$8,$C$8))</f>
        <v>0.09464212294659</v>
      </c>
      <c r="E324" s="51" t="n">
        <f aca="true">MAX(8,NORMINV(RAND(),$B$9,$C$9))</f>
        <v>20.9091559979233</v>
      </c>
      <c r="F324" s="24" t="n">
        <f aca="false">$B$18*(1+(B324+$B$17)/2)^9</f>
        <v>16792.6762346709</v>
      </c>
      <c r="G324" s="24" t="n">
        <f aca="false">F324*C324</f>
        <v>8528.21424577598</v>
      </c>
      <c r="H324" s="24" t="n">
        <f aca="false">E324*G324/(1+D324)^9</f>
        <v>79021.4872031812</v>
      </c>
      <c r="I324" s="24" t="n">
        <f aca="false">$B$13*G324/$B$12*((1+$B$8)/(1+D324))^4.5</f>
        <v>22175.6393292327</v>
      </c>
      <c r="J324" s="24" t="n">
        <f aca="false">H324+I324-$B$14</f>
        <v>93759.5257789892</v>
      </c>
      <c r="K324" s="43" t="n">
        <f aca="false">J324/$B$15</f>
        <v>489.35034331414</v>
      </c>
    </row>
    <row r="325" customFormat="false" ht="15" hidden="false" customHeight="false" outlineLevel="0" collapsed="false">
      <c r="A325" s="50" t="n">
        <v>285</v>
      </c>
      <c r="B325" s="19" t="n">
        <f aca="true">NORMINV(RAND(),$B$6,$C$6)</f>
        <v>0.0940231148430878</v>
      </c>
      <c r="C325" s="19" t="n">
        <f aca="true">MAX(0.25,NORMINV(RAND(),$B$7,$C$7))</f>
        <v>0.46376652922103</v>
      </c>
      <c r="D325" s="32" t="n">
        <f aca="true">MAX(0.07,NORMINV(RAND(),$B$8,$C$8))</f>
        <v>0.0931345831572201</v>
      </c>
      <c r="E325" s="51" t="n">
        <f aca="true">MAX(8,NORMINV(RAND(),$B$9,$C$9))</f>
        <v>21.8960924529429</v>
      </c>
      <c r="F325" s="24" t="n">
        <f aca="false">$B$18*(1+(B325+$B$17)/2)^9</f>
        <v>18844.5222686386</v>
      </c>
      <c r="G325" s="24" t="n">
        <f aca="false">F325*C325</f>
        <v>8739.45868735492</v>
      </c>
      <c r="H325" s="24" t="n">
        <f aca="false">E325*G325/(1+D325)^9</f>
        <v>85859.5176753686</v>
      </c>
      <c r="I325" s="24" t="n">
        <f aca="false">$B$13*G325/$B$12*((1+$B$8)/(1+D325))^4.5</f>
        <v>22866.3017553415</v>
      </c>
      <c r="J325" s="24" t="n">
        <f aca="false">H325+I325-$B$14</f>
        <v>101288.218677285</v>
      </c>
      <c r="K325" s="43" t="n">
        <f aca="false">J325/$B$15</f>
        <v>528.644147584997</v>
      </c>
    </row>
    <row r="326" customFormat="false" ht="15" hidden="false" customHeight="false" outlineLevel="0" collapsed="false">
      <c r="A326" s="50" t="n">
        <v>286</v>
      </c>
      <c r="B326" s="19" t="n">
        <f aca="true">NORMINV(RAND(),$B$6,$C$6)</f>
        <v>0.130516534519018</v>
      </c>
      <c r="C326" s="19" t="n">
        <f aca="true">MAX(0.25,NORMINV(RAND(),$B$7,$C$7))</f>
        <v>0.514457815772396</v>
      </c>
      <c r="D326" s="32" t="n">
        <f aca="true">MAX(0.07,NORMINV(RAND(),$B$8,$C$8))</f>
        <v>0.090022004497819</v>
      </c>
      <c r="E326" s="51" t="n">
        <f aca="true">MAX(8,NORMINV(RAND(),$B$9,$C$9))</f>
        <v>21.1138985564204</v>
      </c>
      <c r="F326" s="24" t="n">
        <f aca="false">$B$18*(1+(B326+$B$17)/2)^9</f>
        <v>21920.5132474407</v>
      </c>
      <c r="G326" s="24" t="n">
        <f aca="false">F326*C326</f>
        <v>11277.1793658882</v>
      </c>
      <c r="H326" s="24" t="n">
        <f aca="false">E326*G326/(1+D326)^9</f>
        <v>109610.341709597</v>
      </c>
      <c r="I326" s="24" t="n">
        <f aca="false">$B$13*G326/$B$12*((1+$B$8)/(1+D326))^4.5</f>
        <v>29887.1528647439</v>
      </c>
      <c r="J326" s="24" t="n">
        <f aca="false">H326+I326-$B$14</f>
        <v>132059.893820917</v>
      </c>
      <c r="K326" s="43" t="n">
        <f aca="false">J326/$B$15</f>
        <v>689.247880067415</v>
      </c>
    </row>
    <row r="327" customFormat="false" ht="15" hidden="false" customHeight="false" outlineLevel="0" collapsed="false">
      <c r="A327" s="50" t="n">
        <v>287</v>
      </c>
      <c r="B327" s="19" t="n">
        <f aca="true">NORMINV(RAND(),$B$6,$C$6)</f>
        <v>0.133544188605135</v>
      </c>
      <c r="C327" s="19" t="n">
        <f aca="true">MAX(0.25,NORMINV(RAND(),$B$7,$C$7))</f>
        <v>0.522230758202485</v>
      </c>
      <c r="D327" s="32" t="n">
        <f aca="true">MAX(0.07,NORMINV(RAND(),$B$8,$C$8))</f>
        <v>0.0821556882296171</v>
      </c>
      <c r="E327" s="51" t="n">
        <f aca="true">MAX(8,NORMINV(RAND(),$B$9,$C$9))</f>
        <v>18.2866615412311</v>
      </c>
      <c r="F327" s="24" t="n">
        <f aca="false">$B$18*(1+(B327+$B$17)/2)^9</f>
        <v>22194.7054603819</v>
      </c>
      <c r="G327" s="24" t="n">
        <f aca="false">F327*C327</f>
        <v>11590.7578606561</v>
      </c>
      <c r="H327" s="24" t="n">
        <f aca="false">E327*G327/(1+D327)^9</f>
        <v>104145.027876187</v>
      </c>
      <c r="I327" s="24" t="n">
        <f aca="false">$B$13*G327/$B$12*((1+$B$8)/(1+D327))^4.5</f>
        <v>31735.8930436618</v>
      </c>
      <c r="J327" s="24" t="n">
        <f aca="false">H327+I327-$B$14</f>
        <v>128443.320166424</v>
      </c>
      <c r="K327" s="43" t="n">
        <f aca="false">J327/$B$15</f>
        <v>670.372234689062</v>
      </c>
    </row>
    <row r="328" customFormat="false" ht="15" hidden="false" customHeight="false" outlineLevel="0" collapsed="false">
      <c r="A328" s="50" t="n">
        <v>288</v>
      </c>
      <c r="B328" s="19" t="n">
        <f aca="true">NORMINV(RAND(),$B$6,$C$6)</f>
        <v>0.06399490077314</v>
      </c>
      <c r="C328" s="19" t="n">
        <f aca="true">MAX(0.25,NORMINV(RAND(),$B$7,$C$7))</f>
        <v>0.484068578045648</v>
      </c>
      <c r="D328" s="32" t="n">
        <f aca="true">MAX(0.07,NORMINV(RAND(),$B$8,$C$8))</f>
        <v>0.0988551328934873</v>
      </c>
      <c r="E328" s="51" t="n">
        <f aca="true">MAX(8,NORMINV(RAND(),$B$9,$C$9))</f>
        <v>17.9062373355342</v>
      </c>
      <c r="F328" s="24" t="n">
        <f aca="false">$B$18*(1+(B328+$B$17)/2)^9</f>
        <v>16607.8389718569</v>
      </c>
      <c r="G328" s="24" t="n">
        <f aca="false">F328*C328</f>
        <v>8039.33299551785</v>
      </c>
      <c r="H328" s="24" t="n">
        <f aca="false">E328*G328/(1+D328)^9</f>
        <v>61625.4897675375</v>
      </c>
      <c r="I328" s="24" t="n">
        <f aca="false">$B$13*G328/$B$12*((1+$B$8)/(1+D328))^4.5</f>
        <v>20546.1655427201</v>
      </c>
      <c r="J328" s="24" t="n">
        <f aca="false">H328+I328-$B$14</f>
        <v>74734.0545568329</v>
      </c>
      <c r="K328" s="43" t="n">
        <f aca="false">J328/$B$15</f>
        <v>390.052476810192</v>
      </c>
    </row>
    <row r="329" customFormat="false" ht="15" hidden="false" customHeight="false" outlineLevel="0" collapsed="false">
      <c r="A329" s="50" t="n">
        <v>289</v>
      </c>
      <c r="B329" s="19" t="n">
        <f aca="true">NORMINV(RAND(),$B$6,$C$6)</f>
        <v>0.112278132581485</v>
      </c>
      <c r="C329" s="19" t="n">
        <f aca="true">MAX(0.25,NORMINV(RAND(),$B$7,$C$7))</f>
        <v>0.484376635648555</v>
      </c>
      <c r="D329" s="32" t="n">
        <f aca="true">MAX(0.07,NORMINV(RAND(),$B$8,$C$8))</f>
        <v>0.0825508974016481</v>
      </c>
      <c r="E329" s="51" t="n">
        <f aca="true">MAX(8,NORMINV(RAND(),$B$9,$C$9))</f>
        <v>14.1623808868905</v>
      </c>
      <c r="F329" s="24" t="n">
        <f aca="false">$B$18*(1+(B329+$B$17)/2)^9</f>
        <v>20331.5631913991</v>
      </c>
      <c r="G329" s="24" t="n">
        <f aca="false">F329*C329</f>
        <v>9848.13417612589</v>
      </c>
      <c r="H329" s="24" t="n">
        <f aca="false">E329*G329/(1+D329)^9</f>
        <v>68305.4423071999</v>
      </c>
      <c r="I329" s="24" t="n">
        <f aca="false">$B$13*G329/$B$12*((1+$B$8)/(1+D329))^4.5</f>
        <v>26920.2598536601</v>
      </c>
      <c r="J329" s="24" t="n">
        <f aca="false">H329+I329-$B$14</f>
        <v>87788.1014074353</v>
      </c>
      <c r="K329" s="43" t="n">
        <f aca="false">J329/$B$15</f>
        <v>458.18424534152</v>
      </c>
    </row>
    <row r="330" customFormat="false" ht="15" hidden="false" customHeight="false" outlineLevel="0" collapsed="false">
      <c r="A330" s="50" t="n">
        <v>290</v>
      </c>
      <c r="B330" s="19" t="n">
        <f aca="true">NORMINV(RAND(),$B$6,$C$6)</f>
        <v>0.0931534501938563</v>
      </c>
      <c r="C330" s="19" t="n">
        <f aca="true">MAX(0.25,NORMINV(RAND(),$B$7,$C$7))</f>
        <v>0.464390022629926</v>
      </c>
      <c r="D330" s="32" t="n">
        <f aca="true">MAX(0.07,NORMINV(RAND(),$B$8,$C$8))</f>
        <v>0.0944720466036025</v>
      </c>
      <c r="E330" s="51" t="n">
        <f aca="true">MAX(8,NORMINV(RAND(),$B$9,$C$9))</f>
        <v>16.6944890432168</v>
      </c>
      <c r="F330" s="24" t="n">
        <f aca="false">$B$18*(1+(B330+$B$17)/2)^9</f>
        <v>18776.1582119337</v>
      </c>
      <c r="G330" s="24" t="n">
        <f aca="false">F330*C330</f>
        <v>8719.46053694298</v>
      </c>
      <c r="H330" s="24" t="n">
        <f aca="false">E330*G330/(1+D330)^9</f>
        <v>64598.2395285259</v>
      </c>
      <c r="I330" s="24" t="n">
        <f aca="false">$B$13*G330/$B$12*((1+$B$8)/(1+D330))^4.5</f>
        <v>22688.7899295765</v>
      </c>
      <c r="J330" s="24" t="n">
        <f aca="false">H330+I330-$B$14</f>
        <v>79849.4287046778</v>
      </c>
      <c r="K330" s="43" t="n">
        <f aca="false">J330/$B$15</f>
        <v>416.750671736314</v>
      </c>
    </row>
    <row r="331" customFormat="false" ht="15" hidden="false" customHeight="false" outlineLevel="0" collapsed="false">
      <c r="A331" s="50" t="n">
        <v>291</v>
      </c>
      <c r="B331" s="19" t="n">
        <f aca="true">NORMINV(RAND(),$B$6,$C$6)</f>
        <v>0.150053471012097</v>
      </c>
      <c r="C331" s="19" t="n">
        <f aca="true">MAX(0.25,NORMINV(RAND(),$B$7,$C$7))</f>
        <v>0.490202171344648</v>
      </c>
      <c r="D331" s="32" t="n">
        <f aca="true">MAX(0.07,NORMINV(RAND(),$B$8,$C$8))</f>
        <v>0.0854139718850659</v>
      </c>
      <c r="E331" s="51" t="n">
        <f aca="true">MAX(8,NORMINV(RAND(),$B$9,$C$9))</f>
        <v>18.2345848892543</v>
      </c>
      <c r="F331" s="24" t="n">
        <f aca="false">$B$18*(1+(B331+$B$17)/2)^9</f>
        <v>23744.166517764</v>
      </c>
      <c r="G331" s="24" t="n">
        <f aca="false">F331*C331</f>
        <v>11639.4419837768</v>
      </c>
      <c r="H331" s="24" t="n">
        <f aca="false">E331*G331/(1+D331)^9</f>
        <v>101500.778146853</v>
      </c>
      <c r="I331" s="24" t="n">
        <f aca="false">$B$13*G331/$B$12*((1+$B$8)/(1+D331))^4.5</f>
        <v>31440.9438991512</v>
      </c>
      <c r="J331" s="24" t="n">
        <f aca="false">H331+I331-$B$14</f>
        <v>125504.12129258</v>
      </c>
      <c r="K331" s="43" t="n">
        <f aca="false">J331/$B$15</f>
        <v>655.031948291127</v>
      </c>
    </row>
    <row r="332" customFormat="false" ht="15" hidden="false" customHeight="false" outlineLevel="0" collapsed="false">
      <c r="A332" s="50" t="n">
        <v>292</v>
      </c>
      <c r="B332" s="19" t="n">
        <f aca="true">NORMINV(RAND(),$B$6,$C$6)</f>
        <v>0.114285474398183</v>
      </c>
      <c r="C332" s="19" t="n">
        <f aca="true">MAX(0.25,NORMINV(RAND(),$B$7,$C$7))</f>
        <v>0.429782683284154</v>
      </c>
      <c r="D332" s="32" t="n">
        <f aca="true">MAX(0.07,NORMINV(RAND(),$B$8,$C$8))</f>
        <v>0.0907269367606316</v>
      </c>
      <c r="E332" s="51" t="n">
        <f aca="true">MAX(8,NORMINV(RAND(),$B$9,$C$9))</f>
        <v>19.2633581711424</v>
      </c>
      <c r="F332" s="24" t="n">
        <f aca="false">$B$18*(1+(B332+$B$17)/2)^9</f>
        <v>20501.2800377448</v>
      </c>
      <c r="G332" s="24" t="n">
        <f aca="false">F332*C332</f>
        <v>8811.09514538184</v>
      </c>
      <c r="H332" s="24" t="n">
        <f aca="false">E332*G332/(1+D332)^9</f>
        <v>77681.4891910082</v>
      </c>
      <c r="I332" s="24" t="n">
        <f aca="false">$B$13*G332/$B$12*((1+$B$8)/(1+D332))^4.5</f>
        <v>23283.6180958783</v>
      </c>
      <c r="J332" s="24" t="n">
        <f aca="false">H332+I332-$B$14</f>
        <v>93527.5065334619</v>
      </c>
      <c r="K332" s="43" t="n">
        <f aca="false">J332/$B$15</f>
        <v>488.139386917859</v>
      </c>
    </row>
    <row r="333" customFormat="false" ht="15" hidden="false" customHeight="false" outlineLevel="0" collapsed="false">
      <c r="A333" s="50" t="n">
        <v>293</v>
      </c>
      <c r="B333" s="19" t="n">
        <f aca="true">NORMINV(RAND(),$B$6,$C$6)</f>
        <v>0.106863314629833</v>
      </c>
      <c r="C333" s="19" t="n">
        <f aca="true">MAX(0.25,NORMINV(RAND(),$B$7,$C$7))</f>
        <v>0.45569856276783</v>
      </c>
      <c r="D333" s="32" t="n">
        <f aca="true">MAX(0.07,NORMINV(RAND(),$B$8,$C$8))</f>
        <v>0.0904409323986751</v>
      </c>
      <c r="E333" s="51" t="n">
        <f aca="true">MAX(8,NORMINV(RAND(),$B$9,$C$9))</f>
        <v>19.5529815393857</v>
      </c>
      <c r="F333" s="24" t="n">
        <f aca="false">$B$18*(1+(B333+$B$17)/2)^9</f>
        <v>19879.9620056329</v>
      </c>
      <c r="G333" s="24" t="n">
        <f aca="false">F333*C333</f>
        <v>9059.27011384598</v>
      </c>
      <c r="H333" s="24" t="n">
        <f aca="false">E333*G333/(1+D333)^9</f>
        <v>81261.8845926477</v>
      </c>
      <c r="I333" s="24" t="n">
        <f aca="false">$B$13*G333/$B$12*((1+$B$8)/(1+D333))^4.5</f>
        <v>23967.6969459468</v>
      </c>
      <c r="J333" s="24" t="n">
        <f aca="false">H333+I333-$B$14</f>
        <v>97791.9807851698</v>
      </c>
      <c r="K333" s="43" t="n">
        <f aca="false">J333/$B$15</f>
        <v>510.396559421554</v>
      </c>
    </row>
    <row r="334" customFormat="false" ht="15" hidden="false" customHeight="false" outlineLevel="0" collapsed="false">
      <c r="A334" s="50" t="n">
        <v>294</v>
      </c>
      <c r="B334" s="19" t="n">
        <f aca="true">NORMINV(RAND(),$B$6,$C$6)</f>
        <v>0.0781937242212948</v>
      </c>
      <c r="C334" s="19" t="n">
        <f aca="true">MAX(0.25,NORMINV(RAND(),$B$7,$C$7))</f>
        <v>0.449879304508336</v>
      </c>
      <c r="D334" s="32" t="n">
        <f aca="true">MAX(0.07,NORMINV(RAND(),$B$8,$C$8))</f>
        <v>0.095942067271832</v>
      </c>
      <c r="E334" s="51" t="n">
        <f aca="true">MAX(8,NORMINV(RAND(),$B$9,$C$9))</f>
        <v>17.8755726142257</v>
      </c>
      <c r="F334" s="24" t="n">
        <f aca="false">$B$18*(1+(B334+$B$17)/2)^9</f>
        <v>17634.1833524416</v>
      </c>
      <c r="G334" s="24" t="n">
        <f aca="false">F334*C334</f>
        <v>7933.25414216888</v>
      </c>
      <c r="H334" s="24" t="n">
        <f aca="false">E334*G334/(1+D334)^9</f>
        <v>62176.0248649834</v>
      </c>
      <c r="I334" s="24" t="n">
        <f aca="false">$B$13*G334/$B$12*((1+$B$8)/(1+D334))^4.5</f>
        <v>20518.7041167985</v>
      </c>
      <c r="J334" s="24" t="n">
        <f aca="false">H334+I334-$B$14</f>
        <v>75257.1282283572</v>
      </c>
      <c r="K334" s="43" t="n">
        <f aca="false">J334/$B$15</f>
        <v>392.78250641105</v>
      </c>
    </row>
    <row r="335" customFormat="false" ht="15" hidden="false" customHeight="false" outlineLevel="0" collapsed="false">
      <c r="A335" s="50" t="n">
        <v>295</v>
      </c>
      <c r="B335" s="19" t="n">
        <f aca="true">NORMINV(RAND(),$B$6,$C$6)</f>
        <v>0.110436844284653</v>
      </c>
      <c r="C335" s="19" t="n">
        <f aca="true">MAX(0.25,NORMINV(RAND(),$B$7,$C$7))</f>
        <v>0.452198331471318</v>
      </c>
      <c r="D335" s="32" t="n">
        <f aca="true">MAX(0.07,NORMINV(RAND(),$B$8,$C$8))</f>
        <v>0.0894879774506007</v>
      </c>
      <c r="E335" s="51" t="n">
        <f aca="true">MAX(8,NORMINV(RAND(),$B$9,$C$9))</f>
        <v>12.7710539801036</v>
      </c>
      <c r="F335" s="24" t="n">
        <f aca="false">$B$18*(1+(B335+$B$17)/2)^9</f>
        <v>20176.9852302251</v>
      </c>
      <c r="G335" s="24" t="n">
        <f aca="false">F335*C335</f>
        <v>9123.9990552292</v>
      </c>
      <c r="H335" s="24" t="n">
        <f aca="false">E335*G335/(1+D335)^9</f>
        <v>53877.8172494552</v>
      </c>
      <c r="I335" s="24" t="n">
        <f aca="false">$B$13*G335/$B$12*((1+$B$8)/(1+D335))^4.5</f>
        <v>24234.1053941518</v>
      </c>
      <c r="J335" s="24" t="n">
        <f aca="false">H335+I335-$B$14</f>
        <v>70674.3218901823</v>
      </c>
      <c r="K335" s="43" t="n">
        <f aca="false">J335/$B$15</f>
        <v>368.863892955023</v>
      </c>
    </row>
    <row r="336" customFormat="false" ht="15" hidden="false" customHeight="false" outlineLevel="0" collapsed="false">
      <c r="A336" s="50" t="n">
        <v>296</v>
      </c>
      <c r="B336" s="19" t="n">
        <f aca="true">NORMINV(RAND(),$B$6,$C$6)</f>
        <v>0.0862744165013102</v>
      </c>
      <c r="C336" s="19" t="n">
        <f aca="true">MAX(0.25,NORMINV(RAND(),$B$7,$C$7))</f>
        <v>0.489987861479643</v>
      </c>
      <c r="D336" s="32" t="n">
        <f aca="true">MAX(0.07,NORMINV(RAND(),$B$8,$C$8))</f>
        <v>0.0972640005416185</v>
      </c>
      <c r="E336" s="51" t="n">
        <f aca="true">MAX(8,NORMINV(RAND(),$B$9,$C$9))</f>
        <v>22.4418368958536</v>
      </c>
      <c r="F336" s="24" t="n">
        <f aca="false">$B$18*(1+(B336+$B$17)/2)^9</f>
        <v>18243.1209239565</v>
      </c>
      <c r="G336" s="24" t="n">
        <f aca="false">F336*C336</f>
        <v>8938.90780824398</v>
      </c>
      <c r="H336" s="24" t="n">
        <f aca="false">E336*G336/(1+D336)^9</f>
        <v>87004.6935028984</v>
      </c>
      <c r="I336" s="24" t="n">
        <f aca="false">$B$13*G336/$B$12*((1+$B$8)/(1+D336))^4.5</f>
        <v>22994.6667173823</v>
      </c>
      <c r="J336" s="24" t="n">
        <f aca="false">H336+I336-$B$14</f>
        <v>102561.759466856</v>
      </c>
      <c r="K336" s="43" t="n">
        <f aca="false">J336/$B$15</f>
        <v>535.291020181921</v>
      </c>
    </row>
    <row r="337" customFormat="false" ht="15" hidden="false" customHeight="false" outlineLevel="0" collapsed="false">
      <c r="A337" s="50" t="n">
        <v>297</v>
      </c>
      <c r="B337" s="19" t="n">
        <f aca="true">NORMINV(RAND(),$B$6,$C$6)</f>
        <v>0.0656058765827765</v>
      </c>
      <c r="C337" s="19" t="n">
        <f aca="true">MAX(0.25,NORMINV(RAND(),$B$7,$C$7))</f>
        <v>0.479563251565257</v>
      </c>
      <c r="D337" s="32" t="n">
        <f aca="true">MAX(0.07,NORMINV(RAND(),$B$8,$C$8))</f>
        <v>0.0929711304692434</v>
      </c>
      <c r="E337" s="51" t="n">
        <f aca="true">MAX(8,NORMINV(RAND(),$B$9,$C$9))</f>
        <v>22.0958433960644</v>
      </c>
      <c r="F337" s="24" t="n">
        <f aca="false">$B$18*(1+(B337+$B$17)/2)^9</f>
        <v>16721.5517069258</v>
      </c>
      <c r="G337" s="24" t="n">
        <f aca="false">F337*C337</f>
        <v>8019.04170778989</v>
      </c>
      <c r="H337" s="24" t="n">
        <f aca="false">E337*G337/(1+D337)^9</f>
        <v>79607.6564301369</v>
      </c>
      <c r="I337" s="24" t="n">
        <f aca="false">$B$13*G337/$B$12*((1+$B$8)/(1+D337))^4.5</f>
        <v>20995.4948121872</v>
      </c>
      <c r="J337" s="24" t="n">
        <f aca="false">H337+I337-$B$14</f>
        <v>93165.5504888995</v>
      </c>
      <c r="K337" s="43" t="n">
        <f aca="false">J337/$B$15</f>
        <v>486.250263512002</v>
      </c>
    </row>
    <row r="338" customFormat="false" ht="15" hidden="false" customHeight="false" outlineLevel="0" collapsed="false">
      <c r="A338" s="50" t="n">
        <v>298</v>
      </c>
      <c r="B338" s="19" t="n">
        <f aca="true">NORMINV(RAND(),$B$6,$C$6)</f>
        <v>0.103503827215527</v>
      </c>
      <c r="C338" s="19" t="n">
        <f aca="true">MAX(0.25,NORMINV(RAND(),$B$7,$C$7))</f>
        <v>0.46879049150539</v>
      </c>
      <c r="D338" s="32" t="n">
        <f aca="true">MAX(0.07,NORMINV(RAND(),$B$8,$C$8))</f>
        <v>0.0955391178570601</v>
      </c>
      <c r="E338" s="51" t="n">
        <f aca="true">MAX(8,NORMINV(RAND(),$B$9,$C$9))</f>
        <v>20.3441055512738</v>
      </c>
      <c r="F338" s="24" t="n">
        <f aca="false">$B$18*(1+(B338+$B$17)/2)^9</f>
        <v>19604.2804889454</v>
      </c>
      <c r="G338" s="24" t="n">
        <f aca="false">F338*C338</f>
        <v>9190.30028602226</v>
      </c>
      <c r="H338" s="24" t="n">
        <f aca="false">E338*G338/(1+D338)^9</f>
        <v>82246.4759335011</v>
      </c>
      <c r="I338" s="24" t="n">
        <f aca="false">$B$13*G338/$B$12*((1+$B$8)/(1+D338))^4.5</f>
        <v>23809.3177139152</v>
      </c>
      <c r="J338" s="24" t="n">
        <f aca="false">H338+I338-$B$14</f>
        <v>98618.1928939916</v>
      </c>
      <c r="K338" s="43" t="n">
        <f aca="false">J338/$B$15</f>
        <v>514.708731179497</v>
      </c>
    </row>
    <row r="339" customFormat="false" ht="15" hidden="false" customHeight="false" outlineLevel="0" collapsed="false">
      <c r="A339" s="50" t="n">
        <v>299</v>
      </c>
      <c r="B339" s="19" t="n">
        <f aca="true">NORMINV(RAND(),$B$6,$C$6)</f>
        <v>0.124397579361172</v>
      </c>
      <c r="C339" s="19" t="n">
        <f aca="true">MAX(0.25,NORMINV(RAND(),$B$7,$C$7))</f>
        <v>0.489225407850342</v>
      </c>
      <c r="D339" s="32" t="n">
        <f aca="true">MAX(0.07,NORMINV(RAND(),$B$8,$C$8))</f>
        <v>0.0941356550942586</v>
      </c>
      <c r="E339" s="51" t="n">
        <f aca="true">MAX(8,NORMINV(RAND(),$B$9,$C$9))</f>
        <v>14.8344982291209</v>
      </c>
      <c r="F339" s="24" t="n">
        <f aca="false">$B$18*(1+(B339+$B$17)/2)^9</f>
        <v>21375.539108277</v>
      </c>
      <c r="G339" s="24" t="n">
        <f aca="false">F339*C339</f>
        <v>10457.4568382678</v>
      </c>
      <c r="H339" s="24" t="n">
        <f aca="false">E339*G339/(1+D339)^9</f>
        <v>69033.263444336</v>
      </c>
      <c r="I339" s="24" t="n">
        <f aca="false">$B$13*G339/$B$12*((1+$B$8)/(1+D339))^4.5</f>
        <v>27248.8741081668</v>
      </c>
      <c r="J339" s="24" t="n">
        <f aca="false">H339+I339-$B$14</f>
        <v>88844.5367990781</v>
      </c>
      <c r="K339" s="43" t="n">
        <f aca="false">J339/$B$15</f>
        <v>463.697999995189</v>
      </c>
    </row>
    <row r="340" customFormat="false" ht="15" hidden="false" customHeight="false" outlineLevel="0" collapsed="false">
      <c r="A340" s="50" t="n">
        <v>300</v>
      </c>
      <c r="B340" s="19" t="n">
        <f aca="true">NORMINV(RAND(),$B$6,$C$6)</f>
        <v>0.145681936944938</v>
      </c>
      <c r="C340" s="19" t="n">
        <f aca="true">MAX(0.25,NORMINV(RAND(),$B$7,$C$7))</f>
        <v>0.488430585781727</v>
      </c>
      <c r="D340" s="32" t="n">
        <f aca="true">MAX(0.07,NORMINV(RAND(),$B$8,$C$8))</f>
        <v>0.0969689897073425</v>
      </c>
      <c r="E340" s="51" t="n">
        <f aca="true">MAX(8,NORMINV(RAND(),$B$9,$C$9))</f>
        <v>13.7636078689217</v>
      </c>
      <c r="F340" s="24" t="n">
        <f aca="false">$B$18*(1+(B340+$B$17)/2)^9</f>
        <v>23324.7972309598</v>
      </c>
      <c r="G340" s="24" t="n">
        <f aca="false">F340*C340</f>
        <v>11392.5443747577</v>
      </c>
      <c r="H340" s="24" t="n">
        <f aca="false">E340*G340/(1+D340)^9</f>
        <v>68171.6591528236</v>
      </c>
      <c r="I340" s="24" t="n">
        <f aca="false">$B$13*G340/$B$12*((1+$B$8)/(1+D340))^4.5</f>
        <v>29341.9451756493</v>
      </c>
      <c r="J340" s="24" t="n">
        <f aca="false">H340+I340-$B$14</f>
        <v>90076.0035750482</v>
      </c>
      <c r="K340" s="43" t="n">
        <f aca="false">J340/$B$15</f>
        <v>470.12527961925</v>
      </c>
    </row>
    <row r="341" customFormat="false" ht="15" hidden="false" customHeight="false" outlineLevel="0" collapsed="false">
      <c r="A341" s="50" t="n">
        <v>301</v>
      </c>
      <c r="B341" s="19" t="n">
        <f aca="true">NORMINV(RAND(),$B$6,$C$6)</f>
        <v>0.0583581249158287</v>
      </c>
      <c r="C341" s="19" t="n">
        <f aca="true">MAX(0.25,NORMINV(RAND(),$B$7,$C$7))</f>
        <v>0.455909808928504</v>
      </c>
      <c r="D341" s="32" t="n">
        <f aca="true">MAX(0.07,NORMINV(RAND(),$B$8,$C$8))</f>
        <v>0.0964805595502753</v>
      </c>
      <c r="E341" s="51" t="n">
        <f aca="true">MAX(8,NORMINV(RAND(),$B$9,$C$9))</f>
        <v>17.7848049355257</v>
      </c>
      <c r="F341" s="24" t="n">
        <f aca="false">$B$18*(1+(B341+$B$17)/2)^9</f>
        <v>16215.350589858</v>
      </c>
      <c r="G341" s="24" t="n">
        <f aca="false">F341*C341</f>
        <v>7392.73738913089</v>
      </c>
      <c r="H341" s="24" t="n">
        <f aca="false">E341*G341/(1+D341)^9</f>
        <v>57391.2865348556</v>
      </c>
      <c r="I341" s="24" t="n">
        <f aca="false">$B$13*G341/$B$12*((1+$B$8)/(1+D341))^4.5</f>
        <v>19078.4820160356</v>
      </c>
      <c r="J341" s="24" t="n">
        <f aca="false">H341+I341-$B$14</f>
        <v>69032.1677974665</v>
      </c>
      <c r="K341" s="43" t="n">
        <f aca="false">J341/$B$15</f>
        <v>360.293151343771</v>
      </c>
    </row>
    <row r="342" customFormat="false" ht="15" hidden="false" customHeight="false" outlineLevel="0" collapsed="false">
      <c r="A342" s="50" t="n">
        <v>302</v>
      </c>
      <c r="B342" s="19" t="n">
        <f aca="true">NORMINV(RAND(),$B$6,$C$6)</f>
        <v>0.109820871810154</v>
      </c>
      <c r="C342" s="19" t="n">
        <f aca="true">MAX(0.25,NORMINV(RAND(),$B$7,$C$7))</f>
        <v>0.471123728553216</v>
      </c>
      <c r="D342" s="32" t="n">
        <f aca="true">MAX(0.07,NORMINV(RAND(),$B$8,$C$8))</f>
        <v>0.0928691653392706</v>
      </c>
      <c r="E342" s="51" t="n">
        <f aca="true">MAX(8,NORMINV(RAND(),$B$9,$C$9))</f>
        <v>18.3114113290053</v>
      </c>
      <c r="F342" s="24" t="n">
        <f aca="false">$B$18*(1+(B342+$B$17)/2)^9</f>
        <v>20125.5074310233</v>
      </c>
      <c r="G342" s="24" t="n">
        <f aca="false">F342*C342</f>
        <v>9481.60409992914</v>
      </c>
      <c r="H342" s="24" t="n">
        <f aca="false">E342*G342/(1+D342)^9</f>
        <v>78071.0608921108</v>
      </c>
      <c r="I342" s="24" t="n">
        <f aca="false">$B$13*G342/$B$12*((1+$B$8)/(1+D342))^4.5</f>
        <v>24835.2073602774</v>
      </c>
      <c r="J342" s="24" t="n">
        <f aca="false">H342+I342-$B$14</f>
        <v>95468.6674989635</v>
      </c>
      <c r="K342" s="43" t="n">
        <f aca="false">J342/$B$15</f>
        <v>498.270707197096</v>
      </c>
    </row>
    <row r="343" customFormat="false" ht="15" hidden="false" customHeight="false" outlineLevel="0" collapsed="false">
      <c r="A343" s="50" t="n">
        <v>303</v>
      </c>
      <c r="B343" s="19" t="n">
        <f aca="true">NORMINV(RAND(),$B$6,$C$6)</f>
        <v>0.115231976971799</v>
      </c>
      <c r="C343" s="19" t="n">
        <f aca="true">MAX(0.25,NORMINV(RAND(),$B$7,$C$7))</f>
        <v>0.461913839000894</v>
      </c>
      <c r="D343" s="32" t="n">
        <f aca="true">MAX(0.07,NORMINV(RAND(),$B$8,$C$8))</f>
        <v>0.092916535760911</v>
      </c>
      <c r="E343" s="51" t="n">
        <f aca="true">MAX(8,NORMINV(RAND(),$B$9,$C$9))</f>
        <v>19.5923773361455</v>
      </c>
      <c r="F343" s="24" t="n">
        <f aca="false">$B$18*(1+(B343+$B$17)/2)^9</f>
        <v>20581.7409688739</v>
      </c>
      <c r="G343" s="24" t="n">
        <f aca="false">F343*C343</f>
        <v>9506.99098425451</v>
      </c>
      <c r="H343" s="24" t="n">
        <f aca="false">E343*G343/(1+D343)^9</f>
        <v>83723.4751932527</v>
      </c>
      <c r="I343" s="24" t="n">
        <f aca="false">$B$13*G343/$B$12*((1+$B$8)/(1+D343))^4.5</f>
        <v>24896.8467767869</v>
      </c>
      <c r="J343" s="24" t="n">
        <f aca="false">H343+I343-$B$14</f>
        <v>101182.721216615</v>
      </c>
      <c r="K343" s="43" t="n">
        <f aca="false">J343/$B$15</f>
        <v>528.093534533481</v>
      </c>
    </row>
    <row r="344" customFormat="false" ht="15" hidden="false" customHeight="false" outlineLevel="0" collapsed="false">
      <c r="A344" s="50" t="n">
        <v>304</v>
      </c>
      <c r="B344" s="19" t="n">
        <f aca="true">NORMINV(RAND(),$B$6,$C$6)</f>
        <v>0.136798763089363</v>
      </c>
      <c r="C344" s="19" t="n">
        <f aca="true">MAX(0.25,NORMINV(RAND(),$B$7,$C$7))</f>
        <v>0.511437532518367</v>
      </c>
      <c r="D344" s="32" t="n">
        <f aca="true">MAX(0.07,NORMINV(RAND(),$B$8,$C$8))</f>
        <v>0.107738424575531</v>
      </c>
      <c r="E344" s="51" t="n">
        <f aca="true">MAX(8,NORMINV(RAND(),$B$9,$C$9))</f>
        <v>10.3301674723765</v>
      </c>
      <c r="F344" s="24" t="n">
        <f aca="false">$B$18*(1+(B344+$B$17)/2)^9</f>
        <v>22492.8442308799</v>
      </c>
      <c r="G344" s="24" t="n">
        <f aca="false">F344*C344</f>
        <v>11503.6847527612</v>
      </c>
      <c r="H344" s="24" t="n">
        <f aca="false">E344*G344/(1+D344)^9</f>
        <v>47316.1444995849</v>
      </c>
      <c r="I344" s="24" t="n">
        <f aca="false">$B$13*G344/$B$12*((1+$B$8)/(1+D344))^4.5</f>
        <v>28353.8625538138</v>
      </c>
      <c r="J344" s="24" t="n">
        <f aca="false">H344+I344-$B$14</f>
        <v>68232.406299974</v>
      </c>
      <c r="K344" s="43" t="n">
        <f aca="false">J344/$B$15</f>
        <v>356.119030793184</v>
      </c>
    </row>
    <row r="345" customFormat="false" ht="15" hidden="false" customHeight="false" outlineLevel="0" collapsed="false">
      <c r="A345" s="50" t="n">
        <v>305</v>
      </c>
      <c r="B345" s="19" t="n">
        <f aca="true">NORMINV(RAND(),$B$6,$C$6)</f>
        <v>0.11653877355021</v>
      </c>
      <c r="C345" s="19" t="n">
        <f aca="true">MAX(0.25,NORMINV(RAND(),$B$7,$C$7))</f>
        <v>0.47606189407688</v>
      </c>
      <c r="D345" s="32" t="n">
        <f aca="true">MAX(0.07,NORMINV(RAND(),$B$8,$C$8))</f>
        <v>0.0981193091332203</v>
      </c>
      <c r="E345" s="51" t="n">
        <f aca="true">MAX(8,NORMINV(RAND(),$B$9,$C$9))</f>
        <v>21.3632060944327</v>
      </c>
      <c r="F345" s="24" t="n">
        <f aca="false">$B$18*(1+(B345+$B$17)/2)^9</f>
        <v>20693.2913006822</v>
      </c>
      <c r="G345" s="24" t="n">
        <f aca="false">F345*C345</f>
        <v>9851.28745128738</v>
      </c>
      <c r="H345" s="24" t="n">
        <f aca="false">E345*G345/(1+D345)^9</f>
        <v>90638.7000637561</v>
      </c>
      <c r="I345" s="24" t="n">
        <f aca="false">$B$13*G345/$B$12*((1+$B$8)/(1+D345))^4.5</f>
        <v>25252.9933951312</v>
      </c>
      <c r="J345" s="24" t="n">
        <f aca="false">H345+I345-$B$14</f>
        <v>108454.092705463</v>
      </c>
      <c r="K345" s="43" t="n">
        <f aca="false">J345/$B$15</f>
        <v>566.044325185087</v>
      </c>
    </row>
    <row r="346" customFormat="false" ht="15" hidden="false" customHeight="false" outlineLevel="0" collapsed="false">
      <c r="A346" s="50" t="n">
        <v>306</v>
      </c>
      <c r="B346" s="19" t="n">
        <f aca="true">NORMINV(RAND(),$B$6,$C$6)</f>
        <v>0.13492307463592</v>
      </c>
      <c r="C346" s="19" t="n">
        <f aca="true">MAX(0.25,NORMINV(RAND(),$B$7,$C$7))</f>
        <v>0.417518067288997</v>
      </c>
      <c r="D346" s="32" t="n">
        <f aca="true">MAX(0.07,NORMINV(RAND(),$B$8,$C$8))</f>
        <v>0.0988438729785488</v>
      </c>
      <c r="E346" s="51" t="n">
        <f aca="true">MAX(8,NORMINV(RAND(),$B$9,$C$9))</f>
        <v>19.5523886449371</v>
      </c>
      <c r="F346" s="24" t="n">
        <f aca="false">$B$18*(1+(B346+$B$17)/2)^9</f>
        <v>22320.5881801324</v>
      </c>
      <c r="G346" s="24" t="n">
        <f aca="false">F346*C346</f>
        <v>9319.24883772251</v>
      </c>
      <c r="H346" s="24" t="n">
        <f aca="false">E346*G346/(1+D346)^9</f>
        <v>78011.1734821442</v>
      </c>
      <c r="I346" s="24" t="n">
        <f aca="false">$B$13*G346/$B$12*((1+$B$8)/(1+D346))^4.5</f>
        <v>23818.3514551228</v>
      </c>
      <c r="J346" s="24" t="n">
        <f aca="false">H346+I346-$B$14</f>
        <v>94391.9241838423</v>
      </c>
      <c r="K346" s="43" t="n">
        <f aca="false">J346/$B$15</f>
        <v>492.65096129354</v>
      </c>
    </row>
    <row r="347" customFormat="false" ht="15" hidden="false" customHeight="false" outlineLevel="0" collapsed="false">
      <c r="A347" s="50" t="n">
        <v>307</v>
      </c>
      <c r="B347" s="19" t="n">
        <f aca="true">NORMINV(RAND(),$B$6,$C$6)</f>
        <v>0.0578517303086488</v>
      </c>
      <c r="C347" s="19" t="n">
        <f aca="true">MAX(0.25,NORMINV(RAND(),$B$7,$C$7))</f>
        <v>0.503411649037638</v>
      </c>
      <c r="D347" s="32" t="n">
        <f aca="true">MAX(0.07,NORMINV(RAND(),$B$8,$C$8))</f>
        <v>0.0883282531203272</v>
      </c>
      <c r="E347" s="51" t="n">
        <f aca="true">MAX(8,NORMINV(RAND(),$B$9,$C$9))</f>
        <v>11.7370972398217</v>
      </c>
      <c r="F347" s="24" t="n">
        <f aca="false">$B$18*(1+(B347+$B$17)/2)^9</f>
        <v>16180.497338259</v>
      </c>
      <c r="G347" s="24" t="n">
        <f aca="false">F347*C347</f>
        <v>8145.45084730206</v>
      </c>
      <c r="H347" s="24" t="n">
        <f aca="false">E347*G347/(1+D347)^9</f>
        <v>44631.0081589801</v>
      </c>
      <c r="I347" s="24" t="n">
        <f aca="false">$B$13*G347/$B$12*((1+$B$8)/(1+D347))^4.5</f>
        <v>21738.9373650768</v>
      </c>
      <c r="J347" s="24" t="n">
        <f aca="false">H347+I347-$B$14</f>
        <v>58932.3447706323</v>
      </c>
      <c r="K347" s="43" t="n">
        <f aca="false">J347/$B$15</f>
        <v>307.580087529396</v>
      </c>
    </row>
    <row r="348" customFormat="false" ht="15" hidden="false" customHeight="false" outlineLevel="0" collapsed="false">
      <c r="A348" s="50" t="n">
        <v>308</v>
      </c>
      <c r="B348" s="19" t="n">
        <f aca="true">NORMINV(RAND(),$B$6,$C$6)</f>
        <v>0.112841645342165</v>
      </c>
      <c r="C348" s="19" t="n">
        <f aca="true">MAX(0.25,NORMINV(RAND(),$B$7,$C$7))</f>
        <v>0.479637189521311</v>
      </c>
      <c r="D348" s="32" t="n">
        <f aca="true">MAX(0.07,NORMINV(RAND(),$B$8,$C$8))</f>
        <v>0.0957641851851056</v>
      </c>
      <c r="E348" s="51" t="n">
        <f aca="true">MAX(8,NORMINV(RAND(),$B$9,$C$9))</f>
        <v>15.5693995840329</v>
      </c>
      <c r="F348" s="24" t="n">
        <f aca="false">$B$18*(1+(B348+$B$17)/2)^9</f>
        <v>20379.0805495251</v>
      </c>
      <c r="G348" s="24" t="n">
        <f aca="false">F348*C348</f>
        <v>9774.56491980261</v>
      </c>
      <c r="H348" s="24" t="n">
        <f aca="false">E348*G348/(1+D348)^9</f>
        <v>66821.371718599</v>
      </c>
      <c r="I348" s="24" t="n">
        <f aca="false">$B$13*G348/$B$12*((1+$B$8)/(1+D348))^4.5</f>
        <v>25299.5751928311</v>
      </c>
      <c r="J348" s="24" t="n">
        <f aca="false">H348+I348-$B$14</f>
        <v>84683.3461580054</v>
      </c>
      <c r="K348" s="43" t="n">
        <f aca="false">J348/$B$15</f>
        <v>441.979886002116</v>
      </c>
    </row>
    <row r="349" customFormat="false" ht="15" hidden="false" customHeight="false" outlineLevel="0" collapsed="false">
      <c r="A349" s="50" t="n">
        <v>309</v>
      </c>
      <c r="B349" s="19" t="n">
        <f aca="true">NORMINV(RAND(),$B$6,$C$6)</f>
        <v>0.136099364470509</v>
      </c>
      <c r="C349" s="19" t="n">
        <f aca="true">MAX(0.25,NORMINV(RAND(),$B$7,$C$7))</f>
        <v>0.498902270798606</v>
      </c>
      <c r="D349" s="32" t="n">
        <f aca="true">MAX(0.07,NORMINV(RAND(),$B$8,$C$8))</f>
        <v>0.0910961032685369</v>
      </c>
      <c r="E349" s="51" t="n">
        <f aca="true">MAX(8,NORMINV(RAND(),$B$9,$C$9))</f>
        <v>18.8302297708162</v>
      </c>
      <c r="F349" s="24" t="n">
        <f aca="false">$B$18*(1+(B349+$B$17)/2)^9</f>
        <v>22428.4764746554</v>
      </c>
      <c r="G349" s="24" t="n">
        <f aca="false">F349*C349</f>
        <v>11189.6178437587</v>
      </c>
      <c r="H349" s="24" t="n">
        <f aca="false">E349*G349/(1+D349)^9</f>
        <v>96139.936549624</v>
      </c>
      <c r="I349" s="24" t="n">
        <f aca="false">$B$13*G349/$B$12*((1+$B$8)/(1+D349))^4.5</f>
        <v>29523.9515143133</v>
      </c>
      <c r="J349" s="24" t="n">
        <f aca="false">H349+I349-$B$14</f>
        <v>118226.287310513</v>
      </c>
      <c r="K349" s="43" t="n">
        <f aca="false">J349/$B$15</f>
        <v>617.047428551736</v>
      </c>
    </row>
    <row r="350" customFormat="false" ht="15" hidden="false" customHeight="false" outlineLevel="0" collapsed="false">
      <c r="A350" s="50" t="n">
        <v>310</v>
      </c>
      <c r="B350" s="19" t="n">
        <f aca="true">NORMINV(RAND(),$B$6,$C$6)</f>
        <v>0.102736677050078</v>
      </c>
      <c r="C350" s="19" t="n">
        <f aca="true">MAX(0.25,NORMINV(RAND(),$B$7,$C$7))</f>
        <v>0.482754804392008</v>
      </c>
      <c r="D350" s="32" t="n">
        <f aca="true">MAX(0.07,NORMINV(RAND(),$B$8,$C$8))</f>
        <v>0.0953381272636514</v>
      </c>
      <c r="E350" s="51" t="n">
        <f aca="true">MAX(8,NORMINV(RAND(),$B$9,$C$9))</f>
        <v>18.1619576977622</v>
      </c>
      <c r="F350" s="24" t="n">
        <f aca="false">$B$18*(1+(B350+$B$17)/2)^9</f>
        <v>19541.8063578578</v>
      </c>
      <c r="G350" s="24" t="n">
        <f aca="false">F350*C350</f>
        <v>9433.90090575412</v>
      </c>
      <c r="H350" s="24" t="n">
        <f aca="false">E350*G350/(1+D350)^9</f>
        <v>75495.3362141758</v>
      </c>
      <c r="I350" s="24" t="n">
        <f aca="false">$B$13*G350/$B$12*((1+$B$8)/(1+D350))^4.5</f>
        <v>24460.6017752544</v>
      </c>
      <c r="J350" s="24" t="n">
        <f aca="false">H350+I350-$B$14</f>
        <v>92518.3372360056</v>
      </c>
      <c r="K350" s="43" t="n">
        <f aca="false">J350/$B$15</f>
        <v>482.872323778735</v>
      </c>
    </row>
    <row r="351" customFormat="false" ht="15" hidden="false" customHeight="false" outlineLevel="0" collapsed="false">
      <c r="A351" s="50" t="n">
        <v>311</v>
      </c>
      <c r="B351" s="19" t="n">
        <f aca="true">NORMINV(RAND(),$B$6,$C$6)</f>
        <v>0.0740996737905064</v>
      </c>
      <c r="C351" s="19" t="n">
        <f aca="true">MAX(0.25,NORMINV(RAND(),$B$7,$C$7))</f>
        <v>0.44537718479086</v>
      </c>
      <c r="D351" s="32" t="n">
        <f aca="true">MAX(0.07,NORMINV(RAND(),$B$8,$C$8))</f>
        <v>0.106185455234258</v>
      </c>
      <c r="E351" s="51" t="n">
        <f aca="true">MAX(8,NORMINV(RAND(),$B$9,$C$9))</f>
        <v>16.4866365439954</v>
      </c>
      <c r="F351" s="24" t="n">
        <f aca="false">$B$18*(1+(B351+$B$17)/2)^9</f>
        <v>17332.6190629734</v>
      </c>
      <c r="G351" s="24" t="n">
        <f aca="false">F351*C351</f>
        <v>7719.55308331949</v>
      </c>
      <c r="H351" s="24" t="n">
        <f aca="false">E351*G351/(1+D351)^9</f>
        <v>51318.355086954</v>
      </c>
      <c r="I351" s="24" t="n">
        <f aca="false">$B$13*G351/$B$12*((1+$B$8)/(1+D351))^4.5</f>
        <v>19147.3713911353</v>
      </c>
      <c r="J351" s="24" t="n">
        <f aca="false">H351+I351-$B$14</f>
        <v>63028.1257246647</v>
      </c>
      <c r="K351" s="43" t="n">
        <f aca="false">J351/$B$15</f>
        <v>328.956814846893</v>
      </c>
    </row>
    <row r="352" customFormat="false" ht="15" hidden="false" customHeight="false" outlineLevel="0" collapsed="false">
      <c r="A352" s="50" t="n">
        <v>312</v>
      </c>
      <c r="B352" s="19" t="n">
        <f aca="true">NORMINV(RAND(),$B$6,$C$6)</f>
        <v>0.0783839218324609</v>
      </c>
      <c r="C352" s="19" t="n">
        <f aca="true">MAX(0.25,NORMINV(RAND(),$B$7,$C$7))</f>
        <v>0.507566503684018</v>
      </c>
      <c r="D352" s="32" t="n">
        <f aca="true">MAX(0.07,NORMINV(RAND(),$B$8,$C$8))</f>
        <v>0.0958018101595616</v>
      </c>
      <c r="E352" s="51" t="n">
        <f aca="true">MAX(8,NORMINV(RAND(),$B$9,$C$9))</f>
        <v>17.203085790583</v>
      </c>
      <c r="F352" s="24" t="n">
        <f aca="false">$B$18*(1+(B352+$B$17)/2)^9</f>
        <v>17648.3058139545</v>
      </c>
      <c r="G352" s="24" t="n">
        <f aca="false">F352*C352</f>
        <v>8957.6888779352</v>
      </c>
      <c r="H352" s="24" t="n">
        <f aca="false">E352*G352/(1+D352)^9</f>
        <v>67641.6523207895</v>
      </c>
      <c r="I352" s="24" t="n">
        <f aca="false">$B$13*G352/$B$12*((1+$B$8)/(1+D352))^4.5</f>
        <v>23181.6670444223</v>
      </c>
      <c r="J352" s="24" t="n">
        <f aca="false">H352+I352-$B$14</f>
        <v>83385.718611787</v>
      </c>
      <c r="K352" s="43" t="n">
        <f aca="false">J352/$B$15</f>
        <v>435.207299643983</v>
      </c>
    </row>
    <row r="353" customFormat="false" ht="15" hidden="false" customHeight="false" outlineLevel="0" collapsed="false">
      <c r="A353" s="50" t="n">
        <v>313</v>
      </c>
      <c r="B353" s="19" t="n">
        <f aca="true">NORMINV(RAND(),$B$6,$C$6)</f>
        <v>0.061523293114709</v>
      </c>
      <c r="C353" s="19" t="n">
        <f aca="true">MAX(0.25,NORMINV(RAND(),$B$7,$C$7))</f>
        <v>0.525992788277199</v>
      </c>
      <c r="D353" s="32" t="n">
        <f aca="true">MAX(0.07,NORMINV(RAND(),$B$8,$C$8))</f>
        <v>0.100952672923655</v>
      </c>
      <c r="E353" s="51" t="n">
        <f aca="true">MAX(8,NORMINV(RAND(),$B$9,$C$9))</f>
        <v>17.7943639199379</v>
      </c>
      <c r="F353" s="24" t="n">
        <f aca="false">$B$18*(1+(B353+$B$17)/2)^9</f>
        <v>16434.7134887051</v>
      </c>
      <c r="G353" s="24" t="n">
        <f aca="false">F353*C353</f>
        <v>8644.54077246087</v>
      </c>
      <c r="H353" s="24" t="n">
        <f aca="false">E353*G353/(1+D353)^9</f>
        <v>64730.139590668</v>
      </c>
      <c r="I353" s="24" t="n">
        <f aca="false">$B$13*G353/$B$12*((1+$B$8)/(1+D353))^4.5</f>
        <v>21904.1170476693</v>
      </c>
      <c r="J353" s="24" t="n">
        <f aca="false">H353+I353-$B$14</f>
        <v>79196.6558849127</v>
      </c>
      <c r="K353" s="43" t="n">
        <f aca="false">J353/$B$15</f>
        <v>413.343715474492</v>
      </c>
    </row>
    <row r="354" customFormat="false" ht="15" hidden="false" customHeight="false" outlineLevel="0" collapsed="false">
      <c r="A354" s="50" t="n">
        <v>314</v>
      </c>
      <c r="B354" s="19" t="n">
        <f aca="true">NORMINV(RAND(),$B$6,$C$6)</f>
        <v>0.0761910251363823</v>
      </c>
      <c r="C354" s="19" t="n">
        <f aca="true">MAX(0.25,NORMINV(RAND(),$B$7,$C$7))</f>
        <v>0.421667099441299</v>
      </c>
      <c r="D354" s="32" t="n">
        <f aca="true">MAX(0.07,NORMINV(RAND(),$B$8,$C$8))</f>
        <v>0.0913574665143512</v>
      </c>
      <c r="E354" s="51" t="n">
        <f aca="true">MAX(8,NORMINV(RAND(),$B$9,$C$9))</f>
        <v>17.6178186572544</v>
      </c>
      <c r="F354" s="24" t="n">
        <f aca="false">$B$18*(1+(B354+$B$17)/2)^9</f>
        <v>17486.0885134403</v>
      </c>
      <c r="G354" s="24" t="n">
        <f aca="false">F354*C354</f>
        <v>7373.30822403618</v>
      </c>
      <c r="H354" s="24" t="n">
        <f aca="false">E354*G354/(1+D354)^9</f>
        <v>59144.083761488</v>
      </c>
      <c r="I354" s="24" t="n">
        <f aca="false">$B$13*G354/$B$12*((1+$B$8)/(1+D354))^4.5</f>
        <v>19433.61216211</v>
      </c>
      <c r="J354" s="24" t="n">
        <f aca="false">H354+I354-$B$14</f>
        <v>71140.0951701733</v>
      </c>
      <c r="K354" s="43" t="n">
        <f aca="false">J354/$B$15</f>
        <v>371.294859969589</v>
      </c>
    </row>
    <row r="355" customFormat="false" ht="15" hidden="false" customHeight="false" outlineLevel="0" collapsed="false">
      <c r="A355" s="50" t="n">
        <v>315</v>
      </c>
      <c r="B355" s="19" t="n">
        <f aca="true">NORMINV(RAND(),$B$6,$C$6)</f>
        <v>0.152373894499905</v>
      </c>
      <c r="C355" s="19" t="n">
        <f aca="true">MAX(0.25,NORMINV(RAND(),$B$7,$C$7))</f>
        <v>0.462221248079673</v>
      </c>
      <c r="D355" s="32" t="n">
        <f aca="true">MAX(0.07,NORMINV(RAND(),$B$8,$C$8))</f>
        <v>0.0977181038370366</v>
      </c>
      <c r="E355" s="51" t="n">
        <f aca="true">MAX(8,NORMINV(RAND(),$B$9,$C$9))</f>
        <v>18.9944908288267</v>
      </c>
      <c r="F355" s="24" t="n">
        <f aca="false">$B$18*(1+(B355+$B$17)/2)^9</f>
        <v>23969.4806746927</v>
      </c>
      <c r="G355" s="24" t="n">
        <f aca="false">F355*C355</f>
        <v>11079.2032732781</v>
      </c>
      <c r="H355" s="24" t="n">
        <f aca="false">E355*G355/(1+D355)^9</f>
        <v>90932.4193300435</v>
      </c>
      <c r="I355" s="24" t="n">
        <f aca="false">$B$13*G355/$B$12*((1+$B$8)/(1+D355))^4.5</f>
        <v>28447.3987597365</v>
      </c>
      <c r="J355" s="24" t="n">
        <f aca="false">H355+I355-$B$14</f>
        <v>111942.217336355</v>
      </c>
      <c r="K355" s="43" t="n">
        <f aca="false">J355/$B$15</f>
        <v>584.249568561353</v>
      </c>
    </row>
    <row r="356" customFormat="false" ht="15" hidden="false" customHeight="false" outlineLevel="0" collapsed="false">
      <c r="A356" s="50" t="n">
        <v>316</v>
      </c>
      <c r="B356" s="19" t="n">
        <f aca="true">NORMINV(RAND(),$B$6,$C$6)</f>
        <v>0.119574789275539</v>
      </c>
      <c r="C356" s="19" t="n">
        <f aca="true">MAX(0.25,NORMINV(RAND(),$B$7,$C$7))</f>
        <v>0.436482609085249</v>
      </c>
      <c r="D356" s="32" t="n">
        <f aca="true">MAX(0.07,NORMINV(RAND(),$B$8,$C$8))</f>
        <v>0.092362209461733</v>
      </c>
      <c r="E356" s="51" t="n">
        <f aca="true">MAX(8,NORMINV(RAND(),$B$9,$C$9))</f>
        <v>15.0256425153403</v>
      </c>
      <c r="F356" s="24" t="n">
        <f aca="false">$B$18*(1+(B356+$B$17)/2)^9</f>
        <v>20954.5278705079</v>
      </c>
      <c r="G356" s="24" t="n">
        <f aca="false">F356*C356</f>
        <v>9146.28699706886</v>
      </c>
      <c r="H356" s="24" t="n">
        <f aca="false">E356*G356/(1+D356)^9</f>
        <v>62055.1560395792</v>
      </c>
      <c r="I356" s="24" t="n">
        <f aca="false">$B$13*G356/$B$12*((1+$B$8)/(1+D356))^4.5</f>
        <v>24006.9823243905</v>
      </c>
      <c r="J356" s="24" t="n">
        <f aca="false">H356+I356-$B$14</f>
        <v>78624.5376105451</v>
      </c>
      <c r="K356" s="43" t="n">
        <f aca="false">J356/$B$15</f>
        <v>410.357711954828</v>
      </c>
    </row>
    <row r="357" customFormat="false" ht="15" hidden="false" customHeight="false" outlineLevel="0" collapsed="false">
      <c r="A357" s="50" t="n">
        <v>317</v>
      </c>
      <c r="B357" s="19" t="n">
        <f aca="true">NORMINV(RAND(),$B$6,$C$6)</f>
        <v>0.122302651253982</v>
      </c>
      <c r="C357" s="19" t="n">
        <f aca="true">MAX(0.25,NORMINV(RAND(),$B$7,$C$7))</f>
        <v>0.498503019315709</v>
      </c>
      <c r="D357" s="32" t="n">
        <f aca="true">MAX(0.07,NORMINV(RAND(),$B$8,$C$8))</f>
        <v>0.103967687177398</v>
      </c>
      <c r="E357" s="51" t="n">
        <f aca="true">MAX(8,NORMINV(RAND(),$B$9,$C$9))</f>
        <v>18.8148360457225</v>
      </c>
      <c r="F357" s="24" t="n">
        <f aca="false">$B$18*(1+(B357+$B$17)/2)^9</f>
        <v>21191.7450231581</v>
      </c>
      <c r="G357" s="24" t="n">
        <f aca="false">F357*C357</f>
        <v>10564.148878613</v>
      </c>
      <c r="H357" s="24" t="n">
        <f aca="false">E357*G357/(1+D357)^9</f>
        <v>81607.0528523503</v>
      </c>
      <c r="I357" s="24" t="n">
        <f aca="false">$B$13*G357/$B$12*((1+$B$8)/(1+D357))^4.5</f>
        <v>26440.741775321</v>
      </c>
      <c r="J357" s="24" t="n">
        <f aca="false">H357+I357-$B$14</f>
        <v>100610.193874247</v>
      </c>
      <c r="K357" s="43" t="n">
        <f aca="false">J357/$B$15</f>
        <v>525.105396003375</v>
      </c>
    </row>
    <row r="358" customFormat="false" ht="15" hidden="false" customHeight="false" outlineLevel="0" collapsed="false">
      <c r="A358" s="50" t="n">
        <v>318</v>
      </c>
      <c r="B358" s="19" t="n">
        <f aca="true">NORMINV(RAND(),$B$6,$C$6)</f>
        <v>0.126141602146797</v>
      </c>
      <c r="C358" s="19" t="n">
        <f aca="true">MAX(0.25,NORMINV(RAND(),$B$7,$C$7))</f>
        <v>0.455853478914902</v>
      </c>
      <c r="D358" s="32" t="n">
        <f aca="true">MAX(0.07,NORMINV(RAND(),$B$8,$C$8))</f>
        <v>0.0956679257837387</v>
      </c>
      <c r="E358" s="51" t="n">
        <f aca="true">MAX(8,NORMINV(RAND(),$B$9,$C$9))</f>
        <v>13.5826595962203</v>
      </c>
      <c r="F358" s="24" t="n">
        <f aca="false">$B$18*(1+(B358+$B$17)/2)^9</f>
        <v>21529.6265999982</v>
      </c>
      <c r="G358" s="24" t="n">
        <f aca="false">F358*C358</f>
        <v>9814.35518534798</v>
      </c>
      <c r="H358" s="24" t="n">
        <f aca="false">E358*G358/(1+D358)^9</f>
        <v>58578.2039702183</v>
      </c>
      <c r="I358" s="24" t="n">
        <f aca="false">$B$13*G358/$B$12*((1+$B$8)/(1+D358))^4.5</f>
        <v>25412.6089492094</v>
      </c>
      <c r="J358" s="24" t="n">
        <f aca="false">H358+I358-$B$14</f>
        <v>76553.212166003</v>
      </c>
      <c r="K358" s="43" t="n">
        <f aca="false">J358/$B$15</f>
        <v>399.547036357009</v>
      </c>
    </row>
    <row r="359" customFormat="false" ht="15" hidden="false" customHeight="false" outlineLevel="0" collapsed="false">
      <c r="A359" s="50" t="n">
        <v>319</v>
      </c>
      <c r="B359" s="19" t="n">
        <f aca="true">NORMINV(RAND(),$B$6,$C$6)</f>
        <v>0.077640897096353</v>
      </c>
      <c r="C359" s="19" t="n">
        <f aca="true">MAX(0.25,NORMINV(RAND(),$B$7,$C$7))</f>
        <v>0.464616519717543</v>
      </c>
      <c r="D359" s="32" t="n">
        <f aca="true">MAX(0.07,NORMINV(RAND(),$B$8,$C$8))</f>
        <v>0.0988702434883584</v>
      </c>
      <c r="E359" s="51" t="n">
        <f aca="true">MAX(8,NORMINV(RAND(),$B$9,$C$9))</f>
        <v>18.5418713885289</v>
      </c>
      <c r="F359" s="24" t="n">
        <f aca="false">$B$18*(1+(B359+$B$17)/2)^9</f>
        <v>17593.1921131459</v>
      </c>
      <c r="G359" s="24" t="n">
        <f aca="false">F359*C359</f>
        <v>8174.08769033199</v>
      </c>
      <c r="H359" s="24" t="n">
        <f aca="false">E359*G359/(1+D359)^9</f>
        <v>64874.6664545014</v>
      </c>
      <c r="I359" s="24" t="n">
        <f aca="false">$B$13*G359/$B$12*((1+$B$8)/(1+D359))^4.5</f>
        <v>20889.2661549049</v>
      </c>
      <c r="J359" s="24" t="n">
        <f aca="false">H359+I359-$B$14</f>
        <v>78326.3318559816</v>
      </c>
      <c r="K359" s="43" t="n">
        <f aca="false">J359/$B$15</f>
        <v>408.801314488422</v>
      </c>
    </row>
    <row r="360" customFormat="false" ht="15" hidden="false" customHeight="false" outlineLevel="0" collapsed="false">
      <c r="A360" s="50" t="n">
        <v>320</v>
      </c>
      <c r="B360" s="19" t="n">
        <f aca="true">NORMINV(RAND(),$B$6,$C$6)</f>
        <v>0.15532417108055</v>
      </c>
      <c r="C360" s="19" t="n">
        <f aca="true">MAX(0.25,NORMINV(RAND(),$B$7,$C$7))</f>
        <v>0.453910024250404</v>
      </c>
      <c r="D360" s="32" t="n">
        <f aca="true">MAX(0.07,NORMINV(RAND(),$B$8,$C$8))</f>
        <v>0.0918962935510477</v>
      </c>
      <c r="E360" s="51" t="n">
        <f aca="true">MAX(8,NORMINV(RAND(),$B$9,$C$9))</f>
        <v>19.3358569368782</v>
      </c>
      <c r="F360" s="24" t="n">
        <f aca="false">$B$18*(1+(B360+$B$17)/2)^9</f>
        <v>24258.6971005715</v>
      </c>
      <c r="G360" s="24" t="n">
        <f aca="false">F360*C360</f>
        <v>11011.2657892036</v>
      </c>
      <c r="H360" s="24" t="n">
        <f aca="false">E360*G360/(1+D360)^9</f>
        <v>96509.0729467538</v>
      </c>
      <c r="I360" s="24" t="n">
        <f aca="false">$B$13*G360/$B$12*((1+$B$8)/(1+D360))^4.5</f>
        <v>28957.6778992342</v>
      </c>
      <c r="J360" s="24" t="n">
        <f aca="false">H360+I360-$B$14</f>
        <v>118029.150092563</v>
      </c>
      <c r="K360" s="43" t="n">
        <f aca="false">J360/$B$15</f>
        <v>616.018528666823</v>
      </c>
    </row>
    <row r="361" customFormat="false" ht="15" hidden="false" customHeight="false" outlineLevel="0" collapsed="false">
      <c r="A361" s="50" t="n">
        <v>321</v>
      </c>
      <c r="B361" s="19" t="n">
        <f aca="true">NORMINV(RAND(),$B$6,$C$6)</f>
        <v>0.116656024187337</v>
      </c>
      <c r="C361" s="19" t="n">
        <f aca="true">MAX(0.25,NORMINV(RAND(),$B$7,$C$7))</f>
        <v>0.453214769202533</v>
      </c>
      <c r="D361" s="32" t="n">
        <f aca="true">MAX(0.07,NORMINV(RAND(),$B$8,$C$8))</f>
        <v>0.104595421997245</v>
      </c>
      <c r="E361" s="51" t="n">
        <f aca="true">MAX(8,NORMINV(RAND(),$B$9,$C$9))</f>
        <v>18.1065505083235</v>
      </c>
      <c r="F361" s="24" t="n">
        <f aca="false">$B$18*(1+(B361+$B$17)/2)^9</f>
        <v>20703.3262334641</v>
      </c>
      <c r="G361" s="24" t="n">
        <f aca="false">F361*C361</f>
        <v>9383.05322062418</v>
      </c>
      <c r="H361" s="24" t="n">
        <f aca="false">E361*G361/(1+D361)^9</f>
        <v>69398.6064104666</v>
      </c>
      <c r="I361" s="24" t="n">
        <f aca="false">$B$13*G361/$B$12*((1+$B$8)/(1+D361))^4.5</f>
        <v>23424.6092292325</v>
      </c>
      <c r="J361" s="24" t="n">
        <f aca="false">H361+I361-$B$14</f>
        <v>85385.6148862745</v>
      </c>
      <c r="K361" s="43" t="n">
        <f aca="false">J361/$B$15</f>
        <v>445.645171640263</v>
      </c>
    </row>
    <row r="362" customFormat="false" ht="15" hidden="false" customHeight="false" outlineLevel="0" collapsed="false">
      <c r="A362" s="50" t="n">
        <v>322</v>
      </c>
      <c r="B362" s="19" t="n">
        <f aca="true">NORMINV(RAND(),$B$6,$C$6)</f>
        <v>0.0636593802263267</v>
      </c>
      <c r="C362" s="19" t="n">
        <f aca="true">MAX(0.25,NORMINV(RAND(),$B$7,$C$7))</f>
        <v>0.454828197537225</v>
      </c>
      <c r="D362" s="32" t="n">
        <f aca="true">MAX(0.07,NORMINV(RAND(),$B$8,$C$8))</f>
        <v>0.107816454691722</v>
      </c>
      <c r="E362" s="51" t="n">
        <f aca="true">MAX(8,NORMINV(RAND(),$B$9,$C$9))</f>
        <v>14.8332072856892</v>
      </c>
      <c r="F362" s="24" t="n">
        <f aca="false">$B$18*(1+(B362+$B$17)/2)^9</f>
        <v>16584.2425102215</v>
      </c>
      <c r="G362" s="24" t="n">
        <f aca="false">F362*C362</f>
        <v>7542.98112844425</v>
      </c>
      <c r="H362" s="24" t="n">
        <f aca="false">E362*G362/(1+D362)^9</f>
        <v>44521.2944618223</v>
      </c>
      <c r="I362" s="24" t="n">
        <f aca="false">$B$13*G362/$B$12*((1+$B$8)/(1+D362))^4.5</f>
        <v>18585.7726152471</v>
      </c>
      <c r="J362" s="24" t="n">
        <f aca="false">H362+I362-$B$14</f>
        <v>55669.4663236448</v>
      </c>
      <c r="K362" s="43" t="n">
        <f aca="false">J362/$B$15</f>
        <v>290.550450540943</v>
      </c>
    </row>
    <row r="363" customFormat="false" ht="15" hidden="false" customHeight="false" outlineLevel="0" collapsed="false">
      <c r="A363" s="50" t="n">
        <v>323</v>
      </c>
      <c r="B363" s="19" t="n">
        <f aca="true">NORMINV(RAND(),$B$6,$C$6)</f>
        <v>0.0928062453326098</v>
      </c>
      <c r="C363" s="19" t="n">
        <f aca="true">MAX(0.25,NORMINV(RAND(),$B$7,$C$7))</f>
        <v>0.452666504398624</v>
      </c>
      <c r="D363" s="32" t="n">
        <f aca="true">MAX(0.07,NORMINV(RAND(),$B$8,$C$8))</f>
        <v>0.116094759981957</v>
      </c>
      <c r="E363" s="51" t="n">
        <f aca="true">MAX(8,NORMINV(RAND(),$B$9,$C$9))</f>
        <v>15.0917520159655</v>
      </c>
      <c r="F363" s="24" t="n">
        <f aca="false">$B$18*(1+(B363+$B$17)/2)^9</f>
        <v>18748.9261862167</v>
      </c>
      <c r="G363" s="24" t="n">
        <f aca="false">F363*C363</f>
        <v>8487.01087794256</v>
      </c>
      <c r="H363" s="24" t="n">
        <f aca="false">E363*G363/(1+D363)^9</f>
        <v>47663.3756351982</v>
      </c>
      <c r="I363" s="24" t="n">
        <f aca="false">$B$13*G363/$B$12*((1+$B$8)/(1+D363))^4.5</f>
        <v>20222.8657135669</v>
      </c>
      <c r="J363" s="24" t="n">
        <f aca="false">H363+I363-$B$14</f>
        <v>60448.6405953405</v>
      </c>
      <c r="K363" s="43" t="n">
        <f aca="false">J363/$B$15</f>
        <v>315.493948827456</v>
      </c>
    </row>
    <row r="364" customFormat="false" ht="15" hidden="false" customHeight="false" outlineLevel="0" collapsed="false">
      <c r="A364" s="50" t="n">
        <v>324</v>
      </c>
      <c r="B364" s="19" t="n">
        <f aca="true">NORMINV(RAND(),$B$6,$C$6)</f>
        <v>0.140299968726742</v>
      </c>
      <c r="C364" s="19" t="n">
        <f aca="true">MAX(0.25,NORMINV(RAND(),$B$7,$C$7))</f>
        <v>0.507190407467862</v>
      </c>
      <c r="D364" s="32" t="n">
        <f aca="true">MAX(0.07,NORMINV(RAND(),$B$8,$C$8))</f>
        <v>0.0901218524881246</v>
      </c>
      <c r="E364" s="51" t="n">
        <f aca="true">MAX(8,NORMINV(RAND(),$B$9,$C$9))</f>
        <v>14.3160646418174</v>
      </c>
      <c r="F364" s="24" t="n">
        <f aca="false">$B$18*(1+(B364+$B$17)/2)^9</f>
        <v>22817.545786301</v>
      </c>
      <c r="G364" s="24" t="n">
        <f aca="false">F364*C364</f>
        <v>11572.8403447706</v>
      </c>
      <c r="H364" s="24" t="n">
        <f aca="false">E364*G364/(1+D364)^9</f>
        <v>76205.8308517733</v>
      </c>
      <c r="I364" s="24" t="n">
        <f aca="false">$B$13*G364/$B$12*((1+$B$8)/(1+D364))^4.5</f>
        <v>30658.0838087373</v>
      </c>
      <c r="J364" s="24" t="n">
        <f aca="false">H364+I364-$B$14</f>
        <v>99426.313907086</v>
      </c>
      <c r="K364" s="43" t="n">
        <f aca="false">J364/$B$15</f>
        <v>518.92648176976</v>
      </c>
    </row>
    <row r="365" customFormat="false" ht="15" hidden="false" customHeight="false" outlineLevel="0" collapsed="false">
      <c r="A365" s="50" t="n">
        <v>325</v>
      </c>
      <c r="B365" s="19" t="n">
        <f aca="true">NORMINV(RAND(),$B$6,$C$6)</f>
        <v>0.156645366782072</v>
      </c>
      <c r="C365" s="19" t="n">
        <f aca="true">MAX(0.25,NORMINV(RAND(),$B$7,$C$7))</f>
        <v>0.465213588895198</v>
      </c>
      <c r="D365" s="32" t="n">
        <f aca="true">MAX(0.07,NORMINV(RAND(),$B$8,$C$8))</f>
        <v>0.0927318502396695</v>
      </c>
      <c r="E365" s="51" t="n">
        <f aca="true">MAX(8,NORMINV(RAND(),$B$9,$C$9))</f>
        <v>14.1254195560427</v>
      </c>
      <c r="F365" s="24" t="n">
        <f aca="false">$B$18*(1+(B365+$B$17)/2)^9</f>
        <v>24389.2168067459</v>
      </c>
      <c r="G365" s="24" t="n">
        <f aca="false">F365*C365</f>
        <v>11346.1950810093</v>
      </c>
      <c r="H365" s="24" t="n">
        <f aca="false">E365*G365/(1+D365)^9</f>
        <v>72148.8123258184</v>
      </c>
      <c r="I365" s="24" t="n">
        <f aca="false">$B$13*G365/$B$12*((1+$B$8)/(1+D365))^4.5</f>
        <v>29735.9479986603</v>
      </c>
      <c r="J365" s="24" t="n">
        <f aca="false">H365+I365-$B$14</f>
        <v>94447.1595710541</v>
      </c>
      <c r="K365" s="43" t="n">
        <f aca="false">J365/$B$15</f>
        <v>492.939246195481</v>
      </c>
    </row>
    <row r="366" customFormat="false" ht="15" hidden="false" customHeight="false" outlineLevel="0" collapsed="false">
      <c r="A366" s="50" t="n">
        <v>326</v>
      </c>
      <c r="B366" s="19" t="n">
        <f aca="true">NORMINV(RAND(),$B$6,$C$6)</f>
        <v>0.147181743956551</v>
      </c>
      <c r="C366" s="19" t="n">
        <f aca="true">MAX(0.25,NORMINV(RAND(),$B$7,$C$7))</f>
        <v>0.457636805836439</v>
      </c>
      <c r="D366" s="32" t="n">
        <f aca="true">MAX(0.07,NORMINV(RAND(),$B$8,$C$8))</f>
        <v>0.092562843467841</v>
      </c>
      <c r="E366" s="51" t="n">
        <f aca="true">MAX(8,NORMINV(RAND(),$B$9,$C$9))</f>
        <v>15.0082922209283</v>
      </c>
      <c r="F366" s="24" t="n">
        <f aca="false">$B$18*(1+(B366+$B$17)/2)^9</f>
        <v>23467.9284542995</v>
      </c>
      <c r="G366" s="24" t="n">
        <f aca="false">F366*C366</f>
        <v>10739.7878174237</v>
      </c>
      <c r="H366" s="24" t="n">
        <f aca="false">E366*G366/(1+D366)^9</f>
        <v>72662.2995990356</v>
      </c>
      <c r="I366" s="24" t="n">
        <f aca="false">$B$13*G366/$B$12*((1+$B$8)/(1+D366))^4.5</f>
        <v>28166.2825439083</v>
      </c>
      <c r="J366" s="24" t="n">
        <f aca="false">H366+I366-$B$14</f>
        <v>93390.9813895193</v>
      </c>
      <c r="K366" s="43" t="n">
        <f aca="false">J366/$B$15</f>
        <v>487.426833974526</v>
      </c>
    </row>
    <row r="367" customFormat="false" ht="15" hidden="false" customHeight="false" outlineLevel="0" collapsed="false">
      <c r="A367" s="50" t="n">
        <v>327</v>
      </c>
      <c r="B367" s="19" t="n">
        <f aca="true">NORMINV(RAND(),$B$6,$C$6)</f>
        <v>0.0807418846285302</v>
      </c>
      <c r="C367" s="19" t="n">
        <f aca="true">MAX(0.25,NORMINV(RAND(),$B$7,$C$7))</f>
        <v>0.511234597464385</v>
      </c>
      <c r="D367" s="32" t="n">
        <f aca="true">MAX(0.07,NORMINV(RAND(),$B$8,$C$8))</f>
        <v>0.0987358597924288</v>
      </c>
      <c r="E367" s="51" t="n">
        <f aca="true">MAX(8,NORMINV(RAND(),$B$9,$C$9))</f>
        <v>18.536208307908</v>
      </c>
      <c r="F367" s="24" t="n">
        <f aca="false">$B$18*(1+(B367+$B$17)/2)^9</f>
        <v>17824.2249406394</v>
      </c>
      <c r="G367" s="24" t="n">
        <f aca="false">F367*C367</f>
        <v>9112.36046264242</v>
      </c>
      <c r="H367" s="24" t="n">
        <f aca="false">E367*G367/(1+D367)^9</f>
        <v>72378.920550211</v>
      </c>
      <c r="I367" s="24" t="n">
        <f aca="false">$B$13*G367/$B$12*((1+$B$8)/(1+D367))^4.5</f>
        <v>23299.8859966078</v>
      </c>
      <c r="J367" s="24" t="n">
        <f aca="false">H367+I367-$B$14</f>
        <v>88241.2057933942</v>
      </c>
      <c r="K367" s="43" t="n">
        <f aca="false">J367/$B$15</f>
        <v>460.549090779719</v>
      </c>
    </row>
    <row r="368" customFormat="false" ht="15" hidden="false" customHeight="false" outlineLevel="0" collapsed="false">
      <c r="A368" s="50" t="n">
        <v>328</v>
      </c>
      <c r="B368" s="19" t="n">
        <f aca="true">NORMINV(RAND(),$B$6,$C$6)</f>
        <v>0.102106916254095</v>
      </c>
      <c r="C368" s="19" t="n">
        <f aca="true">MAX(0.25,NORMINV(RAND(),$B$7,$C$7))</f>
        <v>0.458841345781488</v>
      </c>
      <c r="D368" s="32" t="n">
        <f aca="true">MAX(0.07,NORMINV(RAND(),$B$8,$C$8))</f>
        <v>0.103236107749718</v>
      </c>
      <c r="E368" s="51" t="n">
        <f aca="true">MAX(8,NORMINV(RAND(),$B$9,$C$9))</f>
        <v>19.4352608620595</v>
      </c>
      <c r="F368" s="24" t="n">
        <f aca="false">$B$18*(1+(B368+$B$17)/2)^9</f>
        <v>19490.6530884487</v>
      </c>
      <c r="G368" s="24" t="n">
        <f aca="false">F368*C368</f>
        <v>8943.11749326391</v>
      </c>
      <c r="H368" s="24" t="n">
        <f aca="false">E368*G368/(1+D368)^9</f>
        <v>71789.8596102312</v>
      </c>
      <c r="I368" s="24" t="n">
        <f aca="false">$B$13*G368/$B$12*((1+$B$8)/(1+D368))^4.5</f>
        <v>22450.3741671284</v>
      </c>
      <c r="J368" s="24" t="n">
        <f aca="false">H368+I368-$B$14</f>
        <v>86802.633023935</v>
      </c>
      <c r="K368" s="43" t="n">
        <f aca="false">J368/$B$15</f>
        <v>453.040882170851</v>
      </c>
    </row>
    <row r="369" customFormat="false" ht="15" hidden="false" customHeight="false" outlineLevel="0" collapsed="false">
      <c r="A369" s="50" t="n">
        <v>329</v>
      </c>
      <c r="B369" s="19" t="n">
        <f aca="true">NORMINV(RAND(),$B$6,$C$6)</f>
        <v>0.0980291858635419</v>
      </c>
      <c r="C369" s="19" t="n">
        <f aca="true">MAX(0.25,NORMINV(RAND(),$B$7,$C$7))</f>
        <v>0.435421207825114</v>
      </c>
      <c r="D369" s="32" t="n">
        <f aca="true">MAX(0.07,NORMINV(RAND(),$B$8,$C$8))</f>
        <v>0.0907572066507666</v>
      </c>
      <c r="E369" s="51" t="n">
        <f aca="true">MAX(8,NORMINV(RAND(),$B$9,$C$9))</f>
        <v>16.2797464962587</v>
      </c>
      <c r="F369" s="24" t="n">
        <f aca="false">$B$18*(1+(B369+$B$17)/2)^9</f>
        <v>19162.3038650006</v>
      </c>
      <c r="G369" s="24" t="n">
        <f aca="false">F369*C369</f>
        <v>8343.67349361042</v>
      </c>
      <c r="H369" s="24" t="n">
        <f aca="false">E369*G369/(1+D369)^9</f>
        <v>62151.5722115639</v>
      </c>
      <c r="I369" s="24" t="n">
        <f aca="false">$B$13*G369/$B$12*((1+$B$8)/(1+D369))^4.5</f>
        <v>22045.6872195095</v>
      </c>
      <c r="J369" s="24" t="n">
        <f aca="false">H369+I369-$B$14</f>
        <v>76759.6586776487</v>
      </c>
      <c r="K369" s="43" t="n">
        <f aca="false">J369/$B$15</f>
        <v>400.624523369774</v>
      </c>
    </row>
    <row r="370" customFormat="false" ht="15" hidden="false" customHeight="false" outlineLevel="0" collapsed="false">
      <c r="A370" s="50" t="n">
        <v>330</v>
      </c>
      <c r="B370" s="19" t="n">
        <f aca="true">NORMINV(RAND(),$B$6,$C$6)</f>
        <v>0.101357988512422</v>
      </c>
      <c r="C370" s="19" t="n">
        <f aca="true">MAX(0.25,NORMINV(RAND(),$B$7,$C$7))</f>
        <v>0.447971465495774</v>
      </c>
      <c r="D370" s="32" t="n">
        <f aca="true">MAX(0.07,NORMINV(RAND(),$B$8,$C$8))</f>
        <v>0.0911722217464293</v>
      </c>
      <c r="E370" s="51" t="n">
        <f aca="true">MAX(8,NORMINV(RAND(),$B$9,$C$9))</f>
        <v>24.6408592834029</v>
      </c>
      <c r="F370" s="24" t="n">
        <f aca="false">$B$18*(1+(B370+$B$17)/2)^9</f>
        <v>19429.9752662515</v>
      </c>
      <c r="G370" s="24" t="n">
        <f aca="false">F370*C370</f>
        <v>8704.07449456931</v>
      </c>
      <c r="H370" s="24" t="n">
        <f aca="false">E370*G370/(1+D370)^9</f>
        <v>97799.9728816383</v>
      </c>
      <c r="I370" s="24" t="n">
        <f aca="false">$B$13*G370/$B$12*((1+$B$8)/(1+D370))^4.5</f>
        <v>22958.6048282931</v>
      </c>
      <c r="J370" s="24" t="n">
        <f aca="false">H370+I370-$B$14</f>
        <v>113320.976956507</v>
      </c>
      <c r="K370" s="43" t="n">
        <f aca="false">J370/$B$15</f>
        <v>591.445599981768</v>
      </c>
    </row>
    <row r="371" customFormat="false" ht="15" hidden="false" customHeight="false" outlineLevel="0" collapsed="false">
      <c r="A371" s="50" t="n">
        <v>331</v>
      </c>
      <c r="B371" s="19" t="n">
        <f aca="true">NORMINV(RAND(),$B$6,$C$6)</f>
        <v>0.0558639182469269</v>
      </c>
      <c r="C371" s="19" t="n">
        <f aca="true">MAX(0.25,NORMINV(RAND(),$B$7,$C$7))</f>
        <v>0.438133149466226</v>
      </c>
      <c r="D371" s="32" t="n">
        <f aca="true">MAX(0.07,NORMINV(RAND(),$B$8,$C$8))</f>
        <v>0.0998861237326349</v>
      </c>
      <c r="E371" s="51" t="n">
        <f aca="true">MAX(8,NORMINV(RAND(),$B$9,$C$9))</f>
        <v>17.978831275307</v>
      </c>
      <c r="F371" s="24" t="n">
        <f aca="false">$B$18*(1+(B371+$B$17)/2)^9</f>
        <v>16044.3264897162</v>
      </c>
      <c r="G371" s="24" t="n">
        <f aca="false">F371*C371</f>
        <v>7029.55129600375</v>
      </c>
      <c r="H371" s="24" t="n">
        <f aca="false">E371*G371/(1+D371)^9</f>
        <v>53648.7434322677</v>
      </c>
      <c r="I371" s="24" t="n">
        <f aca="false">$B$13*G371/$B$12*((1+$B$8)/(1+D371))^4.5</f>
        <v>17889.8047767629</v>
      </c>
      <c r="J371" s="24" t="n">
        <f aca="false">H371+I371-$B$14</f>
        <v>64100.947455606</v>
      </c>
      <c r="K371" s="43" t="n">
        <f aca="false">J371/$B$15</f>
        <v>334.556093192098</v>
      </c>
    </row>
    <row r="372" customFormat="false" ht="15" hidden="false" customHeight="false" outlineLevel="0" collapsed="false">
      <c r="A372" s="50" t="n">
        <v>332</v>
      </c>
      <c r="B372" s="19" t="n">
        <f aca="true">NORMINV(RAND(),$B$6,$C$6)</f>
        <v>0.0720968971433406</v>
      </c>
      <c r="C372" s="19" t="n">
        <f aca="true">MAX(0.25,NORMINV(RAND(),$B$7,$C$7))</f>
        <v>0.494947160592394</v>
      </c>
      <c r="D372" s="32" t="n">
        <f aca="true">MAX(0.07,NORMINV(RAND(),$B$8,$C$8))</f>
        <v>0.0933968860492939</v>
      </c>
      <c r="E372" s="51" t="n">
        <f aca="true">MAX(8,NORMINV(RAND(),$B$9,$C$9))</f>
        <v>17.9256082221211</v>
      </c>
      <c r="F372" s="24" t="n">
        <f aca="false">$B$18*(1+(B372+$B$17)/2)^9</f>
        <v>17186.7729859345</v>
      </c>
      <c r="G372" s="24" t="n">
        <f aca="false">F372*C372</f>
        <v>8506.54448913433</v>
      </c>
      <c r="H372" s="24" t="n">
        <f aca="false">E372*G372/(1+D372)^9</f>
        <v>68269.478242868</v>
      </c>
      <c r="I372" s="24" t="n">
        <f aca="false">$B$13*G372/$B$12*((1+$B$8)/(1+D372))^4.5</f>
        <v>22232.8777961963</v>
      </c>
      <c r="J372" s="24" t="n">
        <f aca="false">H372+I372-$B$14</f>
        <v>83064.7552856396</v>
      </c>
      <c r="K372" s="43" t="n">
        <f aca="false">J372/$B$15</f>
        <v>433.532125707931</v>
      </c>
    </row>
    <row r="373" customFormat="false" ht="15" hidden="false" customHeight="false" outlineLevel="0" collapsed="false">
      <c r="A373" s="50" t="n">
        <v>333</v>
      </c>
      <c r="B373" s="19" t="n">
        <f aca="true">NORMINV(RAND(),$B$6,$C$6)</f>
        <v>0.144889293184539</v>
      </c>
      <c r="C373" s="19" t="n">
        <f aca="true">MAX(0.25,NORMINV(RAND(),$B$7,$C$7))</f>
        <v>0.385294265576326</v>
      </c>
      <c r="D373" s="32" t="n">
        <f aca="true">MAX(0.07,NORMINV(RAND(),$B$8,$C$8))</f>
        <v>0.106553366082394</v>
      </c>
      <c r="E373" s="51" t="n">
        <f aca="true">MAX(8,NORMINV(RAND(),$B$9,$C$9))</f>
        <v>19.6901877303018</v>
      </c>
      <c r="F373" s="24" t="n">
        <f aca="false">$B$18*(1+(B373+$B$17)/2)^9</f>
        <v>23249.4666460027</v>
      </c>
      <c r="G373" s="24" t="n">
        <f aca="false">F373*C373</f>
        <v>8957.8861764129</v>
      </c>
      <c r="H373" s="24" t="n">
        <f aca="false">E373*G373/(1+D373)^9</f>
        <v>70909.4511708914</v>
      </c>
      <c r="I373" s="24" t="n">
        <f aca="false">$B$13*G373/$B$12*((1+$B$8)/(1+D373))^4.5</f>
        <v>22185.6753651503</v>
      </c>
      <c r="J373" s="24" t="n">
        <f aca="false">H373+I373-$B$14</f>
        <v>85657.5257826171</v>
      </c>
      <c r="K373" s="43" t="n">
        <f aca="false">J373/$B$15</f>
        <v>447.064330806979</v>
      </c>
    </row>
    <row r="374" customFormat="false" ht="15" hidden="false" customHeight="false" outlineLevel="0" collapsed="false">
      <c r="A374" s="50" t="n">
        <v>334</v>
      </c>
      <c r="B374" s="19" t="n">
        <f aca="true">NORMINV(RAND(),$B$6,$C$6)</f>
        <v>0.0766009080002245</v>
      </c>
      <c r="C374" s="19" t="n">
        <f aca="true">MAX(0.25,NORMINV(RAND(),$B$7,$C$7))</f>
        <v>0.455614421112249</v>
      </c>
      <c r="D374" s="32" t="n">
        <f aca="true">MAX(0.07,NORMINV(RAND(),$B$8,$C$8))</f>
        <v>0.104597647979627</v>
      </c>
      <c r="E374" s="51" t="n">
        <f aca="true">MAX(8,NORMINV(RAND(),$B$9,$C$9))</f>
        <v>19.2667214691627</v>
      </c>
      <c r="F374" s="24" t="n">
        <f aca="false">$B$18*(1+(B374+$B$17)/2)^9</f>
        <v>17516.3080779172</v>
      </c>
      <c r="G374" s="24" t="n">
        <f aca="false">F374*C374</f>
        <v>7980.68256494405</v>
      </c>
      <c r="H374" s="24" t="n">
        <f aca="false">E374*G374/(1+D374)^9</f>
        <v>62807.4018890707</v>
      </c>
      <c r="I374" s="24" t="n">
        <f aca="false">$B$13*G374/$B$12*((1+$B$8)/(1+D374))^4.5</f>
        <v>19923.4375839668</v>
      </c>
      <c r="J374" s="24" t="n">
        <f aca="false">H374+I374-$B$14</f>
        <v>75293.2387196128</v>
      </c>
      <c r="K374" s="43" t="n">
        <f aca="false">J374/$B$15</f>
        <v>392.97097452825</v>
      </c>
    </row>
    <row r="375" customFormat="false" ht="15" hidden="false" customHeight="false" outlineLevel="0" collapsed="false">
      <c r="A375" s="50" t="n">
        <v>335</v>
      </c>
      <c r="B375" s="19" t="n">
        <f aca="true">NORMINV(RAND(),$B$6,$C$6)</f>
        <v>0.0870140563137592</v>
      </c>
      <c r="C375" s="19" t="n">
        <f aca="true">MAX(0.25,NORMINV(RAND(),$B$7,$C$7))</f>
        <v>0.445995115848018</v>
      </c>
      <c r="D375" s="32" t="n">
        <f aca="true">MAX(0.07,NORMINV(RAND(),$B$8,$C$8))</f>
        <v>0.108300354696067</v>
      </c>
      <c r="E375" s="51" t="n">
        <f aca="true">MAX(8,NORMINV(RAND(),$B$9,$C$9))</f>
        <v>10.9892564234428</v>
      </c>
      <c r="F375" s="24" t="n">
        <f aca="false">$B$18*(1+(B375+$B$17)/2)^9</f>
        <v>18299.780771908</v>
      </c>
      <c r="G375" s="24" t="n">
        <f aca="false">F375*C375</f>
        <v>8161.61284536046</v>
      </c>
      <c r="H375" s="24" t="n">
        <f aca="false">E375*G375/(1+D375)^9</f>
        <v>35548.9720525833</v>
      </c>
      <c r="I375" s="24" t="n">
        <f aca="false">$B$13*G375/$B$12*((1+$B$8)/(1+D375))^4.5</f>
        <v>20070.588878917</v>
      </c>
      <c r="J375" s="24" t="n">
        <f aca="false">H375+I375-$B$14</f>
        <v>48181.9601780756</v>
      </c>
      <c r="K375" s="43" t="n">
        <f aca="false">J375/$B$15</f>
        <v>251.471608445071</v>
      </c>
    </row>
    <row r="376" customFormat="false" ht="15" hidden="false" customHeight="false" outlineLevel="0" collapsed="false">
      <c r="A376" s="50" t="n">
        <v>336</v>
      </c>
      <c r="B376" s="19" t="n">
        <f aca="true">NORMINV(RAND(),$B$6,$C$6)</f>
        <v>0.108294443723092</v>
      </c>
      <c r="C376" s="19" t="n">
        <f aca="true">MAX(0.25,NORMINV(RAND(),$B$7,$C$7))</f>
        <v>0.448383921182428</v>
      </c>
      <c r="D376" s="32" t="n">
        <f aca="true">MAX(0.07,NORMINV(RAND(),$B$8,$C$8))</f>
        <v>0.0980643782145768</v>
      </c>
      <c r="E376" s="51" t="n">
        <f aca="true">MAX(8,NORMINV(RAND(),$B$9,$C$9))</f>
        <v>27.0285280454306</v>
      </c>
      <c r="F376" s="24" t="n">
        <f aca="false">$B$18*(1+(B376+$B$17)/2)^9</f>
        <v>19998.444160433</v>
      </c>
      <c r="G376" s="24" t="n">
        <f aca="false">F376*C376</f>
        <v>8966.98081020279</v>
      </c>
      <c r="H376" s="24" t="n">
        <f aca="false">E376*G376/(1+D376)^9</f>
        <v>104428.34806686</v>
      </c>
      <c r="I376" s="24" t="n">
        <f aca="false">$B$13*G376/$B$12*((1+$B$8)/(1+D376))^4.5</f>
        <v>22991.3184607891</v>
      </c>
      <c r="J376" s="24" t="n">
        <f aca="false">H376+I376-$B$14</f>
        <v>119982.065774224</v>
      </c>
      <c r="K376" s="43" t="n">
        <f aca="false">J376/$B$15</f>
        <v>626.211199239167</v>
      </c>
    </row>
    <row r="377" customFormat="false" ht="15" hidden="false" customHeight="false" outlineLevel="0" collapsed="false">
      <c r="A377" s="50" t="n">
        <v>337</v>
      </c>
      <c r="B377" s="19" t="n">
        <f aca="true">NORMINV(RAND(),$B$6,$C$6)</f>
        <v>0.124803406328845</v>
      </c>
      <c r="C377" s="19" t="n">
        <f aca="true">MAX(0.25,NORMINV(RAND(),$B$7,$C$7))</f>
        <v>0.498977700511276</v>
      </c>
      <c r="D377" s="32" t="n">
        <f aca="true">MAX(0.07,NORMINV(RAND(),$B$8,$C$8))</f>
        <v>0.0977056704952178</v>
      </c>
      <c r="E377" s="51" t="n">
        <f aca="true">MAX(8,NORMINV(RAND(),$B$9,$C$9))</f>
        <v>14.2779063502605</v>
      </c>
      <c r="F377" s="24" t="n">
        <f aca="false">$B$18*(1+(B377+$B$17)/2)^9</f>
        <v>21411.306853486</v>
      </c>
      <c r="G377" s="24" t="n">
        <f aca="false">F377*C377</f>
        <v>10683.7646586938</v>
      </c>
      <c r="H377" s="24" t="n">
        <f aca="false">E377*G377/(1+D377)^9</f>
        <v>65919.7683927457</v>
      </c>
      <c r="I377" s="24" t="n">
        <f aca="false">$B$13*G377/$B$12*((1+$B$8)/(1+D377))^4.5</f>
        <v>27433.4532347568</v>
      </c>
      <c r="J377" s="24" t="n">
        <f aca="false">H377+I377-$B$14</f>
        <v>85915.6208740778</v>
      </c>
      <c r="K377" s="43" t="n">
        <f aca="false">J377/$B$15</f>
        <v>448.411382432557</v>
      </c>
    </row>
    <row r="378" customFormat="false" ht="15" hidden="false" customHeight="false" outlineLevel="0" collapsed="false">
      <c r="A378" s="50" t="n">
        <v>338</v>
      </c>
      <c r="B378" s="19" t="n">
        <f aca="true">NORMINV(RAND(),$B$6,$C$6)</f>
        <v>0.0495271138788466</v>
      </c>
      <c r="C378" s="19" t="n">
        <f aca="true">MAX(0.25,NORMINV(RAND(),$B$7,$C$7))</f>
        <v>0.434092400204699</v>
      </c>
      <c r="D378" s="32" t="n">
        <f aca="true">MAX(0.07,NORMINV(RAND(),$B$8,$C$8))</f>
        <v>0.0921619954427377</v>
      </c>
      <c r="E378" s="51" t="n">
        <f aca="true">MAX(8,NORMINV(RAND(),$B$9,$C$9))</f>
        <v>20.3122425060278</v>
      </c>
      <c r="F378" s="24" t="n">
        <f aca="false">$B$18*(1+(B378+$B$17)/2)^9</f>
        <v>15617.0105358563</v>
      </c>
      <c r="G378" s="24" t="n">
        <f aca="false">F378*C378</f>
        <v>6779.22558753194</v>
      </c>
      <c r="H378" s="24" t="n">
        <f aca="false">E378*G378/(1+D378)^9</f>
        <v>62280.833782818</v>
      </c>
      <c r="I378" s="24" t="n">
        <f aca="false">$B$13*G378/$B$12*((1+$B$8)/(1+D378))^4.5</f>
        <v>17808.6527555613</v>
      </c>
      <c r="J378" s="24" t="n">
        <f aca="false">H378+I378-$B$14</f>
        <v>72651.8857849547</v>
      </c>
      <c r="K378" s="43" t="n">
        <f aca="false">J378/$B$15</f>
        <v>379.185207645901</v>
      </c>
    </row>
    <row r="379" customFormat="false" ht="15" hidden="false" customHeight="false" outlineLevel="0" collapsed="false">
      <c r="A379" s="50" t="n">
        <v>339</v>
      </c>
      <c r="B379" s="19" t="n">
        <f aca="true">NORMINV(RAND(),$B$6,$C$6)</f>
        <v>0.101432221672947</v>
      </c>
      <c r="C379" s="19" t="n">
        <f aca="true">MAX(0.25,NORMINV(RAND(),$B$7,$C$7))</f>
        <v>0.448668798596058</v>
      </c>
      <c r="D379" s="32" t="n">
        <f aca="true">MAX(0.07,NORMINV(RAND(),$B$8,$C$8))</f>
        <v>0.10120095619002</v>
      </c>
      <c r="E379" s="51" t="n">
        <f aca="true">MAX(8,NORMINV(RAND(),$B$9,$C$9))</f>
        <v>18.7390848020973</v>
      </c>
      <c r="F379" s="24" t="n">
        <f aca="false">$B$18*(1+(B379+$B$17)/2)^9</f>
        <v>19435.9821007734</v>
      </c>
      <c r="G379" s="24" t="n">
        <f aca="false">F379*C379</f>
        <v>8720.31873868851</v>
      </c>
      <c r="H379" s="24" t="n">
        <f aca="false">E379*G379/(1+D379)^9</f>
        <v>68624.8672533515</v>
      </c>
      <c r="I379" s="24" t="n">
        <f aca="false">$B$13*G379/$B$12*((1+$B$8)/(1+D379))^4.5</f>
        <v>22073.7185278294</v>
      </c>
      <c r="J379" s="24" t="n">
        <f aca="false">H379+I379-$B$14</f>
        <v>83260.9850277563</v>
      </c>
      <c r="K379" s="43" t="n">
        <f aca="false">J379/$B$15</f>
        <v>434.556289288916</v>
      </c>
    </row>
    <row r="380" customFormat="false" ht="15" hidden="false" customHeight="false" outlineLevel="0" collapsed="false">
      <c r="A380" s="50" t="n">
        <v>340</v>
      </c>
      <c r="B380" s="19" t="n">
        <f aca="true">NORMINV(RAND(),$B$6,$C$6)</f>
        <v>0.128954047654526</v>
      </c>
      <c r="C380" s="19" t="n">
        <f aca="true">MAX(0.25,NORMINV(RAND(),$B$7,$C$7))</f>
        <v>0.49610735569563</v>
      </c>
      <c r="D380" s="32" t="n">
        <f aca="true">MAX(0.07,NORMINV(RAND(),$B$8,$C$8))</f>
        <v>0.0949320973499998</v>
      </c>
      <c r="E380" s="51" t="n">
        <f aca="true">MAX(8,NORMINV(RAND(),$B$9,$C$9))</f>
        <v>19.175104025391</v>
      </c>
      <c r="F380" s="24" t="n">
        <f aca="false">$B$18*(1+(B380+$B$17)/2)^9</f>
        <v>21780.1917405063</v>
      </c>
      <c r="G380" s="24" t="n">
        <f aca="false">F380*C380</f>
        <v>10805.3133309264</v>
      </c>
      <c r="H380" s="24" t="n">
        <f aca="false">E380*G380/(1+D380)^9</f>
        <v>91598.9320151687</v>
      </c>
      <c r="I380" s="24" t="n">
        <f aca="false">$B$13*G380/$B$12*((1+$B$8)/(1+D380))^4.5</f>
        <v>28063.2376182096</v>
      </c>
      <c r="J380" s="24" t="n">
        <f aca="false">H380+I380-$B$14</f>
        <v>112224.568879954</v>
      </c>
      <c r="K380" s="43" t="n">
        <f aca="false">J380/$B$15</f>
        <v>585.723219623975</v>
      </c>
    </row>
    <row r="381" customFormat="false" ht="15" hidden="false" customHeight="false" outlineLevel="0" collapsed="false">
      <c r="A381" s="50" t="n">
        <v>341</v>
      </c>
      <c r="B381" s="19" t="n">
        <f aca="true">NORMINV(RAND(),$B$6,$C$6)</f>
        <v>0.120890887099381</v>
      </c>
      <c r="C381" s="19" t="n">
        <f aca="true">MAX(0.25,NORMINV(RAND(),$B$7,$C$7))</f>
        <v>0.476488464412533</v>
      </c>
      <c r="D381" s="32" t="n">
        <f aca="true">MAX(0.07,NORMINV(RAND(),$B$8,$C$8))</f>
        <v>0.0920880022603529</v>
      </c>
      <c r="E381" s="51" t="n">
        <f aca="true">MAX(8,NORMINV(RAND(),$B$9,$C$9))</f>
        <v>15.6971977238216</v>
      </c>
      <c r="F381" s="24" t="n">
        <f aca="false">$B$18*(1+(B381+$B$17)/2)^9</f>
        <v>21068.6805105362</v>
      </c>
      <c r="G381" s="24" t="n">
        <f aca="false">F381*C381</f>
        <v>10038.9832236637</v>
      </c>
      <c r="H381" s="24" t="n">
        <f aca="false">E381*G381/(1+D381)^9</f>
        <v>71317.0111167385</v>
      </c>
      <c r="I381" s="24" t="n">
        <f aca="false">$B$13*G381/$B$12*((1+$B$8)/(1+D381))^4.5</f>
        <v>26379.8983082271</v>
      </c>
      <c r="J381" s="24" t="n">
        <f aca="false">H381+I381-$B$14</f>
        <v>90259.3086715409</v>
      </c>
      <c r="K381" s="43" t="n">
        <f aca="false">J381/$B$15</f>
        <v>471.08198680345</v>
      </c>
    </row>
    <row r="382" customFormat="false" ht="15" hidden="false" customHeight="false" outlineLevel="0" collapsed="false">
      <c r="A382" s="50" t="n">
        <v>342</v>
      </c>
      <c r="B382" s="19" t="n">
        <f aca="true">NORMINV(RAND(),$B$6,$C$6)</f>
        <v>0.103284097639065</v>
      </c>
      <c r="C382" s="19" t="n">
        <f aca="true">MAX(0.25,NORMINV(RAND(),$B$7,$C$7))</f>
        <v>0.435605168730858</v>
      </c>
      <c r="D382" s="32" t="n">
        <f aca="true">MAX(0.07,NORMINV(RAND(),$B$8,$C$8))</f>
        <v>0.0972445319716777</v>
      </c>
      <c r="E382" s="51" t="n">
        <f aca="true">MAX(8,NORMINV(RAND(),$B$9,$C$9))</f>
        <v>18.69163576317</v>
      </c>
      <c r="F382" s="24" t="n">
        <f aca="false">$B$18*(1+(B382+$B$17)/2)^9</f>
        <v>19586.368333781</v>
      </c>
      <c r="G382" s="24" t="n">
        <f aca="false">F382*C382</f>
        <v>8531.92328286139</v>
      </c>
      <c r="H382" s="24" t="n">
        <f aca="false">E382*G382/(1+D382)^9</f>
        <v>69177.2707746758</v>
      </c>
      <c r="I382" s="24" t="n">
        <f aca="false">$B$13*G382/$B$12*((1+$B$8)/(1+D382))^4.5</f>
        <v>21949.4821478163</v>
      </c>
      <c r="J382" s="24" t="n">
        <f aca="false">H382+I382-$B$14</f>
        <v>83689.1521690675</v>
      </c>
      <c r="K382" s="43" t="n">
        <f aca="false">J382/$B$15</f>
        <v>436.790982093254</v>
      </c>
    </row>
    <row r="383" customFormat="false" ht="15" hidden="false" customHeight="false" outlineLevel="0" collapsed="false">
      <c r="A383" s="50" t="n">
        <v>343</v>
      </c>
      <c r="B383" s="19" t="n">
        <f aca="true">NORMINV(RAND(),$B$6,$C$6)</f>
        <v>0.101678010425285</v>
      </c>
      <c r="C383" s="19" t="n">
        <f aca="true">MAX(0.25,NORMINV(RAND(),$B$7,$C$7))</f>
        <v>0.449529840557065</v>
      </c>
      <c r="D383" s="32" t="n">
        <f aca="true">MAX(0.07,NORMINV(RAND(),$B$8,$C$8))</f>
        <v>0.0986540244591393</v>
      </c>
      <c r="E383" s="51" t="n">
        <f aca="true">MAX(8,NORMINV(RAND(),$B$9,$C$9))</f>
        <v>16.6688026690695</v>
      </c>
      <c r="F383" s="24" t="n">
        <f aca="false">$B$18*(1+(B383+$B$17)/2)^9</f>
        <v>19455.8827358194</v>
      </c>
      <c r="G383" s="24" t="n">
        <f aca="false">F383*C383</f>
        <v>8745.99986412988</v>
      </c>
      <c r="H383" s="24" t="n">
        <f aca="false">E383*G383/(1+D383)^9</f>
        <v>62512.2762906433</v>
      </c>
      <c r="I383" s="24" t="n">
        <f aca="false">$B$13*G383/$B$12*((1+$B$8)/(1+D383))^4.5</f>
        <v>22370.6157149446</v>
      </c>
      <c r="J383" s="24" t="n">
        <f aca="false">H383+I383-$B$14</f>
        <v>77445.2912521633</v>
      </c>
      <c r="K383" s="43" t="n">
        <f aca="false">J383/$B$15</f>
        <v>404.202981483107</v>
      </c>
    </row>
    <row r="384" customFormat="false" ht="15" hidden="false" customHeight="false" outlineLevel="0" collapsed="false">
      <c r="A384" s="50" t="n">
        <v>344</v>
      </c>
      <c r="B384" s="19" t="n">
        <f aca="true">NORMINV(RAND(),$B$6,$C$6)</f>
        <v>0.097436071163517</v>
      </c>
      <c r="C384" s="19" t="n">
        <f aca="true">MAX(0.25,NORMINV(RAND(),$B$7,$C$7))</f>
        <v>0.437614092183944</v>
      </c>
      <c r="D384" s="32" t="n">
        <f aca="true">MAX(0.07,NORMINV(RAND(),$B$8,$C$8))</f>
        <v>0.0976153084558373</v>
      </c>
      <c r="E384" s="51" t="n">
        <f aca="true">MAX(8,NORMINV(RAND(),$B$9,$C$9))</f>
        <v>14.4893911041154</v>
      </c>
      <c r="F384" s="24" t="n">
        <f aca="false">$B$18*(1+(B384+$B$17)/2)^9</f>
        <v>19114.956675755</v>
      </c>
      <c r="G384" s="24" t="n">
        <f aca="false">F384*C384</f>
        <v>8364.97441279592</v>
      </c>
      <c r="H384" s="24" t="n">
        <f aca="false">E384*G384/(1+D384)^9</f>
        <v>52415.9368443833</v>
      </c>
      <c r="I384" s="24" t="n">
        <f aca="false">$B$13*G384/$B$12*((1+$B$8)/(1+D384))^4.5</f>
        <v>21487.2910943447</v>
      </c>
      <c r="J384" s="24" t="n">
        <f aca="false">H384+I384-$B$14</f>
        <v>66465.6271853033</v>
      </c>
      <c r="K384" s="43" t="n">
        <f aca="false">J384/$B$15</f>
        <v>346.897845434777</v>
      </c>
    </row>
    <row r="385" customFormat="false" ht="15" hidden="false" customHeight="false" outlineLevel="0" collapsed="false">
      <c r="A385" s="50" t="n">
        <v>345</v>
      </c>
      <c r="B385" s="19" t="n">
        <f aca="true">NORMINV(RAND(),$B$6,$C$6)</f>
        <v>0.079963317853541</v>
      </c>
      <c r="C385" s="19" t="n">
        <f aca="true">MAX(0.25,NORMINV(RAND(),$B$7,$C$7))</f>
        <v>0.538671564534277</v>
      </c>
      <c r="D385" s="32" t="n">
        <f aca="true">MAX(0.07,NORMINV(RAND(),$B$8,$C$8))</f>
        <v>0.102207769595974</v>
      </c>
      <c r="E385" s="51" t="n">
        <f aca="true">MAX(8,NORMINV(RAND(),$B$9,$C$9))</f>
        <v>23.1117426345669</v>
      </c>
      <c r="F385" s="24" t="n">
        <f aca="false">$B$18*(1+(B385+$B$17)/2)^9</f>
        <v>17765.9672847496</v>
      </c>
      <c r="G385" s="24" t="n">
        <f aca="false">F385*C385</f>
        <v>9570.02139274084</v>
      </c>
      <c r="H385" s="24" t="n">
        <f aca="false">E385*G385/(1+D385)^9</f>
        <v>92124.3397755622</v>
      </c>
      <c r="I385" s="24" t="n">
        <f aca="false">$B$13*G385/$B$12*((1+$B$8)/(1+D385))^4.5</f>
        <v>24125.1516792204</v>
      </c>
      <c r="J385" s="24" t="n">
        <f aca="false">H385+I385-$B$14</f>
        <v>108811.890701358</v>
      </c>
      <c r="K385" s="43" t="n">
        <f aca="false">J385/$B$15</f>
        <v>567.911746875564</v>
      </c>
    </row>
    <row r="386" customFormat="false" ht="15" hidden="false" customHeight="false" outlineLevel="0" collapsed="false">
      <c r="A386" s="50" t="n">
        <v>346</v>
      </c>
      <c r="B386" s="19" t="n">
        <f aca="true">NORMINV(RAND(),$B$6,$C$6)</f>
        <v>0.116879984113989</v>
      </c>
      <c r="C386" s="19" t="n">
        <f aca="true">MAX(0.25,NORMINV(RAND(),$B$7,$C$7))</f>
        <v>0.450414039613354</v>
      </c>
      <c r="D386" s="32" t="n">
        <f aca="true">MAX(0.07,NORMINV(RAND(),$B$8,$C$8))</f>
        <v>0.104398560622965</v>
      </c>
      <c r="E386" s="51" t="n">
        <f aca="true">MAX(8,NORMINV(RAND(),$B$9,$C$9))</f>
        <v>20.365239910032</v>
      </c>
      <c r="F386" s="24" t="n">
        <f aca="false">$B$18*(1+(B386+$B$17)/2)^9</f>
        <v>20722.5059372631</v>
      </c>
      <c r="G386" s="24" t="n">
        <f aca="false">F386*C386</f>
        <v>9333.7076101144</v>
      </c>
      <c r="H386" s="24" t="n">
        <f aca="false">E386*G386/(1+D386)^9</f>
        <v>77769.8452971999</v>
      </c>
      <c r="I386" s="24" t="n">
        <f aca="false">$B$13*G386/$B$12*((1+$B$8)/(1+D386))^4.5</f>
        <v>23320.1155789455</v>
      </c>
      <c r="J386" s="24" t="n">
        <f aca="false">H386+I386-$B$14</f>
        <v>93652.3601227207</v>
      </c>
      <c r="K386" s="43" t="n">
        <f aca="false">J386/$B$15</f>
        <v>488.791023605014</v>
      </c>
    </row>
    <row r="387" customFormat="false" ht="15" hidden="false" customHeight="false" outlineLevel="0" collapsed="false">
      <c r="A387" s="50" t="n">
        <v>347</v>
      </c>
      <c r="B387" s="19" t="n">
        <f aca="true">NORMINV(RAND(),$B$6,$C$6)</f>
        <v>0.0980505013551582</v>
      </c>
      <c r="C387" s="19" t="n">
        <f aca="true">MAX(0.25,NORMINV(RAND(),$B$7,$C$7))</f>
        <v>0.490308339915463</v>
      </c>
      <c r="D387" s="32" t="n">
        <f aca="true">MAX(0.07,NORMINV(RAND(),$B$8,$C$8))</f>
        <v>0.0950749127765019</v>
      </c>
      <c r="E387" s="51" t="n">
        <f aca="true">MAX(8,NORMINV(RAND(),$B$9,$C$9))</f>
        <v>23.0669058042342</v>
      </c>
      <c r="F387" s="24" t="n">
        <f aca="false">$B$18*(1+(B387+$B$17)/2)^9</f>
        <v>19164.0073779156</v>
      </c>
      <c r="G387" s="24" t="n">
        <f aca="false">F387*C387</f>
        <v>9396.27264359346</v>
      </c>
      <c r="H387" s="24" t="n">
        <f aca="false">E387*G387/(1+D387)^9</f>
        <v>95708.494348492</v>
      </c>
      <c r="I387" s="24" t="n">
        <f aca="false">$B$13*G387/$B$12*((1+$B$8)/(1+D387))^4.5</f>
        <v>24389.400551323</v>
      </c>
      <c r="J387" s="24" t="n">
        <f aca="false">H387+I387-$B$14</f>
        <v>112660.29414639</v>
      </c>
      <c r="K387" s="43" t="n">
        <f aca="false">J387/$B$15</f>
        <v>587.997359845461</v>
      </c>
    </row>
    <row r="388" customFormat="false" ht="15" hidden="false" customHeight="false" outlineLevel="0" collapsed="false">
      <c r="A388" s="50" t="n">
        <v>348</v>
      </c>
      <c r="B388" s="19" t="n">
        <f aca="true">NORMINV(RAND(),$B$6,$C$6)</f>
        <v>0.0531992554003503</v>
      </c>
      <c r="C388" s="19" t="n">
        <f aca="true">MAX(0.25,NORMINV(RAND(),$B$7,$C$7))</f>
        <v>0.484168772729974</v>
      </c>
      <c r="D388" s="32" t="n">
        <f aca="true">MAX(0.07,NORMINV(RAND(),$B$8,$C$8))</f>
        <v>0.0855619838250807</v>
      </c>
      <c r="E388" s="51" t="n">
        <f aca="true">MAX(8,NORMINV(RAND(),$B$9,$C$9))</f>
        <v>16.4580529284938</v>
      </c>
      <c r="F388" s="24" t="n">
        <f aca="false">$B$18*(1+(B388+$B$17)/2)^9</f>
        <v>15863.3876926199</v>
      </c>
      <c r="G388" s="24" t="n">
        <f aca="false">F388*C388</f>
        <v>7680.55695047555</v>
      </c>
      <c r="H388" s="24" t="n">
        <f aca="false">E388*G388/(1+D388)^9</f>
        <v>60378.1127877129</v>
      </c>
      <c r="I388" s="24" t="n">
        <f aca="false">$B$13*G388/$B$12*((1+$B$8)/(1+D388))^4.5</f>
        <v>20734.3128475922</v>
      </c>
      <c r="J388" s="24" t="n">
        <f aca="false">H388+I388-$B$14</f>
        <v>73674.8248818804</v>
      </c>
      <c r="K388" s="43" t="n">
        <f aca="false">J388/$B$15</f>
        <v>384.524138214407</v>
      </c>
    </row>
    <row r="389" customFormat="false" ht="15" hidden="false" customHeight="false" outlineLevel="0" collapsed="false">
      <c r="A389" s="50" t="n">
        <v>349</v>
      </c>
      <c r="B389" s="19" t="n">
        <f aca="true">NORMINV(RAND(),$B$6,$C$6)</f>
        <v>0.125454253968263</v>
      </c>
      <c r="C389" s="19" t="n">
        <f aca="true">MAX(0.25,NORMINV(RAND(),$B$7,$C$7))</f>
        <v>0.412841065046313</v>
      </c>
      <c r="D389" s="32" t="n">
        <f aca="true">MAX(0.07,NORMINV(RAND(),$B$8,$C$8))</f>
        <v>0.100921811205267</v>
      </c>
      <c r="E389" s="51" t="n">
        <f aca="true">MAX(8,NORMINV(RAND(),$B$9,$C$9))</f>
        <v>16.0747616870022</v>
      </c>
      <c r="F389" s="24" t="n">
        <f aca="false">$B$18*(1+(B389+$B$17)/2)^9</f>
        <v>21468.7806925097</v>
      </c>
      <c r="G389" s="24" t="n">
        <f aca="false">F389*C389</f>
        <v>8863.19428634142</v>
      </c>
      <c r="H389" s="24" t="n">
        <f aca="false">E389*G389/(1+D389)^9</f>
        <v>59968.9616182488</v>
      </c>
      <c r="I389" s="24" t="n">
        <f aca="false">$B$13*G389/$B$12*((1+$B$8)/(1+D389))^4.5</f>
        <v>22460.9891452793</v>
      </c>
      <c r="J389" s="24" t="n">
        <f aca="false">H389+I389-$B$14</f>
        <v>74992.3500101034</v>
      </c>
      <c r="K389" s="43" t="n">
        <f aca="false">J389/$B$15</f>
        <v>391.400574165467</v>
      </c>
    </row>
    <row r="390" customFormat="false" ht="15" hidden="false" customHeight="false" outlineLevel="0" collapsed="false">
      <c r="A390" s="50" t="n">
        <v>350</v>
      </c>
      <c r="B390" s="19" t="n">
        <f aca="true">NORMINV(RAND(),$B$6,$C$6)</f>
        <v>0.128080017238442</v>
      </c>
      <c r="C390" s="19" t="n">
        <f aca="true">MAX(0.25,NORMINV(RAND(),$B$7,$C$7))</f>
        <v>0.472246956558428</v>
      </c>
      <c r="D390" s="32" t="n">
        <f aca="true">MAX(0.07,NORMINV(RAND(),$B$8,$C$8))</f>
        <v>0.0995454035683604</v>
      </c>
      <c r="E390" s="51" t="n">
        <f aca="true">MAX(8,NORMINV(RAND(),$B$9,$C$9))</f>
        <v>22.375444218853</v>
      </c>
      <c r="F390" s="24" t="n">
        <f aca="false">$B$18*(1+(B390+$B$17)/2)^9</f>
        <v>21702.0468544825</v>
      </c>
      <c r="G390" s="24" t="n">
        <f aca="false">F390*C390</f>
        <v>10248.7255781178</v>
      </c>
      <c r="H390" s="24" t="n">
        <f aca="false">E390*G390/(1+D390)^9</f>
        <v>97616.4532134198</v>
      </c>
      <c r="I390" s="24" t="n">
        <f aca="false">$B$13*G390/$B$12*((1+$B$8)/(1+D390))^4.5</f>
        <v>26118.8085208743</v>
      </c>
      <c r="J390" s="24" t="n">
        <f aca="false">H390+I390-$B$14</f>
        <v>116297.660980869</v>
      </c>
      <c r="K390" s="43" t="n">
        <f aca="false">J390/$B$15</f>
        <v>606.981529127711</v>
      </c>
    </row>
    <row r="391" customFormat="false" ht="15" hidden="false" customHeight="false" outlineLevel="0" collapsed="false">
      <c r="A391" s="50" t="n">
        <v>351</v>
      </c>
      <c r="B391" s="19" t="n">
        <f aca="true">NORMINV(RAND(),$B$6,$C$6)</f>
        <v>0.114010485618243</v>
      </c>
      <c r="C391" s="19" t="n">
        <f aca="true">MAX(0.25,NORMINV(RAND(),$B$7,$C$7))</f>
        <v>0.463093353364423</v>
      </c>
      <c r="D391" s="32" t="n">
        <f aca="true">MAX(0.07,NORMINV(RAND(),$B$8,$C$8))</f>
        <v>0.0846399859990604</v>
      </c>
      <c r="E391" s="51" t="n">
        <f aca="true">MAX(8,NORMINV(RAND(),$B$9,$C$9))</f>
        <v>22.7053162183156</v>
      </c>
      <c r="F391" s="24" t="n">
        <f aca="false">$B$18*(1+(B391+$B$17)/2)^9</f>
        <v>20477.956082474</v>
      </c>
      <c r="G391" s="24" t="n">
        <f aca="false">F391*C391</f>
        <v>9483.20535228227</v>
      </c>
      <c r="H391" s="24" t="n">
        <f aca="false">E391*G391/(1+D391)^9</f>
        <v>103636.37435605</v>
      </c>
      <c r="I391" s="24" t="n">
        <f aca="false">$B$13*G391/$B$12*((1+$B$8)/(1+D391))^4.5</f>
        <v>25698.7888468555</v>
      </c>
      <c r="J391" s="24" t="n">
        <f aca="false">H391+I391-$B$14</f>
        <v>121897.562449481</v>
      </c>
      <c r="K391" s="43" t="n">
        <f aca="false">J391/$B$15</f>
        <v>636.208572283304</v>
      </c>
    </row>
    <row r="392" customFormat="false" ht="15" hidden="false" customHeight="false" outlineLevel="0" collapsed="false">
      <c r="A392" s="50" t="n">
        <v>352</v>
      </c>
      <c r="B392" s="19" t="n">
        <f aca="true">NORMINV(RAND(),$B$6,$C$6)</f>
        <v>0.0489350874582257</v>
      </c>
      <c r="C392" s="19" t="n">
        <f aca="true">MAX(0.25,NORMINV(RAND(),$B$7,$C$7))</f>
        <v>0.462075992957671</v>
      </c>
      <c r="D392" s="32" t="n">
        <f aca="true">MAX(0.07,NORMINV(RAND(),$B$8,$C$8))</f>
        <v>0.0868502658091719</v>
      </c>
      <c r="E392" s="51" t="n">
        <f aca="true">MAX(8,NORMINV(RAND(),$B$9,$C$9))</f>
        <v>20.9633667646658</v>
      </c>
      <c r="F392" s="24" t="n">
        <f aca="false">$B$18*(1+(B392+$B$17)/2)^9</f>
        <v>15577.6093850723</v>
      </c>
      <c r="G392" s="24" t="n">
        <f aca="false">F392*C392</f>
        <v>7198.03932451402</v>
      </c>
      <c r="H392" s="24" t="n">
        <f aca="false">E392*G392/(1+D392)^9</f>
        <v>71309.5678020995</v>
      </c>
      <c r="I392" s="24" t="n">
        <f aca="false">$B$13*G392/$B$12*((1+$B$8)/(1+D392))^4.5</f>
        <v>19328.2815684595</v>
      </c>
      <c r="J392" s="24" t="n">
        <f aca="false">H392+I392-$B$14</f>
        <v>83200.2486171343</v>
      </c>
      <c r="K392" s="43" t="n">
        <f aca="false">J392/$B$15</f>
        <v>434.239293408843</v>
      </c>
    </row>
    <row r="393" customFormat="false" ht="15" hidden="false" customHeight="false" outlineLevel="0" collapsed="false">
      <c r="A393" s="50" t="n">
        <v>353</v>
      </c>
      <c r="B393" s="19" t="n">
        <f aca="true">NORMINV(RAND(),$B$6,$C$6)</f>
        <v>0.130624799384952</v>
      </c>
      <c r="C393" s="19" t="n">
        <f aca="true">MAX(0.25,NORMINV(RAND(),$B$7,$C$7))</f>
        <v>0.508588975322658</v>
      </c>
      <c r="D393" s="32" t="n">
        <f aca="true">MAX(0.07,NORMINV(RAND(),$B$8,$C$8))</f>
        <v>0.0859332697271905</v>
      </c>
      <c r="E393" s="51" t="n">
        <f aca="true">MAX(8,NORMINV(RAND(),$B$9,$C$9))</f>
        <v>11.6691001945769</v>
      </c>
      <c r="F393" s="24" t="n">
        <f aca="false">$B$18*(1+(B393+$B$17)/2)^9</f>
        <v>21930.2658403198</v>
      </c>
      <c r="G393" s="24" t="n">
        <f aca="false">F393*C393</f>
        <v>11153.4914322817</v>
      </c>
      <c r="H393" s="24" t="n">
        <f aca="false">E393*G393/(1+D393)^9</f>
        <v>61975.4883513673</v>
      </c>
      <c r="I393" s="24" t="n">
        <f aca="false">$B$13*G393/$B$12*((1+$B$8)/(1+D393))^4.5</f>
        <v>30063.4947286218</v>
      </c>
      <c r="J393" s="24" t="n">
        <f aca="false">H393+I393-$B$14</f>
        <v>84601.3823265645</v>
      </c>
      <c r="K393" s="43" t="n">
        <f aca="false">J393/$B$15</f>
        <v>441.552099825493</v>
      </c>
    </row>
    <row r="394" customFormat="false" ht="15" hidden="false" customHeight="false" outlineLevel="0" collapsed="false">
      <c r="A394" s="50" t="n">
        <v>354</v>
      </c>
      <c r="B394" s="19" t="n">
        <f aca="true">NORMINV(RAND(),$B$6,$C$6)</f>
        <v>0.0909954963698198</v>
      </c>
      <c r="C394" s="19" t="n">
        <f aca="true">MAX(0.25,NORMINV(RAND(),$B$7,$C$7))</f>
        <v>0.48775363369865</v>
      </c>
      <c r="D394" s="32" t="n">
        <f aca="true">MAX(0.07,NORMINV(RAND(),$B$8,$C$8))</f>
        <v>0.103881751588017</v>
      </c>
      <c r="E394" s="51" t="n">
        <f aca="true">MAX(8,NORMINV(RAND(),$B$9,$C$9))</f>
        <v>16.9748290364184</v>
      </c>
      <c r="F394" s="24" t="n">
        <f aca="false">$B$18*(1+(B394+$B$17)/2)^9</f>
        <v>18607.4734150846</v>
      </c>
      <c r="G394" s="24" t="n">
        <f aca="false">F394*C394</f>
        <v>9075.86277215853</v>
      </c>
      <c r="H394" s="24" t="n">
        <f aca="false">E394*G394/(1+D394)^9</f>
        <v>63298.0517984281</v>
      </c>
      <c r="I394" s="24" t="n">
        <f aca="false">$B$13*G394/$B$12*((1+$B$8)/(1+D394))^4.5</f>
        <v>22723.706847586</v>
      </c>
      <c r="J394" s="24" t="n">
        <f aca="false">H394+I394-$B$14</f>
        <v>78584.1578925895</v>
      </c>
      <c r="K394" s="43" t="n">
        <f aca="false">J394/$B$15</f>
        <v>410.146961861114</v>
      </c>
    </row>
    <row r="395" customFormat="false" ht="15" hidden="false" customHeight="false" outlineLevel="0" collapsed="false">
      <c r="A395" s="50" t="n">
        <v>355</v>
      </c>
      <c r="B395" s="19" t="n">
        <f aca="true">NORMINV(RAND(),$B$6,$C$6)</f>
        <v>0.135603188627932</v>
      </c>
      <c r="C395" s="19" t="n">
        <f aca="true">MAX(0.25,NORMINV(RAND(),$B$7,$C$7))</f>
        <v>0.474361041098194</v>
      </c>
      <c r="D395" s="32" t="n">
        <f aca="true">MAX(0.07,NORMINV(RAND(),$B$8,$C$8))</f>
        <v>0.0923480560557545</v>
      </c>
      <c r="E395" s="51" t="n">
        <f aca="true">MAX(8,NORMINV(RAND(),$B$9,$C$9))</f>
        <v>17.8466445876117</v>
      </c>
      <c r="F395" s="24" t="n">
        <f aca="false">$B$18*(1+(B395+$B$17)/2)^9</f>
        <v>22382.9112565999</v>
      </c>
      <c r="G395" s="24" t="n">
        <f aca="false">F395*C395</f>
        <v>10617.5810864892</v>
      </c>
      <c r="H395" s="24" t="n">
        <f aca="false">E395*G395/(1+D395)^9</f>
        <v>85572.2201738281</v>
      </c>
      <c r="I395" s="24" t="n">
        <f aca="false">$B$13*G395/$B$12*((1+$B$8)/(1+D395))^4.5</f>
        <v>27870.429151524</v>
      </c>
      <c r="J395" s="24" t="n">
        <f aca="false">H395+I395-$B$14</f>
        <v>106005.048571927</v>
      </c>
      <c r="K395" s="43" t="n">
        <f aca="false">J395/$B$15</f>
        <v>553.262257682294</v>
      </c>
    </row>
    <row r="396" customFormat="false" ht="15" hidden="false" customHeight="false" outlineLevel="0" collapsed="false">
      <c r="A396" s="50" t="n">
        <v>356</v>
      </c>
      <c r="B396" s="19" t="n">
        <f aca="true">NORMINV(RAND(),$B$6,$C$6)</f>
        <v>0.103803500704933</v>
      </c>
      <c r="C396" s="19" t="n">
        <f aca="true">MAX(0.25,NORMINV(RAND(),$B$7,$C$7))</f>
        <v>0.46348925543049</v>
      </c>
      <c r="D396" s="32" t="n">
        <f aca="true">MAX(0.07,NORMINV(RAND(),$B$8,$C$8))</f>
        <v>0.0910433878018621</v>
      </c>
      <c r="E396" s="51" t="n">
        <f aca="true">MAX(8,NORMINV(RAND(),$B$9,$C$9))</f>
        <v>17.6969915009677</v>
      </c>
      <c r="F396" s="24" t="n">
        <f aca="false">$B$18*(1+(B396+$B$17)/2)^9</f>
        <v>19628.7330699865</v>
      </c>
      <c r="G396" s="24" t="n">
        <f aca="false">F396*C396</f>
        <v>9097.70687565189</v>
      </c>
      <c r="H396" s="24" t="n">
        <f aca="false">E396*G396/(1+D396)^9</f>
        <v>73494.2204237756</v>
      </c>
      <c r="I396" s="24" t="n">
        <f aca="false">$B$13*G396/$B$12*((1+$B$8)/(1+D396))^4.5</f>
        <v>24009.6369387467</v>
      </c>
      <c r="J396" s="24" t="n">
        <f aca="false">H396+I396-$B$14</f>
        <v>90066.2566090976</v>
      </c>
      <c r="K396" s="43" t="n">
        <f aca="false">J396/$B$15</f>
        <v>470.074408189445</v>
      </c>
    </row>
    <row r="397" customFormat="false" ht="15" hidden="false" customHeight="false" outlineLevel="0" collapsed="false">
      <c r="A397" s="50" t="n">
        <v>357</v>
      </c>
      <c r="B397" s="19" t="n">
        <f aca="true">NORMINV(RAND(),$B$6,$C$6)</f>
        <v>0.0752522330820519</v>
      </c>
      <c r="C397" s="19" t="n">
        <f aca="true">MAX(0.25,NORMINV(RAND(),$B$7,$C$7))</f>
        <v>0.483251548944681</v>
      </c>
      <c r="D397" s="32" t="n">
        <f aca="true">MAX(0.07,NORMINV(RAND(),$B$8,$C$8))</f>
        <v>0.0952333130784536</v>
      </c>
      <c r="E397" s="51" t="n">
        <f aca="true">MAX(8,NORMINV(RAND(),$B$9,$C$9))</f>
        <v>21.5934051322874</v>
      </c>
      <c r="F397" s="24" t="n">
        <f aca="false">$B$18*(1+(B397+$B$17)/2)^9</f>
        <v>17417.0484510574</v>
      </c>
      <c r="G397" s="24" t="n">
        <f aca="false">F397*C397</f>
        <v>8416.81564201805</v>
      </c>
      <c r="H397" s="24" t="n">
        <f aca="false">E397*G397/(1+D397)^9</f>
        <v>80151.0364356128</v>
      </c>
      <c r="I397" s="24" t="n">
        <f aca="false">$B$13*G397/$B$12*((1+$B$8)/(1+D397))^4.5</f>
        <v>21832.8616368437</v>
      </c>
      <c r="J397" s="24" t="n">
        <f aca="false">H397+I397-$B$14</f>
        <v>94546.2973190317</v>
      </c>
      <c r="K397" s="43" t="n">
        <f aca="false">J397/$B$15</f>
        <v>493.456666592024</v>
      </c>
    </row>
    <row r="398" customFormat="false" ht="15" hidden="false" customHeight="false" outlineLevel="0" collapsed="false">
      <c r="A398" s="50" t="n">
        <v>358</v>
      </c>
      <c r="B398" s="19" t="n">
        <f aca="true">NORMINV(RAND(),$B$6,$C$6)</f>
        <v>0.0436339094737769</v>
      </c>
      <c r="C398" s="19" t="n">
        <f aca="true">MAX(0.25,NORMINV(RAND(),$B$7,$C$7))</f>
        <v>0.551231360092789</v>
      </c>
      <c r="D398" s="32" t="n">
        <f aca="true">MAX(0.07,NORMINV(RAND(),$B$8,$C$8))</f>
        <v>0.0978269724438537</v>
      </c>
      <c r="E398" s="51" t="n">
        <f aca="true">MAX(8,NORMINV(RAND(),$B$9,$C$9))</f>
        <v>18.9021644603904</v>
      </c>
      <c r="F398" s="24" t="n">
        <f aca="false">$B$18*(1+(B398+$B$17)/2)^9</f>
        <v>15228.7186284143</v>
      </c>
      <c r="G398" s="24" t="n">
        <f aca="false">F398*C398</f>
        <v>8394.54728201119</v>
      </c>
      <c r="H398" s="24" t="n">
        <f aca="false">E398*G398/(1+D398)^9</f>
        <v>68502.078085991</v>
      </c>
      <c r="I398" s="24" t="n">
        <f aca="false">$B$13*G398/$B$12*((1+$B$8)/(1+D398))^4.5</f>
        <v>21544.5533347871</v>
      </c>
      <c r="J398" s="24" t="n">
        <f aca="false">H398+I398-$B$14</f>
        <v>82609.0306673535</v>
      </c>
      <c r="K398" s="43" t="n">
        <f aca="false">J398/$B$15</f>
        <v>431.153604735665</v>
      </c>
    </row>
    <row r="399" customFormat="false" ht="15" hidden="false" customHeight="false" outlineLevel="0" collapsed="false">
      <c r="A399" s="50" t="n">
        <v>359</v>
      </c>
      <c r="B399" s="19" t="n">
        <f aca="true">NORMINV(RAND(),$B$6,$C$6)</f>
        <v>0.128773013574391</v>
      </c>
      <c r="C399" s="19" t="n">
        <f aca="true">MAX(0.25,NORMINV(RAND(),$B$7,$C$7))</f>
        <v>0.490100972878138</v>
      </c>
      <c r="D399" s="32" t="n">
        <f aca="true">MAX(0.07,NORMINV(RAND(),$B$8,$C$8))</f>
        <v>0.0819646038125435</v>
      </c>
      <c r="E399" s="51" t="n">
        <f aca="true">MAX(8,NORMINV(RAND(),$B$9,$C$9))</f>
        <v>24.2761981523609</v>
      </c>
      <c r="F399" s="24" t="n">
        <f aca="false">$B$18*(1+(B399+$B$17)/2)^9</f>
        <v>21763.9854269785</v>
      </c>
      <c r="G399" s="24" t="n">
        <f aca="false">F399*C399</f>
        <v>10666.5504314678</v>
      </c>
      <c r="H399" s="24" t="n">
        <f aca="false">E399*G399/(1+D399)^9</f>
        <v>127434.548977512</v>
      </c>
      <c r="I399" s="24" t="n">
        <f aca="false">$B$13*G399/$B$12*((1+$B$8)/(1+D399))^4.5</f>
        <v>29228.5992069992</v>
      </c>
      <c r="J399" s="24" t="n">
        <f aca="false">H399+I399-$B$14</f>
        <v>149225.547431086</v>
      </c>
      <c r="K399" s="43" t="n">
        <f aca="false">J399/$B$15</f>
        <v>778.838974066212</v>
      </c>
    </row>
    <row r="400" customFormat="false" ht="15" hidden="false" customHeight="false" outlineLevel="0" collapsed="false">
      <c r="A400" s="50" t="n">
        <v>360</v>
      </c>
      <c r="B400" s="19" t="n">
        <f aca="true">NORMINV(RAND(),$B$6,$C$6)</f>
        <v>0.0572147572278484</v>
      </c>
      <c r="C400" s="19" t="n">
        <f aca="true">MAX(0.25,NORMINV(RAND(),$B$7,$C$7))</f>
        <v>0.437721648572005</v>
      </c>
      <c r="D400" s="32" t="n">
        <f aca="true">MAX(0.07,NORMINV(RAND(),$B$8,$C$8))</f>
        <v>0.0981969631906949</v>
      </c>
      <c r="E400" s="51" t="n">
        <f aca="true">MAX(8,NORMINV(RAND(),$B$9,$C$9))</f>
        <v>14.7315142419161</v>
      </c>
      <c r="F400" s="24" t="n">
        <f aca="false">$B$18*(1+(B400+$B$17)/2)^9</f>
        <v>16136.7514262735</v>
      </c>
      <c r="G400" s="24" t="n">
        <f aca="false">F400*C400</f>
        <v>7063.4054369051</v>
      </c>
      <c r="H400" s="24" t="n">
        <f aca="false">E400*G400/(1+D400)^9</f>
        <v>44785.7013139675</v>
      </c>
      <c r="I400" s="24" t="n">
        <f aca="false">$B$13*G400/$B$12*((1+$B$8)/(1+D400))^4.5</f>
        <v>18100.7184317444</v>
      </c>
      <c r="J400" s="24" t="n">
        <f aca="false">H400+I400-$B$14</f>
        <v>55448.8189922873</v>
      </c>
      <c r="K400" s="43" t="n">
        <f aca="false">J400/$B$15</f>
        <v>289.398846515069</v>
      </c>
    </row>
    <row r="401" customFormat="false" ht="15" hidden="false" customHeight="false" outlineLevel="0" collapsed="false">
      <c r="A401" s="50" t="n">
        <v>361</v>
      </c>
      <c r="B401" s="19" t="n">
        <f aca="true">NORMINV(RAND(),$B$6,$C$6)</f>
        <v>0.0867413577141149</v>
      </c>
      <c r="C401" s="19" t="n">
        <f aca="true">MAX(0.25,NORMINV(RAND(),$B$7,$C$7))</f>
        <v>0.43070135634398</v>
      </c>
      <c r="D401" s="32" t="n">
        <f aca="true">MAX(0.07,NORMINV(RAND(),$B$8,$C$8))</f>
        <v>0.0891578758826018</v>
      </c>
      <c r="E401" s="51" t="n">
        <f aca="true">MAX(8,NORMINV(RAND(),$B$9,$C$9))</f>
        <v>15.204656092227</v>
      </c>
      <c r="F401" s="24" t="n">
        <f aca="false">$B$18*(1+(B401+$B$17)/2)^9</f>
        <v>18278.8726135052</v>
      </c>
      <c r="G401" s="24" t="n">
        <f aca="false">F401*C401</f>
        <v>7872.73522707554</v>
      </c>
      <c r="H401" s="24" t="n">
        <f aca="false">E401*G401/(1+D401)^9</f>
        <v>55498.9441135371</v>
      </c>
      <c r="I401" s="24" t="n">
        <f aca="false">$B$13*G401/$B$12*((1+$B$8)/(1+D401))^4.5</f>
        <v>20939.1781911996</v>
      </c>
      <c r="J401" s="24" t="n">
        <f aca="false">H401+I401-$B$14</f>
        <v>69000.521551312</v>
      </c>
      <c r="K401" s="43" t="n">
        <f aca="false">J401/$B$15</f>
        <v>360.127983044426</v>
      </c>
    </row>
    <row r="402" customFormat="false" ht="15" hidden="false" customHeight="false" outlineLevel="0" collapsed="false">
      <c r="A402" s="50" t="n">
        <v>362</v>
      </c>
      <c r="B402" s="19" t="n">
        <f aca="true">NORMINV(RAND(),$B$6,$C$6)</f>
        <v>0.0818477259629045</v>
      </c>
      <c r="C402" s="19" t="n">
        <f aca="true">MAX(0.25,NORMINV(RAND(),$B$7,$C$7))</f>
        <v>0.513815424322278</v>
      </c>
      <c r="D402" s="32" t="n">
        <f aca="true">MAX(0.07,NORMINV(RAND(),$B$8,$C$8))</f>
        <v>0.082109047516082</v>
      </c>
      <c r="E402" s="51" t="n">
        <f aca="true">MAX(8,NORMINV(RAND(),$B$9,$C$9))</f>
        <v>18.0847732325665</v>
      </c>
      <c r="F402" s="24" t="n">
        <f aca="false">$B$18*(1+(B402+$B$17)/2)^9</f>
        <v>17907.2633848031</v>
      </c>
      <c r="G402" s="24" t="n">
        <f aca="false">F402*C402</f>
        <v>9201.0281345134</v>
      </c>
      <c r="H402" s="24" t="n">
        <f aca="false">E402*G402/(1+D402)^9</f>
        <v>81791.8765678509</v>
      </c>
      <c r="I402" s="24" t="n">
        <f aca="false">$B$13*G402/$B$12*((1+$B$8)/(1+D402))^4.5</f>
        <v>25197.6176800405</v>
      </c>
      <c r="J402" s="24" t="n">
        <f aca="false">H402+I402-$B$14</f>
        <v>99551.8934944668</v>
      </c>
      <c r="K402" s="43" t="n">
        <f aca="false">J402/$B$15</f>
        <v>519.581907591163</v>
      </c>
    </row>
    <row r="403" customFormat="false" ht="15" hidden="false" customHeight="false" outlineLevel="0" collapsed="false">
      <c r="A403" s="50" t="n">
        <v>363</v>
      </c>
      <c r="B403" s="19" t="n">
        <f aca="true">NORMINV(RAND(),$B$6,$C$6)</f>
        <v>0.0944236050846898</v>
      </c>
      <c r="C403" s="19" t="n">
        <f aca="true">MAX(0.25,NORMINV(RAND(),$B$7,$C$7))</f>
        <v>0.487693770125534</v>
      </c>
      <c r="D403" s="32" t="n">
        <f aca="true">MAX(0.07,NORMINV(RAND(),$B$8,$C$8))</f>
        <v>0.102757981877971</v>
      </c>
      <c r="E403" s="51" t="n">
        <f aca="true">MAX(8,NORMINV(RAND(),$B$9,$C$9))</f>
        <v>15.8627691974107</v>
      </c>
      <c r="F403" s="24" t="n">
        <f aca="false">$B$18*(1+(B403+$B$17)/2)^9</f>
        <v>18876.0790156535</v>
      </c>
      <c r="G403" s="24" t="n">
        <f aca="false">F403*C403</f>
        <v>9205.74614033153</v>
      </c>
      <c r="H403" s="24" t="n">
        <f aca="false">E403*G403/(1+D403)^9</f>
        <v>60550.2736822435</v>
      </c>
      <c r="I403" s="24" t="n">
        <f aca="false">$B$13*G403/$B$12*((1+$B$8)/(1+D403))^4.5</f>
        <v>23154.7875271547</v>
      </c>
      <c r="J403" s="24" t="n">
        <f aca="false">H403+I403-$B$14</f>
        <v>76267.4604559735</v>
      </c>
      <c r="K403" s="43" t="n">
        <f aca="false">J403/$B$15</f>
        <v>398.055639123035</v>
      </c>
    </row>
    <row r="404" customFormat="false" ht="15" hidden="false" customHeight="false" outlineLevel="0" collapsed="false">
      <c r="A404" s="50" t="n">
        <v>364</v>
      </c>
      <c r="B404" s="19" t="n">
        <f aca="true">NORMINV(RAND(),$B$6,$C$6)</f>
        <v>0.0897773092632864</v>
      </c>
      <c r="C404" s="19" t="n">
        <f aca="true">MAX(0.25,NORMINV(RAND(),$B$7,$C$7))</f>
        <v>0.468856554666741</v>
      </c>
      <c r="D404" s="32" t="n">
        <f aca="true">MAX(0.07,NORMINV(RAND(),$B$8,$C$8))</f>
        <v>0.0957772101188675</v>
      </c>
      <c r="E404" s="51" t="n">
        <f aca="true">MAX(8,NORMINV(RAND(),$B$9,$C$9))</f>
        <v>19.0876632615231</v>
      </c>
      <c r="F404" s="24" t="n">
        <f aca="false">$B$18*(1+(B404+$B$17)/2)^9</f>
        <v>18512.845172874</v>
      </c>
      <c r="G404" s="24" t="n">
        <f aca="false">F404*C404</f>
        <v>8679.86880483252</v>
      </c>
      <c r="H404" s="24" t="n">
        <f aca="false">E404*G404/(1+D404)^9</f>
        <v>72738.7027930252</v>
      </c>
      <c r="I404" s="24" t="n">
        <f aca="false">$B$13*G404/$B$12*((1+$B$8)/(1+D404))^4.5</f>
        <v>22464.9638607068</v>
      </c>
      <c r="J404" s="24" t="n">
        <f aca="false">H404+I404-$B$14</f>
        <v>87766.0659003073</v>
      </c>
      <c r="K404" s="43" t="n">
        <f aca="false">J404/$B$15</f>
        <v>458.069237475508</v>
      </c>
    </row>
    <row r="405" customFormat="false" ht="15" hidden="false" customHeight="false" outlineLevel="0" collapsed="false">
      <c r="A405" s="50" t="n">
        <v>365</v>
      </c>
      <c r="B405" s="19" t="n">
        <f aca="true">NORMINV(RAND(),$B$6,$C$6)</f>
        <v>0.0997814489967646</v>
      </c>
      <c r="C405" s="19" t="n">
        <f aca="true">MAX(0.25,NORMINV(RAND(),$B$7,$C$7))</f>
        <v>0.514652818498569</v>
      </c>
      <c r="D405" s="32" t="n">
        <f aca="true">MAX(0.07,NORMINV(RAND(),$B$8,$C$8))</f>
        <v>0.0880368269388621</v>
      </c>
      <c r="E405" s="51" t="n">
        <f aca="true">MAX(8,NORMINV(RAND(),$B$9,$C$9))</f>
        <v>14.4628972763716</v>
      </c>
      <c r="F405" s="24" t="n">
        <f aca="false">$B$18*(1+(B405+$B$17)/2)^9</f>
        <v>19302.7931383328</v>
      </c>
      <c r="G405" s="24" t="n">
        <f aca="false">F405*C405</f>
        <v>9934.23689353779</v>
      </c>
      <c r="H405" s="24" t="n">
        <f aca="false">E405*G405/(1+D405)^9</f>
        <v>67235.3169511814</v>
      </c>
      <c r="I405" s="24" t="n">
        <f aca="false">$B$13*G405/$B$12*((1+$B$8)/(1+D405))^4.5</f>
        <v>26544.899401474</v>
      </c>
      <c r="J405" s="24" t="n">
        <f aca="false">H405+I405-$B$14</f>
        <v>86342.6155992307</v>
      </c>
      <c r="K405" s="43" t="n">
        <f aca="false">J405/$B$15</f>
        <v>450.639956154649</v>
      </c>
    </row>
    <row r="406" customFormat="false" ht="15" hidden="false" customHeight="false" outlineLevel="0" collapsed="false">
      <c r="A406" s="50" t="n">
        <v>366</v>
      </c>
      <c r="B406" s="19" t="n">
        <f aca="true">NORMINV(RAND(),$B$6,$C$6)</f>
        <v>0.110044811551914</v>
      </c>
      <c r="C406" s="19" t="n">
        <f aca="true">MAX(0.25,NORMINV(RAND(),$B$7,$C$7))</f>
        <v>0.462601523085195</v>
      </c>
      <c r="D406" s="32" t="n">
        <f aca="true">MAX(0.07,NORMINV(RAND(),$B$8,$C$8))</f>
        <v>0.103945662091314</v>
      </c>
      <c r="E406" s="51" t="n">
        <f aca="true">MAX(8,NORMINV(RAND(),$B$9,$C$9))</f>
        <v>17.8364726821554</v>
      </c>
      <c r="F406" s="24" t="n">
        <f aca="false">$B$18*(1+(B406+$B$17)/2)^9</f>
        <v>20144.2089091473</v>
      </c>
      <c r="G406" s="24" t="n">
        <f aca="false">F406*C406</f>
        <v>9318.7417227179</v>
      </c>
      <c r="H406" s="24" t="n">
        <f aca="false">E406*G406/(1+D406)^9</f>
        <v>68255.3931579823</v>
      </c>
      <c r="I406" s="24" t="n">
        <f aca="false">$B$13*G406/$B$12*((1+$B$8)/(1+D406))^4.5</f>
        <v>23325.7377004435</v>
      </c>
      <c r="J406" s="24" t="n">
        <f aca="false">H406+I406-$B$14</f>
        <v>84143.5301050012</v>
      </c>
      <c r="K406" s="43" t="n">
        <f aca="false">J406/$B$15</f>
        <v>439.162474451989</v>
      </c>
    </row>
    <row r="407" customFormat="false" ht="15" hidden="false" customHeight="false" outlineLevel="0" collapsed="false">
      <c r="A407" s="50" t="n">
        <v>367</v>
      </c>
      <c r="B407" s="19" t="n">
        <f aca="true">NORMINV(RAND(),$B$6,$C$6)</f>
        <v>0.0797840271121005</v>
      </c>
      <c r="C407" s="19" t="n">
        <f aca="true">MAX(0.25,NORMINV(RAND(),$B$7,$C$7))</f>
        <v>0.438175306698279</v>
      </c>
      <c r="D407" s="32" t="n">
        <f aca="true">MAX(0.07,NORMINV(RAND(),$B$8,$C$8))</f>
        <v>0.0943478728493048</v>
      </c>
      <c r="E407" s="51" t="n">
        <f aca="true">MAX(8,NORMINV(RAND(),$B$9,$C$9))</f>
        <v>22.0431884132088</v>
      </c>
      <c r="F407" s="24" t="n">
        <f aca="false">$B$18*(1+(B407+$B$17)/2)^9</f>
        <v>17752.5755338845</v>
      </c>
      <c r="G407" s="24" t="n">
        <f aca="false">F407*C407</f>
        <v>7778.7402292442</v>
      </c>
      <c r="H407" s="24" t="n">
        <f aca="false">E407*G407/(1+D407)^9</f>
        <v>76170.2004462575</v>
      </c>
      <c r="I407" s="24" t="n">
        <f aca="false">$B$13*G407/$B$12*((1+$B$8)/(1+D407))^4.5</f>
        <v>20251.2916129476</v>
      </c>
      <c r="J407" s="24" t="n">
        <f aca="false">H407+I407-$B$14</f>
        <v>88983.8913057805</v>
      </c>
      <c r="K407" s="43" t="n">
        <f aca="false">J407/$B$15</f>
        <v>464.425319967539</v>
      </c>
    </row>
    <row r="408" customFormat="false" ht="15" hidden="false" customHeight="false" outlineLevel="0" collapsed="false">
      <c r="A408" s="50" t="n">
        <v>368</v>
      </c>
      <c r="B408" s="19" t="n">
        <f aca="true">NORMINV(RAND(),$B$6,$C$6)</f>
        <v>0.1208762026306</v>
      </c>
      <c r="C408" s="19" t="n">
        <f aca="true">MAX(0.25,NORMINV(RAND(),$B$7,$C$7))</f>
        <v>0.521672556905453</v>
      </c>
      <c r="D408" s="32" t="n">
        <f aca="true">MAX(0.07,NORMINV(RAND(),$B$8,$C$8))</f>
        <v>0.0972254024361881</v>
      </c>
      <c r="E408" s="51" t="n">
        <f aca="true">MAX(8,NORMINV(RAND(),$B$9,$C$9))</f>
        <v>17.6346240366925</v>
      </c>
      <c r="F408" s="24" t="n">
        <f aca="false">$B$18*(1+(B408+$B$17)/2)^9</f>
        <v>21067.4037999702</v>
      </c>
      <c r="G408" s="24" t="n">
        <f aca="false">F408*C408</f>
        <v>10990.2864076901</v>
      </c>
      <c r="H408" s="24" t="n">
        <f aca="false">E408*G408/(1+D408)^9</f>
        <v>84083.8391586069</v>
      </c>
      <c r="I408" s="24" t="n">
        <f aca="false">$B$13*G408/$B$12*((1+$B$8)/(1+D408))^4.5</f>
        <v>28276.1592773077</v>
      </c>
      <c r="J408" s="24" t="n">
        <f aca="false">H408+I408-$B$14</f>
        <v>104922.39768249</v>
      </c>
      <c r="K408" s="43" t="n">
        <f aca="false">J408/$B$15</f>
        <v>547.6116789274</v>
      </c>
    </row>
    <row r="409" customFormat="false" ht="15" hidden="false" customHeight="false" outlineLevel="0" collapsed="false">
      <c r="A409" s="50" t="n">
        <v>369</v>
      </c>
      <c r="B409" s="19" t="n">
        <f aca="true">NORMINV(RAND(),$B$6,$C$6)</f>
        <v>0.103773126841349</v>
      </c>
      <c r="C409" s="19" t="n">
        <f aca="true">MAX(0.25,NORMINV(RAND(),$B$7,$C$7))</f>
        <v>0.45062149842709</v>
      </c>
      <c r="D409" s="32" t="n">
        <f aca="true">MAX(0.07,NORMINV(RAND(),$B$8,$C$8))</f>
        <v>0.109373544066654</v>
      </c>
      <c r="E409" s="51" t="n">
        <f aca="true">MAX(8,NORMINV(RAND(),$B$9,$C$9))</f>
        <v>19.3396782921858</v>
      </c>
      <c r="F409" s="24" t="n">
        <f aca="false">$B$18*(1+(B409+$B$17)/2)^9</f>
        <v>19626.2534072682</v>
      </c>
      <c r="G409" s="24" t="n">
        <f aca="false">F409*C409</f>
        <v>8844.01171889296</v>
      </c>
      <c r="H409" s="24" t="n">
        <f aca="false">E409*G409/(1+D409)^9</f>
        <v>67204.4934435648</v>
      </c>
      <c r="I409" s="24" t="n">
        <f aca="false">$B$13*G409/$B$12*((1+$B$8)/(1+D409))^4.5</f>
        <v>21654.1897590184</v>
      </c>
      <c r="J409" s="24" t="n">
        <f aca="false">H409+I409-$B$14</f>
        <v>81421.0824491586</v>
      </c>
      <c r="K409" s="43" t="n">
        <f aca="false">J409/$B$15</f>
        <v>424.953457459074</v>
      </c>
    </row>
    <row r="410" customFormat="false" ht="15" hidden="false" customHeight="false" outlineLevel="0" collapsed="false">
      <c r="A410" s="50" t="n">
        <v>370</v>
      </c>
      <c r="B410" s="19" t="n">
        <f aca="true">NORMINV(RAND(),$B$6,$C$6)</f>
        <v>0.104325018546377</v>
      </c>
      <c r="C410" s="19" t="n">
        <f aca="true">MAX(0.25,NORMINV(RAND(),$B$7,$C$7))</f>
        <v>0.476439878998002</v>
      </c>
      <c r="D410" s="32" t="n">
        <f aca="true">MAX(0.07,NORMINV(RAND(),$B$8,$C$8))</f>
        <v>0.0878470527099065</v>
      </c>
      <c r="E410" s="51" t="n">
        <f aca="true">MAX(8,NORMINV(RAND(),$B$9,$C$9))</f>
        <v>19.9272367749102</v>
      </c>
      <c r="F410" s="24" t="n">
        <f aca="false">$B$18*(1+(B410+$B$17)/2)^9</f>
        <v>19671.35222712</v>
      </c>
      <c r="G410" s="24" t="n">
        <f aca="false">F410*C410</f>
        <v>9372.21667481613</v>
      </c>
      <c r="H410" s="24" t="n">
        <f aca="false">E410*G410/(1+D410)^9</f>
        <v>87534.4175860786</v>
      </c>
      <c r="I410" s="24" t="n">
        <f aca="false">$B$13*G410/$B$12*((1+$B$8)/(1+D410))^4.5</f>
        <v>25062.8118176092</v>
      </c>
      <c r="J410" s="24" t="n">
        <f aca="false">H410+I410-$B$14</f>
        <v>105159.628650263</v>
      </c>
      <c r="K410" s="43" t="n">
        <f aca="false">J410/$B$15</f>
        <v>548.849836379244</v>
      </c>
    </row>
    <row r="411" customFormat="false" ht="15" hidden="false" customHeight="false" outlineLevel="0" collapsed="false">
      <c r="A411" s="50" t="n">
        <v>371</v>
      </c>
      <c r="B411" s="19" t="n">
        <f aca="true">NORMINV(RAND(),$B$6,$C$6)</f>
        <v>0.128210352767648</v>
      </c>
      <c r="C411" s="19" t="n">
        <f aca="true">MAX(0.25,NORMINV(RAND(),$B$7,$C$7))</f>
        <v>0.459115880407008</v>
      </c>
      <c r="D411" s="32" t="n">
        <f aca="true">MAX(0.07,NORMINV(RAND(),$B$8,$C$8))</f>
        <v>0.0975973627135763</v>
      </c>
      <c r="E411" s="51" t="n">
        <f aca="true">MAX(8,NORMINV(RAND(),$B$9,$C$9))</f>
        <v>20.3168391522062</v>
      </c>
      <c r="F411" s="24" t="n">
        <f aca="false">$B$18*(1+(B411+$B$17)/2)^9</f>
        <v>21713.683995713</v>
      </c>
      <c r="G411" s="24" t="n">
        <f aca="false">F411*C411</f>
        <v>9969.09714457135</v>
      </c>
      <c r="H411" s="24" t="n">
        <f aca="false">E411*G411/(1+D411)^9</f>
        <v>87604.1089650939</v>
      </c>
      <c r="I411" s="24" t="n">
        <f aca="false">$B$13*G411/$B$12*((1+$B$8)/(1+D411))^4.5</f>
        <v>25609.720079717</v>
      </c>
      <c r="J411" s="24" t="n">
        <f aca="false">H411+I411-$B$14</f>
        <v>105776.228291386</v>
      </c>
      <c r="K411" s="43" t="n">
        <f aca="false">J411/$B$15</f>
        <v>552.067997345439</v>
      </c>
    </row>
    <row r="412" customFormat="false" ht="15" hidden="false" customHeight="false" outlineLevel="0" collapsed="false">
      <c r="A412" s="50" t="n">
        <v>372</v>
      </c>
      <c r="B412" s="19" t="n">
        <f aca="true">NORMINV(RAND(),$B$6,$C$6)</f>
        <v>0.0931210618660514</v>
      </c>
      <c r="C412" s="19" t="n">
        <f aca="true">MAX(0.25,NORMINV(RAND(),$B$7,$C$7))</f>
        <v>0.472844740433408</v>
      </c>
      <c r="D412" s="32" t="n">
        <f aca="true">MAX(0.07,NORMINV(RAND(),$B$8,$C$8))</f>
        <v>0.0988846689267017</v>
      </c>
      <c r="E412" s="51" t="n">
        <f aca="true">MAX(8,NORMINV(RAND(),$B$9,$C$9))</f>
        <v>22.3126209565376</v>
      </c>
      <c r="F412" s="24" t="n">
        <f aca="false">$B$18*(1+(B412+$B$17)/2)^9</f>
        <v>18773.6164395394</v>
      </c>
      <c r="G412" s="24" t="n">
        <f aca="false">F412*C412</f>
        <v>8877.00579235038</v>
      </c>
      <c r="H412" s="24" t="n">
        <f aca="false">E412*G412/(1+D412)^9</f>
        <v>84771.1474357811</v>
      </c>
      <c r="I412" s="24" t="n">
        <f aca="false">$B$13*G412/$B$12*((1+$B$8)/(1+D412))^4.5</f>
        <v>22684.2664001967</v>
      </c>
      <c r="J412" s="24" t="n">
        <f aca="false">H412+I412-$B$14</f>
        <v>100017.813082553</v>
      </c>
      <c r="K412" s="43" t="n">
        <f aca="false">J412/$B$15</f>
        <v>522.013638217918</v>
      </c>
    </row>
    <row r="413" customFormat="false" ht="15" hidden="false" customHeight="false" outlineLevel="0" collapsed="false">
      <c r="A413" s="50" t="n">
        <v>373</v>
      </c>
      <c r="B413" s="19" t="n">
        <f aca="true">NORMINV(RAND(),$B$6,$C$6)</f>
        <v>0.114919756560185</v>
      </c>
      <c r="C413" s="19" t="n">
        <f aca="true">MAX(0.25,NORMINV(RAND(),$B$7,$C$7))</f>
        <v>0.459870837013126</v>
      </c>
      <c r="D413" s="32" t="n">
        <f aca="true">MAX(0.07,NORMINV(RAND(),$B$8,$C$8))</f>
        <v>0.0958380545524422</v>
      </c>
      <c r="E413" s="51" t="n">
        <f aca="true">MAX(8,NORMINV(RAND(),$B$9,$C$9))</f>
        <v>18.4520331615832</v>
      </c>
      <c r="F413" s="24" t="n">
        <f aca="false">$B$18*(1+(B413+$B$17)/2)^9</f>
        <v>20555.1685556294</v>
      </c>
      <c r="G413" s="24" t="n">
        <f aca="false">F413*C413</f>
        <v>9452.72256862319</v>
      </c>
      <c r="H413" s="24" t="n">
        <f aca="false">E413*G413/(1+D413)^9</f>
        <v>76539.1680850903</v>
      </c>
      <c r="I413" s="24" t="n">
        <f aca="false">$B$13*G413/$B$12*((1+$B$8)/(1+D413))^4.5</f>
        <v>24459.1275480104</v>
      </c>
      <c r="J413" s="24" t="n">
        <f aca="false">H413+I413-$B$14</f>
        <v>93560.694879676</v>
      </c>
      <c r="K413" s="43" t="n">
        <f aca="false">J413/$B$15</f>
        <v>488.312603756138</v>
      </c>
    </row>
    <row r="414" customFormat="false" ht="15" hidden="false" customHeight="false" outlineLevel="0" collapsed="false">
      <c r="A414" s="50" t="n">
        <v>374</v>
      </c>
      <c r="B414" s="19" t="n">
        <f aca="true">NORMINV(RAND(),$B$6,$C$6)</f>
        <v>0.102284243559468</v>
      </c>
      <c r="C414" s="19" t="n">
        <f aca="true">MAX(0.25,NORMINV(RAND(),$B$7,$C$7))</f>
        <v>0.542110367151763</v>
      </c>
      <c r="D414" s="32" t="n">
        <f aca="true">MAX(0.07,NORMINV(RAND(),$B$8,$C$8))</f>
        <v>0.0989655141694169</v>
      </c>
      <c r="E414" s="51" t="n">
        <f aca="true">MAX(8,NORMINV(RAND(),$B$9,$C$9))</f>
        <v>17.7267272575272</v>
      </c>
      <c r="F414" s="24" t="n">
        <f aca="false">$B$18*(1+(B414+$B$17)/2)^9</f>
        <v>19505.0447133087</v>
      </c>
      <c r="G414" s="24" t="n">
        <f aca="false">F414*C414</f>
        <v>10573.8869508434</v>
      </c>
      <c r="H414" s="24" t="n">
        <f aca="false">E414*G414/(1+D414)^9</f>
        <v>80169.0332229232</v>
      </c>
      <c r="I414" s="24" t="n">
        <f aca="false">$B$13*G414/$B$12*((1+$B$8)/(1+D414))^4.5</f>
        <v>27011.5262195568</v>
      </c>
      <c r="J414" s="24" t="n">
        <f aca="false">H414+I414-$B$14</f>
        <v>99742.9586890554</v>
      </c>
      <c r="K414" s="43" t="n">
        <f aca="false">J414/$B$15</f>
        <v>520.579116331187</v>
      </c>
    </row>
    <row r="415" customFormat="false" ht="15" hidden="false" customHeight="false" outlineLevel="0" collapsed="false">
      <c r="A415" s="50" t="n">
        <v>375</v>
      </c>
      <c r="B415" s="19" t="n">
        <f aca="true">NORMINV(RAND(),$B$6,$C$6)</f>
        <v>0.0988682550717608</v>
      </c>
      <c r="C415" s="19" t="n">
        <f aca="true">MAX(0.25,NORMINV(RAND(),$B$7,$C$7))</f>
        <v>0.489671231918477</v>
      </c>
      <c r="D415" s="32" t="n">
        <f aca="true">MAX(0.07,NORMINV(RAND(),$B$8,$C$8))</f>
        <v>0.0844859632540843</v>
      </c>
      <c r="E415" s="51" t="n">
        <f aca="true">MAX(8,NORMINV(RAND(),$B$9,$C$9))</f>
        <v>15.9288157719278</v>
      </c>
      <c r="F415" s="24" t="n">
        <f aca="false">$B$18*(1+(B415+$B$17)/2)^9</f>
        <v>19229.4631751397</v>
      </c>
      <c r="G415" s="24" t="n">
        <f aca="false">F415*C415</f>
        <v>9416.11492210167</v>
      </c>
      <c r="H415" s="24" t="n">
        <f aca="false">E415*G415/(1+D415)^9</f>
        <v>72283.6081282615</v>
      </c>
      <c r="I415" s="24" t="n">
        <f aca="false">$B$13*G415/$B$12*((1+$B$8)/(1+D415))^4.5</f>
        <v>25533.2908450543</v>
      </c>
      <c r="J415" s="24" t="n">
        <f aca="false">H415+I415-$B$14</f>
        <v>90379.2982198911</v>
      </c>
      <c r="K415" s="43" t="n">
        <f aca="false">J415/$B$15</f>
        <v>471.708237055799</v>
      </c>
    </row>
    <row r="416" customFormat="false" ht="15" hidden="false" customHeight="false" outlineLevel="0" collapsed="false">
      <c r="A416" s="50" t="n">
        <v>376</v>
      </c>
      <c r="B416" s="19" t="n">
        <f aca="true">NORMINV(RAND(),$B$6,$C$6)</f>
        <v>0.126345831191087</v>
      </c>
      <c r="C416" s="19" t="n">
        <f aca="true">MAX(0.25,NORMINV(RAND(),$B$7,$C$7))</f>
        <v>0.443150029025948</v>
      </c>
      <c r="D416" s="32" t="n">
        <f aca="true">MAX(0.07,NORMINV(RAND(),$B$8,$C$8))</f>
        <v>0.0963701524675592</v>
      </c>
      <c r="E416" s="51" t="n">
        <f aca="true">MAX(8,NORMINV(RAND(),$B$9,$C$9))</f>
        <v>22.3585754682176</v>
      </c>
      <c r="F416" s="24" t="n">
        <f aca="false">$B$18*(1+(B416+$B$17)/2)^9</f>
        <v>21547.7350181801</v>
      </c>
      <c r="G416" s="24" t="n">
        <f aca="false">F416*C416</f>
        <v>9548.87939874993</v>
      </c>
      <c r="H416" s="24" t="n">
        <f aca="false">E416*G416/(1+D416)^9</f>
        <v>93278.5322629374</v>
      </c>
      <c r="I416" s="24" t="n">
        <f aca="false">$B$13*G416/$B$12*((1+$B$8)/(1+D416))^4.5</f>
        <v>24654.0198583976</v>
      </c>
      <c r="J416" s="24" t="n">
        <f aca="false">H416+I416-$B$14</f>
        <v>110494.95136791</v>
      </c>
      <c r="K416" s="43" t="n">
        <f aca="false">J416/$B$15</f>
        <v>576.695988350263</v>
      </c>
    </row>
    <row r="417" customFormat="false" ht="15" hidden="false" customHeight="false" outlineLevel="0" collapsed="false">
      <c r="A417" s="50" t="n">
        <v>377</v>
      </c>
      <c r="B417" s="19" t="n">
        <f aca="true">NORMINV(RAND(),$B$6,$C$6)</f>
        <v>0.10367160546232</v>
      </c>
      <c r="C417" s="19" t="n">
        <f aca="true">MAX(0.25,NORMINV(RAND(),$B$7,$C$7))</f>
        <v>0.442216583469</v>
      </c>
      <c r="D417" s="32" t="n">
        <f aca="true">MAX(0.07,NORMINV(RAND(),$B$8,$C$8))</f>
        <v>0.0982436946392368</v>
      </c>
      <c r="E417" s="51" t="n">
        <f aca="true">MAX(8,NORMINV(RAND(),$B$9,$C$9))</f>
        <v>21.4144932881903</v>
      </c>
      <c r="F417" s="24" t="n">
        <f aca="false">$B$18*(1+(B417+$B$17)/2)^9</f>
        <v>19617.9674213229</v>
      </c>
      <c r="G417" s="24" t="n">
        <f aca="false">F417*C417</f>
        <v>8675.39052766357</v>
      </c>
      <c r="H417" s="24" t="n">
        <f aca="false">E417*G417/(1+D417)^9</f>
        <v>79929.7343798682</v>
      </c>
      <c r="I417" s="24" t="n">
        <f aca="false">$B$13*G417/$B$12*((1+$B$8)/(1+D417))^4.5</f>
        <v>22227.3429773423</v>
      </c>
      <c r="J417" s="24" t="n">
        <f aca="false">H417+I417-$B$14</f>
        <v>94719.4766037858</v>
      </c>
      <c r="K417" s="43" t="n">
        <f aca="false">J417/$B$15</f>
        <v>494.360525071951</v>
      </c>
    </row>
    <row r="418" customFormat="false" ht="15" hidden="false" customHeight="false" outlineLevel="0" collapsed="false">
      <c r="A418" s="50" t="n">
        <v>378</v>
      </c>
      <c r="B418" s="19" t="n">
        <f aca="true">NORMINV(RAND(),$B$6,$C$6)</f>
        <v>0.127772725309554</v>
      </c>
      <c r="C418" s="19" t="n">
        <f aca="true">MAX(0.25,NORMINV(RAND(),$B$7,$C$7))</f>
        <v>0.441749036518701</v>
      </c>
      <c r="D418" s="32" t="n">
        <f aca="true">MAX(0.07,NORMINV(RAND(),$B$8,$C$8))</f>
        <v>0.0913038266944232</v>
      </c>
      <c r="E418" s="51" t="n">
        <f aca="true">MAX(8,NORMINV(RAND(),$B$9,$C$9))</f>
        <v>24.5178682217548</v>
      </c>
      <c r="F418" s="24" t="n">
        <f aca="false">$B$18*(1+(B418+$B$17)/2)^9</f>
        <v>21674.6319205512</v>
      </c>
      <c r="G418" s="24" t="n">
        <f aca="false">F418*C418</f>
        <v>9574.74776780097</v>
      </c>
      <c r="H418" s="24" t="n">
        <f aca="false">E418*G418/(1+D418)^9</f>
        <v>106929.847086875</v>
      </c>
      <c r="I418" s="24" t="n">
        <f aca="false">$B$13*G418/$B$12*((1+$B$8)/(1+D418))^4.5</f>
        <v>25241.4640390884</v>
      </c>
      <c r="J418" s="24" t="n">
        <f aca="false">H418+I418-$B$14</f>
        <v>124733.710372539</v>
      </c>
      <c r="K418" s="43" t="n">
        <f aca="false">J418/$B$15</f>
        <v>651.011014470453</v>
      </c>
    </row>
    <row r="419" customFormat="false" ht="15" hidden="false" customHeight="false" outlineLevel="0" collapsed="false">
      <c r="A419" s="50" t="n">
        <v>379</v>
      </c>
      <c r="B419" s="19" t="n">
        <f aca="true">NORMINV(RAND(),$B$6,$C$6)</f>
        <v>0.11495308304237</v>
      </c>
      <c r="C419" s="19" t="n">
        <f aca="true">MAX(0.25,NORMINV(RAND(),$B$7,$C$7))</f>
        <v>0.402078025864497</v>
      </c>
      <c r="D419" s="32" t="n">
        <f aca="true">MAX(0.07,NORMINV(RAND(),$B$8,$C$8))</f>
        <v>0.103400472452433</v>
      </c>
      <c r="E419" s="51" t="n">
        <f aca="true">MAX(8,NORMINV(RAND(),$B$9,$C$9))</f>
        <v>12.7267415849688</v>
      </c>
      <c r="F419" s="24" t="n">
        <f aca="false">$B$18*(1+(B419+$B$17)/2)^9</f>
        <v>20558.0034468973</v>
      </c>
      <c r="G419" s="24" t="n">
        <f aca="false">F419*C419</f>
        <v>8265.92144164398</v>
      </c>
      <c r="H419" s="24" t="n">
        <f aca="false">E419*G419/(1+D419)^9</f>
        <v>43392.0341039519</v>
      </c>
      <c r="I419" s="24" t="n">
        <f aca="false">$B$13*G419/$B$12*((1+$B$8)/(1+D419))^4.5</f>
        <v>20736.4676591106</v>
      </c>
      <c r="J419" s="24" t="n">
        <f aca="false">H419+I419-$B$14</f>
        <v>56690.9010096379</v>
      </c>
      <c r="K419" s="43" t="n">
        <f aca="false">J419/$B$15</f>
        <v>295.881529277859</v>
      </c>
    </row>
    <row r="420" customFormat="false" ht="15" hidden="false" customHeight="false" outlineLevel="0" collapsed="false">
      <c r="A420" s="50" t="n">
        <v>380</v>
      </c>
      <c r="B420" s="19" t="n">
        <f aca="true">NORMINV(RAND(),$B$6,$C$6)</f>
        <v>0.123211602772417</v>
      </c>
      <c r="C420" s="19" t="n">
        <f aca="true">MAX(0.25,NORMINV(RAND(),$B$7,$C$7))</f>
        <v>0.43846953206178</v>
      </c>
      <c r="D420" s="32" t="n">
        <f aca="true">MAX(0.07,NORMINV(RAND(),$B$8,$C$8))</f>
        <v>0.102694826725109</v>
      </c>
      <c r="E420" s="51" t="n">
        <f aca="true">MAX(8,NORMINV(RAND(),$B$9,$C$9))</f>
        <v>21.496088056938</v>
      </c>
      <c r="F420" s="24" t="n">
        <f aca="false">$B$18*(1+(B420+$B$17)/2)^9</f>
        <v>21271.3167203851</v>
      </c>
      <c r="G420" s="24" t="n">
        <f aca="false">F420*C420</f>
        <v>9326.82428872519</v>
      </c>
      <c r="H420" s="24" t="n">
        <f aca="false">E420*G420/(1+D420)^9</f>
        <v>83175.4566005688</v>
      </c>
      <c r="I420" s="24" t="n">
        <f aca="false">$B$13*G420/$B$12*((1+$B$8)/(1+D420))^4.5</f>
        <v>23465.3765872186</v>
      </c>
      <c r="J420" s="24" t="n">
        <f aca="false">H420+I420-$B$14</f>
        <v>99203.2324343627</v>
      </c>
      <c r="K420" s="43" t="n">
        <f aca="false">J420/$B$15</f>
        <v>517.762173457008</v>
      </c>
    </row>
    <row r="421" customFormat="false" ht="15" hidden="false" customHeight="false" outlineLevel="0" collapsed="false">
      <c r="A421" s="50" t="n">
        <v>381</v>
      </c>
      <c r="B421" s="19" t="n">
        <f aca="true">NORMINV(RAND(),$B$6,$C$6)</f>
        <v>0.0710619580291296</v>
      </c>
      <c r="C421" s="19" t="n">
        <f aca="true">MAX(0.25,NORMINV(RAND(),$B$7,$C$7))</f>
        <v>0.410857549917636</v>
      </c>
      <c r="D421" s="32" t="n">
        <f aca="true">MAX(0.07,NORMINV(RAND(),$B$8,$C$8))</f>
        <v>0.0998481308621547</v>
      </c>
      <c r="E421" s="51" t="n">
        <f aca="true">MAX(8,NORMINV(RAND(),$B$9,$C$9))</f>
        <v>19.1471351715491</v>
      </c>
      <c r="F421" s="24" t="n">
        <f aca="false">$B$18*(1+(B421+$B$17)/2)^9</f>
        <v>17111.8350706128</v>
      </c>
      <c r="G421" s="24" t="n">
        <f aca="false">F421*C421</f>
        <v>7030.52663170666</v>
      </c>
      <c r="H421" s="24" t="n">
        <f aca="false">E421*G421/(1+D421)^9</f>
        <v>57160.6516426571</v>
      </c>
      <c r="I421" s="24" t="n">
        <f aca="false">$B$13*G421/$B$12*((1+$B$8)/(1+D421))^4.5</f>
        <v>17895.0684177912</v>
      </c>
      <c r="J421" s="24" t="n">
        <f aca="false">H421+I421-$B$14</f>
        <v>67618.1193070237</v>
      </c>
      <c r="K421" s="43" t="n">
        <f aca="false">J421/$B$15</f>
        <v>352.912940015781</v>
      </c>
    </row>
    <row r="422" customFormat="false" ht="15" hidden="false" customHeight="false" outlineLevel="0" collapsed="false">
      <c r="A422" s="50" t="n">
        <v>382</v>
      </c>
      <c r="B422" s="19" t="n">
        <f aca="true">NORMINV(RAND(),$B$6,$C$6)</f>
        <v>0.0718735301303226</v>
      </c>
      <c r="C422" s="19" t="n">
        <f aca="true">MAX(0.25,NORMINV(RAND(),$B$7,$C$7))</f>
        <v>0.514012254399236</v>
      </c>
      <c r="D422" s="32" t="n">
        <f aca="true">MAX(0.07,NORMINV(RAND(),$B$8,$C$8))</f>
        <v>0.0985341996820915</v>
      </c>
      <c r="E422" s="51" t="n">
        <f aca="true">MAX(8,NORMINV(RAND(),$B$9,$C$9))</f>
        <v>19.0462241608197</v>
      </c>
      <c r="F422" s="24" t="n">
        <f aca="false">$B$18*(1+(B422+$B$17)/2)^9</f>
        <v>17170.5747783175</v>
      </c>
      <c r="G422" s="24" t="n">
        <f aca="false">F422*C422</f>
        <v>8825.88585113364</v>
      </c>
      <c r="H422" s="24" t="n">
        <f aca="false">E422*G422/(1+D422)^9</f>
        <v>72151.4328086128</v>
      </c>
      <c r="I422" s="24" t="n">
        <f aca="false">$B$13*G422/$B$12*((1+$B$8)/(1+D422))^4.5</f>
        <v>22586.0319274465</v>
      </c>
      <c r="J422" s="24" t="n">
        <f aca="false">H422+I422-$B$14</f>
        <v>87299.8639826347</v>
      </c>
      <c r="K422" s="43" t="n">
        <f aca="false">J422/$B$15</f>
        <v>455.63603331229</v>
      </c>
    </row>
    <row r="423" customFormat="false" ht="15" hidden="false" customHeight="false" outlineLevel="0" collapsed="false">
      <c r="A423" s="50" t="n">
        <v>383</v>
      </c>
      <c r="B423" s="19" t="n">
        <f aca="true">NORMINV(RAND(),$B$6,$C$6)</f>
        <v>0.125477682188459</v>
      </c>
      <c r="C423" s="19" t="n">
        <f aca="true">MAX(0.25,NORMINV(RAND(),$B$7,$C$7))</f>
        <v>0.43575879936513</v>
      </c>
      <c r="D423" s="32" t="n">
        <f aca="true">MAX(0.07,NORMINV(RAND(),$B$8,$C$8))</f>
        <v>0.0878027386838193</v>
      </c>
      <c r="E423" s="51" t="n">
        <f aca="true">MAX(8,NORMINV(RAND(),$B$9,$C$9))</f>
        <v>20.8004404114653</v>
      </c>
      <c r="F423" s="24" t="n">
        <f aca="false">$B$18*(1+(B423+$B$17)/2)^9</f>
        <v>21470.8521026062</v>
      </c>
      <c r="G423" s="24" t="n">
        <f aca="false">F423*C423</f>
        <v>9356.11273357794</v>
      </c>
      <c r="H423" s="24" t="n">
        <f aca="false">E423*G423/(1+D423)^9</f>
        <v>91246.5904966915</v>
      </c>
      <c r="I423" s="24" t="n">
        <f aca="false">$B$13*G423/$B$12*((1+$B$8)/(1+D423))^4.5</f>
        <v>25024.3341745368</v>
      </c>
      <c r="J423" s="24" t="n">
        <f aca="false">H423+I423-$B$14</f>
        <v>108833.323917804</v>
      </c>
      <c r="K423" s="43" t="n">
        <f aca="false">J423/$B$15</f>
        <v>568.023611262023</v>
      </c>
    </row>
    <row r="424" customFormat="false" ht="15" hidden="false" customHeight="false" outlineLevel="0" collapsed="false">
      <c r="A424" s="50" t="n">
        <v>384</v>
      </c>
      <c r="B424" s="19" t="n">
        <f aca="true">NORMINV(RAND(),$B$6,$C$6)</f>
        <v>0.0570451229495813</v>
      </c>
      <c r="C424" s="19" t="n">
        <f aca="true">MAX(0.25,NORMINV(RAND(),$B$7,$C$7))</f>
        <v>0.448943671225298</v>
      </c>
      <c r="D424" s="32" t="n">
        <f aca="true">MAX(0.07,NORMINV(RAND(),$B$8,$C$8))</f>
        <v>0.103544946473426</v>
      </c>
      <c r="E424" s="51" t="n">
        <f aca="true">MAX(8,NORMINV(RAND(),$B$9,$C$9))</f>
        <v>20.1073952760754</v>
      </c>
      <c r="F424" s="24" t="n">
        <f aca="false">$B$18*(1+(B424+$B$17)/2)^9</f>
        <v>16125.1190580859</v>
      </c>
      <c r="G424" s="24" t="n">
        <f aca="false">F424*C424</f>
        <v>7239.27014888207</v>
      </c>
      <c r="H424" s="24" t="n">
        <f aca="false">E424*G424/(1+D424)^9</f>
        <v>59970.8717958336</v>
      </c>
      <c r="I424" s="24" t="n">
        <f aca="false">$B$13*G424/$B$12*((1+$B$8)/(1+D424))^4.5</f>
        <v>18150.2418147428</v>
      </c>
      <c r="J424" s="24" t="n">
        <f aca="false">H424+I424-$B$14</f>
        <v>70683.5128571517</v>
      </c>
      <c r="K424" s="43" t="n">
        <f aca="false">J424/$B$15</f>
        <v>368.91186251123</v>
      </c>
    </row>
    <row r="425" customFormat="false" ht="15" hidden="false" customHeight="false" outlineLevel="0" collapsed="false">
      <c r="A425" s="50" t="n">
        <v>385</v>
      </c>
      <c r="B425" s="19" t="n">
        <f aca="true">NORMINV(RAND(),$B$6,$C$6)</f>
        <v>0.0957394946335498</v>
      </c>
      <c r="C425" s="19" t="n">
        <f aca="true">MAX(0.25,NORMINV(RAND(),$B$7,$C$7))</f>
        <v>0.470799420700201</v>
      </c>
      <c r="D425" s="32" t="n">
        <f aca="true">MAX(0.07,NORMINV(RAND(),$B$8,$C$8))</f>
        <v>0.092091878384017</v>
      </c>
      <c r="E425" s="51" t="n">
        <f aca="true">MAX(8,NORMINV(RAND(),$B$9,$C$9))</f>
        <v>17.0848449629533</v>
      </c>
      <c r="F425" s="24" t="n">
        <f aca="false">$B$18*(1+(B425+$B$17)/2)^9</f>
        <v>18980.0959124198</v>
      </c>
      <c r="G425" s="24" t="n">
        <f aca="false">F425*C425</f>
        <v>8935.81816040149</v>
      </c>
      <c r="H425" s="24" t="n">
        <f aca="false">E425*G425/(1+D425)^9</f>
        <v>69089.6143094629</v>
      </c>
      <c r="I425" s="24" t="n">
        <f aca="false">$B$13*G425/$B$12*((1+$B$8)/(1+D425))^4.5</f>
        <v>23480.6856631647</v>
      </c>
      <c r="J425" s="24" t="n">
        <f aca="false">H425+I425-$B$14</f>
        <v>85132.6992192029</v>
      </c>
      <c r="K425" s="43" t="n">
        <f aca="false">J425/$B$15</f>
        <v>444.325152501059</v>
      </c>
    </row>
    <row r="426" customFormat="false" ht="15" hidden="false" customHeight="false" outlineLevel="0" collapsed="false">
      <c r="A426" s="50" t="n">
        <v>386</v>
      </c>
      <c r="B426" s="19" t="n">
        <f aca="true">NORMINV(RAND(),$B$6,$C$6)</f>
        <v>0.122706045377</v>
      </c>
      <c r="C426" s="19" t="n">
        <f aca="true">MAX(0.25,NORMINV(RAND(),$B$7,$C$7))</f>
        <v>0.47798149831511</v>
      </c>
      <c r="D426" s="32" t="n">
        <f aca="true">MAX(0.07,NORMINV(RAND(),$B$8,$C$8))</f>
        <v>0.107773981425929</v>
      </c>
      <c r="E426" s="51" t="n">
        <f aca="true">MAX(8,NORMINV(RAND(),$B$9,$C$9))</f>
        <v>20.1451340623088</v>
      </c>
      <c r="F426" s="24" t="n">
        <f aca="false">$B$18*(1+(B426+$B$17)/2)^9</f>
        <v>21227.0263532399</v>
      </c>
      <c r="G426" s="24" t="n">
        <f aca="false">F426*C426</f>
        <v>10146.1258610959</v>
      </c>
      <c r="H426" s="24" t="n">
        <f aca="false">E426*G426/(1+D426)^9</f>
        <v>81359.816867529</v>
      </c>
      <c r="I426" s="24" t="n">
        <f aca="false">$B$13*G426/$B$12*((1+$B$8)/(1+D426))^4.5</f>
        <v>25004.1890176514</v>
      </c>
      <c r="J426" s="24" t="n">
        <f aca="false">H426+I426-$B$14</f>
        <v>98926.4051317558</v>
      </c>
      <c r="K426" s="43" t="n">
        <f aca="false">J426/$B$15</f>
        <v>516.317354549874</v>
      </c>
    </row>
    <row r="427" customFormat="false" ht="15" hidden="false" customHeight="false" outlineLevel="0" collapsed="false">
      <c r="A427" s="50" t="n">
        <v>387</v>
      </c>
      <c r="B427" s="19" t="n">
        <f aca="true">NORMINV(RAND(),$B$6,$C$6)</f>
        <v>0.0550328919841562</v>
      </c>
      <c r="C427" s="19" t="n">
        <f aca="true">MAX(0.25,NORMINV(RAND(),$B$7,$C$7))</f>
        <v>0.463518003180291</v>
      </c>
      <c r="D427" s="32" t="n">
        <f aca="true">MAX(0.07,NORMINV(RAND(),$B$8,$C$8))</f>
        <v>0.10077337827207</v>
      </c>
      <c r="E427" s="51" t="n">
        <f aca="true">MAX(8,NORMINV(RAND(),$B$9,$C$9))</f>
        <v>14.4434649032877</v>
      </c>
      <c r="F427" s="24" t="n">
        <f aca="false">$B$18*(1+(B427+$B$17)/2)^9</f>
        <v>15987.7014118205</v>
      </c>
      <c r="G427" s="24" t="n">
        <f aca="false">F427*C427</f>
        <v>7410.58743384975</v>
      </c>
      <c r="H427" s="24" t="n">
        <f aca="false">E427*G427/(1+D427)^9</f>
        <v>45106.8776706712</v>
      </c>
      <c r="I427" s="24" t="n">
        <f aca="false">$B$13*G427/$B$12*((1+$B$8)/(1+D427))^4.5</f>
        <v>18791.2104295474</v>
      </c>
      <c r="J427" s="24" t="n">
        <f aca="false">H427+I427-$B$14</f>
        <v>56460.4873467939</v>
      </c>
      <c r="K427" s="43" t="n">
        <f aca="false">J427/$B$15</f>
        <v>294.678952749446</v>
      </c>
    </row>
    <row r="428" customFormat="false" ht="15" hidden="false" customHeight="false" outlineLevel="0" collapsed="false">
      <c r="A428" s="50" t="n">
        <v>388</v>
      </c>
      <c r="B428" s="19" t="n">
        <f aca="true">NORMINV(RAND(),$B$6,$C$6)</f>
        <v>0.0912246749399272</v>
      </c>
      <c r="C428" s="19" t="n">
        <f aca="true">MAX(0.25,NORMINV(RAND(),$B$7,$C$7))</f>
        <v>0.502481342595854</v>
      </c>
      <c r="D428" s="32" t="n">
        <f aca="true">MAX(0.07,NORMINV(RAND(),$B$8,$C$8))</f>
        <v>0.0983689264937532</v>
      </c>
      <c r="E428" s="51" t="n">
        <f aca="true">MAX(8,NORMINV(RAND(),$B$9,$C$9))</f>
        <v>16.9920275985863</v>
      </c>
      <c r="F428" s="24" t="n">
        <f aca="false">$B$18*(1+(B428+$B$17)/2)^9</f>
        <v>18625.3238793416</v>
      </c>
      <c r="G428" s="24" t="n">
        <f aca="false">F428*C428</f>
        <v>9358.87774917418</v>
      </c>
      <c r="H428" s="24" t="n">
        <f aca="false">E428*G428/(1+D428)^9</f>
        <v>68349.4206187628</v>
      </c>
      <c r="I428" s="24" t="n">
        <f aca="false">$B$13*G428/$B$12*((1+$B$8)/(1+D428))^4.5</f>
        <v>23966.2151560123</v>
      </c>
      <c r="J428" s="24" t="n">
        <f aca="false">H428+I428-$B$14</f>
        <v>84878.0350213505</v>
      </c>
      <c r="K428" s="43" t="n">
        <f aca="false">J428/$B$15</f>
        <v>442.996007418322</v>
      </c>
    </row>
    <row r="429" customFormat="false" ht="15" hidden="false" customHeight="false" outlineLevel="0" collapsed="false">
      <c r="A429" s="50" t="n">
        <v>389</v>
      </c>
      <c r="B429" s="19" t="n">
        <f aca="true">NORMINV(RAND(),$B$6,$C$6)</f>
        <v>0.0701719862278485</v>
      </c>
      <c r="C429" s="19" t="n">
        <f aca="true">MAX(0.25,NORMINV(RAND(),$B$7,$C$7))</f>
        <v>0.466949620152822</v>
      </c>
      <c r="D429" s="32" t="n">
        <f aca="true">MAX(0.07,NORMINV(RAND(),$B$8,$C$8))</f>
        <v>0.090785257514459</v>
      </c>
      <c r="E429" s="51" t="n">
        <f aca="true">MAX(8,NORMINV(RAND(),$B$9,$C$9))</f>
        <v>16.370225126255</v>
      </c>
      <c r="F429" s="24" t="n">
        <f aca="false">$B$18*(1+(B429+$B$17)/2)^9</f>
        <v>17047.6263690547</v>
      </c>
      <c r="G429" s="24" t="n">
        <f aca="false">F429*C429</f>
        <v>7960.38265753733</v>
      </c>
      <c r="H429" s="24" t="n">
        <f aca="false">E429*G429/(1+D429)^9</f>
        <v>59612.2151647138</v>
      </c>
      <c r="I429" s="24" t="n">
        <f aca="false">$B$13*G429/$B$12*((1+$B$8)/(1+D429))^4.5</f>
        <v>21030.5207652171</v>
      </c>
      <c r="J429" s="24" t="n">
        <f aca="false">H429+I429-$B$14</f>
        <v>73205.1351765062</v>
      </c>
      <c r="K429" s="43" t="n">
        <f aca="false">J429/$B$15</f>
        <v>382.072730566317</v>
      </c>
    </row>
    <row r="430" customFormat="false" ht="15" hidden="false" customHeight="false" outlineLevel="0" collapsed="false">
      <c r="A430" s="50" t="n">
        <v>390</v>
      </c>
      <c r="B430" s="19" t="n">
        <f aca="true">NORMINV(RAND(),$B$6,$C$6)</f>
        <v>0.0944574914599172</v>
      </c>
      <c r="C430" s="19" t="n">
        <f aca="true">MAX(0.25,NORMINV(RAND(),$B$7,$C$7))</f>
        <v>0.465224638193441</v>
      </c>
      <c r="D430" s="32" t="n">
        <f aca="true">MAX(0.07,NORMINV(RAND(),$B$8,$C$8))</f>
        <v>0.101165032009469</v>
      </c>
      <c r="E430" s="51" t="n">
        <f aca="true">MAX(8,NORMINV(RAND(),$B$9,$C$9))</f>
        <v>21.8440603988757</v>
      </c>
      <c r="F430" s="24" t="n">
        <f aca="false">$B$18*(1+(B430+$B$17)/2)^9</f>
        <v>18878.7512567366</v>
      </c>
      <c r="G430" s="24" t="n">
        <f aca="false">F430*C430</f>
        <v>8782.86022295923</v>
      </c>
      <c r="H430" s="24" t="n">
        <f aca="false">E430*G430/(1+D430)^9</f>
        <v>80593.0579004991</v>
      </c>
      <c r="I430" s="24" t="n">
        <f aca="false">$B$13*G430/$B$12*((1+$B$8)/(1+D430))^4.5</f>
        <v>22235.2936181995</v>
      </c>
      <c r="J430" s="24" t="n">
        <f aca="false">H430+I430-$B$14</f>
        <v>95390.7507652739</v>
      </c>
      <c r="K430" s="43" t="n">
        <f aca="false">J430/$B$15</f>
        <v>497.864043660093</v>
      </c>
    </row>
    <row r="431" customFormat="false" ht="15" hidden="false" customHeight="false" outlineLevel="0" collapsed="false">
      <c r="A431" s="50" t="n">
        <v>391</v>
      </c>
      <c r="B431" s="19" t="n">
        <f aca="true">NORMINV(RAND(),$B$6,$C$6)</f>
        <v>0.0814941687976245</v>
      </c>
      <c r="C431" s="19" t="n">
        <f aca="true">MAX(0.25,NORMINV(RAND(),$B$7,$C$7))</f>
        <v>0.458282646552975</v>
      </c>
      <c r="D431" s="32" t="n">
        <f aca="true">MAX(0.07,NORMINV(RAND(),$B$8,$C$8))</f>
        <v>0.10500384838115</v>
      </c>
      <c r="E431" s="51" t="n">
        <f aca="true">MAX(8,NORMINV(RAND(),$B$9,$C$9))</f>
        <v>17.7440588567442</v>
      </c>
      <c r="F431" s="24" t="n">
        <f aca="false">$B$18*(1+(B431+$B$17)/2)^9</f>
        <v>17880.6771987075</v>
      </c>
      <c r="G431" s="24" t="n">
        <f aca="false">F431*C431</f>
        <v>8194.40406878312</v>
      </c>
      <c r="H431" s="24" t="n">
        <f aca="false">E431*G431/(1+D431)^9</f>
        <v>59196.5272774322</v>
      </c>
      <c r="I431" s="24" t="n">
        <f aca="false">$B$13*G431/$B$12*((1+$B$8)/(1+D431))^4.5</f>
        <v>20423.1660455196</v>
      </c>
      <c r="J431" s="24" t="n">
        <f aca="false">H431+I431-$B$14</f>
        <v>72182.0925695272</v>
      </c>
      <c r="K431" s="43" t="n">
        <f aca="false">J431/$B$15</f>
        <v>376.733259757449</v>
      </c>
    </row>
    <row r="432" customFormat="false" ht="15" hidden="false" customHeight="false" outlineLevel="0" collapsed="false">
      <c r="A432" s="50" t="n">
        <v>392</v>
      </c>
      <c r="B432" s="19" t="n">
        <f aca="true">NORMINV(RAND(),$B$6,$C$6)</f>
        <v>0.136715415740493</v>
      </c>
      <c r="C432" s="19" t="n">
        <f aca="true">MAX(0.25,NORMINV(RAND(),$B$7,$C$7))</f>
        <v>0.445784335504743</v>
      </c>
      <c r="D432" s="32" t="n">
        <f aca="true">MAX(0.07,NORMINV(RAND(),$B$8,$C$8))</f>
        <v>0.0941803237368322</v>
      </c>
      <c r="E432" s="51" t="n">
        <f aca="true">MAX(8,NORMINV(RAND(),$B$9,$C$9))</f>
        <v>20.1079795611115</v>
      </c>
      <c r="F432" s="24" t="n">
        <f aca="false">$B$18*(1+(B432+$B$17)/2)^9</f>
        <v>22485.1649157164</v>
      </c>
      <c r="G432" s="24" t="n">
        <f aca="false">F432*C432</f>
        <v>10023.5343006672</v>
      </c>
      <c r="H432" s="24" t="n">
        <f aca="false">E432*G432/(1+D432)^9</f>
        <v>89658.0335362432</v>
      </c>
      <c r="I432" s="24" t="n">
        <f aca="false">$B$13*G432/$B$12*((1+$B$8)/(1+D432))^4.5</f>
        <v>26113.4094179611</v>
      </c>
      <c r="J432" s="24" t="n">
        <f aca="false">H432+I432-$B$14</f>
        <v>108333.84220078</v>
      </c>
      <c r="K432" s="43" t="n">
        <f aca="false">J432/$B$15</f>
        <v>565.416712947701</v>
      </c>
    </row>
    <row r="433" customFormat="false" ht="15" hidden="false" customHeight="false" outlineLevel="0" collapsed="false">
      <c r="A433" s="50" t="n">
        <v>393</v>
      </c>
      <c r="B433" s="19" t="n">
        <f aca="true">NORMINV(RAND(),$B$6,$C$6)</f>
        <v>0.0673651184565739</v>
      </c>
      <c r="C433" s="19" t="n">
        <f aca="true">MAX(0.25,NORMINV(RAND(),$B$7,$C$7))</f>
        <v>0.461417043193884</v>
      </c>
      <c r="D433" s="32" t="n">
        <f aca="true">MAX(0.07,NORMINV(RAND(),$B$8,$C$8))</f>
        <v>0.0974119637673785</v>
      </c>
      <c r="E433" s="51" t="n">
        <f aca="true">MAX(8,NORMINV(RAND(),$B$9,$C$9))</f>
        <v>16.8313217548936</v>
      </c>
      <c r="F433" s="24" t="n">
        <f aca="false">$B$18*(1+(B433+$B$17)/2)^9</f>
        <v>16846.5200626591</v>
      </c>
      <c r="G433" s="24" t="n">
        <f aca="false">F433*C433</f>
        <v>7773.27147541861</v>
      </c>
      <c r="H433" s="24" t="n">
        <f aca="false">E433*G433/(1+D433)^9</f>
        <v>56675.4325402407</v>
      </c>
      <c r="I433" s="24" t="n">
        <f aca="false">$B$13*G433/$B$12*((1+$B$8)/(1+D433))^4.5</f>
        <v>19984.0256545059</v>
      </c>
      <c r="J433" s="24" t="n">
        <f aca="false">H433+I433-$B$14</f>
        <v>69221.8574413219</v>
      </c>
      <c r="K433" s="43" t="n">
        <f aca="false">J433/$B$15</f>
        <v>361.283180800219</v>
      </c>
    </row>
    <row r="434" customFormat="false" ht="15" hidden="false" customHeight="false" outlineLevel="0" collapsed="false">
      <c r="A434" s="50" t="n">
        <v>394</v>
      </c>
      <c r="B434" s="19" t="n">
        <f aca="true">NORMINV(RAND(),$B$6,$C$6)</f>
        <v>0.0787527643135585</v>
      </c>
      <c r="C434" s="19" t="n">
        <f aca="true">MAX(0.25,NORMINV(RAND(),$B$7,$C$7))</f>
        <v>0.545984340896106</v>
      </c>
      <c r="D434" s="32" t="n">
        <f aca="true">MAX(0.07,NORMINV(RAND(),$B$8,$C$8))</f>
        <v>0.101438876637048</v>
      </c>
      <c r="E434" s="51" t="n">
        <f aca="true">MAX(8,NORMINV(RAND(),$B$9,$C$9))</f>
        <v>8.87500861323466</v>
      </c>
      <c r="F434" s="24" t="n">
        <f aca="false">$B$18*(1+(B434+$B$17)/2)^9</f>
        <v>17675.7215835497</v>
      </c>
      <c r="G434" s="24" t="n">
        <f aca="false">F434*C434</f>
        <v>9650.66719865748</v>
      </c>
      <c r="H434" s="24" t="n">
        <f aca="false">E434*G434/(1+D434)^9</f>
        <v>35899.0131520425</v>
      </c>
      <c r="I434" s="24" t="n">
        <f aca="false">$B$13*G434/$B$12*((1+$B$8)/(1+D434))^4.5</f>
        <v>24404.9703008607</v>
      </c>
      <c r="J434" s="24" t="n">
        <f aca="false">H434+I434-$B$14</f>
        <v>52866.3826994785</v>
      </c>
      <c r="K434" s="43" t="n">
        <f aca="false">J434/$B$15</f>
        <v>275.920577763457</v>
      </c>
    </row>
    <row r="435" customFormat="false" ht="15" hidden="false" customHeight="false" outlineLevel="0" collapsed="false">
      <c r="A435" s="50" t="n">
        <v>395</v>
      </c>
      <c r="B435" s="19" t="n">
        <f aca="true">NORMINV(RAND(),$B$6,$C$6)</f>
        <v>0.108203670029459</v>
      </c>
      <c r="C435" s="19" t="n">
        <f aca="true">MAX(0.25,NORMINV(RAND(),$B$7,$C$7))</f>
        <v>0.447121654424569</v>
      </c>
      <c r="D435" s="32" t="n">
        <f aca="true">MAX(0.07,NORMINV(RAND(),$B$8,$C$8))</f>
        <v>0.106269008786836</v>
      </c>
      <c r="E435" s="51" t="n">
        <f aca="true">MAX(8,NORMINV(RAND(),$B$9,$C$9))</f>
        <v>15.7173804524586</v>
      </c>
      <c r="F435" s="24" t="n">
        <f aca="false">$B$18*(1+(B435+$B$17)/2)^9</f>
        <v>19990.9104704385</v>
      </c>
      <c r="G435" s="24" t="n">
        <f aca="false">F435*C435</f>
        <v>8938.36896299591</v>
      </c>
      <c r="H435" s="24" t="n">
        <f aca="false">E435*G435/(1+D435)^9</f>
        <v>56609.8140147567</v>
      </c>
      <c r="I435" s="24" t="n">
        <f aca="false">$B$13*G435/$B$12*((1+$B$8)/(1+D435))^4.5</f>
        <v>22162.9552912299</v>
      </c>
      <c r="J435" s="24" t="n">
        <f aca="false">H435+I435-$B$14</f>
        <v>71335.168552562</v>
      </c>
      <c r="K435" s="43" t="n">
        <f aca="false">J435/$B$15</f>
        <v>372.312988270156</v>
      </c>
    </row>
    <row r="436" customFormat="false" ht="15" hidden="false" customHeight="false" outlineLevel="0" collapsed="false">
      <c r="A436" s="50" t="n">
        <v>396</v>
      </c>
      <c r="B436" s="19" t="n">
        <f aca="true">NORMINV(RAND(),$B$6,$C$6)</f>
        <v>0.0668398935410475</v>
      </c>
      <c r="C436" s="19" t="n">
        <f aca="true">MAX(0.25,NORMINV(RAND(),$B$7,$C$7))</f>
        <v>0.472074814722357</v>
      </c>
      <c r="D436" s="32" t="n">
        <f aca="true">MAX(0.07,NORMINV(RAND(),$B$8,$C$8))</f>
        <v>0.103806674038136</v>
      </c>
      <c r="E436" s="51" t="n">
        <f aca="true">MAX(8,NORMINV(RAND(),$B$9,$C$9))</f>
        <v>17.0854260676651</v>
      </c>
      <c r="F436" s="24" t="n">
        <f aca="false">$B$18*(1+(B436+$B$17)/2)^9</f>
        <v>16809.1238911863</v>
      </c>
      <c r="G436" s="24" t="n">
        <f aca="false">F436*C436</f>
        <v>7935.16404657691</v>
      </c>
      <c r="H436" s="24" t="n">
        <f aca="false">E436*G436/(1+D436)^9</f>
        <v>55737.1274046762</v>
      </c>
      <c r="I436" s="24" t="n">
        <f aca="false">$B$13*G436/$B$12*((1+$B$8)/(1+D436))^4.5</f>
        <v>19873.7622222718</v>
      </c>
      <c r="J436" s="24" t="n">
        <f aca="false">H436+I436-$B$14</f>
        <v>68173.2888735233</v>
      </c>
      <c r="K436" s="43" t="n">
        <f aca="false">J436/$B$15</f>
        <v>355.810484726113</v>
      </c>
    </row>
    <row r="437" customFormat="false" ht="15" hidden="false" customHeight="false" outlineLevel="0" collapsed="false">
      <c r="A437" s="50" t="n">
        <v>397</v>
      </c>
      <c r="B437" s="19" t="n">
        <f aca="true">NORMINV(RAND(),$B$6,$C$6)</f>
        <v>0.132922319101214</v>
      </c>
      <c r="C437" s="19" t="n">
        <f aca="true">MAX(0.25,NORMINV(RAND(),$B$7,$C$7))</f>
        <v>0.452183093743371</v>
      </c>
      <c r="D437" s="32" t="n">
        <f aca="true">MAX(0.07,NORMINV(RAND(),$B$8,$C$8))</f>
        <v>0.0930520505048608</v>
      </c>
      <c r="E437" s="51" t="n">
        <f aca="true">MAX(8,NORMINV(RAND(),$B$9,$C$9))</f>
        <v>19.4240751311894</v>
      </c>
      <c r="F437" s="24" t="n">
        <f aca="false">$B$18*(1+(B437+$B$17)/2)^9</f>
        <v>22138.1398699743</v>
      </c>
      <c r="G437" s="24" t="n">
        <f aca="false">F437*C437</f>
        <v>10010.4925761285</v>
      </c>
      <c r="H437" s="24" t="n">
        <f aca="false">E437*G437/(1+D437)^9</f>
        <v>87302.8069815836</v>
      </c>
      <c r="I437" s="24" t="n">
        <f aca="false">$B$13*G437/$B$12*((1+$B$8)/(1+D437))^4.5</f>
        <v>26200.7910348035</v>
      </c>
      <c r="J437" s="24" t="n">
        <f aca="false">H437+I437-$B$14</f>
        <v>106065.997262962</v>
      </c>
      <c r="K437" s="43" t="n">
        <f aca="false">J437/$B$15</f>
        <v>553.580361497716</v>
      </c>
    </row>
    <row r="438" customFormat="false" ht="15" hidden="false" customHeight="false" outlineLevel="0" collapsed="false">
      <c r="A438" s="50" t="n">
        <v>398</v>
      </c>
      <c r="B438" s="19" t="n">
        <f aca="true">NORMINV(RAND(),$B$6,$C$6)</f>
        <v>0.163318868565845</v>
      </c>
      <c r="C438" s="19" t="n">
        <f aca="true">MAX(0.25,NORMINV(RAND(),$B$7,$C$7))</f>
        <v>0.474710837530574</v>
      </c>
      <c r="D438" s="32" t="n">
        <f aca="true">MAX(0.07,NORMINV(RAND(),$B$8,$C$8))</f>
        <v>0.100422071464945</v>
      </c>
      <c r="E438" s="51" t="n">
        <f aca="true">MAX(8,NORMINV(RAND(),$B$9,$C$9))</f>
        <v>20.9802882097704</v>
      </c>
      <c r="F438" s="24" t="n">
        <f aca="false">$B$18*(1+(B438+$B$17)/2)^9</f>
        <v>25058.0736182555</v>
      </c>
      <c r="G438" s="24" t="n">
        <f aca="false">F438*C438</f>
        <v>11895.3391142249</v>
      </c>
      <c r="H438" s="24" t="n">
        <f aca="false">E438*G438/(1+D438)^9</f>
        <v>105476.24109662</v>
      </c>
      <c r="I438" s="24" t="n">
        <f aca="false">$B$13*G438/$B$12*((1+$B$8)/(1+D438))^4.5</f>
        <v>30206.6637559285</v>
      </c>
      <c r="J438" s="24" t="n">
        <f aca="false">H438+I438-$B$14</f>
        <v>128245.304099124</v>
      </c>
      <c r="K438" s="43" t="n">
        <f aca="false">J438/$B$15</f>
        <v>669.338747907745</v>
      </c>
    </row>
    <row r="439" customFormat="false" ht="15" hidden="false" customHeight="false" outlineLevel="0" collapsed="false">
      <c r="A439" s="50" t="n">
        <v>399</v>
      </c>
      <c r="B439" s="19" t="n">
        <f aca="true">NORMINV(RAND(),$B$6,$C$6)</f>
        <v>0.119704558594526</v>
      </c>
      <c r="C439" s="19" t="n">
        <f aca="true">MAX(0.25,NORMINV(RAND(),$B$7,$C$7))</f>
        <v>0.418024824331093</v>
      </c>
      <c r="D439" s="32" t="n">
        <f aca="true">MAX(0.07,NORMINV(RAND(),$B$8,$C$8))</f>
        <v>0.0995154302541914</v>
      </c>
      <c r="E439" s="51" t="n">
        <f aca="true">MAX(8,NORMINV(RAND(),$B$9,$C$9))</f>
        <v>16.062144411352</v>
      </c>
      <c r="F439" s="24" t="n">
        <f aca="false">$B$18*(1+(B439+$B$17)/2)^9</f>
        <v>20965.7590164533</v>
      </c>
      <c r="G439" s="24" t="n">
        <f aca="false">F439*C439</f>
        <v>8764.20772982092</v>
      </c>
      <c r="H439" s="24" t="n">
        <f aca="false">E439*G439/(1+D439)^9</f>
        <v>59938.2739694041</v>
      </c>
      <c r="I439" s="24" t="n">
        <f aca="false">$B$13*G439/$B$12*((1+$B$8)/(1+D439))^4.5</f>
        <v>22338.2648006898</v>
      </c>
      <c r="J439" s="24" t="n">
        <f aca="false">H439+I439-$B$14</f>
        <v>74838.9380166692</v>
      </c>
      <c r="K439" s="43" t="n">
        <f aca="false">J439/$B$15</f>
        <v>390.599885264453</v>
      </c>
    </row>
    <row r="440" customFormat="false" ht="15" hidden="false" customHeight="false" outlineLevel="0" collapsed="false">
      <c r="A440" s="50" t="n">
        <v>400</v>
      </c>
      <c r="B440" s="19" t="n">
        <f aca="true">NORMINV(RAND(),$B$6,$C$6)</f>
        <v>0.126731251260374</v>
      </c>
      <c r="C440" s="19" t="n">
        <f aca="true">MAX(0.25,NORMINV(RAND(),$B$7,$C$7))</f>
        <v>0.456272381637874</v>
      </c>
      <c r="D440" s="32" t="n">
        <f aca="true">MAX(0.07,NORMINV(RAND(),$B$8,$C$8))</f>
        <v>0.0877856747162498</v>
      </c>
      <c r="E440" s="51" t="n">
        <f aca="true">MAX(8,NORMINV(RAND(),$B$9,$C$9))</f>
        <v>19.3635152363328</v>
      </c>
      <c r="F440" s="24" t="n">
        <f aca="false">$B$18*(1+(B440+$B$17)/2)^9</f>
        <v>21581.946025234</v>
      </c>
      <c r="G440" s="24" t="n">
        <f aca="false">F440*C440</f>
        <v>9847.24591331357</v>
      </c>
      <c r="H440" s="24" t="n">
        <f aca="false">E440*G440/(1+D440)^9</f>
        <v>89414.7091894688</v>
      </c>
      <c r="I440" s="24" t="n">
        <f aca="false">$B$13*G440/$B$12*((1+$B$8)/(1+D440))^4.5</f>
        <v>26339.8031866266</v>
      </c>
      <c r="J440" s="24" t="n">
        <f aca="false">H440+I440-$B$14</f>
        <v>108316.911622671</v>
      </c>
      <c r="K440" s="43" t="n">
        <f aca="false">J440/$B$15</f>
        <v>565.328348761329</v>
      </c>
    </row>
    <row r="441" customFormat="false" ht="15" hidden="false" customHeight="false" outlineLevel="0" collapsed="false">
      <c r="A441" s="50" t="n">
        <v>401</v>
      </c>
      <c r="B441" s="19" t="n">
        <f aca="true">NORMINV(RAND(),$B$6,$C$6)</f>
        <v>0.105865618028204</v>
      </c>
      <c r="C441" s="19" t="n">
        <f aca="true">MAX(0.25,NORMINV(RAND(),$B$7,$C$7))</f>
        <v>0.446948941398987</v>
      </c>
      <c r="D441" s="32" t="n">
        <f aca="true">MAX(0.07,NORMINV(RAND(),$B$8,$C$8))</f>
        <v>0.0993543140264437</v>
      </c>
      <c r="E441" s="51" t="n">
        <f aca="true">MAX(8,NORMINV(RAND(),$B$9,$C$9))</f>
        <v>14.41749473507</v>
      </c>
      <c r="F441" s="24" t="n">
        <f aca="false">$B$18*(1+(B441+$B$17)/2)^9</f>
        <v>19797.7329498741</v>
      </c>
      <c r="G441" s="24" t="n">
        <f aca="false">F441*C441</f>
        <v>8848.57578404609</v>
      </c>
      <c r="H441" s="24" t="n">
        <f aca="false">E441*G441/(1+D441)^9</f>
        <v>54390.6202512511</v>
      </c>
      <c r="I441" s="24" t="n">
        <f aca="false">$B$13*G441/$B$12*((1+$B$8)/(1+D441))^4.5</f>
        <v>22568.1802939772</v>
      </c>
      <c r="J441" s="24" t="n">
        <f aca="false">H441+I441-$B$14</f>
        <v>69521.1997918036</v>
      </c>
      <c r="K441" s="43" t="n">
        <f aca="false">J441/$B$15</f>
        <v>362.845510395635</v>
      </c>
    </row>
    <row r="442" customFormat="false" ht="15" hidden="false" customHeight="false" outlineLevel="0" collapsed="false">
      <c r="A442" s="50" t="n">
        <v>402</v>
      </c>
      <c r="B442" s="19" t="n">
        <f aca="true">NORMINV(RAND(),$B$6,$C$6)</f>
        <v>0.0651351190751018</v>
      </c>
      <c r="C442" s="19" t="n">
        <f aca="true">MAX(0.25,NORMINV(RAND(),$B$7,$C$7))</f>
        <v>0.448639076386786</v>
      </c>
      <c r="D442" s="32" t="n">
        <f aca="true">MAX(0.07,NORMINV(RAND(),$B$8,$C$8))</f>
        <v>0.107589912199491</v>
      </c>
      <c r="E442" s="51" t="n">
        <f aca="true">MAX(8,NORMINV(RAND(),$B$9,$C$9))</f>
        <v>10.2724605787146</v>
      </c>
      <c r="F442" s="24" t="n">
        <f aca="false">$B$18*(1+(B442+$B$17)/2)^9</f>
        <v>16688.2513495488</v>
      </c>
      <c r="G442" s="24" t="n">
        <f aca="false">F442*C442</f>
        <v>7487.00167197211</v>
      </c>
      <c r="H442" s="24" t="n">
        <f aca="false">E442*G442/(1+D442)^9</f>
        <v>30659.9533074831</v>
      </c>
      <c r="I442" s="24" t="n">
        <f aca="false">$B$13*G442/$B$12*((1+$B$8)/(1+D442))^4.5</f>
        <v>18464.8259490406</v>
      </c>
      <c r="J442" s="24" t="n">
        <f aca="false">H442+I442-$B$14</f>
        <v>41687.178503099</v>
      </c>
      <c r="K442" s="43" t="n">
        <f aca="false">J442/$B$15</f>
        <v>217.574000538095</v>
      </c>
    </row>
    <row r="443" customFormat="false" ht="15" hidden="false" customHeight="false" outlineLevel="0" collapsed="false">
      <c r="A443" s="50" t="n">
        <v>403</v>
      </c>
      <c r="B443" s="19" t="n">
        <f aca="true">NORMINV(RAND(),$B$6,$C$6)</f>
        <v>0.0740824562525015</v>
      </c>
      <c r="C443" s="19" t="n">
        <f aca="true">MAX(0.25,NORMINV(RAND(),$B$7,$C$7))</f>
        <v>0.553253997708706</v>
      </c>
      <c r="D443" s="32" t="n">
        <f aca="true">MAX(0.07,NORMINV(RAND(),$B$8,$C$8))</f>
        <v>0.102572471248747</v>
      </c>
      <c r="E443" s="51" t="n">
        <f aca="true">MAX(8,NORMINV(RAND(),$B$9,$C$9))</f>
        <v>17.1074313903625</v>
      </c>
      <c r="F443" s="24" t="n">
        <f aca="false">$B$18*(1+(B443+$B$17)/2)^9</f>
        <v>17331.3605750937</v>
      </c>
      <c r="G443" s="24" t="n">
        <f aca="false">F443*C443</f>
        <v>9588.64452390163</v>
      </c>
      <c r="H443" s="24" t="n">
        <f aca="false">E443*G443/(1+D443)^9</f>
        <v>68120.483391521</v>
      </c>
      <c r="I443" s="24" t="n">
        <f aca="false">$B$13*G443/$B$12*((1+$B$8)/(1+D443))^4.5</f>
        <v>24136.1400229403</v>
      </c>
      <c r="J443" s="24" t="n">
        <f aca="false">H443+I443-$B$14</f>
        <v>84819.0226610366</v>
      </c>
      <c r="K443" s="43" t="n">
        <f aca="false">J443/$B$15</f>
        <v>442.688009713134</v>
      </c>
    </row>
    <row r="444" customFormat="false" ht="15" hidden="false" customHeight="false" outlineLevel="0" collapsed="false">
      <c r="A444" s="50" t="n">
        <v>404</v>
      </c>
      <c r="B444" s="19" t="n">
        <f aca="true">NORMINV(RAND(),$B$6,$C$6)</f>
        <v>0.092394793927592</v>
      </c>
      <c r="C444" s="19" t="n">
        <f aca="true">MAX(0.25,NORMINV(RAND(),$B$7,$C$7))</f>
        <v>0.436756017408506</v>
      </c>
      <c r="D444" s="32" t="n">
        <f aca="true">MAX(0.07,NORMINV(RAND(),$B$8,$C$8))</f>
        <v>0.097773022475884</v>
      </c>
      <c r="E444" s="51" t="n">
        <f aca="true">MAX(8,NORMINV(RAND(),$B$9,$C$9))</f>
        <v>14.2770926327329</v>
      </c>
      <c r="F444" s="24" t="n">
        <f aca="false">$B$18*(1+(B444+$B$17)/2)^9</f>
        <v>18716.7006227514</v>
      </c>
      <c r="G444" s="24" t="n">
        <f aca="false">F444*C444</f>
        <v>8174.63162302018</v>
      </c>
      <c r="H444" s="24" t="n">
        <f aca="false">E444*G444/(1+D444)^9</f>
        <v>50407.4796311348</v>
      </c>
      <c r="I444" s="24" t="n">
        <f aca="false">$B$13*G444/$B$12*((1+$B$8)/(1+D444))^4.5</f>
        <v>20984.7813674069</v>
      </c>
      <c r="J444" s="24" t="n">
        <f aca="false">H444+I444-$B$14</f>
        <v>63954.660245117</v>
      </c>
      <c r="K444" s="43" t="n">
        <f aca="false">J444/$B$15</f>
        <v>333.79259000583</v>
      </c>
    </row>
    <row r="445" customFormat="false" ht="15" hidden="false" customHeight="false" outlineLevel="0" collapsed="false">
      <c r="A445" s="50" t="n">
        <v>405</v>
      </c>
      <c r="B445" s="19" t="n">
        <f aca="true">NORMINV(RAND(),$B$6,$C$6)</f>
        <v>0.0436350715000008</v>
      </c>
      <c r="C445" s="19" t="n">
        <f aca="true">MAX(0.25,NORMINV(RAND(),$B$7,$C$7))</f>
        <v>0.487649636290534</v>
      </c>
      <c r="D445" s="32" t="n">
        <f aca="true">MAX(0.07,NORMINV(RAND(),$B$8,$C$8))</f>
        <v>0.0771084816759959</v>
      </c>
      <c r="E445" s="51" t="n">
        <f aca="true">MAX(8,NORMINV(RAND(),$B$9,$C$9))</f>
        <v>15.1413674719864</v>
      </c>
      <c r="F445" s="24" t="n">
        <f aca="false">$B$18*(1+(B445+$B$17)/2)^9</f>
        <v>15228.7943383012</v>
      </c>
      <c r="G445" s="24" t="n">
        <f aca="false">F445*C445</f>
        <v>7426.31602021595</v>
      </c>
      <c r="H445" s="24" t="n">
        <f aca="false">E445*G445/(1+D445)^9</f>
        <v>57624.014917428</v>
      </c>
      <c r="I445" s="24" t="n">
        <f aca="false">$B$13*G445/$B$12*((1+$B$8)/(1+D445))^4.5</f>
        <v>20765.8001841699</v>
      </c>
      <c r="J445" s="24" t="n">
        <f aca="false">H445+I445-$B$14</f>
        <v>70952.2143481732</v>
      </c>
      <c r="K445" s="43" t="n">
        <f aca="false">J445/$B$15</f>
        <v>370.314271128253</v>
      </c>
    </row>
    <row r="446" customFormat="false" ht="15" hidden="false" customHeight="false" outlineLevel="0" collapsed="false">
      <c r="A446" s="50" t="n">
        <v>406</v>
      </c>
      <c r="B446" s="19" t="n">
        <f aca="true">NORMINV(RAND(),$B$6,$C$6)</f>
        <v>0.0909830561797817</v>
      </c>
      <c r="C446" s="19" t="n">
        <f aca="true">MAX(0.25,NORMINV(RAND(),$B$7,$C$7))</f>
        <v>0.465991720658171</v>
      </c>
      <c r="D446" s="32" t="n">
        <f aca="true">MAX(0.07,NORMINV(RAND(),$B$8,$C$8))</f>
        <v>0.0958329355751881</v>
      </c>
      <c r="E446" s="51" t="n">
        <f aca="true">MAX(8,NORMINV(RAND(),$B$9,$C$9))</f>
        <v>20.233591044693</v>
      </c>
      <c r="F446" s="24" t="n">
        <f aca="false">$B$18*(1+(B446+$B$17)/2)^9</f>
        <v>18606.5048977829</v>
      </c>
      <c r="G446" s="24" t="n">
        <f aca="false">F446*C446</f>
        <v>8670.47723275252</v>
      </c>
      <c r="H446" s="24" t="n">
        <f aca="false">E446*G446/(1+D446)^9</f>
        <v>76986.8991868874</v>
      </c>
      <c r="I446" s="24" t="n">
        <f aca="false">$B$13*G446/$B$12*((1+$B$8)/(1+D446))^4.5</f>
        <v>22435.5221457361</v>
      </c>
      <c r="J446" s="24" t="n">
        <f aca="false">H446+I446-$B$14</f>
        <v>91984.8205791988</v>
      </c>
      <c r="K446" s="43" t="n">
        <f aca="false">J446/$B$15</f>
        <v>480.087790079326</v>
      </c>
    </row>
    <row r="447" customFormat="false" ht="15" hidden="false" customHeight="false" outlineLevel="0" collapsed="false">
      <c r="A447" s="50" t="n">
        <v>407</v>
      </c>
      <c r="B447" s="19" t="n">
        <f aca="true">NORMINV(RAND(),$B$6,$C$6)</f>
        <v>0.124139902153586</v>
      </c>
      <c r="C447" s="19" t="n">
        <f aca="true">MAX(0.25,NORMINV(RAND(),$B$7,$C$7))</f>
        <v>0.489727174947055</v>
      </c>
      <c r="D447" s="32" t="n">
        <f aca="true">MAX(0.07,NORMINV(RAND(),$B$8,$C$8))</f>
        <v>0.105985898469375</v>
      </c>
      <c r="E447" s="51" t="n">
        <f aca="true">MAX(8,NORMINV(RAND(),$B$9,$C$9))</f>
        <v>16.738446750475</v>
      </c>
      <c r="F447" s="24" t="n">
        <f aca="false">$B$18*(1+(B447+$B$17)/2)^9</f>
        <v>21352.8561867079</v>
      </c>
      <c r="G447" s="24" t="n">
        <f aca="false">F447*C447</f>
        <v>10457.0739373672</v>
      </c>
      <c r="H447" s="24" t="n">
        <f aca="false">E447*G447/(1+D447)^9</f>
        <v>70693.4255892193</v>
      </c>
      <c r="I447" s="24" t="n">
        <f aca="false">$B$13*G447/$B$12*((1+$B$8)/(1+D447))^4.5</f>
        <v>25958.5108922595</v>
      </c>
      <c r="J447" s="24" t="n">
        <f aca="false">H447+I447-$B$14</f>
        <v>89214.3357280541</v>
      </c>
      <c r="K447" s="43" t="n">
        <f aca="false">J447/$B$15</f>
        <v>465.628057035773</v>
      </c>
    </row>
    <row r="448" customFormat="false" ht="15" hidden="false" customHeight="false" outlineLevel="0" collapsed="false">
      <c r="A448" s="50" t="n">
        <v>408</v>
      </c>
      <c r="B448" s="19" t="n">
        <f aca="true">NORMINV(RAND(),$B$6,$C$6)</f>
        <v>0.0944216647188103</v>
      </c>
      <c r="C448" s="19" t="n">
        <f aca="true">MAX(0.25,NORMINV(RAND(),$B$7,$C$7))</f>
        <v>0.525350899619806</v>
      </c>
      <c r="D448" s="32" t="n">
        <f aca="true">MAX(0.07,NORMINV(RAND(),$B$8,$C$8))</f>
        <v>0.0880621971337669</v>
      </c>
      <c r="E448" s="51" t="n">
        <f aca="true">MAX(8,NORMINV(RAND(),$B$9,$C$9))</f>
        <v>17.1179948697982</v>
      </c>
      <c r="F448" s="24" t="n">
        <f aca="false">$B$18*(1+(B448+$B$17)/2)^9</f>
        <v>18875.9260107808</v>
      </c>
      <c r="G448" s="24" t="n">
        <f aca="false">F448*C448</f>
        <v>9916.4847109206</v>
      </c>
      <c r="H448" s="24" t="n">
        <f aca="false">E448*G448/(1+D448)^9</f>
        <v>79419.4989558167</v>
      </c>
      <c r="I448" s="24" t="n">
        <f aca="false">$B$13*G448/$B$12*((1+$B$8)/(1+D448))^4.5</f>
        <v>26494.6843082453</v>
      </c>
      <c r="J448" s="24" t="n">
        <f aca="false">H448+I448-$B$14</f>
        <v>98476.5825106373</v>
      </c>
      <c r="K448" s="43" t="n">
        <f aca="false">J448/$B$15</f>
        <v>513.969637320654</v>
      </c>
    </row>
    <row r="449" customFormat="false" ht="15" hidden="false" customHeight="false" outlineLevel="0" collapsed="false">
      <c r="A449" s="50" t="n">
        <v>409</v>
      </c>
      <c r="B449" s="19" t="n">
        <f aca="true">NORMINV(RAND(),$B$6,$C$6)</f>
        <v>0.153167842961366</v>
      </c>
      <c r="C449" s="19" t="n">
        <f aca="true">MAX(0.25,NORMINV(RAND(),$B$7,$C$7))</f>
        <v>0.522189758957314</v>
      </c>
      <c r="D449" s="32" t="n">
        <f aca="true">MAX(0.07,NORMINV(RAND(),$B$8,$C$8))</f>
        <v>0.102119438751595</v>
      </c>
      <c r="E449" s="51" t="n">
        <f aca="true">MAX(8,NORMINV(RAND(),$B$9,$C$9))</f>
        <v>22.3774710591614</v>
      </c>
      <c r="F449" s="24" t="n">
        <f aca="false">$B$18*(1+(B449+$B$17)/2)^9</f>
        <v>24047.0086444325</v>
      </c>
      <c r="G449" s="24" t="n">
        <f aca="false">F449*C449</f>
        <v>12557.1016476806</v>
      </c>
      <c r="H449" s="24" t="n">
        <f aca="false">E449*G449/(1+D449)^9</f>
        <v>117123.071372439</v>
      </c>
      <c r="I449" s="24" t="n">
        <f aca="false">$B$13*G449/$B$12*((1+$B$8)/(1+D449))^4.5</f>
        <v>31666.7271060617</v>
      </c>
      <c r="J449" s="24" t="n">
        <f aca="false">H449+I449-$B$14</f>
        <v>141352.197725076</v>
      </c>
      <c r="K449" s="43" t="n">
        <f aca="false">J449/$B$15</f>
        <v>737.746334682023</v>
      </c>
    </row>
    <row r="450" customFormat="false" ht="15" hidden="false" customHeight="false" outlineLevel="0" collapsed="false">
      <c r="A450" s="50" t="n">
        <v>410</v>
      </c>
      <c r="B450" s="19" t="n">
        <f aca="true">NORMINV(RAND(),$B$6,$C$6)</f>
        <v>0.0940013769915623</v>
      </c>
      <c r="C450" s="19" t="n">
        <f aca="true">MAX(0.25,NORMINV(RAND(),$B$7,$C$7))</f>
        <v>0.486821784484472</v>
      </c>
      <c r="D450" s="32" t="n">
        <f aca="true">MAX(0.07,NORMINV(RAND(),$B$8,$C$8))</f>
        <v>0.0892855939186658</v>
      </c>
      <c r="E450" s="51" t="n">
        <f aca="true">MAX(8,NORMINV(RAND(),$B$9,$C$9))</f>
        <v>18.6995492723139</v>
      </c>
      <c r="F450" s="24" t="n">
        <f aca="false">$B$18*(1+(B450+$B$17)/2)^9</f>
        <v>18842.8107707446</v>
      </c>
      <c r="G450" s="24" t="n">
        <f aca="false">F450*C450</f>
        <v>9173.0907641171</v>
      </c>
      <c r="H450" s="24" t="n">
        <f aca="false">E450*G450/(1+D450)^9</f>
        <v>79445.8085072869</v>
      </c>
      <c r="I450" s="24" t="n">
        <f aca="false">$B$13*G450/$B$12*((1+$B$8)/(1+D450))^4.5</f>
        <v>24384.8742866002</v>
      </c>
      <c r="J450" s="24" t="n">
        <f aca="false">H450+I450-$B$14</f>
        <v>96393.0820404625</v>
      </c>
      <c r="K450" s="43" t="n">
        <f aca="false">J450/$B$15</f>
        <v>503.095417747716</v>
      </c>
    </row>
    <row r="451" customFormat="false" ht="15" hidden="false" customHeight="false" outlineLevel="0" collapsed="false">
      <c r="A451" s="50" t="n">
        <v>411</v>
      </c>
      <c r="B451" s="19" t="n">
        <f aca="true">NORMINV(RAND(),$B$6,$C$6)</f>
        <v>0.107928699882612</v>
      </c>
      <c r="C451" s="19" t="n">
        <f aca="true">MAX(0.25,NORMINV(RAND(),$B$7,$C$7))</f>
        <v>0.466218011064078</v>
      </c>
      <c r="D451" s="32" t="n">
        <f aca="true">MAX(0.07,NORMINV(RAND(),$B$8,$C$8))</f>
        <v>0.105343087000353</v>
      </c>
      <c r="E451" s="51" t="n">
        <f aca="true">MAX(8,NORMINV(RAND(),$B$9,$C$9))</f>
        <v>15.0588808443844</v>
      </c>
      <c r="F451" s="24" t="n">
        <f aca="false">$B$18*(1+(B451+$B$17)/2)^9</f>
        <v>19968.1049359282</v>
      </c>
      <c r="G451" s="24" t="n">
        <f aca="false">F451*C451</f>
        <v>9309.49016794726</v>
      </c>
      <c r="H451" s="24" t="n">
        <f aca="false">E451*G451/(1+D451)^9</f>
        <v>56917.3536526557</v>
      </c>
      <c r="I451" s="24" t="n">
        <f aca="false">$B$13*G451/$B$12*((1+$B$8)/(1+D451))^4.5</f>
        <v>23170.3023245938</v>
      </c>
      <c r="J451" s="24" t="n">
        <f aca="false">H451+I451-$B$14</f>
        <v>72650.0552238248</v>
      </c>
      <c r="K451" s="43" t="n">
        <f aca="false">J451/$B$15</f>
        <v>379.175653569023</v>
      </c>
    </row>
    <row r="452" customFormat="false" ht="15" hidden="false" customHeight="false" outlineLevel="0" collapsed="false">
      <c r="A452" s="50" t="n">
        <v>412</v>
      </c>
      <c r="B452" s="19" t="n">
        <f aca="true">NORMINV(RAND(),$B$6,$C$6)</f>
        <v>0.160822705761638</v>
      </c>
      <c r="C452" s="19" t="n">
        <f aca="true">MAX(0.25,NORMINV(RAND(),$B$7,$C$7))</f>
        <v>0.523691251400816</v>
      </c>
      <c r="D452" s="32" t="n">
        <f aca="true">MAX(0.07,NORMINV(RAND(),$B$8,$C$8))</f>
        <v>0.0913833182627774</v>
      </c>
      <c r="E452" s="51" t="n">
        <f aca="true">MAX(8,NORMINV(RAND(),$B$9,$C$9))</f>
        <v>20.3136163477796</v>
      </c>
      <c r="F452" s="24" t="n">
        <f aca="false">$B$18*(1+(B452+$B$17)/2)^9</f>
        <v>24806.0091027134</v>
      </c>
      <c r="G452" s="24" t="n">
        <f aca="false">F452*C452</f>
        <v>12990.68994926</v>
      </c>
      <c r="H452" s="24" t="n">
        <f aca="false">E452*G452/(1+D452)^9</f>
        <v>120122.30618485</v>
      </c>
      <c r="I452" s="24" t="n">
        <f aca="false">$B$13*G452/$B$12*((1+$B$8)/(1+D452))^4.5</f>
        <v>34235.5308923319</v>
      </c>
      <c r="J452" s="24" t="n">
        <f aca="false">H452+I452-$B$14</f>
        <v>146920.236323757</v>
      </c>
      <c r="K452" s="43" t="n">
        <f aca="false">J452/$B$15</f>
        <v>766.807078934013</v>
      </c>
    </row>
    <row r="453" customFormat="false" ht="15" hidden="false" customHeight="false" outlineLevel="0" collapsed="false">
      <c r="A453" s="50" t="n">
        <v>413</v>
      </c>
      <c r="B453" s="19" t="n">
        <f aca="true">NORMINV(RAND(),$B$6,$C$6)</f>
        <v>0.0503949570449281</v>
      </c>
      <c r="C453" s="19" t="n">
        <f aca="true">MAX(0.25,NORMINV(RAND(),$B$7,$C$7))</f>
        <v>0.450163584946347</v>
      </c>
      <c r="D453" s="32" t="n">
        <f aca="true">MAX(0.07,NORMINV(RAND(),$B$8,$C$8))</f>
        <v>0.0945359355073604</v>
      </c>
      <c r="E453" s="51" t="n">
        <f aca="true">MAX(8,NORMINV(RAND(),$B$9,$C$9))</f>
        <v>17.4183673188522</v>
      </c>
      <c r="F453" s="24" t="n">
        <f aca="false">$B$18*(1+(B453+$B$17)/2)^9</f>
        <v>15674.9282360394</v>
      </c>
      <c r="G453" s="24" t="n">
        <f aca="false">F453*C453</f>
        <v>7056.28188851221</v>
      </c>
      <c r="H453" s="24" t="n">
        <f aca="false">E453*G453/(1+D453)^9</f>
        <v>54514.6393956732</v>
      </c>
      <c r="I453" s="24" t="n">
        <f aca="false">$B$13*G453/$B$12*((1+$B$8)/(1+D453))^4.5</f>
        <v>18356.2329623611</v>
      </c>
      <c r="J453" s="24" t="n">
        <f aca="false">H453+I453-$B$14</f>
        <v>65433.2716046096</v>
      </c>
      <c r="K453" s="43" t="n">
        <f aca="false">J453/$B$15</f>
        <v>341.509768291282</v>
      </c>
    </row>
    <row r="454" customFormat="false" ht="15" hidden="false" customHeight="false" outlineLevel="0" collapsed="false">
      <c r="A454" s="50" t="n">
        <v>414</v>
      </c>
      <c r="B454" s="19" t="n">
        <f aca="true">NORMINV(RAND(),$B$6,$C$6)</f>
        <v>0.052203153907558</v>
      </c>
      <c r="C454" s="19" t="n">
        <f aca="true">MAX(0.25,NORMINV(RAND(),$B$7,$C$7))</f>
        <v>0.461832357733861</v>
      </c>
      <c r="D454" s="32" t="n">
        <f aca="true">MAX(0.07,NORMINV(RAND(),$B$8,$C$8))</f>
        <v>0.0864676826423364</v>
      </c>
      <c r="E454" s="51" t="n">
        <f aca="true">MAX(8,NORMINV(RAND(),$B$9,$C$9))</f>
        <v>14.2200019352441</v>
      </c>
      <c r="F454" s="24" t="n">
        <f aca="false">$B$18*(1+(B454+$B$17)/2)^9</f>
        <v>15796.216530412</v>
      </c>
      <c r="G454" s="24" t="n">
        <f aca="false">F454*C454</f>
        <v>7295.20392351474</v>
      </c>
      <c r="H454" s="24" t="n">
        <f aca="false">E454*G454/(1+D454)^9</f>
        <v>49179.6890282944</v>
      </c>
      <c r="I454" s="24" t="n">
        <f aca="false">$B$13*G454/$B$12*((1+$B$8)/(1+D454))^4.5</f>
        <v>19620.2496857397</v>
      </c>
      <c r="J454" s="24" t="n">
        <f aca="false">H454+I454-$B$14</f>
        <v>61362.3379606095</v>
      </c>
      <c r="K454" s="43" t="n">
        <f aca="false">J454/$B$15</f>
        <v>320.2627242203</v>
      </c>
    </row>
    <row r="455" customFormat="false" ht="15" hidden="false" customHeight="false" outlineLevel="0" collapsed="false">
      <c r="A455" s="50" t="n">
        <v>415</v>
      </c>
      <c r="B455" s="19" t="n">
        <f aca="true">NORMINV(RAND(),$B$6,$C$6)</f>
        <v>0.112790121738424</v>
      </c>
      <c r="C455" s="19" t="n">
        <f aca="true">MAX(0.25,NORMINV(RAND(),$B$7,$C$7))</f>
        <v>0.460909148025075</v>
      </c>
      <c r="D455" s="32" t="n">
        <f aca="true">MAX(0.07,NORMINV(RAND(),$B$8,$C$8))</f>
        <v>0.110431492015343</v>
      </c>
      <c r="E455" s="51" t="n">
        <f aca="true">MAX(8,NORMINV(RAND(),$B$9,$C$9))</f>
        <v>16.7339129484757</v>
      </c>
      <c r="F455" s="24" t="n">
        <f aca="false">$B$18*(1+(B455+$B$17)/2)^9</f>
        <v>20374.7318033705</v>
      </c>
      <c r="G455" s="24" t="n">
        <f aca="false">F455*C455</f>
        <v>9390.9002767309</v>
      </c>
      <c r="H455" s="24" t="n">
        <f aca="false">E455*G455/(1+D455)^9</f>
        <v>61217.9531441601</v>
      </c>
      <c r="I455" s="24" t="n">
        <f aca="false">$B$13*G455/$B$12*((1+$B$8)/(1+D455))^4.5</f>
        <v>22894.8084488452</v>
      </c>
      <c r="J455" s="24" t="n">
        <f aca="false">H455+I455-$B$14</f>
        <v>76675.1608395806</v>
      </c>
      <c r="K455" s="43" t="n">
        <f aca="false">J455/$B$15</f>
        <v>400.183511688834</v>
      </c>
    </row>
    <row r="456" customFormat="false" ht="15" hidden="false" customHeight="false" outlineLevel="0" collapsed="false">
      <c r="A456" s="50" t="n">
        <v>416</v>
      </c>
      <c r="B456" s="19" t="n">
        <f aca="true">NORMINV(RAND(),$B$6,$C$6)</f>
        <v>0.0968905280659561</v>
      </c>
      <c r="C456" s="19" t="n">
        <f aca="true">MAX(0.25,NORMINV(RAND(),$B$7,$C$7))</f>
        <v>0.479286348721572</v>
      </c>
      <c r="D456" s="32" t="n">
        <f aca="true">MAX(0.07,NORMINV(RAND(),$B$8,$C$8))</f>
        <v>0.102878841386549</v>
      </c>
      <c r="E456" s="51" t="n">
        <f aca="true">MAX(8,NORMINV(RAND(),$B$9,$C$9))</f>
        <v>19.9036428281695</v>
      </c>
      <c r="F456" s="24" t="n">
        <f aca="false">$B$18*(1+(B456+$B$17)/2)^9</f>
        <v>19071.4988774241</v>
      </c>
      <c r="G456" s="24" t="n">
        <f aca="false">F456*C456</f>
        <v>9140.70906160813</v>
      </c>
      <c r="H456" s="24" t="n">
        <f aca="false">E456*G456/(1+D456)^9</f>
        <v>75363.6999000666</v>
      </c>
      <c r="I456" s="24" t="n">
        <f aca="false">$B$13*G456/$B$12*((1+$B$8)/(1+D456))^4.5</f>
        <v>22979.8671858284</v>
      </c>
      <c r="J456" s="24" t="n">
        <f aca="false">H456+I456-$B$14</f>
        <v>90905.9663324703</v>
      </c>
      <c r="K456" s="43" t="n">
        <f aca="false">J456/$B$15</f>
        <v>474.457026787423</v>
      </c>
    </row>
    <row r="457" customFormat="false" ht="15" hidden="false" customHeight="false" outlineLevel="0" collapsed="false">
      <c r="A457" s="50" t="n">
        <v>417</v>
      </c>
      <c r="B457" s="19" t="n">
        <f aca="true">NORMINV(RAND(),$B$6,$C$6)</f>
        <v>0.0502448019125522</v>
      </c>
      <c r="C457" s="19" t="n">
        <f aca="true">MAX(0.25,NORMINV(RAND(),$B$7,$C$7))</f>
        <v>0.482873982082902</v>
      </c>
      <c r="D457" s="32" t="n">
        <f aca="true">MAX(0.07,NORMINV(RAND(),$B$8,$C$8))</f>
        <v>0.092049713103696</v>
      </c>
      <c r="E457" s="51" t="n">
        <f aca="true">MAX(8,NORMINV(RAND(),$B$9,$C$9))</f>
        <v>17.8538638798874</v>
      </c>
      <c r="F457" s="24" t="n">
        <f aca="false">$B$18*(1+(B457+$B$17)/2)^9</f>
        <v>15664.8936164368</v>
      </c>
      <c r="G457" s="24" t="n">
        <f aca="false">F457*C457</f>
        <v>7564.16955947387</v>
      </c>
      <c r="H457" s="24" t="n">
        <f aca="false">E457*G457/(1+D457)^9</f>
        <v>61138.0795874768</v>
      </c>
      <c r="I457" s="24" t="n">
        <f aca="false">$B$13*G457/$B$12*((1+$B$8)/(1+D457))^4.5</f>
        <v>19879.8528250039</v>
      </c>
      <c r="J457" s="24" t="n">
        <f aca="false">H457+I457-$B$14</f>
        <v>73580.331659056</v>
      </c>
      <c r="K457" s="43" t="n">
        <f aca="false">J457/$B$15</f>
        <v>384.030958554572</v>
      </c>
    </row>
    <row r="458" customFormat="false" ht="15" hidden="false" customHeight="false" outlineLevel="0" collapsed="false">
      <c r="A458" s="50" t="n">
        <v>418</v>
      </c>
      <c r="B458" s="19" t="n">
        <f aca="true">NORMINV(RAND(),$B$6,$C$6)</f>
        <v>0.117047343945933</v>
      </c>
      <c r="C458" s="19" t="n">
        <f aca="true">MAX(0.25,NORMINV(RAND(),$B$7,$C$7))</f>
        <v>0.543982819613917</v>
      </c>
      <c r="D458" s="32" t="n">
        <f aca="true">MAX(0.07,NORMINV(RAND(),$B$8,$C$8))</f>
        <v>0.0966876648301239</v>
      </c>
      <c r="E458" s="51" t="n">
        <f aca="true">MAX(8,NORMINV(RAND(),$B$9,$C$9))</f>
        <v>19.3547013731532</v>
      </c>
      <c r="F458" s="24" t="n">
        <f aca="false">$B$18*(1+(B458+$B$17)/2)^9</f>
        <v>20736.8487750205</v>
      </c>
      <c r="G458" s="24" t="n">
        <f aca="false">F458*C458</f>
        <v>11280.489466543</v>
      </c>
      <c r="H458" s="24" t="n">
        <f aca="false">E458*G458/(1+D458)^9</f>
        <v>95141.0173229414</v>
      </c>
      <c r="I458" s="24" t="n">
        <f aca="false">$B$13*G458/$B$12*((1+$B$8)/(1+D458))^4.5</f>
        <v>29086.8961616135</v>
      </c>
      <c r="J458" s="24" t="n">
        <f aca="false">H458+I458-$B$14</f>
        <v>116790.31273113</v>
      </c>
      <c r="K458" s="43" t="n">
        <f aca="false">J458/$B$15</f>
        <v>609.552780433874</v>
      </c>
    </row>
    <row r="459" customFormat="false" ht="15" hidden="false" customHeight="false" outlineLevel="0" collapsed="false">
      <c r="A459" s="50" t="n">
        <v>419</v>
      </c>
      <c r="B459" s="19" t="n">
        <f aca="true">NORMINV(RAND(),$B$6,$C$6)</f>
        <v>0.0902324514160634</v>
      </c>
      <c r="C459" s="19" t="n">
        <f aca="true">MAX(0.25,NORMINV(RAND(),$B$7,$C$7))</f>
        <v>0.492097425373154</v>
      </c>
      <c r="D459" s="32" t="n">
        <f aca="true">MAX(0.07,NORMINV(RAND(),$B$8,$C$8))</f>
        <v>0.106436618915978</v>
      </c>
      <c r="E459" s="51" t="n">
        <f aca="true">MAX(8,NORMINV(RAND(),$B$9,$C$9))</f>
        <v>20.7940668037463</v>
      </c>
      <c r="F459" s="24" t="n">
        <f aca="false">$B$18*(1+(B459+$B$17)/2)^9</f>
        <v>18548.1502429162</v>
      </c>
      <c r="G459" s="24" t="n">
        <f aca="false">F459*C459</f>
        <v>9127.49697997352</v>
      </c>
      <c r="H459" s="24" t="n">
        <f aca="false">E459*G459/(1+D459)^9</f>
        <v>76375.1832070176</v>
      </c>
      <c r="I459" s="24" t="n">
        <f aca="false">$B$13*G459/$B$12*((1+$B$8)/(1+D459))^4.5</f>
        <v>22616.4800819615</v>
      </c>
      <c r="J459" s="24" t="n">
        <f aca="false">H459+I459-$B$14</f>
        <v>91554.0625355544</v>
      </c>
      <c r="K459" s="43" t="n">
        <f aca="false">J459/$B$15</f>
        <v>477.839574820221</v>
      </c>
    </row>
    <row r="460" customFormat="false" ht="15" hidden="false" customHeight="false" outlineLevel="0" collapsed="false">
      <c r="A460" s="50" t="n">
        <v>420</v>
      </c>
      <c r="B460" s="19" t="n">
        <f aca="true">NORMINV(RAND(),$B$6,$C$6)</f>
        <v>0.124337746902926</v>
      </c>
      <c r="C460" s="19" t="n">
        <f aca="true">MAX(0.25,NORMINV(RAND(),$B$7,$C$7))</f>
        <v>0.439098237074204</v>
      </c>
      <c r="D460" s="32" t="n">
        <f aca="true">MAX(0.07,NORMINV(RAND(),$B$8,$C$8))</f>
        <v>0.0962019455525041</v>
      </c>
      <c r="E460" s="51" t="n">
        <f aca="true">MAX(8,NORMINV(RAND(),$B$9,$C$9))</f>
        <v>16.7889208511935</v>
      </c>
      <c r="F460" s="24" t="n">
        <f aca="false">$B$18*(1+(B460+$B$17)/2)^9</f>
        <v>21370.2702421534</v>
      </c>
      <c r="G460" s="24" t="n">
        <f aca="false">F460*C460</f>
        <v>9383.64798912887</v>
      </c>
      <c r="H460" s="24" t="n">
        <f aca="false">E460*G460/(1+D460)^9</f>
        <v>68925.4122863568</v>
      </c>
      <c r="I460" s="24" t="n">
        <f aca="false">$B$13*G460/$B$12*((1+$B$8)/(1+D460))^4.5</f>
        <v>24244.1464966033</v>
      </c>
      <c r="J460" s="24" t="n">
        <f aca="false">H460+I460-$B$14</f>
        <v>85731.9580295354</v>
      </c>
      <c r="K460" s="43" t="n">
        <f aca="false">J460/$B$15</f>
        <v>447.452808087346</v>
      </c>
    </row>
    <row r="461" customFormat="false" ht="15" hidden="false" customHeight="false" outlineLevel="0" collapsed="false">
      <c r="A461" s="50" t="n">
        <v>421</v>
      </c>
      <c r="B461" s="19" t="n">
        <f aca="true">NORMINV(RAND(),$B$6,$C$6)</f>
        <v>0.0861115102947427</v>
      </c>
      <c r="C461" s="19" t="n">
        <f aca="true">MAX(0.25,NORMINV(RAND(),$B$7,$C$7))</f>
        <v>0.41045985956868</v>
      </c>
      <c r="D461" s="32" t="n">
        <f aca="true">MAX(0.07,NORMINV(RAND(),$B$8,$C$8))</f>
        <v>0.10010512149232</v>
      </c>
      <c r="E461" s="51" t="n">
        <f aca="true">MAX(8,NORMINV(RAND(),$B$9,$C$9))</f>
        <v>15.114332887152</v>
      </c>
      <c r="F461" s="24" t="n">
        <f aca="false">$B$18*(1+(B461+$B$17)/2)^9</f>
        <v>18230.662526653</v>
      </c>
      <c r="G461" s="24" t="n">
        <f aca="false">F461*C461</f>
        <v>7482.955180534</v>
      </c>
      <c r="H461" s="24" t="n">
        <f aca="false">E461*G461/(1+D461)^9</f>
        <v>47924.1532687712</v>
      </c>
      <c r="I461" s="24" t="n">
        <f aca="false">$B$13*G461/$B$12*((1+$B$8)/(1+D461))^4.5</f>
        <v>19026.6379824704</v>
      </c>
      <c r="J461" s="24" t="n">
        <f aca="false">H461+I461-$B$14</f>
        <v>59513.190497817</v>
      </c>
      <c r="K461" s="43" t="n">
        <f aca="false">J461/$B$15</f>
        <v>310.611641429107</v>
      </c>
    </row>
    <row r="462" customFormat="false" ht="15" hidden="false" customHeight="false" outlineLevel="0" collapsed="false">
      <c r="A462" s="50" t="n">
        <v>422</v>
      </c>
      <c r="B462" s="19" t="n">
        <f aca="true">NORMINV(RAND(),$B$6,$C$6)</f>
        <v>0.0891928347442346</v>
      </c>
      <c r="C462" s="19" t="n">
        <f aca="true">MAX(0.25,NORMINV(RAND(),$B$7,$C$7))</f>
        <v>0.468377319441667</v>
      </c>
      <c r="D462" s="32" t="n">
        <f aca="true">MAX(0.07,NORMINV(RAND(),$B$8,$C$8))</f>
        <v>0.0991493657414926</v>
      </c>
      <c r="E462" s="51" t="n">
        <f aca="true">MAX(8,NORMINV(RAND(),$B$9,$C$9))</f>
        <v>15.8415544373033</v>
      </c>
      <c r="F462" s="24" t="n">
        <f aca="false">$B$18*(1+(B462+$B$17)/2)^9</f>
        <v>18467.5954909641</v>
      </c>
      <c r="G462" s="24" t="n">
        <f aca="false">F462*C462</f>
        <v>8649.80287259075</v>
      </c>
      <c r="H462" s="24" t="n">
        <f aca="false">E462*G462/(1+D462)^9</f>
        <v>58518.5533720208</v>
      </c>
      <c r="I462" s="24" t="n">
        <f aca="false">$B$13*G462/$B$12*((1+$B$8)/(1+D462))^4.5</f>
        <v>22079.7295282565</v>
      </c>
      <c r="J462" s="24" t="n">
        <f aca="false">H462+I462-$B$14</f>
        <v>73160.6821468526</v>
      </c>
      <c r="K462" s="43" t="n">
        <f aca="false">J462/$B$15</f>
        <v>381.840721016976</v>
      </c>
    </row>
    <row r="463" customFormat="false" ht="15" hidden="false" customHeight="false" outlineLevel="0" collapsed="false">
      <c r="A463" s="50" t="n">
        <v>423</v>
      </c>
      <c r="B463" s="19" t="n">
        <f aca="true">NORMINV(RAND(),$B$6,$C$6)</f>
        <v>0.0945042282797114</v>
      </c>
      <c r="C463" s="19" t="n">
        <f aca="true">MAX(0.25,NORMINV(RAND(),$B$7,$C$7))</f>
        <v>0.45279058493536</v>
      </c>
      <c r="D463" s="32" t="n">
        <f aca="true">MAX(0.07,NORMINV(RAND(),$B$8,$C$8))</f>
        <v>0.0878801055205814</v>
      </c>
      <c r="E463" s="51" t="n">
        <f aca="true">MAX(8,NORMINV(RAND(),$B$9,$C$9))</f>
        <v>14.0994494565697</v>
      </c>
      <c r="F463" s="24" t="n">
        <f aca="false">$B$18*(1+(B463+$B$17)/2)^9</f>
        <v>18882.4374210187</v>
      </c>
      <c r="G463" s="24" t="n">
        <f aca="false">F463*C463</f>
        <v>8549.78988486837</v>
      </c>
      <c r="H463" s="24" t="n">
        <f aca="false">E463*G463/(1+D463)^9</f>
        <v>56484.3693778132</v>
      </c>
      <c r="I463" s="24" t="n">
        <f aca="false">$B$13*G463/$B$12*((1+$B$8)/(1+D463))^4.5</f>
        <v>22860.3847759722</v>
      </c>
      <c r="J463" s="24" t="n">
        <f aca="false">H463+I463-$B$14</f>
        <v>71907.1534003608</v>
      </c>
      <c r="K463" s="43" t="n">
        <f aca="false">J463/$B$15</f>
        <v>375.298295408981</v>
      </c>
    </row>
    <row r="464" customFormat="false" ht="15" hidden="false" customHeight="false" outlineLevel="0" collapsed="false">
      <c r="A464" s="50" t="n">
        <v>424</v>
      </c>
      <c r="B464" s="19" t="n">
        <f aca="true">NORMINV(RAND(),$B$6,$C$6)</f>
        <v>0.105193345026208</v>
      </c>
      <c r="C464" s="19" t="n">
        <f aca="true">MAX(0.25,NORMINV(RAND(),$B$7,$C$7))</f>
        <v>0.443051276345194</v>
      </c>
      <c r="D464" s="32" t="n">
        <f aca="true">MAX(0.07,NORMINV(RAND(),$B$8,$C$8))</f>
        <v>0.101844910540371</v>
      </c>
      <c r="E464" s="51" t="n">
        <f aca="true">MAX(8,NORMINV(RAND(),$B$9,$C$9))</f>
        <v>24.0598221636588</v>
      </c>
      <c r="F464" s="24" t="n">
        <f aca="false">$B$18*(1+(B464+$B$17)/2)^9</f>
        <v>19742.4955814749</v>
      </c>
      <c r="G464" s="24" t="n">
        <f aca="false">F464*C464</f>
        <v>8746.93786561183</v>
      </c>
      <c r="H464" s="24" t="n">
        <f aca="false">E464*G464/(1+D464)^9</f>
        <v>87915.2518635846</v>
      </c>
      <c r="I464" s="24" t="n">
        <f aca="false">$B$13*G464/$B$12*((1+$B$8)/(1+D464))^4.5</f>
        <v>22082.9290404021</v>
      </c>
      <c r="J464" s="24" t="n">
        <f aca="false">H464+I464-$B$14</f>
        <v>102560.580150562</v>
      </c>
      <c r="K464" s="43" t="n">
        <f aca="false">J464/$B$15</f>
        <v>535.284865086441</v>
      </c>
    </row>
    <row r="465" customFormat="false" ht="15" hidden="false" customHeight="false" outlineLevel="0" collapsed="false">
      <c r="A465" s="50" t="n">
        <v>425</v>
      </c>
      <c r="B465" s="19" t="n">
        <f aca="true">NORMINV(RAND(),$B$6,$C$6)</f>
        <v>0.12563103652759</v>
      </c>
      <c r="C465" s="19" t="n">
        <f aca="true">MAX(0.25,NORMINV(RAND(),$B$7,$C$7))</f>
        <v>0.486570374229926</v>
      </c>
      <c r="D465" s="32" t="n">
        <f aca="true">MAX(0.07,NORMINV(RAND(),$B$8,$C$8))</f>
        <v>0.0924885024484748</v>
      </c>
      <c r="E465" s="51" t="n">
        <f aca="true">MAX(8,NORMINV(RAND(),$B$9,$C$9))</f>
        <v>19.5239883121837</v>
      </c>
      <c r="F465" s="24" t="n">
        <f aca="false">$B$18*(1+(B465+$B$17)/2)^9</f>
        <v>21484.4153406145</v>
      </c>
      <c r="G465" s="24" t="n">
        <f aca="false">F465*C465</f>
        <v>10453.680012394</v>
      </c>
      <c r="H465" s="24" t="n">
        <f aca="false">E465*G465/(1+D465)^9</f>
        <v>92063.1574354011</v>
      </c>
      <c r="I465" s="24" t="n">
        <f aca="false">$B$13*G465/$B$12*((1+$B$8)/(1+D465))^4.5</f>
        <v>27424.3292755508</v>
      </c>
      <c r="J465" s="24" t="n">
        <f aca="false">H465+I465-$B$14</f>
        <v>112049.885957527</v>
      </c>
      <c r="K465" s="43" t="n">
        <f aca="false">J465/$B$15</f>
        <v>584.811513348264</v>
      </c>
    </row>
    <row r="466" customFormat="false" ht="15" hidden="false" customHeight="false" outlineLevel="0" collapsed="false">
      <c r="A466" s="50" t="n">
        <v>426</v>
      </c>
      <c r="B466" s="19" t="n">
        <f aca="true">NORMINV(RAND(),$B$6,$C$6)</f>
        <v>0.119183828286543</v>
      </c>
      <c r="C466" s="19" t="n">
        <f aca="true">MAX(0.25,NORMINV(RAND(),$B$7,$C$7))</f>
        <v>0.476157888877916</v>
      </c>
      <c r="D466" s="32" t="n">
        <f aca="true">MAX(0.07,NORMINV(RAND(),$B$8,$C$8))</f>
        <v>0.0854873877505121</v>
      </c>
      <c r="E466" s="51" t="n">
        <f aca="true">MAX(8,NORMINV(RAND(),$B$9,$C$9))</f>
        <v>29.8565065166477</v>
      </c>
      <c r="F466" s="24" t="n">
        <f aca="false">$B$18*(1+(B466+$B$17)/2)^9</f>
        <v>20920.7236869807</v>
      </c>
      <c r="G466" s="24" t="n">
        <f aca="false">F466*C466</f>
        <v>9961.56762459093</v>
      </c>
      <c r="H466" s="24" t="n">
        <f aca="false">E466*G466/(1+D466)^9</f>
        <v>142148.945267297</v>
      </c>
      <c r="I466" s="24" t="n">
        <f aca="false">$B$13*G466/$B$12*((1+$B$8)/(1+D466))^4.5</f>
        <v>26900.4112778546</v>
      </c>
      <c r="J466" s="24" t="n">
        <f aca="false">H466+I466-$B$14</f>
        <v>161611.755791727</v>
      </c>
      <c r="K466" s="43" t="n">
        <f aca="false">J466/$B$15</f>
        <v>843.485155489183</v>
      </c>
    </row>
    <row r="467" customFormat="false" ht="15" hidden="false" customHeight="false" outlineLevel="0" collapsed="false">
      <c r="A467" s="50" t="n">
        <v>427</v>
      </c>
      <c r="B467" s="19" t="n">
        <f aca="true">NORMINV(RAND(),$B$6,$C$6)</f>
        <v>0.0996612090508049</v>
      </c>
      <c r="C467" s="19" t="n">
        <f aca="true">MAX(0.25,NORMINV(RAND(),$B$7,$C$7))</f>
        <v>0.492483546151224</v>
      </c>
      <c r="D467" s="32" t="n">
        <f aca="true">MAX(0.07,NORMINV(RAND(),$B$8,$C$8))</f>
        <v>0.105525109183797</v>
      </c>
      <c r="E467" s="51" t="n">
        <f aca="true">MAX(8,NORMINV(RAND(),$B$9,$C$9))</f>
        <v>12.1152315689568</v>
      </c>
      <c r="F467" s="24" t="n">
        <f aca="false">$B$18*(1+(B467+$B$17)/2)^9</f>
        <v>19293.1236182235</v>
      </c>
      <c r="G467" s="24" t="n">
        <f aca="false">F467*C467</f>
        <v>9501.54593583665</v>
      </c>
      <c r="H467" s="24" t="n">
        <f aca="false">E467*G467/(1+D467)^9</f>
        <v>46666.85070287</v>
      </c>
      <c r="I467" s="24" t="n">
        <f aca="false">$B$13*G467/$B$12*((1+$B$8)/(1+D467))^4.5</f>
        <v>23630.7917831556</v>
      </c>
      <c r="J467" s="24" t="n">
        <f aca="false">H467+I467-$B$14</f>
        <v>62860.0417326009</v>
      </c>
      <c r="K467" s="43" t="n">
        <f aca="false">J467/$B$15</f>
        <v>328.079549752614</v>
      </c>
    </row>
    <row r="468" customFormat="false" ht="15" hidden="false" customHeight="false" outlineLevel="0" collapsed="false">
      <c r="A468" s="50" t="n">
        <v>428</v>
      </c>
      <c r="B468" s="19" t="n">
        <f aca="true">NORMINV(RAND(),$B$6,$C$6)</f>
        <v>0.103500634786554</v>
      </c>
      <c r="C468" s="19" t="n">
        <f aca="true">MAX(0.25,NORMINV(RAND(),$B$7,$C$7))</f>
        <v>0.476297219815972</v>
      </c>
      <c r="D468" s="32" t="n">
        <f aca="true">MAX(0.07,NORMINV(RAND(),$B$8,$C$8))</f>
        <v>0.1109065342667</v>
      </c>
      <c r="E468" s="51" t="n">
        <f aca="true">MAX(8,NORMINV(RAND(),$B$9,$C$9))</f>
        <v>17.7800974969505</v>
      </c>
      <c r="F468" s="24" t="n">
        <f aca="false">$B$18*(1+(B468+$B$17)/2)^9</f>
        <v>19604.0201408353</v>
      </c>
      <c r="G468" s="24" t="n">
        <f aca="false">F468*C468</f>
        <v>9337.34029029615</v>
      </c>
      <c r="H468" s="24" t="n">
        <f aca="false">E468*G468/(1+D468)^9</f>
        <v>64425.7722885041</v>
      </c>
      <c r="I468" s="24" t="n">
        <f aca="false">$B$13*G468/$B$12*((1+$B$8)/(1+D468))^4.5</f>
        <v>22720.4584990321</v>
      </c>
      <c r="J468" s="24" t="n">
        <f aca="false">H468+I468-$B$14</f>
        <v>79708.6300341115</v>
      </c>
      <c r="K468" s="43" t="n">
        <f aca="false">J468/$B$15</f>
        <v>416.015814374277</v>
      </c>
    </row>
    <row r="469" customFormat="false" ht="15" hidden="false" customHeight="false" outlineLevel="0" collapsed="false">
      <c r="A469" s="50" t="n">
        <v>429</v>
      </c>
      <c r="B469" s="19" t="n">
        <f aca="true">NORMINV(RAND(),$B$6,$C$6)</f>
        <v>0.135047064153499</v>
      </c>
      <c r="C469" s="19" t="n">
        <f aca="true">MAX(0.25,NORMINV(RAND(),$B$7,$C$7))</f>
        <v>0.513692840624452</v>
      </c>
      <c r="D469" s="32" t="n">
        <f aca="true">MAX(0.07,NORMINV(RAND(),$B$8,$C$8))</f>
        <v>0.0973875159892421</v>
      </c>
      <c r="E469" s="51" t="n">
        <f aca="true">MAX(8,NORMINV(RAND(),$B$9,$C$9))</f>
        <v>19.850437501911</v>
      </c>
      <c r="F469" s="24" t="n">
        <f aca="false">$B$18*(1+(B469+$B$17)/2)^9</f>
        <v>22331.9386004433</v>
      </c>
      <c r="G469" s="24" t="n">
        <f aca="false">F469*C469</f>
        <v>11471.7569763126</v>
      </c>
      <c r="H469" s="24" t="n">
        <f aca="false">E469*G469/(1+D469)^9</f>
        <v>98664.2646455308</v>
      </c>
      <c r="I469" s="24" t="n">
        <f aca="false">$B$13*G469/$B$12*((1+$B$8)/(1+D469))^4.5</f>
        <v>29495.2865388904</v>
      </c>
      <c r="J469" s="24" t="n">
        <f aca="false">H469+I469-$B$14</f>
        <v>120721.950430997</v>
      </c>
      <c r="K469" s="43" t="n">
        <f aca="false">J469/$B$15</f>
        <v>630.072810182654</v>
      </c>
    </row>
    <row r="470" customFormat="false" ht="15" hidden="false" customHeight="false" outlineLevel="0" collapsed="false">
      <c r="A470" s="50" t="n">
        <v>430</v>
      </c>
      <c r="B470" s="19" t="n">
        <f aca="true">NORMINV(RAND(),$B$6,$C$6)</f>
        <v>0.0879513078827102</v>
      </c>
      <c r="C470" s="19" t="n">
        <f aca="true">MAX(0.25,NORMINV(RAND(),$B$7,$C$7))</f>
        <v>0.466744137572365</v>
      </c>
      <c r="D470" s="32" t="n">
        <f aca="true">MAX(0.07,NORMINV(RAND(),$B$8,$C$8))</f>
        <v>0.102146627387632</v>
      </c>
      <c r="E470" s="51" t="n">
        <f aca="true">MAX(8,NORMINV(RAND(),$B$9,$C$9))</f>
        <v>21.159561844556</v>
      </c>
      <c r="F470" s="24" t="n">
        <f aca="false">$B$18*(1+(B470+$B$17)/2)^9</f>
        <v>18371.803262896</v>
      </c>
      <c r="G470" s="24" t="n">
        <f aca="false">F470*C470</f>
        <v>8574.93146958958</v>
      </c>
      <c r="H470" s="24" t="n">
        <f aca="false">E470*G470/(1+D470)^9</f>
        <v>75610.6452051662</v>
      </c>
      <c r="I470" s="24" t="n">
        <f aca="false">$B$13*G470/$B$12*((1+$B$8)/(1+D470))^4.5</f>
        <v>21622.017577776</v>
      </c>
      <c r="J470" s="24" t="n">
        <f aca="false">H470+I470-$B$14</f>
        <v>89795.0620295175</v>
      </c>
      <c r="K470" s="43" t="n">
        <f aca="false">J470/$B$15</f>
        <v>468.658987627962</v>
      </c>
    </row>
    <row r="471" customFormat="false" ht="15" hidden="false" customHeight="false" outlineLevel="0" collapsed="false">
      <c r="A471" s="50" t="n">
        <v>431</v>
      </c>
      <c r="B471" s="19" t="n">
        <f aca="true">NORMINV(RAND(),$B$6,$C$6)</f>
        <v>0.031272489458067</v>
      </c>
      <c r="C471" s="19" t="n">
        <f aca="true">MAX(0.25,NORMINV(RAND(),$B$7,$C$7))</f>
        <v>0.442572845195126</v>
      </c>
      <c r="D471" s="32" t="n">
        <f aca="true">MAX(0.07,NORMINV(RAND(),$B$8,$C$8))</f>
        <v>0.0841911778100192</v>
      </c>
      <c r="E471" s="51" t="n">
        <f aca="true">MAX(8,NORMINV(RAND(),$B$9,$C$9))</f>
        <v>18.513750931174</v>
      </c>
      <c r="F471" s="24" t="n">
        <f aca="false">$B$18*(1+(B471+$B$17)/2)^9</f>
        <v>14442.0058578345</v>
      </c>
      <c r="G471" s="24" t="n">
        <f aca="false">F471*C471</f>
        <v>6391.6396228265</v>
      </c>
      <c r="H471" s="24" t="n">
        <f aca="false">E471*G471/(1+D471)^9</f>
        <v>57168.1154163309</v>
      </c>
      <c r="I471" s="24" t="n">
        <f aca="false">$B$13*G471/$B$12*((1+$B$8)/(1+D471))^4.5</f>
        <v>17353.1619521747</v>
      </c>
      <c r="J471" s="24" t="n">
        <f aca="false">H471+I471-$B$14</f>
        <v>67083.6766150809</v>
      </c>
      <c r="K471" s="43" t="n">
        <f aca="false">J471/$B$15</f>
        <v>350.123573147604</v>
      </c>
    </row>
    <row r="472" customFormat="false" ht="15" hidden="false" customHeight="false" outlineLevel="0" collapsed="false">
      <c r="A472" s="50" t="n">
        <v>432</v>
      </c>
      <c r="B472" s="19" t="n">
        <f aca="true">NORMINV(RAND(),$B$6,$C$6)</f>
        <v>0.104454979914091</v>
      </c>
      <c r="C472" s="19" t="n">
        <f aca="true">MAX(0.25,NORMINV(RAND(),$B$7,$C$7))</f>
        <v>0.501788189440534</v>
      </c>
      <c r="D472" s="32" t="n">
        <f aca="true">MAX(0.07,NORMINV(RAND(),$B$8,$C$8))</f>
        <v>0.097841358641824</v>
      </c>
      <c r="E472" s="51" t="n">
        <f aca="true">MAX(8,NORMINV(RAND(),$B$9,$C$9))</f>
        <v>21.7326209521809</v>
      </c>
      <c r="F472" s="24" t="n">
        <f aca="false">$B$18*(1+(B472+$B$17)/2)^9</f>
        <v>19681.9856437949</v>
      </c>
      <c r="G472" s="24" t="n">
        <f aca="false">F472*C472</f>
        <v>9876.18794079444</v>
      </c>
      <c r="H472" s="24" t="n">
        <f aca="false">E472*G472/(1+D472)^9</f>
        <v>92649.9439688439</v>
      </c>
      <c r="I472" s="24" t="n">
        <f aca="false">$B$13*G472/$B$12*((1+$B$8)/(1+D472))^4.5</f>
        <v>25345.6802141095</v>
      </c>
      <c r="J472" s="24" t="n">
        <f aca="false">H472+I472-$B$14</f>
        <v>110558.023429529</v>
      </c>
      <c r="K472" s="43" t="n">
        <f aca="false">J472/$B$15</f>
        <v>577.02517447562</v>
      </c>
    </row>
    <row r="473" customFormat="false" ht="15" hidden="false" customHeight="false" outlineLevel="0" collapsed="false">
      <c r="A473" s="50" t="n">
        <v>433</v>
      </c>
      <c r="B473" s="19" t="n">
        <f aca="true">NORMINV(RAND(),$B$6,$C$6)</f>
        <v>0.138879270951525</v>
      </c>
      <c r="C473" s="19" t="n">
        <f aca="true">MAX(0.25,NORMINV(RAND(),$B$7,$C$7))</f>
        <v>0.463088057777212</v>
      </c>
      <c r="D473" s="32" t="n">
        <f aca="true">MAX(0.07,NORMINV(RAND(),$B$8,$C$8))</f>
        <v>0.108877062447885</v>
      </c>
      <c r="E473" s="51" t="n">
        <f aca="true">MAX(8,NORMINV(RAND(),$B$9,$C$9))</f>
        <v>17.2584136223635</v>
      </c>
      <c r="F473" s="24" t="n">
        <f aca="false">$B$18*(1+(B473+$B$17)/2)^9</f>
        <v>22685.2914799369</v>
      </c>
      <c r="G473" s="24" t="n">
        <f aca="false">F473*C473</f>
        <v>10505.2875715539</v>
      </c>
      <c r="H473" s="24" t="n">
        <f aca="false">E473*G473/(1+D473)^9</f>
        <v>71525.0579553917</v>
      </c>
      <c r="I473" s="24" t="n">
        <f aca="false">$B$13*G473/$B$12*((1+$B$8)/(1+D473))^4.5</f>
        <v>25773.6184831839</v>
      </c>
      <c r="J473" s="24" t="n">
        <f aca="false">H473+I473-$B$14</f>
        <v>89861.075685151</v>
      </c>
      <c r="K473" s="43" t="n">
        <f aca="false">J473/$B$15</f>
        <v>469.003526540454</v>
      </c>
    </row>
    <row r="474" customFormat="false" ht="15" hidden="false" customHeight="false" outlineLevel="0" collapsed="false">
      <c r="A474" s="50" t="n">
        <v>434</v>
      </c>
      <c r="B474" s="19" t="n">
        <f aca="true">NORMINV(RAND(),$B$6,$C$6)</f>
        <v>0.112374124481846</v>
      </c>
      <c r="C474" s="19" t="n">
        <f aca="true">MAX(0.25,NORMINV(RAND(),$B$7,$C$7))</f>
        <v>0.43759652620283</v>
      </c>
      <c r="D474" s="32" t="n">
        <f aca="true">MAX(0.07,NORMINV(RAND(),$B$8,$C$8))</f>
        <v>0.0952828671142651</v>
      </c>
      <c r="E474" s="51" t="n">
        <f aca="true">MAX(8,NORMINV(RAND(),$B$9,$C$9))</f>
        <v>17.2057055130953</v>
      </c>
      <c r="F474" s="24" t="n">
        <f aca="false">$B$18*(1+(B474+$B$17)/2)^9</f>
        <v>20339.6505966451</v>
      </c>
      <c r="G474" s="24" t="n">
        <f aca="false">F474*C474</f>
        <v>8900.56044527122</v>
      </c>
      <c r="H474" s="24" t="n">
        <f aca="false">E474*G474/(1+D474)^9</f>
        <v>67507.6811667915</v>
      </c>
      <c r="I474" s="24" t="n">
        <f aca="false">$B$13*G474/$B$12*((1+$B$8)/(1+D474))^4.5</f>
        <v>23082.9749300244</v>
      </c>
      <c r="J474" s="24" t="n">
        <f aca="false">H474+I474-$B$14</f>
        <v>83153.0553433912</v>
      </c>
      <c r="K474" s="43" t="n">
        <f aca="false">J474/$B$15</f>
        <v>433.992981959244</v>
      </c>
    </row>
    <row r="475" customFormat="false" ht="15" hidden="false" customHeight="false" outlineLevel="0" collapsed="false">
      <c r="A475" s="50" t="n">
        <v>435</v>
      </c>
      <c r="B475" s="19" t="n">
        <f aca="true">NORMINV(RAND(),$B$6,$C$6)</f>
        <v>0.109123016003909</v>
      </c>
      <c r="C475" s="19" t="n">
        <f aca="true">MAX(0.25,NORMINV(RAND(),$B$7,$C$7))</f>
        <v>0.47384018853901</v>
      </c>
      <c r="D475" s="32" t="n">
        <f aca="true">MAX(0.07,NORMINV(RAND(),$B$8,$C$8))</f>
        <v>0.100954598019662</v>
      </c>
      <c r="E475" s="51" t="n">
        <f aca="true">MAX(8,NORMINV(RAND(),$B$9,$C$9))</f>
        <v>22.0671008365706</v>
      </c>
      <c r="F475" s="24" t="n">
        <f aca="false">$B$18*(1+(B475+$B$17)/2)^9</f>
        <v>20067.3275923332</v>
      </c>
      <c r="G475" s="24" t="n">
        <f aca="false">F475*C475</f>
        <v>9508.70628982522</v>
      </c>
      <c r="H475" s="24" t="n">
        <f aca="false">E475*G475/(1+D475)^9</f>
        <v>88296.2026225569</v>
      </c>
      <c r="I475" s="24" t="n">
        <f aca="false">$B$13*G475/$B$12*((1+$B$8)/(1+D475))^4.5</f>
        <v>24093.6079970442</v>
      </c>
      <c r="J475" s="24" t="n">
        <f aca="false">H475+I475-$B$14</f>
        <v>104952.209866176</v>
      </c>
      <c r="K475" s="43" t="n">
        <f aca="false">J475/$B$15</f>
        <v>547.76727487566</v>
      </c>
    </row>
    <row r="476" customFormat="false" ht="15" hidden="false" customHeight="false" outlineLevel="0" collapsed="false">
      <c r="A476" s="50" t="n">
        <v>436</v>
      </c>
      <c r="B476" s="19" t="n">
        <f aca="true">NORMINV(RAND(),$B$6,$C$6)</f>
        <v>0.129520683293331</v>
      </c>
      <c r="C476" s="19" t="n">
        <f aca="true">MAX(0.25,NORMINV(RAND(),$B$7,$C$7))</f>
        <v>0.448469151836853</v>
      </c>
      <c r="D476" s="32" t="n">
        <f aca="true">MAX(0.07,NORMINV(RAND(),$B$8,$C$8))</f>
        <v>0.10319505595368</v>
      </c>
      <c r="E476" s="51" t="n">
        <f aca="true">MAX(8,NORMINV(RAND(),$B$9,$C$9))</f>
        <v>14.9902006250102</v>
      </c>
      <c r="F476" s="24" t="n">
        <f aca="false">$B$18*(1+(B476+$B$17)/2)^9</f>
        <v>21830.9867653182</v>
      </c>
      <c r="G476" s="24" t="n">
        <f aca="false">F476*C476</f>
        <v>9790.52411840384</v>
      </c>
      <c r="H476" s="24" t="n">
        <f aca="false">E476*G476/(1+D476)^9</f>
        <v>60637.6867732161</v>
      </c>
      <c r="I476" s="24" t="n">
        <f aca="false">$B$13*G476/$B$12*((1+$B$8)/(1+D476))^4.5</f>
        <v>24581.7790709256</v>
      </c>
      <c r="J476" s="24" t="n">
        <f aca="false">H476+I476-$B$14</f>
        <v>77781.865090717</v>
      </c>
      <c r="K476" s="43" t="n">
        <f aca="false">J476/$B$15</f>
        <v>405.959629909797</v>
      </c>
    </row>
    <row r="477" customFormat="false" ht="15" hidden="false" customHeight="false" outlineLevel="0" collapsed="false">
      <c r="A477" s="50" t="n">
        <v>437</v>
      </c>
      <c r="B477" s="19" t="n">
        <f aca="true">NORMINV(RAND(),$B$6,$C$6)</f>
        <v>0.135455345021164</v>
      </c>
      <c r="C477" s="19" t="n">
        <f aca="true">MAX(0.25,NORMINV(RAND(),$B$7,$C$7))</f>
        <v>0.49317795081351</v>
      </c>
      <c r="D477" s="32" t="n">
        <f aca="true">MAX(0.07,NORMINV(RAND(),$B$8,$C$8))</f>
        <v>0.108171643876046</v>
      </c>
      <c r="E477" s="51" t="n">
        <f aca="true">MAX(8,NORMINV(RAND(),$B$9,$C$9))</f>
        <v>18.8754923458352</v>
      </c>
      <c r="F477" s="24" t="n">
        <f aca="false">$B$18*(1+(B477+$B$17)/2)^9</f>
        <v>22369.350285012</v>
      </c>
      <c r="G477" s="24" t="n">
        <f aca="false">F477*C477</f>
        <v>11032.0703345918</v>
      </c>
      <c r="H477" s="24" t="n">
        <f aca="false">E477*G477/(1+D477)^9</f>
        <v>82621.2977387382</v>
      </c>
      <c r="I477" s="24" t="n">
        <f aca="false">$B$13*G477/$B$12*((1+$B$8)/(1+D477))^4.5</f>
        <v>27143.6422782133</v>
      </c>
      <c r="J477" s="24" t="n">
        <f aca="false">H477+I477-$B$14</f>
        <v>102327.339263527</v>
      </c>
      <c r="K477" s="43" t="n">
        <f aca="false">J477/$B$15</f>
        <v>534.067532690641</v>
      </c>
    </row>
    <row r="478" customFormat="false" ht="15" hidden="false" customHeight="false" outlineLevel="0" collapsed="false">
      <c r="A478" s="50" t="n">
        <v>438</v>
      </c>
      <c r="B478" s="19" t="n">
        <f aca="true">NORMINV(RAND(),$B$6,$C$6)</f>
        <v>0.101489875331619</v>
      </c>
      <c r="C478" s="19" t="n">
        <f aca="true">MAX(0.25,NORMINV(RAND(),$B$7,$C$7))</f>
        <v>0.467798399506875</v>
      </c>
      <c r="D478" s="32" t="n">
        <f aca="true">MAX(0.07,NORMINV(RAND(),$B$8,$C$8))</f>
        <v>0.101656088713246</v>
      </c>
      <c r="E478" s="51" t="n">
        <f aca="true">MAX(8,NORMINV(RAND(),$B$9,$C$9))</f>
        <v>18.0176562019991</v>
      </c>
      <c r="F478" s="24" t="n">
        <f aca="false">$B$18*(1+(B478+$B$17)/2)^9</f>
        <v>19440.6484860016</v>
      </c>
      <c r="G478" s="24" t="n">
        <f aca="false">F478*C478</f>
        <v>9094.30424712728</v>
      </c>
      <c r="H478" s="24" t="n">
        <f aca="false">E478*G478/(1+D478)^9</f>
        <v>68557.2554785066</v>
      </c>
      <c r="I478" s="24" t="n">
        <f aca="false">$B$13*G478/$B$12*((1+$B$8)/(1+D478))^4.5</f>
        <v>22977.6205760136</v>
      </c>
      <c r="J478" s="24" t="n">
        <f aca="false">H478+I478-$B$14</f>
        <v>84097.2753010955</v>
      </c>
      <c r="K478" s="43" t="n">
        <f aca="false">J478/$B$15</f>
        <v>438.921061070436</v>
      </c>
    </row>
    <row r="479" customFormat="false" ht="15" hidden="false" customHeight="false" outlineLevel="0" collapsed="false">
      <c r="A479" s="50" t="n">
        <v>439</v>
      </c>
      <c r="B479" s="19" t="n">
        <f aca="true">NORMINV(RAND(),$B$6,$C$6)</f>
        <v>0.086313482450653</v>
      </c>
      <c r="C479" s="19" t="n">
        <f aca="true">MAX(0.25,NORMINV(RAND(),$B$7,$C$7))</f>
        <v>0.470872834254721</v>
      </c>
      <c r="D479" s="32" t="n">
        <f aca="true">MAX(0.07,NORMINV(RAND(),$B$8,$C$8))</f>
        <v>0.0982641855888451</v>
      </c>
      <c r="E479" s="51" t="n">
        <f aca="true">MAX(8,NORMINV(RAND(),$B$9,$C$9))</f>
        <v>12.9082857992497</v>
      </c>
      <c r="F479" s="24" t="n">
        <f aca="false">$B$18*(1+(B479+$B$17)/2)^9</f>
        <v>18246.1096520089</v>
      </c>
      <c r="G479" s="24" t="n">
        <f aca="false">F479*C479</f>
        <v>8591.59736596384</v>
      </c>
      <c r="H479" s="24" t="n">
        <f aca="false">E479*G479/(1+D479)^9</f>
        <v>47706.8888306396</v>
      </c>
      <c r="I479" s="24" t="n">
        <f aca="false">$B$13*G479/$B$12*((1+$B$8)/(1+D479))^4.5</f>
        <v>22010.8072089168</v>
      </c>
      <c r="J479" s="24" t="n">
        <f aca="false">H479+I479-$B$14</f>
        <v>62280.0952861318</v>
      </c>
      <c r="K479" s="43" t="n">
        <f aca="false">J479/$B$15</f>
        <v>325.052689384821</v>
      </c>
    </row>
    <row r="480" customFormat="false" ht="15" hidden="false" customHeight="false" outlineLevel="0" collapsed="false">
      <c r="A480" s="50" t="n">
        <v>440</v>
      </c>
      <c r="B480" s="19" t="n">
        <f aca="true">NORMINV(RAND(),$B$6,$C$6)</f>
        <v>0.101955826022832</v>
      </c>
      <c r="C480" s="19" t="n">
        <f aca="true">MAX(0.25,NORMINV(RAND(),$B$7,$C$7))</f>
        <v>0.446762810264539</v>
      </c>
      <c r="D480" s="32" t="n">
        <f aca="true">MAX(0.07,NORMINV(RAND(),$B$8,$C$8))</f>
        <v>0.104779887579623</v>
      </c>
      <c r="E480" s="51" t="n">
        <f aca="true">MAX(8,NORMINV(RAND(),$B$9,$C$9))</f>
        <v>17.0780084441877</v>
      </c>
      <c r="F480" s="24" t="n">
        <f aca="false">$B$18*(1+(B480+$B$17)/2)^9</f>
        <v>19478.3982743362</v>
      </c>
      <c r="G480" s="24" t="n">
        <f aca="false">F480*C480</f>
        <v>8702.22395249439</v>
      </c>
      <c r="H480" s="24" t="n">
        <f aca="false">E480*G480/(1+D480)^9</f>
        <v>60615.7726734314</v>
      </c>
      <c r="I480" s="24" t="n">
        <f aca="false">$B$13*G480/$B$12*((1+$B$8)/(1+D480))^4.5</f>
        <v>21708.6136220068</v>
      </c>
      <c r="J480" s="24" t="n">
        <f aca="false">H480+I480-$B$14</f>
        <v>74886.7855420135</v>
      </c>
      <c r="K480" s="43" t="n">
        <f aca="false">J480/$B$15</f>
        <v>390.84961138838</v>
      </c>
    </row>
    <row r="481" customFormat="false" ht="15" hidden="false" customHeight="false" outlineLevel="0" collapsed="false">
      <c r="A481" s="50" t="n">
        <v>441</v>
      </c>
      <c r="B481" s="19" t="n">
        <f aca="true">NORMINV(RAND(),$B$6,$C$6)</f>
        <v>0.0787335421884512</v>
      </c>
      <c r="C481" s="19" t="n">
        <f aca="true">MAX(0.25,NORMINV(RAND(),$B$7,$C$7))</f>
        <v>0.472496504140478</v>
      </c>
      <c r="D481" s="32" t="n">
        <f aca="true">MAX(0.07,NORMINV(RAND(),$B$8,$C$8))</f>
        <v>0.0806386959229301</v>
      </c>
      <c r="E481" s="51" t="n">
        <f aca="true">MAX(8,NORMINV(RAND(),$B$9,$C$9))</f>
        <v>14.3646755479252</v>
      </c>
      <c r="F481" s="24" t="n">
        <f aca="false">$B$18*(1+(B481+$B$17)/2)^9</f>
        <v>17674.2918837235</v>
      </c>
      <c r="G481" s="24" t="n">
        <f aca="false">F481*C481</f>
        <v>8351.04112821775</v>
      </c>
      <c r="H481" s="24" t="n">
        <f aca="false">E481*G481/(1+D481)^9</f>
        <v>59691.4061787988</v>
      </c>
      <c r="I481" s="24" t="n">
        <f aca="false">$B$13*G481/$B$12*((1+$B$8)/(1+D481))^4.5</f>
        <v>23010.2351025434</v>
      </c>
      <c r="J481" s="24" t="n">
        <f aca="false">H481+I481-$B$14</f>
        <v>75264.0405279176</v>
      </c>
      <c r="K481" s="43" t="n">
        <f aca="false">J481/$B$15</f>
        <v>392.818583131094</v>
      </c>
    </row>
    <row r="482" customFormat="false" ht="15" hidden="false" customHeight="false" outlineLevel="0" collapsed="false">
      <c r="A482" s="50" t="n">
        <v>442</v>
      </c>
      <c r="B482" s="19" t="n">
        <f aca="true">NORMINV(RAND(),$B$6,$C$6)</f>
        <v>0.0941281574388349</v>
      </c>
      <c r="C482" s="19" t="n">
        <f aca="true">MAX(0.25,NORMINV(RAND(),$B$7,$C$7))</f>
        <v>0.410918908582711</v>
      </c>
      <c r="D482" s="32" t="n">
        <f aca="true">MAX(0.07,NORMINV(RAND(),$B$8,$C$8))</f>
        <v>0.0994671050645722</v>
      </c>
      <c r="E482" s="51" t="n">
        <f aca="true">MAX(8,NORMINV(RAND(),$B$9,$C$9))</f>
        <v>14.8383563549818</v>
      </c>
      <c r="F482" s="24" t="n">
        <f aca="false">$B$18*(1+(B482+$B$17)/2)^9</f>
        <v>18852.7945908769</v>
      </c>
      <c r="G482" s="24" t="n">
        <f aca="false">F482*C482</f>
        <v>7746.96977701716</v>
      </c>
      <c r="H482" s="24" t="n">
        <f aca="false">E482*G482/(1+D482)^9</f>
        <v>48964.0684380307</v>
      </c>
      <c r="I482" s="24" t="n">
        <f aca="false">$B$13*G482/$B$12*((1+$B$8)/(1+D482))^4.5</f>
        <v>19749.4284178901</v>
      </c>
      <c r="J482" s="24" t="n">
        <f aca="false">H482+I482-$B$14</f>
        <v>61275.8961024961</v>
      </c>
      <c r="K482" s="43" t="n">
        <f aca="false">J482/$B$15</f>
        <v>319.811566296953</v>
      </c>
    </row>
    <row r="483" customFormat="false" ht="15" hidden="false" customHeight="false" outlineLevel="0" collapsed="false">
      <c r="A483" s="50" t="n">
        <v>443</v>
      </c>
      <c r="B483" s="19" t="n">
        <f aca="true">NORMINV(RAND(),$B$6,$C$6)</f>
        <v>0.0138121747206716</v>
      </c>
      <c r="C483" s="19" t="n">
        <f aca="true">MAX(0.25,NORMINV(RAND(),$B$7,$C$7))</f>
        <v>0.485830679059423</v>
      </c>
      <c r="D483" s="32" t="n">
        <f aca="true">MAX(0.07,NORMINV(RAND(),$B$8,$C$8))</f>
        <v>0.0838440390366352</v>
      </c>
      <c r="E483" s="51" t="n">
        <f aca="true">MAX(8,NORMINV(RAND(),$B$9,$C$9))</f>
        <v>12.8328285075241</v>
      </c>
      <c r="F483" s="24" t="n">
        <f aca="false">$B$18*(1+(B483+$B$17)/2)^9</f>
        <v>13392.3464363757</v>
      </c>
      <c r="G483" s="24" t="n">
        <f aca="false">F483*C483</f>
        <v>6506.41276338344</v>
      </c>
      <c r="H483" s="24" t="n">
        <f aca="false">E483*G483/(1+D483)^9</f>
        <v>40454.1295755436</v>
      </c>
      <c r="I483" s="24" t="n">
        <f aca="false">$B$13*G483/$B$12*((1+$B$8)/(1+D483))^4.5</f>
        <v>17690.2427016348</v>
      </c>
      <c r="J483" s="24" t="n">
        <f aca="false">H483+I483-$B$14</f>
        <v>50706.7715237537</v>
      </c>
      <c r="K483" s="43" t="n">
        <f aca="false">J483/$B$15</f>
        <v>264.64912068765</v>
      </c>
    </row>
    <row r="484" customFormat="false" ht="15" hidden="false" customHeight="false" outlineLevel="0" collapsed="false">
      <c r="A484" s="50" t="n">
        <v>444</v>
      </c>
      <c r="B484" s="19" t="n">
        <f aca="true">NORMINV(RAND(),$B$6,$C$6)</f>
        <v>0.0939075064405633</v>
      </c>
      <c r="C484" s="19" t="n">
        <f aca="true">MAX(0.25,NORMINV(RAND(),$B$7,$C$7))</f>
        <v>0.438482071993746</v>
      </c>
      <c r="D484" s="32" t="n">
        <f aca="true">MAX(0.07,NORMINV(RAND(),$B$8,$C$8))</f>
        <v>0.079612664744214</v>
      </c>
      <c r="E484" s="51" t="n">
        <f aca="true">MAX(8,NORMINV(RAND(),$B$9,$C$9))</f>
        <v>17.3219982576411</v>
      </c>
      <c r="F484" s="24" t="n">
        <f aca="false">$B$18*(1+(B484+$B$17)/2)^9</f>
        <v>18835.4215969353</v>
      </c>
      <c r="G484" s="24" t="n">
        <f aca="false">F484*C484</f>
        <v>8258.99468869996</v>
      </c>
      <c r="H484" s="24" t="n">
        <f aca="false">E484*G484/(1+D484)^9</f>
        <v>71798.1811516716</v>
      </c>
      <c r="I484" s="24" t="n">
        <f aca="false">$B$13*G484/$B$12*((1+$B$8)/(1+D484))^4.5</f>
        <v>22854.0971777127</v>
      </c>
      <c r="J484" s="24" t="n">
        <f aca="false">H484+I484-$B$14</f>
        <v>87214.6775759597</v>
      </c>
      <c r="K484" s="43" t="n">
        <f aca="false">J484/$B$15</f>
        <v>455.191427849476</v>
      </c>
    </row>
    <row r="485" customFormat="false" ht="15" hidden="false" customHeight="false" outlineLevel="0" collapsed="false">
      <c r="A485" s="50" t="n">
        <v>445</v>
      </c>
      <c r="B485" s="19" t="n">
        <f aca="true">NORMINV(RAND(),$B$6,$C$6)</f>
        <v>0.0572976434587607</v>
      </c>
      <c r="C485" s="19" t="n">
        <f aca="true">MAX(0.25,NORMINV(RAND(),$B$7,$C$7))</f>
        <v>0.486784810198686</v>
      </c>
      <c r="D485" s="32" t="n">
        <f aca="true">MAX(0.07,NORMINV(RAND(),$B$8,$C$8))</f>
        <v>0.0995613088642268</v>
      </c>
      <c r="E485" s="51" t="n">
        <f aca="true">MAX(8,NORMINV(RAND(),$B$9,$C$9))</f>
        <v>18.0886473348845</v>
      </c>
      <c r="F485" s="24" t="n">
        <f aca="false">$B$18*(1+(B485+$B$17)/2)^9</f>
        <v>16142.4379140075</v>
      </c>
      <c r="G485" s="24" t="n">
        <f aca="false">F485*C485</f>
        <v>7857.8935761142</v>
      </c>
      <c r="H485" s="24" t="n">
        <f aca="false">E485*G485/(1+D485)^9</f>
        <v>60497.466544918</v>
      </c>
      <c r="I485" s="24" t="n">
        <f aca="false">$B$13*G485/$B$12*((1+$B$8)/(1+D485))^4.5</f>
        <v>20024.4856630443</v>
      </c>
      <c r="J485" s="24" t="n">
        <f aca="false">H485+I485-$B$14</f>
        <v>73084.3514545376</v>
      </c>
      <c r="K485" s="43" t="n">
        <f aca="false">J485/$B$15</f>
        <v>381.442335357712</v>
      </c>
    </row>
    <row r="486" customFormat="false" ht="15" hidden="false" customHeight="false" outlineLevel="0" collapsed="false">
      <c r="A486" s="50" t="n">
        <v>446</v>
      </c>
      <c r="B486" s="19" t="n">
        <f aca="true">NORMINV(RAND(),$B$6,$C$6)</f>
        <v>0.081138393678006</v>
      </c>
      <c r="C486" s="19" t="n">
        <f aca="true">MAX(0.25,NORMINV(RAND(),$B$7,$C$7))</f>
        <v>0.46620444174352</v>
      </c>
      <c r="D486" s="32" t="n">
        <f aca="true">MAX(0.07,NORMINV(RAND(),$B$8,$C$8))</f>
        <v>0.0929100279234178</v>
      </c>
      <c r="E486" s="51" t="n">
        <f aca="true">MAX(8,NORMINV(RAND(),$B$9,$C$9))</f>
        <v>21.9438426817346</v>
      </c>
      <c r="F486" s="24" t="n">
        <f aca="false">$B$18*(1+(B486+$B$17)/2)^9</f>
        <v>17853.9596529977</v>
      </c>
      <c r="G486" s="24" t="n">
        <f aca="false">F486*C486</f>
        <v>8323.5952929371</v>
      </c>
      <c r="H486" s="24" t="n">
        <f aca="false">E486*G486/(1+D486)^9</f>
        <v>82103.9288692112</v>
      </c>
      <c r="I486" s="24" t="n">
        <f aca="false">$B$13*G486/$B$12*((1+$B$8)/(1+D486))^4.5</f>
        <v>21798.3618523</v>
      </c>
      <c r="J486" s="24" t="n">
        <f aca="false">H486+I486-$B$14</f>
        <v>96464.6899680865</v>
      </c>
      <c r="K486" s="43" t="n">
        <f aca="false">J486/$B$15</f>
        <v>503.469154321955</v>
      </c>
    </row>
    <row r="487" customFormat="false" ht="15" hidden="false" customHeight="false" outlineLevel="0" collapsed="false">
      <c r="A487" s="50" t="n">
        <v>447</v>
      </c>
      <c r="B487" s="19" t="n">
        <f aca="true">NORMINV(RAND(),$B$6,$C$6)</f>
        <v>0.104733898704781</v>
      </c>
      <c r="C487" s="19" t="n">
        <f aca="true">MAX(0.25,NORMINV(RAND(),$B$7,$C$7))</f>
        <v>0.471442499096951</v>
      </c>
      <c r="D487" s="32" t="n">
        <f aca="true">MAX(0.07,NORMINV(RAND(),$B$8,$C$8))</f>
        <v>0.0885942312627126</v>
      </c>
      <c r="E487" s="51" t="n">
        <f aca="true">MAX(8,NORMINV(RAND(),$B$9,$C$9))</f>
        <v>22.4548397952262</v>
      </c>
      <c r="F487" s="24" t="n">
        <f aca="false">$B$18*(1+(B487+$B$17)/2)^9</f>
        <v>19704.8239822501</v>
      </c>
      <c r="G487" s="24" t="n">
        <f aca="false">F487*C487</f>
        <v>9289.69146245754</v>
      </c>
      <c r="H487" s="24" t="n">
        <f aca="false">E487*G487/(1+D487)^9</f>
        <v>97166.5972305212</v>
      </c>
      <c r="I487" s="24" t="n">
        <f aca="false">$B$13*G487/$B$12*((1+$B$8)/(1+D487))^4.5</f>
        <v>24765.4892440372</v>
      </c>
      <c r="J487" s="24" t="n">
        <f aca="false">H487+I487-$B$14</f>
        <v>114494.485721134</v>
      </c>
      <c r="K487" s="43" t="n">
        <f aca="false">J487/$B$15</f>
        <v>597.570384765834</v>
      </c>
    </row>
    <row r="488" customFormat="false" ht="15" hidden="false" customHeight="false" outlineLevel="0" collapsed="false">
      <c r="A488" s="50" t="n">
        <v>448</v>
      </c>
      <c r="B488" s="19" t="n">
        <f aca="true">NORMINV(RAND(),$B$6,$C$6)</f>
        <v>0.113558956088638</v>
      </c>
      <c r="C488" s="19" t="n">
        <f aca="true">MAX(0.25,NORMINV(RAND(),$B$7,$C$7))</f>
        <v>0.43340351374556</v>
      </c>
      <c r="D488" s="32" t="n">
        <f aca="true">MAX(0.07,NORMINV(RAND(),$B$8,$C$8))</f>
        <v>0.0898676253948508</v>
      </c>
      <c r="E488" s="51" t="n">
        <f aca="true">MAX(8,NORMINV(RAND(),$B$9,$C$9))</f>
        <v>15.0486818886511</v>
      </c>
      <c r="F488" s="24" t="n">
        <f aca="false">$B$18*(1+(B488+$B$17)/2)^9</f>
        <v>20439.7094798708</v>
      </c>
      <c r="G488" s="24" t="n">
        <f aca="false">F488*C488</f>
        <v>8858.64190851444</v>
      </c>
      <c r="H488" s="24" t="n">
        <f aca="false">E488*G488/(1+D488)^9</f>
        <v>61447.1635417458</v>
      </c>
      <c r="I488" s="24" t="n">
        <f aca="false">$B$13*G488/$B$12*((1+$B$8)/(1+D488))^4.5</f>
        <v>23492.433862173</v>
      </c>
      <c r="J488" s="24" t="n">
        <f aca="false">H488+I488-$B$14</f>
        <v>77501.9966504941</v>
      </c>
      <c r="K488" s="43" t="n">
        <f aca="false">J488/$B$15</f>
        <v>404.4989386769</v>
      </c>
    </row>
    <row r="489" customFormat="false" ht="15" hidden="false" customHeight="false" outlineLevel="0" collapsed="false">
      <c r="A489" s="50" t="n">
        <v>449</v>
      </c>
      <c r="B489" s="19" t="n">
        <f aca="true">NORMINV(RAND(),$B$6,$C$6)</f>
        <v>0.0998710621958156</v>
      </c>
      <c r="C489" s="19" t="n">
        <f aca="true">MAX(0.25,NORMINV(RAND(),$B$7,$C$7))</f>
        <v>0.504518656691302</v>
      </c>
      <c r="D489" s="32" t="n">
        <f aca="true">MAX(0.07,NORMINV(RAND(),$B$8,$C$8))</f>
        <v>0.0890680385594638</v>
      </c>
      <c r="E489" s="51" t="n">
        <f aca="true">MAX(8,NORMINV(RAND(),$B$9,$C$9))</f>
        <v>18.4378050125995</v>
      </c>
      <c r="F489" s="24" t="n">
        <f aca="false">$B$18*(1+(B489+$B$17)/2)^9</f>
        <v>19310.0025017795</v>
      </c>
      <c r="G489" s="24" t="n">
        <f aca="false">F489*C489</f>
        <v>9742.25652290349</v>
      </c>
      <c r="H489" s="24" t="n">
        <f aca="false">E489*G489/(1+D489)^9</f>
        <v>83343.8701971901</v>
      </c>
      <c r="I489" s="24" t="n">
        <f aca="false">$B$13*G489/$B$12*((1+$B$8)/(1+D489))^4.5</f>
        <v>25921.1791524623</v>
      </c>
      <c r="J489" s="24" t="n">
        <f aca="false">H489+I489-$B$14</f>
        <v>101827.448596228</v>
      </c>
      <c r="K489" s="43" t="n">
        <f aca="false">J489/$B$15</f>
        <v>531.458499980312</v>
      </c>
    </row>
    <row r="490" customFormat="false" ht="15" hidden="false" customHeight="false" outlineLevel="0" collapsed="false">
      <c r="A490" s="50" t="n">
        <v>450</v>
      </c>
      <c r="B490" s="19" t="n">
        <f aca="true">NORMINV(RAND(),$B$6,$C$6)</f>
        <v>0.061226197300598</v>
      </c>
      <c r="C490" s="19" t="n">
        <f aca="true">MAX(0.25,NORMINV(RAND(),$B$7,$C$7))</f>
        <v>0.482048616546209</v>
      </c>
      <c r="D490" s="32" t="n">
        <f aca="true">MAX(0.07,NORMINV(RAND(),$B$8,$C$8))</f>
        <v>0.0939499315970188</v>
      </c>
      <c r="E490" s="51" t="n">
        <f aca="true">MAX(8,NORMINV(RAND(),$B$9,$C$9))</f>
        <v>20.1306047985214</v>
      </c>
      <c r="F490" s="24" t="n">
        <f aca="false">$B$18*(1+(B490+$B$17)/2)^9</f>
        <v>16414.0115931065</v>
      </c>
      <c r="G490" s="24" t="n">
        <f aca="false">F490*C490</f>
        <v>7912.35158043045</v>
      </c>
      <c r="H490" s="24" t="n">
        <f aca="false">E490*G490/(1+D490)^9</f>
        <v>70988.07351243</v>
      </c>
      <c r="I490" s="24" t="n">
        <f aca="false">$B$13*G490/$B$12*((1+$B$8)/(1+D490))^4.5</f>
        <v>20632.878576495</v>
      </c>
      <c r="J490" s="24" t="n">
        <f aca="false">H490+I490-$B$14</f>
        <v>84183.3513355004</v>
      </c>
      <c r="K490" s="43" t="n">
        <f aca="false">J490/$B$15</f>
        <v>439.37030968424</v>
      </c>
    </row>
    <row r="491" customFormat="false" ht="15" hidden="false" customHeight="false" outlineLevel="0" collapsed="false">
      <c r="A491" s="50" t="n">
        <v>451</v>
      </c>
      <c r="B491" s="19" t="n">
        <f aca="true">NORMINV(RAND(),$B$6,$C$6)</f>
        <v>0.148594236270201</v>
      </c>
      <c r="C491" s="19" t="n">
        <f aca="true">MAX(0.25,NORMINV(RAND(),$B$7,$C$7))</f>
        <v>0.439397449663921</v>
      </c>
      <c r="D491" s="32" t="n">
        <f aca="true">MAX(0.07,NORMINV(RAND(),$B$8,$C$8))</f>
        <v>0.0987198274949269</v>
      </c>
      <c r="E491" s="51" t="n">
        <f aca="true">MAX(8,NORMINV(RAND(),$B$9,$C$9))</f>
        <v>19.145785614552</v>
      </c>
      <c r="F491" s="24" t="n">
        <f aca="false">$B$18*(1+(B491+$B$17)/2)^9</f>
        <v>23603.4402847899</v>
      </c>
      <c r="G491" s="24" t="n">
        <f aca="false">F491*C491</f>
        <v>10371.2914644313</v>
      </c>
      <c r="H491" s="24" t="n">
        <f aca="false">E491*G491/(1+D491)^9</f>
        <v>85098.7878887647</v>
      </c>
      <c r="I491" s="24" t="n">
        <f aca="false">$B$13*G491/$B$12*((1+$B$8)/(1+D491))^4.5</f>
        <v>26520.6559413944</v>
      </c>
      <c r="J491" s="24" t="n">
        <f aca="false">H491+I491-$B$14</f>
        <v>104181.843076734</v>
      </c>
      <c r="K491" s="43" t="n">
        <f aca="false">J491/$B$15</f>
        <v>543.746571381704</v>
      </c>
    </row>
    <row r="492" customFormat="false" ht="15" hidden="false" customHeight="false" outlineLevel="0" collapsed="false">
      <c r="A492" s="50" t="n">
        <v>452</v>
      </c>
      <c r="B492" s="19" t="n">
        <f aca="true">NORMINV(RAND(),$B$6,$C$6)</f>
        <v>0.0999388252959699</v>
      </c>
      <c r="C492" s="19" t="n">
        <f aca="true">MAX(0.25,NORMINV(RAND(),$B$7,$C$7))</f>
        <v>0.445325872157531</v>
      </c>
      <c r="D492" s="32" t="n">
        <f aca="true">MAX(0.07,NORMINV(RAND(),$B$8,$C$8))</f>
        <v>0.0908931717493806</v>
      </c>
      <c r="E492" s="51" t="n">
        <f aca="true">MAX(8,NORMINV(RAND(),$B$9,$C$9))</f>
        <v>26.1867669869215</v>
      </c>
      <c r="F492" s="24" t="n">
        <f aca="false">$B$18*(1+(B492+$B$17)/2)^9</f>
        <v>19315.4556183617</v>
      </c>
      <c r="G492" s="24" t="n">
        <f aca="false">F492*C492</f>
        <v>8601.672119367</v>
      </c>
      <c r="H492" s="24" t="n">
        <f aca="false">E492*G492/(1+D492)^9</f>
        <v>102949.622259392</v>
      </c>
      <c r="I492" s="24" t="n">
        <f aca="false">$B$13*G492/$B$12*((1+$B$8)/(1+D492))^4.5</f>
        <v>22714.6280226376</v>
      </c>
      <c r="J492" s="24" t="n">
        <f aca="false">H492+I492-$B$14</f>
        <v>118226.649528604</v>
      </c>
      <c r="K492" s="43" t="n">
        <f aca="false">J492/$B$15</f>
        <v>617.049319042821</v>
      </c>
    </row>
    <row r="493" customFormat="false" ht="15" hidden="false" customHeight="false" outlineLevel="0" collapsed="false">
      <c r="A493" s="50" t="n">
        <v>453</v>
      </c>
      <c r="B493" s="19" t="n">
        <f aca="true">NORMINV(RAND(),$B$6,$C$6)</f>
        <v>0.106993159542656</v>
      </c>
      <c r="C493" s="19" t="n">
        <f aca="true">MAX(0.25,NORMINV(RAND(),$B$7,$C$7))</f>
        <v>0.41990773905294</v>
      </c>
      <c r="D493" s="32" t="n">
        <f aca="true">MAX(0.07,NORMINV(RAND(),$B$8,$C$8))</f>
        <v>0.114501482262084</v>
      </c>
      <c r="E493" s="51" t="n">
        <f aca="true">MAX(8,NORMINV(RAND(),$B$9,$C$9))</f>
        <v>23.9344571302888</v>
      </c>
      <c r="F493" s="24" t="n">
        <f aca="false">$B$18*(1+(B493+$B$17)/2)^9</f>
        <v>19890.6859753917</v>
      </c>
      <c r="G493" s="24" t="n">
        <f aca="false">F493*C493</f>
        <v>8352.25297613875</v>
      </c>
      <c r="H493" s="24" t="n">
        <f aca="false">E493*G493/(1+D493)^9</f>
        <v>75353.142317617</v>
      </c>
      <c r="I493" s="24" t="n">
        <f aca="false">$B$13*G493/$B$12*((1+$B$8)/(1+D493))^4.5</f>
        <v>20030.1159523688</v>
      </c>
      <c r="J493" s="24" t="n">
        <f aca="false">H493+I493-$B$14</f>
        <v>87945.6575165612</v>
      </c>
      <c r="K493" s="43" t="n">
        <f aca="false">J493/$B$15</f>
        <v>459.006563238837</v>
      </c>
    </row>
    <row r="494" customFormat="false" ht="15" hidden="false" customHeight="false" outlineLevel="0" collapsed="false">
      <c r="A494" s="50" t="n">
        <v>454</v>
      </c>
      <c r="B494" s="19" t="n">
        <f aca="true">NORMINV(RAND(),$B$6,$C$6)</f>
        <v>0.12369319455688</v>
      </c>
      <c r="C494" s="19" t="n">
        <f aca="true">MAX(0.25,NORMINV(RAND(),$B$7,$C$7))</f>
        <v>0.479550677492131</v>
      </c>
      <c r="D494" s="32" t="n">
        <f aca="true">MAX(0.07,NORMINV(RAND(),$B$8,$C$8))</f>
        <v>0.116464888930486</v>
      </c>
      <c r="E494" s="51" t="n">
        <f aca="true">MAX(8,NORMINV(RAND(),$B$9,$C$9))</f>
        <v>20.0198219298203</v>
      </c>
      <c r="F494" s="24" t="n">
        <f aca="false">$B$18*(1+(B494+$B$17)/2)^9</f>
        <v>21313.5839080769</v>
      </c>
      <c r="G494" s="24" t="n">
        <f aca="false">F494*C494</f>
        <v>10220.9436029037</v>
      </c>
      <c r="H494" s="24" t="n">
        <f aca="false">E494*G494/(1+D494)^9</f>
        <v>75918.1426586005</v>
      </c>
      <c r="I494" s="24" t="n">
        <f aca="false">$B$13*G494/$B$12*((1+$B$8)/(1+D494))^4.5</f>
        <v>24318.1721450991</v>
      </c>
      <c r="J494" s="24" t="n">
        <f aca="false">H494+I494-$B$14</f>
        <v>92798.714050275</v>
      </c>
      <c r="K494" s="43" t="n">
        <f aca="false">J494/$B$15</f>
        <v>484.335668320851</v>
      </c>
    </row>
    <row r="495" customFormat="false" ht="15" hidden="false" customHeight="false" outlineLevel="0" collapsed="false">
      <c r="A495" s="50" t="n">
        <v>455</v>
      </c>
      <c r="B495" s="19" t="n">
        <f aca="true">NORMINV(RAND(),$B$6,$C$6)</f>
        <v>0.0920652773484493</v>
      </c>
      <c r="C495" s="19" t="n">
        <f aca="true">MAX(0.25,NORMINV(RAND(),$B$7,$C$7))</f>
        <v>0.466456981344954</v>
      </c>
      <c r="D495" s="32" t="n">
        <f aca="true">MAX(0.07,NORMINV(RAND(),$B$8,$C$8))</f>
        <v>0.0986340655921821</v>
      </c>
      <c r="E495" s="51" t="n">
        <f aca="true">MAX(8,NORMINV(RAND(),$B$9,$C$9))</f>
        <v>17.1454689503974</v>
      </c>
      <c r="F495" s="24" t="n">
        <f aca="false">$B$18*(1+(B495+$B$17)/2)^9</f>
        <v>18690.9278464381</v>
      </c>
      <c r="G495" s="24" t="n">
        <f aca="false">F495*C495</f>
        <v>8718.51378178587</v>
      </c>
      <c r="H495" s="24" t="n">
        <f aca="false">E495*G495/(1+D495)^9</f>
        <v>64108.3022878536</v>
      </c>
      <c r="I495" s="24" t="n">
        <f aca="false">$B$13*G495/$B$12*((1+$B$8)/(1+D495))^4.5</f>
        <v>22302.1346480806</v>
      </c>
      <c r="J495" s="24" t="n">
        <f aca="false">H495+I495-$B$14</f>
        <v>78972.8361825096</v>
      </c>
      <c r="K495" s="43" t="n">
        <f aca="false">J495/$B$15</f>
        <v>412.175554188463</v>
      </c>
    </row>
    <row r="496" customFormat="false" ht="15" hidden="false" customHeight="false" outlineLevel="0" collapsed="false">
      <c r="A496" s="50" t="n">
        <v>456</v>
      </c>
      <c r="B496" s="19" t="n">
        <f aca="true">NORMINV(RAND(),$B$6,$C$6)</f>
        <v>0.137061211034424</v>
      </c>
      <c r="C496" s="19" t="n">
        <f aca="true">MAX(0.25,NORMINV(RAND(),$B$7,$C$7))</f>
        <v>0.493330052955131</v>
      </c>
      <c r="D496" s="32" t="n">
        <f aca="true">MAX(0.07,NORMINV(RAND(),$B$8,$C$8))</f>
        <v>0.0927850408881203</v>
      </c>
      <c r="E496" s="51" t="n">
        <f aca="true">MAX(8,NORMINV(RAND(),$B$9,$C$9))</f>
        <v>22.1617985813307</v>
      </c>
      <c r="F496" s="24" t="n">
        <f aca="false">$B$18*(1+(B496+$B$17)/2)^9</f>
        <v>22517.0404401732</v>
      </c>
      <c r="G496" s="24" t="n">
        <f aca="false">F496*C496</f>
        <v>11108.3327527435</v>
      </c>
      <c r="H496" s="24" t="n">
        <f aca="false">E496*G496/(1+D496)^9</f>
        <v>110774.860590803</v>
      </c>
      <c r="I496" s="24" t="n">
        <f aca="false">$B$13*G496/$B$12*((1+$B$8)/(1+D496))^4.5</f>
        <v>29106.1856443792</v>
      </c>
      <c r="J496" s="24" t="n">
        <f aca="false">H496+I496-$B$14</f>
        <v>132443.445481758</v>
      </c>
      <c r="K496" s="43" t="n">
        <f aca="false">J496/$B$15</f>
        <v>691.249715458025</v>
      </c>
    </row>
    <row r="497" customFormat="false" ht="15" hidden="false" customHeight="false" outlineLevel="0" collapsed="false">
      <c r="A497" s="50" t="n">
        <v>457</v>
      </c>
      <c r="B497" s="19" t="n">
        <f aca="true">NORMINV(RAND(),$B$6,$C$6)</f>
        <v>0.101562663898117</v>
      </c>
      <c r="C497" s="19" t="n">
        <f aca="true">MAX(0.25,NORMINV(RAND(),$B$7,$C$7))</f>
        <v>0.462016878842727</v>
      </c>
      <c r="D497" s="32" t="n">
        <f aca="true">MAX(0.07,NORMINV(RAND(),$B$8,$C$8))</f>
        <v>0.105035976015953</v>
      </c>
      <c r="E497" s="51" t="n">
        <f aca="true">MAX(8,NORMINV(RAND(),$B$9,$C$9))</f>
        <v>15.7576823382846</v>
      </c>
      <c r="F497" s="24" t="n">
        <f aca="false">$B$18*(1+(B497+$B$17)/2)^9</f>
        <v>19446.5412862311</v>
      </c>
      <c r="G497" s="24" t="n">
        <f aca="false">F497*C497</f>
        <v>8984.6303093507</v>
      </c>
      <c r="H497" s="24" t="n">
        <f aca="false">E497*G497/(1+D497)^9</f>
        <v>57624.1851500937</v>
      </c>
      <c r="I497" s="24" t="n">
        <f aca="false">$B$13*G497/$B$12*((1+$B$8)/(1+D497))^4.5</f>
        <v>22389.7417473774</v>
      </c>
      <c r="J497" s="24" t="n">
        <f aca="false">H497+I497-$B$14</f>
        <v>72576.3261440465</v>
      </c>
      <c r="K497" s="43" t="n">
        <f aca="false">J497/$B$15</f>
        <v>378.790846263291</v>
      </c>
    </row>
    <row r="498" customFormat="false" ht="15" hidden="false" customHeight="false" outlineLevel="0" collapsed="false">
      <c r="A498" s="50" t="n">
        <v>458</v>
      </c>
      <c r="B498" s="19" t="n">
        <f aca="true">NORMINV(RAND(),$B$6,$C$6)</f>
        <v>0.122420072908875</v>
      </c>
      <c r="C498" s="19" t="n">
        <f aca="true">MAX(0.25,NORMINV(RAND(),$B$7,$C$7))</f>
        <v>0.449622013410188</v>
      </c>
      <c r="D498" s="32" t="n">
        <f aca="true">MAX(0.07,NORMINV(RAND(),$B$8,$C$8))</f>
        <v>0.101962910113131</v>
      </c>
      <c r="E498" s="51" t="n">
        <f aca="true">MAX(8,NORMINV(RAND(),$B$9,$C$9))</f>
        <v>25.1743767109891</v>
      </c>
      <c r="F498" s="24" t="n">
        <f aca="false">$B$18*(1+(B498+$B$17)/2)^9</f>
        <v>21202.0094787177</v>
      </c>
      <c r="G498" s="24" t="n">
        <f aca="false">F498*C498</f>
        <v>9532.89019016296</v>
      </c>
      <c r="H498" s="24" t="n">
        <f aca="false">E498*G498/(1+D498)^9</f>
        <v>100156.818739006</v>
      </c>
      <c r="I498" s="24" t="n">
        <f aca="false">$B$13*G498/$B$12*((1+$B$8)/(1+D498))^4.5</f>
        <v>24055.5861179033</v>
      </c>
      <c r="J498" s="24" t="n">
        <f aca="false">H498+I498-$B$14</f>
        <v>116774.804103485</v>
      </c>
      <c r="K498" s="43" t="n">
        <f aca="false">J498/$B$15</f>
        <v>609.471837700861</v>
      </c>
    </row>
    <row r="499" customFormat="false" ht="15" hidden="false" customHeight="false" outlineLevel="0" collapsed="false">
      <c r="A499" s="50" t="n">
        <v>459</v>
      </c>
      <c r="B499" s="19" t="n">
        <f aca="true">NORMINV(RAND(),$B$6,$C$6)</f>
        <v>0.0892353713230304</v>
      </c>
      <c r="C499" s="19" t="n">
        <f aca="true">MAX(0.25,NORMINV(RAND(),$B$7,$C$7))</f>
        <v>0.429859778651278</v>
      </c>
      <c r="D499" s="32" t="n">
        <f aca="true">MAX(0.07,NORMINV(RAND(),$B$8,$C$8))</f>
        <v>0.0794616562214313</v>
      </c>
      <c r="E499" s="51" t="n">
        <f aca="true">MAX(8,NORMINV(RAND(),$B$9,$C$9))</f>
        <v>13.4083733366061</v>
      </c>
      <c r="F499" s="24" t="n">
        <f aca="false">$B$18*(1+(B499+$B$17)/2)^9</f>
        <v>18470.8853282452</v>
      </c>
      <c r="G499" s="24" t="n">
        <f aca="false">F499*C499</f>
        <v>7939.89067869264</v>
      </c>
      <c r="H499" s="24" t="n">
        <f aca="false">E499*G499/(1+D499)^9</f>
        <v>53496.5326123724</v>
      </c>
      <c r="I499" s="24" t="n">
        <f aca="false">$B$13*G499/$B$12*((1+$B$8)/(1+D499))^4.5</f>
        <v>21984.9145474756</v>
      </c>
      <c r="J499" s="24" t="n">
        <f aca="false">H499+I499-$B$14</f>
        <v>68043.8464064233</v>
      </c>
      <c r="K499" s="43" t="n">
        <f aca="false">J499/$B$15</f>
        <v>355.134897737074</v>
      </c>
    </row>
    <row r="500" customFormat="false" ht="15" hidden="false" customHeight="false" outlineLevel="0" collapsed="false">
      <c r="A500" s="50" t="n">
        <v>460</v>
      </c>
      <c r="B500" s="19" t="n">
        <f aca="true">NORMINV(RAND(),$B$6,$C$6)</f>
        <v>0.115552081117769</v>
      </c>
      <c r="C500" s="19" t="n">
        <f aca="true">MAX(0.25,NORMINV(RAND(),$B$7,$C$7))</f>
        <v>0.540214781417312</v>
      </c>
      <c r="D500" s="32" t="n">
        <f aca="true">MAX(0.07,NORMINV(RAND(),$B$8,$C$8))</f>
        <v>0.093578065709655</v>
      </c>
      <c r="E500" s="51" t="n">
        <f aca="true">MAX(8,NORMINV(RAND(),$B$9,$C$9))</f>
        <v>17.7009178080082</v>
      </c>
      <c r="F500" s="24" t="n">
        <f aca="false">$B$18*(1+(B500+$B$17)/2)^9</f>
        <v>20609.0160462281</v>
      </c>
      <c r="G500" s="24" t="n">
        <f aca="false">F500*C500</f>
        <v>11133.295098639</v>
      </c>
      <c r="H500" s="24" t="n">
        <f aca="false">E500*G500/(1+D500)^9</f>
        <v>88099.0831040632</v>
      </c>
      <c r="I500" s="24" t="n">
        <f aca="false">$B$13*G500/$B$12*((1+$B$8)/(1+D500))^4.5</f>
        <v>29076.5189982921</v>
      </c>
      <c r="J500" s="24" t="n">
        <f aca="false">H500+I500-$B$14</f>
        <v>109738.001348931</v>
      </c>
      <c r="K500" s="43" t="n">
        <f aca="false">J500/$B$15</f>
        <v>572.745309754335</v>
      </c>
    </row>
    <row r="501" customFormat="false" ht="15" hidden="false" customHeight="false" outlineLevel="0" collapsed="false">
      <c r="A501" s="50" t="n">
        <v>461</v>
      </c>
      <c r="B501" s="19" t="n">
        <f aca="true">NORMINV(RAND(),$B$6,$C$6)</f>
        <v>0.151431785799953</v>
      </c>
      <c r="C501" s="19" t="n">
        <f aca="true">MAX(0.25,NORMINV(RAND(),$B$7,$C$7))</f>
        <v>0.482405539234645</v>
      </c>
      <c r="D501" s="32" t="n">
        <f aca="true">MAX(0.07,NORMINV(RAND(),$B$8,$C$8))</f>
        <v>0.0951563253076525</v>
      </c>
      <c r="E501" s="51" t="n">
        <f aca="true">MAX(8,NORMINV(RAND(),$B$9,$C$9))</f>
        <v>15.0530521820228</v>
      </c>
      <c r="F501" s="24" t="n">
        <f aca="false">$B$18*(1+(B501+$B$17)/2)^9</f>
        <v>23877.7733603759</v>
      </c>
      <c r="G501" s="24" t="n">
        <f aca="false">F501*C501</f>
        <v>11518.7701336348</v>
      </c>
      <c r="H501" s="24" t="n">
        <f aca="false">E501*G501/(1+D501)^9</f>
        <v>76514.8332331484</v>
      </c>
      <c r="I501" s="24" t="n">
        <f aca="false">$B$13*G501/$B$12*((1+$B$8)/(1+D501))^4.5</f>
        <v>29888.6528354562</v>
      </c>
      <c r="J501" s="24" t="n">
        <f aca="false">H501+I501-$B$14</f>
        <v>98965.8853151799</v>
      </c>
      <c r="K501" s="43" t="n">
        <f aca="false">J501/$B$15</f>
        <v>516.523409786952</v>
      </c>
    </row>
    <row r="502" customFormat="false" ht="15" hidden="false" customHeight="false" outlineLevel="0" collapsed="false">
      <c r="A502" s="50" t="n">
        <v>462</v>
      </c>
      <c r="B502" s="19" t="n">
        <f aca="true">NORMINV(RAND(),$B$6,$C$6)</f>
        <v>0.127616445379082</v>
      </c>
      <c r="C502" s="19" t="n">
        <f aca="true">MAX(0.25,NORMINV(RAND(),$B$7,$C$7))</f>
        <v>0.54311133878606</v>
      </c>
      <c r="D502" s="32" t="n">
        <f aca="true">MAX(0.07,NORMINV(RAND(),$B$8,$C$8))</f>
        <v>0.0837161485385999</v>
      </c>
      <c r="E502" s="51" t="n">
        <f aca="true">MAX(8,NORMINV(RAND(),$B$9,$C$9))</f>
        <v>14.3136876202803</v>
      </c>
      <c r="F502" s="24" t="n">
        <f aca="false">$B$18*(1+(B502+$B$17)/2)^9</f>
        <v>21660.7012777487</v>
      </c>
      <c r="G502" s="24" t="n">
        <f aca="false">F502*C502</f>
        <v>11764.172470003</v>
      </c>
      <c r="H502" s="24" t="n">
        <f aca="false">E502*G502/(1+D502)^9</f>
        <v>81671.966762384</v>
      </c>
      <c r="I502" s="24" t="n">
        <f aca="false">$B$13*G502/$B$12*((1+$B$8)/(1+D502))^4.5</f>
        <v>32002.5202698204</v>
      </c>
      <c r="J502" s="24" t="n">
        <f aca="false">H502+I502-$B$14</f>
        <v>106236.88627878</v>
      </c>
      <c r="K502" s="43" t="n">
        <f aca="false">J502/$B$15</f>
        <v>554.472266590708</v>
      </c>
    </row>
    <row r="503" customFormat="false" ht="15" hidden="false" customHeight="false" outlineLevel="0" collapsed="false">
      <c r="A503" s="50" t="n">
        <v>463</v>
      </c>
      <c r="B503" s="19" t="n">
        <f aca="true">NORMINV(RAND(),$B$6,$C$6)</f>
        <v>0.00769360862248882</v>
      </c>
      <c r="C503" s="19" t="n">
        <f aca="true">MAX(0.25,NORMINV(RAND(),$B$7,$C$7))</f>
        <v>0.537461880347386</v>
      </c>
      <c r="D503" s="32" t="n">
        <f aca="true">MAX(0.07,NORMINV(RAND(),$B$8,$C$8))</f>
        <v>0.102224124557875</v>
      </c>
      <c r="E503" s="51" t="n">
        <f aca="true">MAX(8,NORMINV(RAND(),$B$9,$C$9))</f>
        <v>16.0880853632054</v>
      </c>
      <c r="F503" s="24" t="n">
        <f aca="false">$B$18*(1+(B503+$B$17)/2)^9</f>
        <v>13040.9000178514</v>
      </c>
      <c r="G503" s="24" t="n">
        <f aca="false">F503*C503</f>
        <v>7008.98664501669</v>
      </c>
      <c r="H503" s="24" t="n">
        <f aca="false">E503*G503/(1+D503)^9</f>
        <v>46960.2482429176</v>
      </c>
      <c r="I503" s="24" t="n">
        <f aca="false">$B$13*G503/$B$12*((1+$B$8)/(1+D503))^4.5</f>
        <v>17667.8367448213</v>
      </c>
      <c r="J503" s="24" t="n">
        <f aca="false">H503+I503-$B$14</f>
        <v>57190.4842343143</v>
      </c>
      <c r="K503" s="43" t="n">
        <f aca="false">J503/$B$15</f>
        <v>298.488957381598</v>
      </c>
    </row>
    <row r="504" customFormat="false" ht="15" hidden="false" customHeight="false" outlineLevel="0" collapsed="false">
      <c r="A504" s="50" t="n">
        <v>464</v>
      </c>
      <c r="B504" s="19" t="n">
        <f aca="true">NORMINV(RAND(),$B$6,$C$6)</f>
        <v>0.116442662389925</v>
      </c>
      <c r="C504" s="19" t="n">
        <f aca="true">MAX(0.25,NORMINV(RAND(),$B$7,$C$7))</f>
        <v>0.466972700956704</v>
      </c>
      <c r="D504" s="32" t="n">
        <f aca="true">MAX(0.07,NORMINV(RAND(),$B$8,$C$8))</f>
        <v>0.102905646971609</v>
      </c>
      <c r="E504" s="51" t="n">
        <f aca="true">MAX(8,NORMINV(RAND(),$B$9,$C$9))</f>
        <v>16.201732651771</v>
      </c>
      <c r="F504" s="24" t="n">
        <f aca="false">$B$18*(1+(B504+$B$17)/2)^9</f>
        <v>20685.0688214735</v>
      </c>
      <c r="G504" s="24" t="n">
        <f aca="false">F504*C504</f>
        <v>9659.36245703879</v>
      </c>
      <c r="H504" s="24" t="n">
        <f aca="false">E504*G504/(1+D504)^9</f>
        <v>64813.3816045697</v>
      </c>
      <c r="I504" s="24" t="n">
        <f aca="false">$B$13*G504/$B$12*((1+$B$8)/(1+D504))^4.5</f>
        <v>24281.1130817803</v>
      </c>
      <c r="J504" s="24" t="n">
        <f aca="false">H504+I504-$B$14</f>
        <v>81656.8939329253</v>
      </c>
      <c r="K504" s="43" t="n">
        <f aca="false">J504/$B$15</f>
        <v>426.184206330508</v>
      </c>
    </row>
    <row r="505" customFormat="false" ht="15" hidden="false" customHeight="false" outlineLevel="0" collapsed="false">
      <c r="A505" s="50" t="n">
        <v>465</v>
      </c>
      <c r="B505" s="19" t="n">
        <f aca="true">NORMINV(RAND(),$B$6,$C$6)</f>
        <v>0.148872031499981</v>
      </c>
      <c r="C505" s="19" t="n">
        <f aca="true">MAX(0.25,NORMINV(RAND(),$B$7,$C$7))</f>
        <v>0.48750717022056</v>
      </c>
      <c r="D505" s="32" t="n">
        <f aca="true">MAX(0.07,NORMINV(RAND(),$B$8,$C$8))</f>
        <v>0.0948126420249892</v>
      </c>
      <c r="E505" s="51" t="n">
        <f aca="true">MAX(8,NORMINV(RAND(),$B$9,$C$9))</f>
        <v>16.1304948815032</v>
      </c>
      <c r="F505" s="24" t="n">
        <f aca="false">$B$18*(1+(B505+$B$17)/2)^9</f>
        <v>23630.1731295507</v>
      </c>
      <c r="G505" s="24" t="n">
        <f aca="false">F505*C505</f>
        <v>11519.8788342092</v>
      </c>
      <c r="H505" s="24" t="n">
        <f aca="false">E505*G505/(1+D505)^9</f>
        <v>82231.3405037117</v>
      </c>
      <c r="I505" s="24" t="n">
        <f aca="false">$B$13*G505/$B$12*((1+$B$8)/(1+D505))^4.5</f>
        <v>29933.7788041222</v>
      </c>
      <c r="J505" s="24" t="n">
        <f aca="false">H505+I505-$B$14</f>
        <v>104727.518554409</v>
      </c>
      <c r="K505" s="43" t="n">
        <f aca="false">J505/$B$15</f>
        <v>546.594564480215</v>
      </c>
    </row>
    <row r="506" customFormat="false" ht="15" hidden="false" customHeight="false" outlineLevel="0" collapsed="false">
      <c r="A506" s="50" t="n">
        <v>466</v>
      </c>
      <c r="B506" s="19" t="n">
        <f aca="true">NORMINV(RAND(),$B$6,$C$6)</f>
        <v>0.115459413002907</v>
      </c>
      <c r="C506" s="19" t="n">
        <f aca="true">MAX(0.25,NORMINV(RAND(),$B$7,$C$7))</f>
        <v>0.482744686572232</v>
      </c>
      <c r="D506" s="32" t="n">
        <f aca="true">MAX(0.07,NORMINV(RAND(),$B$8,$C$8))</f>
        <v>0.098537281801787</v>
      </c>
      <c r="E506" s="51" t="n">
        <f aca="true">MAX(8,NORMINV(RAND(),$B$9,$C$9))</f>
        <v>15.9903346933693</v>
      </c>
      <c r="F506" s="24" t="n">
        <f aca="false">$B$18*(1+(B506+$B$17)/2)^9</f>
        <v>20601.1167824517</v>
      </c>
      <c r="G506" s="24" t="n">
        <f aca="false">F506*C506</f>
        <v>9945.07966418259</v>
      </c>
      <c r="H506" s="24" t="n">
        <f aca="false">E506*G506/(1+D506)^9</f>
        <v>68254.7085172391</v>
      </c>
      <c r="I506" s="24" t="n">
        <f aca="false">$B$13*G506/$B$12*((1+$B$8)/(1+D506))^4.5</f>
        <v>25449.8023982351</v>
      </c>
      <c r="J506" s="24" t="n">
        <f aca="false">H506+I506-$B$14</f>
        <v>86266.9101620496</v>
      </c>
      <c r="K506" s="43" t="n">
        <f aca="false">J506/$B$15</f>
        <v>450.244833831157</v>
      </c>
    </row>
    <row r="507" customFormat="false" ht="15" hidden="false" customHeight="false" outlineLevel="0" collapsed="false">
      <c r="A507" s="50" t="n">
        <v>467</v>
      </c>
      <c r="B507" s="19" t="n">
        <f aca="true">NORMINV(RAND(),$B$6,$C$6)</f>
        <v>0.109115561099256</v>
      </c>
      <c r="C507" s="19" t="n">
        <f aca="true">MAX(0.25,NORMINV(RAND(),$B$7,$C$7))</f>
        <v>0.447810874084059</v>
      </c>
      <c r="D507" s="32" t="n">
        <f aca="true">MAX(0.07,NORMINV(RAND(),$B$8,$C$8))</f>
        <v>0.101185424822273</v>
      </c>
      <c r="E507" s="51" t="n">
        <f aca="true">MAX(8,NORMINV(RAND(),$B$9,$C$9))</f>
        <v>16.3182702126315</v>
      </c>
      <c r="F507" s="24" t="n">
        <f aca="false">$B$18*(1+(B507+$B$17)/2)^9</f>
        <v>20066.7068891248</v>
      </c>
      <c r="G507" s="24" t="n">
        <f aca="false">F507*C507</f>
        <v>8986.08955200758</v>
      </c>
      <c r="H507" s="24" t="n">
        <f aca="false">E507*G507/(1+D507)^9</f>
        <v>61588.6624266112</v>
      </c>
      <c r="I507" s="24" t="n">
        <f aca="false">$B$13*G507/$B$12*((1+$B$8)/(1+D507))^4.5</f>
        <v>22747.9071784048</v>
      </c>
      <c r="J507" s="24" t="n">
        <f aca="false">H507+I507-$B$14</f>
        <v>76898.9688515913</v>
      </c>
      <c r="K507" s="43" t="n">
        <f aca="false">J507/$B$15</f>
        <v>401.351611960289</v>
      </c>
    </row>
    <row r="508" customFormat="false" ht="15" hidden="false" customHeight="false" outlineLevel="0" collapsed="false">
      <c r="A508" s="50" t="n">
        <v>468</v>
      </c>
      <c r="B508" s="19" t="n">
        <f aca="true">NORMINV(RAND(),$B$6,$C$6)</f>
        <v>0.0660053064383071</v>
      </c>
      <c r="C508" s="19" t="n">
        <f aca="true">MAX(0.25,NORMINV(RAND(),$B$7,$C$7))</f>
        <v>0.439423444106439</v>
      </c>
      <c r="D508" s="32" t="n">
        <f aca="true">MAX(0.07,NORMINV(RAND(),$B$8,$C$8))</f>
        <v>0.102046512131387</v>
      </c>
      <c r="E508" s="51" t="n">
        <f aca="true">MAX(8,NORMINV(RAND(),$B$9,$C$9))</f>
        <v>17.795526840563</v>
      </c>
      <c r="F508" s="24" t="n">
        <f aca="false">$B$18*(1+(B508+$B$17)/2)^9</f>
        <v>16749.8528075972</v>
      </c>
      <c r="G508" s="24" t="n">
        <f aca="false">F508*C508</f>
        <v>7360.27800899026</v>
      </c>
      <c r="H508" s="24" t="n">
        <f aca="false">E508*G508/(1+D508)^9</f>
        <v>54626.7985301283</v>
      </c>
      <c r="I508" s="24" t="n">
        <f aca="false">$B$13*G508/$B$12*((1+$B$8)/(1+D508))^4.5</f>
        <v>18566.8106832531</v>
      </c>
      <c r="J508" s="24" t="n">
        <f aca="false">H508+I508-$B$14</f>
        <v>65756.0084599568</v>
      </c>
      <c r="K508" s="43" t="n">
        <f aca="false">J508/$B$15</f>
        <v>343.194198642781</v>
      </c>
    </row>
    <row r="509" customFormat="false" ht="15" hidden="false" customHeight="false" outlineLevel="0" collapsed="false">
      <c r="A509" s="50" t="n">
        <v>469</v>
      </c>
      <c r="B509" s="19" t="n">
        <f aca="true">NORMINV(RAND(),$B$6,$C$6)</f>
        <v>0.112961268506899</v>
      </c>
      <c r="C509" s="19" t="n">
        <f aca="true">MAX(0.25,NORMINV(RAND(),$B$7,$C$7))</f>
        <v>0.489157479700477</v>
      </c>
      <c r="D509" s="32" t="n">
        <f aca="true">MAX(0.07,NORMINV(RAND(),$B$8,$C$8))</f>
        <v>0.101854432315925</v>
      </c>
      <c r="E509" s="51" t="n">
        <f aca="true">MAX(8,NORMINV(RAND(),$B$9,$C$9))</f>
        <v>14.1565024767242</v>
      </c>
      <c r="F509" s="24" t="n">
        <f aca="false">$B$18*(1+(B509+$B$17)/2)^9</f>
        <v>20389.1802837785</v>
      </c>
      <c r="G509" s="24" t="n">
        <f aca="false">F509*C509</f>
        <v>9973.52004077176</v>
      </c>
      <c r="H509" s="24" t="n">
        <f aca="false">E509*G509/(1+D509)^9</f>
        <v>58977.5091974963</v>
      </c>
      <c r="I509" s="24" t="n">
        <f aca="false">$B$13*G509/$B$12*((1+$B$8)/(1+D509))^4.5</f>
        <v>25178.6367037311</v>
      </c>
      <c r="J509" s="24" t="n">
        <f aca="false">H509+I509-$B$14</f>
        <v>76718.5451478028</v>
      </c>
      <c r="K509" s="43" t="n">
        <f aca="false">J509/$B$15</f>
        <v>400.40994336014</v>
      </c>
    </row>
    <row r="510" customFormat="false" ht="15" hidden="false" customHeight="false" outlineLevel="0" collapsed="false">
      <c r="A510" s="50" t="n">
        <v>470</v>
      </c>
      <c r="B510" s="19" t="n">
        <f aca="true">NORMINV(RAND(),$B$6,$C$6)</f>
        <v>0.135634635901509</v>
      </c>
      <c r="C510" s="19" t="n">
        <f aca="true">MAX(0.25,NORMINV(RAND(),$B$7,$C$7))</f>
        <v>0.533864671824587</v>
      </c>
      <c r="D510" s="32" t="n">
        <f aca="true">MAX(0.07,NORMINV(RAND(),$B$8,$C$8))</f>
        <v>0.0960167638911796</v>
      </c>
      <c r="E510" s="51" t="n">
        <f aca="true">MAX(8,NORMINV(RAND(),$B$9,$C$9))</f>
        <v>13.8790661471829</v>
      </c>
      <c r="F510" s="24" t="n">
        <f aca="false">$B$18*(1+(B510+$B$17)/2)^9</f>
        <v>22385.796703654</v>
      </c>
      <c r="G510" s="24" t="n">
        <f aca="false">F510*C510</f>
        <v>11950.9860107282</v>
      </c>
      <c r="H510" s="24" t="n">
        <f aca="false">E510*G510/(1+D510)^9</f>
        <v>72679.0449755647</v>
      </c>
      <c r="I510" s="24" t="n">
        <f aca="false">$B$13*G510/$B$12*((1+$B$8)/(1+D510))^4.5</f>
        <v>30900.7558408351</v>
      </c>
      <c r="J510" s="24" t="n">
        <f aca="false">H510+I510-$B$14</f>
        <v>96142.2000629751</v>
      </c>
      <c r="K510" s="43" t="n">
        <f aca="false">J510/$B$15</f>
        <v>501.786012854776</v>
      </c>
    </row>
    <row r="511" customFormat="false" ht="15" hidden="false" customHeight="false" outlineLevel="0" collapsed="false">
      <c r="A511" s="50" t="n">
        <v>471</v>
      </c>
      <c r="B511" s="19" t="n">
        <f aca="true">NORMINV(RAND(),$B$6,$C$6)</f>
        <v>0.0861413603446547</v>
      </c>
      <c r="C511" s="19" t="n">
        <f aca="true">MAX(0.25,NORMINV(RAND(),$B$7,$C$7))</f>
        <v>0.438390290137301</v>
      </c>
      <c r="D511" s="32" t="n">
        <f aca="true">MAX(0.07,NORMINV(RAND(),$B$8,$C$8))</f>
        <v>0.0967388663657556</v>
      </c>
      <c r="E511" s="51" t="n">
        <f aca="true">MAX(8,NORMINV(RAND(),$B$9,$C$9))</f>
        <v>16.8869837582703</v>
      </c>
      <c r="F511" s="24" t="n">
        <f aca="false">$B$18*(1+(B511+$B$17)/2)^9</f>
        <v>18232.944769746</v>
      </c>
      <c r="G511" s="24" t="n">
        <f aca="false">F511*C511</f>
        <v>7993.14594766634</v>
      </c>
      <c r="H511" s="24" t="n">
        <f aca="false">E511*G511/(1+D511)^9</f>
        <v>58795.0439899596</v>
      </c>
      <c r="I511" s="24" t="n">
        <f aca="false">$B$13*G511/$B$12*((1+$B$8)/(1+D511))^4.5</f>
        <v>20606.1064367152</v>
      </c>
      <c r="J511" s="24" t="n">
        <f aca="false">H511+I511-$B$14</f>
        <v>71963.5496732501</v>
      </c>
      <c r="K511" s="43" t="n">
        <f aca="false">J511/$B$15</f>
        <v>375.592639213205</v>
      </c>
    </row>
    <row r="512" customFormat="false" ht="15" hidden="false" customHeight="false" outlineLevel="0" collapsed="false">
      <c r="A512" s="50" t="n">
        <v>472</v>
      </c>
      <c r="B512" s="19" t="n">
        <f aca="true">NORMINV(RAND(),$B$6,$C$6)</f>
        <v>0.0752321234909406</v>
      </c>
      <c r="C512" s="19" t="n">
        <f aca="true">MAX(0.25,NORMINV(RAND(),$B$7,$C$7))</f>
        <v>0.456672677034731</v>
      </c>
      <c r="D512" s="32" t="n">
        <f aca="true">MAX(0.07,NORMINV(RAND(),$B$8,$C$8))</f>
        <v>0.0919066855352624</v>
      </c>
      <c r="E512" s="51" t="n">
        <f aca="true">MAX(8,NORMINV(RAND(),$B$9,$C$9))</f>
        <v>19.7155808305339</v>
      </c>
      <c r="F512" s="24" t="n">
        <f aca="false">$B$18*(1+(B512+$B$17)/2)^9</f>
        <v>17415.5722185505</v>
      </c>
      <c r="G512" s="24" t="n">
        <f aca="false">F512*C512</f>
        <v>7953.21598713714</v>
      </c>
      <c r="H512" s="24" t="n">
        <f aca="false">E512*G512/(1+D512)^9</f>
        <v>71069.3964175011</v>
      </c>
      <c r="I512" s="24" t="n">
        <f aca="false">$B$13*G512/$B$12*((1+$B$8)/(1+D512))^4.5</f>
        <v>20914.6530353995</v>
      </c>
      <c r="J512" s="24" t="n">
        <f aca="false">H512+I512-$B$14</f>
        <v>84546.4486994759</v>
      </c>
      <c r="K512" s="43" t="n">
        <f aca="false">J512/$B$15</f>
        <v>441.265389872004</v>
      </c>
    </row>
    <row r="513" customFormat="false" ht="15" hidden="false" customHeight="false" outlineLevel="0" collapsed="false">
      <c r="A513" s="50" t="n">
        <v>473</v>
      </c>
      <c r="B513" s="19" t="n">
        <f aca="true">NORMINV(RAND(),$B$6,$C$6)</f>
        <v>0.0630473296052007</v>
      </c>
      <c r="C513" s="19" t="n">
        <f aca="true">MAX(0.25,NORMINV(RAND(),$B$7,$C$7))</f>
        <v>0.441195660415718</v>
      </c>
      <c r="D513" s="32" t="n">
        <f aca="true">MAX(0.07,NORMINV(RAND(),$B$8,$C$8))</f>
        <v>0.0863727131817936</v>
      </c>
      <c r="E513" s="51" t="n">
        <f aca="true">MAX(8,NORMINV(RAND(),$B$9,$C$9))</f>
        <v>19.7132649029929</v>
      </c>
      <c r="F513" s="24" t="n">
        <f aca="false">$B$18*(1+(B513+$B$17)/2)^9</f>
        <v>16541.2750171508</v>
      </c>
      <c r="G513" s="24" t="n">
        <f aca="false">F513*C513</f>
        <v>7297.93875530987</v>
      </c>
      <c r="H513" s="24" t="n">
        <f aca="false">E513*G513/(1+D513)^9</f>
        <v>68257.3044676586</v>
      </c>
      <c r="I513" s="24" t="n">
        <f aca="false">$B$13*G513/$B$12*((1+$B$8)/(1+D513))^4.5</f>
        <v>19635.3273242275</v>
      </c>
      <c r="J513" s="24" t="n">
        <f aca="false">H513+I513-$B$14</f>
        <v>80455.0310384615</v>
      </c>
      <c r="K513" s="43" t="n">
        <f aca="false">J513/$B$15</f>
        <v>419.911435482576</v>
      </c>
    </row>
    <row r="514" customFormat="false" ht="15" hidden="false" customHeight="false" outlineLevel="0" collapsed="false">
      <c r="A514" s="50" t="n">
        <v>474</v>
      </c>
      <c r="B514" s="19" t="n">
        <f aca="true">NORMINV(RAND(),$B$6,$C$6)</f>
        <v>0.116580008635981</v>
      </c>
      <c r="C514" s="19" t="n">
        <f aca="true">MAX(0.25,NORMINV(RAND(),$B$7,$C$7))</f>
        <v>0.502672150746098</v>
      </c>
      <c r="D514" s="32" t="n">
        <f aca="true">MAX(0.07,NORMINV(RAND(),$B$8,$C$8))</f>
        <v>0.0997890698021019</v>
      </c>
      <c r="E514" s="51" t="n">
        <f aca="true">MAX(8,NORMINV(RAND(),$B$9,$C$9))</f>
        <v>21.829925054865</v>
      </c>
      <c r="F514" s="24" t="n">
        <f aca="false">$B$18*(1+(B514+$B$17)/2)^9</f>
        <v>20696.8199255165</v>
      </c>
      <c r="G514" s="24" t="n">
        <f aca="false">F514*C514</f>
        <v>10403.7149855641</v>
      </c>
      <c r="H514" s="24" t="n">
        <f aca="false">E514*G514/(1+D514)^9</f>
        <v>96484.1773598717</v>
      </c>
      <c r="I514" s="24" t="n">
        <f aca="false">$B$13*G514/$B$12*((1+$B$8)/(1+D514))^4.5</f>
        <v>26487.3737776353</v>
      </c>
      <c r="J514" s="24" t="n">
        <f aca="false">H514+I514-$B$14</f>
        <v>115533.950384082</v>
      </c>
      <c r="K514" s="43" t="n">
        <f aca="false">J514/$B$15</f>
        <v>602.995565678926</v>
      </c>
    </row>
    <row r="515" customFormat="false" ht="15" hidden="false" customHeight="false" outlineLevel="0" collapsed="false">
      <c r="A515" s="50" t="n">
        <v>475</v>
      </c>
      <c r="B515" s="19" t="n">
        <f aca="true">NORMINV(RAND(),$B$6,$C$6)</f>
        <v>0.128893699577599</v>
      </c>
      <c r="C515" s="19" t="n">
        <f aca="true">MAX(0.25,NORMINV(RAND(),$B$7,$C$7))</f>
        <v>0.491105253094487</v>
      </c>
      <c r="D515" s="32" t="n">
        <f aca="true">MAX(0.07,NORMINV(RAND(),$B$8,$C$8))</f>
        <v>0.102670810851969</v>
      </c>
      <c r="E515" s="51" t="n">
        <f aca="true">MAX(8,NORMINV(RAND(),$B$9,$C$9))</f>
        <v>17.0169333730316</v>
      </c>
      <c r="F515" s="24" t="n">
        <f aca="false">$B$18*(1+(B515+$B$17)/2)^9</f>
        <v>21774.7881415842</v>
      </c>
      <c r="G515" s="24" t="n">
        <f aca="false">F515*C515</f>
        <v>10693.7128413515</v>
      </c>
      <c r="H515" s="24" t="n">
        <f aca="false">E515*G515/(1+D515)^9</f>
        <v>75508.6856657112</v>
      </c>
      <c r="I515" s="24" t="n">
        <f aca="false">$B$13*G515/$B$12*((1+$B$8)/(1+D515))^4.5</f>
        <v>26906.9712956421</v>
      </c>
      <c r="J515" s="24" t="n">
        <f aca="false">H515+I515-$B$14</f>
        <v>94978.0562079286</v>
      </c>
      <c r="K515" s="43" t="n">
        <f aca="false">J515/$B$15</f>
        <v>495.710105469356</v>
      </c>
    </row>
    <row r="516" customFormat="false" ht="15" hidden="false" customHeight="false" outlineLevel="0" collapsed="false">
      <c r="A516" s="50" t="n">
        <v>476</v>
      </c>
      <c r="B516" s="19" t="n">
        <f aca="true">NORMINV(RAND(),$B$6,$C$6)</f>
        <v>0.0797961789800078</v>
      </c>
      <c r="C516" s="19" t="n">
        <f aca="true">MAX(0.25,NORMINV(RAND(),$B$7,$C$7))</f>
        <v>0.519534831215238</v>
      </c>
      <c r="D516" s="32" t="n">
        <f aca="true">MAX(0.07,NORMINV(RAND(),$B$8,$C$8))</f>
        <v>0.0989673995733562</v>
      </c>
      <c r="E516" s="51" t="n">
        <f aca="true">MAX(8,NORMINV(RAND(),$B$9,$C$9))</f>
        <v>22.085167191216</v>
      </c>
      <c r="F516" s="24" t="n">
        <f aca="false">$B$18*(1+(B516+$B$17)/2)^9</f>
        <v>17753.4829089542</v>
      </c>
      <c r="G516" s="24" t="n">
        <f aca="false">F516*C516</f>
        <v>9223.55274658616</v>
      </c>
      <c r="H516" s="24" t="n">
        <f aca="false">E516*G516/(1+D516)^9</f>
        <v>87123.5658213865</v>
      </c>
      <c r="I516" s="24" t="n">
        <f aca="false">$B$13*G516/$B$12*((1+$B$8)/(1+D516))^4.5</f>
        <v>23561.8476509344</v>
      </c>
      <c r="J516" s="24" t="n">
        <f aca="false">H516+I516-$B$14</f>
        <v>103247.812718896</v>
      </c>
      <c r="K516" s="43" t="n">
        <f aca="false">J516/$B$15</f>
        <v>538.871673898206</v>
      </c>
    </row>
    <row r="517" customFormat="false" ht="15" hidden="false" customHeight="false" outlineLevel="0" collapsed="false">
      <c r="A517" s="50" t="n">
        <v>477</v>
      </c>
      <c r="B517" s="19" t="n">
        <f aca="true">NORMINV(RAND(),$B$6,$C$6)</f>
        <v>0.0825910958515811</v>
      </c>
      <c r="C517" s="19" t="n">
        <f aca="true">MAX(0.25,NORMINV(RAND(),$B$7,$C$7))</f>
        <v>0.410908040960844</v>
      </c>
      <c r="D517" s="32" t="n">
        <f aca="true">MAX(0.07,NORMINV(RAND(),$B$8,$C$8))</f>
        <v>0.100691573525643</v>
      </c>
      <c r="E517" s="51" t="n">
        <f aca="true">MAX(8,NORMINV(RAND(),$B$9,$C$9))</f>
        <v>14.6085537000096</v>
      </c>
      <c r="F517" s="24" t="n">
        <f aca="false">$B$18*(1+(B517+$B$17)/2)^9</f>
        <v>17963.2766765497</v>
      </c>
      <c r="G517" s="24" t="n">
        <f aca="false">F517*C517</f>
        <v>7381.25482839866</v>
      </c>
      <c r="H517" s="24" t="n">
        <f aca="false">E517*G517/(1+D517)^9</f>
        <v>45472.2710634966</v>
      </c>
      <c r="I517" s="24" t="n">
        <f aca="false">$B$13*G517/$B$12*((1+$B$8)/(1+D517))^4.5</f>
        <v>18723.0915884712</v>
      </c>
      <c r="J517" s="24" t="n">
        <f aca="false">H517+I517-$B$14</f>
        <v>56757.7618985431</v>
      </c>
      <c r="K517" s="43" t="n">
        <f aca="false">J517/$B$15</f>
        <v>296.230490075904</v>
      </c>
    </row>
    <row r="518" customFormat="false" ht="15" hidden="false" customHeight="false" outlineLevel="0" collapsed="false">
      <c r="A518" s="50" t="n">
        <v>478</v>
      </c>
      <c r="B518" s="19" t="n">
        <f aca="true">NORMINV(RAND(),$B$6,$C$6)</f>
        <v>0.055680542288766</v>
      </c>
      <c r="C518" s="19" t="n">
        <f aca="true">MAX(0.25,NORMINV(RAND(),$B$7,$C$7))</f>
        <v>0.480288654068539</v>
      </c>
      <c r="D518" s="32" t="n">
        <f aca="true">MAX(0.07,NORMINV(RAND(),$B$8,$C$8))</f>
        <v>0.100975102113273</v>
      </c>
      <c r="E518" s="51" t="n">
        <f aca="true">MAX(8,NORMINV(RAND(),$B$9,$C$9))</f>
        <v>17.3620287857085</v>
      </c>
      <c r="F518" s="24" t="n">
        <f aca="false">$B$18*(1+(B518+$B$17)/2)^9</f>
        <v>16031.8161785507</v>
      </c>
      <c r="G518" s="24" t="n">
        <f aca="false">F518*C518</f>
        <v>7699.89941467033</v>
      </c>
      <c r="H518" s="24" t="n">
        <f aca="false">E518*G518/(1+D518)^9</f>
        <v>56245.5339383371</v>
      </c>
      <c r="I518" s="24" t="n">
        <f aca="false">$B$13*G518/$B$12*((1+$B$8)/(1+D518))^4.5</f>
        <v>19508.7328809662</v>
      </c>
      <c r="J518" s="24" t="n">
        <f aca="false">H518+I518-$B$14</f>
        <v>68316.6660658786</v>
      </c>
      <c r="K518" s="43" t="n">
        <f aca="false">J518/$B$15</f>
        <v>356.558799926298</v>
      </c>
    </row>
    <row r="519" customFormat="false" ht="15" hidden="false" customHeight="false" outlineLevel="0" collapsed="false">
      <c r="A519" s="50" t="n">
        <v>479</v>
      </c>
      <c r="B519" s="19" t="n">
        <f aca="true">NORMINV(RAND(),$B$6,$C$6)</f>
        <v>0.0980122928489708</v>
      </c>
      <c r="C519" s="19" t="n">
        <f aca="true">MAX(0.25,NORMINV(RAND(),$B$7,$C$7))</f>
        <v>0.487122379166092</v>
      </c>
      <c r="D519" s="32" t="n">
        <f aca="true">MAX(0.07,NORMINV(RAND(),$B$8,$C$8))</f>
        <v>0.105331116163684</v>
      </c>
      <c r="E519" s="51" t="n">
        <f aca="true">MAX(8,NORMINV(RAND(),$B$9,$C$9))</f>
        <v>15.2609638764551</v>
      </c>
      <c r="F519" s="24" t="n">
        <f aca="false">$B$18*(1+(B519+$B$17)/2)^9</f>
        <v>19160.9538876682</v>
      </c>
      <c r="G519" s="24" t="n">
        <f aca="false">F519*C519</f>
        <v>9333.72944485269</v>
      </c>
      <c r="H519" s="24" t="n">
        <f aca="false">E519*G519/(1+D519)^9</f>
        <v>57836.9800358533</v>
      </c>
      <c r="I519" s="24" t="n">
        <f aca="false">$B$13*G519/$B$12*((1+$B$8)/(1+D519))^4.5</f>
        <v>23231.7634081888</v>
      </c>
      <c r="J519" s="24" t="n">
        <f aca="false">H519+I519-$B$14</f>
        <v>73631.1426906174</v>
      </c>
      <c r="K519" s="43" t="n">
        <f aca="false">J519/$B$15</f>
        <v>384.296151829945</v>
      </c>
    </row>
    <row r="520" customFormat="false" ht="15" hidden="false" customHeight="false" outlineLevel="0" collapsed="false">
      <c r="A520" s="50" t="n">
        <v>480</v>
      </c>
      <c r="B520" s="19" t="n">
        <f aca="true">NORMINV(RAND(),$B$6,$C$6)</f>
        <v>0.0776873872577123</v>
      </c>
      <c r="C520" s="19" t="n">
        <f aca="true">MAX(0.25,NORMINV(RAND(),$B$7,$C$7))</f>
        <v>0.428801734117542</v>
      </c>
      <c r="D520" s="32" t="n">
        <f aca="true">MAX(0.07,NORMINV(RAND(),$B$8,$C$8))</f>
        <v>0.0904326777353634</v>
      </c>
      <c r="E520" s="51" t="n">
        <f aca="true">MAX(8,NORMINV(RAND(),$B$9,$C$9))</f>
        <v>14.3332586641157</v>
      </c>
      <c r="F520" s="24" t="n">
        <f aca="false">$B$18*(1+(B520+$B$17)/2)^9</f>
        <v>17596.6360187519</v>
      </c>
      <c r="G520" s="24" t="n">
        <f aca="false">F520*C520</f>
        <v>7545.46803947603</v>
      </c>
      <c r="H520" s="24" t="n">
        <f aca="false">E520*G520/(1+D520)^9</f>
        <v>49618.2453132024</v>
      </c>
      <c r="I520" s="24" t="n">
        <f aca="false">$B$13*G520/$B$12*((1+$B$8)/(1+D520))^4.5</f>
        <v>19963.3800217651</v>
      </c>
      <c r="J520" s="24" t="n">
        <f aca="false">H520+I520-$B$14</f>
        <v>62144.0245815429</v>
      </c>
      <c r="K520" s="43" t="n">
        <f aca="false">J520/$B$15</f>
        <v>324.342508254399</v>
      </c>
    </row>
    <row r="521" customFormat="false" ht="15" hidden="false" customHeight="false" outlineLevel="0" collapsed="false">
      <c r="A521" s="50" t="n">
        <v>481</v>
      </c>
      <c r="B521" s="19" t="n">
        <f aca="true">NORMINV(RAND(),$B$6,$C$6)</f>
        <v>0.104922949325385</v>
      </c>
      <c r="C521" s="19" t="n">
        <f aca="true">MAX(0.25,NORMINV(RAND(),$B$7,$C$7))</f>
        <v>0.487113356118506</v>
      </c>
      <c r="D521" s="32" t="n">
        <f aca="true">MAX(0.07,NORMINV(RAND(),$B$8,$C$8))</f>
        <v>0.0965385630886387</v>
      </c>
      <c r="E521" s="51" t="n">
        <f aca="true">MAX(8,NORMINV(RAND(),$B$9,$C$9))</f>
        <v>22.2138792098322</v>
      </c>
      <c r="F521" s="24" t="n">
        <f aca="false">$B$18*(1+(B521+$B$17)/2)^9</f>
        <v>19720.3171553904</v>
      </c>
      <c r="G521" s="24" t="n">
        <f aca="false">F521*C521</f>
        <v>9606.02987328357</v>
      </c>
      <c r="H521" s="24" t="n">
        <f aca="false">E521*G521/(1+D521)^9</f>
        <v>93100.7442775544</v>
      </c>
      <c r="I521" s="24" t="n">
        <f aca="false">$B$13*G521/$B$12*((1+$B$8)/(1+D521))^4.5</f>
        <v>24784.438840255</v>
      </c>
      <c r="J521" s="24" t="n">
        <f aca="false">H521+I521-$B$14</f>
        <v>110447.582364385</v>
      </c>
      <c r="K521" s="43" t="n">
        <f aca="false">J521/$B$15</f>
        <v>576.448759730609</v>
      </c>
    </row>
    <row r="522" customFormat="false" ht="15" hidden="false" customHeight="false" outlineLevel="0" collapsed="false">
      <c r="A522" s="50" t="n">
        <v>482</v>
      </c>
      <c r="B522" s="19" t="n">
        <f aca="true">NORMINV(RAND(),$B$6,$C$6)</f>
        <v>0.119033377033594</v>
      </c>
      <c r="C522" s="19" t="n">
        <f aca="true">MAX(0.25,NORMINV(RAND(),$B$7,$C$7))</f>
        <v>0.432709198430871</v>
      </c>
      <c r="D522" s="32" t="n">
        <f aca="true">MAX(0.07,NORMINV(RAND(),$B$8,$C$8))</f>
        <v>0.0909293853042935</v>
      </c>
      <c r="E522" s="51" t="n">
        <f aca="true">MAX(8,NORMINV(RAND(),$B$9,$C$9))</f>
        <v>20.0454052298627</v>
      </c>
      <c r="F522" s="24" t="n">
        <f aca="false">$B$18*(1+(B522+$B$17)/2)^9</f>
        <v>20907.7279407527</v>
      </c>
      <c r="G522" s="24" t="n">
        <f aca="false">F522*C522</f>
        <v>9046.96619825384</v>
      </c>
      <c r="H522" s="24" t="n">
        <f aca="false">E522*G522/(1+D522)^9</f>
        <v>82860.5949316953</v>
      </c>
      <c r="I522" s="24" t="n">
        <f aca="false">$B$13*G522/$B$12*((1+$B$8)/(1+D522))^4.5</f>
        <v>23886.9575450072</v>
      </c>
      <c r="J522" s="24" t="n">
        <f aca="false">H522+I522-$B$14</f>
        <v>99309.9517232779</v>
      </c>
      <c r="K522" s="43" t="n">
        <f aca="false">J522/$B$15</f>
        <v>518.319163482661</v>
      </c>
    </row>
    <row r="523" customFormat="false" ht="15" hidden="false" customHeight="false" outlineLevel="0" collapsed="false">
      <c r="A523" s="50" t="n">
        <v>483</v>
      </c>
      <c r="B523" s="19" t="n">
        <f aca="true">NORMINV(RAND(),$B$6,$C$6)</f>
        <v>0.0843830361267873</v>
      </c>
      <c r="C523" s="19" t="n">
        <f aca="true">MAX(0.25,NORMINV(RAND(),$B$7,$C$7))</f>
        <v>0.448030949661196</v>
      </c>
      <c r="D523" s="32" t="n">
        <f aca="true">MAX(0.07,NORMINV(RAND(),$B$8,$C$8))</f>
        <v>0.095405690407936</v>
      </c>
      <c r="E523" s="51" t="n">
        <f aca="true">MAX(8,NORMINV(RAND(),$B$9,$C$9))</f>
        <v>12.1865840386564</v>
      </c>
      <c r="F523" s="24" t="n">
        <f aca="false">$B$18*(1+(B523+$B$17)/2)^9</f>
        <v>18098.9409783161</v>
      </c>
      <c r="G523" s="24" t="n">
        <f aca="false">F523*C523</f>
        <v>8108.88571437689</v>
      </c>
      <c r="H523" s="24" t="n">
        <f aca="false">E523*G523/(1+D523)^9</f>
        <v>43517.9304013293</v>
      </c>
      <c r="I523" s="24" t="n">
        <f aca="false">$B$13*G523/$B$12*((1+$B$8)/(1+D523))^4.5</f>
        <v>21019.2135676491</v>
      </c>
      <c r="J523" s="24" t="n">
        <f aca="false">H523+I523-$B$14</f>
        <v>57099.5432155537</v>
      </c>
      <c r="K523" s="43" t="n">
        <f aca="false">J523/$B$15</f>
        <v>298.014317408944</v>
      </c>
    </row>
    <row r="524" customFormat="false" ht="15" hidden="false" customHeight="false" outlineLevel="0" collapsed="false">
      <c r="A524" s="50" t="n">
        <v>484</v>
      </c>
      <c r="B524" s="19" t="n">
        <f aca="true">NORMINV(RAND(),$B$6,$C$6)</f>
        <v>0.119463636917174</v>
      </c>
      <c r="C524" s="19" t="n">
        <f aca="true">MAX(0.25,NORMINV(RAND(),$B$7,$C$7))</f>
        <v>0.512976080010888</v>
      </c>
      <c r="D524" s="32" t="n">
        <f aca="true">MAX(0.07,NORMINV(RAND(),$B$8,$C$8))</f>
        <v>0.103477245990367</v>
      </c>
      <c r="E524" s="51" t="n">
        <f aca="true">MAX(8,NORMINV(RAND(),$B$9,$C$9))</f>
        <v>19.8999688287772</v>
      </c>
      <c r="F524" s="24" t="n">
        <f aca="false">$B$18*(1+(B524+$B$17)/2)^9</f>
        <v>20944.9122192114</v>
      </c>
      <c r="G524" s="24" t="n">
        <f aca="false">F524*C524</f>
        <v>10744.2389663832</v>
      </c>
      <c r="H524" s="24" t="n">
        <f aca="false">E524*G524/(1+D524)^9</f>
        <v>88136.8681694796</v>
      </c>
      <c r="I524" s="24" t="n">
        <f aca="false">$B$13*G524/$B$12*((1+$B$8)/(1+D524))^4.5</f>
        <v>26945.3102827915</v>
      </c>
      <c r="J524" s="24" t="n">
        <f aca="false">H524+I524-$B$14</f>
        <v>107644.577698846</v>
      </c>
      <c r="K524" s="43" t="n">
        <f aca="false">J524/$B$15</f>
        <v>561.819299054522</v>
      </c>
    </row>
    <row r="525" customFormat="false" ht="15" hidden="false" customHeight="false" outlineLevel="0" collapsed="false">
      <c r="A525" s="50" t="n">
        <v>485</v>
      </c>
      <c r="B525" s="19" t="n">
        <f aca="true">NORMINV(RAND(),$B$6,$C$6)</f>
        <v>0.0769650982220589</v>
      </c>
      <c r="C525" s="19" t="n">
        <f aca="true">MAX(0.25,NORMINV(RAND(),$B$7,$C$7))</f>
        <v>0.450220604801199</v>
      </c>
      <c r="D525" s="32" t="n">
        <f aca="true">MAX(0.07,NORMINV(RAND(),$B$8,$C$8))</f>
        <v>0.0948154607099906</v>
      </c>
      <c r="E525" s="51" t="n">
        <f aca="true">MAX(8,NORMINV(RAND(),$B$9,$C$9))</f>
        <v>19.7776904091087</v>
      </c>
      <c r="F525" s="24" t="n">
        <f aca="false">$B$18*(1+(B525+$B$17)/2)^9</f>
        <v>17543.1977856083</v>
      </c>
      <c r="G525" s="24" t="n">
        <f aca="false">F525*C525</f>
        <v>7898.30911718362</v>
      </c>
      <c r="H525" s="24" t="n">
        <f aca="false">E525*G525/(1+D525)^9</f>
        <v>69125.9965163783</v>
      </c>
      <c r="I525" s="24" t="n">
        <f aca="false">$B$13*G525/$B$12*((1+$B$8)/(1+D525))^4.5</f>
        <v>20523.0890287907</v>
      </c>
      <c r="J525" s="24" t="n">
        <f aca="false">H525+I525-$B$14</f>
        <v>82211.4847917443</v>
      </c>
      <c r="K525" s="43" t="n">
        <f aca="false">J525/$B$15</f>
        <v>429.078730645847</v>
      </c>
    </row>
    <row r="526" customFormat="false" ht="15" hidden="false" customHeight="false" outlineLevel="0" collapsed="false">
      <c r="A526" s="50" t="n">
        <v>486</v>
      </c>
      <c r="B526" s="19" t="n">
        <f aca="true">NORMINV(RAND(),$B$6,$C$6)</f>
        <v>0.133758291461308</v>
      </c>
      <c r="C526" s="19" t="n">
        <f aca="true">MAX(0.25,NORMINV(RAND(),$B$7,$C$7))</f>
        <v>0.520391964779643</v>
      </c>
      <c r="D526" s="32" t="n">
        <f aca="true">MAX(0.07,NORMINV(RAND(),$B$8,$C$8))</f>
        <v>0.0950163238834892</v>
      </c>
      <c r="E526" s="51" t="n">
        <f aca="true">MAX(8,NORMINV(RAND(),$B$9,$C$9))</f>
        <v>18.2726774259235</v>
      </c>
      <c r="F526" s="24" t="n">
        <f aca="false">$B$18*(1+(B526+$B$17)/2)^9</f>
        <v>22214.2100821555</v>
      </c>
      <c r="G526" s="24" t="n">
        <f aca="false">F526*C526</f>
        <v>11560.0964306807</v>
      </c>
      <c r="H526" s="24" t="n">
        <f aca="false">E526*G526/(1+D526)^9</f>
        <v>93320.7678225312</v>
      </c>
      <c r="I526" s="24" t="n">
        <f aca="false">$B$13*G526/$B$12*((1+$B$8)/(1+D526))^4.5</f>
        <v>30013.1470939439</v>
      </c>
      <c r="J526" s="24" t="n">
        <f aca="false">H526+I526-$B$14</f>
        <v>115896.31416305</v>
      </c>
      <c r="K526" s="43" t="n">
        <f aca="false">J526/$B$15</f>
        <v>604.886817134919</v>
      </c>
    </row>
    <row r="527" customFormat="false" ht="15" hidden="false" customHeight="false" outlineLevel="0" collapsed="false">
      <c r="A527" s="50" t="n">
        <v>487</v>
      </c>
      <c r="B527" s="19" t="n">
        <f aca="true">NORMINV(RAND(),$B$6,$C$6)</f>
        <v>0.0836451203763304</v>
      </c>
      <c r="C527" s="19" t="n">
        <f aca="true">MAX(0.25,NORMINV(RAND(),$B$7,$C$7))</f>
        <v>0.436998399181746</v>
      </c>
      <c r="D527" s="32" t="n">
        <f aca="true">MAX(0.07,NORMINV(RAND(),$B$8,$C$8))</f>
        <v>0.0939169297096179</v>
      </c>
      <c r="E527" s="51" t="n">
        <f aca="true">MAX(8,NORMINV(RAND(),$B$9,$C$9))</f>
        <v>21.9021601364635</v>
      </c>
      <c r="F527" s="24" t="n">
        <f aca="false">$B$18*(1+(B527+$B$17)/2)^9</f>
        <v>18042.9649128227</v>
      </c>
      <c r="G527" s="24" t="n">
        <f aca="false">F527*C527</f>
        <v>7884.74678339591</v>
      </c>
      <c r="H527" s="24" t="n">
        <f aca="false">E527*G527/(1+D527)^9</f>
        <v>76986.6829410321</v>
      </c>
      <c r="I527" s="24" t="n">
        <f aca="false">$B$13*G527/$B$12*((1+$B$8)/(1+D527))^4.5</f>
        <v>20563.6855706957</v>
      </c>
      <c r="J527" s="24" t="n">
        <f aca="false">H527+I527-$B$14</f>
        <v>90112.7677583031</v>
      </c>
      <c r="K527" s="43" t="n">
        <f aca="false">J527/$B$15</f>
        <v>470.3171594901</v>
      </c>
    </row>
    <row r="528" customFormat="false" ht="15" hidden="false" customHeight="false" outlineLevel="0" collapsed="false">
      <c r="A528" s="50" t="n">
        <v>488</v>
      </c>
      <c r="B528" s="19" t="n">
        <f aca="true">NORMINV(RAND(),$B$6,$C$6)</f>
        <v>0.125683521175846</v>
      </c>
      <c r="C528" s="19" t="n">
        <f aca="true">MAX(0.25,NORMINV(RAND(),$B$7,$C$7))</f>
        <v>0.467222114142178</v>
      </c>
      <c r="D528" s="32" t="n">
        <f aca="true">MAX(0.07,NORMINV(RAND(),$B$8,$C$8))</f>
        <v>0.102952829856664</v>
      </c>
      <c r="E528" s="51" t="n">
        <f aca="true">MAX(8,NORMINV(RAND(),$B$9,$C$9))</f>
        <v>13.6988270188728</v>
      </c>
      <c r="F528" s="24" t="n">
        <f aca="false">$B$18*(1+(B528+$B$17)/2)^9</f>
        <v>21489.0590304782</v>
      </c>
      <c r="G528" s="24" t="n">
        <f aca="false">F528*C528</f>
        <v>10040.1635911461</v>
      </c>
      <c r="H528" s="24" t="n">
        <f aca="false">E528*G528/(1+D528)^9</f>
        <v>56939.2466863983</v>
      </c>
      <c r="I528" s="24" t="n">
        <f aca="false">$B$13*G528/$B$12*((1+$B$8)/(1+D528))^4.5</f>
        <v>25233.4895012965</v>
      </c>
      <c r="J528" s="24" t="n">
        <f aca="false">H528+I528-$B$14</f>
        <v>74735.1354342701</v>
      </c>
      <c r="K528" s="43" t="n">
        <f aca="false">J528/$B$15</f>
        <v>390.058118132934</v>
      </c>
    </row>
    <row r="529" customFormat="false" ht="15" hidden="false" customHeight="false" outlineLevel="0" collapsed="false">
      <c r="A529" s="50" t="n">
        <v>489</v>
      </c>
      <c r="B529" s="19" t="n">
        <f aca="true">NORMINV(RAND(),$B$6,$C$6)</f>
        <v>0.114143204258138</v>
      </c>
      <c r="C529" s="19" t="n">
        <f aca="true">MAX(0.25,NORMINV(RAND(),$B$7,$C$7))</f>
        <v>0.492250452560119</v>
      </c>
      <c r="D529" s="32" t="n">
        <f aca="true">MAX(0.07,NORMINV(RAND(),$B$8,$C$8))</f>
        <v>0.106311475637327</v>
      </c>
      <c r="E529" s="51" t="n">
        <f aca="true">MAX(8,NORMINV(RAND(),$B$9,$C$9))</f>
        <v>21.3168874719678</v>
      </c>
      <c r="F529" s="24" t="n">
        <f aca="false">$B$18*(1+(B529+$B$17)/2)^9</f>
        <v>20489.2100448206</v>
      </c>
      <c r="G529" s="24" t="n">
        <f aca="false">F529*C529</f>
        <v>10085.8229171623</v>
      </c>
      <c r="H529" s="24" t="n">
        <f aca="false">E529*G529/(1+D529)^9</f>
        <v>86604.0846150214</v>
      </c>
      <c r="I529" s="24" t="n">
        <f aca="false">$B$13*G529/$B$12*((1+$B$8)/(1+D529))^4.5</f>
        <v>25003.782428517</v>
      </c>
      <c r="J529" s="24" t="n">
        <f aca="false">H529+I529-$B$14</f>
        <v>104170.266290114</v>
      </c>
      <c r="K529" s="43" t="n">
        <f aca="false">J529/$B$15</f>
        <v>543.686149739633</v>
      </c>
    </row>
    <row r="530" customFormat="false" ht="15" hidden="false" customHeight="false" outlineLevel="0" collapsed="false">
      <c r="A530" s="50" t="n">
        <v>490</v>
      </c>
      <c r="B530" s="19" t="n">
        <f aca="true">NORMINV(RAND(),$B$6,$C$6)</f>
        <v>0.101936557595697</v>
      </c>
      <c r="C530" s="19" t="n">
        <f aca="true">MAX(0.25,NORMINV(RAND(),$B$7,$C$7))</f>
        <v>0.449565275020228</v>
      </c>
      <c r="D530" s="32" t="n">
        <f aca="true">MAX(0.07,NORMINV(RAND(),$B$8,$C$8))</f>
        <v>0.091471638802188</v>
      </c>
      <c r="E530" s="51" t="n">
        <f aca="true">MAX(8,NORMINV(RAND(),$B$9,$C$9))</f>
        <v>20.0079691387464</v>
      </c>
      <c r="F530" s="24" t="n">
        <f aca="false">$B$18*(1+(B530+$B$17)/2)^9</f>
        <v>19476.8359193511</v>
      </c>
      <c r="G530" s="24" t="n">
        <f aca="false">F530*C530</f>
        <v>8756.10909660693</v>
      </c>
      <c r="H530" s="24" t="n">
        <f aca="false">E530*G530/(1+D530)^9</f>
        <v>79689.6785407994</v>
      </c>
      <c r="I530" s="24" t="n">
        <f aca="false">$B$13*G530/$B$12*((1+$B$8)/(1+D530))^4.5</f>
        <v>23067.358508267</v>
      </c>
      <c r="J530" s="24" t="n">
        <f aca="false">H530+I530-$B$14</f>
        <v>95319.4362956417</v>
      </c>
      <c r="K530" s="43" t="n">
        <f aca="false">J530/$B$15</f>
        <v>497.491838703767</v>
      </c>
    </row>
    <row r="531" customFormat="false" ht="15" hidden="false" customHeight="false" outlineLevel="0" collapsed="false">
      <c r="A531" s="50" t="n">
        <v>491</v>
      </c>
      <c r="B531" s="19" t="n">
        <f aca="true">NORMINV(RAND(),$B$6,$C$6)</f>
        <v>0.124505273839407</v>
      </c>
      <c r="C531" s="19" t="n">
        <f aca="true">MAX(0.25,NORMINV(RAND(),$B$7,$C$7))</f>
        <v>0.539547795948541</v>
      </c>
      <c r="D531" s="32" t="n">
        <f aca="true">MAX(0.07,NORMINV(RAND(),$B$8,$C$8))</f>
        <v>0.0838361101515334</v>
      </c>
      <c r="E531" s="51" t="n">
        <f aca="true">MAX(8,NORMINV(RAND(),$B$9,$C$9))</f>
        <v>21.4554052315506</v>
      </c>
      <c r="F531" s="24" t="n">
        <f aca="false">$B$18*(1+(B531+$B$17)/2)^9</f>
        <v>21385.0256295152</v>
      </c>
      <c r="G531" s="24" t="n">
        <f aca="false">F531*C531</f>
        <v>11538.243444708</v>
      </c>
      <c r="H531" s="24" t="n">
        <f aca="false">E531*G531/(1+D531)^9</f>
        <v>119950.999940709</v>
      </c>
      <c r="I531" s="24" t="n">
        <f aca="false">$B$13*G531/$B$12*((1+$B$8)/(1+D531))^4.5</f>
        <v>31372.2866745157</v>
      </c>
      <c r="J531" s="24" t="n">
        <f aca="false">H531+I531-$B$14</f>
        <v>143885.6858618</v>
      </c>
      <c r="K531" s="43" t="n">
        <f aca="false">J531/$B$15</f>
        <v>750.969132890396</v>
      </c>
    </row>
    <row r="532" customFormat="false" ht="15" hidden="false" customHeight="false" outlineLevel="0" collapsed="false">
      <c r="A532" s="50" t="n">
        <v>492</v>
      </c>
      <c r="B532" s="19" t="n">
        <f aca="true">NORMINV(RAND(),$B$6,$C$6)</f>
        <v>0.10542662291351</v>
      </c>
      <c r="C532" s="19" t="n">
        <f aca="true">MAX(0.25,NORMINV(RAND(),$B$7,$C$7))</f>
        <v>0.476086086008554</v>
      </c>
      <c r="D532" s="32" t="n">
        <f aca="true">MAX(0.07,NORMINV(RAND(),$B$8,$C$8))</f>
        <v>0.106588590605199</v>
      </c>
      <c r="E532" s="51" t="n">
        <f aca="true">MAX(8,NORMINV(RAND(),$B$9,$C$9))</f>
        <v>16.0438172881434</v>
      </c>
      <c r="F532" s="24" t="n">
        <f aca="false">$B$18*(1+(B532+$B$17)/2)^9</f>
        <v>19761.6473383127</v>
      </c>
      <c r="G532" s="24" t="n">
        <f aca="false">F532*C532</f>
        <v>9408.24533437864</v>
      </c>
      <c r="H532" s="24" t="n">
        <f aca="false">E532*G532/(1+D532)^9</f>
        <v>60665.3416764805</v>
      </c>
      <c r="I532" s="24" t="n">
        <f aca="false">$B$13*G532/$B$12*((1+$B$8)/(1+D532))^4.5</f>
        <v>23297.7262236137</v>
      </c>
      <c r="J532" s="24" t="n">
        <f aca="false">H532+I532-$B$14</f>
        <v>76525.4671466696</v>
      </c>
      <c r="K532" s="43" t="n">
        <f aca="false">J532/$B$15</f>
        <v>399.402229366751</v>
      </c>
    </row>
    <row r="533" customFormat="false" ht="15" hidden="false" customHeight="false" outlineLevel="0" collapsed="false">
      <c r="A533" s="50" t="n">
        <v>493</v>
      </c>
      <c r="B533" s="19" t="n">
        <f aca="true">NORMINV(RAND(),$B$6,$C$6)</f>
        <v>0.0702463634197361</v>
      </c>
      <c r="C533" s="19" t="n">
        <f aca="true">MAX(0.25,NORMINV(RAND(),$B$7,$C$7))</f>
        <v>0.412530349597045</v>
      </c>
      <c r="D533" s="32" t="n">
        <f aca="true">MAX(0.07,NORMINV(RAND(),$B$8,$C$8))</f>
        <v>0.0892332935817422</v>
      </c>
      <c r="E533" s="51" t="n">
        <f aca="true">MAX(8,NORMINV(RAND(),$B$9,$C$9))</f>
        <v>14.8910884662951</v>
      </c>
      <c r="F533" s="24" t="n">
        <f aca="false">$B$18*(1+(B533+$B$17)/2)^9</f>
        <v>17052.9842393082</v>
      </c>
      <c r="G533" s="24" t="n">
        <f aca="false">F533*C533</f>
        <v>7034.8735499147</v>
      </c>
      <c r="H533" s="24" t="n">
        <f aca="false">E533*G533/(1+D533)^9</f>
        <v>48539.4187368749</v>
      </c>
      <c r="I533" s="24" t="n">
        <f aca="false">$B$13*G533/$B$12*((1+$B$8)/(1+D533))^4.5</f>
        <v>18704.8815305145</v>
      </c>
      <c r="J533" s="24" t="n">
        <f aca="false">H533+I533-$B$14</f>
        <v>59806.6995139648</v>
      </c>
      <c r="K533" s="43" t="n">
        <f aca="false">J533/$B$15</f>
        <v>312.143525646998</v>
      </c>
    </row>
    <row r="534" customFormat="false" ht="15" hidden="false" customHeight="false" outlineLevel="0" collapsed="false">
      <c r="A534" s="50" t="n">
        <v>494</v>
      </c>
      <c r="B534" s="19" t="n">
        <f aca="true">NORMINV(RAND(),$B$6,$C$6)</f>
        <v>0.0560870219558156</v>
      </c>
      <c r="C534" s="19" t="n">
        <f aca="true">MAX(0.25,NORMINV(RAND(),$B$7,$C$7))</f>
        <v>0.501931980011195</v>
      </c>
      <c r="D534" s="32" t="n">
        <f aca="true">MAX(0.07,NORMINV(RAND(),$B$8,$C$8))</f>
        <v>0.0930186858430284</v>
      </c>
      <c r="E534" s="51" t="n">
        <f aca="true">MAX(8,NORMINV(RAND(),$B$9,$C$9))</f>
        <v>23.1680080274859</v>
      </c>
      <c r="F534" s="24" t="n">
        <f aca="false">$B$18*(1+(B534+$B$17)/2)^9</f>
        <v>16059.5588161459</v>
      </c>
      <c r="G534" s="24" t="n">
        <f aca="false">F534*C534</f>
        <v>8060.80615469435</v>
      </c>
      <c r="H534" s="24" t="n">
        <f aca="false">E534*G534/(1+D534)^9</f>
        <v>83872.3658108366</v>
      </c>
      <c r="I534" s="24" t="n">
        <f aca="false">$B$13*G534/$B$12*((1+$B$8)/(1+D534))^4.5</f>
        <v>21100.7109487673</v>
      </c>
      <c r="J534" s="24" t="n">
        <f aca="false">H534+I534-$B$14</f>
        <v>97535.4760061792</v>
      </c>
      <c r="K534" s="43" t="n">
        <f aca="false">J534/$B$15</f>
        <v>509.057807965445</v>
      </c>
    </row>
    <row r="535" customFormat="false" ht="15" hidden="false" customHeight="false" outlineLevel="0" collapsed="false">
      <c r="A535" s="50" t="n">
        <v>495</v>
      </c>
      <c r="B535" s="19" t="n">
        <f aca="true">NORMINV(RAND(),$B$6,$C$6)</f>
        <v>0.136884254425452</v>
      </c>
      <c r="C535" s="19" t="n">
        <f aca="true">MAX(0.25,NORMINV(RAND(),$B$7,$C$7))</f>
        <v>0.415419770518358</v>
      </c>
      <c r="D535" s="32" t="n">
        <f aca="true">MAX(0.07,NORMINV(RAND(),$B$8,$C$8))</f>
        <v>0.0937034633948184</v>
      </c>
      <c r="E535" s="51" t="n">
        <f aca="true">MAX(8,NORMINV(RAND(),$B$9,$C$9))</f>
        <v>18.7100484261485</v>
      </c>
      <c r="F535" s="24" t="n">
        <f aca="false">$B$18*(1+(B535+$B$17)/2)^9</f>
        <v>22500.7235069916</v>
      </c>
      <c r="G535" s="24" t="n">
        <f aca="false">F535*C535</f>
        <v>9347.24539577149</v>
      </c>
      <c r="H535" s="24" t="n">
        <f aca="false">E535*G535/(1+D535)^9</f>
        <v>78102.0205686035</v>
      </c>
      <c r="I535" s="24" t="n">
        <f aca="false">$B$13*G535/$B$12*((1+$B$8)/(1+D535))^4.5</f>
        <v>24399.3497048285</v>
      </c>
      <c r="J535" s="24" t="n">
        <f aca="false">H535+I535-$B$14</f>
        <v>95063.7695200074</v>
      </c>
      <c r="K535" s="43" t="n">
        <f aca="false">J535/$B$15</f>
        <v>496.157460960373</v>
      </c>
    </row>
    <row r="536" customFormat="false" ht="15" hidden="false" customHeight="false" outlineLevel="0" collapsed="false">
      <c r="A536" s="50" t="n">
        <v>496</v>
      </c>
      <c r="B536" s="19" t="n">
        <f aca="true">NORMINV(RAND(),$B$6,$C$6)</f>
        <v>0.0789897544215115</v>
      </c>
      <c r="C536" s="19" t="n">
        <f aca="true">MAX(0.25,NORMINV(RAND(),$B$7,$C$7))</f>
        <v>0.473073915886096</v>
      </c>
      <c r="D536" s="32" t="n">
        <f aca="true">MAX(0.07,NORMINV(RAND(),$B$8,$C$8))</f>
        <v>0.101015551742789</v>
      </c>
      <c r="E536" s="51" t="n">
        <f aca="true">MAX(8,NORMINV(RAND(),$B$9,$C$9))</f>
        <v>15.3663337273291</v>
      </c>
      <c r="F536" s="24" t="n">
        <f aca="false">$B$18*(1+(B536+$B$17)/2)^9</f>
        <v>17693.3568406791</v>
      </c>
      <c r="G536" s="24" t="n">
        <f aca="false">F536*C536</f>
        <v>8370.26560579013</v>
      </c>
      <c r="H536" s="24" t="n">
        <f aca="false">E536*G536/(1+D536)^9</f>
        <v>54096.4068649686</v>
      </c>
      <c r="I536" s="24" t="n">
        <f aca="false">$B$13*G536/$B$12*((1+$B$8)/(1+D536))^4.5</f>
        <v>21203.6901567575</v>
      </c>
      <c r="J536" s="24" t="n">
        <f aca="false">H536+I536-$B$14</f>
        <v>67862.4962683014</v>
      </c>
      <c r="K536" s="43" t="n">
        <f aca="false">J536/$B$15</f>
        <v>354.188393884663</v>
      </c>
    </row>
    <row r="537" customFormat="false" ht="15" hidden="false" customHeight="false" outlineLevel="0" collapsed="false">
      <c r="A537" s="50" t="n">
        <v>497</v>
      </c>
      <c r="B537" s="19" t="n">
        <f aca="true">NORMINV(RAND(),$B$6,$C$6)</f>
        <v>0.0941654062214484</v>
      </c>
      <c r="C537" s="19" t="n">
        <f aca="true">MAX(0.25,NORMINV(RAND(),$B$7,$C$7))</f>
        <v>0.456510121326415</v>
      </c>
      <c r="D537" s="32" t="n">
        <f aca="true">MAX(0.07,NORMINV(RAND(),$B$8,$C$8))</f>
        <v>0.0936546985097327</v>
      </c>
      <c r="E537" s="51" t="n">
        <f aca="true">MAX(8,NORMINV(RAND(),$B$9,$C$9))</f>
        <v>20.3199362625331</v>
      </c>
      <c r="F537" s="24" t="n">
        <f aca="false">$B$18*(1+(B537+$B$17)/2)^9</f>
        <v>18855.7287849138</v>
      </c>
      <c r="G537" s="24" t="n">
        <f aca="false">F537*C537</f>
        <v>8607.83103529897</v>
      </c>
      <c r="H537" s="24" t="n">
        <f aca="false">E537*G537/(1+D537)^9</f>
        <v>78143.7173566248</v>
      </c>
      <c r="I537" s="24" t="n">
        <f aca="false">$B$13*G537/$B$12*((1+$B$8)/(1+D537))^4.5</f>
        <v>22473.7466140031</v>
      </c>
      <c r="J537" s="24" t="n">
        <f aca="false">H537+I537-$B$14</f>
        <v>93179.8632172033</v>
      </c>
      <c r="K537" s="43" t="n">
        <f aca="false">J537/$B$15</f>
        <v>486.324964599182</v>
      </c>
    </row>
    <row r="538" customFormat="false" ht="15" hidden="false" customHeight="false" outlineLevel="0" collapsed="false">
      <c r="A538" s="50" t="n">
        <v>498</v>
      </c>
      <c r="B538" s="19" t="n">
        <f aca="true">NORMINV(RAND(),$B$6,$C$6)</f>
        <v>0.15090486753521</v>
      </c>
      <c r="C538" s="19" t="n">
        <f aca="true">MAX(0.25,NORMINV(RAND(),$B$7,$C$7))</f>
        <v>0.495086172192245</v>
      </c>
      <c r="D538" s="32" t="n">
        <f aca="true">MAX(0.07,NORMINV(RAND(),$B$8,$C$8))</f>
        <v>0.104112042694502</v>
      </c>
      <c r="E538" s="51" t="n">
        <f aca="true">MAX(8,NORMINV(RAND(),$B$9,$C$9))</f>
        <v>17.00858662979</v>
      </c>
      <c r="F538" s="24" t="n">
        <f aca="false">$B$18*(1+(B538+$B$17)/2)^9</f>
        <v>23826.6178813671</v>
      </c>
      <c r="G538" s="24" t="n">
        <f aca="false">F538*C538</f>
        <v>11796.2290431733</v>
      </c>
      <c r="H538" s="24" t="n">
        <f aca="false">E538*G538/(1+D538)^9</f>
        <v>82279.7761599538</v>
      </c>
      <c r="I538" s="24" t="n">
        <f aca="false">$B$13*G538/$B$12*((1+$B$8)/(1+D538))^4.5</f>
        <v>29507.1175070992</v>
      </c>
      <c r="J538" s="24" t="n">
        <f aca="false">H538+I538-$B$14</f>
        <v>104349.292913628</v>
      </c>
      <c r="K538" s="43" t="n">
        <f aca="false">J538/$B$15</f>
        <v>544.620526689083</v>
      </c>
    </row>
    <row r="539" customFormat="false" ht="15" hidden="false" customHeight="false" outlineLevel="0" collapsed="false">
      <c r="A539" s="50" t="n">
        <v>499</v>
      </c>
      <c r="B539" s="19" t="n">
        <f aca="true">NORMINV(RAND(),$B$6,$C$6)</f>
        <v>0.113618417175056</v>
      </c>
      <c r="C539" s="19" t="n">
        <f aca="true">MAX(0.25,NORMINV(RAND(),$B$7,$C$7))</f>
        <v>0.426380641201762</v>
      </c>
      <c r="D539" s="32" t="n">
        <f aca="true">MAX(0.07,NORMINV(RAND(),$B$8,$C$8))</f>
        <v>0.0977656979554117</v>
      </c>
      <c r="E539" s="51" t="n">
        <f aca="true">MAX(8,NORMINV(RAND(),$B$9,$C$9))</f>
        <v>18.0193297401915</v>
      </c>
      <c r="F539" s="24" t="n">
        <f aca="false">$B$18*(1+(B539+$B$17)/2)^9</f>
        <v>20444.7424710253</v>
      </c>
      <c r="G539" s="24" t="n">
        <f aca="false">F539*C539</f>
        <v>8717.24240400065</v>
      </c>
      <c r="H539" s="24" t="n">
        <f aca="false">E539*G539/(1+D539)^9</f>
        <v>67847.0313171857</v>
      </c>
      <c r="I539" s="24" t="n">
        <f aca="false">$B$13*G539/$B$12*((1+$B$8)/(1+D539))^4.5</f>
        <v>22378.3684597454</v>
      </c>
      <c r="J539" s="24" t="n">
        <f aca="false">H539+I539-$B$14</f>
        <v>82787.7990235064</v>
      </c>
      <c r="K539" s="43" t="n">
        <f aca="false">J539/$B$15</f>
        <v>432.086633734376</v>
      </c>
    </row>
    <row r="540" customFormat="false" ht="15" hidden="false" customHeight="false" outlineLevel="0" collapsed="false">
      <c r="A540" s="50" t="n">
        <v>500</v>
      </c>
      <c r="B540" s="19" t="n">
        <f aca="true">NORMINV(RAND(),$B$6,$C$6)</f>
        <v>0.084746809107083</v>
      </c>
      <c r="C540" s="19" t="n">
        <f aca="true">MAX(0.25,NORMINV(RAND(),$B$7,$C$7))</f>
        <v>0.476346550453606</v>
      </c>
      <c r="D540" s="32" t="n">
        <f aca="true">MAX(0.07,NORMINV(RAND(),$B$8,$C$8))</f>
        <v>0.0987800850946149</v>
      </c>
      <c r="E540" s="51" t="n">
        <f aca="true">MAX(8,NORMINV(RAND(),$B$9,$C$9))</f>
        <v>19.2184136980276</v>
      </c>
      <c r="F540" s="24" t="n">
        <f aca="false">$B$18*(1+(B540+$B$17)/2)^9</f>
        <v>18126.5924633248</v>
      </c>
      <c r="G540" s="24" t="n">
        <f aca="false">F540*C540</f>
        <v>8634.53979138312</v>
      </c>
      <c r="H540" s="24" t="n">
        <f aca="false">E540*G540/(1+D540)^9</f>
        <v>71082.0129989706</v>
      </c>
      <c r="I540" s="24" t="n">
        <f aca="false">$B$13*G540/$B$12*((1+$B$8)/(1+D540))^4.5</f>
        <v>22074.1219841314</v>
      </c>
      <c r="J540" s="24" t="n">
        <f aca="false">H540+I540-$B$14</f>
        <v>85718.5342296773</v>
      </c>
      <c r="K540" s="43" t="n">
        <f aca="false">J540/$B$15</f>
        <v>447.382746501447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0"/>
    <col collapsed="false" customWidth="true" hidden="false" outlineLevel="0" max="5" min="4" style="0" width="9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434</v>
      </c>
    </row>
    <row r="2" customFormat="false" ht="15" hidden="false" customHeight="false" outlineLevel="0" collapsed="false">
      <c r="A2" s="9" t="str">
        <f aca="false">CONCATENATE("Current price: $",TEXT(Assumptions!B49,"0.00"),"   ·   Scenario: ",CHOOSE(Assumptions!B4,"BASE","BULL","BEAR"),"   ·   Probability-weighted value: $",TEXT(Monte_Carlo!C35,"0.00"))</f>
        <v>Current price: $384.28   ·   Scenario: BASE   ·   Probability-weighted value: $457.68</v>
      </c>
    </row>
    <row r="4" customFormat="false" ht="15" hidden="false" customHeight="false" outlineLevel="0" collapsed="false">
      <c r="A4" s="10" t="s">
        <v>435</v>
      </c>
      <c r="B4" s="10" t="s">
        <v>324</v>
      </c>
      <c r="C4" s="10" t="s">
        <v>325</v>
      </c>
      <c r="D4" s="10" t="s">
        <v>436</v>
      </c>
      <c r="E4" s="10" t="s">
        <v>437</v>
      </c>
      <c r="F4" s="10" t="s">
        <v>438</v>
      </c>
    </row>
    <row r="5" customFormat="false" ht="15" hidden="false" customHeight="false" outlineLevel="0" collapsed="false">
      <c r="A5" s="3" t="s">
        <v>439</v>
      </c>
      <c r="B5" s="52" t="n">
        <v>366</v>
      </c>
      <c r="C5" s="52" t="n">
        <v>651.73</v>
      </c>
      <c r="D5" s="26" t="n">
        <f aca="false">B5</f>
        <v>366</v>
      </c>
      <c r="E5" s="26" t="n">
        <f aca="false">C5-B5</f>
        <v>285.73</v>
      </c>
      <c r="F5" s="39" t="n">
        <f aca="false">(B5+C5)/2</f>
        <v>508.865</v>
      </c>
    </row>
    <row r="6" customFormat="false" ht="15" hidden="false" customHeight="false" outlineLevel="0" collapsed="false">
      <c r="A6" s="3" t="s">
        <v>440</v>
      </c>
      <c r="B6" s="52" t="n">
        <v>403.85</v>
      </c>
      <c r="C6" s="52" t="n">
        <v>650</v>
      </c>
      <c r="D6" s="26" t="n">
        <f aca="false">B6</f>
        <v>403.85</v>
      </c>
      <c r="E6" s="26" t="n">
        <f aca="false">C6-B6</f>
        <v>246.15</v>
      </c>
      <c r="F6" s="39" t="n">
        <f aca="false">(B6+C6)/2</f>
        <v>526.925</v>
      </c>
    </row>
    <row r="7" customFormat="false" ht="15" hidden="false" customHeight="false" outlineLevel="0" collapsed="false">
      <c r="A7" s="3" t="s">
        <v>441</v>
      </c>
      <c r="B7" s="49" t="n">
        <f aca="false">(SUMPRODUCT(DCF!$B$10:$J$10,(1+(WACC!$B$20+0.005))^-DCF!$B$11:$J$11)+DCF!$J$10*(1+0.03)/((WACC!$B$20+0.005)-0.03)/(1+(WACC!$B$20+0.005))^9-DCF!$B$31)/DCF!$B$32</f>
        <v>258.308800351929</v>
      </c>
      <c r="C7" s="49" t="n">
        <f aca="false">(SUMPRODUCT(DCF!$B$10:$J$10,(1+(WACC!$B$20-0.005))^-DCF!$B$11:$J$11)+DCF!$J$10*(1+0.04)/((WACC!$B$20-0.005)-0.04)/(1+(WACC!$B$20-0.005))^9-DCF!$B$31)/DCF!$B$32</f>
        <v>354.863675900042</v>
      </c>
      <c r="D7" s="26" t="n">
        <f aca="false">B7</f>
        <v>258.308800351929</v>
      </c>
      <c r="E7" s="26" t="n">
        <f aca="false">C7-B7</f>
        <v>96.5548755481129</v>
      </c>
      <c r="F7" s="39" t="n">
        <f aca="false">(B7+C7)/2</f>
        <v>306.586238125985</v>
      </c>
    </row>
    <row r="8" customFormat="false" ht="15" hidden="false" customHeight="false" outlineLevel="0" collapsed="false">
      <c r="A8" s="3" t="s">
        <v>442</v>
      </c>
      <c r="B8" s="49" t="n">
        <f aca="false">(SUMPRODUCT(DCF!$B$10:$J$10,(1+(WACC!$B$20+0.005))^-DCF!$B$11:$J$11)+16*Model_3S!$L$22/(1+(WACC!$B$20+0.005))^9-DCF!$B$31)/DCF!$B$32</f>
        <v>395.673751994377</v>
      </c>
      <c r="C8" s="49" t="n">
        <f aca="false">(SUMPRODUCT(DCF!$B$10:$J$10,(1+(WACC!$B$20-0.005))^-DCF!$B$11:$J$11)+20*Model_3S!$L$22/(1+(WACC!$B$20-0.005))^9-DCF!$B$31)/DCF!$B$32</f>
        <v>513.205957718716</v>
      </c>
      <c r="D8" s="26" t="n">
        <f aca="false">B8</f>
        <v>395.673751994377</v>
      </c>
      <c r="E8" s="26" t="n">
        <f aca="false">C8-B8</f>
        <v>117.532205724339</v>
      </c>
      <c r="F8" s="39" t="n">
        <f aca="false">(B8+C8)/2</f>
        <v>454.439854856547</v>
      </c>
    </row>
    <row r="9" customFormat="false" ht="15" hidden="false" customHeight="false" outlineLevel="0" collapsed="false">
      <c r="A9" s="3" t="s">
        <v>443</v>
      </c>
      <c r="B9" s="49" t="n">
        <f aca="false">Comps!E14</f>
        <v>359.686321746218</v>
      </c>
      <c r="C9" s="49" t="n">
        <f aca="false">Comps!F14</f>
        <v>558.938670389224</v>
      </c>
      <c r="D9" s="26" t="n">
        <f aca="false">B9</f>
        <v>359.686321746218</v>
      </c>
      <c r="E9" s="26" t="n">
        <f aca="false">C9-B9</f>
        <v>199.252348643006</v>
      </c>
      <c r="F9" s="39" t="n">
        <f aca="false">(B9+C9)/2</f>
        <v>459.312496067721</v>
      </c>
    </row>
    <row r="10" customFormat="false" ht="15" hidden="false" customHeight="false" outlineLevel="0" collapsed="false">
      <c r="A10" s="3" t="s">
        <v>444</v>
      </c>
      <c r="B10" s="49" t="n">
        <f aca="false">Comps!E15</f>
        <v>369</v>
      </c>
      <c r="C10" s="49" t="n">
        <f aca="false">Comps!F15</f>
        <v>516.6</v>
      </c>
      <c r="D10" s="26" t="n">
        <f aca="false">B10</f>
        <v>369</v>
      </c>
      <c r="E10" s="26" t="n">
        <f aca="false">C10-B10</f>
        <v>147.6</v>
      </c>
      <c r="F10" s="39" t="n">
        <f aca="false">(B10+C10)/2</f>
        <v>442.8</v>
      </c>
    </row>
    <row r="11" customFormat="false" ht="15" hidden="false" customHeight="false" outlineLevel="0" collapsed="false">
      <c r="A11" s="3" t="s">
        <v>445</v>
      </c>
      <c r="B11" s="49" t="n">
        <f aca="false">Precedents!B17</f>
        <v>364.730685003003</v>
      </c>
      <c r="C11" s="49" t="n">
        <f aca="false">Precedents!C17</f>
        <v>566.505215274402</v>
      </c>
      <c r="D11" s="26" t="n">
        <f aca="false">B11</f>
        <v>364.730685003003</v>
      </c>
      <c r="E11" s="26" t="n">
        <f aca="false">C11-B11</f>
        <v>201.774530271399</v>
      </c>
      <c r="F11" s="39" t="n">
        <f aca="false">(B11+C11)/2</f>
        <v>465.617950138702</v>
      </c>
    </row>
    <row r="12" customFormat="false" ht="15" hidden="false" customHeight="false" outlineLevel="0" collapsed="false">
      <c r="A12" s="3" t="s">
        <v>446</v>
      </c>
      <c r="B12" s="49" t="n">
        <f aca="false">LBO!D46</f>
        <v>258.329446715043</v>
      </c>
      <c r="C12" s="49" t="n">
        <f aca="false">LBO!D44</f>
        <v>346.353788976193</v>
      </c>
      <c r="D12" s="26" t="n">
        <f aca="false">B12</f>
        <v>258.329446715043</v>
      </c>
      <c r="E12" s="26" t="n">
        <f aca="false">C12-B12</f>
        <v>88.0243422611502</v>
      </c>
      <c r="F12" s="39" t="n">
        <f aca="false">(B12+C12)/2</f>
        <v>302.341617845618</v>
      </c>
    </row>
    <row r="13" customFormat="false" ht="15" hidden="false" customHeight="false" outlineLevel="0" collapsed="false">
      <c r="A13" s="3" t="s">
        <v>447</v>
      </c>
      <c r="B13" s="49" t="n">
        <f aca="false">Monte_Carlo!B25</f>
        <v>390.390327935994</v>
      </c>
      <c r="C13" s="49" t="n">
        <f aca="false">Monte_Carlo!B26</f>
        <v>516.348264755361</v>
      </c>
      <c r="D13" s="26" t="n">
        <f aca="false">B13</f>
        <v>390.390327935994</v>
      </c>
      <c r="E13" s="26" t="n">
        <f aca="false">C13-B13</f>
        <v>125.957936819367</v>
      </c>
      <c r="F13" s="39" t="n">
        <f aca="false">(B13+C13)/2</f>
        <v>453.369296345677</v>
      </c>
    </row>
    <row r="14" customFormat="false" ht="15" hidden="false" customHeight="false" outlineLevel="0" collapsed="false">
      <c r="A14" s="3" t="s">
        <v>448</v>
      </c>
      <c r="B14" s="49" t="n">
        <f aca="false">Assumptions!B49-3.5</f>
        <v>380.78</v>
      </c>
      <c r="C14" s="49" t="n">
        <f aca="false">Assumptions!B49+3.5</f>
        <v>387.78</v>
      </c>
      <c r="D14" s="26" t="n">
        <f aca="false">B14</f>
        <v>380.78</v>
      </c>
      <c r="E14" s="26" t="n">
        <f aca="false">C14-B14</f>
        <v>7</v>
      </c>
      <c r="F14" s="39" t="n">
        <f aca="false">(B14+C14)/2</f>
        <v>384.28</v>
      </c>
    </row>
    <row r="16" customFormat="false" ht="15" hidden="false" customHeight="false" outlineLevel="0" collapsed="false">
      <c r="A16" s="13" t="s">
        <v>449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2026-07-22T04:58:34Z</dcterms:created>
  <dc:creator>openpyxl</dc:creator>
  <dc:description/>
  <dc:language>en-US</dc:language>
  <cp:lastModifiedBy/>
  <dcterms:modified xsi:type="dcterms:W3CDTF">2026-07-22T04:58:36Z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