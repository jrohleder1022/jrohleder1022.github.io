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s" sheetId="1" state="visible" r:id="rId3"/>
    <sheet name="Holdings" sheetId="2" state="visible" r:id="rId4"/>
    <sheet name="Projec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<sst xmlns="http://schemas.openxmlformats.org/spreadsheetml/2006/main" count="58" uniqueCount="55">
  <si>
    <t xml:space="preserve">RISK FLAGS &amp; CORRECTIONS  (July 24, 2026)</t>
  </si>
  <si>
    <t xml:space="preserve">1. CONCENTRATION CREPT BACK TO ~53%</t>
  </si>
  <si>
    <t xml:space="preserve">NVDA (~27%) + GOOGL (~26%) are back to half the account despite the July trim — winners re-ran, then gave some back today. Both sit just under the 30% tripwire. ACTION: at the annual rebalance (or if either crosses 30%), trim to 25% and route to whatever's furthest below target. In a Roth this is free.</t>
  </si>
  <si>
    <t xml:space="preserve">2. ~95% OF EQUITY IS ONE AI BET</t>
  </si>
  <si>
    <t xml:space="preserve">NVDA, GOOGL, NOW, SNPS, META all rise and fall on AI capex/adoption — the AI stress test showed them dropping together. VST is the only partial diversifier, and even it has AI-demand exposure. There is ZERO non-tech, non-US, non-AI ballast. Defensible at 22 (long horizon, high risk capacity) but it must be a CONSCIOUS choice, not an accident. Today's GOOGL −7% is a preview of a correlated down-day.</t>
  </si>
  <si>
    <t xml:space="preserve">3. NO INDEX / DIVERSIFIER CORE</t>
  </si>
  <si>
    <t xml:space="preserve">100% single stocks. One blow-up (accounting fraud, disruption, a bad NVDA cycle) hits with full force and can't be diversified away. Optional fix: route a slice of new contributions to a low-cost total-market or ex-US index fund as ballast. Not required — but the honest counterweight to a 7-stock book.</t>
  </si>
  <si>
    <t xml:space="preserve">4. SpaceX WOULD DEEPEN, NOT DIVERSIFY</t>
  </si>
  <si>
    <t xml:space="preserve">SpaceX (~45x sales, ~90% terminal optionality) is another hot-narrative growth name — adding it increases the portfolio's tilt toward the exact factor it already over-owns. Fine as a small TICKET from the $839 cash; do NOT let it grow into a core position or fund it by raiding SNPS/VST. Lockup mechanics: standard 180-day from the 6/12 IPO ≈ mid-Dec; a November partial release is possible — verify before committing.</t>
  </si>
  <si>
    <t xml:space="preserve">5. NOW IS THE ONE TO WATCH</t>
  </si>
  <si>
    <t xml:space="preserve">Near 52-wk low and down again today. Its bear case (agentic AI commoditizing seat-based SaaS) is STRUCTURAL, not cyclical — the one holding where cheap could mean broken. It reported a solid Q2 (rev $3.99B, raised guidance), which argues for holding — but do not ADD until two more quarters show seats/renewals holding. It's 15.5% of the account; that's a lot riding on an open question.</t>
  </si>
  <si>
    <t xml:space="preserve">6. VST HAS RE-RATED</t>
  </si>
  <si>
    <t xml:space="preserve">Ran from ~$155 to ~$166; now roughly fair vs the model's ~$180 weighted value (no longer the bargain it was). Keep the $40/wk DCA — it's your diversifier — but it's a hold-and-accumulate, not a screaming buy at this level.</t>
  </si>
  <si>
    <t xml:space="preserve">7. WHAT'S HEALTHY HERE</t>
  </si>
  <si>
    <t xml:space="preserve">Roth wrapper (tax-free 40-yr compounding), automatic $100/wk, five industries, positions you can each explain, and every recent add bought at a discount. The structure is genuinely good — these flags are refinements, not a teardown.</t>
  </si>
  <si>
    <t xml:space="preserve">PORTFOLIO — HOLDINGS &amp; PER-STOCK 5-10 YEAR RETURN ASSUMPTIONS  (prices 7/22-24/2026)</t>
  </si>
  <si>
    <t xml:space="preserve">Blue = inputs (edit prices &amp; return assumptions). Value/weight are formulas. Per-stock returns are expected ANNUAL total return over 5-10 yrs — judgments grounded in this session's DCFs, not guarantees.</t>
  </si>
  <si>
    <t xml:space="preserve">Ticker</t>
  </si>
  <si>
    <t xml:space="preserve">Shares</t>
  </si>
  <si>
    <t xml:space="preserve">Price</t>
  </si>
  <si>
    <t xml:space="preserve">Value</t>
  </si>
  <si>
    <t xml:space="preserve">Weight</t>
  </si>
  <si>
    <t xml:space="preserve">Bear %/yr</t>
  </si>
  <si>
    <t xml:space="preserve">Base %/yr</t>
  </si>
  <si>
    <t xml:space="preserve">Bull %/yr</t>
  </si>
  <si>
    <t xml:space="preserve">5-10yr thesis</t>
  </si>
  <si>
    <t xml:space="preserve">NVDA</t>
  </si>
  <si>
    <t xml:space="preserve">AI compute king; highest variance. Moat=CUDA, but customer concentration (top buyers building own silicon) + efficiency shocks (DeepSeek/K3) cap the base. Cyclical.</t>
  </si>
  <si>
    <t xml:space="preserve">GOOGL</t>
  </si>
  <si>
    <t xml:space="preserve">Search/Cloud/YouTube cash machine + Gemini. Live risk: AI-native search eroding the core (−7% today on exactly this fear). Quality compounder, real disruption tail.</t>
  </si>
  <si>
    <t xml:space="preserve">NOW</t>
  </si>
  <si>
    <t xml:space="preserve">Agentic SaaS; near 52-wk low. Biggest modeled upside BUT worst AI-commoditization score — agents may erode seat-based pricing. Deep value or value trap.</t>
  </si>
  <si>
    <t xml:space="preserve">SNPS</t>
  </si>
  <si>
    <t xml:space="preserve">EDA duopoly at a fear discount (K3/China). +19% weighted upside, best risk/reward in the book. ~8% rev CAGR + margin expansion + re-rating optionality.</t>
  </si>
  <si>
    <t xml:space="preserve">META</t>
  </si>
  <si>
    <t xml:space="preserve">AI monetization + best bust-floor (net cash, ad demand exists without the narrative). Overhang: $125-145B/yr capex must earn its return. Price est — verify.</t>
  </si>
  <si>
    <t xml:space="preserve">VST</t>
  </si>
  <si>
    <t xml:space="preserve">Power = surest demand trend of the era. Ran from $155; now ~fair vs model. The one partial non-AI diversifier. Commodity ceiling caps the base.</t>
  </si>
  <si>
    <t xml:space="preserve">SPAXX (cash→SpaceX)</t>
  </si>
  <si>
    <t xml:space="preserve">Dry powder for a Nov SpaceX entry. Modeled as money-market until deployed. SpaceX itself would be a ~45x-sales TICKET, not a core — huge variance, sized small.</t>
  </si>
  <si>
    <t xml:space="preserve">TOTAL</t>
  </si>
  <si>
    <t xml:space="preserve">Bear</t>
  </si>
  <si>
    <t xml:space="preserve">Base</t>
  </si>
  <si>
    <t xml:space="preserve">Bull</t>
  </si>
  <si>
    <t xml:space="preserve">Blended portfolio return (weighted):</t>
  </si>
  <si>
    <t xml:space="preserve">Two-stock block (NVDA+GOOGL):</t>
  </si>
  <si>
    <t xml:space="preserve">PROJECTED PORTFOLIO GROWTH — 10 YEARS  (starting value + $100/wk contributions, three blended-return scenarios)</t>
  </si>
  <si>
    <t xml:space="preserve">Year-by-year: Value(next) = Value(now) × (1 + blended return) + annual contribution. Returns link from Holdings; contribution is an input. These are COMPOUNDING SCENARIOS, not forecasts.</t>
  </si>
  <si>
    <t xml:space="preserve">Starting value (from Holdings)</t>
  </si>
  <si>
    <t xml:space="preserve">Annual contribution ($100/wk × 52)</t>
  </si>
  <si>
    <t xml:space="preserve">  (Roth max is ~$7,000/yr — headroom of ~$1,800)</t>
  </si>
  <si>
    <t xml:space="preserve">Year</t>
  </si>
  <si>
    <t xml:space="preserve">Contributions to date</t>
  </si>
  <si>
    <t xml:space="preserve">Principal (start+contrib)</t>
  </si>
  <si>
    <t xml:space="preserve">5-year and 10-year values are highlighted. 'Principal' = what you put in — the gap above it is investment growth.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</si>
</sst>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"/>
    <numFmt numFmtId="166" formatCode="\$#,##0.00"/>
    <numFmt numFmtId="167" formatCode="\$#,##0;&quot;($&quot;#,##0\);\-"/>
    <numFmt numFmtId="168" formatCode="0.0%;\(0.0%\);\-"/>
    <numFmt numFmtId="169" formatCode="#,##0;\(#,##0\)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BF8F00"/>
      <name val="Arial"/>
      <family val="0"/>
      <charset val="1"/>
    </font>
    <font>
      <b val="true"/>
      <sz val="11"/>
      <color rgb="FF808080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2"/>
        <bgColor rgb="FFD9D9D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878787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Projected Roth value — Bear / Base / Bull ($100/wk contributions)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Projection!B8</c:f>
              <c:strCache>
                <c:ptCount val="1"/>
                <c:pt idx="0">
                  <c:v>Bear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Projection!$A$9:$A$19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Projection!$B$9:$B$19</c:f>
              <c:numCache>
                <c:formatCode>\$#,##0;"($"#,##0\);\-</c:formatCode>
                <c:ptCount val="11"/>
                <c:pt idx="0">
                  <c:v>18530.5167</c:v>
                </c:pt>
                <c:pt idx="1">
                  <c:v>23808.9319866</c:v>
                </c:pt>
                <c:pt idx="2">
                  <c:v>29109.6838574515</c:v>
                </c:pt>
                <c:pt idx="3">
                  <c:v>34432.8668339152</c:v>
                </c:pt>
                <c:pt idx="4">
                  <c:v>39778.5758373366</c:v>
                </c:pt>
                <c:pt idx="5">
                  <c:v>45146.9061907382</c:v>
                </c:pt>
                <c:pt idx="6">
                  <c:v>50537.9536205193</c:v>
                </c:pt>
                <c:pt idx="7">
                  <c:v>55951.814258163</c:v>
                </c:pt>
                <c:pt idx="8">
                  <c:v>61388.5846419508</c:v>
                </c:pt>
                <c:pt idx="9">
                  <c:v>66848.3617186832</c:v>
                </c:pt>
                <c:pt idx="10">
                  <c:v>72331.2428454092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Projection!C8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Projection!$A$9:$A$19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Projection!$C$9:$C$19</c:f>
              <c:numCache>
                <c:formatCode>\$#,##0;"($"#,##0\);\-</c:formatCode>
                <c:ptCount val="11"/>
                <c:pt idx="0">
                  <c:v>18530.5167</c:v>
                </c:pt>
                <c:pt idx="1">
                  <c:v>25610.72145</c:v>
                </c:pt>
                <c:pt idx="2">
                  <c:v>33409.3214189484</c:v>
                </c:pt>
                <c:pt idx="3">
                  <c:v>41999.2088054228</c:v>
                </c:pt>
                <c:pt idx="4">
                  <c:v>51460.671838032</c:v>
                </c:pt>
                <c:pt idx="5">
                  <c:v>61882.145215947</c:v>
                </c:pt>
                <c:pt idx="6">
                  <c:v>73361.0366931184</c:v>
                </c:pt>
                <c:pt idx="7">
                  <c:v>86004.6375321239</c:v>
                </c:pt>
                <c:pt idx="8">
                  <c:v>99931.1253375033</c:v>
                </c:pt>
                <c:pt idx="9">
                  <c:v>115270.668641896</c:v>
                </c:pt>
                <c:pt idx="10">
                  <c:v>132166.643569361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Projection!D8</c:f>
              <c:strCache>
                <c:ptCount val="1"/>
                <c:pt idx="0">
                  <c:v>Bull</c:v>
                </c:pt>
              </c:strCache>
            </c:strRef>
          </c:tx>
          <c:spPr>
            <a:solidFill>
              <a:srgbClr val="2e7d32"/>
            </a:solidFill>
            <a:ln w="2808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Projection!$A$9:$A$19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Projection!$D$9:$D$19</c:f>
              <c:numCache>
                <c:formatCode>\$#,##0;"($"#,##0\);\-</c:formatCode>
                <c:ptCount val="11"/>
                <c:pt idx="0">
                  <c:v>18530.5167</c:v>
                </c:pt>
                <c:pt idx="1">
                  <c:v>26724.068776</c:v>
                </c:pt>
                <c:pt idx="2">
                  <c:v>36241.2658007091</c:v>
                </c:pt>
                <c:pt idx="3">
                  <c:v>47295.9388371377</c:v>
                </c:pt>
                <c:pt idx="4">
                  <c:v>60136.4627461274</c:v>
                </c:pt>
                <c:pt idx="5">
                  <c:v>75051.3366382821</c:v>
                </c:pt>
                <c:pt idx="6">
                  <c:v>92375.6658319793</c:v>
                </c:pt>
                <c:pt idx="7">
                  <c:v>112498.690953195</c:v>
                </c:pt>
                <c:pt idx="8">
                  <c:v>135872.533339911</c:v>
                </c:pt>
                <c:pt idx="9">
                  <c:v>163022.353241645</c:v>
                </c:pt>
                <c:pt idx="10">
                  <c:v>194558.149047109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Projection!E8</c:f>
              <c:strCache>
                <c:ptCount val="1"/>
                <c:pt idx="0">
                  <c:v>Contributions to date</c:v>
                </c:pt>
              </c:strCache>
            </c:strRef>
          </c:tx>
          <c:spPr>
            <a:solidFill>
              <a:srgbClr val="bfbfbf"/>
            </a:solidFill>
            <a:ln w="28080">
              <a:solidFill>
                <a:srgbClr val="bfbfb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Projection!$A$9:$A$19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Projection!$E$9:$E$19</c:f>
              <c:numCache>
                <c:formatCode>\$#,##0;"($"#,##0\);\-</c:formatCode>
                <c:ptCount val="11"/>
                <c:pt idx="0">
                  <c:v>0</c:v>
                </c:pt>
                <c:pt idx="1">
                  <c:v>5200</c:v>
                </c:pt>
                <c:pt idx="2">
                  <c:v>10400</c:v>
                </c:pt>
                <c:pt idx="3">
                  <c:v>15600</c:v>
                </c:pt>
                <c:pt idx="4">
                  <c:v>20800</c:v>
                </c:pt>
                <c:pt idx="5">
                  <c:v>26000</c:v>
                </c:pt>
                <c:pt idx="6">
                  <c:v>31200</c:v>
                </c:pt>
                <c:pt idx="7">
                  <c:v>36400</c:v>
                </c:pt>
                <c:pt idx="8">
                  <c:v>41600</c:v>
                </c:pt>
                <c:pt idx="9">
                  <c:v>46800</c:v>
                </c:pt>
                <c:pt idx="10">
                  <c:v>52000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Projection!F8</c:f>
              <c:strCache>
                <c:ptCount val="1"/>
                <c:pt idx="0">
                  <c:v>Principal (start+contrib)</c:v>
                </c:pt>
              </c:strCache>
            </c:strRef>
          </c:tx>
          <c:spPr>
            <a:solidFill>
              <a:srgbClr val="bfbfbf"/>
            </a:solidFill>
            <a:ln w="28080">
              <a:solidFill>
                <a:srgbClr val="bfbfb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Projection!$A$9:$A$19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Projection!$F$9:$F$19</c:f>
              <c:numCache>
                <c:formatCode>\$#,##0;"($"#,##0\);\-</c:formatCode>
                <c:ptCount val="11"/>
                <c:pt idx="0">
                  <c:v>18530.5167</c:v>
                </c:pt>
                <c:pt idx="1">
                  <c:v>23730.5167</c:v>
                </c:pt>
                <c:pt idx="2">
                  <c:v>28930.5167</c:v>
                </c:pt>
                <c:pt idx="3">
                  <c:v>34130.5167</c:v>
                </c:pt>
                <c:pt idx="4">
                  <c:v>39330.5167</c:v>
                </c:pt>
                <c:pt idx="5">
                  <c:v>44530.5167</c:v>
                </c:pt>
                <c:pt idx="6">
                  <c:v>49730.5167</c:v>
                </c:pt>
                <c:pt idx="7">
                  <c:v>54930.5167</c:v>
                </c:pt>
                <c:pt idx="8">
                  <c:v>60130.5167</c:v>
                </c:pt>
                <c:pt idx="9">
                  <c:v>65330.5167</c:v>
                </c:pt>
                <c:pt idx="10">
                  <c:v>70530.5167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057929"/>
        <c:axId val="47282011"/>
      </c:lineChart>
      <c:catAx>
        <c:axId val="890579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Years from now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82011"/>
        <c:crosses val="autoZero"/>
        <c:auto val="1"/>
        <c:lblAlgn val="ctr"/>
        <c:lblOffset val="100"/>
        <c:noMultiLvlLbl val="0"/>
      </c:catAx>
      <c:valAx>
        <c:axId val="472820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Account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579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16</xdr:col>
      <xdr:colOff>370080</xdr:colOff>
      <xdr:row>21</xdr:row>
      <xdr:rowOff>141120</xdr:rowOff>
    </xdr:to>
    <xdr:graphicFrame>
      <xdr:nvGraphicFramePr>
        <xdr:cNvPr id="0" name="Chart 1"/>
        <xdr:cNvGraphicFramePr/>
      </xdr:nvGraphicFramePr>
      <xdr:xfrm>
        <a:off x="8137440" y="57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4" customFormat="false" ht="15" hidden="false" customHeight="false" outlineLevel="0" collapsed="false">
      <c r="A4" s="2" t="s">
        <v>1</v>
      </c>
    </row>
    <row r="5" customFormat="false" ht="45.75" hidden="false" customHeight="true" outlineLevel="0" collapsed="false">
      <c r="A5" s="3" t="s">
        <v>2</v>
      </c>
    </row>
    <row r="7" customFormat="false" ht="15" hidden="false" customHeight="false" outlineLevel="0" collapsed="false">
      <c r="A7" s="2" t="s">
        <v>3</v>
      </c>
    </row>
    <row r="8" customFormat="false" ht="45.75" hidden="false" customHeight="true" outlineLevel="0" collapsed="false">
      <c r="A8" s="3" t="s">
        <v>4</v>
      </c>
    </row>
    <row r="10" customFormat="false" ht="15" hidden="false" customHeight="false" outlineLevel="0" collapsed="false">
      <c r="A10" s="4" t="s">
        <v>5</v>
      </c>
    </row>
    <row r="11" customFormat="false" ht="45.75" hidden="false" customHeight="true" outlineLevel="0" collapsed="false">
      <c r="A11" s="3" t="s">
        <v>6</v>
      </c>
    </row>
    <row r="13" customFormat="false" ht="15" hidden="false" customHeight="false" outlineLevel="0" collapsed="false">
      <c r="A13" s="4" t="s">
        <v>7</v>
      </c>
    </row>
    <row r="14" customFormat="false" ht="45.75" hidden="false" customHeight="true" outlineLevel="0" collapsed="false">
      <c r="A14" s="3" t="s">
        <v>8</v>
      </c>
    </row>
    <row r="16" customFormat="false" ht="15" hidden="false" customHeight="false" outlineLevel="0" collapsed="false">
      <c r="A16" s="4" t="s">
        <v>9</v>
      </c>
    </row>
    <row r="17" customFormat="false" ht="45.75" hidden="false" customHeight="true" outlineLevel="0" collapsed="false">
      <c r="A17" s="3" t="s">
        <v>10</v>
      </c>
    </row>
    <row r="19" customFormat="false" ht="15" hidden="false" customHeight="false" outlineLevel="0" collapsed="false">
      <c r="A19" s="5" t="s">
        <v>11</v>
      </c>
    </row>
    <row r="20" customFormat="false" ht="45.75" hidden="false" customHeight="true" outlineLevel="0" collapsed="false">
      <c r="A20" s="3" t="s">
        <v>12</v>
      </c>
    </row>
    <row r="22" customFormat="false" ht="15" hidden="false" customHeight="false" outlineLevel="0" collapsed="false">
      <c r="A22" s="6" t="s">
        <v>13</v>
      </c>
    </row>
    <row r="23" customFormat="false" ht="45.75" hidden="false" customHeight="true" outlineLevel="0" collapsed="false">
      <c r="A23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8" min="5" style="0" width="9"/>
    <col collapsed="false" customWidth="true" hidden="false" outlineLevel="0" max="9" min="9" style="0" width="82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7" t="s">
        <v>16</v>
      </c>
    </row>
    <row r="4" customFormat="false" ht="15" hidden="false" customHeight="false" outlineLevel="0" collapsed="false">
      <c r="A4" s="8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24</v>
      </c>
      <c r="I4" s="8" t="s">
        <v>25</v>
      </c>
    </row>
    <row r="5" customFormat="false" ht="30" hidden="false" customHeight="true" outlineLevel="0" collapsed="false">
      <c r="A5" s="9" t="s">
        <v>26</v>
      </c>
      <c r="B5" s="10" t="n">
        <v>23.957</v>
      </c>
      <c r="C5" s="11" t="n">
        <v>208.76</v>
      </c>
      <c r="D5" s="12" t="n">
        <f aca="false">B5*C5</f>
        <v>5001.26332</v>
      </c>
      <c r="E5" s="13" t="n">
        <f aca="false">D5/$D$12</f>
        <v>0.269893354889559</v>
      </c>
      <c r="F5" s="14" t="n">
        <v>-0.03</v>
      </c>
      <c r="G5" s="14" t="n">
        <v>0.11</v>
      </c>
      <c r="H5" s="14" t="n">
        <v>0.2</v>
      </c>
      <c r="I5" s="15" t="s">
        <v>27</v>
      </c>
    </row>
    <row r="6" customFormat="false" ht="30" hidden="false" customHeight="true" outlineLevel="0" collapsed="false">
      <c r="A6" s="9" t="s">
        <v>28</v>
      </c>
      <c r="B6" s="10" t="n">
        <v>14.257</v>
      </c>
      <c r="C6" s="11" t="n">
        <v>342</v>
      </c>
      <c r="D6" s="12" t="n">
        <f aca="false">B6*C6</f>
        <v>4875.894</v>
      </c>
      <c r="E6" s="13" t="n">
        <f aca="false">D6/$D$12</f>
        <v>0.263127795027971</v>
      </c>
      <c r="F6" s="14" t="n">
        <v>0.02</v>
      </c>
      <c r="G6" s="14" t="n">
        <v>0.09</v>
      </c>
      <c r="H6" s="14" t="n">
        <v>0.14</v>
      </c>
      <c r="I6" s="15" t="s">
        <v>29</v>
      </c>
    </row>
    <row r="7" customFormat="false" ht="30" hidden="false" customHeight="true" outlineLevel="0" collapsed="false">
      <c r="A7" s="9" t="s">
        <v>30</v>
      </c>
      <c r="B7" s="10" t="n">
        <v>30.067</v>
      </c>
      <c r="C7" s="11" t="n">
        <v>95.46</v>
      </c>
      <c r="D7" s="12" t="n">
        <f aca="false">B7*C7</f>
        <v>2870.19582</v>
      </c>
      <c r="E7" s="13" t="n">
        <f aca="false">D7/$D$12</f>
        <v>0.154890220627253</v>
      </c>
      <c r="F7" s="14" t="n">
        <v>0</v>
      </c>
      <c r="G7" s="14" t="n">
        <v>0.12</v>
      </c>
      <c r="H7" s="14" t="n">
        <v>0.18</v>
      </c>
      <c r="I7" s="15" t="s">
        <v>31</v>
      </c>
    </row>
    <row r="8" customFormat="false" ht="30" hidden="false" customHeight="true" outlineLevel="0" collapsed="false">
      <c r="A8" s="16" t="s">
        <v>32</v>
      </c>
      <c r="B8" s="10" t="n">
        <v>5.446</v>
      </c>
      <c r="C8" s="11" t="n">
        <v>372.99</v>
      </c>
      <c r="D8" s="12" t="n">
        <f aca="false">B8*C8</f>
        <v>2031.30354</v>
      </c>
      <c r="E8" s="13" t="n">
        <f aca="false">D8/$D$12</f>
        <v>0.109619368573786</v>
      </c>
      <c r="F8" s="14" t="n">
        <v>0.03</v>
      </c>
      <c r="G8" s="14" t="n">
        <v>0.12</v>
      </c>
      <c r="H8" s="14" t="n">
        <v>0.17</v>
      </c>
      <c r="I8" s="15" t="s">
        <v>33</v>
      </c>
    </row>
    <row r="9" customFormat="false" ht="30" hidden="false" customHeight="true" outlineLevel="0" collapsed="false">
      <c r="A9" s="9" t="s">
        <v>34</v>
      </c>
      <c r="B9" s="10" t="n">
        <v>2.567</v>
      </c>
      <c r="C9" s="11" t="n">
        <v>710</v>
      </c>
      <c r="D9" s="12" t="n">
        <f aca="false">B9*C9</f>
        <v>1822.57</v>
      </c>
      <c r="E9" s="13" t="n">
        <f aca="false">D9/$D$12</f>
        <v>0.098355055582449</v>
      </c>
      <c r="F9" s="14" t="n">
        <v>0.02</v>
      </c>
      <c r="G9" s="14" t="n">
        <v>0.1</v>
      </c>
      <c r="H9" s="14" t="n">
        <v>0.15</v>
      </c>
      <c r="I9" s="15" t="s">
        <v>35</v>
      </c>
    </row>
    <row r="10" customFormat="false" ht="30" hidden="false" customHeight="true" outlineLevel="0" collapsed="false">
      <c r="A10" s="9" t="s">
        <v>36</v>
      </c>
      <c r="B10" s="10" t="n">
        <v>6.562</v>
      </c>
      <c r="C10" s="11" t="n">
        <v>166.21</v>
      </c>
      <c r="D10" s="12" t="n">
        <f aca="false">B10*C10</f>
        <v>1090.67002</v>
      </c>
      <c r="E10" s="13" t="n">
        <f aca="false">D10/$D$12</f>
        <v>0.0588580468455043</v>
      </c>
      <c r="F10" s="14" t="n">
        <v>0</v>
      </c>
      <c r="G10" s="14" t="n">
        <v>0.08</v>
      </c>
      <c r="H10" s="14" t="n">
        <v>0.13</v>
      </c>
      <c r="I10" s="15" t="s">
        <v>37</v>
      </c>
    </row>
    <row r="11" customFormat="false" ht="30" hidden="false" customHeight="true" outlineLevel="0" collapsed="false">
      <c r="A11" s="9" t="s">
        <v>38</v>
      </c>
      <c r="B11" s="10" t="n">
        <v>838.62</v>
      </c>
      <c r="C11" s="11" t="n">
        <v>1</v>
      </c>
      <c r="D11" s="12" t="n">
        <f aca="false">B11*C11</f>
        <v>838.62</v>
      </c>
      <c r="E11" s="13" t="n">
        <f aca="false">D11/$D$12</f>
        <v>0.0452561584534769</v>
      </c>
      <c r="F11" s="14" t="n">
        <v>0.04</v>
      </c>
      <c r="G11" s="14" t="n">
        <v>0.04</v>
      </c>
      <c r="H11" s="14" t="n">
        <v>0.04</v>
      </c>
      <c r="I11" s="15" t="s">
        <v>39</v>
      </c>
    </row>
    <row r="12" customFormat="false" ht="15" hidden="false" customHeight="false" outlineLevel="0" collapsed="false">
      <c r="A12" s="16" t="s">
        <v>40</v>
      </c>
      <c r="D12" s="12" t="n">
        <f aca="false">SUM(D5:D11)</f>
        <v>18530.5167</v>
      </c>
      <c r="E12" s="17" t="n">
        <f aca="false">SUM(E5:E11)</f>
        <v>1</v>
      </c>
    </row>
    <row r="13" customFormat="false" ht="15" hidden="false" customHeight="false" outlineLevel="0" collapsed="false">
      <c r="F13" s="18" t="s">
        <v>41</v>
      </c>
      <c r="G13" s="18" t="s">
        <v>42</v>
      </c>
      <c r="H13" s="18" t="s">
        <v>43</v>
      </c>
    </row>
    <row r="14" customFormat="false" ht="15" hidden="false" customHeight="false" outlineLevel="0" collapsed="false">
      <c r="A14" s="16" t="s">
        <v>44</v>
      </c>
      <c r="F14" s="19" t="n">
        <f aca="false">SUMPRODUCT($E5:$E11,F5:F11)</f>
        <v>0.0042316837608743</v>
      </c>
      <c r="G14" s="19" t="n">
        <f aca="false">SUMPRODUCT($E5:$E11,G5:G11)</f>
        <v>0.101465316938518</v>
      </c>
      <c r="H14" s="19" t="n">
        <f aca="false">SUMPRODUCT($E5:$E11,H5:H11)</f>
        <v>0.161547145417699</v>
      </c>
    </row>
    <row r="16" customFormat="false" ht="15" hidden="false" customHeight="false" outlineLevel="0" collapsed="false">
      <c r="A16" s="16" t="s">
        <v>45</v>
      </c>
      <c r="D16" s="12" t="n">
        <f aca="false">D5+D6</f>
        <v>9877.15732</v>
      </c>
      <c r="E16" s="20" t="n">
        <f aca="false">E5+E6</f>
        <v>0.53302114991753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3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7" t="s">
        <v>47</v>
      </c>
    </row>
    <row r="4" customFormat="false" ht="15" hidden="false" customHeight="false" outlineLevel="0" collapsed="false">
      <c r="A4" s="9" t="s">
        <v>48</v>
      </c>
      <c r="B4" s="21" t="n">
        <f aca="false">Holdings!D12</f>
        <v>18530.5167</v>
      </c>
    </row>
    <row r="5" customFormat="false" ht="15" hidden="false" customHeight="false" outlineLevel="0" collapsed="false">
      <c r="A5" s="9" t="s">
        <v>49</v>
      </c>
      <c r="B5" s="22" t="n">
        <v>5200</v>
      </c>
    </row>
    <row r="6" customFormat="false" ht="15" hidden="false" customHeight="false" outlineLevel="0" collapsed="false">
      <c r="A6" s="23" t="s">
        <v>50</v>
      </c>
    </row>
    <row r="8" customFormat="false" ht="15" hidden="false" customHeight="false" outlineLevel="0" collapsed="false">
      <c r="A8" s="8" t="s">
        <v>51</v>
      </c>
      <c r="B8" s="8" t="s">
        <v>41</v>
      </c>
      <c r="C8" s="8" t="s">
        <v>42</v>
      </c>
      <c r="D8" s="8" t="s">
        <v>43</v>
      </c>
      <c r="E8" s="8" t="s">
        <v>52</v>
      </c>
      <c r="F8" s="8" t="s">
        <v>53</v>
      </c>
    </row>
    <row r="9" customFormat="false" ht="15" hidden="false" customHeight="false" outlineLevel="0" collapsed="false">
      <c r="A9" s="9" t="n">
        <v>0</v>
      </c>
      <c r="B9" s="24" t="n">
        <f aca="false">$B$4</f>
        <v>18530.5167</v>
      </c>
      <c r="C9" s="24" t="n">
        <f aca="false">$B$4</f>
        <v>18530.5167</v>
      </c>
      <c r="D9" s="24" t="n">
        <f aca="false">$B$4</f>
        <v>18530.5167</v>
      </c>
      <c r="E9" s="24" t="n">
        <v>0</v>
      </c>
      <c r="F9" s="24" t="n">
        <f aca="false">$B$4</f>
        <v>18530.5167</v>
      </c>
    </row>
    <row r="10" customFormat="false" ht="15" hidden="false" customHeight="false" outlineLevel="0" collapsed="false">
      <c r="A10" s="25" t="n">
        <v>1</v>
      </c>
      <c r="B10" s="24" t="n">
        <f aca="false">B9*(1+Holdings!$F$14)+$B$5</f>
        <v>23808.9319866</v>
      </c>
      <c r="C10" s="24" t="n">
        <f aca="false">C9*(1+Holdings!$G$14)+$B$5</f>
        <v>25610.72145</v>
      </c>
      <c r="D10" s="24" t="n">
        <f aca="false">D9*(1+Holdings!$H$14)+$B$5</f>
        <v>26724.068776</v>
      </c>
      <c r="E10" s="24" t="n">
        <f aca="false">E9+$B$5</f>
        <v>5200</v>
      </c>
      <c r="F10" s="24" t="n">
        <f aca="false">$B$4+E10</f>
        <v>23730.5167</v>
      </c>
    </row>
    <row r="11" customFormat="false" ht="15" hidden="false" customHeight="false" outlineLevel="0" collapsed="false">
      <c r="A11" s="25" t="n">
        <v>2</v>
      </c>
      <c r="B11" s="24" t="n">
        <f aca="false">B10*(1+Holdings!$F$14)+$B$5</f>
        <v>29109.6838574515</v>
      </c>
      <c r="C11" s="24" t="n">
        <f aca="false">C10*(1+Holdings!$G$14)+$B$5</f>
        <v>33409.3214189484</v>
      </c>
      <c r="D11" s="24" t="n">
        <f aca="false">D10*(1+Holdings!$H$14)+$B$5</f>
        <v>36241.2658007091</v>
      </c>
      <c r="E11" s="24" t="n">
        <f aca="false">E10+$B$5</f>
        <v>10400</v>
      </c>
      <c r="F11" s="24" t="n">
        <f aca="false">$B$4+E11</f>
        <v>28930.5167</v>
      </c>
    </row>
    <row r="12" customFormat="false" ht="15" hidden="false" customHeight="false" outlineLevel="0" collapsed="false">
      <c r="A12" s="25" t="n">
        <v>3</v>
      </c>
      <c r="B12" s="24" t="n">
        <f aca="false">B11*(1+Holdings!$F$14)+$B$5</f>
        <v>34432.8668339152</v>
      </c>
      <c r="C12" s="24" t="n">
        <f aca="false">C11*(1+Holdings!$G$14)+$B$5</f>
        <v>41999.2088054228</v>
      </c>
      <c r="D12" s="24" t="n">
        <f aca="false">D11*(1+Holdings!$H$14)+$B$5</f>
        <v>47295.9388371377</v>
      </c>
      <c r="E12" s="24" t="n">
        <f aca="false">E11+$B$5</f>
        <v>15600</v>
      </c>
      <c r="F12" s="24" t="n">
        <f aca="false">$B$4+E12</f>
        <v>34130.5167</v>
      </c>
    </row>
    <row r="13" customFormat="false" ht="15" hidden="false" customHeight="false" outlineLevel="0" collapsed="false">
      <c r="A13" s="25" t="n">
        <v>4</v>
      </c>
      <c r="B13" s="24" t="n">
        <f aca="false">B12*(1+Holdings!$F$14)+$B$5</f>
        <v>39778.5758373366</v>
      </c>
      <c r="C13" s="24" t="n">
        <f aca="false">C12*(1+Holdings!$G$14)+$B$5</f>
        <v>51460.671838032</v>
      </c>
      <c r="D13" s="24" t="n">
        <f aca="false">D12*(1+Holdings!$H$14)+$B$5</f>
        <v>60136.4627461274</v>
      </c>
      <c r="E13" s="24" t="n">
        <f aca="false">E12+$B$5</f>
        <v>20800</v>
      </c>
      <c r="F13" s="24" t="n">
        <f aca="false">$B$4+E13</f>
        <v>39330.5167</v>
      </c>
    </row>
    <row r="14" customFormat="false" ht="15" hidden="false" customHeight="false" outlineLevel="0" collapsed="false">
      <c r="A14" s="25" t="n">
        <v>5</v>
      </c>
      <c r="B14" s="26" t="n">
        <f aca="false">B13*(1+Holdings!$F$14)+$B$5</f>
        <v>45146.9061907382</v>
      </c>
      <c r="C14" s="26" t="n">
        <f aca="false">C13*(1+Holdings!$G$14)+$B$5</f>
        <v>61882.145215947</v>
      </c>
      <c r="D14" s="26" t="n">
        <f aca="false">D13*(1+Holdings!$H$14)+$B$5</f>
        <v>75051.3366382821</v>
      </c>
      <c r="E14" s="24" t="n">
        <f aca="false">E13+$B$5</f>
        <v>26000</v>
      </c>
      <c r="F14" s="24" t="n">
        <f aca="false">$B$4+E14</f>
        <v>44530.5167</v>
      </c>
    </row>
    <row r="15" customFormat="false" ht="15" hidden="false" customHeight="false" outlineLevel="0" collapsed="false">
      <c r="A15" s="25" t="n">
        <v>6</v>
      </c>
      <c r="B15" s="24" t="n">
        <f aca="false">B14*(1+Holdings!$F$14)+$B$5</f>
        <v>50537.9536205193</v>
      </c>
      <c r="C15" s="24" t="n">
        <f aca="false">C14*(1+Holdings!$G$14)+$B$5</f>
        <v>73361.0366931184</v>
      </c>
      <c r="D15" s="24" t="n">
        <f aca="false">D14*(1+Holdings!$H$14)+$B$5</f>
        <v>92375.6658319793</v>
      </c>
      <c r="E15" s="24" t="n">
        <f aca="false">E14+$B$5</f>
        <v>31200</v>
      </c>
      <c r="F15" s="24" t="n">
        <f aca="false">$B$4+E15</f>
        <v>49730.5167</v>
      </c>
    </row>
    <row r="16" customFormat="false" ht="15" hidden="false" customHeight="false" outlineLevel="0" collapsed="false">
      <c r="A16" s="25" t="n">
        <v>7</v>
      </c>
      <c r="B16" s="24" t="n">
        <f aca="false">B15*(1+Holdings!$F$14)+$B$5</f>
        <v>55951.814258163</v>
      </c>
      <c r="C16" s="24" t="n">
        <f aca="false">C15*(1+Holdings!$G$14)+$B$5</f>
        <v>86004.6375321239</v>
      </c>
      <c r="D16" s="24" t="n">
        <f aca="false">D15*(1+Holdings!$H$14)+$B$5</f>
        <v>112498.690953195</v>
      </c>
      <c r="E16" s="24" t="n">
        <f aca="false">E15+$B$5</f>
        <v>36400</v>
      </c>
      <c r="F16" s="24" t="n">
        <f aca="false">$B$4+E16</f>
        <v>54930.5167</v>
      </c>
    </row>
    <row r="17" customFormat="false" ht="15" hidden="false" customHeight="false" outlineLevel="0" collapsed="false">
      <c r="A17" s="25" t="n">
        <v>8</v>
      </c>
      <c r="B17" s="24" t="n">
        <f aca="false">B16*(1+Holdings!$F$14)+$B$5</f>
        <v>61388.5846419508</v>
      </c>
      <c r="C17" s="24" t="n">
        <f aca="false">C16*(1+Holdings!$G$14)+$B$5</f>
        <v>99931.1253375033</v>
      </c>
      <c r="D17" s="24" t="n">
        <f aca="false">D16*(1+Holdings!$H$14)+$B$5</f>
        <v>135872.533339911</v>
      </c>
      <c r="E17" s="24" t="n">
        <f aca="false">E16+$B$5</f>
        <v>41600</v>
      </c>
      <c r="F17" s="24" t="n">
        <f aca="false">$B$4+E17</f>
        <v>60130.5167</v>
      </c>
    </row>
    <row r="18" customFormat="false" ht="15" hidden="false" customHeight="false" outlineLevel="0" collapsed="false">
      <c r="A18" s="25" t="n">
        <v>9</v>
      </c>
      <c r="B18" s="24" t="n">
        <f aca="false">B17*(1+Holdings!$F$14)+$B$5</f>
        <v>66848.3617186832</v>
      </c>
      <c r="C18" s="24" t="n">
        <f aca="false">C17*(1+Holdings!$G$14)+$B$5</f>
        <v>115270.668641896</v>
      </c>
      <c r="D18" s="24" t="n">
        <f aca="false">D17*(1+Holdings!$H$14)+$B$5</f>
        <v>163022.353241645</v>
      </c>
      <c r="E18" s="24" t="n">
        <f aca="false">E17+$B$5</f>
        <v>46800</v>
      </c>
      <c r="F18" s="24" t="n">
        <f aca="false">$B$4+E18</f>
        <v>65330.5167</v>
      </c>
    </row>
    <row r="19" customFormat="false" ht="15" hidden="false" customHeight="false" outlineLevel="0" collapsed="false">
      <c r="A19" s="25" t="n">
        <v>10</v>
      </c>
      <c r="B19" s="26" t="n">
        <f aca="false">B18*(1+Holdings!$F$14)+$B$5</f>
        <v>72331.2428454092</v>
      </c>
      <c r="C19" s="26" t="n">
        <f aca="false">C18*(1+Holdings!$G$14)+$B$5</f>
        <v>132166.643569361</v>
      </c>
      <c r="D19" s="26" t="n">
        <f aca="false">D18*(1+Holdings!$H$14)+$B$5</f>
        <v>194558.149047109</v>
      </c>
      <c r="E19" s="24" t="n">
        <f aca="false">E18+$B$5</f>
        <v>52000</v>
      </c>
      <c r="F19" s="24" t="n">
        <f aca="false">$B$4+E19</f>
        <v>70530.5167</v>
      </c>
    </row>
    <row r="21" customFormat="false" ht="15" hidden="false" customHeight="false" outlineLevel="0" collapsed="false">
      <c r="A21" s="7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2026-07-24T03:10:05Z</dcterms:created>
  <dc:creator>openpyxl</dc:creator>
  <dc:description/>
  <dc:language>en-US</dc:language>
  <cp:lastModifiedBy/>
  <dcterms:modified xsi:type="dcterms:W3CDTF">2026-07-24T03:10:24Z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