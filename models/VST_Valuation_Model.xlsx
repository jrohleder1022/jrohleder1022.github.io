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_rels/sheet11.xml.rels" ContentType="application/vnd.openxmlformats-package.relationships+xml"/>
  <Override PartName="/xl/worksheets/_rels/sheet10.xml.rels" ContentType="application/vnd.openxmlformats-package.relationships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2.xml.rels" ContentType="application/vnd.openxmlformats-package.relationship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over" sheetId="1" state="visible" r:id="rId3"/>
    <sheet name="Assumptions" sheetId="2" state="visible" r:id="rId4"/>
    <sheet name="Historicals" sheetId="3" state="visible" r:id="rId5"/>
    <sheet name="Model_3S" sheetId="4" state="visible" r:id="rId6"/>
    <sheet name="WACC" sheetId="5" state="visible" r:id="rId7"/>
    <sheet name="DCF" sheetId="6" state="visible" r:id="rId8"/>
    <sheet name="Comps" sheetId="7" state="visible" r:id="rId9"/>
    <sheet name="Precedents" sheetId="8" state="visible" r:id="rId10"/>
    <sheet name="LBO" sheetId="9" state="visible" r:id="rId11"/>
    <sheet name="Monte_Carlo" sheetId="10" state="visible" r:id="rId12"/>
    <sheet name="Football_Field" sheetId="11" state="visible" r:id="rId1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<sst xmlns="http://schemas.openxmlformats.org/spreadsheetml/2006/main" count="516" uniqueCount="465">
  <si>
    <t xml:space="preserve">VISTRA CORP. (NYSE: VST) — DCF VALUATION &amp; 3-STATEMENT OPERATING MODEL</t>
  </si>
  <si>
    <t xml:space="preserve">Prepared July 20, 2026 · $ millions except per-share · Calendar fiscal year · Data via Alpha Vantage (SEC-mapped financials) as of 7/17/2026</t>
  </si>
  <si>
    <t xml:space="preserve">CONTENTS</t>
  </si>
  <si>
    <t xml:space="preserve">Assumptions</t>
  </si>
  <si>
    <t xml:space="preserve">Scenario switch &amp; levers (edit yellow cells)</t>
  </si>
  <si>
    <t xml:space="preserve">Historicals</t>
  </si>
  <si>
    <t xml:space="preserve">FY2021–FY2025 GAAP actuals, Q1-2026, FY2026E consensus build</t>
  </si>
  <si>
    <t xml:space="preserve">Model_3S</t>
  </si>
  <si>
    <t xml:space="preserve">Linked IS/BS/CF, working capital, capex, debt schedule, dividends &amp; buybacks, FY2026E–FY2035E</t>
  </si>
  <si>
    <t xml:space="preserve">WACC</t>
  </si>
  <si>
    <t xml:space="preserve">CAPM with live market inputs (beta 1.41, 10Y 4.55%)</t>
  </si>
  <si>
    <t xml:space="preserve">DCF</t>
  </si>
  <si>
    <t xml:space="preserve">Unlevered FCF, Gordon + exit-multiple terminal values, sensitivities</t>
  </si>
  <si>
    <t xml:space="preserve">Comps</t>
  </si>
  <si>
    <t xml:space="preserve">IPP peer multiples (CEG, NRG, TLN) — pulled live from Alpha Vantage</t>
  </si>
  <si>
    <t xml:space="preserve">Precedents</t>
  </si>
  <si>
    <t xml:space="preserve">Power-generation M&amp;A precedent transactions</t>
  </si>
  <si>
    <t xml:space="preserve">LBO</t>
  </si>
  <si>
    <t xml:space="preserve">Take-private analysis; max price at 15/20/25/30% IRR</t>
  </si>
  <si>
    <t xml:space="preserve">Monte_Carlo</t>
  </si>
  <si>
    <t xml:space="preserve">500 live trials + scenario probability weights</t>
  </si>
  <si>
    <t xml:space="preserve">Football_Field</t>
  </si>
  <si>
    <t xml:space="preserve">Valuation summary chart vs. current price</t>
  </si>
  <si>
    <t xml:space="preserve">LEGEND</t>
  </si>
  <si>
    <t xml:space="preserve">Blue font / yellow fill</t>
  </si>
  <si>
    <t xml:space="preserve">Hardcoded input or scenario lever — edit these</t>
  </si>
  <si>
    <t xml:space="preserve">Black font</t>
  </si>
  <si>
    <t xml:space="preserve">Formula — do not overwrite</t>
  </si>
  <si>
    <t xml:space="preserve">Green font</t>
  </si>
  <si>
    <t xml:space="preserve">Link to another sheet</t>
  </si>
  <si>
    <t xml:space="preserve">'e'</t>
  </si>
  <si>
    <t xml:space="preserve">Estimated (company adjusted measures, deal terms) — see notes</t>
  </si>
  <si>
    <t xml:space="preserve">KEY MODELING NOTES</t>
  </si>
  <si>
    <t xml:space="preserve">1.</t>
  </si>
  <si>
    <t xml:space="preserve">VST GAAP results carry large non-cash commodity mark-to-market swings (Q4-25 gross profit was negative). The model anchors on adjusted EBITDA and analyst consensus; GAAP history is shown for reference.</t>
  </si>
  <si>
    <t xml:space="preserve">2.</t>
  </si>
  <si>
    <t xml:space="preserve">FY2026E revenue $23.27B and adj. EPS $9.95 are analyst consensus (13 analysts, Alpha Vantage). Adj. EPS excludes MTM and other items, so it exceeds the model's GAAP-normalized EPS.</t>
  </si>
  <si>
    <t xml:space="preserve">3.</t>
  </si>
  <si>
    <t xml:space="preserve">Total debt $20.4B is modeled as refinanced at maturity (constant unless the issuance row is edited); ~$2.0B preferred deducted in the equity bridge.</t>
  </si>
  <si>
    <t xml:space="preserve">KEY SOURCES</t>
  </si>
  <si>
    <t xml:space="preserve">Financial statements &amp; ratios</t>
  </si>
  <si>
    <t xml:space="preserve">Alpha Vantage MCP: INCOME_STATEMENT / BALANCE_SHEET / CASH_FLOW / COMPANY_OVERVIEW / EARNINGS_ESTIMATES (VST, CEG, NRG, TLN), 7/17-20/2026</t>
  </si>
  <si>
    <t xml:space="preserve">Price &amp; 52-wk range</t>
  </si>
  <si>
    <t xml:space="preserve">Alpha Vantage GLOBAL_QUOTE 7/17/2026: $155.44; 52-wk $132.48–$218.91</t>
  </si>
  <si>
    <t xml:space="preserve">10Y UST 4.55% (7/17/2026)</t>
  </si>
  <si>
    <t xml:space="preserve">tradingeconomics.com / FRED DGS10</t>
  </si>
  <si>
    <t xml:space="preserve">Precedent transactions</t>
  </si>
  <si>
    <t xml:space="preserve">Public deal announcements; multiples approximate — see Precedents notes</t>
  </si>
  <si>
    <t xml:space="preserve">DISCLAIMER</t>
  </si>
  <si>
    <t xml:space="preserve">Educational model, not investment advice. Verify against Vistra filings before relying on any output.</t>
  </si>
  <si>
    <t xml:space="preserve">ASSUMPTIONS &amp; SCENARIO LEVERS — VISTRA</t>
  </si>
  <si>
    <t xml:space="preserve">Edit yellow cells. Switch drives Model_3S, DCF, LBO, Monte Carlo.</t>
  </si>
  <si>
    <t xml:space="preserve">SCENARIO SWITCH  (1 = Base, 2 = Bull, 3 = Bear)</t>
  </si>
  <si>
    <t xml:space="preserve">Scenario probability weights</t>
  </si>
  <si>
    <t xml:space="preserve">Base</t>
  </si>
  <si>
    <t xml:space="preserve">Bull</t>
  </si>
  <si>
    <t xml:space="preserve">Bear</t>
  </si>
  <si>
    <t xml:space="preserve">Total</t>
  </si>
  <si>
    <t xml:space="preserve">Probability</t>
  </si>
  <si>
    <t xml:space="preserve">Revenue growth — decays linearly from FY2027 rate to FY2035 rate</t>
  </si>
  <si>
    <t xml:space="preserve">Selected</t>
  </si>
  <si>
    <t xml:space="preserve">FY2027 revenue growth</t>
  </si>
  <si>
    <t xml:space="preserve">FY2035 revenue growth (terminal-year)</t>
  </si>
  <si>
    <t xml:space="preserve">Base FY27 = consensus ($25.3B, +8.6%). Bull +4pp (accelerated data-center PPAs); Bear −6pp (commodity give-back). FY2026E revenue is consensus $23.27B.</t>
  </si>
  <si>
    <t xml:space="preserve">Operating drivers — FY2026 start ramps linearly to FY2035 target</t>
  </si>
  <si>
    <t xml:space="preserve">Driver</t>
  </si>
  <si>
    <t xml:space="preserve">FY26 start</t>
  </si>
  <si>
    <t xml:space="preserve">Base target</t>
  </si>
  <si>
    <t xml:space="preserve">Bull target</t>
  </si>
  <si>
    <t xml:space="preserve">Bear target</t>
  </si>
  <si>
    <t xml:space="preserve">Gross margin (energy margin, excl. D&amp;A)</t>
  </si>
  <si>
    <t xml:space="preserve">SG&amp;A / other opex (% revenue)</t>
  </si>
  <si>
    <t xml:space="preserve">Stock-based compensation (% revenue)</t>
  </si>
  <si>
    <t xml:space="preserve">D&amp;A incl. nuclear fuel amortization (% revenue)</t>
  </si>
  <si>
    <t xml:space="preserve">Capex incl. growth/solar/gas builds (% revenue)</t>
  </si>
  <si>
    <t xml:space="preserve">Cash tax rate</t>
  </si>
  <si>
    <t xml:space="preserve">Other current assets — margin deposits etc. (% rev)</t>
  </si>
  <si>
    <t xml:space="preserve">Other current liabilities (% revenue)</t>
  </si>
  <si>
    <t xml:space="preserve">Implied FY2026E Adj. EBITDA ≈ $7.0B (guidance $6.8–7.0B); terminal Adj. EBITDA margin: Base 32.5%, Bull 36%, Bear 28%.</t>
  </si>
  <si>
    <t xml:space="preserve">Working capital (held constant)</t>
  </si>
  <si>
    <t xml:space="preserve">Days sales outstanding (DSO)</t>
  </si>
  <si>
    <t xml:space="preserve">Days inventory — fuel &amp; materials (DIO, on COGS)</t>
  </si>
  <si>
    <t xml:space="preserve">Days payable outstanding (DPO, on COGS)</t>
  </si>
  <si>
    <t xml:space="preserve">Capital &amp; shareholder returns</t>
  </si>
  <si>
    <t xml:space="preserve">Interest earned on cash</t>
  </si>
  <si>
    <t xml:space="preserve">Revolver interest rate</t>
  </si>
  <si>
    <t xml:space="preserve">Minimum cash balance ($mm)</t>
  </si>
  <si>
    <t xml:space="preserve">Diluted shares outstanding (mm)</t>
  </si>
  <si>
    <t xml:space="preserve">Marginal tax rate (valuation)</t>
  </si>
  <si>
    <t xml:space="preserve">Average rate on existing debt (FY25 interest / debt)</t>
  </si>
  <si>
    <t xml:space="preserve">Common + preferred dividends, FY2026 ($mm)</t>
  </si>
  <si>
    <t xml:space="preserve">Dividend growth per year</t>
  </si>
  <si>
    <t xml:space="preserve">Share buybacks per year ($mm)</t>
  </si>
  <si>
    <t xml:space="preserve">FY24 $1,266mm / FY25 $1,028mm actual; share count held constant for simplicity — buybacks modeled as cash + equity reduction</t>
  </si>
  <si>
    <t xml:space="preserve">Preferred stock outstanding ($mm)</t>
  </si>
  <si>
    <t xml:space="preserve">Terminal value &amp; market inputs</t>
  </si>
  <si>
    <t xml:space="preserve">Terminal (perpetuity) growth rate g</t>
  </si>
  <si>
    <t xml:space="preserve">Exit EV / Adj. EBITDA multiple (FY2035)</t>
  </si>
  <si>
    <t xml:space="preserve">Current share price (7/17/2026 close)</t>
  </si>
  <si>
    <t xml:space="preserve">Valuation as of FY2026 year-end; FY2027-35 FCF discounted mid-year. Exit 10x vs. VST current 11.1x LTM and CEG 13.6x — assumes multiple compression as data-center scarcity premium matures.</t>
  </si>
  <si>
    <t xml:space="preserve">HISTORICAL FINANCIALS  ($mm; GAAP per SEC-mapped Alpha Vantage data)</t>
  </si>
  <si>
    <t xml:space="preserve">FY2021A</t>
  </si>
  <si>
    <t xml:space="preserve">FY2022A</t>
  </si>
  <si>
    <t xml:space="preserve">FY2023A</t>
  </si>
  <si>
    <t xml:space="preserve">FY2024A</t>
  </si>
  <si>
    <t xml:space="preserve">FY2025A</t>
  </si>
  <si>
    <t xml:space="preserve">Q1-26A</t>
  </si>
  <si>
    <t xml:space="preserve">FY2026E</t>
  </si>
  <si>
    <t xml:space="preserve">Revenue</t>
  </si>
  <si>
    <t xml:space="preserve">FY2026E = analyst consensus revenue (13 analysts, Alpha Vantage)</t>
  </si>
  <si>
    <t xml:space="preserve">Gross profit</t>
  </si>
  <si>
    <t xml:space="preserve">Operating income</t>
  </si>
  <si>
    <t xml:space="preserve">Net income</t>
  </si>
  <si>
    <t xml:space="preserve">EBITDA (GAAP, incl. MTM)</t>
  </si>
  <si>
    <t xml:space="preserve">Operating cash flow</t>
  </si>
  <si>
    <t xml:space="preserve">Capex</t>
  </si>
  <si>
    <t xml:space="preserve">Dividends paid</t>
  </si>
  <si>
    <t xml:space="preserve">Share buybacks</t>
  </si>
  <si>
    <t xml:space="preserve">Adjusted EBITDA (company measure, ongoing ops) e</t>
  </si>
  <si>
    <t xml:space="preserve">Consensus adj. EPS</t>
  </si>
  <si>
    <t xml:space="preserve">  FY2027E consensus: revenue / adj. EPS</t>
  </si>
  <si>
    <t xml:space="preserve">FY2027E adj. EPS consensus $11.28</t>
  </si>
  <si>
    <t xml:space="preserve">Balance sheet (FY2025A):</t>
  </si>
  <si>
    <t xml:space="preserve">  Cash</t>
  </si>
  <si>
    <t xml:space="preserve">  Receivables</t>
  </si>
  <si>
    <t xml:space="preserve">  Inventory</t>
  </si>
  <si>
    <t xml:space="preserve">  Other current assets</t>
  </si>
  <si>
    <t xml:space="preserve">  PP&amp;E net</t>
  </si>
  <si>
    <t xml:space="preserve">  Goodwill+intangibles+nuclear trust+other LT</t>
  </si>
  <si>
    <t xml:space="preserve">  Accounts payable</t>
  </si>
  <si>
    <t xml:space="preserve">  Other current liabilities</t>
  </si>
  <si>
    <t xml:space="preserve">  Total debt</t>
  </si>
  <si>
    <t xml:space="preserve">  Other LT liabilities</t>
  </si>
  <si>
    <t xml:space="preserve">  Total equity</t>
  </si>
  <si>
    <t xml:space="preserve">GAAP revenue/margins swing with non-cash commodity mark-to-market (FY2025 GAAP gross profit $2,974mm vs FY2024 $7,693mm is hedge MTM, not operations). Adjusted EBITDA is the planning metric.</t>
  </si>
  <si>
    <t xml:space="preserve">Adjusted EBITDA rows marked 'e': company-reported ongoing-operations adjusted EBITDA (FY25 within $5.7–5.9B raised guidance incl. nuclear PTC); FY2026E = guidance midpoint ~$6.9B.</t>
  </si>
  <si>
    <t xml:space="preserve">Q1-2026: revenue $4,654mm, GAAP net income $159mm, OCF $1,199mm, capex $883mm; cash $671mm, total debt $19,913mm, equity $5,597mm.</t>
  </si>
  <si>
    <t xml:space="preserve">Source: Alpha Vantage SEC-mapped statements (annual 2021-2025, Q1-2026), pulled 7/20/2026.</t>
  </si>
  <si>
    <t xml:space="preserve">3-STATEMENT OPERATING MODEL — FY2026E–FY2035E  ($mm)</t>
  </si>
  <si>
    <t xml:space="preserve">FY2027E</t>
  </si>
  <si>
    <t xml:space="preserve">FY2028E</t>
  </si>
  <si>
    <t xml:space="preserve">FY2029E</t>
  </si>
  <si>
    <t xml:space="preserve">FY2030E</t>
  </si>
  <si>
    <t xml:space="preserve">FY2031E</t>
  </si>
  <si>
    <t xml:space="preserve">FY2032E</t>
  </si>
  <si>
    <t xml:space="preserve">FY2033E</t>
  </si>
  <si>
    <t xml:space="preserve">FY2034E</t>
  </si>
  <si>
    <t xml:space="preserve">FY2035E</t>
  </si>
  <si>
    <t xml:space="preserve">DRIVERS (linked to Assumptions; linear ramps FY26 → FY35)</t>
  </si>
  <si>
    <t xml:space="preserve">Revenue growth %</t>
  </si>
  <si>
    <t xml:space="preserve">Gross margin %</t>
  </si>
  <si>
    <t xml:space="preserve">SG&amp;A % rev</t>
  </si>
  <si>
    <t xml:space="preserve">SBC % rev</t>
  </si>
  <si>
    <t xml:space="preserve">D&amp;A % rev</t>
  </si>
  <si>
    <t xml:space="preserve">Capex % rev</t>
  </si>
  <si>
    <t xml:space="preserve">Cash tax rate %</t>
  </si>
  <si>
    <t xml:space="preserve">Other current assets % rev</t>
  </si>
  <si>
    <t xml:space="preserve">Other current liab % rev</t>
  </si>
  <si>
    <t xml:space="preserve">INCOME STATEMENT</t>
  </si>
  <si>
    <t xml:space="preserve">Cost of revenue — fuel &amp; purchased power (excl. D&amp;A)</t>
  </si>
  <si>
    <t xml:space="preserve">Gross (energy) margin</t>
  </si>
  <si>
    <t xml:space="preserve">SG&amp;A / other operating costs</t>
  </si>
  <si>
    <t xml:space="preserve">Adjusted EBITDA</t>
  </si>
  <si>
    <t xml:space="preserve">Stock-based compensation</t>
  </si>
  <si>
    <t xml:space="preserve">D&amp;A incl. nuclear fuel amort.</t>
  </si>
  <si>
    <t xml:space="preserve">EBIT</t>
  </si>
  <si>
    <t xml:space="preserve">Interest income (on beginning cash)</t>
  </si>
  <si>
    <t xml:space="preserve">Interest expense (beginning debt balances)</t>
  </si>
  <si>
    <t xml:space="preserve">Pre-tax income</t>
  </si>
  <si>
    <t xml:space="preserve">Taxes</t>
  </si>
  <si>
    <t xml:space="preserve">Net income (GAAP-normalized, ex-MTM)</t>
  </si>
  <si>
    <t xml:space="preserve">  EPS (constant share count; adj-EPS consensus is higher)</t>
  </si>
  <si>
    <t xml:space="preserve">  Adj. EBITDA margin %</t>
  </si>
  <si>
    <t xml:space="preserve">WORKING CAPITAL</t>
  </si>
  <si>
    <t xml:space="preserve">Accounts receivable</t>
  </si>
  <si>
    <t xml:space="preserve">Fuel &amp; materials inventory</t>
  </si>
  <si>
    <t xml:space="preserve">Other current assets (margin deposits, derivatives)</t>
  </si>
  <si>
    <t xml:space="preserve">Accounts payable</t>
  </si>
  <si>
    <t xml:space="preserve">Other current liabilities</t>
  </si>
  <si>
    <t xml:space="preserve">Net working capital</t>
  </si>
  <si>
    <t xml:space="preserve">(Increase) / decrease in NWC — cash impact</t>
  </si>
  <si>
    <t xml:space="preserve">CAPEX &amp; PP&amp;E</t>
  </si>
  <si>
    <t xml:space="preserve">PP&amp;E, net</t>
  </si>
  <si>
    <t xml:space="preserve">DEBT SCHEDULE  (existing debt refinanced at maturity: balance held flat unless issuance row edited)</t>
  </si>
  <si>
    <t xml:space="preserve">Term debt &amp; notes — beginning</t>
  </si>
  <si>
    <t xml:space="preserve">  Net issuance / (repayment) — input</t>
  </si>
  <si>
    <t xml:space="preserve">Term debt &amp; notes — ending</t>
  </si>
  <si>
    <t xml:space="preserve">Revolver — beginning</t>
  </si>
  <si>
    <t xml:space="preserve">  Draw (if cash &lt; minimum)</t>
  </si>
  <si>
    <t xml:space="preserve">  (Repayment)</t>
  </si>
  <si>
    <t xml:space="preserve">Revolver — ending</t>
  </si>
  <si>
    <t xml:space="preserve">Total debt — ending</t>
  </si>
  <si>
    <t xml:space="preserve">CASH FLOW STATEMENT</t>
  </si>
  <si>
    <t xml:space="preserve">+ D&amp;A</t>
  </si>
  <si>
    <t xml:space="preserve">+ Stock-based compensation</t>
  </si>
  <si>
    <t xml:space="preserve">+/- Change in NWC</t>
  </si>
  <si>
    <t xml:space="preserve">Cash from operations</t>
  </si>
  <si>
    <t xml:space="preserve">- Capex</t>
  </si>
  <si>
    <t xml:space="preserve">Free cash flow</t>
  </si>
  <si>
    <t xml:space="preserve">- Dividends (common + preferred)</t>
  </si>
  <si>
    <t xml:space="preserve">- Share buybacks</t>
  </si>
  <si>
    <t xml:space="preserve">+ Debt draws / (repayments)</t>
  </si>
  <si>
    <t xml:space="preserve">Net change in cash</t>
  </si>
  <si>
    <t xml:space="preserve">Cash — beginning</t>
  </si>
  <si>
    <t xml:space="preserve">Cash — ending</t>
  </si>
  <si>
    <t xml:space="preserve">BALANCE SHEET</t>
  </si>
  <si>
    <t xml:space="preserve">Cash &amp; equivalents</t>
  </si>
  <si>
    <t xml:space="preserve">Inventory</t>
  </si>
  <si>
    <t xml:space="preserve">Other current assets</t>
  </si>
  <si>
    <t xml:space="preserve">Goodwill, intangibles, nuclear trust &amp; other LT</t>
  </si>
  <si>
    <t xml:space="preserve">TOTAL ASSETS</t>
  </si>
  <si>
    <t xml:space="preserve">Total debt</t>
  </si>
  <si>
    <t xml:space="preserve">Other LT liabilities (ARO, TRA, pensions, DTL)</t>
  </si>
  <si>
    <t xml:space="preserve">TOTAL LIABILITIES</t>
  </si>
  <si>
    <t xml:space="preserve">Total equity (opening = plug; rolls with NI+SBC−div−buybacks)</t>
  </si>
  <si>
    <t xml:space="preserve">TOTAL LIABILITIES + EQUITY</t>
  </si>
  <si>
    <t xml:space="preserve">Balance check (must be 0)</t>
  </si>
  <si>
    <t xml:space="preserve">WEIGHTED AVERAGE COST OF CAPITAL — CURRENT MARKET DATA (JULY 2026)</t>
  </si>
  <si>
    <t xml:space="preserve">COST OF EQUITY (CAPM)</t>
  </si>
  <si>
    <t xml:space="preserve">Risk-free rate — 10Y UST, 7/17/2026</t>
  </si>
  <si>
    <t xml:space="preserve">Levered beta</t>
  </si>
  <si>
    <t xml:space="preserve">Alpha Vantage COMPANY_OVERVIEW (VST), 7/17/2026</t>
  </si>
  <si>
    <t xml:space="preserve">Equity risk premium</t>
  </si>
  <si>
    <t xml:space="preserve">Damodaran implied ERP, mid-2026</t>
  </si>
  <si>
    <t xml:space="preserve">Company-specific premium</t>
  </si>
  <si>
    <t xml:space="preserve">Optional adder (commodity &amp; regulatory risk already in beta)</t>
  </si>
  <si>
    <t xml:space="preserve">Cost of equity</t>
  </si>
  <si>
    <t xml:space="preserve">COST OF DEBT</t>
  </si>
  <si>
    <t xml:space="preserve">Pre-tax cost of debt</t>
  </si>
  <si>
    <t xml:space="preserve">FY2025 interest expense $1,179mm / avg total debt ~$20.4B</t>
  </si>
  <si>
    <t xml:space="preserve">Tax rate</t>
  </si>
  <si>
    <t xml:space="preserve">After-tax cost of debt</t>
  </si>
  <si>
    <t xml:space="preserve">CAPITAL STRUCTURE (market weights)</t>
  </si>
  <si>
    <t xml:space="preserve">Debt + preferred / total capitalization</t>
  </si>
  <si>
    <t xml:space="preserve">Net debt ~$19.6B + $2.0B preferred vs. $52.4B market cap</t>
  </si>
  <si>
    <t xml:space="preserve">Equity / total capitalization</t>
  </si>
  <si>
    <t xml:space="preserve">Cost of equity ≈ 11.2%; WACC ≈ 9.2–9.5%. Sensitivity range in DCF tables: 8.4% – 10.4%.</t>
  </si>
  <si>
    <t xml:space="preserve">DISCOUNTED CASH FLOW — UNLEVERED FCF  ($mm; valuation as of FY2026 year-end, mid-year convention)</t>
  </si>
  <si>
    <t xml:space="preserve">Cash taxes on EBIT</t>
  </si>
  <si>
    <t xml:space="preserve">− Capex</t>
  </si>
  <si>
    <t xml:space="preserve">+/− Change in NWC</t>
  </si>
  <si>
    <t xml:space="preserve">Unlevered free cash flow</t>
  </si>
  <si>
    <t xml:space="preserve">Discount period (mid-year)</t>
  </si>
  <si>
    <t xml:space="preserve">Discount factor @ WACC</t>
  </si>
  <si>
    <t xml:space="preserve">PV of FCF</t>
  </si>
  <si>
    <t xml:space="preserve">Sum of PV of explicit FCF (FY27–35)</t>
  </si>
  <si>
    <t xml:space="preserve">TERMINAL VALUE — METHOD 1: GORDON GROWTH</t>
  </si>
  <si>
    <t xml:space="preserve">Terminal growth g</t>
  </si>
  <si>
    <t xml:space="preserve">Terminal value = FCF35 × (1+g) / (WACC − g)</t>
  </si>
  <si>
    <t xml:space="preserve">PV of terminal value (9.0 yrs)</t>
  </si>
  <si>
    <t xml:space="preserve">  Implied exit EV/EBITDA on FY35 Adj. EBITDA</t>
  </si>
  <si>
    <t xml:space="preserve">TERMINAL VALUE — METHOD 2: EXIT MULTIPLE</t>
  </si>
  <si>
    <t xml:space="preserve">Exit EV/Adj. EBITDA multiple</t>
  </si>
  <si>
    <t xml:space="preserve">Terminal value = multiple × FY35 Adj. EBITDA</t>
  </si>
  <si>
    <t xml:space="preserve">PV of terminal value</t>
  </si>
  <si>
    <t xml:space="preserve">  Implied perpetuity growth from exit TV</t>
  </si>
  <si>
    <t xml:space="preserve">ENTERPRISE → EQUITY VALUE BRIDGE</t>
  </si>
  <si>
    <t xml:space="preserve">Net debt, FY2026E year-end (debt − cash)</t>
  </si>
  <si>
    <t xml:space="preserve">Preferred stock</t>
  </si>
  <si>
    <t xml:space="preserve">Diluted shares (mm)</t>
  </si>
  <si>
    <t xml:space="preserve">Gordon growth</t>
  </si>
  <si>
    <t xml:space="preserve">Exit multiple</t>
  </si>
  <si>
    <t xml:space="preserve">Average</t>
  </si>
  <si>
    <t xml:space="preserve">Enterprise value</t>
  </si>
  <si>
    <t xml:space="preserve">− Net debt − preferred</t>
  </si>
  <si>
    <t xml:space="preserve">Equity value</t>
  </si>
  <si>
    <t xml:space="preserve">Implied value per share</t>
  </si>
  <si>
    <t xml:space="preserve">Upside / (downside) vs current price</t>
  </si>
  <si>
    <t xml:space="preserve">SENSITIVITY — VALUE PER SHARE: WACC × TERMINAL GROWTH (Gordon)</t>
  </si>
  <si>
    <t xml:space="preserve">WACC \ g</t>
  </si>
  <si>
    <t xml:space="preserve">SENSITIVITY — VALUE PER SHARE: WACC × EXIT EV/EBITDA MULTIPLE</t>
  </si>
  <si>
    <t xml:space="preserve">WACC \ x</t>
  </si>
  <si>
    <t xml:space="preserve">SENSITIVITY — VALUE PER SHARE: FY2027 GROWTH × TERMINAL ADJ. EBITDA MARGIN  (compact approximation, exit-multiple TV)</t>
  </si>
  <si>
    <t xml:space="preserve">Rev FY35 ≈ FY26E rev × (1 + avg(FY27 g, FY35 g))^9; interim-FCF PV scaled by terminal-EBITDA ratio. Exact at the base point.</t>
  </si>
  <si>
    <t xml:space="preserve">FY27 g \ margin</t>
  </si>
  <si>
    <t xml:space="preserve">TRADING COMPARABLES — INDEPENDENT POWER PRODUCERS  (Alpha Vantage, July 2026)</t>
  </si>
  <si>
    <t xml:space="preserve">Company</t>
  </si>
  <si>
    <t xml:space="preserve">Ticker</t>
  </si>
  <si>
    <t xml:space="preserve">EV/Revenue</t>
  </si>
  <si>
    <t xml:space="preserve">EV/EBITDA (LTM)</t>
  </si>
  <si>
    <t xml:space="preserve">Beta</t>
  </si>
  <si>
    <t xml:space="preserve">Note</t>
  </si>
  <si>
    <t xml:space="preserve">Constellation Energy</t>
  </si>
  <si>
    <t xml:space="preserve">CEG</t>
  </si>
  <si>
    <t xml:space="preserve">Nuclear fleet premium; Calpine deal closed</t>
  </si>
  <si>
    <t xml:space="preserve">NRG Energy</t>
  </si>
  <si>
    <t xml:space="preserve">NRG</t>
  </si>
  <si>
    <t xml:space="preserve">LTM EBITDA depressed by MTM; fwd P/E 13.6x</t>
  </si>
  <si>
    <t xml:space="preserve">Talen Energy</t>
  </si>
  <si>
    <t xml:space="preserve">TLN</t>
  </si>
  <si>
    <t xml:space="preserve">LTM heavily MTM-distorted; AWS nuclear PPA</t>
  </si>
  <si>
    <t xml:space="preserve">Vistra (self, for reference)</t>
  </si>
  <si>
    <t xml:space="preserve">VST</t>
  </si>
  <si>
    <t xml:space="preserve">Current multiples</t>
  </si>
  <si>
    <t xml:space="preserve">Peer median (ex-VST)</t>
  </si>
  <si>
    <t xml:space="preserve">LTM GAAP EBITDA multiples are distorted by commodity mark-to-market for the whole sector; the applied bands below are set on a forward adjusted-EBITDA basis (~9–14x, VST currently ~10.6x FY26E guidance).</t>
  </si>
  <si>
    <t xml:space="preserve">IMPLIED VALUE PER SHARE</t>
  </si>
  <si>
    <t xml:space="preserve">Method</t>
  </si>
  <si>
    <t xml:space="preserve">Low x</t>
  </si>
  <si>
    <t xml:space="preserve">High x</t>
  </si>
  <si>
    <t xml:space="preserve">Metric</t>
  </si>
  <si>
    <t xml:space="preserve">$/sh low</t>
  </si>
  <si>
    <t xml:space="preserve">$/sh high</t>
  </si>
  <si>
    <t xml:space="preserve">EV/Adj. EBITDA × FY2026E ($mm)</t>
  </si>
  <si>
    <t xml:space="preserve">P/E × FY2026E consensus adj. EPS</t>
  </si>
  <si>
    <t xml:space="preserve">P/E band: VST fwd P/E 16.9x vs CEG 21.4x, NRG 13.6x, TLN 15.9x (Alpha Vantage forward P/E).</t>
  </si>
  <si>
    <t xml:space="preserve">PRECEDENT TRANSACTIONS — US POWER GENERATION M&amp;A</t>
  </si>
  <si>
    <t xml:space="preserve">Date</t>
  </si>
  <si>
    <t xml:space="preserve">Acquirer</t>
  </si>
  <si>
    <t xml:space="preserve">Target</t>
  </si>
  <si>
    <t xml:space="preserve">EV ($mm)</t>
  </si>
  <si>
    <t xml:space="preserve">EV/EBITDA</t>
  </si>
  <si>
    <t xml:space="preserve">Jan-2025</t>
  </si>
  <si>
    <t xml:space="preserve">Calpine</t>
  </si>
  <si>
    <t xml:space="preserve">~7.9x 2026E EBITDA incl. synergies (announced value $26.6B + debt adj)</t>
  </si>
  <si>
    <t xml:space="preserve">Mar-2023</t>
  </si>
  <si>
    <t xml:space="preserve">Vistra</t>
  </si>
  <si>
    <t xml:space="preserve">Energy Harbor</t>
  </si>
  <si>
    <t xml:space="preserve">e — nuclear + retail; multiple estimated on ~$560mm EBITDA</t>
  </si>
  <si>
    <t xml:space="preserve">Aug-2017</t>
  </si>
  <si>
    <t xml:space="preserve">Energy Capital Partners</t>
  </si>
  <si>
    <t xml:space="preserve">take-private</t>
  </si>
  <si>
    <t xml:space="preserve">Oct-2017</t>
  </si>
  <si>
    <t xml:space="preserve">Dynegy</t>
  </si>
  <si>
    <t xml:space="preserve">e — all-stock merger, pre-synergy</t>
  </si>
  <si>
    <t xml:space="preserve">Feb-2007</t>
  </si>
  <si>
    <t xml:space="preserve">KKR / TPG / GS</t>
  </si>
  <si>
    <t xml:space="preserve">TXU (Energy Future)</t>
  </si>
  <si>
    <t xml:space="preserve">e — largest LBO in history; later restructured</t>
  </si>
  <si>
    <t xml:space="preserve">May-2025</t>
  </si>
  <si>
    <t xml:space="preserve">LS Power</t>
  </si>
  <si>
    <t xml:space="preserve">Talen ERCOT assets</t>
  </si>
  <si>
    <t xml:space="preserve">e — gas fleet portfolio deals cluster ~6-8x</t>
  </si>
  <si>
    <t xml:space="preserve">Median EV/EBITDA</t>
  </si>
  <si>
    <t xml:space="preserve">APPLIED RANGE</t>
  </si>
  <si>
    <t xml:space="preserve">Generation M&amp;A has consistently cleared at 6–9x EBITDA — well below today's public trading multiples, which embed data-center growth optionality. A control transaction for VST would likely price between the two.</t>
  </si>
  <si>
    <t xml:space="preserve">Low</t>
  </si>
  <si>
    <t xml:space="preserve">High</t>
  </si>
  <si>
    <t xml:space="preserve">EV/Adj. EBITDA applied to FY2026E</t>
  </si>
  <si>
    <t xml:space="preserve">Implied EV</t>
  </si>
  <si>
    <t xml:space="preserve">LBO ANALYSIS — 5-YEAR HOLD (ENTRY END-FY2026, EXIT END-FY2031)  ($mm)</t>
  </si>
  <si>
    <t xml:space="preserve">ENTRY &amp; FINANCING</t>
  </si>
  <si>
    <t xml:space="preserve">Entry premium to current price</t>
  </si>
  <si>
    <t xml:space="preserve">Entry price per share</t>
  </si>
  <si>
    <t xml:space="preserve">Equity purchase price</t>
  </si>
  <si>
    <t xml:space="preserve">Plus: net debt assumed/refinanced + preferred redeemed</t>
  </si>
  <si>
    <t xml:space="preserve">Entry enterprise value</t>
  </si>
  <si>
    <t xml:space="preserve">Transaction fees (% of EV)</t>
  </si>
  <si>
    <t xml:space="preserve">FY2026E Adj. EBITDA (debt sizing basis)</t>
  </si>
  <si>
    <t xml:space="preserve">  Entry EV / EBITDA</t>
  </si>
  <si>
    <t xml:space="preserve">Debt tranche</t>
  </si>
  <si>
    <t xml:space="preserve">Multiple</t>
  </si>
  <si>
    <t xml:space="preserve">Rate</t>
  </si>
  <si>
    <t xml:space="preserve">Amount</t>
  </si>
  <si>
    <t xml:space="preserve">Term Loan B</t>
  </si>
  <si>
    <t xml:space="preserve">Secured / unsecured notes</t>
  </si>
  <si>
    <t xml:space="preserve">Total new debt</t>
  </si>
  <si>
    <t xml:space="preserve">Sponsor equity = EV×(1+fees) − debt</t>
  </si>
  <si>
    <t xml:space="preserve">DEBT PAYDOWN — 100% FCF SWEEP</t>
  </si>
  <si>
    <t xml:space="preserve">Unlevered FCF (DCF sheet)</t>
  </si>
  <si>
    <t xml:space="preserve">Cash interest — TLB (beginning balance)</t>
  </si>
  <si>
    <t xml:space="preserve">Cash interest — notes</t>
  </si>
  <si>
    <t xml:space="preserve">Interest tax shield</t>
  </si>
  <si>
    <t xml:space="preserve">Levered FCF for paydown</t>
  </si>
  <si>
    <t xml:space="preserve">TLB — beginning</t>
  </si>
  <si>
    <t xml:space="preserve">TLB — (paydown)</t>
  </si>
  <si>
    <t xml:space="preserve">TLB — ending</t>
  </si>
  <si>
    <t xml:space="preserve">Notes — ending (bullet)</t>
  </si>
  <si>
    <t xml:space="preserve">EXIT &amp; RETURNS</t>
  </si>
  <si>
    <t xml:space="preserve">FY2031E Adj. EBITDA</t>
  </si>
  <si>
    <t xml:space="preserve">Exit EV/EBITDA multiple</t>
  </si>
  <si>
    <t xml:space="preserve">Exit enterprise value</t>
  </si>
  <si>
    <t xml:space="preserve">Less: exit net debt</t>
  </si>
  <si>
    <t xml:space="preserve">Exit equity value</t>
  </si>
  <si>
    <t xml:space="preserve">MOIC</t>
  </si>
  <si>
    <t xml:space="preserve">IRR (5-yr)</t>
  </si>
  <si>
    <t xml:space="preserve">MAXIMUM ENTRY PRICE AT TARGET IRR THRESHOLDS  (exit equity constant — debt sized on EBITDA, not price)</t>
  </si>
  <si>
    <t xml:space="preserve">Target IRR</t>
  </si>
  <si>
    <t xml:space="preserve">Max sponsor equity</t>
  </si>
  <si>
    <t xml:space="preserve">Implied entry EV</t>
  </si>
  <si>
    <t xml:space="preserve">Implied price/share</t>
  </si>
  <si>
    <t xml:space="preserve">Prem/(disc) to market</t>
  </si>
  <si>
    <t xml:space="preserve">VST generates real EBITDA at scale, so an LBO 'works' mechanically — but 5.5x new leverage on top of a ~12x entry multiple leaves sponsor returns below hurdle at market prices. The table shows the classic LBO floor.</t>
  </si>
  <si>
    <t xml:space="preserve">MONTE CARLO SIMULATION — 500 LIVE TRIALS  (press F9 / recalc to refresh draws)</t>
  </si>
  <si>
    <t xml:space="preserve">Compact DCF per trial calibrated to the DCF sheet at base inputs; equity = PV(TV) + PV(FCF) − net debt − preferred.</t>
  </si>
  <si>
    <t xml:space="preserve">Distribution parameters — Normal(mean, σ)</t>
  </si>
  <si>
    <t xml:space="preserve">Variable</t>
  </si>
  <si>
    <t xml:space="preserve">Mean (linked)</t>
  </si>
  <si>
    <t xml:space="preserve">σ (input)</t>
  </si>
  <si>
    <t xml:space="preserve">Terminal Adj. EBITDA margin (FY35)</t>
  </si>
  <si>
    <t xml:space="preserve">Calibration statics (linked)</t>
  </si>
  <si>
    <t xml:space="preserve">Base FY2035 Adj. EBITDA</t>
  </si>
  <si>
    <t xml:space="preserve">Base PV of explicit FCF (DCF)</t>
  </si>
  <si>
    <t xml:space="preserve">Net debt FY2026E</t>
  </si>
  <si>
    <t xml:space="preserve">Current share price</t>
  </si>
  <si>
    <t xml:space="preserve">FY2035 growth (selected)</t>
  </si>
  <si>
    <t xml:space="preserve">FY2026E revenue</t>
  </si>
  <si>
    <t xml:space="preserve">Simulation results ($/share)</t>
  </si>
  <si>
    <t xml:space="preserve">Mean</t>
  </si>
  <si>
    <t xml:space="preserve">Median</t>
  </si>
  <si>
    <t xml:space="preserve">Standard deviation</t>
  </si>
  <si>
    <t xml:space="preserve">5th percentile</t>
  </si>
  <si>
    <t xml:space="preserve">25th percentile</t>
  </si>
  <si>
    <t xml:space="preserve">75th percentile</t>
  </si>
  <si>
    <t xml:space="preserve">95th percentile</t>
  </si>
  <si>
    <t xml:space="preserve">P(value &gt; current price)</t>
  </si>
  <si>
    <t xml:space="preserve">Scenario probability-weighted value (compact DCF per scenario)</t>
  </si>
  <si>
    <t xml:space="preserve">Scenario</t>
  </si>
  <si>
    <t xml:space="preserve">Value / share</t>
  </si>
  <si>
    <t xml:space="preserve">Probability-weighted value</t>
  </si>
  <si>
    <t xml:space="preserve">Compact approximation; PV-of-FCF scaling calibrated on the active scenario (most accurate with switch = 1/Base).</t>
  </si>
  <si>
    <t xml:space="preserve">TRIALS</t>
  </si>
  <si>
    <t xml:space="preserve">#</t>
  </si>
  <si>
    <t xml:space="preserve">g FY27</t>
  </si>
  <si>
    <t xml:space="preserve">Term margin</t>
  </si>
  <si>
    <t xml:space="preserve">Exit x</t>
  </si>
  <si>
    <t xml:space="preserve">Rev FY35</t>
  </si>
  <si>
    <t xml:space="preserve">EBITDA FY35</t>
  </si>
  <si>
    <t xml:space="preserve">PV(TV)</t>
  </si>
  <si>
    <t xml:space="preserve">PV(FCF)</t>
  </si>
  <si>
    <t xml:space="preserve">Equity</t>
  </si>
  <si>
    <t xml:space="preserve">$ / share</t>
  </si>
  <si>
    <t xml:space="preserve">Bin ($/sh)</t>
  </si>
  <si>
    <t xml:space="preserve">low</t>
  </si>
  <si>
    <t xml:space="preserve">high</t>
  </si>
  <si>
    <t xml:space="preserve">Count</t>
  </si>
  <si>
    <t xml:space="preserve">&lt;70</t>
  </si>
  <si>
    <t xml:space="preserve">70-80</t>
  </si>
  <si>
    <t xml:space="preserve">80-90</t>
  </si>
  <si>
    <t xml:space="preserve">90-100</t>
  </si>
  <si>
    <t xml:space="preserve">100-110</t>
  </si>
  <si>
    <t xml:space="preserve">110-120</t>
  </si>
  <si>
    <t xml:space="preserve">120-130</t>
  </si>
  <si>
    <t xml:space="preserve">130-140</t>
  </si>
  <si>
    <t xml:space="preserve">140-150</t>
  </si>
  <si>
    <t xml:space="preserve">150-160</t>
  </si>
  <si>
    <t xml:space="preserve">160-170</t>
  </si>
  <si>
    <t xml:space="preserve">170-180</t>
  </si>
  <si>
    <t xml:space="preserve">180-190</t>
  </si>
  <si>
    <t xml:space="preserve">190-200</t>
  </si>
  <si>
    <t xml:space="preserve">200-210</t>
  </si>
  <si>
    <t xml:space="preserve">210-220</t>
  </si>
  <si>
    <t xml:space="preserve">220-230</t>
  </si>
  <si>
    <t xml:space="preserve">230-240</t>
  </si>
  <si>
    <t xml:space="preserve">240-250</t>
  </si>
  <si>
    <t xml:space="preserve">250-260</t>
  </si>
  <si>
    <t xml:space="preserve">260-270</t>
  </si>
  <si>
    <t xml:space="preserve">270-280</t>
  </si>
  <si>
    <t xml:space="preserve">280+</t>
  </si>
  <si>
    <t xml:space="preserve">FOOTBALL FIELD — VALUATION SUMMARY  ($ per share)</t>
  </si>
  <si>
    <t xml:space="preserve">Methodology</t>
  </si>
  <si>
    <t xml:space="preserve">(base)</t>
  </si>
  <si>
    <t xml:space="preserve">(span)</t>
  </si>
  <si>
    <t xml:space="preserve">Midpoint</t>
  </si>
  <si>
    <t xml:space="preserve">52-week trading range</t>
  </si>
  <si>
    <t xml:space="preserve">Analyst targets (avg $223, 20 analysts) e</t>
  </si>
  <si>
    <t xml:space="preserve">DCF — Gordon growth (WACC ±0.5%, g 2.0–3.0%)</t>
  </si>
  <si>
    <t xml:space="preserve">DCF — exit multiple (9–11x, WACC ±0.5%)</t>
  </si>
  <si>
    <t xml:space="preserve">Trading comps — EV/EBITDA (9–14x FY26E)</t>
  </si>
  <si>
    <t xml:space="preserve">Trading comps — P/E (14–20x FY26E adj. EPS)</t>
  </si>
  <si>
    <t xml:space="preserve">Precedent transactions (7–9x FY26E EBITDA)</t>
  </si>
  <si>
    <t xml:space="preserve">LBO capacity (25% → 15% IRR)</t>
  </si>
  <si>
    <t xml:space="preserve">Monte Carlo P25–P75 (live)</t>
  </si>
  <si>
    <t xml:space="preserve">Current price (marker)</t>
  </si>
  <si>
    <t xml:space="preserve">52-wk range &amp; analyst target: Alpha Vantage (target band ±~15%, estimated spread). All other rows are live model outputs.</t>
  </si>
</sst>
</file>

<file path=xl/styles.xml><?xml version="1.0" encoding="utf-8"?>
<styleSheet xmlns="http://schemas.openxmlformats.org/spreadsheetml/2006/main">
  <numFmts count="9">
    <numFmt numFmtId="164" formatCode="General"/>
    <numFmt numFmtId="165" formatCode="#,##0;\(#,##0\);\-"/>
    <numFmt numFmtId="166" formatCode="0.0%;\(0.0%\);\-"/>
    <numFmt numFmtId="167" formatCode="\$#,##0;&quot;($&quot;#,##0\);\-"/>
    <numFmt numFmtId="168" formatCode="0.0\x"/>
    <numFmt numFmtId="169" formatCode="\$#,##0.00"/>
    <numFmt numFmtId="170" formatCode="0.00%;\(0.00%\);\-"/>
    <numFmt numFmtId="171" formatCode="0.00"/>
    <numFmt numFmtId="172" formatCode="0.000"/>
  </numFmts>
  <fonts count="2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FFFFFF"/>
      <name val="Arial"/>
      <family val="0"/>
      <charset val="1"/>
    </font>
    <font>
      <i val="true"/>
      <sz val="9"/>
      <color rgb="FF595959"/>
      <name val="Arial"/>
      <family val="0"/>
      <charset val="1"/>
    </font>
    <font>
      <sz val="10"/>
      <color rgb="FF000000"/>
      <name val="Arial"/>
      <family val="0"/>
      <charset val="1"/>
    </font>
    <font>
      <sz val="9"/>
      <color rgb="FF000000"/>
      <name val="Arial"/>
      <family val="0"/>
      <charset val="1"/>
    </font>
    <font>
      <b val="true"/>
      <sz val="11"/>
      <color rgb="FF1F3864"/>
      <name val="Arial"/>
      <family val="0"/>
      <charset val="1"/>
    </font>
    <font>
      <sz val="10"/>
      <color rgb="FF0000FF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b val="true"/>
      <sz val="10"/>
      <color rgb="FF0000FF"/>
      <name val="Arial"/>
      <family val="0"/>
      <charset val="1"/>
    </font>
    <font>
      <b val="true"/>
      <sz val="10"/>
      <color rgb="FFC00000"/>
      <name val="Arial"/>
      <family val="0"/>
      <charset val="1"/>
    </font>
    <font>
      <i val="true"/>
      <sz val="8"/>
      <color rgb="FF808080"/>
      <name val="Arial"/>
      <family val="0"/>
      <charset val="1"/>
    </font>
    <font>
      <i val="true"/>
      <sz val="10"/>
      <color rgb="FF000000"/>
      <name val="Arial"/>
      <family val="0"/>
      <charset val="1"/>
    </font>
    <font>
      <sz val="10"/>
      <color rgb="FF008000"/>
      <name val="Arial"/>
      <family val="0"/>
      <charset val="1"/>
    </font>
    <font>
      <b val="true"/>
      <sz val="10"/>
      <color rgb="FF008000"/>
      <name val="Arial"/>
      <family val="0"/>
      <charset val="1"/>
    </font>
    <font>
      <i val="true"/>
      <sz val="8"/>
      <color rgb="FF595959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FFFF00"/>
        <bgColor rgb="FFFFFF00"/>
      </patternFill>
    </fill>
    <fill>
      <patternFill patternType="solid">
        <fgColor rgb="FFD9E2F2"/>
        <bgColor rgb="FFD9D9D9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1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4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6" fontId="9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9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9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9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9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9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9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1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1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9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9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9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1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1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D9E2F2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4472C4"/>
      <rgbColor rgb="FF33CCCC"/>
      <rgbColor rgb="FF99CC00"/>
      <rgbColor rgb="FFFFCC00"/>
      <rgbColor rgb="FFFF9900"/>
      <rgbColor rgb="FFFF6600"/>
      <rgbColor rgb="FF595959"/>
      <rgbColor rgb="FF878787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Distribution of simulated value per share ($)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"Trials"</c:f>
              <c:strCache>
                <c:ptCount val="1"/>
                <c:pt idx="0">
                  <c:v>Trials</c:v>
                </c:pt>
              </c:strCache>
            </c:strRef>
          </c:tx>
          <c:spPr>
            <a:solidFill>
              <a:srgbClr val="4472c4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Monte_Carlo!$N$41:$N$63</c:f>
              <c:strCache>
                <c:ptCount val="23"/>
                <c:pt idx="0">
                  <c:v>&lt;70</c:v>
                </c:pt>
                <c:pt idx="1">
                  <c:v>70-80</c:v>
                </c:pt>
                <c:pt idx="2">
                  <c:v>80-90</c:v>
                </c:pt>
                <c:pt idx="3">
                  <c:v>90-100</c:v>
                </c:pt>
                <c:pt idx="4">
                  <c:v>100-110</c:v>
                </c:pt>
                <c:pt idx="5">
                  <c:v>110-120</c:v>
                </c:pt>
                <c:pt idx="6">
                  <c:v>120-130</c:v>
                </c:pt>
                <c:pt idx="7">
                  <c:v>130-140</c:v>
                </c:pt>
                <c:pt idx="8">
                  <c:v>140-150</c:v>
                </c:pt>
                <c:pt idx="9">
                  <c:v>150-160</c:v>
                </c:pt>
                <c:pt idx="10">
                  <c:v>160-170</c:v>
                </c:pt>
                <c:pt idx="11">
                  <c:v>170-180</c:v>
                </c:pt>
                <c:pt idx="12">
                  <c:v>180-190</c:v>
                </c:pt>
                <c:pt idx="13">
                  <c:v>190-200</c:v>
                </c:pt>
                <c:pt idx="14">
                  <c:v>200-210</c:v>
                </c:pt>
                <c:pt idx="15">
                  <c:v>210-220</c:v>
                </c:pt>
                <c:pt idx="16">
                  <c:v>220-230</c:v>
                </c:pt>
                <c:pt idx="17">
                  <c:v>230-240</c:v>
                </c:pt>
                <c:pt idx="18">
                  <c:v>240-250</c:v>
                </c:pt>
                <c:pt idx="19">
                  <c:v>250-260</c:v>
                </c:pt>
                <c:pt idx="20">
                  <c:v>260-270</c:v>
                </c:pt>
                <c:pt idx="21">
                  <c:v>270-280</c:v>
                </c:pt>
                <c:pt idx="22">
                  <c:v>280+</c:v>
                </c:pt>
              </c:strCache>
            </c:strRef>
          </c:cat>
          <c:val>
            <c:numRef>
              <c:f>Monte_Carlo!$Q$41:$Q$63</c:f>
              <c:numCache>
                <c:formatCode>#,##0;\(#,##0\);\-</c:formatCode>
                <c:ptCount val="23"/>
                <c:pt idx="0">
                  <c:v>2</c:v>
                </c:pt>
                <c:pt idx="1">
                  <c:v>3</c:v>
                </c:pt>
                <c:pt idx="2">
                  <c:v>9</c:v>
                </c:pt>
                <c:pt idx="3">
                  <c:v>17</c:v>
                </c:pt>
                <c:pt idx="4">
                  <c:v>17</c:v>
                </c:pt>
                <c:pt idx="5">
                  <c:v>20</c:v>
                </c:pt>
                <c:pt idx="6">
                  <c:v>35</c:v>
                </c:pt>
                <c:pt idx="7">
                  <c:v>38</c:v>
                </c:pt>
                <c:pt idx="8">
                  <c:v>34</c:v>
                </c:pt>
                <c:pt idx="9">
                  <c:v>50</c:v>
                </c:pt>
                <c:pt idx="10">
                  <c:v>32</c:v>
                </c:pt>
                <c:pt idx="11">
                  <c:v>44</c:v>
                </c:pt>
                <c:pt idx="12">
                  <c:v>39</c:v>
                </c:pt>
                <c:pt idx="13">
                  <c:v>35</c:v>
                </c:pt>
                <c:pt idx="14">
                  <c:v>20</c:v>
                </c:pt>
                <c:pt idx="15">
                  <c:v>30</c:v>
                </c:pt>
                <c:pt idx="16">
                  <c:v>24</c:v>
                </c:pt>
                <c:pt idx="17">
                  <c:v>22</c:v>
                </c:pt>
                <c:pt idx="18">
                  <c:v>7</c:v>
                </c:pt>
                <c:pt idx="19">
                  <c:v>5</c:v>
                </c:pt>
                <c:pt idx="20">
                  <c:v>9</c:v>
                </c:pt>
                <c:pt idx="21">
                  <c:v>4</c:v>
                </c:pt>
                <c:pt idx="22">
                  <c:v>4</c:v>
                </c:pt>
              </c:numCache>
            </c:numRef>
          </c:val>
        </c:ser>
        <c:gapWidth val="20"/>
        <c:overlap val="0"/>
        <c:axId val="44732262"/>
        <c:axId val="66881138"/>
      </c:barChart>
      <c:catAx>
        <c:axId val="44732262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$ per share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6881138"/>
        <c:crosses val="autoZero"/>
        <c:auto val="1"/>
        <c:lblAlgn val="ctr"/>
        <c:lblOffset val="100"/>
        <c:noMultiLvlLbl val="0"/>
      </c:catAx>
      <c:valAx>
        <c:axId val="66881138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Trials (of 500)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;\(#,##0\);\-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4732262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VST valuation ranges ($/share) — red = current price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bar"/>
        <c:grouping val="stacked"/>
        <c:varyColors val="0"/>
        <c:ser>
          <c:idx val="0"/>
          <c:order val="0"/>
          <c:tx>
            <c:strRef>
              <c:f>"base"</c:f>
              <c:strCache>
                <c:ptCount val="1"/>
                <c:pt idx="0">
                  <c:v>base</c:v>
                </c:pt>
              </c:strCache>
            </c:strRef>
          </c:tx>
          <c:spPr>
            <a:noFill/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Football_Field!$A$5:$A$14</c:f>
              <c:strCache>
                <c:ptCount val="10"/>
                <c:pt idx="0">
                  <c:v>52-week trading range</c:v>
                </c:pt>
                <c:pt idx="1">
                  <c:v>Analyst targets (avg $223, 20 analysts) e</c:v>
                </c:pt>
                <c:pt idx="2">
                  <c:v>DCF — Gordon growth (WACC ±0.5%, g 2.0–3.0%)</c:v>
                </c:pt>
                <c:pt idx="3">
                  <c:v>DCF — exit multiple (9–11x, WACC ±0.5%)</c:v>
                </c:pt>
                <c:pt idx="4">
                  <c:v>Trading comps — EV/EBITDA (9–14x FY26E)</c:v>
                </c:pt>
                <c:pt idx="5">
                  <c:v>Trading comps — P/E (14–20x FY26E adj. EPS)</c:v>
                </c:pt>
                <c:pt idx="6">
                  <c:v>Precedent transactions (7–9x FY26E EBITDA)</c:v>
                </c:pt>
                <c:pt idx="7">
                  <c:v>LBO capacity (25% → 15% IRR)</c:v>
                </c:pt>
                <c:pt idx="8">
                  <c:v>Monte Carlo P25–P75 (live)</c:v>
                </c:pt>
                <c:pt idx="9">
                  <c:v>Current price (marker)</c:v>
                </c:pt>
              </c:strCache>
            </c:strRef>
          </c:cat>
          <c:val>
            <c:numRef>
              <c:f>Football_Field!$D$5:$D$14</c:f>
              <c:numCache>
                <c:formatCode>\$#,##0.00</c:formatCode>
                <c:ptCount val="10"/>
                <c:pt idx="0">
                  <c:v>132.48</c:v>
                </c:pt>
                <c:pt idx="1">
                  <c:v>190</c:v>
                </c:pt>
                <c:pt idx="2">
                  <c:v>109.237365404618</c:v>
                </c:pt>
                <c:pt idx="3">
                  <c:v>146.931161470768</c:v>
                </c:pt>
                <c:pt idx="4">
                  <c:v>120.997589355531</c:v>
                </c:pt>
                <c:pt idx="5">
                  <c:v>139.3</c:v>
                </c:pt>
                <c:pt idx="6">
                  <c:v>79.1742441598011</c:v>
                </c:pt>
                <c:pt idx="7">
                  <c:v>111.048168036933</c:v>
                </c:pt>
                <c:pt idx="8">
                  <c:v>135.310425765678</c:v>
                </c:pt>
                <c:pt idx="9">
                  <c:v>153.94</c:v>
                </c:pt>
              </c:numCache>
            </c:numRef>
          </c:val>
        </c:ser>
        <c:ser>
          <c:idx val="1"/>
          <c:order val="1"/>
          <c:tx>
            <c:strRef>
              <c:f>"range"</c:f>
              <c:strCache>
                <c:ptCount val="1"/>
                <c:pt idx="0">
                  <c:v>range</c:v>
                </c:pt>
              </c:strCache>
            </c:strRef>
          </c:tx>
          <c:spPr>
            <a:solidFill>
              <a:srgbClr val="4472c4"/>
            </a:solidFill>
            <a:ln w="0">
              <a:noFill/>
            </a:ln>
          </c:spPr>
          <c:invertIfNegative val="0"/>
          <c:dPt>
            <c:idx val="9"/>
            <c:invertIfNegative val="0"/>
            <c:spPr>
              <a:solidFill>
                <a:srgbClr val="c00000"/>
              </a:solidFill>
              <a:ln w="0">
                <a:noFill/>
              </a:ln>
            </c:spPr>
          </c:dPt>
          <c:dLbls>
            <c:dLbl>
              <c:idx val="9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Football_Field!$A$5:$A$14</c:f>
              <c:strCache>
                <c:ptCount val="10"/>
                <c:pt idx="0">
                  <c:v>52-week trading range</c:v>
                </c:pt>
                <c:pt idx="1">
                  <c:v>Analyst targets (avg $223, 20 analysts) e</c:v>
                </c:pt>
                <c:pt idx="2">
                  <c:v>DCF — Gordon growth (WACC ±0.5%, g 2.0–3.0%)</c:v>
                </c:pt>
                <c:pt idx="3">
                  <c:v>DCF — exit multiple (9–11x, WACC ±0.5%)</c:v>
                </c:pt>
                <c:pt idx="4">
                  <c:v>Trading comps — EV/EBITDA (9–14x FY26E)</c:v>
                </c:pt>
                <c:pt idx="5">
                  <c:v>Trading comps — P/E (14–20x FY26E adj. EPS)</c:v>
                </c:pt>
                <c:pt idx="6">
                  <c:v>Precedent transactions (7–9x FY26E EBITDA)</c:v>
                </c:pt>
                <c:pt idx="7">
                  <c:v>LBO capacity (25% → 15% IRR)</c:v>
                </c:pt>
                <c:pt idx="8">
                  <c:v>Monte Carlo P25–P75 (live)</c:v>
                </c:pt>
                <c:pt idx="9">
                  <c:v>Current price (marker)</c:v>
                </c:pt>
              </c:strCache>
            </c:strRef>
          </c:cat>
          <c:val>
            <c:numRef>
              <c:f>Football_Field!$E$5:$E$14</c:f>
              <c:numCache>
                <c:formatCode>\$#,##0.00</c:formatCode>
                <c:ptCount val="10"/>
                <c:pt idx="0">
                  <c:v>86.43</c:v>
                </c:pt>
                <c:pt idx="1">
                  <c:v>65</c:v>
                </c:pt>
                <c:pt idx="2">
                  <c:v>53.4395147372669</c:v>
                </c:pt>
                <c:pt idx="3">
                  <c:v>49.7181157628421</c:v>
                </c:pt>
                <c:pt idx="4">
                  <c:v>104.558362989324</c:v>
                </c:pt>
                <c:pt idx="5">
                  <c:v>59.7</c:v>
                </c:pt>
                <c:pt idx="6">
                  <c:v>41.8233451957295</c:v>
                </c:pt>
                <c:pt idx="7">
                  <c:v>33.8789737011142</c:v>
                </c:pt>
                <c:pt idx="8">
                  <c:v>65.2182393252074</c:v>
                </c:pt>
                <c:pt idx="9">
                  <c:v>3</c:v>
                </c:pt>
              </c:numCache>
            </c:numRef>
          </c:val>
        </c:ser>
        <c:gapWidth val="60"/>
        <c:overlap val="100"/>
        <c:axId val="13833766"/>
        <c:axId val="10489869"/>
      </c:barChart>
      <c:catAx>
        <c:axId val="1383376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0489869"/>
        <c:crosses val="autoZero"/>
        <c:auto val="1"/>
        <c:lblAlgn val="ctr"/>
        <c:lblOffset val="100"/>
        <c:noMultiLvlLbl val="0"/>
      </c:catAx>
      <c:valAx>
        <c:axId val="10489869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$ per share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\$#,##0.0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3833766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_rels/drawing2.xml.rels><?xml version="1.0" encoding="UTF-8"?>
<Relationships xmlns="http://schemas.openxmlformats.org/package/2006/relationships"><Relationship Id="rId1" Type="http://schemas.openxmlformats.org/officeDocument/2006/relationships/chart" Target="../charts/chart2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12</xdr:col>
      <xdr:colOff>0</xdr:colOff>
      <xdr:row>2</xdr:row>
      <xdr:rowOff>160920</xdr:rowOff>
    </xdr:from>
    <xdr:to>
      <xdr:col>21</xdr:col>
      <xdr:colOff>240120</xdr:colOff>
      <xdr:row>21</xdr:row>
      <xdr:rowOff>141120</xdr:rowOff>
    </xdr:to>
    <xdr:graphicFrame>
      <xdr:nvGraphicFramePr>
        <xdr:cNvPr id="0" name="Chart 1"/>
        <xdr:cNvGraphicFramePr/>
      </xdr:nvGraphicFramePr>
      <xdr:xfrm>
        <a:off x="13916160" y="571680"/>
        <a:ext cx="7199640" cy="35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16</xdr:row>
      <xdr:rowOff>160560</xdr:rowOff>
    </xdr:from>
    <xdr:to>
      <xdr:col>6</xdr:col>
      <xdr:colOff>282960</xdr:colOff>
      <xdr:row>41</xdr:row>
      <xdr:rowOff>77760</xdr:rowOff>
    </xdr:to>
    <xdr:graphicFrame>
      <xdr:nvGraphicFramePr>
        <xdr:cNvPr id="1" name="Chart 1"/>
        <xdr:cNvGraphicFramePr/>
      </xdr:nvGraphicFramePr>
      <xdr:xfrm>
        <a:off x="0" y="3238560"/>
        <a:ext cx="8639640" cy="46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0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11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3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40"/>
    <col collapsed="false" customWidth="true" hidden="false" outlineLevel="0" max="2" min="2" style="0" width="2"/>
    <col collapsed="false" customWidth="true" hidden="false" outlineLevel="0" max="3" min="3" style="0" width="105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3" customFormat="false" ht="15" hidden="false" customHeight="false" outlineLevel="0" collapsed="false">
      <c r="A3" s="3"/>
      <c r="C3" s="4"/>
    </row>
    <row r="4" customFormat="false" ht="15" hidden="false" customHeight="false" outlineLevel="0" collapsed="false">
      <c r="A4" s="5" t="s">
        <v>2</v>
      </c>
      <c r="C4" s="4"/>
    </row>
    <row r="5" customFormat="false" ht="15" hidden="false" customHeight="false" outlineLevel="0" collapsed="false">
      <c r="A5" s="3" t="s">
        <v>3</v>
      </c>
      <c r="C5" s="4" t="s">
        <v>4</v>
      </c>
    </row>
    <row r="6" customFormat="false" ht="15" hidden="false" customHeight="false" outlineLevel="0" collapsed="false">
      <c r="A6" s="3" t="s">
        <v>5</v>
      </c>
      <c r="C6" s="4" t="s">
        <v>6</v>
      </c>
    </row>
    <row r="7" customFormat="false" ht="15" hidden="false" customHeight="false" outlineLevel="0" collapsed="false">
      <c r="A7" s="3" t="s">
        <v>7</v>
      </c>
      <c r="C7" s="4" t="s">
        <v>8</v>
      </c>
    </row>
    <row r="8" customFormat="false" ht="15" hidden="false" customHeight="false" outlineLevel="0" collapsed="false">
      <c r="A8" s="3" t="s">
        <v>9</v>
      </c>
      <c r="C8" s="4" t="s">
        <v>10</v>
      </c>
    </row>
    <row r="9" customFormat="false" ht="15" hidden="false" customHeight="false" outlineLevel="0" collapsed="false">
      <c r="A9" s="3" t="s">
        <v>11</v>
      </c>
      <c r="C9" s="4" t="s">
        <v>12</v>
      </c>
    </row>
    <row r="10" customFormat="false" ht="15" hidden="false" customHeight="false" outlineLevel="0" collapsed="false">
      <c r="A10" s="3" t="s">
        <v>13</v>
      </c>
      <c r="C10" s="4" t="s">
        <v>14</v>
      </c>
    </row>
    <row r="11" customFormat="false" ht="15" hidden="false" customHeight="false" outlineLevel="0" collapsed="false">
      <c r="A11" s="3" t="s">
        <v>15</v>
      </c>
      <c r="C11" s="4" t="s">
        <v>16</v>
      </c>
    </row>
    <row r="12" customFormat="false" ht="15" hidden="false" customHeight="false" outlineLevel="0" collapsed="false">
      <c r="A12" s="3" t="s">
        <v>17</v>
      </c>
      <c r="C12" s="4" t="s">
        <v>18</v>
      </c>
    </row>
    <row r="13" customFormat="false" ht="15" hidden="false" customHeight="false" outlineLevel="0" collapsed="false">
      <c r="A13" s="3" t="s">
        <v>19</v>
      </c>
      <c r="C13" s="4" t="s">
        <v>20</v>
      </c>
    </row>
    <row r="14" customFormat="false" ht="15" hidden="false" customHeight="false" outlineLevel="0" collapsed="false">
      <c r="A14" s="3" t="s">
        <v>21</v>
      </c>
      <c r="C14" s="4" t="s">
        <v>22</v>
      </c>
    </row>
    <row r="15" customFormat="false" ht="15" hidden="false" customHeight="false" outlineLevel="0" collapsed="false">
      <c r="A15" s="3"/>
      <c r="C15" s="4"/>
    </row>
    <row r="16" customFormat="false" ht="15" hidden="false" customHeight="false" outlineLevel="0" collapsed="false">
      <c r="A16" s="5" t="s">
        <v>23</v>
      </c>
      <c r="C16" s="4"/>
    </row>
    <row r="17" customFormat="false" ht="15" hidden="false" customHeight="false" outlineLevel="0" collapsed="false">
      <c r="A17" s="6" t="s">
        <v>24</v>
      </c>
      <c r="C17" s="4" t="s">
        <v>25</v>
      </c>
    </row>
    <row r="18" customFormat="false" ht="15" hidden="false" customHeight="false" outlineLevel="0" collapsed="false">
      <c r="A18" s="3" t="s">
        <v>26</v>
      </c>
      <c r="C18" s="4" t="s">
        <v>27</v>
      </c>
    </row>
    <row r="19" customFormat="false" ht="15" hidden="false" customHeight="false" outlineLevel="0" collapsed="false">
      <c r="A19" s="3" t="s">
        <v>28</v>
      </c>
      <c r="C19" s="4" t="s">
        <v>29</v>
      </c>
    </row>
    <row r="20" customFormat="false" ht="15" hidden="false" customHeight="false" outlineLevel="0" collapsed="false">
      <c r="A20" s="3" t="s">
        <v>30</v>
      </c>
      <c r="C20" s="4" t="s">
        <v>31</v>
      </c>
    </row>
    <row r="21" customFormat="false" ht="15" hidden="false" customHeight="false" outlineLevel="0" collapsed="false">
      <c r="A21" s="3"/>
      <c r="C21" s="4"/>
    </row>
    <row r="22" customFormat="false" ht="15" hidden="false" customHeight="false" outlineLevel="0" collapsed="false">
      <c r="A22" s="5" t="s">
        <v>32</v>
      </c>
      <c r="C22" s="4"/>
    </row>
    <row r="23" customFormat="false" ht="15" hidden="false" customHeight="false" outlineLevel="0" collapsed="false">
      <c r="A23" s="3" t="s">
        <v>33</v>
      </c>
      <c r="C23" s="4" t="s">
        <v>34</v>
      </c>
    </row>
    <row r="24" customFormat="false" ht="15" hidden="false" customHeight="false" outlineLevel="0" collapsed="false">
      <c r="A24" s="3" t="s">
        <v>35</v>
      </c>
      <c r="C24" s="4" t="s">
        <v>36</v>
      </c>
    </row>
    <row r="25" customFormat="false" ht="15" hidden="false" customHeight="false" outlineLevel="0" collapsed="false">
      <c r="A25" s="3" t="s">
        <v>37</v>
      </c>
      <c r="C25" s="4" t="s">
        <v>38</v>
      </c>
    </row>
    <row r="26" customFormat="false" ht="15" hidden="false" customHeight="false" outlineLevel="0" collapsed="false">
      <c r="A26" s="3"/>
      <c r="C26" s="4"/>
    </row>
    <row r="27" customFormat="false" ht="15" hidden="false" customHeight="false" outlineLevel="0" collapsed="false">
      <c r="A27" s="5" t="s">
        <v>39</v>
      </c>
      <c r="C27" s="4"/>
    </row>
    <row r="28" customFormat="false" ht="15" hidden="false" customHeight="false" outlineLevel="0" collapsed="false">
      <c r="A28" s="3" t="s">
        <v>40</v>
      </c>
      <c r="C28" s="4" t="s">
        <v>41</v>
      </c>
    </row>
    <row r="29" customFormat="false" ht="15" hidden="false" customHeight="false" outlineLevel="0" collapsed="false">
      <c r="A29" s="3" t="s">
        <v>42</v>
      </c>
      <c r="C29" s="4" t="s">
        <v>43</v>
      </c>
    </row>
    <row r="30" customFormat="false" ht="15" hidden="false" customHeight="false" outlineLevel="0" collapsed="false">
      <c r="A30" s="3" t="s">
        <v>44</v>
      </c>
      <c r="C30" s="4" t="s">
        <v>45</v>
      </c>
    </row>
    <row r="31" customFormat="false" ht="15" hidden="false" customHeight="false" outlineLevel="0" collapsed="false">
      <c r="A31" s="3" t="s">
        <v>46</v>
      </c>
      <c r="C31" s="4" t="s">
        <v>47</v>
      </c>
    </row>
    <row r="32" customFormat="false" ht="15" hidden="false" customHeight="false" outlineLevel="0" collapsed="false">
      <c r="A32" s="3"/>
      <c r="C32" s="4"/>
    </row>
    <row r="33" customFormat="false" ht="15" hidden="false" customHeight="false" outlineLevel="0" collapsed="false">
      <c r="A33" s="5" t="s">
        <v>48</v>
      </c>
      <c r="C33" s="7" t="s">
        <v>49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5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52"/>
    <col collapsed="false" customWidth="true" hidden="false" outlineLevel="0" max="6" min="2" style="0" width="12"/>
  </cols>
  <sheetData>
    <row r="1" customFormat="false" ht="17.35" hidden="false" customHeight="false" outlineLevel="0" collapsed="false">
      <c r="A1" s="1" t="s">
        <v>50</v>
      </c>
    </row>
    <row r="2" customFormat="false" ht="15" hidden="false" customHeight="false" outlineLevel="0" collapsed="false">
      <c r="A2" s="2" t="s">
        <v>51</v>
      </c>
    </row>
    <row r="4" customFormat="false" ht="15" hidden="false" customHeight="false" outlineLevel="0" collapsed="false">
      <c r="A4" s="8" t="s">
        <v>52</v>
      </c>
      <c r="B4" s="9" t="n">
        <v>1</v>
      </c>
      <c r="C4" s="10" t="str">
        <f aca="false">CHOOSE($B$4,"BASE — consensus trajectory","BULL — data-center demand upside","BEAR — power-price normalization")</f>
        <v>BASE — consensus trajectory</v>
      </c>
    </row>
    <row r="6" customFormat="false" ht="15" hidden="false" customHeight="false" outlineLevel="0" collapsed="false">
      <c r="A6" s="5" t="s">
        <v>53</v>
      </c>
    </row>
    <row r="7" customFormat="false" ht="15" hidden="false" customHeight="false" outlineLevel="0" collapsed="false">
      <c r="A7" s="11"/>
      <c r="B7" s="11" t="s">
        <v>54</v>
      </c>
      <c r="C7" s="11" t="s">
        <v>55</v>
      </c>
      <c r="D7" s="11" t="s">
        <v>56</v>
      </c>
      <c r="E7" s="11" t="s">
        <v>57</v>
      </c>
    </row>
    <row r="8" customFormat="false" ht="15" hidden="false" customHeight="false" outlineLevel="0" collapsed="false">
      <c r="A8" s="3" t="s">
        <v>58</v>
      </c>
      <c r="B8" s="12" t="n">
        <v>0.5</v>
      </c>
      <c r="C8" s="12" t="n">
        <v>0.3</v>
      </c>
      <c r="D8" s="12" t="n">
        <v>0.2</v>
      </c>
      <c r="E8" s="13" t="n">
        <f aca="false">SUM(B8:D8)</f>
        <v>1</v>
      </c>
    </row>
    <row r="10" customFormat="false" ht="15" hidden="false" customHeight="false" outlineLevel="0" collapsed="false">
      <c r="A10" s="5" t="s">
        <v>59</v>
      </c>
    </row>
    <row r="11" customFormat="false" ht="15" hidden="false" customHeight="false" outlineLevel="0" collapsed="false">
      <c r="A11" s="11"/>
      <c r="B11" s="11" t="s">
        <v>54</v>
      </c>
      <c r="C11" s="11" t="s">
        <v>55</v>
      </c>
      <c r="D11" s="11" t="s">
        <v>56</v>
      </c>
      <c r="E11" s="11" t="s">
        <v>60</v>
      </c>
    </row>
    <row r="12" customFormat="false" ht="15" hidden="false" customHeight="false" outlineLevel="0" collapsed="false">
      <c r="A12" s="3" t="s">
        <v>61</v>
      </c>
      <c r="B12" s="12" t="n">
        <v>0.086</v>
      </c>
      <c r="C12" s="12" t="n">
        <v>0.126</v>
      </c>
      <c r="D12" s="12" t="n">
        <v>0.026</v>
      </c>
      <c r="E12" s="13" t="n">
        <f aca="false">CHOOSE($B$4,B12,C12,D12)</f>
        <v>0.086</v>
      </c>
    </row>
    <row r="13" customFormat="false" ht="15" hidden="false" customHeight="false" outlineLevel="0" collapsed="false">
      <c r="A13" s="3" t="s">
        <v>62</v>
      </c>
      <c r="B13" s="12" t="n">
        <v>0.025</v>
      </c>
      <c r="C13" s="12" t="n">
        <v>0.04</v>
      </c>
      <c r="D13" s="12" t="n">
        <v>0</v>
      </c>
      <c r="E13" s="13" t="n">
        <f aca="false">CHOOSE($B$4,B13,C13,D13)</f>
        <v>0.025</v>
      </c>
    </row>
    <row r="14" customFormat="false" ht="15" hidden="false" customHeight="false" outlineLevel="0" collapsed="false">
      <c r="A14" s="14" t="s">
        <v>63</v>
      </c>
    </row>
    <row r="15" customFormat="false" ht="15" hidden="false" customHeight="false" outlineLevel="0" collapsed="false">
      <c r="A15" s="5" t="s">
        <v>64</v>
      </c>
    </row>
    <row r="16" customFormat="false" ht="15" hidden="false" customHeight="false" outlineLevel="0" collapsed="false">
      <c r="A16" s="11" t="s">
        <v>65</v>
      </c>
      <c r="B16" s="11" t="s">
        <v>66</v>
      </c>
      <c r="C16" s="11" t="s">
        <v>67</v>
      </c>
      <c r="D16" s="11" t="s">
        <v>68</v>
      </c>
      <c r="E16" s="11" t="s">
        <v>69</v>
      </c>
      <c r="F16" s="11" t="s">
        <v>60</v>
      </c>
    </row>
    <row r="17" customFormat="false" ht="15" hidden="false" customHeight="false" outlineLevel="0" collapsed="false">
      <c r="A17" s="3" t="s">
        <v>70</v>
      </c>
      <c r="B17" s="12" t="n">
        <v>0.375</v>
      </c>
      <c r="C17" s="12" t="n">
        <v>0.39</v>
      </c>
      <c r="D17" s="12" t="n">
        <v>0.42</v>
      </c>
      <c r="E17" s="12" t="n">
        <v>0.36</v>
      </c>
      <c r="F17" s="13" t="n">
        <f aca="false">CHOOSE($B$4,C17,D17,E17)</f>
        <v>0.39</v>
      </c>
    </row>
    <row r="18" customFormat="false" ht="15" hidden="false" customHeight="false" outlineLevel="0" collapsed="false">
      <c r="A18" s="3" t="s">
        <v>71</v>
      </c>
      <c r="B18" s="12" t="n">
        <v>0.072</v>
      </c>
      <c r="C18" s="12" t="n">
        <v>0.065</v>
      </c>
      <c r="D18" s="12" t="n">
        <v>0.06</v>
      </c>
      <c r="E18" s="12" t="n">
        <v>0.08</v>
      </c>
      <c r="F18" s="13" t="n">
        <f aca="false">CHOOSE($B$4,C18,D18,E18)</f>
        <v>0.065</v>
      </c>
    </row>
    <row r="19" customFormat="false" ht="15" hidden="false" customHeight="false" outlineLevel="0" collapsed="false">
      <c r="A19" s="3" t="s">
        <v>72</v>
      </c>
      <c r="B19" s="12" t="n">
        <v>0.005</v>
      </c>
      <c r="C19" s="12" t="n">
        <v>0.005</v>
      </c>
      <c r="D19" s="12" t="n">
        <v>0.005</v>
      </c>
      <c r="E19" s="12" t="n">
        <v>0.005</v>
      </c>
      <c r="F19" s="13" t="n">
        <f aca="false">CHOOSE($B$4,C19,D19,E19)</f>
        <v>0.005</v>
      </c>
    </row>
    <row r="20" customFormat="false" ht="15" hidden="false" customHeight="false" outlineLevel="0" collapsed="false">
      <c r="A20" s="3" t="s">
        <v>73</v>
      </c>
      <c r="B20" s="12" t="n">
        <v>0.127</v>
      </c>
      <c r="C20" s="12" t="n">
        <v>0.115</v>
      </c>
      <c r="D20" s="12" t="n">
        <v>0.115</v>
      </c>
      <c r="E20" s="12" t="n">
        <v>0.125</v>
      </c>
      <c r="F20" s="13" t="n">
        <f aca="false">CHOOSE($B$4,C20,D20,E20)</f>
        <v>0.115</v>
      </c>
    </row>
    <row r="21" customFormat="false" ht="15" hidden="false" customHeight="false" outlineLevel="0" collapsed="false">
      <c r="A21" s="3" t="s">
        <v>74</v>
      </c>
      <c r="B21" s="12" t="n">
        <v>0.17</v>
      </c>
      <c r="C21" s="12" t="n">
        <v>0.11</v>
      </c>
      <c r="D21" s="12" t="n">
        <v>0.13</v>
      </c>
      <c r="E21" s="12" t="n">
        <v>0.09</v>
      </c>
      <c r="F21" s="13" t="n">
        <f aca="false">CHOOSE($B$4,C21,D21,E21)</f>
        <v>0.11</v>
      </c>
    </row>
    <row r="22" customFormat="false" ht="15" hidden="false" customHeight="false" outlineLevel="0" collapsed="false">
      <c r="A22" s="3" t="s">
        <v>75</v>
      </c>
      <c r="B22" s="12" t="n">
        <v>0.21</v>
      </c>
      <c r="C22" s="12" t="n">
        <v>0.23</v>
      </c>
      <c r="D22" s="12" t="n">
        <v>0.23</v>
      </c>
      <c r="E22" s="12" t="n">
        <v>0.21</v>
      </c>
      <c r="F22" s="13" t="n">
        <f aca="false">CHOOSE($B$4,C22,D22,E22)</f>
        <v>0.23</v>
      </c>
    </row>
    <row r="23" customFormat="false" ht="15" hidden="false" customHeight="false" outlineLevel="0" collapsed="false">
      <c r="A23" s="3" t="s">
        <v>76</v>
      </c>
      <c r="B23" s="12" t="n">
        <v>0.216</v>
      </c>
      <c r="C23" s="12" t="n">
        <v>0.2</v>
      </c>
      <c r="D23" s="12" t="n">
        <v>0.2</v>
      </c>
      <c r="E23" s="12" t="n">
        <v>0.22</v>
      </c>
      <c r="F23" s="13" t="n">
        <f aca="false">CHOOSE($B$4,C23,D23,E23)</f>
        <v>0.2</v>
      </c>
    </row>
    <row r="24" customFormat="false" ht="15" hidden="false" customHeight="false" outlineLevel="0" collapsed="false">
      <c r="A24" s="3" t="s">
        <v>77</v>
      </c>
      <c r="B24" s="12" t="n">
        <v>0.255</v>
      </c>
      <c r="C24" s="12" t="n">
        <v>0.25</v>
      </c>
      <c r="D24" s="12" t="n">
        <v>0.25</v>
      </c>
      <c r="E24" s="12" t="n">
        <v>0.26</v>
      </c>
      <c r="F24" s="13" t="n">
        <f aca="false">CHOOSE($B$4,C24,D24,E24)</f>
        <v>0.25</v>
      </c>
    </row>
    <row r="25" customFormat="false" ht="15" hidden="false" customHeight="false" outlineLevel="0" collapsed="false">
      <c r="A25" s="14" t="s">
        <v>78</v>
      </c>
    </row>
    <row r="26" customFormat="false" ht="15" hidden="false" customHeight="false" outlineLevel="0" collapsed="false">
      <c r="A26" s="5" t="s">
        <v>79</v>
      </c>
    </row>
    <row r="27" customFormat="false" ht="15" hidden="false" customHeight="false" outlineLevel="0" collapsed="false">
      <c r="A27" s="3" t="s">
        <v>80</v>
      </c>
      <c r="B27" s="15" t="n">
        <v>50</v>
      </c>
    </row>
    <row r="28" customFormat="false" ht="15" hidden="false" customHeight="false" outlineLevel="0" collapsed="false">
      <c r="A28" s="3" t="s">
        <v>81</v>
      </c>
      <c r="B28" s="15" t="n">
        <v>26</v>
      </c>
    </row>
    <row r="29" customFormat="false" ht="15" hidden="false" customHeight="false" outlineLevel="0" collapsed="false">
      <c r="A29" s="3" t="s">
        <v>82</v>
      </c>
      <c r="B29" s="15" t="n">
        <v>43</v>
      </c>
    </row>
    <row r="33" customFormat="false" ht="15" hidden="false" customHeight="false" outlineLevel="0" collapsed="false">
      <c r="A33" s="5" t="s">
        <v>83</v>
      </c>
    </row>
    <row r="34" customFormat="false" ht="15" hidden="false" customHeight="false" outlineLevel="0" collapsed="false">
      <c r="A34" s="3" t="s">
        <v>84</v>
      </c>
      <c r="B34" s="12" t="n">
        <v>0.035</v>
      </c>
    </row>
    <row r="35" customFormat="false" ht="15" hidden="false" customHeight="false" outlineLevel="0" collapsed="false">
      <c r="A35" s="3" t="s">
        <v>85</v>
      </c>
      <c r="B35" s="12" t="n">
        <v>0.065</v>
      </c>
    </row>
    <row r="36" customFormat="false" ht="15" hidden="false" customHeight="false" outlineLevel="0" collapsed="false">
      <c r="A36" s="3" t="s">
        <v>86</v>
      </c>
      <c r="B36" s="16" t="n">
        <v>500</v>
      </c>
    </row>
    <row r="37" customFormat="false" ht="15" hidden="false" customHeight="false" outlineLevel="0" collapsed="false">
      <c r="A37" s="3" t="s">
        <v>87</v>
      </c>
      <c r="B37" s="15" t="n">
        <v>337.2</v>
      </c>
    </row>
    <row r="38" customFormat="false" ht="15" hidden="false" customHeight="false" outlineLevel="0" collapsed="false">
      <c r="A38" s="3" t="s">
        <v>88</v>
      </c>
      <c r="B38" s="12" t="n">
        <v>0.23</v>
      </c>
    </row>
    <row r="39" customFormat="false" ht="15" hidden="false" customHeight="false" outlineLevel="0" collapsed="false">
      <c r="A39" s="3" t="s">
        <v>89</v>
      </c>
      <c r="B39" s="12" t="n">
        <v>0.058</v>
      </c>
    </row>
    <row r="40" customFormat="false" ht="15" hidden="false" customHeight="false" outlineLevel="0" collapsed="false">
      <c r="A40" s="3" t="s">
        <v>90</v>
      </c>
      <c r="B40" s="16" t="n">
        <v>520</v>
      </c>
    </row>
    <row r="41" customFormat="false" ht="15" hidden="false" customHeight="false" outlineLevel="0" collapsed="false">
      <c r="A41" s="3" t="s">
        <v>91</v>
      </c>
      <c r="B41" s="12" t="n">
        <v>0.05</v>
      </c>
    </row>
    <row r="42" customFormat="false" ht="15" hidden="false" customHeight="false" outlineLevel="0" collapsed="false">
      <c r="A42" s="3" t="s">
        <v>92</v>
      </c>
      <c r="B42" s="16" t="n">
        <v>1100</v>
      </c>
      <c r="C42" s="14" t="s">
        <v>93</v>
      </c>
    </row>
    <row r="43" customFormat="false" ht="15" hidden="false" customHeight="false" outlineLevel="0" collapsed="false">
      <c r="A43" s="3" t="s">
        <v>94</v>
      </c>
      <c r="B43" s="16" t="n">
        <v>2000</v>
      </c>
    </row>
    <row r="45" customFormat="false" ht="15" hidden="false" customHeight="false" outlineLevel="0" collapsed="false">
      <c r="A45" s="5" t="s">
        <v>95</v>
      </c>
    </row>
    <row r="46" customFormat="false" ht="15" hidden="false" customHeight="false" outlineLevel="0" collapsed="false">
      <c r="A46" s="3" t="s">
        <v>96</v>
      </c>
      <c r="B46" s="12" t="n">
        <v>0.025</v>
      </c>
    </row>
    <row r="47" customFormat="false" ht="15" hidden="false" customHeight="false" outlineLevel="0" collapsed="false">
      <c r="A47" s="3" t="s">
        <v>97</v>
      </c>
      <c r="B47" s="17" t="n">
        <v>10</v>
      </c>
    </row>
    <row r="48" customFormat="false" ht="15" hidden="false" customHeight="false" outlineLevel="0" collapsed="false">
      <c r="A48" s="3" t="s">
        <v>98</v>
      </c>
      <c r="B48" s="18" t="n">
        <v>155.44</v>
      </c>
    </row>
    <row r="50" customFormat="false" ht="15" hidden="false" customHeight="false" outlineLevel="0" collapsed="false">
      <c r="A50" s="14" t="s">
        <v>99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3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44"/>
    <col collapsed="false" customWidth="true" hidden="false" outlineLevel="0" max="9" min="2" style="0" width="11"/>
    <col collapsed="false" customWidth="true" hidden="false" outlineLevel="0" max="10" min="10" style="0" width="50"/>
  </cols>
  <sheetData>
    <row r="1" customFormat="false" ht="17.35" hidden="false" customHeight="false" outlineLevel="0" collapsed="false">
      <c r="A1" s="1" t="s">
        <v>100</v>
      </c>
    </row>
    <row r="4" customFormat="false" ht="15" hidden="false" customHeight="false" outlineLevel="0" collapsed="false">
      <c r="A4" s="11"/>
      <c r="B4" s="11" t="s">
        <v>101</v>
      </c>
      <c r="C4" s="11" t="s">
        <v>102</v>
      </c>
      <c r="D4" s="11" t="s">
        <v>103</v>
      </c>
      <c r="E4" s="11" t="s">
        <v>104</v>
      </c>
      <c r="F4" s="11" t="s">
        <v>105</v>
      </c>
      <c r="G4" s="11"/>
      <c r="H4" s="11" t="s">
        <v>106</v>
      </c>
      <c r="I4" s="11" t="s">
        <v>107</v>
      </c>
    </row>
    <row r="5" customFormat="false" ht="15" hidden="false" customHeight="false" outlineLevel="0" collapsed="false">
      <c r="A5" s="8" t="s">
        <v>108</v>
      </c>
      <c r="B5" s="19" t="n">
        <v>13333</v>
      </c>
      <c r="C5" s="19" t="n">
        <v>17837</v>
      </c>
      <c r="D5" s="19" t="n">
        <v>15543</v>
      </c>
      <c r="E5" s="19" t="n">
        <v>19377</v>
      </c>
      <c r="F5" s="19" t="n">
        <v>16972</v>
      </c>
      <c r="H5" s="19" t="n">
        <v>4654</v>
      </c>
      <c r="I5" s="20" t="n">
        <v>23272</v>
      </c>
      <c r="J5" s="14" t="s">
        <v>109</v>
      </c>
    </row>
    <row r="6" customFormat="false" ht="15" hidden="false" customHeight="false" outlineLevel="0" collapsed="false">
      <c r="A6" s="3" t="s">
        <v>110</v>
      </c>
      <c r="B6" s="19" t="n">
        <v>60</v>
      </c>
      <c r="C6" s="19" t="n">
        <v>3814</v>
      </c>
      <c r="D6" s="19" t="n">
        <v>5171</v>
      </c>
      <c r="E6" s="19" t="n">
        <v>7693</v>
      </c>
      <c r="F6" s="19" t="n">
        <v>2974</v>
      </c>
      <c r="H6" s="19" t="n">
        <v>943</v>
      </c>
    </row>
    <row r="7" customFormat="false" ht="15" hidden="false" customHeight="false" outlineLevel="0" collapsed="false">
      <c r="A7" s="3" t="s">
        <v>111</v>
      </c>
      <c r="B7" s="19" t="n">
        <v>-988</v>
      </c>
      <c r="C7" s="19" t="n">
        <v>2638</v>
      </c>
      <c r="D7" s="19" t="n">
        <v>3913</v>
      </c>
      <c r="E7" s="19" t="n">
        <v>6228</v>
      </c>
      <c r="F7" s="19" t="n">
        <v>1335</v>
      </c>
      <c r="H7" s="19" t="n">
        <v>527</v>
      </c>
    </row>
    <row r="8" customFormat="false" ht="15" hidden="false" customHeight="false" outlineLevel="0" collapsed="false">
      <c r="A8" s="3" t="s">
        <v>112</v>
      </c>
      <c r="B8" s="19" t="n">
        <v>-1274</v>
      </c>
      <c r="C8" s="19" t="n">
        <v>-1227</v>
      </c>
      <c r="D8" s="19" t="n">
        <v>1493</v>
      </c>
      <c r="E8" s="19" t="n">
        <v>2659</v>
      </c>
      <c r="F8" s="19" t="n">
        <v>944</v>
      </c>
      <c r="H8" s="19" t="n">
        <v>159</v>
      </c>
    </row>
    <row r="9" customFormat="false" ht="15" hidden="false" customHeight="false" outlineLevel="0" collapsed="false">
      <c r="A9" s="3" t="s">
        <v>113</v>
      </c>
      <c r="B9" s="19" t="n">
        <v>852</v>
      </c>
      <c r="C9" s="19" t="n">
        <v>1287</v>
      </c>
      <c r="D9" s="19" t="n">
        <v>4616</v>
      </c>
      <c r="E9" s="19" t="n">
        <v>7192</v>
      </c>
      <c r="F9" s="19" t="n">
        <v>5252</v>
      </c>
    </row>
    <row r="10" customFormat="false" ht="15" hidden="false" customHeight="false" outlineLevel="0" collapsed="false">
      <c r="A10" s="3" t="s">
        <v>114</v>
      </c>
      <c r="E10" s="19" t="n">
        <v>4563</v>
      </c>
      <c r="F10" s="19" t="n">
        <v>4070</v>
      </c>
      <c r="H10" s="19" t="n">
        <v>1199</v>
      </c>
    </row>
    <row r="11" customFormat="false" ht="15" hidden="false" customHeight="false" outlineLevel="0" collapsed="false">
      <c r="A11" s="3" t="s">
        <v>115</v>
      </c>
      <c r="E11" s="19" t="n">
        <v>2078</v>
      </c>
      <c r="F11" s="19" t="n">
        <v>3941</v>
      </c>
      <c r="H11" s="19" t="n">
        <v>883</v>
      </c>
    </row>
    <row r="12" customFormat="false" ht="15" hidden="false" customHeight="false" outlineLevel="0" collapsed="false">
      <c r="A12" s="3" t="s">
        <v>116</v>
      </c>
      <c r="E12" s="19" t="n">
        <v>478</v>
      </c>
      <c r="F12" s="19" t="n">
        <v>498</v>
      </c>
      <c r="H12" s="19" t="n">
        <v>98</v>
      </c>
    </row>
    <row r="13" customFormat="false" ht="15" hidden="false" customHeight="false" outlineLevel="0" collapsed="false">
      <c r="A13" s="3" t="s">
        <v>117</v>
      </c>
      <c r="E13" s="19" t="n">
        <v>1266</v>
      </c>
      <c r="F13" s="19" t="n">
        <v>1028</v>
      </c>
      <c r="H13" s="19" t="n">
        <v>372</v>
      </c>
    </row>
    <row r="15" customFormat="false" ht="15" hidden="false" customHeight="false" outlineLevel="0" collapsed="false">
      <c r="A15" s="8" t="s">
        <v>118</v>
      </c>
      <c r="D15" s="19" t="n">
        <v>4140</v>
      </c>
      <c r="E15" s="19" t="n">
        <v>5656</v>
      </c>
      <c r="F15" s="19" t="n">
        <v>5902</v>
      </c>
      <c r="I15" s="16" t="n">
        <v>6900</v>
      </c>
    </row>
    <row r="16" customFormat="false" ht="15" hidden="false" customHeight="false" outlineLevel="0" collapsed="false">
      <c r="A16" s="3" t="s">
        <v>119</v>
      </c>
      <c r="I16" s="21" t="n">
        <v>9.95</v>
      </c>
    </row>
    <row r="17" customFormat="false" ht="15" hidden="false" customHeight="false" outlineLevel="0" collapsed="false">
      <c r="A17" s="22" t="s">
        <v>120</v>
      </c>
      <c r="I17" s="19" t="n">
        <v>25271</v>
      </c>
      <c r="J17" s="14" t="s">
        <v>121</v>
      </c>
    </row>
    <row r="19" customFormat="false" ht="15" hidden="false" customHeight="false" outlineLevel="0" collapsed="false">
      <c r="A19" s="8" t="s">
        <v>122</v>
      </c>
    </row>
    <row r="20" customFormat="false" ht="15" hidden="false" customHeight="false" outlineLevel="0" collapsed="false">
      <c r="A20" s="3" t="s">
        <v>123</v>
      </c>
      <c r="B20" s="19" t="n">
        <v>816</v>
      </c>
    </row>
    <row r="21" customFormat="false" ht="15" hidden="false" customHeight="false" outlineLevel="0" collapsed="false">
      <c r="A21" s="3" t="s">
        <v>124</v>
      </c>
      <c r="B21" s="19" t="n">
        <v>2323</v>
      </c>
    </row>
    <row r="22" customFormat="false" ht="15" hidden="false" customHeight="false" outlineLevel="0" collapsed="false">
      <c r="A22" s="3" t="s">
        <v>125</v>
      </c>
      <c r="B22" s="19" t="n">
        <v>1016</v>
      </c>
    </row>
    <row r="23" customFormat="false" ht="15" hidden="false" customHeight="false" outlineLevel="0" collapsed="false">
      <c r="A23" s="3" t="s">
        <v>126</v>
      </c>
      <c r="B23" s="19" t="n">
        <v>5024</v>
      </c>
    </row>
    <row r="24" customFormat="false" ht="15" hidden="false" customHeight="false" outlineLevel="0" collapsed="false">
      <c r="A24" s="3" t="s">
        <v>127</v>
      </c>
      <c r="B24" s="19" t="n">
        <v>18514</v>
      </c>
    </row>
    <row r="25" customFormat="false" ht="15" hidden="false" customHeight="false" outlineLevel="0" collapsed="false">
      <c r="A25" s="3" t="s">
        <v>128</v>
      </c>
      <c r="B25" s="19" t="n">
        <v>13857</v>
      </c>
    </row>
    <row r="26" customFormat="false" ht="15" hidden="false" customHeight="false" outlineLevel="0" collapsed="false">
      <c r="A26" s="3" t="s">
        <v>129</v>
      </c>
      <c r="B26" s="19" t="n">
        <v>1644</v>
      </c>
    </row>
    <row r="27" customFormat="false" ht="15" hidden="false" customHeight="false" outlineLevel="0" collapsed="false">
      <c r="A27" s="3" t="s">
        <v>130</v>
      </c>
      <c r="B27" s="19" t="n">
        <v>5927</v>
      </c>
    </row>
    <row r="28" customFormat="false" ht="15" hidden="false" customHeight="false" outlineLevel="0" collapsed="false">
      <c r="A28" s="3" t="s">
        <v>131</v>
      </c>
      <c r="B28" s="19" t="n">
        <v>20395</v>
      </c>
    </row>
    <row r="29" customFormat="false" ht="15" hidden="false" customHeight="false" outlineLevel="0" collapsed="false">
      <c r="A29" s="3" t="s">
        <v>132</v>
      </c>
      <c r="B29" s="19" t="n">
        <v>8474</v>
      </c>
    </row>
    <row r="30" customFormat="false" ht="15" hidden="false" customHeight="false" outlineLevel="0" collapsed="false">
      <c r="A30" s="3" t="s">
        <v>133</v>
      </c>
      <c r="B30" s="19" t="n">
        <v>5110</v>
      </c>
    </row>
    <row r="32" customFormat="false" ht="15" hidden="false" customHeight="false" outlineLevel="0" collapsed="false">
      <c r="A32" s="14" t="s">
        <v>134</v>
      </c>
    </row>
    <row r="33" customFormat="false" ht="15" hidden="false" customHeight="false" outlineLevel="0" collapsed="false">
      <c r="A33" s="14" t="s">
        <v>135</v>
      </c>
    </row>
    <row r="34" customFormat="false" ht="15" hidden="false" customHeight="false" outlineLevel="0" collapsed="false">
      <c r="A34" s="14" t="s">
        <v>136</v>
      </c>
    </row>
    <row r="35" customFormat="false" ht="15" hidden="false" customHeight="false" outlineLevel="0" collapsed="false">
      <c r="A35" s="14" t="s">
        <v>137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8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50"/>
    <col collapsed="false" customWidth="true" hidden="false" outlineLevel="0" max="12" min="2" style="0" width="11"/>
  </cols>
  <sheetData>
    <row r="1" customFormat="false" ht="17.35" hidden="false" customHeight="false" outlineLevel="0" collapsed="false">
      <c r="A1" s="1" t="s">
        <v>138</v>
      </c>
    </row>
    <row r="2" customFormat="false" ht="15" hidden="false" customHeight="false" outlineLevel="0" collapsed="false">
      <c r="A2" s="10" t="str">
        <f aca="false">CONCATENATE("Active scenario: ",CHOOSE(Assumptions!$B$4,"BASE","BULL","BEAR"))</f>
        <v>Active scenario: BASE</v>
      </c>
    </row>
    <row r="4" customFormat="false" ht="15" hidden="false" customHeight="false" outlineLevel="0" collapsed="false">
      <c r="A4" s="11"/>
      <c r="B4" s="11" t="s">
        <v>105</v>
      </c>
      <c r="C4" s="11" t="s">
        <v>107</v>
      </c>
      <c r="D4" s="11" t="s">
        <v>139</v>
      </c>
      <c r="E4" s="11" t="s">
        <v>140</v>
      </c>
      <c r="F4" s="11" t="s">
        <v>141</v>
      </c>
      <c r="G4" s="11" t="s">
        <v>142</v>
      </c>
      <c r="H4" s="11" t="s">
        <v>143</v>
      </c>
      <c r="I4" s="11" t="s">
        <v>144</v>
      </c>
      <c r="J4" s="11" t="s">
        <v>145</v>
      </c>
      <c r="K4" s="11" t="s">
        <v>146</v>
      </c>
      <c r="L4" s="11" t="s">
        <v>147</v>
      </c>
    </row>
    <row r="6" customFormat="false" ht="15" hidden="false" customHeight="false" outlineLevel="0" collapsed="false">
      <c r="A6" s="5" t="s">
        <v>148</v>
      </c>
    </row>
    <row r="7" customFormat="false" ht="15" hidden="false" customHeight="false" outlineLevel="0" collapsed="false">
      <c r="A7" s="3" t="s">
        <v>149</v>
      </c>
      <c r="C7" s="23" t="n">
        <f aca="false">C18/B18-1</f>
        <v>0.37119962290832</v>
      </c>
      <c r="D7" s="24" t="n">
        <f aca="false">Assumptions!$E$12+(Assumptions!$E$13-Assumptions!$E$12)*0/8</f>
        <v>0.086</v>
      </c>
      <c r="E7" s="24" t="n">
        <f aca="false">Assumptions!$E$12+(Assumptions!$E$13-Assumptions!$E$12)*1/8</f>
        <v>0.078375</v>
      </c>
      <c r="F7" s="24" t="n">
        <f aca="false">Assumptions!$E$12+(Assumptions!$E$13-Assumptions!$E$12)*2/8</f>
        <v>0.07075</v>
      </c>
      <c r="G7" s="24" t="n">
        <f aca="false">Assumptions!$E$12+(Assumptions!$E$13-Assumptions!$E$12)*3/8</f>
        <v>0.063125</v>
      </c>
      <c r="H7" s="24" t="n">
        <f aca="false">Assumptions!$E$12+(Assumptions!$E$13-Assumptions!$E$12)*4/8</f>
        <v>0.0555</v>
      </c>
      <c r="I7" s="24" t="n">
        <f aca="false">Assumptions!$E$12+(Assumptions!$E$13-Assumptions!$E$12)*5/8</f>
        <v>0.047875</v>
      </c>
      <c r="J7" s="24" t="n">
        <f aca="false">Assumptions!$E$12+(Assumptions!$E$13-Assumptions!$E$12)*6/8</f>
        <v>0.04025</v>
      </c>
      <c r="K7" s="24" t="n">
        <f aca="false">Assumptions!$E$12+(Assumptions!$E$13-Assumptions!$E$12)*7/8</f>
        <v>0.032625</v>
      </c>
      <c r="L7" s="24" t="n">
        <f aca="false">Assumptions!$E$12+(Assumptions!$E$13-Assumptions!$E$12)*8/8</f>
        <v>0.025</v>
      </c>
    </row>
    <row r="8" customFormat="false" ht="15" hidden="false" customHeight="false" outlineLevel="0" collapsed="false">
      <c r="A8" s="3" t="s">
        <v>150</v>
      </c>
      <c r="C8" s="24" t="n">
        <f aca="false">Assumptions!$B$17</f>
        <v>0.375</v>
      </c>
      <c r="D8" s="24" t="n">
        <f aca="false">Assumptions!$B$17+(Assumptions!$F$17-Assumptions!$B$17)*1/9</f>
        <v>0.376666666666667</v>
      </c>
      <c r="E8" s="24" t="n">
        <f aca="false">Assumptions!$B$17+(Assumptions!$F$17-Assumptions!$B$17)*2/9</f>
        <v>0.378333333333333</v>
      </c>
      <c r="F8" s="24" t="n">
        <f aca="false">Assumptions!$B$17+(Assumptions!$F$17-Assumptions!$B$17)*3/9</f>
        <v>0.38</v>
      </c>
      <c r="G8" s="24" t="n">
        <f aca="false">Assumptions!$B$17+(Assumptions!$F$17-Assumptions!$B$17)*4/9</f>
        <v>0.381666666666667</v>
      </c>
      <c r="H8" s="24" t="n">
        <f aca="false">Assumptions!$B$17+(Assumptions!$F$17-Assumptions!$B$17)*5/9</f>
        <v>0.383333333333333</v>
      </c>
      <c r="I8" s="24" t="n">
        <f aca="false">Assumptions!$B$17+(Assumptions!$F$17-Assumptions!$B$17)*6/9</f>
        <v>0.385</v>
      </c>
      <c r="J8" s="24" t="n">
        <f aca="false">Assumptions!$B$17+(Assumptions!$F$17-Assumptions!$B$17)*7/9</f>
        <v>0.386666666666667</v>
      </c>
      <c r="K8" s="24" t="n">
        <f aca="false">Assumptions!$B$17+(Assumptions!$F$17-Assumptions!$B$17)*8/9</f>
        <v>0.388333333333333</v>
      </c>
      <c r="L8" s="24" t="n">
        <f aca="false">Assumptions!$B$17+(Assumptions!$F$17-Assumptions!$B$17)*9/9</f>
        <v>0.39</v>
      </c>
    </row>
    <row r="9" customFormat="false" ht="15" hidden="false" customHeight="false" outlineLevel="0" collapsed="false">
      <c r="A9" s="3" t="s">
        <v>151</v>
      </c>
      <c r="C9" s="24" t="n">
        <f aca="false">Assumptions!$B$18</f>
        <v>0.072</v>
      </c>
      <c r="D9" s="24" t="n">
        <f aca="false">Assumptions!$B$18+(Assumptions!$F$18-Assumptions!$B$18)*1/9</f>
        <v>0.0712222222222222</v>
      </c>
      <c r="E9" s="24" t="n">
        <f aca="false">Assumptions!$B$18+(Assumptions!$F$18-Assumptions!$B$18)*2/9</f>
        <v>0.0704444444444444</v>
      </c>
      <c r="F9" s="24" t="n">
        <f aca="false">Assumptions!$B$18+(Assumptions!$F$18-Assumptions!$B$18)*3/9</f>
        <v>0.0696666666666667</v>
      </c>
      <c r="G9" s="24" t="n">
        <f aca="false">Assumptions!$B$18+(Assumptions!$F$18-Assumptions!$B$18)*4/9</f>
        <v>0.0688888888888889</v>
      </c>
      <c r="H9" s="24" t="n">
        <f aca="false">Assumptions!$B$18+(Assumptions!$F$18-Assumptions!$B$18)*5/9</f>
        <v>0.0681111111111111</v>
      </c>
      <c r="I9" s="24" t="n">
        <f aca="false">Assumptions!$B$18+(Assumptions!$F$18-Assumptions!$B$18)*6/9</f>
        <v>0.0673333333333333</v>
      </c>
      <c r="J9" s="24" t="n">
        <f aca="false">Assumptions!$B$18+(Assumptions!$F$18-Assumptions!$B$18)*7/9</f>
        <v>0.0665555555555556</v>
      </c>
      <c r="K9" s="24" t="n">
        <f aca="false">Assumptions!$B$18+(Assumptions!$F$18-Assumptions!$B$18)*8/9</f>
        <v>0.0657777777777778</v>
      </c>
      <c r="L9" s="24" t="n">
        <f aca="false">Assumptions!$B$18+(Assumptions!$F$18-Assumptions!$B$18)*9/9</f>
        <v>0.065</v>
      </c>
    </row>
    <row r="10" customFormat="false" ht="15" hidden="false" customHeight="false" outlineLevel="0" collapsed="false">
      <c r="A10" s="3" t="s">
        <v>152</v>
      </c>
      <c r="C10" s="24" t="n">
        <f aca="false">Assumptions!$B$19</f>
        <v>0.005</v>
      </c>
      <c r="D10" s="24" t="n">
        <f aca="false">Assumptions!$B$19+(Assumptions!$F$19-Assumptions!$B$19)*1/9</f>
        <v>0.005</v>
      </c>
      <c r="E10" s="24" t="n">
        <f aca="false">Assumptions!$B$19+(Assumptions!$F$19-Assumptions!$B$19)*2/9</f>
        <v>0.005</v>
      </c>
      <c r="F10" s="24" t="n">
        <f aca="false">Assumptions!$B$19+(Assumptions!$F$19-Assumptions!$B$19)*3/9</f>
        <v>0.005</v>
      </c>
      <c r="G10" s="24" t="n">
        <f aca="false">Assumptions!$B$19+(Assumptions!$F$19-Assumptions!$B$19)*4/9</f>
        <v>0.005</v>
      </c>
      <c r="H10" s="24" t="n">
        <f aca="false">Assumptions!$B$19+(Assumptions!$F$19-Assumptions!$B$19)*5/9</f>
        <v>0.005</v>
      </c>
      <c r="I10" s="24" t="n">
        <f aca="false">Assumptions!$B$19+(Assumptions!$F$19-Assumptions!$B$19)*6/9</f>
        <v>0.005</v>
      </c>
      <c r="J10" s="24" t="n">
        <f aca="false">Assumptions!$B$19+(Assumptions!$F$19-Assumptions!$B$19)*7/9</f>
        <v>0.005</v>
      </c>
      <c r="K10" s="24" t="n">
        <f aca="false">Assumptions!$B$19+(Assumptions!$F$19-Assumptions!$B$19)*8/9</f>
        <v>0.005</v>
      </c>
      <c r="L10" s="24" t="n">
        <f aca="false">Assumptions!$B$19+(Assumptions!$F$19-Assumptions!$B$19)*9/9</f>
        <v>0.005</v>
      </c>
    </row>
    <row r="11" customFormat="false" ht="15" hidden="false" customHeight="false" outlineLevel="0" collapsed="false">
      <c r="A11" s="3" t="s">
        <v>153</v>
      </c>
      <c r="C11" s="24" t="n">
        <f aca="false">Assumptions!$B$20</f>
        <v>0.127</v>
      </c>
      <c r="D11" s="24" t="n">
        <f aca="false">Assumptions!$B$20+(Assumptions!$F$20-Assumptions!$B$20)*1/9</f>
        <v>0.125666666666667</v>
      </c>
      <c r="E11" s="24" t="n">
        <f aca="false">Assumptions!$B$20+(Assumptions!$F$20-Assumptions!$B$20)*2/9</f>
        <v>0.124333333333333</v>
      </c>
      <c r="F11" s="24" t="n">
        <f aca="false">Assumptions!$B$20+(Assumptions!$F$20-Assumptions!$B$20)*3/9</f>
        <v>0.123</v>
      </c>
      <c r="G11" s="24" t="n">
        <f aca="false">Assumptions!$B$20+(Assumptions!$F$20-Assumptions!$B$20)*4/9</f>
        <v>0.121666666666667</v>
      </c>
      <c r="H11" s="24" t="n">
        <f aca="false">Assumptions!$B$20+(Assumptions!$F$20-Assumptions!$B$20)*5/9</f>
        <v>0.120333333333333</v>
      </c>
      <c r="I11" s="24" t="n">
        <f aca="false">Assumptions!$B$20+(Assumptions!$F$20-Assumptions!$B$20)*6/9</f>
        <v>0.119</v>
      </c>
      <c r="J11" s="24" t="n">
        <f aca="false">Assumptions!$B$20+(Assumptions!$F$20-Assumptions!$B$20)*7/9</f>
        <v>0.117666666666667</v>
      </c>
      <c r="K11" s="24" t="n">
        <f aca="false">Assumptions!$B$20+(Assumptions!$F$20-Assumptions!$B$20)*8/9</f>
        <v>0.116333333333333</v>
      </c>
      <c r="L11" s="24" t="n">
        <f aca="false">Assumptions!$B$20+(Assumptions!$F$20-Assumptions!$B$20)*9/9</f>
        <v>0.115</v>
      </c>
    </row>
    <row r="12" customFormat="false" ht="15" hidden="false" customHeight="false" outlineLevel="0" collapsed="false">
      <c r="A12" s="3" t="s">
        <v>154</v>
      </c>
      <c r="C12" s="24" t="n">
        <f aca="false">Assumptions!$B$21</f>
        <v>0.17</v>
      </c>
      <c r="D12" s="24" t="n">
        <f aca="false">Assumptions!$B$21+(Assumptions!$F$21-Assumptions!$B$21)*1/9</f>
        <v>0.163333333333333</v>
      </c>
      <c r="E12" s="24" t="n">
        <f aca="false">Assumptions!$B$21+(Assumptions!$F$21-Assumptions!$B$21)*2/9</f>
        <v>0.156666666666667</v>
      </c>
      <c r="F12" s="24" t="n">
        <f aca="false">Assumptions!$B$21+(Assumptions!$F$21-Assumptions!$B$21)*3/9</f>
        <v>0.15</v>
      </c>
      <c r="G12" s="24" t="n">
        <f aca="false">Assumptions!$B$21+(Assumptions!$F$21-Assumptions!$B$21)*4/9</f>
        <v>0.143333333333333</v>
      </c>
      <c r="H12" s="24" t="n">
        <f aca="false">Assumptions!$B$21+(Assumptions!$F$21-Assumptions!$B$21)*5/9</f>
        <v>0.136666666666667</v>
      </c>
      <c r="I12" s="24" t="n">
        <f aca="false">Assumptions!$B$21+(Assumptions!$F$21-Assumptions!$B$21)*6/9</f>
        <v>0.13</v>
      </c>
      <c r="J12" s="24" t="n">
        <f aca="false">Assumptions!$B$21+(Assumptions!$F$21-Assumptions!$B$21)*7/9</f>
        <v>0.123333333333333</v>
      </c>
      <c r="K12" s="24" t="n">
        <f aca="false">Assumptions!$B$21+(Assumptions!$F$21-Assumptions!$B$21)*8/9</f>
        <v>0.116666666666667</v>
      </c>
      <c r="L12" s="24" t="n">
        <f aca="false">Assumptions!$B$21+(Assumptions!$F$21-Assumptions!$B$21)*9/9</f>
        <v>0.11</v>
      </c>
    </row>
    <row r="13" customFormat="false" ht="15" hidden="false" customHeight="false" outlineLevel="0" collapsed="false">
      <c r="A13" s="3" t="s">
        <v>155</v>
      </c>
      <c r="C13" s="24" t="n">
        <f aca="false">Assumptions!$B$22</f>
        <v>0.21</v>
      </c>
      <c r="D13" s="24" t="n">
        <f aca="false">Assumptions!$B$22+(Assumptions!$F$22-Assumptions!$B$22)*1/9</f>
        <v>0.212222222222222</v>
      </c>
      <c r="E13" s="24" t="n">
        <f aca="false">Assumptions!$B$22+(Assumptions!$F$22-Assumptions!$B$22)*2/9</f>
        <v>0.214444444444444</v>
      </c>
      <c r="F13" s="24" t="n">
        <f aca="false">Assumptions!$B$22+(Assumptions!$F$22-Assumptions!$B$22)*3/9</f>
        <v>0.216666666666667</v>
      </c>
      <c r="G13" s="24" t="n">
        <f aca="false">Assumptions!$B$22+(Assumptions!$F$22-Assumptions!$B$22)*4/9</f>
        <v>0.218888888888889</v>
      </c>
      <c r="H13" s="24" t="n">
        <f aca="false">Assumptions!$B$22+(Assumptions!$F$22-Assumptions!$B$22)*5/9</f>
        <v>0.221111111111111</v>
      </c>
      <c r="I13" s="24" t="n">
        <f aca="false">Assumptions!$B$22+(Assumptions!$F$22-Assumptions!$B$22)*6/9</f>
        <v>0.223333333333333</v>
      </c>
      <c r="J13" s="24" t="n">
        <f aca="false">Assumptions!$B$22+(Assumptions!$F$22-Assumptions!$B$22)*7/9</f>
        <v>0.225555555555556</v>
      </c>
      <c r="K13" s="24" t="n">
        <f aca="false">Assumptions!$B$22+(Assumptions!$F$22-Assumptions!$B$22)*8/9</f>
        <v>0.227777777777778</v>
      </c>
      <c r="L13" s="24" t="n">
        <f aca="false">Assumptions!$B$22+(Assumptions!$F$22-Assumptions!$B$22)*9/9</f>
        <v>0.23</v>
      </c>
    </row>
    <row r="14" customFormat="false" ht="15" hidden="false" customHeight="false" outlineLevel="0" collapsed="false">
      <c r="A14" s="3" t="s">
        <v>156</v>
      </c>
      <c r="C14" s="24" t="n">
        <f aca="false">Assumptions!$B$23</f>
        <v>0.216</v>
      </c>
      <c r="D14" s="24" t="n">
        <f aca="false">Assumptions!$B$23+(Assumptions!$F$23-Assumptions!$B$23)*1/9</f>
        <v>0.214222222222222</v>
      </c>
      <c r="E14" s="24" t="n">
        <f aca="false">Assumptions!$B$23+(Assumptions!$F$23-Assumptions!$B$23)*2/9</f>
        <v>0.212444444444444</v>
      </c>
      <c r="F14" s="24" t="n">
        <f aca="false">Assumptions!$B$23+(Assumptions!$F$23-Assumptions!$B$23)*3/9</f>
        <v>0.210666666666667</v>
      </c>
      <c r="G14" s="24" t="n">
        <f aca="false">Assumptions!$B$23+(Assumptions!$F$23-Assumptions!$B$23)*4/9</f>
        <v>0.208888888888889</v>
      </c>
      <c r="H14" s="24" t="n">
        <f aca="false">Assumptions!$B$23+(Assumptions!$F$23-Assumptions!$B$23)*5/9</f>
        <v>0.207111111111111</v>
      </c>
      <c r="I14" s="24" t="n">
        <f aca="false">Assumptions!$B$23+(Assumptions!$F$23-Assumptions!$B$23)*6/9</f>
        <v>0.205333333333333</v>
      </c>
      <c r="J14" s="24" t="n">
        <f aca="false">Assumptions!$B$23+(Assumptions!$F$23-Assumptions!$B$23)*7/9</f>
        <v>0.203555555555556</v>
      </c>
      <c r="K14" s="24" t="n">
        <f aca="false">Assumptions!$B$23+(Assumptions!$F$23-Assumptions!$B$23)*8/9</f>
        <v>0.201777777777778</v>
      </c>
      <c r="L14" s="24" t="n">
        <f aca="false">Assumptions!$B$23+(Assumptions!$F$23-Assumptions!$B$23)*9/9</f>
        <v>0.2</v>
      </c>
    </row>
    <row r="15" customFormat="false" ht="15" hidden="false" customHeight="false" outlineLevel="0" collapsed="false">
      <c r="A15" s="3" t="s">
        <v>157</v>
      </c>
      <c r="C15" s="24" t="n">
        <f aca="false">Assumptions!$B$24</f>
        <v>0.255</v>
      </c>
      <c r="D15" s="24" t="n">
        <f aca="false">Assumptions!$B$24+(Assumptions!$F$24-Assumptions!$B$24)*1/9</f>
        <v>0.254444444444445</v>
      </c>
      <c r="E15" s="24" t="n">
        <f aca="false">Assumptions!$B$24+(Assumptions!$F$24-Assumptions!$B$24)*2/9</f>
        <v>0.253888888888889</v>
      </c>
      <c r="F15" s="24" t="n">
        <f aca="false">Assumptions!$B$24+(Assumptions!$F$24-Assumptions!$B$24)*3/9</f>
        <v>0.253333333333333</v>
      </c>
      <c r="G15" s="24" t="n">
        <f aca="false">Assumptions!$B$24+(Assumptions!$F$24-Assumptions!$B$24)*4/9</f>
        <v>0.252777777777778</v>
      </c>
      <c r="H15" s="24" t="n">
        <f aca="false">Assumptions!$B$24+(Assumptions!$F$24-Assumptions!$B$24)*5/9</f>
        <v>0.252222222222222</v>
      </c>
      <c r="I15" s="24" t="n">
        <f aca="false">Assumptions!$B$24+(Assumptions!$F$24-Assumptions!$B$24)*6/9</f>
        <v>0.251666666666667</v>
      </c>
      <c r="J15" s="24" t="n">
        <f aca="false">Assumptions!$B$24+(Assumptions!$F$24-Assumptions!$B$24)*7/9</f>
        <v>0.251111111111111</v>
      </c>
      <c r="K15" s="24" t="n">
        <f aca="false">Assumptions!$B$24+(Assumptions!$F$24-Assumptions!$B$24)*8/9</f>
        <v>0.250555555555556</v>
      </c>
      <c r="L15" s="24" t="n">
        <f aca="false">Assumptions!$B$24+(Assumptions!$F$24-Assumptions!$B$24)*9/9</f>
        <v>0.25</v>
      </c>
    </row>
    <row r="17" customFormat="false" ht="15" hidden="false" customHeight="false" outlineLevel="0" collapsed="false">
      <c r="A17" s="5" t="s">
        <v>158</v>
      </c>
    </row>
    <row r="18" customFormat="false" ht="15" hidden="false" customHeight="false" outlineLevel="0" collapsed="false">
      <c r="A18" s="8" t="s">
        <v>108</v>
      </c>
      <c r="B18" s="25" t="n">
        <f aca="false">Historicals!F5</f>
        <v>16972</v>
      </c>
      <c r="C18" s="26" t="n">
        <f aca="false">Historicals!I5</f>
        <v>23272</v>
      </c>
      <c r="D18" s="27" t="n">
        <f aca="false">C18*(1+D7)</f>
        <v>25273.392</v>
      </c>
      <c r="E18" s="27" t="n">
        <f aca="false">D18*(1+E7)</f>
        <v>27254.194098</v>
      </c>
      <c r="F18" s="27" t="n">
        <f aca="false">E18*(1+F7)</f>
        <v>29182.4283304335</v>
      </c>
      <c r="G18" s="27" t="n">
        <f aca="false">F18*(1+G7)</f>
        <v>31024.5691187921</v>
      </c>
      <c r="H18" s="27" t="n">
        <f aca="false">G18*(1+H7)</f>
        <v>32746.4327048851</v>
      </c>
      <c r="I18" s="27" t="n">
        <f aca="false">H18*(1+I7)</f>
        <v>34314.1681706315</v>
      </c>
      <c r="J18" s="27" t="n">
        <f aca="false">I18*(1+J7)</f>
        <v>35695.3134394994</v>
      </c>
      <c r="K18" s="27" t="n">
        <f aca="false">J18*(1+K7)</f>
        <v>36859.873040463</v>
      </c>
      <c r="L18" s="27" t="n">
        <f aca="false">K18*(1+L7)</f>
        <v>37781.3698664746</v>
      </c>
    </row>
    <row r="19" customFormat="false" ht="15" hidden="false" customHeight="false" outlineLevel="0" collapsed="false">
      <c r="A19" s="3" t="s">
        <v>159</v>
      </c>
      <c r="C19" s="28" t="n">
        <f aca="false">-C18*(1-C8)</f>
        <v>-14545</v>
      </c>
      <c r="D19" s="28" t="n">
        <f aca="false">-D18*(1-D8)</f>
        <v>-15753.74768</v>
      </c>
      <c r="E19" s="28" t="n">
        <f aca="false">-E18*(1-E8)</f>
        <v>-16943.02399759</v>
      </c>
      <c r="F19" s="28" t="n">
        <f aca="false">-F18*(1-F8)</f>
        <v>-18093.1055648688</v>
      </c>
      <c r="G19" s="28" t="n">
        <f aca="false">-G18*(1-G8)</f>
        <v>-19183.5252384531</v>
      </c>
      <c r="H19" s="28" t="n">
        <f aca="false">-H18*(1-H8)</f>
        <v>-20193.6335013458</v>
      </c>
      <c r="I19" s="28" t="n">
        <f aca="false">-I18*(1-I8)</f>
        <v>-21103.2134249384</v>
      </c>
      <c r="J19" s="28" t="n">
        <f aca="false">-J18*(1-J8)</f>
        <v>-21893.1255762263</v>
      </c>
      <c r="K19" s="28" t="n">
        <f aca="false">-K18*(1-K8)</f>
        <v>-22545.9556764166</v>
      </c>
      <c r="L19" s="28" t="n">
        <f aca="false">-L18*(1-L8)</f>
        <v>-23046.6356185495</v>
      </c>
    </row>
    <row r="20" customFormat="false" ht="15" hidden="false" customHeight="false" outlineLevel="0" collapsed="false">
      <c r="A20" s="8" t="s">
        <v>160</v>
      </c>
      <c r="C20" s="27" t="n">
        <f aca="false">C18+C19</f>
        <v>8727</v>
      </c>
      <c r="D20" s="27" t="n">
        <f aca="false">D18+D19</f>
        <v>9519.64432</v>
      </c>
      <c r="E20" s="27" t="n">
        <f aca="false">E18+E19</f>
        <v>10311.17010041</v>
      </c>
      <c r="F20" s="27" t="n">
        <f aca="false">F18+F19</f>
        <v>11089.3227655647</v>
      </c>
      <c r="G20" s="27" t="n">
        <f aca="false">G18+G19</f>
        <v>11841.043880339</v>
      </c>
      <c r="H20" s="27" t="n">
        <f aca="false">H18+H19</f>
        <v>12552.7992035393</v>
      </c>
      <c r="I20" s="27" t="n">
        <f aca="false">I18+I19</f>
        <v>13210.9547456931</v>
      </c>
      <c r="J20" s="27" t="n">
        <f aca="false">J18+J19</f>
        <v>13802.1878632731</v>
      </c>
      <c r="K20" s="27" t="n">
        <f aca="false">K18+K19</f>
        <v>14313.9173640465</v>
      </c>
      <c r="L20" s="27" t="n">
        <f aca="false">L18+L19</f>
        <v>14734.7342479251</v>
      </c>
    </row>
    <row r="21" customFormat="false" ht="15" hidden="false" customHeight="false" outlineLevel="0" collapsed="false">
      <c r="A21" s="3" t="s">
        <v>161</v>
      </c>
      <c r="C21" s="28" t="n">
        <f aca="false">-C18*C9</f>
        <v>-1675.584</v>
      </c>
      <c r="D21" s="28" t="n">
        <f aca="false">-D18*D9</f>
        <v>-1800.02714133333</v>
      </c>
      <c r="E21" s="28" t="n">
        <f aca="false">-E18*E9</f>
        <v>-1919.90656201467</v>
      </c>
      <c r="F21" s="28" t="n">
        <f aca="false">-F18*F9</f>
        <v>-2033.0425070202</v>
      </c>
      <c r="G21" s="28" t="n">
        <f aca="false">-G18*G9</f>
        <v>-2137.24809485012</v>
      </c>
      <c r="H21" s="28" t="n">
        <f aca="false">-H18*H9</f>
        <v>-2230.39591645495</v>
      </c>
      <c r="I21" s="28" t="n">
        <f aca="false">-I18*I9</f>
        <v>-2310.48732348919</v>
      </c>
      <c r="J21" s="28" t="n">
        <f aca="false">-J18*J9</f>
        <v>-2375.72141669557</v>
      </c>
      <c r="K21" s="28" t="n">
        <f aca="false">-K18*K9</f>
        <v>-2424.56053777268</v>
      </c>
      <c r="L21" s="28" t="n">
        <f aca="false">-L18*L9</f>
        <v>-2455.78904132085</v>
      </c>
    </row>
    <row r="22" customFormat="false" ht="15" hidden="false" customHeight="false" outlineLevel="0" collapsed="false">
      <c r="A22" s="8" t="s">
        <v>162</v>
      </c>
      <c r="C22" s="27" t="n">
        <f aca="false">C20+C21</f>
        <v>7051.416</v>
      </c>
      <c r="D22" s="27" t="n">
        <f aca="false">D20+D21</f>
        <v>7719.61717866667</v>
      </c>
      <c r="E22" s="27" t="n">
        <f aca="false">E20+E21</f>
        <v>8391.26353839534</v>
      </c>
      <c r="F22" s="27" t="n">
        <f aca="false">F20+F21</f>
        <v>9056.28025854453</v>
      </c>
      <c r="G22" s="27" t="n">
        <f aca="false">G20+G21</f>
        <v>9703.79578548887</v>
      </c>
      <c r="H22" s="27" t="n">
        <f aca="false">H20+H21</f>
        <v>10322.4032870843</v>
      </c>
      <c r="I22" s="27" t="n">
        <f aca="false">I20+I21</f>
        <v>10900.4674222039</v>
      </c>
      <c r="J22" s="27" t="n">
        <f aca="false">J20+J21</f>
        <v>11426.4664465775</v>
      </c>
      <c r="K22" s="27" t="n">
        <f aca="false">K20+K21</f>
        <v>11889.3568262738</v>
      </c>
      <c r="L22" s="27" t="n">
        <f aca="false">L20+L21</f>
        <v>12278.9452066042</v>
      </c>
    </row>
    <row r="23" customFormat="false" ht="15" hidden="false" customHeight="false" outlineLevel="0" collapsed="false">
      <c r="A23" s="3" t="s">
        <v>163</v>
      </c>
      <c r="C23" s="28" t="n">
        <f aca="false">-C18*C10</f>
        <v>-116.36</v>
      </c>
      <c r="D23" s="28" t="n">
        <f aca="false">-D18*D10</f>
        <v>-126.36696</v>
      </c>
      <c r="E23" s="28" t="n">
        <f aca="false">-E18*E10</f>
        <v>-136.27097049</v>
      </c>
      <c r="F23" s="28" t="n">
        <f aca="false">-F18*F10</f>
        <v>-145.912141652168</v>
      </c>
      <c r="G23" s="28" t="n">
        <f aca="false">-G18*G10</f>
        <v>-155.122845593961</v>
      </c>
      <c r="H23" s="28" t="n">
        <f aca="false">-H18*H10</f>
        <v>-163.732163524425</v>
      </c>
      <c r="I23" s="28" t="n">
        <f aca="false">-I18*I10</f>
        <v>-171.570840853157</v>
      </c>
      <c r="J23" s="28" t="n">
        <f aca="false">-J18*J10</f>
        <v>-178.476567197497</v>
      </c>
      <c r="K23" s="28" t="n">
        <f aca="false">-K18*K10</f>
        <v>-184.299365202315</v>
      </c>
      <c r="L23" s="28" t="n">
        <f aca="false">-L18*L10</f>
        <v>-188.906849332373</v>
      </c>
    </row>
    <row r="24" customFormat="false" ht="15" hidden="false" customHeight="false" outlineLevel="0" collapsed="false">
      <c r="A24" s="3" t="s">
        <v>164</v>
      </c>
      <c r="C24" s="28" t="n">
        <f aca="false">-C18*C11</f>
        <v>-2955.544</v>
      </c>
      <c r="D24" s="28" t="n">
        <f aca="false">-D18*D11</f>
        <v>-3176.022928</v>
      </c>
      <c r="E24" s="28" t="n">
        <f aca="false">-E18*E11</f>
        <v>-3388.604799518</v>
      </c>
      <c r="F24" s="28" t="n">
        <f aca="false">-F18*F11</f>
        <v>-3589.43868464332</v>
      </c>
      <c r="G24" s="28" t="n">
        <f aca="false">-G18*G11</f>
        <v>-3774.65590945304</v>
      </c>
      <c r="H24" s="28" t="n">
        <f aca="false">-H18*H11</f>
        <v>-3940.48740215451</v>
      </c>
      <c r="I24" s="28" t="n">
        <f aca="false">-I18*I11</f>
        <v>-4083.38601230514</v>
      </c>
      <c r="J24" s="28" t="n">
        <f aca="false">-J18*J11</f>
        <v>-4200.14854804776</v>
      </c>
      <c r="K24" s="28" t="n">
        <f aca="false">-K18*K11</f>
        <v>-4288.03189704053</v>
      </c>
      <c r="L24" s="28" t="n">
        <f aca="false">-L18*L11</f>
        <v>-4344.85753464458</v>
      </c>
    </row>
    <row r="25" customFormat="false" ht="15" hidden="false" customHeight="false" outlineLevel="0" collapsed="false">
      <c r="A25" s="8" t="s">
        <v>165</v>
      </c>
      <c r="C25" s="27" t="n">
        <f aca="false">C22+C23+C24</f>
        <v>3979.512</v>
      </c>
      <c r="D25" s="27" t="n">
        <f aca="false">D22+D23+D24</f>
        <v>4417.22729066667</v>
      </c>
      <c r="E25" s="27" t="n">
        <f aca="false">E22+E23+E24</f>
        <v>4866.38776838733</v>
      </c>
      <c r="F25" s="27" t="n">
        <f aca="false">F22+F23+F24</f>
        <v>5320.92943224904</v>
      </c>
      <c r="G25" s="27" t="n">
        <f aca="false">G22+G23+G24</f>
        <v>5774.01703044187</v>
      </c>
      <c r="H25" s="27" t="n">
        <f aca="false">H22+H23+H24</f>
        <v>6218.1837214054</v>
      </c>
      <c r="I25" s="27" t="n">
        <f aca="false">I22+I23+I24</f>
        <v>6645.51056904563</v>
      </c>
      <c r="J25" s="27" t="n">
        <f aca="false">J22+J23+J24</f>
        <v>7047.84133133227</v>
      </c>
      <c r="K25" s="27" t="n">
        <f aca="false">K22+K23+K24</f>
        <v>7417.02556403095</v>
      </c>
      <c r="L25" s="27" t="n">
        <f aca="false">L22+L23+L24</f>
        <v>7745.18082262729</v>
      </c>
    </row>
    <row r="26" customFormat="false" ht="15" hidden="false" customHeight="false" outlineLevel="0" collapsed="false">
      <c r="A26" s="3" t="s">
        <v>166</v>
      </c>
      <c r="C26" s="28" t="n">
        <f aca="false">B70*Assumptions!$B$34</f>
        <v>28.56</v>
      </c>
      <c r="D26" s="28" t="n">
        <f aca="false">C70*Assumptions!$B$34</f>
        <v>17.5</v>
      </c>
      <c r="E26" s="28" t="n">
        <f aca="false">D70*Assumptions!$B$34</f>
        <v>17.5</v>
      </c>
      <c r="F26" s="28" t="n">
        <f aca="false">E70*Assumptions!$B$34</f>
        <v>17.5</v>
      </c>
      <c r="G26" s="28" t="n">
        <f aca="false">F70*Assumptions!$B$34</f>
        <v>28.3558241276225</v>
      </c>
      <c r="H26" s="28" t="n">
        <f aca="false">G70*Assumptions!$B$34</f>
        <v>72.9503707116229</v>
      </c>
      <c r="I26" s="28" t="n">
        <f aca="false">H70*Assumptions!$B$34</f>
        <v>134.925390426417</v>
      </c>
      <c r="J26" s="28" t="n">
        <f aca="false">I70*Assumptions!$B$34</f>
        <v>214.898452388923</v>
      </c>
      <c r="K26" s="28" t="n">
        <f aca="false">J70*Assumptions!$B$34</f>
        <v>313.185957093463</v>
      </c>
      <c r="L26" s="28" t="n">
        <f aca="false">K70*Assumptions!$B$34</f>
        <v>429.771550275356</v>
      </c>
    </row>
    <row r="27" customFormat="false" ht="15" hidden="false" customHeight="false" outlineLevel="0" collapsed="false">
      <c r="A27" s="3" t="s">
        <v>167</v>
      </c>
      <c r="C27" s="28" t="n">
        <f aca="false">-(B50*Assumptions!$B$39+B54*Assumptions!$B$35)</f>
        <v>-1182.91</v>
      </c>
      <c r="D27" s="28" t="n">
        <f aca="false">-(C50*Assumptions!$B$39+C54*Assumptions!$B$35)</f>
        <v>-1232.78819650548</v>
      </c>
      <c r="E27" s="28" t="n">
        <f aca="false">-(D50*Assumptions!$B$39+D54*Assumptions!$B$35)</f>
        <v>-1236.56485699107</v>
      </c>
      <c r="F27" s="28" t="n">
        <f aca="false">-(E50*Assumptions!$B$39+E54*Assumptions!$B$35)</f>
        <v>-1214.2075904746</v>
      </c>
      <c r="G27" s="28" t="n">
        <f aca="false">-(F50*Assumptions!$B$39+F54*Assumptions!$B$35)</f>
        <v>-1182.91</v>
      </c>
      <c r="H27" s="28" t="n">
        <f aca="false">-(G50*Assumptions!$B$39+G54*Assumptions!$B$35)</f>
        <v>-1182.91</v>
      </c>
      <c r="I27" s="28" t="n">
        <f aca="false">-(H50*Assumptions!$B$39+H54*Assumptions!$B$35)</f>
        <v>-1182.91</v>
      </c>
      <c r="J27" s="28" t="n">
        <f aca="false">-(I50*Assumptions!$B$39+I54*Assumptions!$B$35)</f>
        <v>-1182.91</v>
      </c>
      <c r="K27" s="28" t="n">
        <f aca="false">-(J50*Assumptions!$B$39+J54*Assumptions!$B$35)</f>
        <v>-1182.91</v>
      </c>
      <c r="L27" s="28" t="n">
        <f aca="false">-(K50*Assumptions!$B$39+K54*Assumptions!$B$35)</f>
        <v>-1182.91</v>
      </c>
    </row>
    <row r="28" customFormat="false" ht="15" hidden="false" customHeight="false" outlineLevel="0" collapsed="false">
      <c r="A28" s="3" t="s">
        <v>168</v>
      </c>
      <c r="C28" s="28" t="n">
        <f aca="false">C25+C26+C27</f>
        <v>2825.162</v>
      </c>
      <c r="D28" s="28" t="n">
        <f aca="false">D25+D26+D27</f>
        <v>3201.93909416119</v>
      </c>
      <c r="E28" s="28" t="n">
        <f aca="false">E25+E26+E27</f>
        <v>3647.32291139626</v>
      </c>
      <c r="F28" s="28" t="n">
        <f aca="false">F25+F26+F27</f>
        <v>4124.22184177444</v>
      </c>
      <c r="G28" s="28" t="n">
        <f aca="false">G25+G26+G27</f>
        <v>4619.46285456949</v>
      </c>
      <c r="H28" s="28" t="n">
        <f aca="false">H25+H26+H27</f>
        <v>5108.22409211703</v>
      </c>
      <c r="I28" s="28" t="n">
        <f aca="false">I25+I26+I27</f>
        <v>5597.52595947204</v>
      </c>
      <c r="J28" s="28" t="n">
        <f aca="false">J25+J26+J27</f>
        <v>6079.82978372119</v>
      </c>
      <c r="K28" s="28" t="n">
        <f aca="false">K25+K26+K27</f>
        <v>6547.30152112442</v>
      </c>
      <c r="L28" s="28" t="n">
        <f aca="false">L25+L26+L27</f>
        <v>6992.04237290265</v>
      </c>
    </row>
    <row r="29" customFormat="false" ht="15" hidden="false" customHeight="false" outlineLevel="0" collapsed="false">
      <c r="A29" s="3" t="s">
        <v>169</v>
      </c>
      <c r="C29" s="28" t="n">
        <f aca="false">-MAX(0,C28)*C13</f>
        <v>-593.28402</v>
      </c>
      <c r="D29" s="28" t="n">
        <f aca="false">-MAX(0,D28)*D13</f>
        <v>-679.522629983097</v>
      </c>
      <c r="E29" s="28" t="n">
        <f aca="false">-MAX(0,E28)*E13</f>
        <v>-782.148135443865</v>
      </c>
      <c r="F29" s="28" t="n">
        <f aca="false">-MAX(0,F28)*F13</f>
        <v>-893.581399051128</v>
      </c>
      <c r="G29" s="28" t="n">
        <f aca="false">-MAX(0,G28)*G13</f>
        <v>-1011.14909150021</v>
      </c>
      <c r="H29" s="28" t="n">
        <f aca="false">-MAX(0,H28)*H13</f>
        <v>-1129.48510481254</v>
      </c>
      <c r="I29" s="28" t="n">
        <f aca="false">-MAX(0,I28)*I13</f>
        <v>-1250.11413094876</v>
      </c>
      <c r="J29" s="28" t="n">
        <f aca="false">-MAX(0,J28)*J13</f>
        <v>-1371.33938455045</v>
      </c>
      <c r="K29" s="28" t="n">
        <f aca="false">-MAX(0,K28)*K13</f>
        <v>-1491.32979092278</v>
      </c>
      <c r="L29" s="28" t="n">
        <f aca="false">-MAX(0,L28)*L13</f>
        <v>-1608.16974576761</v>
      </c>
    </row>
    <row r="30" customFormat="false" ht="15" hidden="false" customHeight="false" outlineLevel="0" collapsed="false">
      <c r="A30" s="8" t="s">
        <v>170</v>
      </c>
      <c r="C30" s="27" t="n">
        <f aca="false">C28+C29</f>
        <v>2231.87798</v>
      </c>
      <c r="D30" s="27" t="n">
        <f aca="false">D28+D29</f>
        <v>2522.41646417809</v>
      </c>
      <c r="E30" s="27" t="n">
        <f aca="false">E28+E29</f>
        <v>2865.1747759524</v>
      </c>
      <c r="F30" s="27" t="n">
        <f aca="false">F28+F29</f>
        <v>3230.64044272331</v>
      </c>
      <c r="G30" s="27" t="n">
        <f aca="false">G28+G29</f>
        <v>3608.31376306928</v>
      </c>
      <c r="H30" s="27" t="n">
        <f aca="false">H28+H29</f>
        <v>3978.73898730448</v>
      </c>
      <c r="I30" s="27" t="n">
        <f aca="false">I28+I29</f>
        <v>4347.41182852329</v>
      </c>
      <c r="J30" s="27" t="n">
        <f aca="false">J28+J29</f>
        <v>4708.49039917075</v>
      </c>
      <c r="K30" s="27" t="n">
        <f aca="false">K28+K29</f>
        <v>5055.97173020163</v>
      </c>
      <c r="L30" s="27" t="n">
        <f aca="false">L28+L29</f>
        <v>5383.87262713504</v>
      </c>
    </row>
    <row r="31" customFormat="false" ht="15" hidden="false" customHeight="false" outlineLevel="0" collapsed="false">
      <c r="A31" s="22" t="s">
        <v>171</v>
      </c>
      <c r="C31" s="29" t="n">
        <f aca="false">C30/Assumptions!$B$37</f>
        <v>6.61885521945433</v>
      </c>
      <c r="D31" s="29" t="n">
        <f aca="false">D30/Assumptions!$B$37</f>
        <v>7.48047587241427</v>
      </c>
      <c r="E31" s="29" t="n">
        <f aca="false">E30/Assumptions!$B$37</f>
        <v>8.49695959653736</v>
      </c>
      <c r="F31" s="29" t="n">
        <f aca="false">F30/Assumptions!$B$37</f>
        <v>9.5807842310893</v>
      </c>
      <c r="G31" s="29" t="n">
        <f aca="false">G30/Assumptions!$B$37</f>
        <v>10.7008118714985</v>
      </c>
      <c r="H31" s="29" t="n">
        <f aca="false">H30/Assumptions!$B$37</f>
        <v>11.7993445649599</v>
      </c>
      <c r="I31" s="29" t="n">
        <f aca="false">I30/Assumptions!$B$37</f>
        <v>12.8926803930109</v>
      </c>
      <c r="J31" s="29" t="n">
        <f aca="false">J30/Assumptions!$B$37</f>
        <v>13.9634946594625</v>
      </c>
      <c r="K31" s="29" t="n">
        <f aca="false">K30/Assumptions!$B$37</f>
        <v>14.9939849650108</v>
      </c>
      <c r="L31" s="29" t="n">
        <f aca="false">L30/Assumptions!$B$37</f>
        <v>15.9664075537813</v>
      </c>
    </row>
    <row r="32" customFormat="false" ht="15" hidden="false" customHeight="false" outlineLevel="0" collapsed="false">
      <c r="A32" s="22" t="s">
        <v>172</v>
      </c>
      <c r="C32" s="30" t="n">
        <f aca="false">C22/C18</f>
        <v>0.303</v>
      </c>
      <c r="D32" s="30" t="n">
        <f aca="false">D22/D18</f>
        <v>0.305444444444445</v>
      </c>
      <c r="E32" s="30" t="n">
        <f aca="false">E22/E18</f>
        <v>0.307888888888889</v>
      </c>
      <c r="F32" s="30" t="n">
        <f aca="false">F22/F18</f>
        <v>0.310333333333333</v>
      </c>
      <c r="G32" s="30" t="n">
        <f aca="false">G22/G18</f>
        <v>0.312777777777778</v>
      </c>
      <c r="H32" s="30" t="n">
        <f aca="false">H22/H18</f>
        <v>0.315222222222222</v>
      </c>
      <c r="I32" s="30" t="n">
        <f aca="false">I22/I18</f>
        <v>0.317666666666667</v>
      </c>
      <c r="J32" s="30" t="n">
        <f aca="false">J22/J18</f>
        <v>0.320111111111111</v>
      </c>
      <c r="K32" s="30" t="n">
        <f aca="false">K22/K18</f>
        <v>0.322555555555556</v>
      </c>
      <c r="L32" s="30" t="n">
        <f aca="false">L22/L18</f>
        <v>0.325</v>
      </c>
    </row>
    <row r="34" customFormat="false" ht="15" hidden="false" customHeight="false" outlineLevel="0" collapsed="false">
      <c r="A34" s="5" t="s">
        <v>173</v>
      </c>
    </row>
    <row r="35" customFormat="false" ht="15" hidden="false" customHeight="false" outlineLevel="0" collapsed="false">
      <c r="A35" s="3" t="s">
        <v>174</v>
      </c>
      <c r="B35" s="19" t="n">
        <v>2323</v>
      </c>
      <c r="C35" s="28" t="n">
        <f aca="false">C18*Assumptions!$B$27/365</f>
        <v>3187.94520547945</v>
      </c>
      <c r="D35" s="28" t="n">
        <f aca="false">D18*Assumptions!$B$27/365</f>
        <v>3462.10849315069</v>
      </c>
      <c r="E35" s="28" t="n">
        <f aca="false">E18*Assumptions!$B$27/365</f>
        <v>3733.45124630137</v>
      </c>
      <c r="F35" s="28" t="n">
        <f aca="false">F18*Assumptions!$B$27/365</f>
        <v>3997.59292197719</v>
      </c>
      <c r="G35" s="28" t="n">
        <f aca="false">G18*Assumptions!$B$27/365</f>
        <v>4249.940975177</v>
      </c>
      <c r="H35" s="28" t="n">
        <f aca="false">H18*Assumptions!$B$27/365</f>
        <v>4485.81269929933</v>
      </c>
      <c r="I35" s="28" t="n">
        <f aca="false">I18*Assumptions!$B$27/365</f>
        <v>4700.57098227828</v>
      </c>
      <c r="J35" s="28" t="n">
        <f aca="false">J18*Assumptions!$B$27/365</f>
        <v>4889.76896431498</v>
      </c>
      <c r="K35" s="28" t="n">
        <f aca="false">K18*Assumptions!$B$27/365</f>
        <v>5049.29767677576</v>
      </c>
      <c r="L35" s="28" t="n">
        <f aca="false">L18*Assumptions!$B$27/365</f>
        <v>5175.53011869515</v>
      </c>
    </row>
    <row r="36" customFormat="false" ht="15" hidden="false" customHeight="false" outlineLevel="0" collapsed="false">
      <c r="A36" s="3" t="s">
        <v>175</v>
      </c>
      <c r="B36" s="19" t="n">
        <v>1016</v>
      </c>
      <c r="C36" s="28" t="n">
        <f aca="false">-C19*Assumptions!$B$28/365</f>
        <v>1036.08219178082</v>
      </c>
      <c r="D36" s="28" t="n">
        <f aca="false">-D19*Assumptions!$B$28/365</f>
        <v>1122.18476624658</v>
      </c>
      <c r="E36" s="28" t="n">
        <f aca="false">-E19*Assumptions!$B$28/365</f>
        <v>1206.90033955436</v>
      </c>
      <c r="F36" s="28" t="n">
        <f aca="false">-F19*Assumptions!$B$28/365</f>
        <v>1288.82395804545</v>
      </c>
      <c r="G36" s="28" t="n">
        <f aca="false">-G19*Assumptions!$B$28/365</f>
        <v>1366.49768821858</v>
      </c>
      <c r="H36" s="28" t="n">
        <f aca="false">-H19*Assumptions!$B$28/365</f>
        <v>1438.45060557532</v>
      </c>
      <c r="I36" s="28" t="n">
        <f aca="false">-I19*Assumptions!$B$28/365</f>
        <v>1503.24260013259</v>
      </c>
      <c r="J36" s="28" t="n">
        <f aca="false">-J19*Assumptions!$B$28/365</f>
        <v>1559.51031501886</v>
      </c>
      <c r="K36" s="28" t="n">
        <f aca="false">-K19*Assumptions!$B$28/365</f>
        <v>1606.01328105981</v>
      </c>
      <c r="L36" s="28" t="n">
        <f aca="false">-L19*Assumptions!$B$28/365</f>
        <v>1641.6781536501</v>
      </c>
    </row>
    <row r="37" customFormat="false" ht="15" hidden="false" customHeight="false" outlineLevel="0" collapsed="false">
      <c r="A37" s="3" t="s">
        <v>176</v>
      </c>
      <c r="B37" s="19" t="n">
        <v>5024</v>
      </c>
      <c r="C37" s="28" t="n">
        <f aca="false">C18*C14</f>
        <v>5026.752</v>
      </c>
      <c r="D37" s="28" t="n">
        <f aca="false">D18*D14</f>
        <v>5414.12219733333</v>
      </c>
      <c r="E37" s="28" t="n">
        <f aca="false">E18*E14</f>
        <v>5790.00212393067</v>
      </c>
      <c r="F37" s="28" t="n">
        <f aca="false">F18*F14</f>
        <v>6147.76490161133</v>
      </c>
      <c r="G37" s="28" t="n">
        <f aca="false">G18*G14</f>
        <v>6480.68777148102</v>
      </c>
      <c r="H37" s="28" t="n">
        <f aca="false">H18*H14</f>
        <v>6782.15006243398</v>
      </c>
      <c r="I37" s="28" t="n">
        <f aca="false">I18*I14</f>
        <v>7045.84253103633</v>
      </c>
      <c r="J37" s="28" t="n">
        <f aca="false">J18*J14</f>
        <v>7265.97935790699</v>
      </c>
      <c r="K37" s="28" t="n">
        <f aca="false">K18*K14</f>
        <v>7437.50327127565</v>
      </c>
      <c r="L37" s="28" t="n">
        <f aca="false">L18*L14</f>
        <v>7556.27397329492</v>
      </c>
    </row>
    <row r="38" customFormat="false" ht="15" hidden="false" customHeight="false" outlineLevel="0" collapsed="false">
      <c r="A38" s="3" t="s">
        <v>177</v>
      </c>
      <c r="B38" s="19" t="n">
        <v>-1644</v>
      </c>
      <c r="C38" s="28" t="n">
        <f aca="false">C19*Assumptions!$B$29/365</f>
        <v>-1713.52054794521</v>
      </c>
      <c r="D38" s="28" t="n">
        <f aca="false">D19*Assumptions!$B$29/365</f>
        <v>-1855.92095956164</v>
      </c>
      <c r="E38" s="28" t="n">
        <f aca="false">E19*Assumptions!$B$29/365</f>
        <v>-1996.02748464759</v>
      </c>
      <c r="F38" s="28" t="n">
        <f aca="false">F19*Assumptions!$B$29/365</f>
        <v>-2131.51654599824</v>
      </c>
      <c r="G38" s="28" t="n">
        <f aca="false">G19*Assumptions!$B$29/365</f>
        <v>-2259.97694589996</v>
      </c>
      <c r="H38" s="28" t="n">
        <f aca="false">H19*Assumptions!$B$29/365</f>
        <v>-2378.97600152841</v>
      </c>
      <c r="I38" s="28" t="n">
        <f aca="false">I19*Assumptions!$B$29/365</f>
        <v>-2486.13199252698</v>
      </c>
      <c r="J38" s="28" t="n">
        <f aca="false">J19*Assumptions!$B$29/365</f>
        <v>-2579.19013637734</v>
      </c>
      <c r="K38" s="28" t="n">
        <f aca="false">K19*Assumptions!$B$29/365</f>
        <v>-2656.09888790661</v>
      </c>
      <c r="L38" s="28" t="n">
        <f aca="false">L19*Assumptions!$B$29/365</f>
        <v>-2715.08310026748</v>
      </c>
    </row>
    <row r="39" customFormat="false" ht="15" hidden="false" customHeight="false" outlineLevel="0" collapsed="false">
      <c r="A39" s="3" t="s">
        <v>178</v>
      </c>
      <c r="B39" s="19" t="n">
        <v>-5927</v>
      </c>
      <c r="C39" s="28" t="n">
        <f aca="false">-C18*C15</f>
        <v>-5934.36</v>
      </c>
      <c r="D39" s="28" t="n">
        <f aca="false">-D18*D15</f>
        <v>-6430.67418666667</v>
      </c>
      <c r="E39" s="28" t="n">
        <f aca="false">-E18*E15</f>
        <v>-6919.53705710334</v>
      </c>
      <c r="F39" s="28" t="n">
        <f aca="false">-F18*F15</f>
        <v>-7392.88184370982</v>
      </c>
      <c r="G39" s="28" t="n">
        <f aca="false">-G18*G15</f>
        <v>-7842.32163836134</v>
      </c>
      <c r="H39" s="28" t="n">
        <f aca="false">-H18*H15</f>
        <v>-8259.37802667657</v>
      </c>
      <c r="I39" s="28" t="n">
        <f aca="false">-I18*I15</f>
        <v>-8635.73232294225</v>
      </c>
      <c r="J39" s="28" t="n">
        <f aca="false">-J18*J15</f>
        <v>-8963.48981925207</v>
      </c>
      <c r="K39" s="28" t="n">
        <f aca="false">-K18*K15</f>
        <v>-9235.44596736046</v>
      </c>
      <c r="L39" s="28" t="n">
        <f aca="false">-L18*L15</f>
        <v>-9445.34246661865</v>
      </c>
    </row>
    <row r="40" customFormat="false" ht="15" hidden="false" customHeight="false" outlineLevel="0" collapsed="false">
      <c r="A40" s="8" t="s">
        <v>179</v>
      </c>
      <c r="B40" s="27" t="n">
        <f aca="false">SUM(B35:B39)</f>
        <v>792</v>
      </c>
      <c r="C40" s="27" t="n">
        <f aca="false">SUM(C35:C39)</f>
        <v>1602.89884931507</v>
      </c>
      <c r="D40" s="27" t="n">
        <f aca="false">SUM(D35:D39)</f>
        <v>1711.82031050228</v>
      </c>
      <c r="E40" s="27" t="n">
        <f aca="false">SUM(E35:E39)</f>
        <v>1814.78916803547</v>
      </c>
      <c r="F40" s="27" t="n">
        <f aca="false">SUM(F35:F39)</f>
        <v>1909.7833919259</v>
      </c>
      <c r="G40" s="27" t="n">
        <f aca="false">SUM(G35:G39)</f>
        <v>1994.8278506153</v>
      </c>
      <c r="H40" s="27" t="n">
        <f aca="false">SUM(H35:H39)</f>
        <v>2068.05933910364</v>
      </c>
      <c r="I40" s="27" t="n">
        <f aca="false">SUM(I35:I39)</f>
        <v>2127.79179797797</v>
      </c>
      <c r="J40" s="27" t="n">
        <f aca="false">SUM(J35:J39)</f>
        <v>2172.57868161142</v>
      </c>
      <c r="K40" s="27" t="n">
        <f aca="false">SUM(K35:K39)</f>
        <v>2201.26937384415</v>
      </c>
      <c r="L40" s="27" t="n">
        <f aca="false">SUM(L35:L39)</f>
        <v>2213.05667875405</v>
      </c>
    </row>
    <row r="41" customFormat="false" ht="15" hidden="false" customHeight="false" outlineLevel="0" collapsed="false">
      <c r="A41" s="3" t="s">
        <v>180</v>
      </c>
      <c r="C41" s="28" t="n">
        <f aca="false">-(C40-B40)</f>
        <v>-810.898849315068</v>
      </c>
      <c r="D41" s="28" t="n">
        <f aca="false">-(D40-C40)</f>
        <v>-108.921461187215</v>
      </c>
      <c r="E41" s="28" t="n">
        <f aca="false">-(E40-D40)</f>
        <v>-102.968857533187</v>
      </c>
      <c r="F41" s="28" t="n">
        <f aca="false">-(F40-E40)</f>
        <v>-94.9942238904341</v>
      </c>
      <c r="G41" s="28" t="n">
        <f aca="false">-(G40-F40)</f>
        <v>-85.0444586893991</v>
      </c>
      <c r="H41" s="28" t="n">
        <f aca="false">-(H40-G40)</f>
        <v>-73.2314884883363</v>
      </c>
      <c r="I41" s="28" t="n">
        <f aca="false">-(I40-H40)</f>
        <v>-59.7324588743304</v>
      </c>
      <c r="J41" s="28" t="n">
        <f aca="false">-(J40-I40)</f>
        <v>-44.7868836334492</v>
      </c>
      <c r="K41" s="28" t="n">
        <f aca="false">-(K40-J40)</f>
        <v>-28.6906922327325</v>
      </c>
      <c r="L41" s="28" t="n">
        <f aca="false">-(L40-K40)</f>
        <v>-11.7873049098944</v>
      </c>
    </row>
    <row r="43" customFormat="false" ht="15" hidden="false" customHeight="false" outlineLevel="0" collapsed="false">
      <c r="A43" s="5" t="s">
        <v>181</v>
      </c>
    </row>
    <row r="44" customFormat="false" ht="15" hidden="false" customHeight="false" outlineLevel="0" collapsed="false">
      <c r="A44" s="3" t="s">
        <v>115</v>
      </c>
      <c r="C44" s="28" t="n">
        <f aca="false">C18*C12</f>
        <v>3956.24</v>
      </c>
      <c r="D44" s="28" t="n">
        <f aca="false">D18*D12</f>
        <v>4127.98736</v>
      </c>
      <c r="E44" s="28" t="n">
        <f aca="false">E18*E12</f>
        <v>4269.82374202</v>
      </c>
      <c r="F44" s="28" t="n">
        <f aca="false">F18*F12</f>
        <v>4377.36424956503</v>
      </c>
      <c r="G44" s="28" t="n">
        <f aca="false">G18*G12</f>
        <v>4446.85490702687</v>
      </c>
      <c r="H44" s="28" t="n">
        <f aca="false">H18*H12</f>
        <v>4475.34580300096</v>
      </c>
      <c r="I44" s="28" t="n">
        <f aca="false">I18*I12</f>
        <v>4460.84186218209</v>
      </c>
      <c r="J44" s="28" t="n">
        <f aca="false">J18*J12</f>
        <v>4402.42199087159</v>
      </c>
      <c r="K44" s="28" t="n">
        <f aca="false">K18*K12</f>
        <v>4300.31852138736</v>
      </c>
      <c r="L44" s="28" t="n">
        <f aca="false">L18*L12</f>
        <v>4155.95068531221</v>
      </c>
    </row>
    <row r="45" customFormat="false" ht="15" hidden="false" customHeight="false" outlineLevel="0" collapsed="false">
      <c r="A45" s="3" t="s">
        <v>182</v>
      </c>
      <c r="B45" s="19" t="n">
        <v>18514</v>
      </c>
      <c r="C45" s="28" t="n">
        <f aca="false">B45+C44+C24</f>
        <v>19514.696</v>
      </c>
      <c r="D45" s="28" t="n">
        <f aca="false">C45+D44+D24</f>
        <v>20466.660432</v>
      </c>
      <c r="E45" s="28" t="n">
        <f aca="false">D45+E44+E24</f>
        <v>21347.879374502</v>
      </c>
      <c r="F45" s="28" t="n">
        <f aca="false">E45+F44+F24</f>
        <v>22135.8049394237</v>
      </c>
      <c r="G45" s="28" t="n">
        <f aca="false">F45+G44+G24</f>
        <v>22808.0039369975</v>
      </c>
      <c r="H45" s="28" t="n">
        <f aca="false">G45+H44+H24</f>
        <v>23342.862337844</v>
      </c>
      <c r="I45" s="28" t="n">
        <f aca="false">H45+I44+I24</f>
        <v>23720.3181877209</v>
      </c>
      <c r="J45" s="28" t="n">
        <f aca="false">I45+J44+J24</f>
        <v>23922.5916305448</v>
      </c>
      <c r="K45" s="28" t="n">
        <f aca="false">J45+K44+K24</f>
        <v>23934.8782548916</v>
      </c>
      <c r="L45" s="28" t="n">
        <f aca="false">K45+L44+L24</f>
        <v>23745.9714055592</v>
      </c>
    </row>
    <row r="47" customFormat="false" ht="15" hidden="false" customHeight="false" outlineLevel="0" collapsed="false">
      <c r="A47" s="5" t="s">
        <v>183</v>
      </c>
    </row>
    <row r="48" customFormat="false" ht="15" hidden="false" customHeight="false" outlineLevel="0" collapsed="false">
      <c r="A48" s="3" t="s">
        <v>184</v>
      </c>
      <c r="C48" s="28" t="n">
        <f aca="false">B50</f>
        <v>20395</v>
      </c>
      <c r="D48" s="28" t="n">
        <f aca="false">C50</f>
        <v>20395</v>
      </c>
      <c r="E48" s="28" t="n">
        <f aca="false">D50</f>
        <v>20395</v>
      </c>
      <c r="F48" s="28" t="n">
        <f aca="false">E50</f>
        <v>20395</v>
      </c>
      <c r="G48" s="28" t="n">
        <f aca="false">F50</f>
        <v>20395</v>
      </c>
      <c r="H48" s="28" t="n">
        <f aca="false">G50</f>
        <v>20395</v>
      </c>
      <c r="I48" s="28" t="n">
        <f aca="false">H50</f>
        <v>20395</v>
      </c>
      <c r="J48" s="28" t="n">
        <f aca="false">I50</f>
        <v>20395</v>
      </c>
      <c r="K48" s="28" t="n">
        <f aca="false">J50</f>
        <v>20395</v>
      </c>
      <c r="L48" s="28" t="n">
        <f aca="false">K50</f>
        <v>20395</v>
      </c>
    </row>
    <row r="49" customFormat="false" ht="15" hidden="false" customHeight="false" outlineLevel="0" collapsed="false">
      <c r="A49" s="3" t="s">
        <v>185</v>
      </c>
      <c r="C49" s="16" t="n">
        <v>0</v>
      </c>
      <c r="D49" s="16" t="n">
        <v>0</v>
      </c>
      <c r="E49" s="16" t="n">
        <v>0</v>
      </c>
      <c r="F49" s="16" t="n">
        <v>0</v>
      </c>
      <c r="G49" s="16" t="n">
        <v>0</v>
      </c>
      <c r="H49" s="16" t="n">
        <v>0</v>
      </c>
      <c r="I49" s="16" t="n">
        <v>0</v>
      </c>
      <c r="J49" s="16" t="n">
        <v>0</v>
      </c>
      <c r="K49" s="16" t="n">
        <v>0</v>
      </c>
      <c r="L49" s="16" t="n">
        <v>0</v>
      </c>
    </row>
    <row r="50" customFormat="false" ht="15" hidden="false" customHeight="false" outlineLevel="0" collapsed="false">
      <c r="A50" s="3" t="s">
        <v>186</v>
      </c>
      <c r="B50" s="19" t="n">
        <v>20395</v>
      </c>
      <c r="C50" s="28" t="n">
        <f aca="false">C48+C49</f>
        <v>20395</v>
      </c>
      <c r="D50" s="28" t="n">
        <f aca="false">D48+D49</f>
        <v>20395</v>
      </c>
      <c r="E50" s="28" t="n">
        <f aca="false">E48+E49</f>
        <v>20395</v>
      </c>
      <c r="F50" s="28" t="n">
        <f aca="false">F48+F49</f>
        <v>20395</v>
      </c>
      <c r="G50" s="28" t="n">
        <f aca="false">G48+G49</f>
        <v>20395</v>
      </c>
      <c r="H50" s="28" t="n">
        <f aca="false">H48+H49</f>
        <v>20395</v>
      </c>
      <c r="I50" s="28" t="n">
        <f aca="false">I48+I49</f>
        <v>20395</v>
      </c>
      <c r="J50" s="28" t="n">
        <f aca="false">J48+J49</f>
        <v>20395</v>
      </c>
      <c r="K50" s="28" t="n">
        <f aca="false">K48+K49</f>
        <v>20395</v>
      </c>
      <c r="L50" s="28" t="n">
        <f aca="false">L48+L49</f>
        <v>20395</v>
      </c>
    </row>
    <row r="51" customFormat="false" ht="15" hidden="false" customHeight="false" outlineLevel="0" collapsed="false">
      <c r="A51" s="3" t="s">
        <v>187</v>
      </c>
      <c r="C51" s="28" t="n">
        <f aca="false">B54</f>
        <v>0</v>
      </c>
      <c r="D51" s="28" t="n">
        <f aca="false">C54</f>
        <v>767.356869315069</v>
      </c>
      <c r="E51" s="28" t="n">
        <f aca="false">D54</f>
        <v>825.459338324191</v>
      </c>
      <c r="F51" s="28" t="n">
        <f aca="false">E54</f>
        <v>481.501391916983</v>
      </c>
      <c r="G51" s="28" t="n">
        <f aca="false">F54</f>
        <v>0</v>
      </c>
      <c r="H51" s="28" t="n">
        <f aca="false">G54</f>
        <v>0</v>
      </c>
      <c r="I51" s="28" t="n">
        <f aca="false">H54</f>
        <v>0</v>
      </c>
      <c r="J51" s="28" t="n">
        <f aca="false">I54</f>
        <v>0</v>
      </c>
      <c r="K51" s="28" t="n">
        <f aca="false">J54</f>
        <v>0</v>
      </c>
      <c r="L51" s="28" t="n">
        <f aca="false">K54</f>
        <v>0</v>
      </c>
    </row>
    <row r="52" customFormat="false" ht="15" hidden="false" customHeight="false" outlineLevel="0" collapsed="false">
      <c r="A52" s="3" t="s">
        <v>188</v>
      </c>
      <c r="C52" s="28" t="n">
        <f aca="false">MAX(0,Assumptions!$B$36-(B70+C30-C23-C24+C41-C44+C65+C66+C49))</f>
        <v>767.356869315069</v>
      </c>
      <c r="D52" s="28" t="n">
        <f aca="false">MAX(0,Assumptions!$B$36-(C70+D30-D23-D24+D41-D44+D65+D66+D49))</f>
        <v>58.1024690091226</v>
      </c>
      <c r="E52" s="28" t="n">
        <f aca="false">MAX(0,Assumptions!$B$36-(D70+E30-E23-E24+E41-E44+E65+E66+E49))</f>
        <v>0</v>
      </c>
      <c r="F52" s="28" t="n">
        <f aca="false">MAX(0,Assumptions!$B$36-(E70+F30-F23-F24+F41-F44+F65+F66+F49))</f>
        <v>0</v>
      </c>
      <c r="G52" s="28" t="n">
        <f aca="false">MAX(0,Assumptions!$B$36-(F70+G30-G23-G24+G41-G44+G65+G66+G49))</f>
        <v>0</v>
      </c>
      <c r="H52" s="28" t="n">
        <f aca="false">MAX(0,Assumptions!$B$36-(G70+H30-H23-H24+H41-H44+H65+H66+H49))</f>
        <v>0</v>
      </c>
      <c r="I52" s="28" t="n">
        <f aca="false">MAX(0,Assumptions!$B$36-(H70+I30-I23-I24+I41-I44+I65+I66+I49))</f>
        <v>0</v>
      </c>
      <c r="J52" s="28" t="n">
        <f aca="false">MAX(0,Assumptions!$B$36-(I70+J30-J23-J24+J41-J44+J65+J66+J49))</f>
        <v>0</v>
      </c>
      <c r="K52" s="28" t="n">
        <f aca="false">MAX(0,Assumptions!$B$36-(J70+K30-K23-K24+K41-K44+K65+K66+K49))</f>
        <v>0</v>
      </c>
      <c r="L52" s="28" t="n">
        <f aca="false">MAX(0,Assumptions!$B$36-(K70+L30-L23-L24+L41-L44+L65+L66+L49))</f>
        <v>0</v>
      </c>
    </row>
    <row r="53" customFormat="false" ht="15" hidden="false" customHeight="false" outlineLevel="0" collapsed="false">
      <c r="A53" s="3" t="s">
        <v>189</v>
      </c>
      <c r="C53" s="28" t="n">
        <f aca="false">-MIN(C51,MAX(0,(B70+C30-C23-C24+C41-C44+C65+C66+C49)-Assumptions!$B$36))</f>
        <v>-0</v>
      </c>
      <c r="D53" s="28" t="n">
        <f aca="false">-MIN(D51,MAX(0,(C70+D30-D23-D24+D41-D44+D65+D66+D49)-Assumptions!$B$36))</f>
        <v>-0</v>
      </c>
      <c r="E53" s="28" t="n">
        <f aca="false">-MIN(E51,MAX(0,(D70+E30-E23-E24+E41-E44+E65+E66+E49)-Assumptions!$B$36))</f>
        <v>-343.957946407209</v>
      </c>
      <c r="F53" s="28" t="n">
        <f aca="false">-MIN(F51,MAX(0,(E70+F30-F23-F24+F41-F44+F65+F66+F49)-Assumptions!$B$36))</f>
        <v>-481.501391916983</v>
      </c>
      <c r="G53" s="28" t="n">
        <f aca="false">-MIN(G51,MAX(0,(F70+G30-G23-G24+G41-G44+G65+G66+G49)-Assumptions!$B$36))</f>
        <v>-0</v>
      </c>
      <c r="H53" s="28" t="n">
        <f aca="false">-MIN(H51,MAX(0,(G70+H30-H23-H24+H41-H44+H65+H66+H49)-Assumptions!$B$36))</f>
        <v>-0</v>
      </c>
      <c r="I53" s="28" t="n">
        <f aca="false">-MIN(I51,MAX(0,(H70+I30-I23-I24+I41-I44+I65+I66+I49)-Assumptions!$B$36))</f>
        <v>-0</v>
      </c>
      <c r="J53" s="28" t="n">
        <f aca="false">-MIN(J51,MAX(0,(I70+J30-J23-J24+J41-J44+J65+J66+J49)-Assumptions!$B$36))</f>
        <v>-0</v>
      </c>
      <c r="K53" s="28" t="n">
        <f aca="false">-MIN(K51,MAX(0,(J70+K30-K23-K24+K41-K44+K65+K66+K49)-Assumptions!$B$36))</f>
        <v>-0</v>
      </c>
      <c r="L53" s="28" t="n">
        <f aca="false">-MIN(L51,MAX(0,(K70+L30-L23-L24+L41-L44+L65+L66+L49)-Assumptions!$B$36))</f>
        <v>-0</v>
      </c>
    </row>
    <row r="54" customFormat="false" ht="15" hidden="false" customHeight="false" outlineLevel="0" collapsed="false">
      <c r="A54" s="3" t="s">
        <v>190</v>
      </c>
      <c r="B54" s="28" t="n">
        <v>0</v>
      </c>
      <c r="C54" s="28" t="n">
        <f aca="false">C51+C52+C53</f>
        <v>767.356869315069</v>
      </c>
      <c r="D54" s="28" t="n">
        <f aca="false">D51+D52+D53</f>
        <v>825.459338324191</v>
      </c>
      <c r="E54" s="28" t="n">
        <f aca="false">E51+E52+E53</f>
        <v>481.501391916983</v>
      </c>
      <c r="F54" s="28" t="n">
        <f aca="false">F51+F52+F53</f>
        <v>0</v>
      </c>
      <c r="G54" s="28" t="n">
        <f aca="false">G51+G52+G53</f>
        <v>0</v>
      </c>
      <c r="H54" s="28" t="n">
        <f aca="false">H51+H52+H53</f>
        <v>0</v>
      </c>
      <c r="I54" s="28" t="n">
        <f aca="false">I51+I52+I53</f>
        <v>0</v>
      </c>
      <c r="J54" s="28" t="n">
        <f aca="false">J51+J52+J53</f>
        <v>0</v>
      </c>
      <c r="K54" s="28" t="n">
        <f aca="false">K51+K52+K53</f>
        <v>0</v>
      </c>
      <c r="L54" s="28" t="n">
        <f aca="false">L51+L52+L53</f>
        <v>0</v>
      </c>
    </row>
    <row r="55" customFormat="false" ht="15" hidden="false" customHeight="false" outlineLevel="0" collapsed="false">
      <c r="A55" s="8" t="s">
        <v>191</v>
      </c>
      <c r="B55" s="28" t="n">
        <f aca="false">B50+B54</f>
        <v>20395</v>
      </c>
      <c r="C55" s="27" t="n">
        <f aca="false">C50+C54</f>
        <v>21162.3568693151</v>
      </c>
      <c r="D55" s="27" t="n">
        <f aca="false">D50+D54</f>
        <v>21220.4593383242</v>
      </c>
      <c r="E55" s="27" t="n">
        <f aca="false">E50+E54</f>
        <v>20876.501391917</v>
      </c>
      <c r="F55" s="27" t="n">
        <f aca="false">F50+F54</f>
        <v>20395</v>
      </c>
      <c r="G55" s="27" t="n">
        <f aca="false">G50+G54</f>
        <v>20395</v>
      </c>
      <c r="H55" s="27" t="n">
        <f aca="false">H50+H54</f>
        <v>20395</v>
      </c>
      <c r="I55" s="27" t="n">
        <f aca="false">I50+I54</f>
        <v>20395</v>
      </c>
      <c r="J55" s="27" t="n">
        <f aca="false">J50+J54</f>
        <v>20395</v>
      </c>
      <c r="K55" s="27" t="n">
        <f aca="false">K50+K54</f>
        <v>20395</v>
      </c>
      <c r="L55" s="27" t="n">
        <f aca="false">L50+L54</f>
        <v>20395</v>
      </c>
    </row>
    <row r="57" customFormat="false" ht="15" hidden="false" customHeight="false" outlineLevel="0" collapsed="false">
      <c r="A57" s="5" t="s">
        <v>192</v>
      </c>
    </row>
    <row r="58" customFormat="false" ht="15" hidden="false" customHeight="false" outlineLevel="0" collapsed="false">
      <c r="A58" s="3" t="s">
        <v>112</v>
      </c>
      <c r="C58" s="28" t="n">
        <f aca="false">C30</f>
        <v>2231.87798</v>
      </c>
      <c r="D58" s="28" t="n">
        <f aca="false">D30</f>
        <v>2522.41646417809</v>
      </c>
      <c r="E58" s="28" t="n">
        <f aca="false">E30</f>
        <v>2865.1747759524</v>
      </c>
      <c r="F58" s="28" t="n">
        <f aca="false">F30</f>
        <v>3230.64044272331</v>
      </c>
      <c r="G58" s="28" t="n">
        <f aca="false">G30</f>
        <v>3608.31376306928</v>
      </c>
      <c r="H58" s="28" t="n">
        <f aca="false">H30</f>
        <v>3978.73898730448</v>
      </c>
      <c r="I58" s="28" t="n">
        <f aca="false">I30</f>
        <v>4347.41182852329</v>
      </c>
      <c r="J58" s="28" t="n">
        <f aca="false">J30</f>
        <v>4708.49039917075</v>
      </c>
      <c r="K58" s="28" t="n">
        <f aca="false">K30</f>
        <v>5055.97173020163</v>
      </c>
      <c r="L58" s="28" t="n">
        <f aca="false">L30</f>
        <v>5383.87262713504</v>
      </c>
    </row>
    <row r="59" customFormat="false" ht="15" hidden="false" customHeight="false" outlineLevel="0" collapsed="false">
      <c r="A59" s="3" t="s">
        <v>193</v>
      </c>
      <c r="C59" s="28" t="n">
        <f aca="false">-C24</f>
        <v>2955.544</v>
      </c>
      <c r="D59" s="28" t="n">
        <f aca="false">-D24</f>
        <v>3176.022928</v>
      </c>
      <c r="E59" s="28" t="n">
        <f aca="false">-E24</f>
        <v>3388.604799518</v>
      </c>
      <c r="F59" s="28" t="n">
        <f aca="false">-F24</f>
        <v>3589.43868464332</v>
      </c>
      <c r="G59" s="28" t="n">
        <f aca="false">-G24</f>
        <v>3774.65590945304</v>
      </c>
      <c r="H59" s="28" t="n">
        <f aca="false">-H24</f>
        <v>3940.48740215451</v>
      </c>
      <c r="I59" s="28" t="n">
        <f aca="false">-I24</f>
        <v>4083.38601230514</v>
      </c>
      <c r="J59" s="28" t="n">
        <f aca="false">-J24</f>
        <v>4200.14854804776</v>
      </c>
      <c r="K59" s="28" t="n">
        <f aca="false">-K24</f>
        <v>4288.03189704053</v>
      </c>
      <c r="L59" s="28" t="n">
        <f aca="false">-L24</f>
        <v>4344.85753464458</v>
      </c>
    </row>
    <row r="60" customFormat="false" ht="15" hidden="false" customHeight="false" outlineLevel="0" collapsed="false">
      <c r="A60" s="3" t="s">
        <v>194</v>
      </c>
      <c r="C60" s="28" t="n">
        <f aca="false">-C23</f>
        <v>116.36</v>
      </c>
      <c r="D60" s="28" t="n">
        <f aca="false">-D23</f>
        <v>126.36696</v>
      </c>
      <c r="E60" s="28" t="n">
        <f aca="false">-E23</f>
        <v>136.27097049</v>
      </c>
      <c r="F60" s="28" t="n">
        <f aca="false">-F23</f>
        <v>145.912141652168</v>
      </c>
      <c r="G60" s="28" t="n">
        <f aca="false">-G23</f>
        <v>155.122845593961</v>
      </c>
      <c r="H60" s="28" t="n">
        <f aca="false">-H23</f>
        <v>163.732163524425</v>
      </c>
      <c r="I60" s="28" t="n">
        <f aca="false">-I23</f>
        <v>171.570840853157</v>
      </c>
      <c r="J60" s="28" t="n">
        <f aca="false">-J23</f>
        <v>178.476567197497</v>
      </c>
      <c r="K60" s="28" t="n">
        <f aca="false">-K23</f>
        <v>184.299365202315</v>
      </c>
      <c r="L60" s="28" t="n">
        <f aca="false">-L23</f>
        <v>188.906849332373</v>
      </c>
    </row>
    <row r="61" customFormat="false" ht="15" hidden="false" customHeight="false" outlineLevel="0" collapsed="false">
      <c r="A61" s="3" t="s">
        <v>195</v>
      </c>
      <c r="C61" s="28" t="n">
        <f aca="false">C41</f>
        <v>-810.898849315068</v>
      </c>
      <c r="D61" s="28" t="n">
        <f aca="false">D41</f>
        <v>-108.921461187215</v>
      </c>
      <c r="E61" s="28" t="n">
        <f aca="false">E41</f>
        <v>-102.968857533187</v>
      </c>
      <c r="F61" s="28" t="n">
        <f aca="false">F41</f>
        <v>-94.9942238904341</v>
      </c>
      <c r="G61" s="28" t="n">
        <f aca="false">G41</f>
        <v>-85.0444586893991</v>
      </c>
      <c r="H61" s="28" t="n">
        <f aca="false">H41</f>
        <v>-73.2314884883363</v>
      </c>
      <c r="I61" s="28" t="n">
        <f aca="false">I41</f>
        <v>-59.7324588743304</v>
      </c>
      <c r="J61" s="28" t="n">
        <f aca="false">J41</f>
        <v>-44.7868836334492</v>
      </c>
      <c r="K61" s="28" t="n">
        <f aca="false">K41</f>
        <v>-28.6906922327325</v>
      </c>
      <c r="L61" s="28" t="n">
        <f aca="false">L41</f>
        <v>-11.7873049098944</v>
      </c>
    </row>
    <row r="62" customFormat="false" ht="15" hidden="false" customHeight="false" outlineLevel="0" collapsed="false">
      <c r="A62" s="8" t="s">
        <v>196</v>
      </c>
      <c r="C62" s="27" t="n">
        <f aca="false">SUM(C58:C61)</f>
        <v>4492.88313068493</v>
      </c>
      <c r="D62" s="27" t="n">
        <f aca="false">SUM(D58:D61)</f>
        <v>5715.88489099088</v>
      </c>
      <c r="E62" s="27" t="n">
        <f aca="false">SUM(E58:E61)</f>
        <v>6287.08168842721</v>
      </c>
      <c r="F62" s="27" t="n">
        <f aca="false">SUM(F58:F61)</f>
        <v>6870.99704512837</v>
      </c>
      <c r="G62" s="27" t="n">
        <f aca="false">SUM(G58:G61)</f>
        <v>7453.04805942688</v>
      </c>
      <c r="H62" s="27" t="n">
        <f aca="false">SUM(H58:H61)</f>
        <v>8009.72706449508</v>
      </c>
      <c r="I62" s="27" t="n">
        <f aca="false">SUM(I58:I61)</f>
        <v>8542.63622280726</v>
      </c>
      <c r="J62" s="27" t="n">
        <f aca="false">SUM(J58:J61)</f>
        <v>9042.32863078255</v>
      </c>
      <c r="K62" s="27" t="n">
        <f aca="false">SUM(K58:K61)</f>
        <v>9499.61230021175</v>
      </c>
      <c r="L62" s="27" t="n">
        <f aca="false">SUM(L58:L61)</f>
        <v>9905.8497062021</v>
      </c>
    </row>
    <row r="63" customFormat="false" ht="15" hidden="false" customHeight="false" outlineLevel="0" collapsed="false">
      <c r="A63" s="3" t="s">
        <v>197</v>
      </c>
      <c r="C63" s="28" t="n">
        <f aca="false">-C44</f>
        <v>-3956.24</v>
      </c>
      <c r="D63" s="28" t="n">
        <f aca="false">-D44</f>
        <v>-4127.98736</v>
      </c>
      <c r="E63" s="28" t="n">
        <f aca="false">-E44</f>
        <v>-4269.82374202</v>
      </c>
      <c r="F63" s="28" t="n">
        <f aca="false">-F44</f>
        <v>-4377.36424956503</v>
      </c>
      <c r="G63" s="28" t="n">
        <f aca="false">-G44</f>
        <v>-4446.85490702687</v>
      </c>
      <c r="H63" s="28" t="n">
        <f aca="false">-H44</f>
        <v>-4475.34580300096</v>
      </c>
      <c r="I63" s="28" t="n">
        <f aca="false">-I44</f>
        <v>-4460.84186218209</v>
      </c>
      <c r="J63" s="28" t="n">
        <f aca="false">-J44</f>
        <v>-4402.42199087159</v>
      </c>
      <c r="K63" s="28" t="n">
        <f aca="false">-K44</f>
        <v>-4300.31852138736</v>
      </c>
      <c r="L63" s="28" t="n">
        <f aca="false">-L44</f>
        <v>-4155.95068531221</v>
      </c>
    </row>
    <row r="64" customFormat="false" ht="15" hidden="false" customHeight="false" outlineLevel="0" collapsed="false">
      <c r="A64" s="8" t="s">
        <v>198</v>
      </c>
      <c r="C64" s="27" t="n">
        <f aca="false">C62+C63</f>
        <v>536.643130684931</v>
      </c>
      <c r="D64" s="27" t="n">
        <f aca="false">D62+D63</f>
        <v>1587.89753099088</v>
      </c>
      <c r="E64" s="27" t="n">
        <f aca="false">E62+E63</f>
        <v>2017.25794640721</v>
      </c>
      <c r="F64" s="27" t="n">
        <f aca="false">F62+F63</f>
        <v>2493.63279556334</v>
      </c>
      <c r="G64" s="27" t="n">
        <f aca="false">G62+G63</f>
        <v>3006.19315240001</v>
      </c>
      <c r="H64" s="27" t="n">
        <f aca="false">H62+H63</f>
        <v>3534.38126149412</v>
      </c>
      <c r="I64" s="27" t="n">
        <f aca="false">I62+I63</f>
        <v>4081.79436062517</v>
      </c>
      <c r="J64" s="27" t="n">
        <f aca="false">J62+J63</f>
        <v>4639.90663991096</v>
      </c>
      <c r="K64" s="27" t="n">
        <f aca="false">K62+K63</f>
        <v>5199.29377882439</v>
      </c>
      <c r="L64" s="27" t="n">
        <f aca="false">L62+L63</f>
        <v>5749.89902088989</v>
      </c>
    </row>
    <row r="65" customFormat="false" ht="15" hidden="false" customHeight="false" outlineLevel="0" collapsed="false">
      <c r="A65" s="3" t="s">
        <v>199</v>
      </c>
      <c r="C65" s="28" t="n">
        <f aca="false">-Assumptions!$B$40*(1+Assumptions!$B$41)^0</f>
        <v>-520</v>
      </c>
      <c r="D65" s="28" t="n">
        <f aca="false">-Assumptions!$B$40*(1+Assumptions!$B$41)^1</f>
        <v>-546</v>
      </c>
      <c r="E65" s="28" t="n">
        <f aca="false">-Assumptions!$B$40*(1+Assumptions!$B$41)^2</f>
        <v>-573.3</v>
      </c>
      <c r="F65" s="28" t="n">
        <f aca="false">-Assumptions!$B$40*(1+Assumptions!$B$41)^3</f>
        <v>-601.965</v>
      </c>
      <c r="G65" s="28" t="n">
        <f aca="false">-Assumptions!$B$40*(1+Assumptions!$B$41)^4</f>
        <v>-632.06325</v>
      </c>
      <c r="H65" s="28" t="n">
        <f aca="false">-Assumptions!$B$40*(1+Assumptions!$B$41)^5</f>
        <v>-663.6664125</v>
      </c>
      <c r="I65" s="28" t="n">
        <f aca="false">-Assumptions!$B$40*(1+Assumptions!$B$41)^6</f>
        <v>-696.849733125</v>
      </c>
      <c r="J65" s="28" t="n">
        <f aca="false">-Assumptions!$B$40*(1+Assumptions!$B$41)^7</f>
        <v>-731.69221978125</v>
      </c>
      <c r="K65" s="28" t="n">
        <f aca="false">-Assumptions!$B$40*(1+Assumptions!$B$41)^8</f>
        <v>-768.276830770313</v>
      </c>
      <c r="L65" s="28" t="n">
        <f aca="false">-Assumptions!$B$40*(1+Assumptions!$B$41)^9</f>
        <v>-806.690672308828</v>
      </c>
    </row>
    <row r="66" customFormat="false" ht="15" hidden="false" customHeight="false" outlineLevel="0" collapsed="false">
      <c r="A66" s="3" t="s">
        <v>200</v>
      </c>
      <c r="C66" s="25" t="n">
        <f aca="false">-Assumptions!$B$42</f>
        <v>-1100</v>
      </c>
      <c r="D66" s="25" t="n">
        <f aca="false">-Assumptions!$B$42</f>
        <v>-1100</v>
      </c>
      <c r="E66" s="25" t="n">
        <f aca="false">-Assumptions!$B$42</f>
        <v>-1100</v>
      </c>
      <c r="F66" s="25" t="n">
        <f aca="false">-Assumptions!$B$42</f>
        <v>-1100</v>
      </c>
      <c r="G66" s="25" t="n">
        <f aca="false">-Assumptions!$B$42</f>
        <v>-1100</v>
      </c>
      <c r="H66" s="25" t="n">
        <f aca="false">-Assumptions!$B$42</f>
        <v>-1100</v>
      </c>
      <c r="I66" s="25" t="n">
        <f aca="false">-Assumptions!$B$42</f>
        <v>-1100</v>
      </c>
      <c r="J66" s="25" t="n">
        <f aca="false">-Assumptions!$B$42</f>
        <v>-1100</v>
      </c>
      <c r="K66" s="25" t="n">
        <f aca="false">-Assumptions!$B$42</f>
        <v>-1100</v>
      </c>
      <c r="L66" s="25" t="n">
        <f aca="false">-Assumptions!$B$42</f>
        <v>-1100</v>
      </c>
    </row>
    <row r="67" customFormat="false" ht="15" hidden="false" customHeight="false" outlineLevel="0" collapsed="false">
      <c r="A67" s="3" t="s">
        <v>201</v>
      </c>
      <c r="C67" s="28" t="n">
        <f aca="false">C49+C52+C53</f>
        <v>767.356869315069</v>
      </c>
      <c r="D67" s="28" t="n">
        <f aca="false">D49+D52+D53</f>
        <v>58.1024690091226</v>
      </c>
      <c r="E67" s="28" t="n">
        <f aca="false">E49+E52+E53</f>
        <v>-343.957946407209</v>
      </c>
      <c r="F67" s="28" t="n">
        <f aca="false">F49+F52+F53</f>
        <v>-481.501391916983</v>
      </c>
      <c r="G67" s="28" t="n">
        <f aca="false">G49+G52+G53</f>
        <v>0</v>
      </c>
      <c r="H67" s="28" t="n">
        <f aca="false">H49+H52+H53</f>
        <v>0</v>
      </c>
      <c r="I67" s="28" t="n">
        <f aca="false">I49+I52+I53</f>
        <v>0</v>
      </c>
      <c r="J67" s="28" t="n">
        <f aca="false">J49+J52+J53</f>
        <v>0</v>
      </c>
      <c r="K67" s="28" t="n">
        <f aca="false">K49+K52+K53</f>
        <v>0</v>
      </c>
      <c r="L67" s="28" t="n">
        <f aca="false">L49+L52+L53</f>
        <v>0</v>
      </c>
    </row>
    <row r="68" customFormat="false" ht="15" hidden="false" customHeight="false" outlineLevel="0" collapsed="false">
      <c r="A68" s="8" t="s">
        <v>202</v>
      </c>
      <c r="C68" s="27" t="n">
        <f aca="false">C64+C65+C66+C67</f>
        <v>-316</v>
      </c>
      <c r="D68" s="27" t="n">
        <f aca="false">D64+D65+D66+D67</f>
        <v>0</v>
      </c>
      <c r="E68" s="27" t="n">
        <f aca="false">E64+E65+E66+E67</f>
        <v>0</v>
      </c>
      <c r="F68" s="27" t="n">
        <f aca="false">F64+F65+F66+F67</f>
        <v>310.166403646356</v>
      </c>
      <c r="G68" s="27" t="n">
        <f aca="false">G64+G65+G66+G67</f>
        <v>1274.12990240001</v>
      </c>
      <c r="H68" s="27" t="n">
        <f aca="false">H64+H65+H66+H67</f>
        <v>1770.71484899412</v>
      </c>
      <c r="I68" s="27" t="n">
        <f aca="false">I64+I65+I66+I67</f>
        <v>2284.94462750017</v>
      </c>
      <c r="J68" s="27" t="n">
        <f aca="false">J64+J65+J66+J67</f>
        <v>2808.21442012971</v>
      </c>
      <c r="K68" s="27" t="n">
        <f aca="false">K64+K65+K66+K67</f>
        <v>3331.01694805408</v>
      </c>
      <c r="L68" s="27" t="n">
        <f aca="false">L64+L65+L66+L67</f>
        <v>3843.20834858106</v>
      </c>
    </row>
    <row r="69" customFormat="false" ht="15" hidden="false" customHeight="false" outlineLevel="0" collapsed="false">
      <c r="A69" s="3" t="s">
        <v>203</v>
      </c>
      <c r="C69" s="28" t="n">
        <f aca="false">B70</f>
        <v>816</v>
      </c>
      <c r="D69" s="28" t="n">
        <f aca="false">C70</f>
        <v>500</v>
      </c>
      <c r="E69" s="28" t="n">
        <f aca="false">D70</f>
        <v>500</v>
      </c>
      <c r="F69" s="28" t="n">
        <f aca="false">E70</f>
        <v>500</v>
      </c>
      <c r="G69" s="28" t="n">
        <f aca="false">F70</f>
        <v>810.166403646356</v>
      </c>
      <c r="H69" s="28" t="n">
        <f aca="false">G70</f>
        <v>2084.29630604637</v>
      </c>
      <c r="I69" s="28" t="n">
        <f aca="false">H70</f>
        <v>3855.01115504048</v>
      </c>
      <c r="J69" s="28" t="n">
        <f aca="false">I70</f>
        <v>6139.95578254065</v>
      </c>
      <c r="K69" s="28" t="n">
        <f aca="false">J70</f>
        <v>8948.17020267037</v>
      </c>
      <c r="L69" s="28" t="n">
        <f aca="false">K70</f>
        <v>12279.1871507244</v>
      </c>
    </row>
    <row r="70" customFormat="false" ht="15" hidden="false" customHeight="false" outlineLevel="0" collapsed="false">
      <c r="A70" s="8" t="s">
        <v>204</v>
      </c>
      <c r="B70" s="19" t="n">
        <v>816</v>
      </c>
      <c r="C70" s="27" t="n">
        <f aca="false">C69+C68</f>
        <v>500</v>
      </c>
      <c r="D70" s="27" t="n">
        <f aca="false">D69+D68</f>
        <v>500</v>
      </c>
      <c r="E70" s="27" t="n">
        <f aca="false">E69+E68</f>
        <v>500</v>
      </c>
      <c r="F70" s="27" t="n">
        <f aca="false">F69+F68</f>
        <v>810.166403646356</v>
      </c>
      <c r="G70" s="27" t="n">
        <f aca="false">G69+G68</f>
        <v>2084.29630604637</v>
      </c>
      <c r="H70" s="27" t="n">
        <f aca="false">H69+H68</f>
        <v>3855.01115504048</v>
      </c>
      <c r="I70" s="27" t="n">
        <f aca="false">I69+I68</f>
        <v>6139.95578254065</v>
      </c>
      <c r="J70" s="27" t="n">
        <f aca="false">J69+J68</f>
        <v>8948.17020267037</v>
      </c>
      <c r="K70" s="27" t="n">
        <f aca="false">K69+K68</f>
        <v>12279.1871507244</v>
      </c>
      <c r="L70" s="27" t="n">
        <f aca="false">L69+L68</f>
        <v>16122.3954993055</v>
      </c>
    </row>
    <row r="72" customFormat="false" ht="15" hidden="false" customHeight="false" outlineLevel="0" collapsed="false">
      <c r="A72" s="5" t="s">
        <v>205</v>
      </c>
    </row>
    <row r="73" customFormat="false" ht="15" hidden="false" customHeight="false" outlineLevel="0" collapsed="false">
      <c r="A73" s="3" t="s">
        <v>206</v>
      </c>
      <c r="B73" s="28" t="n">
        <f aca="false">B70</f>
        <v>816</v>
      </c>
      <c r="C73" s="28" t="n">
        <f aca="false">C70</f>
        <v>500</v>
      </c>
      <c r="D73" s="28" t="n">
        <f aca="false">D70</f>
        <v>500</v>
      </c>
      <c r="E73" s="28" t="n">
        <f aca="false">E70</f>
        <v>500</v>
      </c>
      <c r="F73" s="28" t="n">
        <f aca="false">F70</f>
        <v>810.166403646356</v>
      </c>
      <c r="G73" s="28" t="n">
        <f aca="false">G70</f>
        <v>2084.29630604637</v>
      </c>
      <c r="H73" s="28" t="n">
        <f aca="false">H70</f>
        <v>3855.01115504048</v>
      </c>
      <c r="I73" s="28" t="n">
        <f aca="false">I70</f>
        <v>6139.95578254065</v>
      </c>
      <c r="J73" s="28" t="n">
        <f aca="false">J70</f>
        <v>8948.17020267037</v>
      </c>
      <c r="K73" s="28" t="n">
        <f aca="false">K70</f>
        <v>12279.1871507244</v>
      </c>
      <c r="L73" s="28" t="n">
        <f aca="false">L70</f>
        <v>16122.3954993055</v>
      </c>
    </row>
    <row r="74" customFormat="false" ht="15" hidden="false" customHeight="false" outlineLevel="0" collapsed="false">
      <c r="A74" s="3" t="s">
        <v>174</v>
      </c>
      <c r="B74" s="28" t="n">
        <f aca="false">B35</f>
        <v>2323</v>
      </c>
      <c r="C74" s="28" t="n">
        <f aca="false">C35</f>
        <v>3187.94520547945</v>
      </c>
      <c r="D74" s="28" t="n">
        <f aca="false">D35</f>
        <v>3462.10849315069</v>
      </c>
      <c r="E74" s="28" t="n">
        <f aca="false">E35</f>
        <v>3733.45124630137</v>
      </c>
      <c r="F74" s="28" t="n">
        <f aca="false">F35</f>
        <v>3997.59292197719</v>
      </c>
      <c r="G74" s="28" t="n">
        <f aca="false">G35</f>
        <v>4249.940975177</v>
      </c>
      <c r="H74" s="28" t="n">
        <f aca="false">H35</f>
        <v>4485.81269929933</v>
      </c>
      <c r="I74" s="28" t="n">
        <f aca="false">I35</f>
        <v>4700.57098227828</v>
      </c>
      <c r="J74" s="28" t="n">
        <f aca="false">J35</f>
        <v>4889.76896431498</v>
      </c>
      <c r="K74" s="28" t="n">
        <f aca="false">K35</f>
        <v>5049.29767677576</v>
      </c>
      <c r="L74" s="28" t="n">
        <f aca="false">L35</f>
        <v>5175.53011869515</v>
      </c>
    </row>
    <row r="75" customFormat="false" ht="15" hidden="false" customHeight="false" outlineLevel="0" collapsed="false">
      <c r="A75" s="3" t="s">
        <v>207</v>
      </c>
      <c r="B75" s="28" t="n">
        <f aca="false">B36</f>
        <v>1016</v>
      </c>
      <c r="C75" s="28" t="n">
        <f aca="false">C36</f>
        <v>1036.08219178082</v>
      </c>
      <c r="D75" s="28" t="n">
        <f aca="false">D36</f>
        <v>1122.18476624658</v>
      </c>
      <c r="E75" s="28" t="n">
        <f aca="false">E36</f>
        <v>1206.90033955436</v>
      </c>
      <c r="F75" s="28" t="n">
        <f aca="false">F36</f>
        <v>1288.82395804545</v>
      </c>
      <c r="G75" s="28" t="n">
        <f aca="false">G36</f>
        <v>1366.49768821858</v>
      </c>
      <c r="H75" s="28" t="n">
        <f aca="false">H36</f>
        <v>1438.45060557532</v>
      </c>
      <c r="I75" s="28" t="n">
        <f aca="false">I36</f>
        <v>1503.24260013259</v>
      </c>
      <c r="J75" s="28" t="n">
        <f aca="false">J36</f>
        <v>1559.51031501886</v>
      </c>
      <c r="K75" s="28" t="n">
        <f aca="false">K36</f>
        <v>1606.01328105981</v>
      </c>
      <c r="L75" s="28" t="n">
        <f aca="false">L36</f>
        <v>1641.6781536501</v>
      </c>
    </row>
    <row r="76" customFormat="false" ht="15" hidden="false" customHeight="false" outlineLevel="0" collapsed="false">
      <c r="A76" s="3" t="s">
        <v>208</v>
      </c>
      <c r="B76" s="28" t="n">
        <f aca="false">B37</f>
        <v>5024</v>
      </c>
      <c r="C76" s="28" t="n">
        <f aca="false">C37</f>
        <v>5026.752</v>
      </c>
      <c r="D76" s="28" t="n">
        <f aca="false">D37</f>
        <v>5414.12219733333</v>
      </c>
      <c r="E76" s="28" t="n">
        <f aca="false">E37</f>
        <v>5790.00212393067</v>
      </c>
      <c r="F76" s="28" t="n">
        <f aca="false">F37</f>
        <v>6147.76490161133</v>
      </c>
      <c r="G76" s="28" t="n">
        <f aca="false">G37</f>
        <v>6480.68777148102</v>
      </c>
      <c r="H76" s="28" t="n">
        <f aca="false">H37</f>
        <v>6782.15006243398</v>
      </c>
      <c r="I76" s="28" t="n">
        <f aca="false">I37</f>
        <v>7045.84253103633</v>
      </c>
      <c r="J76" s="28" t="n">
        <f aca="false">J37</f>
        <v>7265.97935790699</v>
      </c>
      <c r="K76" s="28" t="n">
        <f aca="false">K37</f>
        <v>7437.50327127565</v>
      </c>
      <c r="L76" s="28" t="n">
        <f aca="false">L37</f>
        <v>7556.27397329492</v>
      </c>
    </row>
    <row r="77" customFormat="false" ht="15" hidden="false" customHeight="false" outlineLevel="0" collapsed="false">
      <c r="A77" s="3" t="s">
        <v>182</v>
      </c>
      <c r="B77" s="28" t="n">
        <f aca="false">B45</f>
        <v>18514</v>
      </c>
      <c r="C77" s="28" t="n">
        <f aca="false">C45</f>
        <v>19514.696</v>
      </c>
      <c r="D77" s="28" t="n">
        <f aca="false">D45</f>
        <v>20466.660432</v>
      </c>
      <c r="E77" s="28" t="n">
        <f aca="false">E45</f>
        <v>21347.879374502</v>
      </c>
      <c r="F77" s="28" t="n">
        <f aca="false">F45</f>
        <v>22135.8049394237</v>
      </c>
      <c r="G77" s="28" t="n">
        <f aca="false">G45</f>
        <v>22808.0039369975</v>
      </c>
      <c r="H77" s="28" t="n">
        <f aca="false">H45</f>
        <v>23342.862337844</v>
      </c>
      <c r="I77" s="28" t="n">
        <f aca="false">I45</f>
        <v>23720.3181877209</v>
      </c>
      <c r="J77" s="28" t="n">
        <f aca="false">J45</f>
        <v>23922.5916305448</v>
      </c>
      <c r="K77" s="28" t="n">
        <f aca="false">K45</f>
        <v>23934.8782548916</v>
      </c>
      <c r="L77" s="28" t="n">
        <f aca="false">L45</f>
        <v>23745.9714055592</v>
      </c>
    </row>
    <row r="78" customFormat="false" ht="15" hidden="false" customHeight="false" outlineLevel="0" collapsed="false">
      <c r="A78" s="3" t="s">
        <v>209</v>
      </c>
      <c r="B78" s="19" t="n">
        <v>13857</v>
      </c>
      <c r="C78" s="28" t="n">
        <f aca="false">B78</f>
        <v>13857</v>
      </c>
      <c r="D78" s="28" t="n">
        <f aca="false">B78</f>
        <v>13857</v>
      </c>
      <c r="E78" s="28" t="n">
        <f aca="false">B78</f>
        <v>13857</v>
      </c>
      <c r="F78" s="28" t="n">
        <f aca="false">B78</f>
        <v>13857</v>
      </c>
      <c r="G78" s="28" t="n">
        <f aca="false">B78</f>
        <v>13857</v>
      </c>
      <c r="H78" s="28" t="n">
        <f aca="false">B78</f>
        <v>13857</v>
      </c>
      <c r="I78" s="28" t="n">
        <f aca="false">B78</f>
        <v>13857</v>
      </c>
      <c r="J78" s="28" t="n">
        <f aca="false">B78</f>
        <v>13857</v>
      </c>
      <c r="K78" s="28" t="n">
        <f aca="false">B78</f>
        <v>13857</v>
      </c>
      <c r="L78" s="28" t="n">
        <f aca="false">B78</f>
        <v>13857</v>
      </c>
    </row>
    <row r="79" customFormat="false" ht="15" hidden="false" customHeight="false" outlineLevel="0" collapsed="false">
      <c r="A79" s="8" t="s">
        <v>210</v>
      </c>
      <c r="B79" s="27" t="n">
        <f aca="false">SUM(B73:B78)</f>
        <v>41550</v>
      </c>
      <c r="C79" s="27" t="n">
        <f aca="false">SUM(C73:C78)</f>
        <v>43122.4753972603</v>
      </c>
      <c r="D79" s="27" t="n">
        <f aca="false">SUM(D73:D78)</f>
        <v>44822.0758887306</v>
      </c>
      <c r="E79" s="27" t="n">
        <f aca="false">SUM(E73:E78)</f>
        <v>46435.2330842884</v>
      </c>
      <c r="F79" s="27" t="n">
        <f aca="false">SUM(F73:F78)</f>
        <v>48237.153124704</v>
      </c>
      <c r="G79" s="27" t="n">
        <f aca="false">SUM(G73:G78)</f>
        <v>50846.4266779205</v>
      </c>
      <c r="H79" s="27" t="n">
        <f aca="false">SUM(H73:H78)</f>
        <v>53761.2868601931</v>
      </c>
      <c r="I79" s="27" t="n">
        <f aca="false">SUM(I73:I78)</f>
        <v>56966.9300837088</v>
      </c>
      <c r="J79" s="27" t="n">
        <f aca="false">SUM(J73:J78)</f>
        <v>60443.020470456</v>
      </c>
      <c r="K79" s="27" t="n">
        <f aca="false">SUM(K73:K78)</f>
        <v>64163.8796347273</v>
      </c>
      <c r="L79" s="27" t="n">
        <f aca="false">SUM(L73:L78)</f>
        <v>68098.8491505049</v>
      </c>
    </row>
    <row r="80" customFormat="false" ht="15" hidden="false" customHeight="false" outlineLevel="0" collapsed="false">
      <c r="A80" s="3" t="s">
        <v>177</v>
      </c>
      <c r="B80" s="28" t="n">
        <f aca="false">-B38</f>
        <v>1644</v>
      </c>
      <c r="C80" s="28" t="n">
        <f aca="false">-C38</f>
        <v>1713.52054794521</v>
      </c>
      <c r="D80" s="28" t="n">
        <f aca="false">-D38</f>
        <v>1855.92095956164</v>
      </c>
      <c r="E80" s="28" t="n">
        <f aca="false">-E38</f>
        <v>1996.02748464759</v>
      </c>
      <c r="F80" s="28" t="n">
        <f aca="false">-F38</f>
        <v>2131.51654599824</v>
      </c>
      <c r="G80" s="28" t="n">
        <f aca="false">-G38</f>
        <v>2259.97694589996</v>
      </c>
      <c r="H80" s="28" t="n">
        <f aca="false">-H38</f>
        <v>2378.97600152841</v>
      </c>
      <c r="I80" s="28" t="n">
        <f aca="false">-I38</f>
        <v>2486.13199252698</v>
      </c>
      <c r="J80" s="28" t="n">
        <f aca="false">-J38</f>
        <v>2579.19013637734</v>
      </c>
      <c r="K80" s="28" t="n">
        <f aca="false">-K38</f>
        <v>2656.09888790661</v>
      </c>
      <c r="L80" s="28" t="n">
        <f aca="false">-L38</f>
        <v>2715.08310026748</v>
      </c>
    </row>
    <row r="81" customFormat="false" ht="15" hidden="false" customHeight="false" outlineLevel="0" collapsed="false">
      <c r="A81" s="3" t="s">
        <v>178</v>
      </c>
      <c r="B81" s="28" t="n">
        <f aca="false">-B39</f>
        <v>5927</v>
      </c>
      <c r="C81" s="28" t="n">
        <f aca="false">-C39</f>
        <v>5934.36</v>
      </c>
      <c r="D81" s="28" t="n">
        <f aca="false">-D39</f>
        <v>6430.67418666667</v>
      </c>
      <c r="E81" s="28" t="n">
        <f aca="false">-E39</f>
        <v>6919.53705710334</v>
      </c>
      <c r="F81" s="28" t="n">
        <f aca="false">-F39</f>
        <v>7392.88184370982</v>
      </c>
      <c r="G81" s="28" t="n">
        <f aca="false">-G39</f>
        <v>7842.32163836134</v>
      </c>
      <c r="H81" s="28" t="n">
        <f aca="false">-H39</f>
        <v>8259.37802667657</v>
      </c>
      <c r="I81" s="28" t="n">
        <f aca="false">-I39</f>
        <v>8635.73232294225</v>
      </c>
      <c r="J81" s="28" t="n">
        <f aca="false">-J39</f>
        <v>8963.48981925207</v>
      </c>
      <c r="K81" s="28" t="n">
        <f aca="false">-K39</f>
        <v>9235.44596736046</v>
      </c>
      <c r="L81" s="28" t="n">
        <f aca="false">-L39</f>
        <v>9445.34246661865</v>
      </c>
    </row>
    <row r="82" customFormat="false" ht="15" hidden="false" customHeight="false" outlineLevel="0" collapsed="false">
      <c r="A82" s="3" t="s">
        <v>211</v>
      </c>
      <c r="B82" s="28" t="n">
        <f aca="false">B55</f>
        <v>20395</v>
      </c>
      <c r="C82" s="28" t="n">
        <f aca="false">C55</f>
        <v>21162.3568693151</v>
      </c>
      <c r="D82" s="28" t="n">
        <f aca="false">D55</f>
        <v>21220.4593383242</v>
      </c>
      <c r="E82" s="28" t="n">
        <f aca="false">E55</f>
        <v>20876.501391917</v>
      </c>
      <c r="F82" s="28" t="n">
        <f aca="false">F55</f>
        <v>20395</v>
      </c>
      <c r="G82" s="28" t="n">
        <f aca="false">G55</f>
        <v>20395</v>
      </c>
      <c r="H82" s="28" t="n">
        <f aca="false">H55</f>
        <v>20395</v>
      </c>
      <c r="I82" s="28" t="n">
        <f aca="false">I55</f>
        <v>20395</v>
      </c>
      <c r="J82" s="28" t="n">
        <f aca="false">J55</f>
        <v>20395</v>
      </c>
      <c r="K82" s="28" t="n">
        <f aca="false">K55</f>
        <v>20395</v>
      </c>
      <c r="L82" s="28" t="n">
        <f aca="false">L55</f>
        <v>20395</v>
      </c>
    </row>
    <row r="83" customFormat="false" ht="15" hidden="false" customHeight="false" outlineLevel="0" collapsed="false">
      <c r="A83" s="3" t="s">
        <v>212</v>
      </c>
      <c r="B83" s="19" t="n">
        <v>8474</v>
      </c>
      <c r="C83" s="28" t="n">
        <f aca="false">B83</f>
        <v>8474</v>
      </c>
      <c r="D83" s="28" t="n">
        <f aca="false">B83</f>
        <v>8474</v>
      </c>
      <c r="E83" s="28" t="n">
        <f aca="false">B83</f>
        <v>8474</v>
      </c>
      <c r="F83" s="28" t="n">
        <f aca="false">B83</f>
        <v>8474</v>
      </c>
      <c r="G83" s="28" t="n">
        <f aca="false">B83</f>
        <v>8474</v>
      </c>
      <c r="H83" s="28" t="n">
        <f aca="false">B83</f>
        <v>8474</v>
      </c>
      <c r="I83" s="28" t="n">
        <f aca="false">B83</f>
        <v>8474</v>
      </c>
      <c r="J83" s="28" t="n">
        <f aca="false">B83</f>
        <v>8474</v>
      </c>
      <c r="K83" s="28" t="n">
        <f aca="false">B83</f>
        <v>8474</v>
      </c>
      <c r="L83" s="28" t="n">
        <f aca="false">B83</f>
        <v>8474</v>
      </c>
    </row>
    <row r="84" customFormat="false" ht="15" hidden="false" customHeight="false" outlineLevel="0" collapsed="false">
      <c r="A84" s="8" t="s">
        <v>213</v>
      </c>
      <c r="B84" s="27" t="n">
        <f aca="false">SUM(B80:B83)</f>
        <v>36440</v>
      </c>
      <c r="C84" s="27" t="n">
        <f aca="false">SUM(C80:C83)</f>
        <v>37284.2374172603</v>
      </c>
      <c r="D84" s="27" t="n">
        <f aca="false">SUM(D80:D83)</f>
        <v>37981.0544845525</v>
      </c>
      <c r="E84" s="27" t="n">
        <f aca="false">SUM(E80:E83)</f>
        <v>38266.0659336679</v>
      </c>
      <c r="F84" s="27" t="n">
        <f aca="false">SUM(F80:F83)</f>
        <v>38393.3983897081</v>
      </c>
      <c r="G84" s="27" t="n">
        <f aca="false">SUM(G80:G83)</f>
        <v>38971.2985842613</v>
      </c>
      <c r="H84" s="27" t="n">
        <f aca="false">SUM(H80:H83)</f>
        <v>39507.354028205</v>
      </c>
      <c r="I84" s="27" t="n">
        <f aca="false">SUM(I80:I83)</f>
        <v>39990.8643154692</v>
      </c>
      <c r="J84" s="27" t="n">
        <f aca="false">SUM(J80:J83)</f>
        <v>40411.6799556294</v>
      </c>
      <c r="K84" s="27" t="n">
        <f aca="false">SUM(K80:K83)</f>
        <v>40760.5448552671</v>
      </c>
      <c r="L84" s="27" t="n">
        <f aca="false">SUM(L80:L83)</f>
        <v>41029.4255668861</v>
      </c>
    </row>
    <row r="85" customFormat="false" ht="15" hidden="false" customHeight="false" outlineLevel="0" collapsed="false">
      <c r="A85" s="8" t="s">
        <v>214</v>
      </c>
      <c r="B85" s="27" t="n">
        <f aca="false">B79-B84</f>
        <v>5110</v>
      </c>
      <c r="C85" s="27" t="n">
        <f aca="false">B85+C30-C23+C65+C66</f>
        <v>5838.23798</v>
      </c>
      <c r="D85" s="27" t="n">
        <f aca="false">C85+D30-D23+D65+D66</f>
        <v>6841.02140417809</v>
      </c>
      <c r="E85" s="27" t="n">
        <f aca="false">D85+E30-E23+E65+E66</f>
        <v>8169.16715062049</v>
      </c>
      <c r="F85" s="27" t="n">
        <f aca="false">E85+F30-F23+F65+F66</f>
        <v>9843.75473499597</v>
      </c>
      <c r="G85" s="27" t="n">
        <f aca="false">F85+G30-G23+G65+G66</f>
        <v>11875.1280936592</v>
      </c>
      <c r="H85" s="27" t="n">
        <f aca="false">G85+H30-H23+H65+H66</f>
        <v>14253.9328319881</v>
      </c>
      <c r="I85" s="27" t="n">
        <f aca="false">H85+I30-I23+I65+I66</f>
        <v>16976.0657682396</v>
      </c>
      <c r="J85" s="27" t="n">
        <f aca="false">I85+J30-J23+J65+J66</f>
        <v>20031.3405148266</v>
      </c>
      <c r="K85" s="27" t="n">
        <f aca="false">J85+K30-K23+K65+K66</f>
        <v>23403.3347794602</v>
      </c>
      <c r="L85" s="27" t="n">
        <f aca="false">K85+L30-L23+L65+L66</f>
        <v>27069.4235836188</v>
      </c>
    </row>
    <row r="86" customFormat="false" ht="15" hidden="false" customHeight="false" outlineLevel="0" collapsed="false">
      <c r="A86" s="8" t="s">
        <v>215</v>
      </c>
      <c r="B86" s="27" t="n">
        <f aca="false">B84+B85</f>
        <v>41550</v>
      </c>
      <c r="C86" s="27" t="n">
        <f aca="false">C84+C85</f>
        <v>43122.4753972603</v>
      </c>
      <c r="D86" s="27" t="n">
        <f aca="false">D84+D85</f>
        <v>44822.0758887306</v>
      </c>
      <c r="E86" s="27" t="n">
        <f aca="false">E84+E85</f>
        <v>46435.2330842884</v>
      </c>
      <c r="F86" s="27" t="n">
        <f aca="false">F84+F85</f>
        <v>48237.153124704</v>
      </c>
      <c r="G86" s="27" t="n">
        <f aca="false">G84+G85</f>
        <v>50846.4266779205</v>
      </c>
      <c r="H86" s="27" t="n">
        <f aca="false">H84+H85</f>
        <v>53761.2868601931</v>
      </c>
      <c r="I86" s="27" t="n">
        <f aca="false">I84+I85</f>
        <v>56966.9300837088</v>
      </c>
      <c r="J86" s="27" t="n">
        <f aca="false">J84+J85</f>
        <v>60443.020470456</v>
      </c>
      <c r="K86" s="27" t="n">
        <f aca="false">K84+K85</f>
        <v>64163.8796347273</v>
      </c>
      <c r="L86" s="27" t="n">
        <f aca="false">L84+L85</f>
        <v>68098.8491505049</v>
      </c>
    </row>
    <row r="87" customFormat="false" ht="15" hidden="false" customHeight="false" outlineLevel="0" collapsed="false">
      <c r="A87" s="22" t="s">
        <v>216</v>
      </c>
      <c r="B87" s="31" t="n">
        <f aca="false">B79-B86</f>
        <v>0</v>
      </c>
      <c r="C87" s="31" t="n">
        <f aca="false">C79-C86</f>
        <v>0</v>
      </c>
      <c r="D87" s="31" t="n">
        <f aca="false">D79-D86</f>
        <v>0</v>
      </c>
      <c r="E87" s="31" t="n">
        <f aca="false">E79-E86</f>
        <v>0</v>
      </c>
      <c r="F87" s="31" t="n">
        <f aca="false">F79-F86</f>
        <v>0</v>
      </c>
      <c r="G87" s="31" t="n">
        <f aca="false">G79-G86</f>
        <v>0</v>
      </c>
      <c r="H87" s="31" t="n">
        <f aca="false">H79-H86</f>
        <v>0</v>
      </c>
      <c r="I87" s="31" t="n">
        <f aca="false">I79-I86</f>
        <v>0</v>
      </c>
      <c r="J87" s="31" t="n">
        <f aca="false">J79-J86</f>
        <v>0</v>
      </c>
      <c r="K87" s="31" t="n">
        <f aca="false">K79-K86</f>
        <v>0</v>
      </c>
      <c r="L87" s="31" t="n">
        <f aca="false">L79-L86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48"/>
    <col collapsed="false" customWidth="true" hidden="false" outlineLevel="0" max="2" min="2" style="0" width="12"/>
    <col collapsed="false" customWidth="true" hidden="false" outlineLevel="0" max="3" min="3" style="0" width="85"/>
  </cols>
  <sheetData>
    <row r="1" customFormat="false" ht="17.35" hidden="false" customHeight="false" outlineLevel="0" collapsed="false">
      <c r="A1" s="1" t="s">
        <v>217</v>
      </c>
    </row>
    <row r="4" customFormat="false" ht="15" hidden="false" customHeight="false" outlineLevel="0" collapsed="false">
      <c r="A4" s="5" t="s">
        <v>218</v>
      </c>
    </row>
    <row r="5" customFormat="false" ht="15" hidden="false" customHeight="false" outlineLevel="0" collapsed="false">
      <c r="A5" s="3" t="s">
        <v>219</v>
      </c>
      <c r="B5" s="32" t="n">
        <v>0.0455</v>
      </c>
      <c r="C5" s="14" t="s">
        <v>45</v>
      </c>
    </row>
    <row r="6" customFormat="false" ht="15" hidden="false" customHeight="false" outlineLevel="0" collapsed="false">
      <c r="A6" s="3" t="s">
        <v>220</v>
      </c>
      <c r="B6" s="33" t="n">
        <v>1.409</v>
      </c>
      <c r="C6" s="14" t="s">
        <v>221</v>
      </c>
    </row>
    <row r="7" customFormat="false" ht="15" hidden="false" customHeight="false" outlineLevel="0" collapsed="false">
      <c r="A7" s="3" t="s">
        <v>222</v>
      </c>
      <c r="B7" s="32" t="n">
        <v>0.0475</v>
      </c>
      <c r="C7" s="14" t="s">
        <v>223</v>
      </c>
    </row>
    <row r="8" customFormat="false" ht="15" hidden="false" customHeight="false" outlineLevel="0" collapsed="false">
      <c r="A8" s="3" t="s">
        <v>224</v>
      </c>
      <c r="B8" s="32" t="n">
        <v>0</v>
      </c>
      <c r="C8" s="14" t="s">
        <v>225</v>
      </c>
    </row>
    <row r="9" customFormat="false" ht="15" hidden="false" customHeight="false" outlineLevel="0" collapsed="false">
      <c r="A9" s="8" t="s">
        <v>226</v>
      </c>
      <c r="B9" s="34" t="n">
        <f aca="false">B5+B6*B7+B8</f>
        <v>0.1124275</v>
      </c>
    </row>
    <row r="11" customFormat="false" ht="15" hidden="false" customHeight="false" outlineLevel="0" collapsed="false">
      <c r="A11" s="5" t="s">
        <v>227</v>
      </c>
    </row>
    <row r="12" customFormat="false" ht="15" hidden="false" customHeight="false" outlineLevel="0" collapsed="false">
      <c r="A12" s="3" t="s">
        <v>228</v>
      </c>
      <c r="B12" s="32" t="n">
        <v>0.058</v>
      </c>
      <c r="C12" s="14" t="s">
        <v>229</v>
      </c>
    </row>
    <row r="13" customFormat="false" ht="15" hidden="false" customHeight="false" outlineLevel="0" collapsed="false">
      <c r="A13" s="3" t="s">
        <v>230</v>
      </c>
      <c r="B13" s="24" t="n">
        <f aca="false">Assumptions!B38</f>
        <v>0.23</v>
      </c>
    </row>
    <row r="14" customFormat="false" ht="15" hidden="false" customHeight="false" outlineLevel="0" collapsed="false">
      <c r="A14" s="3" t="s">
        <v>231</v>
      </c>
      <c r="B14" s="35" t="n">
        <f aca="false">B12*(1-B13)</f>
        <v>0.04466</v>
      </c>
    </row>
    <row r="16" customFormat="false" ht="15" hidden="false" customHeight="false" outlineLevel="0" collapsed="false">
      <c r="A16" s="5" t="s">
        <v>232</v>
      </c>
    </row>
    <row r="17" customFormat="false" ht="15" hidden="false" customHeight="false" outlineLevel="0" collapsed="false">
      <c r="A17" s="3" t="s">
        <v>233</v>
      </c>
      <c r="B17" s="12" t="n">
        <v>0.3</v>
      </c>
      <c r="C17" s="14" t="s">
        <v>234</v>
      </c>
    </row>
    <row r="18" customFormat="false" ht="15" hidden="false" customHeight="false" outlineLevel="0" collapsed="false">
      <c r="A18" s="3" t="s">
        <v>235</v>
      </c>
      <c r="B18" s="23" t="n">
        <f aca="false">1-B17</f>
        <v>0.7</v>
      </c>
    </row>
    <row r="20" customFormat="false" ht="15" hidden="false" customHeight="false" outlineLevel="0" collapsed="false">
      <c r="A20" s="8" t="s">
        <v>9</v>
      </c>
      <c r="B20" s="34" t="n">
        <f aca="false">B18*B9+B17*B14</f>
        <v>0.09209725</v>
      </c>
    </row>
    <row r="22" customFormat="false" ht="15" hidden="false" customHeight="false" outlineLevel="0" collapsed="false">
      <c r="A22" s="14" t="s">
        <v>236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6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48"/>
    <col collapsed="false" customWidth="true" hidden="false" outlineLevel="0" max="10" min="2" style="0" width="11"/>
  </cols>
  <sheetData>
    <row r="1" customFormat="false" ht="17.35" hidden="false" customHeight="false" outlineLevel="0" collapsed="false">
      <c r="A1" s="1" t="s">
        <v>237</v>
      </c>
    </row>
    <row r="4" customFormat="false" ht="15" hidden="false" customHeight="false" outlineLevel="0" collapsed="false">
      <c r="A4" s="11"/>
      <c r="B4" s="11" t="s">
        <v>139</v>
      </c>
      <c r="C4" s="11" t="s">
        <v>140</v>
      </c>
      <c r="D4" s="11" t="s">
        <v>141</v>
      </c>
      <c r="E4" s="11" t="s">
        <v>142</v>
      </c>
      <c r="F4" s="11" t="s">
        <v>143</v>
      </c>
      <c r="G4" s="11" t="s">
        <v>144</v>
      </c>
      <c r="H4" s="11" t="s">
        <v>145</v>
      </c>
      <c r="I4" s="11" t="s">
        <v>146</v>
      </c>
      <c r="J4" s="11" t="s">
        <v>147</v>
      </c>
    </row>
    <row r="5" customFormat="false" ht="15" hidden="false" customHeight="false" outlineLevel="0" collapsed="false">
      <c r="A5" s="3" t="s">
        <v>165</v>
      </c>
      <c r="B5" s="25" t="n">
        <f aca="false">Model_3S!D25</f>
        <v>4417.22729066667</v>
      </c>
      <c r="C5" s="25" t="n">
        <f aca="false">Model_3S!E25</f>
        <v>4866.38776838733</v>
      </c>
      <c r="D5" s="25" t="n">
        <f aca="false">Model_3S!F25</f>
        <v>5320.92943224904</v>
      </c>
      <c r="E5" s="25" t="n">
        <f aca="false">Model_3S!G25</f>
        <v>5774.01703044187</v>
      </c>
      <c r="F5" s="25" t="n">
        <f aca="false">Model_3S!H25</f>
        <v>6218.1837214054</v>
      </c>
      <c r="G5" s="25" t="n">
        <f aca="false">Model_3S!I25</f>
        <v>6645.51056904563</v>
      </c>
      <c r="H5" s="25" t="n">
        <f aca="false">Model_3S!J25</f>
        <v>7047.84133133227</v>
      </c>
      <c r="I5" s="25" t="n">
        <f aca="false">Model_3S!K25</f>
        <v>7417.02556403095</v>
      </c>
      <c r="J5" s="25" t="n">
        <f aca="false">Model_3S!L25</f>
        <v>7745.18082262729</v>
      </c>
    </row>
    <row r="6" customFormat="false" ht="15" hidden="false" customHeight="false" outlineLevel="0" collapsed="false">
      <c r="A6" s="3" t="s">
        <v>238</v>
      </c>
      <c r="B6" s="25" t="n">
        <f aca="false">-MAX(0,B5)*Model_3S!D13</f>
        <v>-937.433791685926</v>
      </c>
      <c r="C6" s="25" t="n">
        <f aca="false">-MAX(0,C5)*Model_3S!E13</f>
        <v>-1043.56982144306</v>
      </c>
      <c r="D6" s="25" t="n">
        <f aca="false">-MAX(0,D5)*Model_3S!F13</f>
        <v>-1152.86804365396</v>
      </c>
      <c r="E6" s="25" t="n">
        <f aca="false">-MAX(0,E5)*Model_3S!G13</f>
        <v>-1263.86817221894</v>
      </c>
      <c r="F6" s="25" t="n">
        <f aca="false">-MAX(0,F5)*Model_3S!H13</f>
        <v>-1374.90951173297</v>
      </c>
      <c r="G6" s="25" t="n">
        <f aca="false">-MAX(0,G5)*Model_3S!I13</f>
        <v>-1484.16402708686</v>
      </c>
      <c r="H6" s="25" t="n">
        <f aca="false">-MAX(0,H5)*Model_3S!J13</f>
        <v>-1589.67976695606</v>
      </c>
      <c r="I6" s="25" t="n">
        <f aca="false">-MAX(0,I5)*Model_3S!K13</f>
        <v>-1689.43360069594</v>
      </c>
      <c r="J6" s="25" t="n">
        <f aca="false">-MAX(0,J5)*Model_3S!L13</f>
        <v>-1781.39158920428</v>
      </c>
    </row>
    <row r="7" customFormat="false" ht="15" hidden="false" customHeight="false" outlineLevel="0" collapsed="false">
      <c r="A7" s="3" t="s">
        <v>193</v>
      </c>
      <c r="B7" s="25" t="n">
        <f aca="false">-Model_3S!D24</f>
        <v>3176.022928</v>
      </c>
      <c r="C7" s="25" t="n">
        <f aca="false">-Model_3S!E24</f>
        <v>3388.604799518</v>
      </c>
      <c r="D7" s="25" t="n">
        <f aca="false">-Model_3S!F24</f>
        <v>3589.43868464332</v>
      </c>
      <c r="E7" s="25" t="n">
        <f aca="false">-Model_3S!G24</f>
        <v>3774.65590945304</v>
      </c>
      <c r="F7" s="25" t="n">
        <f aca="false">-Model_3S!H24</f>
        <v>3940.48740215451</v>
      </c>
      <c r="G7" s="25" t="n">
        <f aca="false">-Model_3S!I24</f>
        <v>4083.38601230514</v>
      </c>
      <c r="H7" s="25" t="n">
        <f aca="false">-Model_3S!J24</f>
        <v>4200.14854804776</v>
      </c>
      <c r="I7" s="25" t="n">
        <f aca="false">-Model_3S!K24</f>
        <v>4288.03189704053</v>
      </c>
      <c r="J7" s="25" t="n">
        <f aca="false">-Model_3S!L24</f>
        <v>4344.85753464458</v>
      </c>
    </row>
    <row r="8" customFormat="false" ht="15" hidden="false" customHeight="false" outlineLevel="0" collapsed="false">
      <c r="A8" s="3" t="s">
        <v>239</v>
      </c>
      <c r="B8" s="25" t="n">
        <f aca="false">-Model_3S!D44</f>
        <v>-4127.98736</v>
      </c>
      <c r="C8" s="25" t="n">
        <f aca="false">-Model_3S!E44</f>
        <v>-4269.82374202</v>
      </c>
      <c r="D8" s="25" t="n">
        <f aca="false">-Model_3S!F44</f>
        <v>-4377.36424956503</v>
      </c>
      <c r="E8" s="25" t="n">
        <f aca="false">-Model_3S!G44</f>
        <v>-4446.85490702687</v>
      </c>
      <c r="F8" s="25" t="n">
        <f aca="false">-Model_3S!H44</f>
        <v>-4475.34580300096</v>
      </c>
      <c r="G8" s="25" t="n">
        <f aca="false">-Model_3S!I44</f>
        <v>-4460.84186218209</v>
      </c>
      <c r="H8" s="25" t="n">
        <f aca="false">-Model_3S!J44</f>
        <v>-4402.42199087159</v>
      </c>
      <c r="I8" s="25" t="n">
        <f aca="false">-Model_3S!K44</f>
        <v>-4300.31852138736</v>
      </c>
      <c r="J8" s="25" t="n">
        <f aca="false">-Model_3S!L44</f>
        <v>-4155.95068531221</v>
      </c>
    </row>
    <row r="9" customFormat="false" ht="15" hidden="false" customHeight="false" outlineLevel="0" collapsed="false">
      <c r="A9" s="3" t="s">
        <v>240</v>
      </c>
      <c r="B9" s="25" t="n">
        <f aca="false">Model_3S!D41</f>
        <v>-108.921461187215</v>
      </c>
      <c r="C9" s="25" t="n">
        <f aca="false">Model_3S!E41</f>
        <v>-102.968857533187</v>
      </c>
      <c r="D9" s="25" t="n">
        <f aca="false">Model_3S!F41</f>
        <v>-94.9942238904341</v>
      </c>
      <c r="E9" s="25" t="n">
        <f aca="false">Model_3S!G41</f>
        <v>-85.0444586893991</v>
      </c>
      <c r="F9" s="25" t="n">
        <f aca="false">Model_3S!H41</f>
        <v>-73.2314884883363</v>
      </c>
      <c r="G9" s="25" t="n">
        <f aca="false">Model_3S!I41</f>
        <v>-59.7324588743304</v>
      </c>
      <c r="H9" s="25" t="n">
        <f aca="false">Model_3S!J41</f>
        <v>-44.7868836334492</v>
      </c>
      <c r="I9" s="25" t="n">
        <f aca="false">Model_3S!K41</f>
        <v>-28.6906922327325</v>
      </c>
      <c r="J9" s="25" t="n">
        <f aca="false">Model_3S!L41</f>
        <v>-11.7873049098944</v>
      </c>
    </row>
    <row r="10" customFormat="false" ht="15" hidden="false" customHeight="false" outlineLevel="0" collapsed="false">
      <c r="A10" s="8" t="s">
        <v>241</v>
      </c>
      <c r="B10" s="27" t="n">
        <f aca="false">SUM(B5:B9)</f>
        <v>2418.90760579353</v>
      </c>
      <c r="C10" s="27" t="n">
        <f aca="false">SUM(C5:C9)</f>
        <v>2838.63014690909</v>
      </c>
      <c r="D10" s="27" t="n">
        <f aca="false">SUM(D5:D9)</f>
        <v>3285.14159978294</v>
      </c>
      <c r="E10" s="27" t="n">
        <f aca="false">SUM(E5:E9)</f>
        <v>3752.9054019597</v>
      </c>
      <c r="F10" s="27" t="n">
        <f aca="false">SUM(F5:F9)</f>
        <v>4235.18432033764</v>
      </c>
      <c r="G10" s="27" t="n">
        <f aca="false">SUM(G5:G9)</f>
        <v>4724.15823320749</v>
      </c>
      <c r="H10" s="27" t="n">
        <f aca="false">SUM(H5:H9)</f>
        <v>5211.10123791893</v>
      </c>
      <c r="I10" s="27" t="n">
        <f aca="false">SUM(I5:I9)</f>
        <v>5686.61464675546</v>
      </c>
      <c r="J10" s="27" t="n">
        <f aca="false">SUM(J5:J9)</f>
        <v>6140.9087778455</v>
      </c>
    </row>
    <row r="11" customFormat="false" ht="15" hidden="false" customHeight="false" outlineLevel="0" collapsed="false">
      <c r="A11" s="3" t="s">
        <v>242</v>
      </c>
      <c r="B11" s="36" t="n">
        <v>0.5</v>
      </c>
      <c r="C11" s="36" t="n">
        <v>1.5</v>
      </c>
      <c r="D11" s="36" t="n">
        <v>2.5</v>
      </c>
      <c r="E11" s="36" t="n">
        <v>3.5</v>
      </c>
      <c r="F11" s="36" t="n">
        <v>4.5</v>
      </c>
      <c r="G11" s="36" t="n">
        <v>5.5</v>
      </c>
      <c r="H11" s="36" t="n">
        <v>6.5</v>
      </c>
      <c r="I11" s="36" t="n">
        <v>7.5</v>
      </c>
      <c r="J11" s="36" t="n">
        <v>8.5</v>
      </c>
    </row>
    <row r="12" customFormat="false" ht="15" hidden="false" customHeight="false" outlineLevel="0" collapsed="false">
      <c r="A12" s="3" t="s">
        <v>243</v>
      </c>
      <c r="B12" s="37" t="n">
        <f aca="false">(1+$B$16)^-B11</f>
        <v>0.956906144398971</v>
      </c>
      <c r="C12" s="37" t="n">
        <f aca="false">(1+$B$16)^-C11</f>
        <v>0.876209645614409</v>
      </c>
      <c r="D12" s="37" t="n">
        <f aca="false">(1+$B$16)^-D11</f>
        <v>0.802318333476629</v>
      </c>
      <c r="E12" s="37" t="n">
        <f aca="false">(1+$B$16)^-E11</f>
        <v>0.734658322302917</v>
      </c>
      <c r="F12" s="37" t="n">
        <f aca="false">(1+$B$16)^-F11</f>
        <v>0.672704122552197</v>
      </c>
      <c r="G12" s="37" t="n">
        <f aca="false">(1+$B$16)^-G11</f>
        <v>0.615974559547876</v>
      </c>
      <c r="H12" s="37" t="n">
        <f aca="false">(1+$B$16)^-H11</f>
        <v>0.56402903637737</v>
      </c>
      <c r="I12" s="37" t="n">
        <f aca="false">(1+$B$16)^-I11</f>
        <v>0.516464111943667</v>
      </c>
      <c r="J12" s="37" t="n">
        <f aca="false">(1+$B$16)^-J11</f>
        <v>0.472910367591958</v>
      </c>
    </row>
    <row r="13" customFormat="false" ht="15" hidden="false" customHeight="false" outlineLevel="0" collapsed="false">
      <c r="A13" s="3" t="s">
        <v>244</v>
      </c>
      <c r="B13" s="28" t="n">
        <f aca="false">B10*B12</f>
        <v>2314.66755071723</v>
      </c>
      <c r="C13" s="28" t="n">
        <f aca="false">C10*C12</f>
        <v>2487.23511505359</v>
      </c>
      <c r="D13" s="28" t="n">
        <f aca="false">D10*D12</f>
        <v>2635.7293335726</v>
      </c>
      <c r="E13" s="28" t="n">
        <f aca="false">E10*E12</f>
        <v>2757.10318636526</v>
      </c>
      <c r="F13" s="28" t="n">
        <f aca="false">F10*F12</f>
        <v>2849.02595205955</v>
      </c>
      <c r="G13" s="28" t="n">
        <f aca="false">G10*G12</f>
        <v>2909.96128693446</v>
      </c>
      <c r="H13" s="28" t="n">
        <f aca="false">H10*H12</f>
        <v>2939.21240968834</v>
      </c>
      <c r="I13" s="28" t="n">
        <f aca="false">I10*I12</f>
        <v>2936.93238350241</v>
      </c>
      <c r="J13" s="28" t="n">
        <f aca="false">J10*J12</f>
        <v>2904.0994274796</v>
      </c>
    </row>
    <row r="15" customFormat="false" ht="15" hidden="false" customHeight="false" outlineLevel="0" collapsed="false">
      <c r="A15" s="8" t="s">
        <v>245</v>
      </c>
      <c r="B15" s="27" t="n">
        <f aca="false">SUM(B13:J13)</f>
        <v>24733.966645373</v>
      </c>
    </row>
    <row r="16" customFormat="false" ht="15" hidden="false" customHeight="false" outlineLevel="0" collapsed="false">
      <c r="A16" s="8" t="s">
        <v>9</v>
      </c>
      <c r="B16" s="38" t="n">
        <f aca="false">WACC!B20</f>
        <v>0.09209725</v>
      </c>
    </row>
    <row r="18" customFormat="false" ht="15" hidden="false" customHeight="false" outlineLevel="0" collapsed="false">
      <c r="A18" s="5" t="s">
        <v>246</v>
      </c>
    </row>
    <row r="19" customFormat="false" ht="15" hidden="false" customHeight="false" outlineLevel="0" collapsed="false">
      <c r="A19" s="3" t="s">
        <v>247</v>
      </c>
      <c r="B19" s="24" t="n">
        <f aca="false">Assumptions!B46</f>
        <v>0.025</v>
      </c>
    </row>
    <row r="20" customFormat="false" ht="15" hidden="false" customHeight="false" outlineLevel="0" collapsed="false">
      <c r="A20" s="3" t="s">
        <v>248</v>
      </c>
      <c r="B20" s="28" t="n">
        <f aca="false">J10*(1+B19)/(B16-B19)</f>
        <v>93810.573418309</v>
      </c>
    </row>
    <row r="21" customFormat="false" ht="15" hidden="false" customHeight="false" outlineLevel="0" collapsed="false">
      <c r="A21" s="3" t="s">
        <v>249</v>
      </c>
      <c r="B21" s="28" t="n">
        <f aca="false">B20/(1+B16)^9</f>
        <v>42452.177261412</v>
      </c>
    </row>
    <row r="22" customFormat="false" ht="15" hidden="false" customHeight="false" outlineLevel="0" collapsed="false">
      <c r="A22" s="22" t="s">
        <v>250</v>
      </c>
      <c r="B22" s="39" t="n">
        <f aca="false">B20/Model_3S!L22</f>
        <v>7.63995374520059</v>
      </c>
    </row>
    <row r="24" customFormat="false" ht="15" hidden="false" customHeight="false" outlineLevel="0" collapsed="false">
      <c r="A24" s="5" t="s">
        <v>251</v>
      </c>
    </row>
    <row r="25" customFormat="false" ht="15" hidden="false" customHeight="false" outlineLevel="0" collapsed="false">
      <c r="A25" s="3" t="s">
        <v>252</v>
      </c>
      <c r="B25" s="40" t="n">
        <f aca="false">Assumptions!B47</f>
        <v>10</v>
      </c>
    </row>
    <row r="26" customFormat="false" ht="15" hidden="false" customHeight="false" outlineLevel="0" collapsed="false">
      <c r="A26" s="3" t="s">
        <v>253</v>
      </c>
      <c r="B26" s="28" t="n">
        <f aca="false">B25*Model_3S!L22</f>
        <v>122789.452066042</v>
      </c>
    </row>
    <row r="27" customFormat="false" ht="15" hidden="false" customHeight="false" outlineLevel="0" collapsed="false">
      <c r="A27" s="3" t="s">
        <v>254</v>
      </c>
      <c r="B27" s="28" t="n">
        <f aca="false">B26/(1+B16)^9</f>
        <v>55566.0134566658</v>
      </c>
    </row>
    <row r="28" customFormat="false" ht="15" hidden="false" customHeight="false" outlineLevel="0" collapsed="false">
      <c r="A28" s="22" t="s">
        <v>255</v>
      </c>
      <c r="B28" s="30" t="n">
        <f aca="false">(B16*B26-J10)/(B26+J10)</f>
        <v>0.0400810333006123</v>
      </c>
    </row>
    <row r="30" customFormat="false" ht="15" hidden="false" customHeight="false" outlineLevel="0" collapsed="false">
      <c r="A30" s="5" t="s">
        <v>256</v>
      </c>
    </row>
    <row r="31" customFormat="false" ht="15" hidden="false" customHeight="false" outlineLevel="0" collapsed="false">
      <c r="A31" s="3" t="s">
        <v>257</v>
      </c>
      <c r="B31" s="25" t="n">
        <f aca="false">Model_3S!C55-Model_3S!C70</f>
        <v>20662.3568693151</v>
      </c>
    </row>
    <row r="32" customFormat="false" ht="15" hidden="false" customHeight="false" outlineLevel="0" collapsed="false">
      <c r="A32" s="3" t="s">
        <v>258</v>
      </c>
      <c r="B32" s="25" t="n">
        <f aca="false">Assumptions!B43</f>
        <v>2000</v>
      </c>
    </row>
    <row r="33" customFormat="false" ht="15" hidden="false" customHeight="false" outlineLevel="0" collapsed="false">
      <c r="A33" s="3" t="s">
        <v>259</v>
      </c>
      <c r="B33" s="41" t="n">
        <f aca="false">Assumptions!B37</f>
        <v>337.2</v>
      </c>
    </row>
    <row r="34" customFormat="false" ht="15" hidden="false" customHeight="false" outlineLevel="0" collapsed="false">
      <c r="A34" s="11"/>
      <c r="B34" s="11" t="s">
        <v>260</v>
      </c>
      <c r="C34" s="11" t="s">
        <v>261</v>
      </c>
      <c r="D34" s="11" t="s">
        <v>262</v>
      </c>
    </row>
    <row r="35" customFormat="false" ht="15" hidden="false" customHeight="false" outlineLevel="0" collapsed="false">
      <c r="A35" s="3" t="s">
        <v>263</v>
      </c>
      <c r="B35" s="28" t="n">
        <f aca="false">B15+B21</f>
        <v>67186.143906785</v>
      </c>
      <c r="C35" s="28" t="n">
        <f aca="false">B15+B27</f>
        <v>80299.9801020388</v>
      </c>
      <c r="D35" s="28" t="n">
        <f aca="false">AVERAGE(B35:C35)</f>
        <v>73743.0620044119</v>
      </c>
    </row>
    <row r="36" customFormat="false" ht="15" hidden="false" customHeight="false" outlineLevel="0" collapsed="false">
      <c r="A36" s="3" t="s">
        <v>264</v>
      </c>
      <c r="B36" s="28" t="n">
        <f aca="false">-$B$31-$B$32</f>
        <v>-22662.3568693151</v>
      </c>
      <c r="C36" s="28" t="n">
        <f aca="false">-$B$31-$B$32</f>
        <v>-22662.3568693151</v>
      </c>
      <c r="D36" s="28" t="n">
        <f aca="false">-$B$31-$B$32</f>
        <v>-22662.3568693151</v>
      </c>
    </row>
    <row r="37" customFormat="false" ht="15" hidden="false" customHeight="false" outlineLevel="0" collapsed="false">
      <c r="A37" s="8" t="s">
        <v>265</v>
      </c>
      <c r="B37" s="27" t="n">
        <f aca="false">B35+B36</f>
        <v>44523.78703747</v>
      </c>
      <c r="C37" s="27" t="n">
        <f aca="false">C35+C36</f>
        <v>57637.6232327237</v>
      </c>
      <c r="D37" s="27" t="n">
        <f aca="false">D35+D36</f>
        <v>51080.7051350968</v>
      </c>
    </row>
    <row r="38" customFormat="false" ht="15" hidden="false" customHeight="false" outlineLevel="0" collapsed="false">
      <c r="A38" s="8" t="s">
        <v>266</v>
      </c>
      <c r="B38" s="42" t="n">
        <f aca="false">B37/$B$33</f>
        <v>132.039700585617</v>
      </c>
      <c r="C38" s="42" t="n">
        <f aca="false">C37/$B$33</f>
        <v>170.93008076134</v>
      </c>
      <c r="D38" s="42" t="n">
        <f aca="false">D37/$B$33</f>
        <v>151.484890673478</v>
      </c>
    </row>
    <row r="39" customFormat="false" ht="15" hidden="false" customHeight="false" outlineLevel="0" collapsed="false">
      <c r="A39" s="22" t="s">
        <v>267</v>
      </c>
      <c r="B39" s="30" t="n">
        <f aca="false">B38/Assumptions!$B$48-1</f>
        <v>-0.150542327678739</v>
      </c>
      <c r="C39" s="30" t="n">
        <f aca="false">C38/Assumptions!$B$48-1</f>
        <v>0.0996531186396015</v>
      </c>
      <c r="D39" s="30" t="n">
        <f aca="false">D38/Assumptions!$B$48-1</f>
        <v>-0.025444604519569</v>
      </c>
    </row>
    <row r="42" customFormat="false" ht="15" hidden="false" customHeight="false" outlineLevel="0" collapsed="false">
      <c r="A42" s="5" t="s">
        <v>268</v>
      </c>
    </row>
    <row r="43" customFormat="false" ht="15" hidden="false" customHeight="false" outlineLevel="0" collapsed="false">
      <c r="B43" s="43" t="s">
        <v>269</v>
      </c>
      <c r="C43" s="44" t="n">
        <v>0.015</v>
      </c>
      <c r="D43" s="44" t="n">
        <v>0.02</v>
      </c>
      <c r="E43" s="44" t="n">
        <v>0.025</v>
      </c>
      <c r="F43" s="44" t="n">
        <v>0.03</v>
      </c>
      <c r="G43" s="44" t="n">
        <v>0.035</v>
      </c>
    </row>
    <row r="44" customFormat="false" ht="15" hidden="false" customHeight="false" outlineLevel="0" collapsed="false">
      <c r="B44" s="45" t="n">
        <v>0.084</v>
      </c>
      <c r="C44" s="46" t="n">
        <f aca="false">(SUMPRODUCT($B$10:$J$10,(1+$B$44)^-($B$11:$J$11))+$J$10*(1+C$43)/($B$44-C$43)/(1+$B$44)^9-$B$31-$B$32)/$B$33</f>
        <v>138.385082300566</v>
      </c>
      <c r="D44" s="46" t="n">
        <f aca="false">(SUMPRODUCT($B$10:$J$10,(1+$B$44)^-($B$11:$J$11))+$J$10*(1+D$43)/($B$44-D$43)/(1+$B$44)^9-$B$31-$B$32)/$B$33</f>
        <v>149.200710815216</v>
      </c>
      <c r="E44" s="46" t="n">
        <f aca="false">(SUMPRODUCT($B$10:$J$10,(1+$B$44)^-($B$11:$J$11))+$J$10*(1+E$43)/($B$44-E$43)/(1+$B$44)^9-$B$31-$B$32)/$B$33</f>
        <v>161.849496705231</v>
      </c>
      <c r="F44" s="46" t="n">
        <f aca="false">(SUMPRODUCT($B$10:$J$10,(1+$B$44)^-($B$11:$J$11))+$J$10*(1+F$43)/($B$44-F$43)/(1+$B$44)^9-$B$31-$B$32)/$B$33</f>
        <v>176.840650352655</v>
      </c>
      <c r="G44" s="46" t="n">
        <f aca="false">(SUMPRODUCT($B$10:$J$10,(1+$B$44)^-($B$11:$J$11))+$J$10*(1+G$43)/($B$44-G$43)/(1+$B$44)^9-$B$31-$B$32)/$B$33</f>
        <v>194.891223111799</v>
      </c>
    </row>
    <row r="45" customFormat="false" ht="15" hidden="false" customHeight="false" outlineLevel="0" collapsed="false">
      <c r="B45" s="45" t="n">
        <v>0.089</v>
      </c>
      <c r="C45" s="46" t="n">
        <f aca="false">(SUMPRODUCT($B$10:$J$10,(1+$B$45)^-($B$11:$J$11))+$J$10*(1+C$43)/($B$45-C$43)/(1+$B$45)^9-$B$31-$B$32)/$B$33</f>
        <v>123.092496029546</v>
      </c>
      <c r="D45" s="46" t="n">
        <f aca="false">(SUMPRODUCT($B$10:$J$10,(1+$B$45)^-($B$11:$J$11))+$J$10*(1+D$43)/($B$45-D$43)/(1+$B$45)^9-$B$31-$B$32)/$B$33</f>
        <v>132.108440660233</v>
      </c>
      <c r="E45" s="46" t="n">
        <f aca="false">(SUMPRODUCT($B$10:$J$10,(1+$B$45)^-($B$11:$J$11))+$J$10*(1+E$43)/($B$45-E$43)/(1+$B$45)^9-$B$31-$B$32)/$B$33</f>
        <v>142.533126639465</v>
      </c>
      <c r="F45" s="46" t="n">
        <f aca="false">(SUMPRODUCT($B$10:$J$10,(1+$B$45)^-($B$11:$J$11))+$J$10*(1+F$43)/($B$45-F$43)/(1+$B$45)^9-$B$31-$B$32)/$B$33</f>
        <v>154.72470854738</v>
      </c>
      <c r="G45" s="46" t="n">
        <f aca="false">(SUMPRODUCT($B$10:$J$10,(1+$B$45)^-($B$11:$J$11))+$J$10*(1+G$43)/($B$45-G$43)/(1+$B$45)^9-$B$31-$B$32)/$B$33</f>
        <v>169.173990808613</v>
      </c>
    </row>
    <row r="46" customFormat="false" ht="15" hidden="false" customHeight="false" outlineLevel="0" collapsed="false">
      <c r="B46" s="45" t="n">
        <v>0.094</v>
      </c>
      <c r="C46" s="46" t="n">
        <f aca="false">(SUMPRODUCT($B$10:$J$10,(1+$B$46)^-($B$11:$J$11))+$J$10*(1+C$43)/($B$46-C$43)/(1+$B$46)^9-$B$31-$B$32)/$B$33</f>
        <v>109.787545452473</v>
      </c>
      <c r="D46" s="46" t="n">
        <f aca="false">(SUMPRODUCT($B$10:$J$10,(1+$B$46)^-($B$11:$J$11))+$J$10*(1+D$43)/($B$46-D$43)/(1+$B$46)^9-$B$31-$B$32)/$B$33</f>
        <v>117.378872420542</v>
      </c>
      <c r="E46" s="46" t="n">
        <f aca="false">(SUMPRODUCT($B$10:$J$10,(1+$B$46)^-($B$11:$J$11))+$J$10*(1+E$43)/($B$46-E$43)/(1+$B$46)^9-$B$31-$B$32)/$B$33</f>
        <v>126.070391702824</v>
      </c>
      <c r="F46" s="46" t="n">
        <f aca="false">(SUMPRODUCT($B$10:$J$10,(1+$B$46)^-($B$11:$J$11))+$J$10*(1+F$43)/($B$46-F$43)/(1+$B$46)^9-$B$31-$B$32)/$B$33</f>
        <v>136.119960872962</v>
      </c>
      <c r="G46" s="46" t="n">
        <f aca="false">(SUMPRODUCT($B$10:$J$10,(1+$B$46)^-($B$11:$J$11))+$J$10*(1+G$43)/($B$46-G$43)/(1+$B$46)^9-$B$31-$B$32)/$B$33</f>
        <v>147.872846851598</v>
      </c>
    </row>
    <row r="47" customFormat="false" ht="15" hidden="false" customHeight="false" outlineLevel="0" collapsed="false">
      <c r="B47" s="45" t="n">
        <v>0.099</v>
      </c>
      <c r="C47" s="46" t="n">
        <f aca="false">(SUMPRODUCT($B$10:$J$10,(1+$B$47)^-($B$11:$J$11))+$J$10*(1+C$43)/($B$47-C$43)/(1+$B$47)^9-$B$31-$B$32)/$B$33</f>
        <v>98.1130402985408</v>
      </c>
      <c r="D47" s="46" t="n">
        <f aca="false">(SUMPRODUCT($B$10:$J$10,(1+$B$47)^-($B$11:$J$11))+$J$10*(1+D$43)/($B$47-D$43)/(1+$B$47)^9-$B$31-$B$32)/$B$33</f>
        <v>104.561072055096</v>
      </c>
      <c r="E47" s="46" t="n">
        <f aca="false">(SUMPRODUCT($B$10:$J$10,(1+$B$47)^-($B$11:$J$11))+$J$10*(1+E$43)/($B$47-E$43)/(1+$B$47)^9-$B$31-$B$32)/$B$33</f>
        <v>111.880459454429</v>
      </c>
      <c r="F47" s="46" t="n">
        <f aca="false">(SUMPRODUCT($B$10:$J$10,(1+$B$47)^-($B$11:$J$11))+$J$10*(1+F$43)/($B$47-F$43)/(1+$B$47)^9-$B$31-$B$32)/$B$33</f>
        <v>120.260627636274</v>
      </c>
      <c r="G47" s="46" t="n">
        <f aca="false">(SUMPRODUCT($B$10:$J$10,(1+$B$47)^-($B$11:$J$11))+$J$10*(1+G$43)/($B$47-G$43)/(1+$B$47)^9-$B$31-$B$32)/$B$33</f>
        <v>129.950197096533</v>
      </c>
    </row>
    <row r="48" customFormat="false" ht="15" hidden="false" customHeight="false" outlineLevel="0" collapsed="false">
      <c r="B48" s="45" t="n">
        <v>0.104</v>
      </c>
      <c r="C48" s="46" t="n">
        <f aca="false">(SUMPRODUCT($B$10:$J$10,(1+$B$48)^-($B$11:$J$11))+$J$10*(1+C$43)/($B$48-C$43)/(1+$B$48)^9-$B$31-$B$32)/$B$33</f>
        <v>87.7921731063143</v>
      </c>
      <c r="D48" s="46" t="n">
        <f aca="false">(SUMPRODUCT($B$10:$J$10,(1+$B$48)^-($B$11:$J$11))+$J$10*(1+D$43)/($B$48-D$43)/(1+$B$48)^9-$B$31-$B$32)/$B$33</f>
        <v>93.311590077142</v>
      </c>
      <c r="E48" s="46" t="n">
        <f aca="false">(SUMPRODUCT($B$10:$J$10,(1+$B$48)^-($B$11:$J$11))+$J$10*(1+E$43)/($B$48-E$43)/(1+$B$48)^9-$B$31-$B$32)/$B$33</f>
        <v>99.5296674240238</v>
      </c>
      <c r="F48" s="46" t="n">
        <f aca="false">(SUMPRODUCT($B$10:$J$10,(1+$B$48)^-($B$11:$J$11))+$J$10*(1+F$43)/($B$48-F$43)/(1+$B$48)^9-$B$31-$B$32)/$B$33</f>
        <v>106.588025493457</v>
      </c>
      <c r="G48" s="46" t="n">
        <f aca="false">(SUMPRODUCT($B$10:$J$10,(1+$B$48)^-($B$11:$J$11))+$J$10*(1+G$43)/($B$48-G$43)/(1+$B$48)^9-$B$31-$B$32)/$B$33</f>
        <v>114.669334007736</v>
      </c>
    </row>
    <row r="50" customFormat="false" ht="15" hidden="false" customHeight="false" outlineLevel="0" collapsed="false">
      <c r="A50" s="5" t="s">
        <v>270</v>
      </c>
    </row>
    <row r="51" customFormat="false" ht="15" hidden="false" customHeight="false" outlineLevel="0" collapsed="false">
      <c r="B51" s="43" t="s">
        <v>271</v>
      </c>
      <c r="C51" s="47" t="n">
        <v>8</v>
      </c>
      <c r="D51" s="47" t="n">
        <v>9</v>
      </c>
      <c r="E51" s="47" t="n">
        <v>10</v>
      </c>
      <c r="F51" s="47" t="n">
        <v>11</v>
      </c>
      <c r="G51" s="47" t="n">
        <v>12</v>
      </c>
    </row>
    <row r="52" customFormat="false" ht="15" hidden="false" customHeight="false" outlineLevel="0" collapsed="false">
      <c r="B52" s="45" t="n">
        <v>0.084</v>
      </c>
      <c r="C52" s="46" t="n">
        <f aca="false">(SUMPRODUCT($B$10:$J$10,(1+$B$52)^-($B$11:$J$11))+C$51*Model_3S!$L$22/(1+$B$52)^9-$B$31-$B$32)/$B$33</f>
        <v>149.718495418812</v>
      </c>
      <c r="D52" s="46" t="n">
        <f aca="false">(SUMPRODUCT($B$10:$J$10,(1+$B$52)^-($B$11:$J$11))+D$51*Model_3S!$L$22/(1+$B$52)^9-$B$31-$B$32)/$B$33</f>
        <v>167.338659796408</v>
      </c>
      <c r="E52" s="46" t="n">
        <f aca="false">(SUMPRODUCT($B$10:$J$10,(1+$B$52)^-($B$11:$J$11))+E$51*Model_3S!$L$22/(1+$B$52)^9-$B$31-$B$32)/$B$33</f>
        <v>184.958824174004</v>
      </c>
      <c r="F52" s="46" t="n">
        <f aca="false">(SUMPRODUCT($B$10:$J$10,(1+$B$52)^-($B$11:$J$11))+F$51*Model_3S!$L$22/(1+$B$52)^9-$B$31-$B$32)/$B$33</f>
        <v>202.5789885516</v>
      </c>
      <c r="G52" s="46" t="n">
        <f aca="false">(SUMPRODUCT($B$10:$J$10,(1+$B$52)^-($B$11:$J$11))+G$51*Model_3S!$L$22/(1+$B$52)^9-$B$31-$B$32)/$B$33</f>
        <v>220.199152929195</v>
      </c>
    </row>
    <row r="53" customFormat="false" ht="15" hidden="false" customHeight="false" outlineLevel="0" collapsed="false">
      <c r="B53" s="45" t="n">
        <v>0.089</v>
      </c>
      <c r="C53" s="46" t="n">
        <f aca="false">(SUMPRODUCT($B$10:$J$10,(1+$B$53)^-($B$11:$J$11))+C$51*Model_3S!$L$22/(1+$B$53)^9-$B$31-$B$32)/$B$33</f>
        <v>142.369386659459</v>
      </c>
      <c r="D53" s="46" t="n">
        <f aca="false">(SUMPRODUCT($B$10:$J$10,(1+$B$53)^-($B$11:$J$11))+D$51*Model_3S!$L$22/(1+$B$53)^9-$B$31-$B$32)/$B$33</f>
        <v>159.274674806614</v>
      </c>
      <c r="E53" s="46" t="n">
        <f aca="false">(SUMPRODUCT($B$10:$J$10,(1+$B$53)^-($B$11:$J$11))+E$51*Model_3S!$L$22/(1+$B$53)^9-$B$31-$B$32)/$B$33</f>
        <v>176.179962953768</v>
      </c>
      <c r="F53" s="46" t="n">
        <f aca="false">(SUMPRODUCT($B$10:$J$10,(1+$B$53)^-($B$11:$J$11))+F$51*Model_3S!$L$22/(1+$B$53)^9-$B$31-$B$32)/$B$33</f>
        <v>193.085251100923</v>
      </c>
      <c r="G53" s="46" t="n">
        <f aca="false">(SUMPRODUCT($B$10:$J$10,(1+$B$53)^-($B$11:$J$11))+G$51*Model_3S!$L$22/(1+$B$53)^9-$B$31-$B$32)/$B$33</f>
        <v>209.990539248077</v>
      </c>
    </row>
    <row r="54" customFormat="false" ht="15" hidden="false" customHeight="false" outlineLevel="0" collapsed="false">
      <c r="B54" s="45" t="n">
        <v>0.094</v>
      </c>
      <c r="C54" s="46" t="n">
        <f aca="false">(SUMPRODUCT($B$10:$J$10,(1+$B$54)^-($B$11:$J$11))+C$51*Model_3S!$L$22/(1+$B$54)^9-$B$31-$B$32)/$B$33</f>
        <v>135.328994886784</v>
      </c>
      <c r="D54" s="46" t="n">
        <f aca="false">(SUMPRODUCT($B$10:$J$10,(1+$B$54)^-($B$11:$J$11))+D$51*Model_3S!$L$22/(1+$B$54)^9-$B$31-$B$32)/$B$33</f>
        <v>151.551487962134</v>
      </c>
      <c r="E54" s="46" t="n">
        <f aca="false">(SUMPRODUCT($B$10:$J$10,(1+$B$54)^-($B$11:$J$11))+E$51*Model_3S!$L$22/(1+$B$54)^9-$B$31-$B$32)/$B$33</f>
        <v>167.773981037485</v>
      </c>
      <c r="F54" s="46" t="n">
        <f aca="false">(SUMPRODUCT($B$10:$J$10,(1+$B$54)^-($B$11:$J$11))+F$51*Model_3S!$L$22/(1+$B$54)^9-$B$31-$B$32)/$B$33</f>
        <v>183.996474112835</v>
      </c>
      <c r="G54" s="46" t="n">
        <f aca="false">(SUMPRODUCT($B$10:$J$10,(1+$B$54)^-($B$11:$J$11))+G$51*Model_3S!$L$22/(1+$B$54)^9-$B$31-$B$32)/$B$33</f>
        <v>200.218967188186</v>
      </c>
    </row>
    <row r="55" customFormat="false" ht="15" hidden="false" customHeight="false" outlineLevel="0" collapsed="false">
      <c r="B55" s="45" t="n">
        <v>0.099</v>
      </c>
      <c r="C55" s="46" t="n">
        <f aca="false">(SUMPRODUCT($B$10:$J$10,(1+$B$55)^-($B$11:$J$11))+C$51*Model_3S!$L$22/(1+$B$55)^9-$B$31-$B$32)/$B$33</f>
        <v>128.58268175941</v>
      </c>
      <c r="D55" s="46" t="n">
        <f aca="false">(SUMPRODUCT($B$10:$J$10,(1+$B$55)^-($B$11:$J$11))+D$51*Model_3S!$L$22/(1+$B$55)^9-$B$31-$B$32)/$B$33</f>
        <v>144.152884357837</v>
      </c>
      <c r="E55" s="46" t="n">
        <f aca="false">(SUMPRODUCT($B$10:$J$10,(1+$B$55)^-($B$11:$J$11))+E$51*Model_3S!$L$22/(1+$B$55)^9-$B$31-$B$32)/$B$33</f>
        <v>159.723086956265</v>
      </c>
      <c r="F55" s="46" t="n">
        <f aca="false">(SUMPRODUCT($B$10:$J$10,(1+$B$55)^-($B$11:$J$11))+F$51*Model_3S!$L$22/(1+$B$55)^9-$B$31-$B$32)/$B$33</f>
        <v>175.293289554692</v>
      </c>
      <c r="G55" s="46" t="n">
        <f aca="false">(SUMPRODUCT($B$10:$J$10,(1+$B$55)^-($B$11:$J$11))+G$51*Model_3S!$L$22/(1+$B$55)^9-$B$31-$B$32)/$B$33</f>
        <v>190.86349215312</v>
      </c>
    </row>
    <row r="56" customFormat="false" ht="15" hidden="false" customHeight="false" outlineLevel="0" collapsed="false">
      <c r="B56" s="45" t="n">
        <v>0.104</v>
      </c>
      <c r="C56" s="46" t="n">
        <f aca="false">(SUMPRODUCT($B$10:$J$10,(1+$B$56)^-($B$11:$J$11))+C$51*Model_3S!$L$22/(1+$B$56)^9-$B$31-$B$32)/$B$33</f>
        <v>122.116572740194</v>
      </c>
      <c r="D56" s="46" t="n">
        <f aca="false">(SUMPRODUCT($B$10:$J$10,(1+$B$56)^-($B$11:$J$11))+D$51*Model_3S!$L$22/(1+$B$56)^9-$B$31-$B$32)/$B$33</f>
        <v>137.063497036203</v>
      </c>
      <c r="E56" s="46" t="n">
        <f aca="false">(SUMPRODUCT($B$10:$J$10,(1+$B$56)^-($B$11:$J$11))+E$51*Model_3S!$L$22/(1+$B$56)^9-$B$31-$B$32)/$B$33</f>
        <v>152.010421332213</v>
      </c>
      <c r="F56" s="46" t="n">
        <f aca="false">(SUMPRODUCT($B$10:$J$10,(1+$B$56)^-($B$11:$J$11))+F$51*Model_3S!$L$22/(1+$B$56)^9-$B$31-$B$32)/$B$33</f>
        <v>166.957345628222</v>
      </c>
      <c r="G56" s="46" t="n">
        <f aca="false">(SUMPRODUCT($B$10:$J$10,(1+$B$56)^-($B$11:$J$11))+G$51*Model_3S!$L$22/(1+$B$56)^9-$B$31-$B$32)/$B$33</f>
        <v>181.904269924232</v>
      </c>
    </row>
    <row r="58" customFormat="false" ht="15" hidden="false" customHeight="false" outlineLevel="0" collapsed="false">
      <c r="A58" s="5" t="s">
        <v>272</v>
      </c>
    </row>
    <row r="59" customFormat="false" ht="15" hidden="false" customHeight="false" outlineLevel="0" collapsed="false">
      <c r="A59" s="14" t="s">
        <v>273</v>
      </c>
    </row>
    <row r="60" customFormat="false" ht="15" hidden="false" customHeight="false" outlineLevel="0" collapsed="false">
      <c r="B60" s="43" t="s">
        <v>274</v>
      </c>
      <c r="C60" s="44" t="n">
        <v>0.28</v>
      </c>
      <c r="D60" s="44" t="n">
        <v>0.305</v>
      </c>
      <c r="E60" s="44" t="n">
        <v>0.325</v>
      </c>
      <c r="F60" s="44" t="n">
        <v>0.345</v>
      </c>
      <c r="G60" s="44" t="n">
        <v>0.36</v>
      </c>
    </row>
    <row r="61" customFormat="false" ht="15" hidden="false" customHeight="false" outlineLevel="0" collapsed="false">
      <c r="B61" s="44" t="n">
        <v>0.026</v>
      </c>
      <c r="C61" s="46" t="n">
        <f aca="false">($B$15*(Model_3S!$C$18*(1+($B$61+Assumptions!$E$13)/2)^9*C$60)/Model_3S!$L$22+$B$25*(Model_3S!$C$18*(1+($B$61+Assumptions!$E$13)/2)^9*C$60)/(1+$B$16)^9-$B$31-$B$32)/$B$33</f>
        <v>91.3108819920659</v>
      </c>
      <c r="D61" s="46" t="n">
        <f aca="false">($B$15*(Model_3S!$C$18*(1+($B$61+Assumptions!$E$13)/2)^9*D$60)/Model_3S!$L$22+$B$25*(Model_3S!$C$18*(1+($B$61+Assumptions!$E$13)/2)^9*D$60)/(1+$B$16)^9-$B$31-$B$32)/$B$33</f>
        <v>105.464305743612</v>
      </c>
      <c r="E61" s="46" t="n">
        <f aca="false">($B$15*(Model_3S!$C$18*(1+($B$61+Assumptions!$E$13)/2)^9*E$60)/Model_3S!$L$22+$B$25*(Model_3S!$C$18*(1+($B$61+Assumptions!$E$13)/2)^9*E$60)/(1+$B$16)^9-$B$31-$B$32)/$B$33</f>
        <v>116.787044744849</v>
      </c>
      <c r="F61" s="46" t="n">
        <f aca="false">($B$15*(Model_3S!$C$18*(1+($B$61+Assumptions!$E$13)/2)^9*F$60)/Model_3S!$L$22+$B$25*(Model_3S!$C$18*(1+($B$61+Assumptions!$E$13)/2)^9*F$60)/(1+$B$16)^9-$B$31-$B$32)/$B$33</f>
        <v>128.109783746086</v>
      </c>
      <c r="G61" s="46" t="n">
        <f aca="false">($B$15*(Model_3S!$C$18*(1+($B$61+Assumptions!$E$13)/2)^9*G$60)/Model_3S!$L$22+$B$25*(Model_3S!$C$18*(1+($B$61+Assumptions!$E$13)/2)^9*G$60)/(1+$B$16)^9-$B$31-$B$32)/$B$33</f>
        <v>136.601837997014</v>
      </c>
    </row>
    <row r="62" customFormat="false" ht="15" hidden="false" customHeight="false" outlineLevel="0" collapsed="false">
      <c r="B62" s="44" t="n">
        <v>0.056</v>
      </c>
      <c r="C62" s="46" t="n">
        <f aca="false">($B$15*(Model_3S!$C$18*(1+($B$62+Assumptions!$E$13)/2)^9*C$60)/Model_3S!$L$22+$B$25*(Model_3S!$C$18*(1+($B$62+Assumptions!$E$13)/2)^9*C$60)/(1+$B$16)^9-$B$31-$B$32)/$B$33</f>
        <v>113.442263493341</v>
      </c>
      <c r="D62" s="46" t="n">
        <f aca="false">($B$15*(Model_3S!$C$18*(1+($B$62+Assumptions!$E$13)/2)^9*D$60)/Model_3S!$L$22+$B$25*(Model_3S!$C$18*(1+($B$62+Assumptions!$E$13)/2)^9*D$60)/(1+$B$16)^9-$B$31-$B$32)/$B$33</f>
        <v>129.571703450358</v>
      </c>
      <c r="E62" s="46" t="n">
        <f aca="false">($B$15*(Model_3S!$C$18*(1+($B$62+Assumptions!$E$13)/2)^9*E$60)/Model_3S!$L$22+$B$25*(Model_3S!$C$18*(1+($B$62+Assumptions!$E$13)/2)^9*E$60)/(1+$B$16)^9-$B$31-$B$32)/$B$33</f>
        <v>142.475255415972</v>
      </c>
      <c r="F62" s="46" t="n">
        <f aca="false">($B$15*(Model_3S!$C$18*(1+($B$62+Assumptions!$E$13)/2)^9*F$60)/Model_3S!$L$22+$B$25*(Model_3S!$C$18*(1+($B$62+Assumptions!$E$13)/2)^9*F$60)/(1+$B$16)^9-$B$31-$B$32)/$B$33</f>
        <v>155.378807381586</v>
      </c>
      <c r="G62" s="46" t="n">
        <f aca="false">($B$15*(Model_3S!$C$18*(1+($B$62+Assumptions!$E$13)/2)^9*G$60)/Model_3S!$L$22+$B$25*(Model_3S!$C$18*(1+($B$62+Assumptions!$E$13)/2)^9*G$60)/(1+$B$16)^9-$B$31-$B$32)/$B$33</f>
        <v>165.056471355796</v>
      </c>
    </row>
    <row r="63" customFormat="false" ht="15" hidden="false" customHeight="false" outlineLevel="0" collapsed="false">
      <c r="B63" s="44" t="n">
        <v>0.086</v>
      </c>
      <c r="C63" s="46" t="n">
        <f aca="false">($B$15*(Model_3S!$C$18*(1+($B$63+Assumptions!$E$13)/2)^9*C$60)/Model_3S!$L$22+$B$25*(Model_3S!$C$18*(1+($B$63+Assumptions!$E$13)/2)^9*C$60)/(1+$B$16)^9-$B$31-$B$32)/$B$33</f>
        <v>138.278749115413</v>
      </c>
      <c r="D63" s="46" t="n">
        <f aca="false">($B$15*(Model_3S!$C$18*(1+($B$63+Assumptions!$E$13)/2)^9*D$60)/Model_3S!$L$22+$B$25*(Model_3S!$C$18*(1+($B$63+Assumptions!$E$13)/2)^9*D$60)/(1+$B$16)^9-$B$31-$B$32)/$B$33</f>
        <v>156.625732431544</v>
      </c>
      <c r="E63" s="46" t="n">
        <f aca="false">($B$15*(Model_3S!$C$18*(1+($B$63+Assumptions!$E$13)/2)^9*E$60)/Model_3S!$L$22+$B$25*(Model_3S!$C$18*(1+($B$63+Assumptions!$E$13)/2)^9*E$60)/(1+$B$16)^9-$B$31-$B$32)/$B$33</f>
        <v>171.303319084449</v>
      </c>
      <c r="F63" s="46" t="n">
        <f aca="false">($B$15*(Model_3S!$C$18*(1+($B$63+Assumptions!$E$13)/2)^9*F$60)/Model_3S!$L$22+$B$25*(Model_3S!$C$18*(1+($B$63+Assumptions!$E$13)/2)^9*F$60)/(1+$B$16)^9-$B$31-$B$32)/$B$33</f>
        <v>185.980905737354</v>
      </c>
      <c r="G63" s="46" t="n">
        <f aca="false">($B$15*(Model_3S!$C$18*(1+($B$63+Assumptions!$E$13)/2)^9*G$60)/Model_3S!$L$22+$B$25*(Model_3S!$C$18*(1+($B$63+Assumptions!$E$13)/2)^9*G$60)/(1+$B$16)^9-$B$31-$B$32)/$B$33</f>
        <v>196.989095727032</v>
      </c>
    </row>
    <row r="64" customFormat="false" ht="15" hidden="false" customHeight="false" outlineLevel="0" collapsed="false">
      <c r="B64" s="44" t="n">
        <v>0.106</v>
      </c>
      <c r="C64" s="46" t="n">
        <f aca="false">($B$15*(Model_3S!$C$18*(1+($B$64+Assumptions!$E$13)/2)^9*C$60)/Model_3S!$L$22+$B$25*(Model_3S!$C$18*(1+($B$64+Assumptions!$E$13)/2)^9*C$60)/(1+$B$16)^9-$B$31-$B$32)/$B$33</f>
        <v>156.478964977734</v>
      </c>
      <c r="D64" s="46" t="n">
        <f aca="false">($B$15*(Model_3S!$C$18*(1+($B$64+Assumptions!$E$13)/2)^9*D$60)/Model_3S!$L$22+$B$25*(Model_3S!$C$18*(1+($B$64+Assumptions!$E$13)/2)^9*D$60)/(1+$B$16)^9-$B$31-$B$32)/$B$33</f>
        <v>176.450967567286</v>
      </c>
      <c r="E64" s="46" t="n">
        <f aca="false">($B$15*(Model_3S!$C$18*(1+($B$64+Assumptions!$E$13)/2)^9*E$60)/Model_3S!$L$22+$B$25*(Model_3S!$C$18*(1+($B$64+Assumptions!$E$13)/2)^9*E$60)/(1+$B$16)^9-$B$31-$B$32)/$B$33</f>
        <v>192.428569638928</v>
      </c>
      <c r="F64" s="46" t="n">
        <f aca="false">($B$15*(Model_3S!$C$18*(1+($B$64+Assumptions!$E$13)/2)^9*F$60)/Model_3S!$L$22+$B$25*(Model_3S!$C$18*(1+($B$64+Assumptions!$E$13)/2)^9*F$60)/(1+$B$16)^9-$B$31-$B$32)/$B$33</f>
        <v>208.40617171057</v>
      </c>
      <c r="G64" s="46" t="n">
        <f aca="false">($B$15*(Model_3S!$C$18*(1+($B$64+Assumptions!$E$13)/2)^9*G$60)/Model_3S!$L$22+$B$25*(Model_3S!$C$18*(1+($B$64+Assumptions!$E$13)/2)^9*G$60)/(1+$B$16)^9-$B$31-$B$32)/$B$33</f>
        <v>220.389373264301</v>
      </c>
    </row>
    <row r="65" customFormat="false" ht="15" hidden="false" customHeight="false" outlineLevel="0" collapsed="false">
      <c r="B65" s="44" t="n">
        <v>0.126</v>
      </c>
      <c r="C65" s="46" t="n">
        <f aca="false">($B$15*(Model_3S!$C$18*(1+($B$65+Assumptions!$E$13)/2)^9*C$60)/Model_3S!$L$22+$B$25*(Model_3S!$C$18*(1+($B$65+Assumptions!$E$13)/2)^9*C$60)/(1+$B$16)^9-$B$31-$B$32)/$B$33</f>
        <v>176.098235424555</v>
      </c>
      <c r="D65" s="46" t="n">
        <f aca="false">($B$15*(Model_3S!$C$18*(1+($B$65+Assumptions!$E$13)/2)^9*D$60)/Model_3S!$L$22+$B$25*(Model_3S!$C$18*(1+($B$65+Assumptions!$E$13)/2)^9*D$60)/(1+$B$16)^9-$B$31-$B$32)/$B$33</f>
        <v>197.821958589716</v>
      </c>
      <c r="E65" s="46" t="n">
        <f aca="false">($B$15*(Model_3S!$C$18*(1+($B$65+Assumptions!$E$13)/2)^9*E$60)/Model_3S!$L$22+$B$25*(Model_3S!$C$18*(1+($B$65+Assumptions!$E$13)/2)^9*E$60)/(1+$B$16)^9-$B$31-$B$32)/$B$33</f>
        <v>215.200937121846</v>
      </c>
      <c r="F65" s="46" t="n">
        <f aca="false">($B$15*(Model_3S!$C$18*(1+($B$65+Assumptions!$E$13)/2)^9*F$60)/Model_3S!$L$22+$B$25*(Model_3S!$C$18*(1+($B$65+Assumptions!$E$13)/2)^9*F$60)/(1+$B$16)^9-$B$31-$B$32)/$B$33</f>
        <v>232.579915653975</v>
      </c>
      <c r="G65" s="46" t="n">
        <f aca="false">($B$15*(Model_3S!$C$18*(1+($B$65+Assumptions!$E$13)/2)^9*G$60)/Model_3S!$L$22+$B$25*(Model_3S!$C$18*(1+($B$65+Assumptions!$E$13)/2)^9*G$60)/(1+$B$16)^9-$B$31-$B$32)/$B$33</f>
        <v>245.614149553071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40"/>
    <col collapsed="false" customWidth="true" hidden="false" outlineLevel="0" max="3" min="2" style="0" width="9"/>
    <col collapsed="false" customWidth="true" hidden="false" outlineLevel="0" max="4" min="4" style="0" width="11"/>
    <col collapsed="false" customWidth="true" hidden="false" outlineLevel="0" max="6" min="5" style="0" width="10"/>
    <col collapsed="false" customWidth="true" hidden="false" outlineLevel="0" max="7" min="7" style="0" width="40"/>
  </cols>
  <sheetData>
    <row r="1" customFormat="false" ht="17.35" hidden="false" customHeight="false" outlineLevel="0" collapsed="false">
      <c r="A1" s="1" t="s">
        <v>275</v>
      </c>
    </row>
    <row r="4" customFormat="false" ht="15" hidden="false" customHeight="false" outlineLevel="0" collapsed="false">
      <c r="A4" s="11" t="s">
        <v>276</v>
      </c>
      <c r="B4" s="11" t="s">
        <v>277</v>
      </c>
      <c r="C4" s="11" t="s">
        <v>278</v>
      </c>
      <c r="D4" s="11" t="s">
        <v>279</v>
      </c>
      <c r="E4" s="11" t="s">
        <v>280</v>
      </c>
      <c r="F4" s="11" t="s">
        <v>281</v>
      </c>
    </row>
    <row r="5" customFormat="false" ht="15" hidden="false" customHeight="false" outlineLevel="0" collapsed="false">
      <c r="A5" s="3" t="s">
        <v>282</v>
      </c>
      <c r="B5" s="3" t="s">
        <v>283</v>
      </c>
      <c r="C5" s="48" t="n">
        <v>3.74</v>
      </c>
      <c r="D5" s="48" t="n">
        <v>13.58</v>
      </c>
      <c r="E5" s="49" t="n">
        <v>1.12</v>
      </c>
      <c r="F5" s="14" t="s">
        <v>284</v>
      </c>
    </row>
    <row r="6" customFormat="false" ht="15" hidden="false" customHeight="false" outlineLevel="0" collapsed="false">
      <c r="A6" s="3" t="s">
        <v>285</v>
      </c>
      <c r="B6" s="3" t="s">
        <v>286</v>
      </c>
      <c r="C6" s="48" t="n">
        <v>1.58</v>
      </c>
      <c r="D6" s="48" t="n">
        <v>19.59</v>
      </c>
      <c r="E6" s="49" t="n">
        <v>1.2</v>
      </c>
      <c r="F6" s="14" t="s">
        <v>287</v>
      </c>
    </row>
    <row r="7" customFormat="false" ht="15" hidden="false" customHeight="false" outlineLevel="0" collapsed="false">
      <c r="A7" s="3" t="s">
        <v>288</v>
      </c>
      <c r="B7" s="3" t="s">
        <v>289</v>
      </c>
      <c r="C7" s="48" t="n">
        <v>7.29</v>
      </c>
      <c r="D7" s="48" t="n">
        <v>28.86</v>
      </c>
      <c r="E7" s="49" t="n">
        <v>1.62</v>
      </c>
      <c r="F7" s="14" t="s">
        <v>290</v>
      </c>
    </row>
    <row r="8" customFormat="false" ht="15" hidden="false" customHeight="false" outlineLevel="0" collapsed="false">
      <c r="A8" s="3" t="s">
        <v>291</v>
      </c>
      <c r="B8" s="3" t="s">
        <v>292</v>
      </c>
      <c r="C8" s="48" t="n">
        <v>3.81</v>
      </c>
      <c r="D8" s="48" t="n">
        <v>11.14</v>
      </c>
      <c r="E8" s="49" t="n">
        <v>1.41</v>
      </c>
      <c r="F8" s="14" t="s">
        <v>293</v>
      </c>
    </row>
    <row r="9" customFormat="false" ht="15" hidden="false" customHeight="false" outlineLevel="0" collapsed="false">
      <c r="A9" s="8" t="s">
        <v>294</v>
      </c>
      <c r="C9" s="50" t="n">
        <f aca="false">MEDIAN(C5:C7)</f>
        <v>3.74</v>
      </c>
      <c r="D9" s="50" t="n">
        <f aca="false">MEDIAN(D5:D7)</f>
        <v>19.59</v>
      </c>
    </row>
    <row r="11" customFormat="false" ht="15" hidden="false" customHeight="false" outlineLevel="0" collapsed="false">
      <c r="A11" s="14" t="s">
        <v>295</v>
      </c>
    </row>
    <row r="13" customFormat="false" ht="15" hidden="false" customHeight="false" outlineLevel="0" collapsed="false">
      <c r="A13" s="5" t="s">
        <v>296</v>
      </c>
    </row>
    <row r="14" customFormat="false" ht="15" hidden="false" customHeight="false" outlineLevel="0" collapsed="false">
      <c r="A14" s="11" t="s">
        <v>297</v>
      </c>
      <c r="B14" s="11" t="s">
        <v>298</v>
      </c>
      <c r="C14" s="11" t="s">
        <v>299</v>
      </c>
      <c r="D14" s="11" t="s">
        <v>300</v>
      </c>
      <c r="E14" s="11" t="s">
        <v>301</v>
      </c>
      <c r="F14" s="11" t="s">
        <v>302</v>
      </c>
    </row>
    <row r="15" customFormat="false" ht="15" hidden="false" customHeight="false" outlineLevel="0" collapsed="false">
      <c r="A15" s="3" t="s">
        <v>303</v>
      </c>
      <c r="B15" s="17" t="n">
        <v>9</v>
      </c>
      <c r="C15" s="17" t="n">
        <v>14</v>
      </c>
      <c r="D15" s="25" t="n">
        <f aca="false">Model_3S!C22</f>
        <v>7051.416</v>
      </c>
      <c r="E15" s="42" t="n">
        <f aca="false">(B15*D15-DCF!$B$31-DCF!$B$32)/Assumptions!$B$37</f>
        <v>120.997589355531</v>
      </c>
      <c r="F15" s="42" t="n">
        <f aca="false">(C15*D15-DCF!$B$31-DCF!$B$32)/Assumptions!$B$37</f>
        <v>225.555952344855</v>
      </c>
    </row>
    <row r="16" customFormat="false" ht="15" hidden="false" customHeight="false" outlineLevel="0" collapsed="false">
      <c r="A16" s="3" t="s">
        <v>304</v>
      </c>
      <c r="B16" s="17" t="n">
        <v>14</v>
      </c>
      <c r="C16" s="17" t="n">
        <v>20</v>
      </c>
      <c r="D16" s="51" t="n">
        <f aca="false">Historicals!I16</f>
        <v>9.95</v>
      </c>
      <c r="E16" s="42" t="n">
        <f aca="false">B16*D16</f>
        <v>139.3</v>
      </c>
      <c r="F16" s="42" t="n">
        <f aca="false">C16*D16</f>
        <v>199</v>
      </c>
    </row>
    <row r="18" customFormat="false" ht="15" hidden="false" customHeight="false" outlineLevel="0" collapsed="false">
      <c r="A18" s="14" t="s">
        <v>305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3" min="2" style="0" width="16"/>
    <col collapsed="false" customWidth="true" hidden="false" outlineLevel="0" max="4" min="4" style="0" width="11"/>
    <col collapsed="false" customWidth="true" hidden="false" outlineLevel="0" max="5" min="5" style="0" width="12"/>
    <col collapsed="false" customWidth="true" hidden="false" outlineLevel="0" max="6" min="6" style="0" width="70"/>
  </cols>
  <sheetData>
    <row r="1" customFormat="false" ht="17.35" hidden="false" customHeight="false" outlineLevel="0" collapsed="false">
      <c r="A1" s="1" t="s">
        <v>306</v>
      </c>
    </row>
    <row r="4" customFormat="false" ht="15" hidden="false" customHeight="false" outlineLevel="0" collapsed="false">
      <c r="A4" s="11" t="s">
        <v>307</v>
      </c>
      <c r="B4" s="11" t="s">
        <v>308</v>
      </c>
      <c r="C4" s="11" t="s">
        <v>309</v>
      </c>
      <c r="D4" s="11" t="s">
        <v>310</v>
      </c>
      <c r="E4" s="11" t="s">
        <v>311</v>
      </c>
      <c r="F4" s="11" t="s">
        <v>281</v>
      </c>
    </row>
    <row r="5" customFormat="false" ht="15" hidden="false" customHeight="false" outlineLevel="0" collapsed="false">
      <c r="A5" s="3" t="s">
        <v>312</v>
      </c>
      <c r="B5" s="3" t="s">
        <v>282</v>
      </c>
      <c r="C5" s="3" t="s">
        <v>313</v>
      </c>
      <c r="D5" s="19" t="n">
        <v>29100</v>
      </c>
      <c r="E5" s="48" t="n">
        <v>7.9</v>
      </c>
      <c r="F5" s="14" t="s">
        <v>314</v>
      </c>
    </row>
    <row r="6" customFormat="false" ht="15" hidden="false" customHeight="false" outlineLevel="0" collapsed="false">
      <c r="A6" s="3" t="s">
        <v>315</v>
      </c>
      <c r="B6" s="3" t="s">
        <v>316</v>
      </c>
      <c r="C6" s="3" t="s">
        <v>317</v>
      </c>
      <c r="D6" s="19" t="n">
        <v>3430</v>
      </c>
      <c r="E6" s="48" t="n">
        <v>6.1</v>
      </c>
      <c r="F6" s="14" t="s">
        <v>318</v>
      </c>
    </row>
    <row r="7" customFormat="false" ht="15" hidden="false" customHeight="false" outlineLevel="0" collapsed="false">
      <c r="A7" s="3" t="s">
        <v>319</v>
      </c>
      <c r="B7" s="3" t="s">
        <v>320</v>
      </c>
      <c r="C7" s="3" t="s">
        <v>313</v>
      </c>
      <c r="D7" s="19" t="n">
        <v>17100</v>
      </c>
      <c r="E7" s="48" t="n">
        <v>7.4</v>
      </c>
      <c r="F7" s="14" t="s">
        <v>321</v>
      </c>
    </row>
    <row r="8" customFormat="false" ht="15" hidden="false" customHeight="false" outlineLevel="0" collapsed="false">
      <c r="A8" s="3" t="s">
        <v>322</v>
      </c>
      <c r="B8" s="3" t="s">
        <v>316</v>
      </c>
      <c r="C8" s="3" t="s">
        <v>323</v>
      </c>
      <c r="D8" s="19" t="n">
        <v>10700</v>
      </c>
      <c r="E8" s="48" t="n">
        <v>7.5</v>
      </c>
      <c r="F8" s="14" t="s">
        <v>324</v>
      </c>
    </row>
    <row r="9" customFormat="false" ht="15" hidden="false" customHeight="false" outlineLevel="0" collapsed="false">
      <c r="A9" s="3" t="s">
        <v>325</v>
      </c>
      <c r="B9" s="3" t="s">
        <v>326</v>
      </c>
      <c r="C9" s="3" t="s">
        <v>327</v>
      </c>
      <c r="D9" s="19" t="n">
        <v>45000</v>
      </c>
      <c r="E9" s="48" t="n">
        <v>8.5</v>
      </c>
      <c r="F9" s="14" t="s">
        <v>328</v>
      </c>
    </row>
    <row r="10" customFormat="false" ht="15" hidden="false" customHeight="false" outlineLevel="0" collapsed="false">
      <c r="A10" s="3" t="s">
        <v>329</v>
      </c>
      <c r="B10" s="3" t="s">
        <v>330</v>
      </c>
      <c r="C10" s="3" t="s">
        <v>331</v>
      </c>
      <c r="D10" s="19" t="n">
        <v>2600</v>
      </c>
      <c r="E10" s="48" t="n">
        <v>7</v>
      </c>
      <c r="F10" s="14" t="s">
        <v>332</v>
      </c>
    </row>
    <row r="11" customFormat="false" ht="15" hidden="false" customHeight="false" outlineLevel="0" collapsed="false">
      <c r="A11" s="8" t="s">
        <v>333</v>
      </c>
      <c r="E11" s="50" t="n">
        <f aca="false">MEDIAN(E5:E10)</f>
        <v>7.45</v>
      </c>
    </row>
    <row r="13" customFormat="false" ht="15" hidden="false" customHeight="false" outlineLevel="0" collapsed="false">
      <c r="A13" s="5" t="s">
        <v>334</v>
      </c>
    </row>
    <row r="14" customFormat="false" ht="15" hidden="false" customHeight="false" outlineLevel="0" collapsed="false">
      <c r="A14" s="14" t="s">
        <v>335</v>
      </c>
    </row>
    <row r="15" customFormat="false" ht="15" hidden="false" customHeight="false" outlineLevel="0" collapsed="false">
      <c r="A15" s="11"/>
      <c r="B15" s="11" t="s">
        <v>336</v>
      </c>
      <c r="C15" s="11" t="s">
        <v>337</v>
      </c>
    </row>
    <row r="16" customFormat="false" ht="15" hidden="false" customHeight="false" outlineLevel="0" collapsed="false">
      <c r="A16" s="3" t="s">
        <v>338</v>
      </c>
      <c r="B16" s="17" t="n">
        <v>7</v>
      </c>
      <c r="C16" s="17" t="n">
        <v>9</v>
      </c>
    </row>
    <row r="17" customFormat="false" ht="15" hidden="false" customHeight="false" outlineLevel="0" collapsed="false">
      <c r="A17" s="3" t="s">
        <v>339</v>
      </c>
      <c r="B17" s="28" t="n">
        <f aca="false">B16*Model_3S!C22</f>
        <v>49359.912</v>
      </c>
      <c r="C17" s="28" t="n">
        <f aca="false">C16*Model_3S!C22</f>
        <v>63462.744</v>
      </c>
    </row>
    <row r="18" customFormat="false" ht="15" hidden="false" customHeight="false" outlineLevel="0" collapsed="false">
      <c r="A18" s="8" t="s">
        <v>266</v>
      </c>
      <c r="B18" s="42" t="n">
        <f aca="false">(B17-DCF!$B$31-DCF!$B$32)/Assumptions!$B$37</f>
        <v>79.1742441598011</v>
      </c>
      <c r="C18" s="42" t="n">
        <f aca="false">(C17-DCF!$B$31-DCF!$B$32)/Assumptions!$B$37</f>
        <v>120.997589355531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4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48"/>
    <col collapsed="false" customWidth="true" hidden="false" outlineLevel="0" max="5" min="2" style="0" width="14"/>
    <col collapsed="false" customWidth="true" hidden="false" outlineLevel="0" max="6" min="6" style="0" width="12"/>
  </cols>
  <sheetData>
    <row r="1" customFormat="false" ht="17.35" hidden="false" customHeight="false" outlineLevel="0" collapsed="false">
      <c r="A1" s="1" t="s">
        <v>340</v>
      </c>
    </row>
    <row r="4" customFormat="false" ht="15" hidden="false" customHeight="false" outlineLevel="0" collapsed="false">
      <c r="A4" s="5" t="s">
        <v>341</v>
      </c>
    </row>
    <row r="5" customFormat="false" ht="15" hidden="false" customHeight="false" outlineLevel="0" collapsed="false">
      <c r="A5" s="3" t="s">
        <v>342</v>
      </c>
      <c r="B5" s="12" t="n">
        <v>0.2</v>
      </c>
    </row>
    <row r="6" customFormat="false" ht="15" hidden="false" customHeight="false" outlineLevel="0" collapsed="false">
      <c r="A6" s="3" t="s">
        <v>343</v>
      </c>
      <c r="B6" s="42" t="n">
        <f aca="false">Assumptions!B48*(1+B5)</f>
        <v>186.528</v>
      </c>
    </row>
    <row r="7" customFormat="false" ht="15" hidden="false" customHeight="false" outlineLevel="0" collapsed="false">
      <c r="A7" s="3" t="s">
        <v>259</v>
      </c>
      <c r="B7" s="41" t="n">
        <f aca="false">Assumptions!B37</f>
        <v>337.2</v>
      </c>
    </row>
    <row r="8" customFormat="false" ht="15" hidden="false" customHeight="false" outlineLevel="0" collapsed="false">
      <c r="A8" s="3" t="s">
        <v>344</v>
      </c>
      <c r="B8" s="28" t="n">
        <f aca="false">B6*B7</f>
        <v>62897.2416</v>
      </c>
    </row>
    <row r="9" customFormat="false" ht="15" hidden="false" customHeight="false" outlineLevel="0" collapsed="false">
      <c r="A9" s="3" t="s">
        <v>345</v>
      </c>
      <c r="B9" s="25" t="n">
        <f aca="false">DCF!B31+DCF!B32</f>
        <v>22662.3568693151</v>
      </c>
    </row>
    <row r="10" customFormat="false" ht="15" hidden="false" customHeight="false" outlineLevel="0" collapsed="false">
      <c r="A10" s="3" t="s">
        <v>346</v>
      </c>
      <c r="B10" s="27" t="n">
        <f aca="false">B8+B9</f>
        <v>85559.5984693151</v>
      </c>
    </row>
    <row r="11" customFormat="false" ht="15" hidden="false" customHeight="false" outlineLevel="0" collapsed="false">
      <c r="A11" s="3" t="s">
        <v>347</v>
      </c>
      <c r="B11" s="12" t="n">
        <v>0.02</v>
      </c>
    </row>
    <row r="12" customFormat="false" ht="15" hidden="false" customHeight="false" outlineLevel="0" collapsed="false">
      <c r="A12" s="3" t="s">
        <v>348</v>
      </c>
      <c r="B12" s="25" t="n">
        <f aca="false">Model_3S!C22</f>
        <v>7051.416</v>
      </c>
    </row>
    <row r="13" customFormat="false" ht="15" hidden="false" customHeight="false" outlineLevel="0" collapsed="false">
      <c r="A13" s="22" t="s">
        <v>349</v>
      </c>
      <c r="B13" s="39" t="n">
        <f aca="false">B10/B12</f>
        <v>12.1336761962867</v>
      </c>
    </row>
    <row r="14" customFormat="false" ht="15" hidden="false" customHeight="false" outlineLevel="0" collapsed="false">
      <c r="A14" s="11" t="s">
        <v>350</v>
      </c>
      <c r="B14" s="11" t="s">
        <v>351</v>
      </c>
      <c r="C14" s="11" t="s">
        <v>352</v>
      </c>
      <c r="D14" s="11" t="s">
        <v>353</v>
      </c>
    </row>
    <row r="15" customFormat="false" ht="15" hidden="false" customHeight="false" outlineLevel="0" collapsed="false">
      <c r="A15" s="3" t="s">
        <v>354</v>
      </c>
      <c r="B15" s="17" t="n">
        <v>4</v>
      </c>
      <c r="C15" s="12" t="n">
        <v>0.08</v>
      </c>
      <c r="D15" s="28" t="n">
        <f aca="false">B15*$B$12</f>
        <v>28205.664</v>
      </c>
    </row>
    <row r="16" customFormat="false" ht="15" hidden="false" customHeight="false" outlineLevel="0" collapsed="false">
      <c r="A16" s="3" t="s">
        <v>355</v>
      </c>
      <c r="B16" s="17" t="n">
        <v>1.5</v>
      </c>
      <c r="C16" s="12" t="n">
        <v>0.095</v>
      </c>
      <c r="D16" s="28" t="n">
        <f aca="false">B16*$B$12</f>
        <v>10577.124</v>
      </c>
    </row>
    <row r="17" customFormat="false" ht="15" hidden="false" customHeight="false" outlineLevel="0" collapsed="false">
      <c r="A17" s="8" t="s">
        <v>356</v>
      </c>
      <c r="B17" s="50" t="n">
        <f aca="false">B15+B16</f>
        <v>5.5</v>
      </c>
      <c r="D17" s="27" t="n">
        <f aca="false">D15+D16</f>
        <v>38782.788</v>
      </c>
    </row>
    <row r="18" customFormat="false" ht="15" hidden="false" customHeight="false" outlineLevel="0" collapsed="false">
      <c r="A18" s="8" t="s">
        <v>357</v>
      </c>
      <c r="B18" s="27" t="n">
        <f aca="false">B10*(1+B11)-D17</f>
        <v>48488.0024387014</v>
      </c>
    </row>
    <row r="20" customFormat="false" ht="15" hidden="false" customHeight="false" outlineLevel="0" collapsed="false">
      <c r="A20" s="5" t="s">
        <v>358</v>
      </c>
    </row>
    <row r="21" customFormat="false" ht="15" hidden="false" customHeight="false" outlineLevel="0" collapsed="false">
      <c r="A21" s="11"/>
      <c r="B21" s="11" t="s">
        <v>139</v>
      </c>
      <c r="C21" s="11" t="s">
        <v>140</v>
      </c>
      <c r="D21" s="11" t="s">
        <v>141</v>
      </c>
      <c r="E21" s="11" t="s">
        <v>142</v>
      </c>
      <c r="F21" s="11" t="s">
        <v>143</v>
      </c>
    </row>
    <row r="22" customFormat="false" ht="15" hidden="false" customHeight="false" outlineLevel="0" collapsed="false">
      <c r="A22" s="3" t="s">
        <v>359</v>
      </c>
      <c r="B22" s="25" t="n">
        <f aca="false">DCF!B10</f>
        <v>2418.90760579353</v>
      </c>
      <c r="C22" s="25" t="n">
        <f aca="false">DCF!C10</f>
        <v>2838.63014690909</v>
      </c>
      <c r="D22" s="25" t="n">
        <f aca="false">DCF!D10</f>
        <v>3285.14159978294</v>
      </c>
      <c r="E22" s="25" t="n">
        <f aca="false">DCF!E10</f>
        <v>3752.9054019597</v>
      </c>
      <c r="F22" s="25" t="n">
        <f aca="false">DCF!F10</f>
        <v>4235.18432033764</v>
      </c>
    </row>
    <row r="23" customFormat="false" ht="15" hidden="false" customHeight="false" outlineLevel="0" collapsed="false">
      <c r="A23" s="3" t="s">
        <v>360</v>
      </c>
      <c r="B23" s="28" t="n">
        <f aca="false">-$D$15*$C$15</f>
        <v>-2256.45312</v>
      </c>
      <c r="C23" s="28" t="n">
        <f aca="false">-B29*$C$15</f>
        <v>-2256.45312</v>
      </c>
      <c r="D23" s="28" t="n">
        <f aca="false">-C29*$C$15</f>
        <v>-2230.25755008727</v>
      </c>
      <c r="E23" s="28" t="n">
        <f aca="false">-D29*$C$15</f>
        <v>-2166.72741683801</v>
      </c>
      <c r="F23" s="28" t="n">
        <f aca="false">-E29*$C$15</f>
        <v>-2061.86272320646</v>
      </c>
    </row>
    <row r="24" customFormat="false" ht="15" hidden="false" customHeight="false" outlineLevel="0" collapsed="false">
      <c r="A24" s="3" t="s">
        <v>361</v>
      </c>
      <c r="B24" s="28" t="n">
        <f aca="false">-$D$16*$C$16</f>
        <v>-1004.82678</v>
      </c>
      <c r="C24" s="28" t="n">
        <f aca="false">-$D$16*$C$16</f>
        <v>-1004.82678</v>
      </c>
      <c r="D24" s="28" t="n">
        <f aca="false">-$D$16*$C$16</f>
        <v>-1004.82678</v>
      </c>
      <c r="E24" s="28" t="n">
        <f aca="false">-$D$16*$C$16</f>
        <v>-1004.82678</v>
      </c>
      <c r="F24" s="28" t="n">
        <f aca="false">-$D$16*$C$16</f>
        <v>-1004.82678</v>
      </c>
    </row>
    <row r="25" customFormat="false" ht="15" hidden="false" customHeight="false" outlineLevel="0" collapsed="false">
      <c r="A25" s="3" t="s">
        <v>362</v>
      </c>
      <c r="B25" s="28" t="n">
        <f aca="false">-(B23+B24)*Assumptions!$B$38</f>
        <v>750.094377</v>
      </c>
      <c r="C25" s="28" t="n">
        <f aca="false">-(C23+C24)*Assumptions!$B$38</f>
        <v>750.094377</v>
      </c>
      <c r="D25" s="28" t="n">
        <f aca="false">-(D23+D24)*Assumptions!$B$38</f>
        <v>744.069395920073</v>
      </c>
      <c r="E25" s="28" t="n">
        <f aca="false">-(E23+E24)*Assumptions!$B$38</f>
        <v>729.457465272743</v>
      </c>
      <c r="F25" s="28" t="n">
        <f aca="false">-(F23+F24)*Assumptions!$B$38</f>
        <v>705.338585737486</v>
      </c>
    </row>
    <row r="26" customFormat="false" ht="15" hidden="false" customHeight="false" outlineLevel="0" collapsed="false">
      <c r="A26" s="3" t="s">
        <v>363</v>
      </c>
      <c r="B26" s="28" t="n">
        <f aca="false">MAX(0,B22+B23+B24+B25)</f>
        <v>0</v>
      </c>
      <c r="C26" s="28" t="n">
        <f aca="false">MAX(0,C22+C23+C24+C25)</f>
        <v>327.444623909085</v>
      </c>
      <c r="D26" s="28" t="n">
        <f aca="false">MAX(0,D22+D23+D24+D25)</f>
        <v>794.126665615744</v>
      </c>
      <c r="E26" s="28" t="n">
        <f aca="false">MAX(0,E22+E23+E24+E25)</f>
        <v>1310.80867039443</v>
      </c>
      <c r="F26" s="28" t="n">
        <f aca="false">MAX(0,F22+F23+F24+F25)</f>
        <v>1873.83340286866</v>
      </c>
    </row>
    <row r="27" customFormat="false" ht="15" hidden="false" customHeight="false" outlineLevel="0" collapsed="false">
      <c r="A27" s="3" t="s">
        <v>364</v>
      </c>
      <c r="B27" s="28" t="n">
        <f aca="false">$D$15</f>
        <v>28205.664</v>
      </c>
      <c r="C27" s="28" t="n">
        <f aca="false">B29</f>
        <v>28205.664</v>
      </c>
      <c r="D27" s="28" t="n">
        <f aca="false">C29</f>
        <v>27878.2193760909</v>
      </c>
      <c r="E27" s="28" t="n">
        <f aca="false">D29</f>
        <v>27084.0927104752</v>
      </c>
      <c r="F27" s="28" t="n">
        <f aca="false">E29</f>
        <v>25773.2840400807</v>
      </c>
    </row>
    <row r="28" customFormat="false" ht="15" hidden="false" customHeight="false" outlineLevel="0" collapsed="false">
      <c r="A28" s="3" t="s">
        <v>365</v>
      </c>
      <c r="B28" s="28" t="n">
        <f aca="false">-MIN(B27,B26)</f>
        <v>-0</v>
      </c>
      <c r="C28" s="28" t="n">
        <f aca="false">-MIN(C27,C26)</f>
        <v>-327.444623909085</v>
      </c>
      <c r="D28" s="28" t="n">
        <f aca="false">-MIN(D27,D26)</f>
        <v>-794.126665615744</v>
      </c>
      <c r="E28" s="28" t="n">
        <f aca="false">-MIN(E27,E26)</f>
        <v>-1310.80867039443</v>
      </c>
      <c r="F28" s="28" t="n">
        <f aca="false">-MIN(F27,F26)</f>
        <v>-1873.83340286866</v>
      </c>
    </row>
    <row r="29" customFormat="false" ht="15" hidden="false" customHeight="false" outlineLevel="0" collapsed="false">
      <c r="A29" s="3" t="s">
        <v>366</v>
      </c>
      <c r="B29" s="28" t="n">
        <f aca="false">B27+B28</f>
        <v>28205.664</v>
      </c>
      <c r="C29" s="28" t="n">
        <f aca="false">C27+C28</f>
        <v>27878.2193760909</v>
      </c>
      <c r="D29" s="28" t="n">
        <f aca="false">D27+D28</f>
        <v>27084.0927104752</v>
      </c>
      <c r="E29" s="28" t="n">
        <f aca="false">E27+E28</f>
        <v>25773.2840400807</v>
      </c>
      <c r="F29" s="28" t="n">
        <f aca="false">F27+F28</f>
        <v>23899.4506372121</v>
      </c>
    </row>
    <row r="30" customFormat="false" ht="15" hidden="false" customHeight="false" outlineLevel="0" collapsed="false">
      <c r="A30" s="3" t="s">
        <v>367</v>
      </c>
      <c r="B30" s="28" t="n">
        <f aca="false">$D$16</f>
        <v>10577.124</v>
      </c>
      <c r="C30" s="28" t="n">
        <f aca="false">$D$16</f>
        <v>10577.124</v>
      </c>
      <c r="D30" s="28" t="n">
        <f aca="false">$D$16</f>
        <v>10577.124</v>
      </c>
      <c r="E30" s="28" t="n">
        <f aca="false">$D$16</f>
        <v>10577.124</v>
      </c>
      <c r="F30" s="28" t="n">
        <f aca="false">$D$16</f>
        <v>10577.124</v>
      </c>
    </row>
    <row r="31" customFormat="false" ht="15" hidden="false" customHeight="false" outlineLevel="0" collapsed="false">
      <c r="A31" s="8" t="s">
        <v>191</v>
      </c>
      <c r="B31" s="27" t="n">
        <f aca="false">B29+B30</f>
        <v>38782.788</v>
      </c>
      <c r="C31" s="27" t="n">
        <f aca="false">C29+C30</f>
        <v>38455.3433760909</v>
      </c>
      <c r="D31" s="27" t="n">
        <f aca="false">D29+D30</f>
        <v>37661.2167104752</v>
      </c>
      <c r="E31" s="27" t="n">
        <f aca="false">E29+E30</f>
        <v>36350.4080400807</v>
      </c>
      <c r="F31" s="27" t="n">
        <f aca="false">F29+F30</f>
        <v>34476.5746372121</v>
      </c>
    </row>
    <row r="33" customFormat="false" ht="15" hidden="false" customHeight="false" outlineLevel="0" collapsed="false">
      <c r="A33" s="5" t="s">
        <v>368</v>
      </c>
    </row>
    <row r="34" customFormat="false" ht="15" hidden="false" customHeight="false" outlineLevel="0" collapsed="false">
      <c r="A34" s="3" t="s">
        <v>369</v>
      </c>
      <c r="B34" s="25" t="n">
        <f aca="false">Model_3S!H22</f>
        <v>10322.4032870843</v>
      </c>
    </row>
    <row r="35" customFormat="false" ht="15" hidden="false" customHeight="false" outlineLevel="0" collapsed="false">
      <c r="A35" s="3" t="s">
        <v>370</v>
      </c>
      <c r="B35" s="17" t="n">
        <v>10</v>
      </c>
    </row>
    <row r="36" customFormat="false" ht="15" hidden="false" customHeight="false" outlineLevel="0" collapsed="false">
      <c r="A36" s="3" t="s">
        <v>371</v>
      </c>
      <c r="B36" s="28" t="n">
        <f aca="false">B34*B35</f>
        <v>103224.032870843</v>
      </c>
    </row>
    <row r="37" customFormat="false" ht="15" hidden="false" customHeight="false" outlineLevel="0" collapsed="false">
      <c r="A37" s="3" t="s">
        <v>372</v>
      </c>
      <c r="B37" s="28" t="n">
        <f aca="false">-F31</f>
        <v>-34476.5746372121</v>
      </c>
    </row>
    <row r="38" customFormat="false" ht="15" hidden="false" customHeight="false" outlineLevel="0" collapsed="false">
      <c r="A38" s="8" t="s">
        <v>373</v>
      </c>
      <c r="B38" s="27" t="n">
        <f aca="false">B36+B37</f>
        <v>68747.4582336313</v>
      </c>
    </row>
    <row r="39" customFormat="false" ht="15" hidden="false" customHeight="false" outlineLevel="0" collapsed="false">
      <c r="A39" s="8" t="s">
        <v>374</v>
      </c>
      <c r="B39" s="50" t="n">
        <f aca="false">B38/B18</f>
        <v>1.41782409618837</v>
      </c>
    </row>
    <row r="40" customFormat="false" ht="15" hidden="false" customHeight="false" outlineLevel="0" collapsed="false">
      <c r="A40" s="8" t="s">
        <v>375</v>
      </c>
      <c r="B40" s="13" t="n">
        <f aca="false">(B38/B18)^(1/5)-1</f>
        <v>0.0723201591190197</v>
      </c>
    </row>
    <row r="42" customFormat="false" ht="15" hidden="false" customHeight="false" outlineLevel="0" collapsed="false">
      <c r="A42" s="5" t="s">
        <v>376</v>
      </c>
    </row>
    <row r="43" customFormat="false" ht="15" hidden="false" customHeight="false" outlineLevel="0" collapsed="false">
      <c r="A43" s="11" t="s">
        <v>377</v>
      </c>
      <c r="B43" s="11" t="s">
        <v>378</v>
      </c>
      <c r="C43" s="11" t="s">
        <v>379</v>
      </c>
      <c r="D43" s="11" t="s">
        <v>380</v>
      </c>
      <c r="E43" s="11" t="s">
        <v>381</v>
      </c>
    </row>
    <row r="44" customFormat="false" ht="15" hidden="false" customHeight="false" outlineLevel="0" collapsed="false">
      <c r="A44" s="12" t="n">
        <v>0.15</v>
      </c>
      <c r="B44" s="28" t="n">
        <f aca="false">$B$38/(1+A44)^5</f>
        <v>34179.6368446523</v>
      </c>
      <c r="C44" s="28" t="n">
        <f aca="false">(B44+$D$17)/(1+$B$11)</f>
        <v>71531.7890633846</v>
      </c>
      <c r="D44" s="42" t="n">
        <f aca="false">(C44-$B$9)/$B$7</f>
        <v>144.927141738047</v>
      </c>
      <c r="E44" s="30" t="n">
        <f aca="false">D44/Assumptions!$B$48-1</f>
        <v>-0.0676329018396334</v>
      </c>
    </row>
    <row r="45" customFormat="false" ht="15" hidden="false" customHeight="false" outlineLevel="0" collapsed="false">
      <c r="A45" s="12" t="n">
        <v>0.2</v>
      </c>
      <c r="B45" s="28" t="n">
        <f aca="false">$B$38/(1+A45)^5</f>
        <v>27628.0615972348</v>
      </c>
      <c r="C45" s="28" t="n">
        <f aca="false">(B45+$D$17)/(1+$B$11)</f>
        <v>65108.6760757204</v>
      </c>
      <c r="D45" s="42" t="n">
        <f aca="false">(C45-$B$9)/$B$7</f>
        <v>125.878763957311</v>
      </c>
      <c r="E45" s="30" t="n">
        <f aca="false">D45/Assumptions!$B$48-1</f>
        <v>-0.190177792348744</v>
      </c>
    </row>
    <row r="46" customFormat="false" ht="15" hidden="false" customHeight="false" outlineLevel="0" collapsed="false">
      <c r="A46" s="12" t="n">
        <v>0.25</v>
      </c>
      <c r="B46" s="28" t="n">
        <f aca="false">$B$38/(1+A46)^5</f>
        <v>22527.1671139963</v>
      </c>
      <c r="C46" s="28" t="n">
        <f aca="false">(B46+$D$17)/(1+$B$11)</f>
        <v>60107.7991313689</v>
      </c>
      <c r="D46" s="42" t="n">
        <f aca="false">(C46-$B$9)/$B$7</f>
        <v>111.048168036933</v>
      </c>
      <c r="E46" s="30" t="n">
        <f aca="false">D46/Assumptions!$B$48-1</f>
        <v>-0.2855882138643</v>
      </c>
    </row>
    <row r="47" customFormat="false" ht="15" hidden="false" customHeight="false" outlineLevel="0" collapsed="false">
      <c r="A47" s="12" t="n">
        <v>0.3</v>
      </c>
      <c r="B47" s="28" t="n">
        <f aca="false">$B$38/(1+A47)^5</f>
        <v>18515.6892894914</v>
      </c>
      <c r="C47" s="28" t="n">
        <f aca="false">(B47+$D$17)/(1+$B$11)</f>
        <v>56174.9777347955</v>
      </c>
      <c r="D47" s="42" t="n">
        <f aca="false">(C47-$B$9)/$B$7</f>
        <v>99.3849966354698</v>
      </c>
      <c r="E47" s="30" t="n">
        <f aca="false">D47/Assumptions!$B$48-1</f>
        <v>-0.360621483302433</v>
      </c>
    </row>
    <row r="49" customFormat="false" ht="15" hidden="false" customHeight="false" outlineLevel="0" collapsed="false">
      <c r="A49" s="14" t="s">
        <v>382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54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36"/>
    <col collapsed="false" customWidth="true" hidden="false" outlineLevel="0" max="2" min="2" style="0" width="13"/>
    <col collapsed="false" customWidth="true" hidden="false" outlineLevel="0" max="11" min="3" style="0" width="11"/>
    <col collapsed="false" customWidth="true" hidden="false" outlineLevel="0" max="14" min="14" style="0" width="10"/>
  </cols>
  <sheetData>
    <row r="1" customFormat="false" ht="17.35" hidden="false" customHeight="false" outlineLevel="0" collapsed="false">
      <c r="A1" s="1" t="s">
        <v>383</v>
      </c>
    </row>
    <row r="2" customFormat="false" ht="15" hidden="false" customHeight="false" outlineLevel="0" collapsed="false">
      <c r="A2" s="52" t="s">
        <v>384</v>
      </c>
    </row>
    <row r="4" customFormat="false" ht="15" hidden="false" customHeight="false" outlineLevel="0" collapsed="false">
      <c r="A4" s="5" t="s">
        <v>385</v>
      </c>
    </row>
    <row r="5" customFormat="false" ht="15" hidden="false" customHeight="false" outlineLevel="0" collapsed="false">
      <c r="A5" s="11" t="s">
        <v>386</v>
      </c>
      <c r="B5" s="11" t="s">
        <v>387</v>
      </c>
      <c r="C5" s="11" t="s">
        <v>388</v>
      </c>
    </row>
    <row r="6" customFormat="false" ht="15" hidden="false" customHeight="false" outlineLevel="0" collapsed="false">
      <c r="A6" s="3" t="s">
        <v>61</v>
      </c>
      <c r="B6" s="24" t="n">
        <f aca="false">Assumptions!E12</f>
        <v>0.086</v>
      </c>
      <c r="C6" s="12" t="n">
        <v>0.03</v>
      </c>
    </row>
    <row r="7" customFormat="false" ht="15" hidden="false" customHeight="false" outlineLevel="0" collapsed="false">
      <c r="A7" s="3" t="s">
        <v>389</v>
      </c>
      <c r="B7" s="24" t="n">
        <f aca="false">Assumptions!F17-Assumptions!F18</f>
        <v>0.325</v>
      </c>
      <c r="C7" s="12" t="n">
        <v>0.025</v>
      </c>
    </row>
    <row r="8" customFormat="false" ht="15" hidden="false" customHeight="false" outlineLevel="0" collapsed="false">
      <c r="A8" s="3" t="s">
        <v>9</v>
      </c>
      <c r="B8" s="53" t="n">
        <f aca="false">WACC!B20</f>
        <v>0.09209725</v>
      </c>
      <c r="C8" s="32" t="n">
        <v>0.0075</v>
      </c>
    </row>
    <row r="9" customFormat="false" ht="15" hidden="false" customHeight="false" outlineLevel="0" collapsed="false">
      <c r="A9" s="3" t="s">
        <v>370</v>
      </c>
      <c r="B9" s="40" t="n">
        <f aca="false">Assumptions!B47</f>
        <v>10</v>
      </c>
      <c r="C9" s="17" t="n">
        <v>1.5</v>
      </c>
    </row>
    <row r="11" customFormat="false" ht="15" hidden="false" customHeight="false" outlineLevel="0" collapsed="false">
      <c r="A11" s="5" t="s">
        <v>390</v>
      </c>
    </row>
    <row r="12" customFormat="false" ht="15" hidden="false" customHeight="false" outlineLevel="0" collapsed="false">
      <c r="A12" s="3" t="s">
        <v>391</v>
      </c>
      <c r="B12" s="25" t="n">
        <f aca="false">Model_3S!L22</f>
        <v>12278.9452066042</v>
      </c>
    </row>
    <row r="13" customFormat="false" ht="15" hidden="false" customHeight="false" outlineLevel="0" collapsed="false">
      <c r="A13" s="3" t="s">
        <v>392</v>
      </c>
      <c r="B13" s="25" t="n">
        <f aca="false">DCF!B15</f>
        <v>24733.966645373</v>
      </c>
    </row>
    <row r="14" customFormat="false" ht="15" hidden="false" customHeight="false" outlineLevel="0" collapsed="false">
      <c r="A14" s="3" t="s">
        <v>393</v>
      </c>
      <c r="B14" s="25" t="n">
        <f aca="false">DCF!B31</f>
        <v>20662.3568693151</v>
      </c>
    </row>
    <row r="15" customFormat="false" ht="15" hidden="false" customHeight="false" outlineLevel="0" collapsed="false">
      <c r="A15" s="3" t="s">
        <v>259</v>
      </c>
      <c r="B15" s="41" t="n">
        <f aca="false">Assumptions!B37</f>
        <v>337.2</v>
      </c>
    </row>
    <row r="16" customFormat="false" ht="15" hidden="false" customHeight="false" outlineLevel="0" collapsed="false">
      <c r="A16" s="3" t="s">
        <v>394</v>
      </c>
      <c r="B16" s="51" t="n">
        <f aca="false">Assumptions!B48</f>
        <v>155.44</v>
      </c>
    </row>
    <row r="17" customFormat="false" ht="15" hidden="false" customHeight="false" outlineLevel="0" collapsed="false">
      <c r="A17" s="3" t="s">
        <v>395</v>
      </c>
      <c r="B17" s="24" t="n">
        <f aca="false">Assumptions!E13</f>
        <v>0.025</v>
      </c>
    </row>
    <row r="18" customFormat="false" ht="15" hidden="false" customHeight="false" outlineLevel="0" collapsed="false">
      <c r="A18" s="3" t="s">
        <v>396</v>
      </c>
      <c r="B18" s="25" t="n">
        <f aca="false">Model_3S!C18</f>
        <v>23272</v>
      </c>
    </row>
    <row r="19" customFormat="false" ht="15" hidden="false" customHeight="false" outlineLevel="0" collapsed="false">
      <c r="A19" s="3" t="s">
        <v>258</v>
      </c>
      <c r="B19" s="25" t="n">
        <f aca="false">DCF!B32</f>
        <v>2000</v>
      </c>
    </row>
    <row r="20" customFormat="false" ht="15" hidden="false" customHeight="false" outlineLevel="0" collapsed="false">
      <c r="A20" s="5" t="s">
        <v>397</v>
      </c>
    </row>
    <row r="21" customFormat="false" ht="15" hidden="false" customHeight="false" outlineLevel="0" collapsed="false">
      <c r="A21" s="8" t="s">
        <v>398</v>
      </c>
      <c r="B21" s="42" t="n">
        <f aca="false">AVERAGE($K$41:$K$540)</f>
        <v>169.63400226023</v>
      </c>
    </row>
    <row r="22" customFormat="false" ht="15" hidden="false" customHeight="false" outlineLevel="0" collapsed="false">
      <c r="A22" s="3" t="s">
        <v>399</v>
      </c>
      <c r="B22" s="46" t="n">
        <f aca="false">MEDIAN($K$41:$K$540)</f>
        <v>167.394616244761</v>
      </c>
    </row>
    <row r="23" customFormat="false" ht="15" hidden="false" customHeight="false" outlineLevel="0" collapsed="false">
      <c r="A23" s="3" t="s">
        <v>400</v>
      </c>
      <c r="B23" s="46" t="n">
        <f aca="false">STDEV($K$41:$K$540)</f>
        <v>45.5616160780197</v>
      </c>
    </row>
    <row r="24" customFormat="false" ht="15" hidden="false" customHeight="false" outlineLevel="0" collapsed="false">
      <c r="A24" s="3" t="s">
        <v>401</v>
      </c>
      <c r="B24" s="46" t="n">
        <f aca="false">PERCENTILE($K$41:$K$540,0.05)</f>
        <v>98.113468847027</v>
      </c>
    </row>
    <row r="25" customFormat="false" ht="15" hidden="false" customHeight="false" outlineLevel="0" collapsed="false">
      <c r="A25" s="3" t="s">
        <v>402</v>
      </c>
      <c r="B25" s="46" t="n">
        <f aca="false">PERCENTILE($K$41:$K$540,0.25)</f>
        <v>135.310425765678</v>
      </c>
    </row>
    <row r="26" customFormat="false" ht="15" hidden="false" customHeight="false" outlineLevel="0" collapsed="false">
      <c r="A26" s="3" t="s">
        <v>403</v>
      </c>
      <c r="B26" s="46" t="n">
        <f aca="false">PERCENTILE($K$41:$K$540,0.75)</f>
        <v>200.528665090886</v>
      </c>
    </row>
    <row r="27" customFormat="false" ht="15" hidden="false" customHeight="false" outlineLevel="0" collapsed="false">
      <c r="A27" s="3" t="s">
        <v>404</v>
      </c>
      <c r="B27" s="46" t="n">
        <f aca="false">PERCENTILE($K$41:$K$540,0.95)</f>
        <v>245.574052203114</v>
      </c>
    </row>
    <row r="28" customFormat="false" ht="15" hidden="false" customHeight="false" outlineLevel="0" collapsed="false">
      <c r="A28" s="8" t="s">
        <v>405</v>
      </c>
      <c r="B28" s="13" t="n">
        <f aca="false">COUNTIF($K$41:$K$540,"&gt;"&amp;B16)/500</f>
        <v>0.582</v>
      </c>
    </row>
    <row r="30" customFormat="false" ht="15" hidden="false" customHeight="false" outlineLevel="0" collapsed="false">
      <c r="A30" s="5" t="s">
        <v>406</v>
      </c>
    </row>
    <row r="31" customFormat="false" ht="15" hidden="false" customHeight="false" outlineLevel="0" collapsed="false">
      <c r="A31" s="11" t="s">
        <v>407</v>
      </c>
      <c r="B31" s="11" t="s">
        <v>58</v>
      </c>
      <c r="C31" s="11" t="s">
        <v>408</v>
      </c>
    </row>
    <row r="32" customFormat="false" ht="15" hidden="false" customHeight="false" outlineLevel="0" collapsed="false">
      <c r="A32" s="3" t="s">
        <v>54</v>
      </c>
      <c r="B32" s="24" t="n">
        <f aca="false">Assumptions!B8</f>
        <v>0.5</v>
      </c>
      <c r="C32" s="42" t="n">
        <f aca="false">($B$13*($B$18*(1+(Assumptions!B12+Assumptions!B13)/2)^9*(Assumptions!C17-Assumptions!C18))/$B$12+Assumptions!$B$47*($B$18*(1+(Assumptions!B12+Assumptions!B13)/2)^9*(Assumptions!C17-Assumptions!C18))/(1+$B$8)^9-$B$14-$B$19)/$B$15</f>
        <v>171.303319084449</v>
      </c>
    </row>
    <row r="33" customFormat="false" ht="15" hidden="false" customHeight="false" outlineLevel="0" collapsed="false">
      <c r="A33" s="3" t="s">
        <v>55</v>
      </c>
      <c r="B33" s="24" t="n">
        <f aca="false">Assumptions!C8</f>
        <v>0.3</v>
      </c>
      <c r="C33" s="42" t="n">
        <f aca="false">($B$13*($B$18*(1+(Assumptions!C12+Assumptions!C13)/2)^9*(Assumptions!D17-Assumptions!D18))/$B$12+Assumptions!$B$47*($B$18*(1+(Assumptions!C12+Assumptions!C13)/2)^9*(Assumptions!D17-Assumptions!D18))/(1+$B$8)^9-$B$14-$B$19)/$B$15</f>
        <v>265.803957424551</v>
      </c>
    </row>
    <row r="34" customFormat="false" ht="15" hidden="false" customHeight="false" outlineLevel="0" collapsed="false">
      <c r="A34" s="3" t="s">
        <v>56</v>
      </c>
      <c r="B34" s="24" t="n">
        <f aca="false">Assumptions!D8</f>
        <v>0.2</v>
      </c>
      <c r="C34" s="42" t="n">
        <f aca="false">($B$13*($B$18*(1+(Assumptions!D12+Assumptions!D13)/2)^9*(Assumptions!E17-Assumptions!E18))/$B$12+Assumptions!$B$47*($B$18*(1+(Assumptions!D12+Assumptions!D13)/2)^9*(Assumptions!E17-Assumptions!E18))/(1+$B$8)^9-$B$14-$B$19)/$B$15</f>
        <v>74.7452035341011</v>
      </c>
    </row>
    <row r="35" customFormat="false" ht="15" hidden="false" customHeight="false" outlineLevel="0" collapsed="false">
      <c r="A35" s="8" t="s">
        <v>409</v>
      </c>
      <c r="C35" s="42" t="n">
        <f aca="false">SUMPRODUCT(B32:B34,C32:C34)</f>
        <v>180.34188747641</v>
      </c>
    </row>
    <row r="36" customFormat="false" ht="15" hidden="false" customHeight="false" outlineLevel="0" collapsed="false">
      <c r="A36" s="14" t="s">
        <v>410</v>
      </c>
    </row>
    <row r="39" customFormat="false" ht="15" hidden="false" customHeight="false" outlineLevel="0" collapsed="false">
      <c r="A39" s="5" t="s">
        <v>411</v>
      </c>
    </row>
    <row r="40" customFormat="false" ht="15" hidden="false" customHeight="false" outlineLevel="0" collapsed="false">
      <c r="A40" s="11" t="s">
        <v>412</v>
      </c>
      <c r="B40" s="11" t="s">
        <v>413</v>
      </c>
      <c r="C40" s="11" t="s">
        <v>414</v>
      </c>
      <c r="D40" s="11" t="s">
        <v>9</v>
      </c>
      <c r="E40" s="11" t="s">
        <v>415</v>
      </c>
      <c r="F40" s="11" t="s">
        <v>416</v>
      </c>
      <c r="G40" s="11" t="s">
        <v>417</v>
      </c>
      <c r="H40" s="11" t="s">
        <v>418</v>
      </c>
      <c r="I40" s="11" t="s">
        <v>419</v>
      </c>
      <c r="J40" s="11" t="s">
        <v>420</v>
      </c>
      <c r="K40" s="11" t="s">
        <v>421</v>
      </c>
      <c r="N40" s="43" t="s">
        <v>422</v>
      </c>
      <c r="O40" s="43" t="s">
        <v>423</v>
      </c>
      <c r="P40" s="43" t="s">
        <v>424</v>
      </c>
      <c r="Q40" s="43" t="s">
        <v>425</v>
      </c>
    </row>
    <row r="41" customFormat="false" ht="15" hidden="false" customHeight="false" outlineLevel="0" collapsed="false">
      <c r="A41" s="54" t="n">
        <v>1</v>
      </c>
      <c r="B41" s="23" t="n">
        <f aca="true">NORMINV(RAND(),$B$6,$C$6)</f>
        <v>0.0427989538604945</v>
      </c>
      <c r="C41" s="23" t="n">
        <f aca="true">MAX(0.15,NORMINV(RAND(),$B$7,$C$7))</f>
        <v>0.291293893479472</v>
      </c>
      <c r="D41" s="35" t="n">
        <f aca="true">MAX(0.06,NORMINV(RAND(),$B$8,$C$8))</f>
        <v>0.0792686035527144</v>
      </c>
      <c r="E41" s="55" t="n">
        <f aca="true">MAX(5,NORMINV(RAND(),$B$9,$C$9))</f>
        <v>8.60075618598449</v>
      </c>
      <c r="F41" s="28" t="n">
        <f aca="false">$B$18*(1+(B41+$B$17)/2)^9</f>
        <v>31415.1073942325</v>
      </c>
      <c r="G41" s="28" t="n">
        <f aca="false">F41*C41</f>
        <v>9151.02894694174</v>
      </c>
      <c r="H41" s="28" t="n">
        <f aca="false">E41*G41/(1+D41)^9</f>
        <v>39613.2682553765</v>
      </c>
      <c r="I41" s="28" t="n">
        <f aca="false">$B$13*G41/$B$12*((1+$B$8)/(1+D41))^4.5</f>
        <v>19439.9706105226</v>
      </c>
      <c r="J41" s="28" t="n">
        <f aca="false">H41+I41-$B$14-$B$19</f>
        <v>36390.881996584</v>
      </c>
      <c r="K41" s="46" t="n">
        <f aca="false">J41/$B$15</f>
        <v>107.920765114425</v>
      </c>
      <c r="N41" s="3" t="s">
        <v>426</v>
      </c>
      <c r="O41" s="54" t="n">
        <v>60</v>
      </c>
      <c r="P41" s="54" t="n">
        <v>70</v>
      </c>
      <c r="Q41" s="54" t="n">
        <f aca="false">COUNTIF($K$41:$K$540,"&lt;"&amp;P41)</f>
        <v>2</v>
      </c>
    </row>
    <row r="42" customFormat="false" ht="15" hidden="false" customHeight="false" outlineLevel="0" collapsed="false">
      <c r="A42" s="54" t="n">
        <v>2</v>
      </c>
      <c r="B42" s="23" t="n">
        <f aca="true">NORMINV(RAND(),$B$6,$C$6)</f>
        <v>0.037691814011862</v>
      </c>
      <c r="C42" s="23" t="n">
        <f aca="true">MAX(0.15,NORMINV(RAND(),$B$7,$C$7))</f>
        <v>0.322175453186078</v>
      </c>
      <c r="D42" s="35" t="n">
        <f aca="true">MAX(0.06,NORMINV(RAND(),$B$8,$C$8))</f>
        <v>0.0853091741982122</v>
      </c>
      <c r="E42" s="55" t="n">
        <f aca="true">MAX(5,NORMINV(RAND(),$B$9,$C$9))</f>
        <v>11.079451071026</v>
      </c>
      <c r="F42" s="28" t="n">
        <f aca="false">$B$18*(1+(B42+$B$17)/2)^9</f>
        <v>30723.6530891561</v>
      </c>
      <c r="G42" s="28" t="n">
        <f aca="false">F42*C42</f>
        <v>9898.40685753072</v>
      </c>
      <c r="H42" s="28" t="n">
        <f aca="false">E42*G42/(1+D42)^9</f>
        <v>52493.1068175313</v>
      </c>
      <c r="I42" s="28" t="n">
        <f aca="false">$B$13*G42/$B$12*((1+$B$8)/(1+D42))^4.5</f>
        <v>20506.1102188512</v>
      </c>
      <c r="J42" s="28" t="n">
        <f aca="false">H42+I42-$B$14-$B$19</f>
        <v>50336.8601670675</v>
      </c>
      <c r="K42" s="46" t="n">
        <f aca="false">J42/$B$15</f>
        <v>149.278944742193</v>
      </c>
      <c r="N42" s="3" t="s">
        <v>427</v>
      </c>
      <c r="O42" s="54" t="n">
        <v>70</v>
      </c>
      <c r="P42" s="54" t="n">
        <v>80</v>
      </c>
      <c r="Q42" s="54" t="n">
        <f aca="false">COUNTIFS($K$41:$K$540,"&gt;="&amp;O42,$K$41:$K$540,"&lt;"&amp;P42)</f>
        <v>3</v>
      </c>
    </row>
    <row r="43" customFormat="false" ht="15" hidden="false" customHeight="false" outlineLevel="0" collapsed="false">
      <c r="A43" s="54" t="n">
        <v>3</v>
      </c>
      <c r="B43" s="23" t="n">
        <f aca="true">NORMINV(RAND(),$B$6,$C$6)</f>
        <v>0.098635623357064</v>
      </c>
      <c r="C43" s="23" t="n">
        <f aca="true">MAX(0.15,NORMINV(RAND(),$B$7,$C$7))</f>
        <v>0.295453862453144</v>
      </c>
      <c r="D43" s="35" t="n">
        <f aca="true">MAX(0.06,NORMINV(RAND(),$B$8,$C$8))</f>
        <v>0.0865717823317437</v>
      </c>
      <c r="E43" s="55" t="n">
        <f aca="true">MAX(5,NORMINV(RAND(),$B$9,$C$9))</f>
        <v>6.592878600956</v>
      </c>
      <c r="F43" s="28" t="n">
        <f aca="false">$B$18*(1+(B43+$B$17)/2)^9</f>
        <v>39928.5707000385</v>
      </c>
      <c r="G43" s="28" t="n">
        <f aca="false">F43*C43</f>
        <v>11797.0504355598</v>
      </c>
      <c r="H43" s="28" t="n">
        <f aca="false">E43*G43/(1+D43)^9</f>
        <v>36840.2622338868</v>
      </c>
      <c r="I43" s="28" t="n">
        <f aca="false">$B$13*G43/$B$12*((1+$B$8)/(1+D43))^4.5</f>
        <v>24311.9142515865</v>
      </c>
      <c r="J43" s="28" t="n">
        <f aca="false">H43+I43-$B$14-$B$19</f>
        <v>38489.8196161582</v>
      </c>
      <c r="K43" s="46" t="n">
        <f aca="false">J43/$B$15</f>
        <v>114.14537252716</v>
      </c>
      <c r="N43" s="3" t="s">
        <v>428</v>
      </c>
      <c r="O43" s="54" t="n">
        <v>80</v>
      </c>
      <c r="P43" s="54" t="n">
        <v>90</v>
      </c>
      <c r="Q43" s="54" t="n">
        <f aca="false">COUNTIFS($K$41:$K$540,"&gt;="&amp;O43,$K$41:$K$540,"&lt;"&amp;P43)</f>
        <v>9</v>
      </c>
    </row>
    <row r="44" customFormat="false" ht="15" hidden="false" customHeight="false" outlineLevel="0" collapsed="false">
      <c r="A44" s="54" t="n">
        <v>4</v>
      </c>
      <c r="B44" s="23" t="n">
        <f aca="true">NORMINV(RAND(),$B$6,$C$6)</f>
        <v>0.0932594010686893</v>
      </c>
      <c r="C44" s="23" t="n">
        <f aca="true">MAX(0.15,NORMINV(RAND(),$B$7,$C$7))</f>
        <v>0.277579835383853</v>
      </c>
      <c r="D44" s="35" t="n">
        <f aca="true">MAX(0.06,NORMINV(RAND(),$B$8,$C$8))</f>
        <v>0.101251177914308</v>
      </c>
      <c r="E44" s="55" t="n">
        <f aca="true">MAX(5,NORMINV(RAND(),$B$9,$C$9))</f>
        <v>7.91196354670477</v>
      </c>
      <c r="F44" s="28" t="n">
        <f aca="false">$B$18*(1+(B44+$B$17)/2)^9</f>
        <v>39027.9760702312</v>
      </c>
      <c r="G44" s="28" t="n">
        <f aca="false">F44*C44</f>
        <v>10833.3791729397</v>
      </c>
      <c r="H44" s="28" t="n">
        <f aca="false">E44*G44/(1+D44)^9</f>
        <v>35980.7944292192</v>
      </c>
      <c r="I44" s="28" t="n">
        <f aca="false">$B$13*G44/$B$12*((1+$B$8)/(1+D44))^4.5</f>
        <v>21017.6341149964</v>
      </c>
      <c r="J44" s="28" t="n">
        <f aca="false">H44+I44-$B$14-$B$19</f>
        <v>34336.0716749005</v>
      </c>
      <c r="K44" s="46" t="n">
        <f aca="false">J44/$B$15</f>
        <v>101.827021574438</v>
      </c>
      <c r="N44" s="3" t="s">
        <v>429</v>
      </c>
      <c r="O44" s="54" t="n">
        <v>90</v>
      </c>
      <c r="P44" s="54" t="n">
        <v>100</v>
      </c>
      <c r="Q44" s="54" t="n">
        <f aca="false">COUNTIFS($K$41:$K$540,"&gt;="&amp;O44,$K$41:$K$540,"&lt;"&amp;P44)</f>
        <v>17</v>
      </c>
    </row>
    <row r="45" customFormat="false" ht="15" hidden="false" customHeight="false" outlineLevel="0" collapsed="false">
      <c r="A45" s="54" t="n">
        <v>5</v>
      </c>
      <c r="B45" s="23" t="n">
        <f aca="true">NORMINV(RAND(),$B$6,$C$6)</f>
        <v>0.0904046599168084</v>
      </c>
      <c r="C45" s="23" t="n">
        <f aca="true">MAX(0.15,NORMINV(RAND(),$B$7,$C$7))</f>
        <v>0.346649698036534</v>
      </c>
      <c r="D45" s="35" t="n">
        <f aca="true">MAX(0.06,NORMINV(RAND(),$B$8,$C$8))</f>
        <v>0.0949700659286686</v>
      </c>
      <c r="E45" s="55" t="n">
        <f aca="true">MAX(5,NORMINV(RAND(),$B$9,$C$9))</f>
        <v>7.47320020091923</v>
      </c>
      <c r="F45" s="28" t="n">
        <f aca="false">$B$18*(1+(B45+$B$17)/2)^9</f>
        <v>38557.1440158983</v>
      </c>
      <c r="G45" s="28" t="n">
        <f aca="false">F45*C45</f>
        <v>13365.8223302623</v>
      </c>
      <c r="H45" s="28" t="n">
        <f aca="false">E45*G45/(1+D45)^9</f>
        <v>44145.0568536018</v>
      </c>
      <c r="I45" s="28" t="n">
        <f aca="false">$B$13*G45/$B$12*((1+$B$8)/(1+D45))^4.5</f>
        <v>26606.8948910059</v>
      </c>
      <c r="J45" s="28" t="n">
        <f aca="false">H45+I45-$B$14-$B$19</f>
        <v>48089.5948752926</v>
      </c>
      <c r="K45" s="46" t="n">
        <f aca="false">J45/$B$15</f>
        <v>142.614456925542</v>
      </c>
      <c r="N45" s="3" t="s">
        <v>430</v>
      </c>
      <c r="O45" s="54" t="n">
        <v>100</v>
      </c>
      <c r="P45" s="54" t="n">
        <v>110</v>
      </c>
      <c r="Q45" s="54" t="n">
        <f aca="false">COUNTIFS($K$41:$K$540,"&gt;="&amp;O45,$K$41:$K$540,"&lt;"&amp;P45)</f>
        <v>17</v>
      </c>
    </row>
    <row r="46" customFormat="false" ht="15" hidden="false" customHeight="false" outlineLevel="0" collapsed="false">
      <c r="A46" s="54" t="n">
        <v>6</v>
      </c>
      <c r="B46" s="23" t="n">
        <f aca="true">NORMINV(RAND(),$B$6,$C$6)</f>
        <v>0.101982290529821</v>
      </c>
      <c r="C46" s="23" t="n">
        <f aca="true">MAX(0.15,NORMINV(RAND(),$B$7,$C$7))</f>
        <v>0.316553578495845</v>
      </c>
      <c r="D46" s="35" t="n">
        <f aca="true">MAX(0.06,NORMINV(RAND(),$B$8,$C$8))</f>
        <v>0.0881462816450387</v>
      </c>
      <c r="E46" s="55" t="n">
        <f aca="true">MAX(5,NORMINV(RAND(),$B$9,$C$9))</f>
        <v>9.57193792307241</v>
      </c>
      <c r="F46" s="28" t="n">
        <f aca="false">$B$18*(1+(B46+$B$17)/2)^9</f>
        <v>40498.4696717492</v>
      </c>
      <c r="G46" s="28" t="n">
        <f aca="false">F46*C46</f>
        <v>12819.9354981977</v>
      </c>
      <c r="H46" s="28" t="n">
        <f aca="false">E46*G46/(1+D46)^9</f>
        <v>57372.0241267234</v>
      </c>
      <c r="I46" s="28" t="n">
        <f aca="false">$B$13*G46/$B$12*((1+$B$8)/(1+D46))^4.5</f>
        <v>26248.3307425379</v>
      </c>
      <c r="J46" s="28" t="n">
        <f aca="false">H46+I46-$B$14-$B$19</f>
        <v>60957.9979999462</v>
      </c>
      <c r="K46" s="46" t="n">
        <f aca="false">J46/$B$15</f>
        <v>180.776981020007</v>
      </c>
      <c r="N46" s="3" t="s">
        <v>431</v>
      </c>
      <c r="O46" s="54" t="n">
        <v>110</v>
      </c>
      <c r="P46" s="54" t="n">
        <v>120</v>
      </c>
      <c r="Q46" s="54" t="n">
        <f aca="false">COUNTIFS($K$41:$K$540,"&gt;="&amp;O46,$K$41:$K$540,"&lt;"&amp;P46)</f>
        <v>20</v>
      </c>
    </row>
    <row r="47" customFormat="false" ht="15" hidden="false" customHeight="false" outlineLevel="0" collapsed="false">
      <c r="A47" s="54" t="n">
        <v>7</v>
      </c>
      <c r="B47" s="23" t="n">
        <f aca="true">NORMINV(RAND(),$B$6,$C$6)</f>
        <v>0.124618554369795</v>
      </c>
      <c r="C47" s="23" t="n">
        <f aca="true">MAX(0.15,NORMINV(RAND(),$B$7,$C$7))</f>
        <v>0.332673358540272</v>
      </c>
      <c r="D47" s="35" t="n">
        <f aca="true">MAX(0.06,NORMINV(RAND(),$B$8,$C$8))</f>
        <v>0.104624324031512</v>
      </c>
      <c r="E47" s="55" t="n">
        <f aca="true">MAX(5,NORMINV(RAND(),$B$9,$C$9))</f>
        <v>11.3924041706714</v>
      </c>
      <c r="F47" s="28" t="n">
        <f aca="false">$B$18*(1+(B47+$B$17)/2)^9</f>
        <v>44546.7849728703</v>
      </c>
      <c r="G47" s="28" t="n">
        <f aca="false">F47*C47</f>
        <v>14819.5285690961</v>
      </c>
      <c r="H47" s="28" t="n">
        <f aca="false">E47*G47/(1+D47)^9</f>
        <v>68947.4728197287</v>
      </c>
      <c r="I47" s="28" t="n">
        <f aca="false">$B$13*G47/$B$12*((1+$B$8)/(1+D47))^4.5</f>
        <v>28358.1110239558</v>
      </c>
      <c r="J47" s="28" t="n">
        <f aca="false">H47+I47-$B$14-$B$19</f>
        <v>74643.2269743695</v>
      </c>
      <c r="K47" s="46" t="n">
        <f aca="false">J47/$B$15</f>
        <v>221.361883079388</v>
      </c>
      <c r="N47" s="3" t="s">
        <v>432</v>
      </c>
      <c r="O47" s="54" t="n">
        <v>120</v>
      </c>
      <c r="P47" s="54" t="n">
        <v>130</v>
      </c>
      <c r="Q47" s="54" t="n">
        <f aca="false">COUNTIFS($K$41:$K$540,"&gt;="&amp;O47,$K$41:$K$540,"&lt;"&amp;P47)</f>
        <v>35</v>
      </c>
    </row>
    <row r="48" customFormat="false" ht="15" hidden="false" customHeight="false" outlineLevel="0" collapsed="false">
      <c r="A48" s="54" t="n">
        <v>8</v>
      </c>
      <c r="B48" s="23" t="n">
        <f aca="true">NORMINV(RAND(),$B$6,$C$6)</f>
        <v>0.0605035244303284</v>
      </c>
      <c r="C48" s="23" t="n">
        <f aca="true">MAX(0.15,NORMINV(RAND(),$B$7,$C$7))</f>
        <v>0.326201562702413</v>
      </c>
      <c r="D48" s="35" t="n">
        <f aca="true">MAX(0.06,NORMINV(RAND(),$B$8,$C$8))</f>
        <v>0.0800385401570419</v>
      </c>
      <c r="E48" s="55" t="n">
        <f aca="true">MAX(5,NORMINV(RAND(),$B$9,$C$9))</f>
        <v>8.88091485238972</v>
      </c>
      <c r="F48" s="28" t="n">
        <f aca="false">$B$18*(1+(B48+$B$17)/2)^9</f>
        <v>33920.4886832451</v>
      </c>
      <c r="G48" s="28" t="n">
        <f aca="false">F48*C48</f>
        <v>11064.9164161041</v>
      </c>
      <c r="H48" s="28" t="n">
        <f aca="false">E48*G48/(1+D48)^9</f>
        <v>49141.9703386227</v>
      </c>
      <c r="I48" s="28" t="n">
        <f aca="false">$B$13*G48/$B$12*((1+$B$8)/(1+D48))^4.5</f>
        <v>23430.422432803</v>
      </c>
      <c r="J48" s="28" t="n">
        <f aca="false">H48+I48-$B$14-$B$19</f>
        <v>49910.0359021106</v>
      </c>
      <c r="K48" s="46" t="n">
        <f aca="false">J48/$B$15</f>
        <v>148.01315510709</v>
      </c>
      <c r="N48" s="3" t="s">
        <v>433</v>
      </c>
      <c r="O48" s="54" t="n">
        <v>130</v>
      </c>
      <c r="P48" s="54" t="n">
        <v>140</v>
      </c>
      <c r="Q48" s="54" t="n">
        <f aca="false">COUNTIFS($K$41:$K$540,"&gt;="&amp;O48,$K$41:$K$540,"&lt;"&amp;P48)</f>
        <v>38</v>
      </c>
    </row>
    <row r="49" customFormat="false" ht="15" hidden="false" customHeight="false" outlineLevel="0" collapsed="false">
      <c r="A49" s="54" t="n">
        <v>9</v>
      </c>
      <c r="B49" s="23" t="n">
        <f aca="true">NORMINV(RAND(),$B$6,$C$6)</f>
        <v>0.123189102505096</v>
      </c>
      <c r="C49" s="23" t="n">
        <f aca="true">MAX(0.15,NORMINV(RAND(),$B$7,$C$7))</f>
        <v>0.285359413377598</v>
      </c>
      <c r="D49" s="35" t="n">
        <f aca="true">MAX(0.06,NORMINV(RAND(),$B$8,$C$8))</f>
        <v>0.0950066908967715</v>
      </c>
      <c r="E49" s="55" t="n">
        <f aca="true">MAX(5,NORMINV(RAND(),$B$9,$C$9))</f>
        <v>8.72523655741999</v>
      </c>
      <c r="F49" s="28" t="n">
        <f aca="false">$B$18*(1+(B49+$B$17)/2)^9</f>
        <v>44280.8888054749</v>
      </c>
      <c r="G49" s="28" t="n">
        <f aca="false">F49*C49</f>
        <v>12635.9684533689</v>
      </c>
      <c r="H49" s="28" t="n">
        <f aca="false">E49*G49/(1+D49)^9</f>
        <v>48711.8683541272</v>
      </c>
      <c r="I49" s="28" t="n">
        <f aca="false">$B$13*G49/$B$12*((1+$B$8)/(1+D49))^4.5</f>
        <v>25150.213447677</v>
      </c>
      <c r="J49" s="28" t="n">
        <f aca="false">H49+I49-$B$14-$B$19</f>
        <v>51199.7249324892</v>
      </c>
      <c r="K49" s="46" t="n">
        <f aca="false">J49/$B$15</f>
        <v>151.837855671676</v>
      </c>
      <c r="N49" s="3" t="s">
        <v>434</v>
      </c>
      <c r="O49" s="54" t="n">
        <v>140</v>
      </c>
      <c r="P49" s="54" t="n">
        <v>150</v>
      </c>
      <c r="Q49" s="54" t="n">
        <f aca="false">COUNTIFS($K$41:$K$540,"&gt;="&amp;O49,$K$41:$K$540,"&lt;"&amp;P49)</f>
        <v>34</v>
      </c>
    </row>
    <row r="50" customFormat="false" ht="15" hidden="false" customHeight="false" outlineLevel="0" collapsed="false">
      <c r="A50" s="54" t="n">
        <v>10</v>
      </c>
      <c r="B50" s="23" t="n">
        <f aca="true">NORMINV(RAND(),$B$6,$C$6)</f>
        <v>0.0676394978682931</v>
      </c>
      <c r="C50" s="23" t="n">
        <f aca="true">MAX(0.15,NORMINV(RAND(),$B$7,$C$7))</f>
        <v>0.324244199651675</v>
      </c>
      <c r="D50" s="35" t="n">
        <f aca="true">MAX(0.06,NORMINV(RAND(),$B$8,$C$8))</f>
        <v>0.0869630393388443</v>
      </c>
      <c r="E50" s="55" t="n">
        <f aca="true">MAX(5,NORMINV(RAND(),$B$9,$C$9))</f>
        <v>7.72432388299546</v>
      </c>
      <c r="F50" s="28" t="n">
        <f aca="false">$B$18*(1+(B50+$B$17)/2)^9</f>
        <v>34979.4930675403</v>
      </c>
      <c r="G50" s="28" t="n">
        <f aca="false">F50*C50</f>
        <v>11341.8977339059</v>
      </c>
      <c r="H50" s="28" t="n">
        <f aca="false">E50*G50/(1+D50)^9</f>
        <v>41363.1125592077</v>
      </c>
      <c r="I50" s="28" t="n">
        <f aca="false">$B$13*G50/$B$12*((1+$B$8)/(1+D50))^4.5</f>
        <v>23336.0771484861</v>
      </c>
      <c r="J50" s="28" t="n">
        <f aca="false">H50+I50-$B$14-$B$19</f>
        <v>42036.8328383787</v>
      </c>
      <c r="K50" s="46" t="n">
        <f aca="false">J50/$B$15</f>
        <v>124.664391572891</v>
      </c>
      <c r="N50" s="3" t="s">
        <v>435</v>
      </c>
      <c r="O50" s="54" t="n">
        <v>150</v>
      </c>
      <c r="P50" s="54" t="n">
        <v>160</v>
      </c>
      <c r="Q50" s="54" t="n">
        <f aca="false">COUNTIFS($K$41:$K$540,"&gt;="&amp;O50,$K$41:$K$540,"&lt;"&amp;P50)</f>
        <v>50</v>
      </c>
    </row>
    <row r="51" customFormat="false" ht="15" hidden="false" customHeight="false" outlineLevel="0" collapsed="false">
      <c r="A51" s="54" t="n">
        <v>11</v>
      </c>
      <c r="B51" s="23" t="n">
        <f aca="true">NORMINV(RAND(),$B$6,$C$6)</f>
        <v>0.154751645899081</v>
      </c>
      <c r="C51" s="23" t="n">
        <f aca="true">MAX(0.15,NORMINV(RAND(),$B$7,$C$7))</f>
        <v>0.298751291223261</v>
      </c>
      <c r="D51" s="35" t="n">
        <f aca="true">MAX(0.06,NORMINV(RAND(),$B$8,$C$8))</f>
        <v>0.0883579610295035</v>
      </c>
      <c r="E51" s="55" t="n">
        <f aca="true">MAX(5,NORMINV(RAND(),$B$9,$C$9))</f>
        <v>11.5047870990675</v>
      </c>
      <c r="F51" s="28" t="n">
        <f aca="false">$B$18*(1+(B51+$B$17)/2)^9</f>
        <v>50492.5001746053</v>
      </c>
      <c r="G51" s="28" t="n">
        <f aca="false">F51*C51</f>
        <v>15084.699624254</v>
      </c>
      <c r="H51" s="28" t="n">
        <f aca="false">E51*G51/(1+D51)^9</f>
        <v>80997.0921659354</v>
      </c>
      <c r="I51" s="28" t="n">
        <f aca="false">$B$13*G51/$B$12*((1+$B$8)/(1+D51))^4.5</f>
        <v>30858.3268177959</v>
      </c>
      <c r="J51" s="28" t="n">
        <f aca="false">H51+I51-$B$14-$B$19</f>
        <v>89193.0621144162</v>
      </c>
      <c r="K51" s="46" t="n">
        <f aca="false">J51/$B$15</f>
        <v>264.510860363037</v>
      </c>
      <c r="N51" s="3" t="s">
        <v>436</v>
      </c>
      <c r="O51" s="54" t="n">
        <v>160</v>
      </c>
      <c r="P51" s="54" t="n">
        <v>170</v>
      </c>
      <c r="Q51" s="54" t="n">
        <f aca="false">COUNTIFS($K$41:$K$540,"&gt;="&amp;O51,$K$41:$K$540,"&lt;"&amp;P51)</f>
        <v>32</v>
      </c>
    </row>
    <row r="52" customFormat="false" ht="15" hidden="false" customHeight="false" outlineLevel="0" collapsed="false">
      <c r="A52" s="54" t="n">
        <v>12</v>
      </c>
      <c r="B52" s="23" t="n">
        <f aca="true">NORMINV(RAND(),$B$6,$C$6)</f>
        <v>0.0967945768190305</v>
      </c>
      <c r="C52" s="23" t="n">
        <f aca="true">MAX(0.15,NORMINV(RAND(),$B$7,$C$7))</f>
        <v>0.315546711468069</v>
      </c>
      <c r="D52" s="35" t="n">
        <f aca="true">MAX(0.06,NORMINV(RAND(),$B$8,$C$8))</f>
        <v>0.0756728099373572</v>
      </c>
      <c r="E52" s="55" t="n">
        <f aca="true">MAX(5,NORMINV(RAND(),$B$9,$C$9))</f>
        <v>10.5615158044534</v>
      </c>
      <c r="F52" s="28" t="n">
        <f aca="false">$B$18*(1+(B52+$B$17)/2)^9</f>
        <v>39618.1108380046</v>
      </c>
      <c r="G52" s="28" t="n">
        <f aca="false">F52*C52</f>
        <v>12501.3645895098</v>
      </c>
      <c r="H52" s="28" t="n">
        <f aca="false">E52*G52/(1+D52)^9</f>
        <v>68479.7167752698</v>
      </c>
      <c r="I52" s="28" t="n">
        <f aca="false">$B$13*G52/$B$12*((1+$B$8)/(1+D52))^4.5</f>
        <v>26959.0871023966</v>
      </c>
      <c r="J52" s="28" t="n">
        <f aca="false">H52+I52-$B$14-$B$19</f>
        <v>72776.4470083513</v>
      </c>
      <c r="K52" s="46" t="n">
        <f aca="false">J52/$B$15</f>
        <v>215.825762183723</v>
      </c>
      <c r="N52" s="3" t="s">
        <v>437</v>
      </c>
      <c r="O52" s="54" t="n">
        <v>170</v>
      </c>
      <c r="P52" s="54" t="n">
        <v>180</v>
      </c>
      <c r="Q52" s="54" t="n">
        <f aca="false">COUNTIFS($K$41:$K$540,"&gt;="&amp;O52,$K$41:$K$540,"&lt;"&amp;P52)</f>
        <v>44</v>
      </c>
    </row>
    <row r="53" customFormat="false" ht="15" hidden="false" customHeight="false" outlineLevel="0" collapsed="false">
      <c r="A53" s="54" t="n">
        <v>13</v>
      </c>
      <c r="B53" s="23" t="n">
        <f aca="true">NORMINV(RAND(),$B$6,$C$6)</f>
        <v>0.0969185620723468</v>
      </c>
      <c r="C53" s="23" t="n">
        <f aca="true">MAX(0.15,NORMINV(RAND(),$B$7,$C$7))</f>
        <v>0.311890176848895</v>
      </c>
      <c r="D53" s="35" t="n">
        <f aca="true">MAX(0.06,NORMINV(RAND(),$B$8,$C$8))</f>
        <v>0.0796905646851427</v>
      </c>
      <c r="E53" s="55" t="n">
        <f aca="true">MAX(5,NORMINV(RAND(),$B$9,$C$9))</f>
        <v>8.72486823387326</v>
      </c>
      <c r="F53" s="28" t="n">
        <f aca="false">$B$18*(1+(B53+$B$17)/2)^9</f>
        <v>39638.9511628041</v>
      </c>
      <c r="G53" s="28" t="n">
        <f aca="false">F53*C53</f>
        <v>12362.9994882717</v>
      </c>
      <c r="H53" s="28" t="n">
        <f aca="false">E53*G53/(1+D53)^9</f>
        <v>54098.9670512915</v>
      </c>
      <c r="I53" s="28" t="n">
        <f aca="false">$B$13*G53/$B$12*((1+$B$8)/(1+D53))^4.5</f>
        <v>26217.156944436</v>
      </c>
      <c r="J53" s="28" t="n">
        <f aca="false">H53+I53-$B$14-$B$19</f>
        <v>57653.7671264124</v>
      </c>
      <c r="K53" s="46" t="n">
        <f aca="false">J53/$B$15</f>
        <v>170.977957077142</v>
      </c>
      <c r="N53" s="3" t="s">
        <v>438</v>
      </c>
      <c r="O53" s="54" t="n">
        <v>180</v>
      </c>
      <c r="P53" s="54" t="n">
        <v>190</v>
      </c>
      <c r="Q53" s="54" t="n">
        <f aca="false">COUNTIFS($K$41:$K$540,"&gt;="&amp;O53,$K$41:$K$540,"&lt;"&amp;P53)</f>
        <v>39</v>
      </c>
    </row>
    <row r="54" customFormat="false" ht="15" hidden="false" customHeight="false" outlineLevel="0" collapsed="false">
      <c r="A54" s="54" t="n">
        <v>14</v>
      </c>
      <c r="B54" s="23" t="n">
        <f aca="true">NORMINV(RAND(),$B$6,$C$6)</f>
        <v>0.129928206736086</v>
      </c>
      <c r="C54" s="23" t="n">
        <f aca="true">MAX(0.15,NORMINV(RAND(),$B$7,$C$7))</f>
        <v>0.323490900362421</v>
      </c>
      <c r="D54" s="35" t="n">
        <f aca="true">MAX(0.06,NORMINV(RAND(),$B$8,$C$8))</f>
        <v>0.0965997202215465</v>
      </c>
      <c r="E54" s="55" t="n">
        <f aca="true">MAX(5,NORMINV(RAND(),$B$9,$C$9))</f>
        <v>8.95946173707525</v>
      </c>
      <c r="F54" s="28" t="n">
        <f aca="false">$B$18*(1+(B54+$B$17)/2)^9</f>
        <v>45546.9185008673</v>
      </c>
      <c r="G54" s="28" t="n">
        <f aca="false">F54*C54</f>
        <v>14734.0136745794</v>
      </c>
      <c r="H54" s="28" t="n">
        <f aca="false">E54*G54/(1+D54)^9</f>
        <v>57566.4980755323</v>
      </c>
      <c r="I54" s="28" t="n">
        <f aca="false">$B$13*G54/$B$12*((1+$B$8)/(1+D54))^4.5</f>
        <v>29134.8710633441</v>
      </c>
      <c r="J54" s="28" t="n">
        <f aca="false">H54+I54-$B$14-$B$19</f>
        <v>64039.0122695614</v>
      </c>
      <c r="K54" s="46" t="n">
        <f aca="false">J54/$B$15</f>
        <v>189.91403401412</v>
      </c>
      <c r="N54" s="3" t="s">
        <v>439</v>
      </c>
      <c r="O54" s="54" t="n">
        <v>190</v>
      </c>
      <c r="P54" s="54" t="n">
        <v>200</v>
      </c>
      <c r="Q54" s="54" t="n">
        <f aca="false">COUNTIFS($K$41:$K$540,"&gt;="&amp;O54,$K$41:$K$540,"&lt;"&amp;P54)</f>
        <v>35</v>
      </c>
    </row>
    <row r="55" customFormat="false" ht="15" hidden="false" customHeight="false" outlineLevel="0" collapsed="false">
      <c r="A55" s="54" t="n">
        <v>15</v>
      </c>
      <c r="B55" s="23" t="n">
        <f aca="true">NORMINV(RAND(),$B$6,$C$6)</f>
        <v>0.115928446688478</v>
      </c>
      <c r="C55" s="23" t="n">
        <f aca="true">MAX(0.15,NORMINV(RAND(),$B$7,$C$7))</f>
        <v>0.297161050204139</v>
      </c>
      <c r="D55" s="35" t="n">
        <f aca="true">MAX(0.06,NORMINV(RAND(),$B$8,$C$8))</f>
        <v>0.078809184363233</v>
      </c>
      <c r="E55" s="55" t="n">
        <f aca="true">MAX(5,NORMINV(RAND(),$B$9,$C$9))</f>
        <v>10.8491475412926</v>
      </c>
      <c r="F55" s="28" t="n">
        <f aca="false">$B$18*(1+(B55+$B$17)/2)^9</f>
        <v>42951.9733648876</v>
      </c>
      <c r="G55" s="28" t="n">
        <f aca="false">F55*C55</f>
        <v>12763.6535134502</v>
      </c>
      <c r="H55" s="28" t="n">
        <f aca="false">E55*G55/(1+D55)^9</f>
        <v>69963.0775972779</v>
      </c>
      <c r="I55" s="28" t="n">
        <f aca="false">$B$13*G55/$B$12*((1+$B$8)/(1+D55))^4.5</f>
        <v>27166.4423683517</v>
      </c>
      <c r="J55" s="28" t="n">
        <f aca="false">H55+I55-$B$14-$B$19</f>
        <v>74467.1630963145</v>
      </c>
      <c r="K55" s="46" t="n">
        <f aca="false">J55/$B$15</f>
        <v>220.839748209711</v>
      </c>
      <c r="N55" s="3" t="s">
        <v>440</v>
      </c>
      <c r="O55" s="54" t="n">
        <v>200</v>
      </c>
      <c r="P55" s="54" t="n">
        <v>210</v>
      </c>
      <c r="Q55" s="54" t="n">
        <f aca="false">COUNTIFS($K$41:$K$540,"&gt;="&amp;O55,$K$41:$K$540,"&lt;"&amp;P55)</f>
        <v>20</v>
      </c>
    </row>
    <row r="56" customFormat="false" ht="15" hidden="false" customHeight="false" outlineLevel="0" collapsed="false">
      <c r="A56" s="54" t="n">
        <v>16</v>
      </c>
      <c r="B56" s="23" t="n">
        <f aca="true">NORMINV(RAND(),$B$6,$C$6)</f>
        <v>0.122711877485425</v>
      </c>
      <c r="C56" s="23" t="n">
        <f aca="true">MAX(0.15,NORMINV(RAND(),$B$7,$C$7))</f>
        <v>0.335152122063054</v>
      </c>
      <c r="D56" s="35" t="n">
        <f aca="true">MAX(0.06,NORMINV(RAND(),$B$8,$C$8))</f>
        <v>0.0808239602962876</v>
      </c>
      <c r="E56" s="55" t="n">
        <f aca="true">MAX(5,NORMINV(RAND(),$B$9,$C$9))</f>
        <v>11.7201396875309</v>
      </c>
      <c r="F56" s="28" t="n">
        <f aca="false">$B$18*(1+(B56+$B$17)/2)^9</f>
        <v>44192.4335492365</v>
      </c>
      <c r="G56" s="28" t="n">
        <f aca="false">F56*C56</f>
        <v>14811.1878831571</v>
      </c>
      <c r="H56" s="28" t="n">
        <f aca="false">E56*G56/(1+D56)^9</f>
        <v>86243.824034266</v>
      </c>
      <c r="I56" s="28" t="n">
        <f aca="false">$B$13*G56/$B$12*((1+$B$8)/(1+D56))^4.5</f>
        <v>31260.8781927679</v>
      </c>
      <c r="J56" s="28" t="n">
        <f aca="false">H56+I56-$B$14-$B$19</f>
        <v>94842.3453577188</v>
      </c>
      <c r="K56" s="46" t="n">
        <f aca="false">J56/$B$15</f>
        <v>281.264369388253</v>
      </c>
      <c r="N56" s="3" t="s">
        <v>441</v>
      </c>
      <c r="O56" s="54" t="n">
        <v>210</v>
      </c>
      <c r="P56" s="54" t="n">
        <v>220</v>
      </c>
      <c r="Q56" s="54" t="n">
        <f aca="false">COUNTIFS($K$41:$K$540,"&gt;="&amp;O56,$K$41:$K$540,"&lt;"&amp;P56)</f>
        <v>30</v>
      </c>
    </row>
    <row r="57" customFormat="false" ht="15" hidden="false" customHeight="false" outlineLevel="0" collapsed="false">
      <c r="A57" s="54" t="n">
        <v>17</v>
      </c>
      <c r="B57" s="23" t="n">
        <f aca="true">NORMINV(RAND(),$B$6,$C$6)</f>
        <v>0.133219398517503</v>
      </c>
      <c r="C57" s="23" t="n">
        <f aca="true">MAX(0.15,NORMINV(RAND(),$B$7,$C$7))</f>
        <v>0.314488288826081</v>
      </c>
      <c r="D57" s="35" t="n">
        <f aca="true">MAX(0.06,NORMINV(RAND(),$B$8,$C$8))</f>
        <v>0.0946728341107593</v>
      </c>
      <c r="E57" s="55" t="n">
        <f aca="true">MAX(5,NORMINV(RAND(),$B$9,$C$9))</f>
        <v>8.94208115057443</v>
      </c>
      <c r="F57" s="28" t="n">
        <f aca="false">$B$18*(1+(B57+$B$17)/2)^9</f>
        <v>46176.8254631414</v>
      </c>
      <c r="G57" s="28" t="n">
        <f aca="false">F57*C57</f>
        <v>14522.0708233239</v>
      </c>
      <c r="H57" s="28" t="n">
        <f aca="false">E57*G57/(1+D57)^9</f>
        <v>57531.8172352223</v>
      </c>
      <c r="I57" s="28" t="n">
        <f aca="false">$B$13*G57/$B$12*((1+$B$8)/(1+D57))^4.5</f>
        <v>28943.9392579107</v>
      </c>
      <c r="J57" s="28" t="n">
        <f aca="false">H57+I57-$B$14-$B$19</f>
        <v>63813.3996238179</v>
      </c>
      <c r="K57" s="46" t="n">
        <f aca="false">J57/$B$15</f>
        <v>189.244957366008</v>
      </c>
      <c r="N57" s="3" t="s">
        <v>442</v>
      </c>
      <c r="O57" s="54" t="n">
        <v>220</v>
      </c>
      <c r="P57" s="54" t="n">
        <v>230</v>
      </c>
      <c r="Q57" s="54" t="n">
        <f aca="false">COUNTIFS($K$41:$K$540,"&gt;="&amp;O57,$K$41:$K$540,"&lt;"&amp;P57)</f>
        <v>24</v>
      </c>
    </row>
    <row r="58" customFormat="false" ht="15" hidden="false" customHeight="false" outlineLevel="0" collapsed="false">
      <c r="A58" s="54" t="n">
        <v>18</v>
      </c>
      <c r="B58" s="23" t="n">
        <f aca="true">NORMINV(RAND(),$B$6,$C$6)</f>
        <v>0.0245610506511856</v>
      </c>
      <c r="C58" s="23" t="n">
        <f aca="true">MAX(0.15,NORMINV(RAND(),$B$7,$C$7))</f>
        <v>0.32512477272425</v>
      </c>
      <c r="D58" s="35" t="n">
        <f aca="true">MAX(0.06,NORMINV(RAND(),$B$8,$C$8))</f>
        <v>0.0828063334096305</v>
      </c>
      <c r="E58" s="55" t="n">
        <f aca="true">MAX(5,NORMINV(RAND(),$B$9,$C$9))</f>
        <v>10.0655808207102</v>
      </c>
      <c r="F58" s="28" t="n">
        <f aca="false">$B$18*(1+(B58+$B$17)/2)^9</f>
        <v>29007.5787908233</v>
      </c>
      <c r="G58" s="28" t="n">
        <f aca="false">F58*C58</f>
        <v>9431.08246164718</v>
      </c>
      <c r="H58" s="28" t="n">
        <f aca="false">E58*G58/(1+D58)^9</f>
        <v>46392.0214530262</v>
      </c>
      <c r="I58" s="28" t="n">
        <f aca="false">$B$13*G58/$B$12*((1+$B$8)/(1+D58))^4.5</f>
        <v>19742.0214495518</v>
      </c>
      <c r="J58" s="28" t="n">
        <f aca="false">H58+I58-$B$14-$B$19</f>
        <v>43471.6860332629</v>
      </c>
      <c r="K58" s="46" t="n">
        <f aca="false">J58/$B$15</f>
        <v>128.919590845976</v>
      </c>
      <c r="N58" s="3" t="s">
        <v>443</v>
      </c>
      <c r="O58" s="54" t="n">
        <v>230</v>
      </c>
      <c r="P58" s="54" t="n">
        <v>240</v>
      </c>
      <c r="Q58" s="54" t="n">
        <f aca="false">COUNTIFS($K$41:$K$540,"&gt;="&amp;O58,$K$41:$K$540,"&lt;"&amp;P58)</f>
        <v>22</v>
      </c>
    </row>
    <row r="59" customFormat="false" ht="15" hidden="false" customHeight="false" outlineLevel="0" collapsed="false">
      <c r="A59" s="54" t="n">
        <v>19</v>
      </c>
      <c r="B59" s="23" t="n">
        <f aca="true">NORMINV(RAND(),$B$6,$C$6)</f>
        <v>0.0772274898678696</v>
      </c>
      <c r="C59" s="23" t="n">
        <f aca="true">MAX(0.15,NORMINV(RAND(),$B$7,$C$7))</f>
        <v>0.299242974127826</v>
      </c>
      <c r="D59" s="35" t="n">
        <f aca="true">MAX(0.06,NORMINV(RAND(),$B$8,$C$8))</f>
        <v>0.0919595872880427</v>
      </c>
      <c r="E59" s="55" t="n">
        <f aca="true">MAX(5,NORMINV(RAND(),$B$9,$C$9))</f>
        <v>10.1514386625695</v>
      </c>
      <c r="F59" s="28" t="n">
        <f aca="false">$B$18*(1+(B59+$B$17)/2)^9</f>
        <v>36448.6246223052</v>
      </c>
      <c r="G59" s="28" t="n">
        <f aca="false">F59*C59</f>
        <v>10906.9948348473</v>
      </c>
      <c r="H59" s="28" t="n">
        <f aca="false">E59*G59/(1+D59)^9</f>
        <v>50161.8575955161</v>
      </c>
      <c r="I59" s="28" t="n">
        <f aca="false">$B$13*G59/$B$12*((1+$B$8)/(1+D59))^4.5</f>
        <v>21982.8593888704</v>
      </c>
      <c r="J59" s="28" t="n">
        <f aca="false">H59+I59-$B$14-$B$19</f>
        <v>49482.3601150715</v>
      </c>
      <c r="K59" s="46" t="n">
        <f aca="false">J59/$B$15</f>
        <v>146.744840198907</v>
      </c>
      <c r="N59" s="3" t="s">
        <v>444</v>
      </c>
      <c r="O59" s="54" t="n">
        <v>240</v>
      </c>
      <c r="P59" s="54" t="n">
        <v>250</v>
      </c>
      <c r="Q59" s="54" t="n">
        <f aca="false">COUNTIFS($K$41:$K$540,"&gt;="&amp;O59,$K$41:$K$540,"&lt;"&amp;P59)</f>
        <v>7</v>
      </c>
    </row>
    <row r="60" customFormat="false" ht="15" hidden="false" customHeight="false" outlineLevel="0" collapsed="false">
      <c r="A60" s="54" t="n">
        <v>20</v>
      </c>
      <c r="B60" s="23" t="n">
        <f aca="true">NORMINV(RAND(),$B$6,$C$6)</f>
        <v>0.06998240915119</v>
      </c>
      <c r="C60" s="23" t="n">
        <f aca="true">MAX(0.15,NORMINV(RAND(),$B$7,$C$7))</f>
        <v>0.327453242282515</v>
      </c>
      <c r="D60" s="35" t="n">
        <f aca="true">MAX(0.06,NORMINV(RAND(),$B$8,$C$8))</f>
        <v>0.0904466882813129</v>
      </c>
      <c r="E60" s="55" t="n">
        <f aca="true">MAX(5,NORMINV(RAND(),$B$9,$C$9))</f>
        <v>11.1405840491768</v>
      </c>
      <c r="F60" s="28" t="n">
        <f aca="false">$B$18*(1+(B60+$B$17)/2)^9</f>
        <v>35333.5418529151</v>
      </c>
      <c r="G60" s="28" t="n">
        <f aca="false">F60*C60</f>
        <v>11570.082841062</v>
      </c>
      <c r="H60" s="28" t="n">
        <f aca="false">E60*G60/(1+D60)^9</f>
        <v>59129.538200432</v>
      </c>
      <c r="I60" s="28" t="n">
        <f aca="false">$B$13*G60/$B$12*((1+$B$8)/(1+D60))^4.5</f>
        <v>23465.246366301</v>
      </c>
      <c r="J60" s="28" t="n">
        <f aca="false">H60+I60-$B$14-$B$19</f>
        <v>59932.4276974179</v>
      </c>
      <c r="K60" s="46" t="n">
        <f aca="false">J60/$B$15</f>
        <v>177.735550704086</v>
      </c>
      <c r="N60" s="3" t="s">
        <v>445</v>
      </c>
      <c r="O60" s="54" t="n">
        <v>250</v>
      </c>
      <c r="P60" s="54" t="n">
        <v>260</v>
      </c>
      <c r="Q60" s="54" t="n">
        <f aca="false">COUNTIFS($K$41:$K$540,"&gt;="&amp;O60,$K$41:$K$540,"&lt;"&amp;P60)</f>
        <v>5</v>
      </c>
    </row>
    <row r="61" customFormat="false" ht="15" hidden="false" customHeight="false" outlineLevel="0" collapsed="false">
      <c r="A61" s="54" t="n">
        <v>21</v>
      </c>
      <c r="B61" s="23" t="n">
        <f aca="true">NORMINV(RAND(),$B$6,$C$6)</f>
        <v>0.116727920444461</v>
      </c>
      <c r="C61" s="23" t="n">
        <f aca="true">MAX(0.15,NORMINV(RAND(),$B$7,$C$7))</f>
        <v>0.331249482670452</v>
      </c>
      <c r="D61" s="35" t="n">
        <f aca="true">MAX(0.06,NORMINV(RAND(),$B$8,$C$8))</f>
        <v>0.087429714164341</v>
      </c>
      <c r="E61" s="55" t="n">
        <f aca="true">MAX(5,NORMINV(RAND(),$B$9,$C$9))</f>
        <v>9.85249383765438</v>
      </c>
      <c r="F61" s="28" t="n">
        <f aca="false">$B$18*(1+(B61+$B$17)/2)^9</f>
        <v>43096.5427968653</v>
      </c>
      <c r="G61" s="28" t="n">
        <f aca="false">F61*C61</f>
        <v>14275.7075063466</v>
      </c>
      <c r="H61" s="28" t="n">
        <f aca="false">E61*G61/(1+D61)^9</f>
        <v>66150.48751729</v>
      </c>
      <c r="I61" s="28" t="n">
        <f aca="false">$B$13*G61/$B$12*((1+$B$8)/(1+D61))^4.5</f>
        <v>29315.741225265</v>
      </c>
      <c r="J61" s="28" t="n">
        <f aca="false">H61+I61-$B$14-$B$19</f>
        <v>72803.87187324</v>
      </c>
      <c r="K61" s="46" t="n">
        <f aca="false">J61/$B$15</f>
        <v>215.907093337011</v>
      </c>
      <c r="N61" s="3" t="s">
        <v>446</v>
      </c>
      <c r="O61" s="54" t="n">
        <v>260</v>
      </c>
      <c r="P61" s="54" t="n">
        <v>270</v>
      </c>
      <c r="Q61" s="54" t="n">
        <f aca="false">COUNTIFS($K$41:$K$540,"&gt;="&amp;O61,$K$41:$K$540,"&lt;"&amp;P61)</f>
        <v>9</v>
      </c>
    </row>
    <row r="62" customFormat="false" ht="15" hidden="false" customHeight="false" outlineLevel="0" collapsed="false">
      <c r="A62" s="54" t="n">
        <v>22</v>
      </c>
      <c r="B62" s="23" t="n">
        <f aca="true">NORMINV(RAND(),$B$6,$C$6)</f>
        <v>0.144198758468339</v>
      </c>
      <c r="C62" s="23" t="n">
        <f aca="true">MAX(0.15,NORMINV(RAND(),$B$7,$C$7))</f>
        <v>0.315261194710613</v>
      </c>
      <c r="D62" s="35" t="n">
        <f aca="true">MAX(0.06,NORMINV(RAND(),$B$8,$C$8))</f>
        <v>0.0901672357175696</v>
      </c>
      <c r="E62" s="55" t="n">
        <f aca="true">MAX(5,NORMINV(RAND(),$B$9,$C$9))</f>
        <v>11.521517618072</v>
      </c>
      <c r="F62" s="28" t="n">
        <f aca="false">$B$18*(1+(B62+$B$17)/2)^9</f>
        <v>48334.5714149518</v>
      </c>
      <c r="G62" s="28" t="n">
        <f aca="false">F62*C62</f>
        <v>15238.0147301032</v>
      </c>
      <c r="H62" s="28" t="n">
        <f aca="false">E62*G62/(1+D62)^9</f>
        <v>80723.4934208588</v>
      </c>
      <c r="I62" s="28" t="n">
        <f aca="false">$B$13*G62/$B$12*((1+$B$8)/(1+D62))^4.5</f>
        <v>30939.8315429286</v>
      </c>
      <c r="J62" s="28" t="n">
        <f aca="false">H62+I62-$B$14-$B$19</f>
        <v>89000.9680944723</v>
      </c>
      <c r="K62" s="46" t="n">
        <f aca="false">J62/$B$15</f>
        <v>263.941186519787</v>
      </c>
      <c r="N62" s="3" t="s">
        <v>447</v>
      </c>
      <c r="O62" s="54" t="n">
        <v>270</v>
      </c>
      <c r="P62" s="54" t="n">
        <v>280</v>
      </c>
      <c r="Q62" s="54" t="n">
        <f aca="false">COUNTIFS($K$41:$K$540,"&gt;="&amp;O62,$K$41:$K$540,"&lt;"&amp;P62)</f>
        <v>4</v>
      </c>
    </row>
    <row r="63" customFormat="false" ht="15" hidden="false" customHeight="false" outlineLevel="0" collapsed="false">
      <c r="A63" s="54" t="n">
        <v>23</v>
      </c>
      <c r="B63" s="23" t="n">
        <f aca="true">NORMINV(RAND(),$B$6,$C$6)</f>
        <v>0.0827573854432744</v>
      </c>
      <c r="C63" s="23" t="n">
        <f aca="true">MAX(0.15,NORMINV(RAND(),$B$7,$C$7))</f>
        <v>0.302315038709945</v>
      </c>
      <c r="D63" s="35" t="n">
        <f aca="true">MAX(0.06,NORMINV(RAND(),$B$8,$C$8))</f>
        <v>0.0872961899282909</v>
      </c>
      <c r="E63" s="55" t="n">
        <f aca="true">MAX(5,NORMINV(RAND(),$B$9,$C$9))</f>
        <v>11.1212231612686</v>
      </c>
      <c r="F63" s="28" t="n">
        <f aca="false">$B$18*(1+(B63+$B$17)/2)^9</f>
        <v>37320.660794647</v>
      </c>
      <c r="G63" s="28" t="n">
        <f aca="false">F63*C63</f>
        <v>11282.5970128144</v>
      </c>
      <c r="H63" s="28" t="n">
        <f aca="false">E63*G63/(1+D63)^9</f>
        <v>59078.6872049533</v>
      </c>
      <c r="I63" s="28" t="n">
        <f aca="false">$B$13*G63/$B$12*((1+$B$8)/(1+D63))^4.5</f>
        <v>23182.0745874466</v>
      </c>
      <c r="J63" s="28" t="n">
        <f aca="false">H63+I63-$B$14-$B$19</f>
        <v>59598.4049230848</v>
      </c>
      <c r="K63" s="46" t="n">
        <f aca="false">J63/$B$15</f>
        <v>176.744973081509</v>
      </c>
      <c r="N63" s="3" t="s">
        <v>448</v>
      </c>
      <c r="O63" s="54" t="n">
        <v>280</v>
      </c>
      <c r="P63" s="54" t="n">
        <v>290</v>
      </c>
      <c r="Q63" s="54" t="n">
        <f aca="false">COUNTIF($K$41:$K$540,"&gt;="&amp;O63)</f>
        <v>4</v>
      </c>
    </row>
    <row r="64" customFormat="false" ht="15" hidden="false" customHeight="false" outlineLevel="0" collapsed="false">
      <c r="A64" s="54" t="n">
        <v>24</v>
      </c>
      <c r="B64" s="23" t="n">
        <f aca="true">NORMINV(RAND(),$B$6,$C$6)</f>
        <v>0.0681940894301517</v>
      </c>
      <c r="C64" s="23" t="n">
        <f aca="true">MAX(0.15,NORMINV(RAND(),$B$7,$C$7))</f>
        <v>0.309662430985914</v>
      </c>
      <c r="D64" s="35" t="n">
        <f aca="true">MAX(0.06,NORMINV(RAND(),$B$8,$C$8))</f>
        <v>0.0962712045443737</v>
      </c>
      <c r="E64" s="55" t="n">
        <f aca="true">MAX(5,NORMINV(RAND(),$B$9,$C$9))</f>
        <v>10.4193307615879</v>
      </c>
      <c r="F64" s="28" t="n">
        <f aca="false">$B$18*(1+(B64+$B$17)/2)^9</f>
        <v>35063.0139910383</v>
      </c>
      <c r="G64" s="28" t="n">
        <f aca="false">F64*C64</f>
        <v>10857.6981501581</v>
      </c>
      <c r="H64" s="28" t="n">
        <f aca="false">E64*G64/(1+D64)^9</f>
        <v>49466.9948959624</v>
      </c>
      <c r="I64" s="28" t="n">
        <f aca="false">$B$13*G64/$B$12*((1+$B$8)/(1+D64))^4.5</f>
        <v>21498.8561413791</v>
      </c>
      <c r="J64" s="28" t="n">
        <f aca="false">H64+I64-$B$14-$B$19</f>
        <v>48303.4941680264</v>
      </c>
      <c r="K64" s="46" t="n">
        <f aca="false">J64/$B$15</f>
        <v>143.248796465084</v>
      </c>
    </row>
    <row r="65" customFormat="false" ht="15" hidden="false" customHeight="false" outlineLevel="0" collapsed="false">
      <c r="A65" s="54" t="n">
        <v>25</v>
      </c>
      <c r="B65" s="23" t="n">
        <f aca="true">NORMINV(RAND(),$B$6,$C$6)</f>
        <v>0.0736142381313282</v>
      </c>
      <c r="C65" s="23" t="n">
        <f aca="true">MAX(0.15,NORMINV(RAND(),$B$7,$C$7))</f>
        <v>0.321704157946734</v>
      </c>
      <c r="D65" s="35" t="n">
        <f aca="true">MAX(0.06,NORMINV(RAND(),$B$8,$C$8))</f>
        <v>0.0752396640098035</v>
      </c>
      <c r="E65" s="55" t="n">
        <f aca="true">MAX(5,NORMINV(RAND(),$B$9,$C$9))</f>
        <v>10.839300606031</v>
      </c>
      <c r="F65" s="28" t="n">
        <f aca="false">$B$18*(1+(B65+$B$17)/2)^9</f>
        <v>35888.6632563414</v>
      </c>
      <c r="G65" s="28" t="n">
        <f aca="false">F65*C65</f>
        <v>11545.5321927152</v>
      </c>
      <c r="H65" s="28" t="n">
        <f aca="false">E65*G65/(1+D65)^9</f>
        <v>65142.9960767834</v>
      </c>
      <c r="I65" s="28" t="n">
        <f aca="false">$B$13*G65/$B$12*((1+$B$8)/(1+D65))^4.5</f>
        <v>24943.0083779203</v>
      </c>
      <c r="J65" s="28" t="n">
        <f aca="false">H65+I65-$B$14-$B$19</f>
        <v>67423.6475853886</v>
      </c>
      <c r="K65" s="46" t="n">
        <f aca="false">J65/$B$15</f>
        <v>199.951505294747</v>
      </c>
    </row>
    <row r="66" customFormat="false" ht="15" hidden="false" customHeight="false" outlineLevel="0" collapsed="false">
      <c r="A66" s="54" t="n">
        <v>26</v>
      </c>
      <c r="B66" s="23" t="n">
        <f aca="true">NORMINV(RAND(),$B$6,$C$6)</f>
        <v>0.0797507254486466</v>
      </c>
      <c r="C66" s="23" t="n">
        <f aca="true">MAX(0.15,NORMINV(RAND(),$B$7,$C$7))</f>
        <v>0.329066622276759</v>
      </c>
      <c r="D66" s="35" t="n">
        <f aca="true">MAX(0.06,NORMINV(RAND(),$B$8,$C$8))</f>
        <v>0.091292551060327</v>
      </c>
      <c r="E66" s="55" t="n">
        <f aca="true">MAX(5,NORMINV(RAND(),$B$9,$C$9))</f>
        <v>10.9280902614487</v>
      </c>
      <c r="F66" s="28" t="n">
        <f aca="false">$B$18*(1+(B66+$B$17)/2)^9</f>
        <v>36844.2532000847</v>
      </c>
      <c r="G66" s="28" t="n">
        <f aca="false">F66*C66</f>
        <v>12124.2139508615</v>
      </c>
      <c r="H66" s="28" t="n">
        <f aca="false">E66*G66/(1+D66)^9</f>
        <v>60356.9308437385</v>
      </c>
      <c r="I66" s="28" t="n">
        <f aca="false">$B$13*G66/$B$12*((1+$B$8)/(1+D66))^4.5</f>
        <v>24503.428410219</v>
      </c>
      <c r="J66" s="28" t="n">
        <f aca="false">H66+I66-$B$14-$B$19</f>
        <v>62198.0023846425</v>
      </c>
      <c r="K66" s="46" t="n">
        <f aca="false">J66/$B$15</f>
        <v>184.454336846508</v>
      </c>
    </row>
    <row r="67" customFormat="false" ht="15" hidden="false" customHeight="false" outlineLevel="0" collapsed="false">
      <c r="A67" s="54" t="n">
        <v>27</v>
      </c>
      <c r="B67" s="23" t="n">
        <f aca="true">NORMINV(RAND(),$B$6,$C$6)</f>
        <v>0.138640918349409</v>
      </c>
      <c r="C67" s="23" t="n">
        <f aca="true">MAX(0.15,NORMINV(RAND(),$B$7,$C$7))</f>
        <v>0.322767057817006</v>
      </c>
      <c r="D67" s="35" t="n">
        <f aca="true">MAX(0.06,NORMINV(RAND(),$B$8,$C$8))</f>
        <v>0.105315451144628</v>
      </c>
      <c r="E67" s="55" t="n">
        <f aca="true">MAX(5,NORMINV(RAND(),$B$9,$C$9))</f>
        <v>10.541078218644</v>
      </c>
      <c r="F67" s="28" t="n">
        <f aca="false">$B$18*(1+(B67+$B$17)/2)^9</f>
        <v>47231.3569001846</v>
      </c>
      <c r="G67" s="28" t="n">
        <f aca="false">F67*C67</f>
        <v>15244.7261033775</v>
      </c>
      <c r="H67" s="28" t="n">
        <f aca="false">E67*G67/(1+D67)^9</f>
        <v>65257.2085665145</v>
      </c>
      <c r="I67" s="28" t="n">
        <f aca="false">$B$13*G67/$B$12*((1+$B$8)/(1+D67))^4.5</f>
        <v>29089.7615598866</v>
      </c>
      <c r="J67" s="28" t="n">
        <f aca="false">H67+I67-$B$14-$B$19</f>
        <v>71684.613257086</v>
      </c>
      <c r="K67" s="46" t="n">
        <f aca="false">J67/$B$15</f>
        <v>212.587821047112</v>
      </c>
    </row>
    <row r="68" customFormat="false" ht="15" hidden="false" customHeight="false" outlineLevel="0" collapsed="false">
      <c r="A68" s="54" t="n">
        <v>28</v>
      </c>
      <c r="B68" s="23" t="n">
        <f aca="true">NORMINV(RAND(),$B$6,$C$6)</f>
        <v>0.0698268901630291</v>
      </c>
      <c r="C68" s="23" t="n">
        <f aca="true">MAX(0.15,NORMINV(RAND(),$B$7,$C$7))</f>
        <v>0.293715446153439</v>
      </c>
      <c r="D68" s="35" t="n">
        <f aca="true">MAX(0.06,NORMINV(RAND(),$B$8,$C$8))</f>
        <v>0.0848881752255259</v>
      </c>
      <c r="E68" s="55" t="n">
        <f aca="true">MAX(5,NORMINV(RAND(),$B$9,$C$9))</f>
        <v>8.6165399120354</v>
      </c>
      <c r="F68" s="28" t="n">
        <f aca="false">$B$18*(1+(B68+$B$17)/2)^9</f>
        <v>35309.9423003139</v>
      </c>
      <c r="G68" s="28" t="n">
        <f aca="false">F68*C68</f>
        <v>10371.0754563889</v>
      </c>
      <c r="H68" s="28" t="n">
        <f aca="false">E68*G68/(1+D68)^9</f>
        <v>42923.1827626515</v>
      </c>
      <c r="I68" s="28" t="n">
        <f aca="false">$B$13*G68/$B$12*((1+$B$8)/(1+D68))^4.5</f>
        <v>21522.862143868</v>
      </c>
      <c r="J68" s="28" t="n">
        <f aca="false">H68+I68-$B$14-$B$19</f>
        <v>41783.6880372044</v>
      </c>
      <c r="K68" s="46" t="n">
        <f aca="false">J68/$B$15</f>
        <v>123.91366559076</v>
      </c>
    </row>
    <row r="69" customFormat="false" ht="15" hidden="false" customHeight="false" outlineLevel="0" collapsed="false">
      <c r="A69" s="54" t="n">
        <v>29</v>
      </c>
      <c r="B69" s="23" t="n">
        <f aca="true">NORMINV(RAND(),$B$6,$C$6)</f>
        <v>0.0345029760161839</v>
      </c>
      <c r="C69" s="23" t="n">
        <f aca="true">MAX(0.15,NORMINV(RAND(),$B$7,$C$7))</f>
        <v>0.373838334521006</v>
      </c>
      <c r="D69" s="35" t="n">
        <f aca="true">MAX(0.06,NORMINV(RAND(),$B$8,$C$8))</f>
        <v>0.0884261050811518</v>
      </c>
      <c r="E69" s="55" t="n">
        <f aca="true">MAX(5,NORMINV(RAND(),$B$9,$C$9))</f>
        <v>10.2408596162369</v>
      </c>
      <c r="F69" s="28" t="n">
        <f aca="false">$B$18*(1+(B69+$B$17)/2)^9</f>
        <v>30298.8093195597</v>
      </c>
      <c r="G69" s="28" t="n">
        <f aca="false">F69*C69</f>
        <v>11326.8564139937</v>
      </c>
      <c r="H69" s="28" t="n">
        <f aca="false">E69*G69/(1+D69)^9</f>
        <v>54107.2252493709</v>
      </c>
      <c r="I69" s="28" t="n">
        <f aca="false">$B$13*G69/$B$12*((1+$B$8)/(1+D69))^4.5</f>
        <v>23164.4899896564</v>
      </c>
      <c r="J69" s="28" t="n">
        <f aca="false">H69+I69-$B$14-$B$19</f>
        <v>54609.3583697123</v>
      </c>
      <c r="K69" s="46" t="n">
        <f aca="false">J69/$B$15</f>
        <v>161.949461357391</v>
      </c>
    </row>
    <row r="70" customFormat="false" ht="15" hidden="false" customHeight="false" outlineLevel="0" collapsed="false">
      <c r="A70" s="54" t="n">
        <v>30</v>
      </c>
      <c r="B70" s="23" t="n">
        <f aca="true">NORMINV(RAND(),$B$6,$C$6)</f>
        <v>0.106434803422335</v>
      </c>
      <c r="C70" s="23" t="n">
        <f aca="true">MAX(0.15,NORMINV(RAND(),$B$7,$C$7))</f>
        <v>0.334015690444653</v>
      </c>
      <c r="D70" s="35" t="n">
        <f aca="true">MAX(0.06,NORMINV(RAND(),$B$8,$C$8))</f>
        <v>0.104629079480034</v>
      </c>
      <c r="E70" s="55" t="n">
        <f aca="true">MAX(5,NORMINV(RAND(),$B$9,$C$9))</f>
        <v>6.43912774174989</v>
      </c>
      <c r="F70" s="28" t="n">
        <f aca="false">$B$18*(1+(B70+$B$17)/2)^9</f>
        <v>41267.8861449839</v>
      </c>
      <c r="G70" s="28" t="n">
        <f aca="false">F70*C70</f>
        <v>13784.1214839081</v>
      </c>
      <c r="H70" s="28" t="n">
        <f aca="false">E70*G70/(1+D70)^9</f>
        <v>36245.8163731783</v>
      </c>
      <c r="I70" s="28" t="n">
        <f aca="false">$B$13*G70/$B$12*((1+$B$8)/(1+D70))^4.5</f>
        <v>26376.2826909164</v>
      </c>
      <c r="J70" s="28" t="n">
        <f aca="false">H70+I70-$B$14-$B$19</f>
        <v>39959.7421947797</v>
      </c>
      <c r="K70" s="46" t="n">
        <f aca="false">J70/$B$15</f>
        <v>118.504573531375</v>
      </c>
    </row>
    <row r="71" customFormat="false" ht="15" hidden="false" customHeight="false" outlineLevel="0" collapsed="false">
      <c r="A71" s="54" t="n">
        <v>31</v>
      </c>
      <c r="B71" s="23" t="n">
        <f aca="true">NORMINV(RAND(),$B$6,$C$6)</f>
        <v>0.142146258727536</v>
      </c>
      <c r="C71" s="23" t="n">
        <f aca="true">MAX(0.15,NORMINV(RAND(),$B$7,$C$7))</f>
        <v>0.315736232236738</v>
      </c>
      <c r="D71" s="35" t="n">
        <f aca="true">MAX(0.06,NORMINV(RAND(),$B$8,$C$8))</f>
        <v>0.110139228645292</v>
      </c>
      <c r="E71" s="55" t="n">
        <f aca="true">MAX(5,NORMINV(RAND(),$B$9,$C$9))</f>
        <v>10.7412475640081</v>
      </c>
      <c r="F71" s="28" t="n">
        <f aca="false">$B$18*(1+(B71+$B$17)/2)^9</f>
        <v>47924.5175180397</v>
      </c>
      <c r="G71" s="28" t="n">
        <f aca="false">F71*C71</f>
        <v>15131.5065929094</v>
      </c>
      <c r="H71" s="28" t="n">
        <f aca="false">E71*G71/(1+D71)^9</f>
        <v>63465.813712623</v>
      </c>
      <c r="I71" s="28" t="n">
        <f aca="false">$B$13*G71/$B$12*((1+$B$8)/(1+D71))^4.5</f>
        <v>28313.4159440013</v>
      </c>
      <c r="J71" s="28" t="n">
        <f aca="false">H71+I71-$B$14-$B$19</f>
        <v>69116.8727873092</v>
      </c>
      <c r="K71" s="46" t="n">
        <f aca="false">J71/$B$15</f>
        <v>204.972932346706</v>
      </c>
    </row>
    <row r="72" customFormat="false" ht="15" hidden="false" customHeight="false" outlineLevel="0" collapsed="false">
      <c r="A72" s="54" t="n">
        <v>32</v>
      </c>
      <c r="B72" s="23" t="n">
        <f aca="true">NORMINV(RAND(),$B$6,$C$6)</f>
        <v>0.082917974514376</v>
      </c>
      <c r="C72" s="23" t="n">
        <f aca="true">MAX(0.15,NORMINV(RAND(),$B$7,$C$7))</f>
        <v>0.324199417109633</v>
      </c>
      <c r="D72" s="35" t="n">
        <f aca="true">MAX(0.06,NORMINV(RAND(),$B$8,$C$8))</f>
        <v>0.0962857382645347</v>
      </c>
      <c r="E72" s="55" t="n">
        <f aca="true">MAX(5,NORMINV(RAND(),$B$9,$C$9))</f>
        <v>9.2626763014359</v>
      </c>
      <c r="F72" s="28" t="n">
        <f aca="false">$B$18*(1+(B72+$B$17)/2)^9</f>
        <v>37346.2595917771</v>
      </c>
      <c r="G72" s="28" t="n">
        <f aca="false">F72*C72</f>
        <v>12107.6355908792</v>
      </c>
      <c r="H72" s="28" t="n">
        <f aca="false">E72*G72/(1+D72)^9</f>
        <v>49032.26430867</v>
      </c>
      <c r="I72" s="28" t="n">
        <f aca="false">$B$13*G72/$B$12*((1+$B$8)/(1+D72))^4.5</f>
        <v>23972.3727494951</v>
      </c>
      <c r="J72" s="28" t="n">
        <f aca="false">H72+I72-$B$14-$B$19</f>
        <v>50342.28018885</v>
      </c>
      <c r="K72" s="46" t="n">
        <f aca="false">J72/$B$15</f>
        <v>149.295018353648</v>
      </c>
    </row>
    <row r="73" customFormat="false" ht="15" hidden="false" customHeight="false" outlineLevel="0" collapsed="false">
      <c r="A73" s="54" t="n">
        <v>33</v>
      </c>
      <c r="B73" s="23" t="n">
        <f aca="true">NORMINV(RAND(),$B$6,$C$6)</f>
        <v>0.0850328972362352</v>
      </c>
      <c r="C73" s="23" t="n">
        <f aca="true">MAX(0.15,NORMINV(RAND(),$B$7,$C$7))</f>
        <v>0.300331422033194</v>
      </c>
      <c r="D73" s="35" t="n">
        <f aca="true">MAX(0.06,NORMINV(RAND(),$B$8,$C$8))</f>
        <v>0.0885809949578028</v>
      </c>
      <c r="E73" s="55" t="n">
        <f aca="true">MAX(5,NORMINV(RAND(),$B$9,$C$9))</f>
        <v>7.09554308380576</v>
      </c>
      <c r="F73" s="28" t="n">
        <f aca="false">$B$18*(1+(B73+$B$17)/2)^9</f>
        <v>37684.8494532803</v>
      </c>
      <c r="G73" s="28" t="n">
        <f aca="false">F73*C73</f>
        <v>11317.9444254105</v>
      </c>
      <c r="H73" s="28" t="n">
        <f aca="false">E73*G73/(1+D73)^9</f>
        <v>37411.6159492372</v>
      </c>
      <c r="I73" s="28" t="n">
        <f aca="false">$B$13*G73/$B$12*((1+$B$8)/(1+D73))^4.5</f>
        <v>23131.4475660593</v>
      </c>
      <c r="J73" s="28" t="n">
        <f aca="false">H73+I73-$B$14-$B$19</f>
        <v>37880.7066459813</v>
      </c>
      <c r="K73" s="46" t="n">
        <f aca="false">J73/$B$15</f>
        <v>112.338987680846</v>
      </c>
    </row>
    <row r="74" customFormat="false" ht="15" hidden="false" customHeight="false" outlineLevel="0" collapsed="false">
      <c r="A74" s="54" t="n">
        <v>34</v>
      </c>
      <c r="B74" s="23" t="n">
        <f aca="true">NORMINV(RAND(),$B$6,$C$6)</f>
        <v>0.124512996927912</v>
      </c>
      <c r="C74" s="23" t="n">
        <f aca="true">MAX(0.15,NORMINV(RAND(),$B$7,$C$7))</f>
        <v>0.316940661279863</v>
      </c>
      <c r="D74" s="35" t="n">
        <f aca="true">MAX(0.06,NORMINV(RAND(),$B$8,$C$8))</f>
        <v>0.085957535840221</v>
      </c>
      <c r="E74" s="55" t="n">
        <f aca="true">MAX(5,NORMINV(RAND(),$B$9,$C$9))</f>
        <v>10.227228362586</v>
      </c>
      <c r="F74" s="28" t="n">
        <f aca="false">$B$18*(1+(B74+$B$17)/2)^9</f>
        <v>44527.1015316888</v>
      </c>
      <c r="G74" s="28" t="n">
        <f aca="false">F74*C74</f>
        <v>14112.449004329</v>
      </c>
      <c r="H74" s="28" t="n">
        <f aca="false">E74*G74/(1+D74)^9</f>
        <v>68713.9237328635</v>
      </c>
      <c r="I74" s="28" t="n">
        <f aca="false">$B$13*G74/$B$12*((1+$B$8)/(1+D74))^4.5</f>
        <v>29157.6964657054</v>
      </c>
      <c r="J74" s="28" t="n">
        <f aca="false">H74+I74-$B$14-$B$19</f>
        <v>75209.2633292538</v>
      </c>
      <c r="K74" s="46" t="n">
        <f aca="false">J74/$B$15</f>
        <v>223.040519956269</v>
      </c>
    </row>
    <row r="75" customFormat="false" ht="15" hidden="false" customHeight="false" outlineLevel="0" collapsed="false">
      <c r="A75" s="54" t="n">
        <v>35</v>
      </c>
      <c r="B75" s="23" t="n">
        <f aca="true">NORMINV(RAND(),$B$6,$C$6)</f>
        <v>0.0483137201359015</v>
      </c>
      <c r="C75" s="23" t="n">
        <f aca="true">MAX(0.15,NORMINV(RAND(),$B$7,$C$7))</f>
        <v>0.325997575244456</v>
      </c>
      <c r="D75" s="35" t="n">
        <f aca="true">MAX(0.06,NORMINV(RAND(),$B$8,$C$8))</f>
        <v>0.098983684954206</v>
      </c>
      <c r="E75" s="55" t="n">
        <f aca="true">MAX(5,NORMINV(RAND(),$B$9,$C$9))</f>
        <v>7.94451981324067</v>
      </c>
      <c r="F75" s="28" t="n">
        <f aca="false">$B$18*(1+(B75+$B$17)/2)^9</f>
        <v>32177.2512779722</v>
      </c>
      <c r="G75" s="28" t="n">
        <f aca="false">F75*C75</f>
        <v>10489.7058946505</v>
      </c>
      <c r="H75" s="28" t="n">
        <f aca="false">E75*G75/(1+D75)^9</f>
        <v>35637.7074372334</v>
      </c>
      <c r="I75" s="28" t="n">
        <f aca="false">$B$13*G75/$B$12*((1+$B$8)/(1+D75))^4.5</f>
        <v>20540.5150380285</v>
      </c>
      <c r="J75" s="28" t="n">
        <f aca="false">H75+I75-$B$14-$B$19</f>
        <v>33515.8656059468</v>
      </c>
      <c r="K75" s="46" t="n">
        <f aca="false">J75/$B$15</f>
        <v>99.3946192347176</v>
      </c>
    </row>
    <row r="76" customFormat="false" ht="15" hidden="false" customHeight="false" outlineLevel="0" collapsed="false">
      <c r="A76" s="54" t="n">
        <v>36</v>
      </c>
      <c r="B76" s="23" t="n">
        <f aca="true">NORMINV(RAND(),$B$6,$C$6)</f>
        <v>0.104802121902808</v>
      </c>
      <c r="C76" s="23" t="n">
        <f aca="true">MAX(0.15,NORMINV(RAND(),$B$7,$C$7))</f>
        <v>0.323814472819773</v>
      </c>
      <c r="D76" s="35" t="n">
        <f aca="true">MAX(0.06,NORMINV(RAND(),$B$8,$C$8))</f>
        <v>0.096506472893604</v>
      </c>
      <c r="E76" s="55" t="n">
        <f aca="true">MAX(5,NORMINV(RAND(),$B$9,$C$9))</f>
        <v>13.9427737051422</v>
      </c>
      <c r="F76" s="28" t="n">
        <f aca="false">$B$18*(1+(B76+$B$17)/2)^9</f>
        <v>40984.2550660616</v>
      </c>
      <c r="G76" s="28" t="n">
        <f aca="false">F76*C76</f>
        <v>13271.2949481279</v>
      </c>
      <c r="H76" s="28" t="n">
        <f aca="false">E76*G76/(1+D76)^9</f>
        <v>80753.5609426974</v>
      </c>
      <c r="I76" s="28" t="n">
        <f aca="false">$B$13*G76/$B$12*((1+$B$8)/(1+D76))^4.5</f>
        <v>26252.551712284</v>
      </c>
      <c r="J76" s="28" t="n">
        <f aca="false">H76+I76-$B$14-$B$19</f>
        <v>84343.7557856663</v>
      </c>
      <c r="K76" s="46" t="n">
        <f aca="false">J76/$B$15</f>
        <v>250.129762116448</v>
      </c>
    </row>
    <row r="77" customFormat="false" ht="15" hidden="false" customHeight="false" outlineLevel="0" collapsed="false">
      <c r="A77" s="54" t="n">
        <v>37</v>
      </c>
      <c r="B77" s="23" t="n">
        <f aca="true">NORMINV(RAND(),$B$6,$C$6)</f>
        <v>0.0641138509302078</v>
      </c>
      <c r="C77" s="23" t="n">
        <f aca="true">MAX(0.15,NORMINV(RAND(),$B$7,$C$7))</f>
        <v>0.309227347039629</v>
      </c>
      <c r="D77" s="35" t="n">
        <f aca="true">MAX(0.06,NORMINV(RAND(),$B$8,$C$8))</f>
        <v>0.105024665788878</v>
      </c>
      <c r="E77" s="55" t="n">
        <f aca="true">MAX(5,NORMINV(RAND(),$B$9,$C$9))</f>
        <v>11.0790525130373</v>
      </c>
      <c r="F77" s="28" t="n">
        <f aca="false">$B$18*(1+(B77+$B$17)/2)^9</f>
        <v>34452.657243078</v>
      </c>
      <c r="G77" s="28" t="n">
        <f aca="false">F77*C77</f>
        <v>10653.7037977427</v>
      </c>
      <c r="H77" s="28" t="n">
        <f aca="false">E77*G77/(1+D77)^9</f>
        <v>48045.8066096907</v>
      </c>
      <c r="I77" s="28" t="n">
        <f aca="false">$B$13*G77/$B$12*((1+$B$8)/(1+D77))^4.5</f>
        <v>20353.3248037163</v>
      </c>
      <c r="J77" s="28" t="n">
        <f aca="false">H77+I77-$B$14-$B$19</f>
        <v>45736.7745440919</v>
      </c>
      <c r="K77" s="46" t="n">
        <f aca="false">J77/$B$15</f>
        <v>135.63693518414</v>
      </c>
    </row>
    <row r="78" customFormat="false" ht="15" hidden="false" customHeight="false" outlineLevel="0" collapsed="false">
      <c r="A78" s="54" t="n">
        <v>38</v>
      </c>
      <c r="B78" s="23" t="n">
        <f aca="true">NORMINV(RAND(),$B$6,$C$6)</f>
        <v>0.0814488229201479</v>
      </c>
      <c r="C78" s="23" t="n">
        <f aca="true">MAX(0.15,NORMINV(RAND(),$B$7,$C$7))</f>
        <v>0.326179243516033</v>
      </c>
      <c r="D78" s="35" t="n">
        <f aca="true">MAX(0.06,NORMINV(RAND(),$B$8,$C$8))</f>
        <v>0.0815561703540349</v>
      </c>
      <c r="E78" s="55" t="n">
        <f aca="true">MAX(5,NORMINV(RAND(),$B$9,$C$9))</f>
        <v>9.8357670154799</v>
      </c>
      <c r="F78" s="28" t="n">
        <f aca="false">$B$18*(1+(B78+$B$17)/2)^9</f>
        <v>37112.6492586995</v>
      </c>
      <c r="G78" s="28" t="n">
        <f aca="false">F78*C78</f>
        <v>12105.3758600785</v>
      </c>
      <c r="H78" s="28" t="n">
        <f aca="false">E78*G78/(1+D78)^9</f>
        <v>58795.5960166635</v>
      </c>
      <c r="I78" s="28" t="n">
        <f aca="false">$B$13*G78/$B$12*((1+$B$8)/(1+D78))^4.5</f>
        <v>25472.1756938534</v>
      </c>
      <c r="J78" s="28" t="n">
        <f aca="false">H78+I78-$B$14-$B$19</f>
        <v>61605.4148412019</v>
      </c>
      <c r="K78" s="46" t="n">
        <f aca="false">J78/$B$15</f>
        <v>182.696959790041</v>
      </c>
    </row>
    <row r="79" customFormat="false" ht="15" hidden="false" customHeight="false" outlineLevel="0" collapsed="false">
      <c r="A79" s="54" t="n">
        <v>39</v>
      </c>
      <c r="B79" s="23" t="n">
        <f aca="true">NORMINV(RAND(),$B$6,$C$6)</f>
        <v>0.0324999040042856</v>
      </c>
      <c r="C79" s="23" t="n">
        <f aca="true">MAX(0.15,NORMINV(RAND(),$B$7,$C$7))</f>
        <v>0.316351217549516</v>
      </c>
      <c r="D79" s="35" t="n">
        <f aca="true">MAX(0.06,NORMINV(RAND(),$B$8,$C$8))</f>
        <v>0.0931515328419895</v>
      </c>
      <c r="E79" s="55" t="n">
        <f aca="true">MAX(5,NORMINV(RAND(),$B$9,$C$9))</f>
        <v>11.0934300531064</v>
      </c>
      <c r="F79" s="28" t="n">
        <f aca="false">$B$18*(1+(B79+$B$17)/2)^9</f>
        <v>30034.6212629812</v>
      </c>
      <c r="G79" s="28" t="n">
        <f aca="false">F79*C79</f>
        <v>9501.48900518267</v>
      </c>
      <c r="H79" s="28" t="n">
        <f aca="false">E79*G79/(1+D79)^9</f>
        <v>47286.1773421357</v>
      </c>
      <c r="I79" s="28" t="n">
        <f aca="false">$B$13*G79/$B$12*((1+$B$8)/(1+D79))^4.5</f>
        <v>19056.302313355</v>
      </c>
      <c r="J79" s="28" t="n">
        <f aca="false">H79+I79-$B$14-$B$19</f>
        <v>43680.1227861756</v>
      </c>
      <c r="K79" s="46" t="n">
        <f aca="false">J79/$B$15</f>
        <v>129.537730682608</v>
      </c>
    </row>
    <row r="80" customFormat="false" ht="15" hidden="false" customHeight="false" outlineLevel="0" collapsed="false">
      <c r="A80" s="54" t="n">
        <v>40</v>
      </c>
      <c r="B80" s="23" t="n">
        <f aca="true">NORMINV(RAND(),$B$6,$C$6)</f>
        <v>0.129134261070856</v>
      </c>
      <c r="C80" s="23" t="n">
        <f aca="true">MAX(0.15,NORMINV(RAND(),$B$7,$C$7))</f>
        <v>0.343140896454837</v>
      </c>
      <c r="D80" s="35" t="n">
        <f aca="true">MAX(0.06,NORMINV(RAND(),$B$8,$C$8))</f>
        <v>0.093411120004787</v>
      </c>
      <c r="E80" s="55" t="n">
        <f aca="true">MAX(5,NORMINV(RAND(),$B$9,$C$9))</f>
        <v>7.08062458206773</v>
      </c>
      <c r="F80" s="28" t="n">
        <f aca="false">$B$18*(1+(B80+$B$17)/2)^9</f>
        <v>45396.1121847528</v>
      </c>
      <c r="G80" s="28" t="n">
        <f aca="false">F80*C80</f>
        <v>15577.2626306404</v>
      </c>
      <c r="H80" s="28" t="n">
        <f aca="false">E80*G80/(1+D80)^9</f>
        <v>49375.4803159297</v>
      </c>
      <c r="I80" s="28" t="n">
        <f aca="false">$B$13*G80/$B$12*((1+$B$8)/(1+D80))^4.5</f>
        <v>31208.5846809901</v>
      </c>
      <c r="J80" s="28" t="n">
        <f aca="false">H80+I80-$B$14-$B$19</f>
        <v>57921.7081276048</v>
      </c>
      <c r="K80" s="46" t="n">
        <f aca="false">J80/$B$15</f>
        <v>171.772562656005</v>
      </c>
    </row>
    <row r="81" customFormat="false" ht="15" hidden="false" customHeight="false" outlineLevel="0" collapsed="false">
      <c r="A81" s="54" t="n">
        <v>41</v>
      </c>
      <c r="B81" s="23" t="n">
        <f aca="true">NORMINV(RAND(),$B$6,$C$6)</f>
        <v>0.0594026226314551</v>
      </c>
      <c r="C81" s="23" t="n">
        <f aca="true">MAX(0.15,NORMINV(RAND(),$B$7,$C$7))</f>
        <v>0.331677860665381</v>
      </c>
      <c r="D81" s="35" t="n">
        <f aca="true">MAX(0.06,NORMINV(RAND(),$B$8,$C$8))</f>
        <v>0.0879037935749927</v>
      </c>
      <c r="E81" s="55" t="n">
        <f aca="true">MAX(5,NORMINV(RAND(),$B$9,$C$9))</f>
        <v>10.1806963898371</v>
      </c>
      <c r="F81" s="28" t="n">
        <f aca="false">$B$18*(1+(B81+$B$17)/2)^9</f>
        <v>33759.6741117295</v>
      </c>
      <c r="G81" s="28" t="n">
        <f aca="false">F81*C81</f>
        <v>11197.3364861389</v>
      </c>
      <c r="H81" s="28" t="n">
        <f aca="false">E81*G81/(1+D81)^9</f>
        <v>53404.4927969119</v>
      </c>
      <c r="I81" s="28" t="n">
        <f aca="false">$B$13*G81/$B$12*((1+$B$8)/(1+D81))^4.5</f>
        <v>22949.1254060767</v>
      </c>
      <c r="J81" s="28" t="n">
        <f aca="false">H81+I81-$B$14-$B$19</f>
        <v>53691.2613336736</v>
      </c>
      <c r="K81" s="46" t="n">
        <f aca="false">J81/$B$15</f>
        <v>159.226753658581</v>
      </c>
    </row>
    <row r="82" customFormat="false" ht="15" hidden="false" customHeight="false" outlineLevel="0" collapsed="false">
      <c r="A82" s="54" t="n">
        <v>42</v>
      </c>
      <c r="B82" s="23" t="n">
        <f aca="true">NORMINV(RAND(),$B$6,$C$6)</f>
        <v>0.0723198644237233</v>
      </c>
      <c r="C82" s="23" t="n">
        <f aca="true">MAX(0.15,NORMINV(RAND(),$B$7,$C$7))</f>
        <v>0.319922931594127</v>
      </c>
      <c r="D82" s="35" t="n">
        <f aca="true">MAX(0.06,NORMINV(RAND(),$B$8,$C$8))</f>
        <v>0.0820996665430794</v>
      </c>
      <c r="E82" s="55" t="n">
        <f aca="true">MAX(5,NORMINV(RAND(),$B$9,$C$9))</f>
        <v>10.4587572040502</v>
      </c>
      <c r="F82" s="28" t="n">
        <f aca="false">$B$18*(1+(B82+$B$17)/2)^9</f>
        <v>35689.9368260906</v>
      </c>
      <c r="G82" s="28" t="n">
        <f aca="false">F82*C82</f>
        <v>11418.0292178121</v>
      </c>
      <c r="H82" s="28" t="n">
        <f aca="false">E82*G82/(1+D82)^9</f>
        <v>58703.7523483681</v>
      </c>
      <c r="I82" s="28" t="n">
        <f aca="false">$B$13*G82/$B$12*((1+$B$8)/(1+D82))^4.5</f>
        <v>23971.6035059826</v>
      </c>
      <c r="J82" s="28" t="n">
        <f aca="false">H82+I82-$B$14-$B$19</f>
        <v>60012.9989850356</v>
      </c>
      <c r="K82" s="46" t="n">
        <f aca="false">J82/$B$15</f>
        <v>177.974492838184</v>
      </c>
    </row>
    <row r="83" customFormat="false" ht="15" hidden="false" customHeight="false" outlineLevel="0" collapsed="false">
      <c r="A83" s="54" t="n">
        <v>43</v>
      </c>
      <c r="B83" s="23" t="n">
        <f aca="true">NORMINV(RAND(),$B$6,$C$6)</f>
        <v>0.0332506262023519</v>
      </c>
      <c r="C83" s="23" t="n">
        <f aca="true">MAX(0.15,NORMINV(RAND(),$B$7,$C$7))</f>
        <v>0.364536819416235</v>
      </c>
      <c r="D83" s="35" t="n">
        <f aca="true">MAX(0.06,NORMINV(RAND(),$B$8,$C$8))</f>
        <v>0.102671747510342</v>
      </c>
      <c r="E83" s="55" t="n">
        <f aca="true">MAX(5,NORMINV(RAND(),$B$9,$C$9))</f>
        <v>10.4291111643743</v>
      </c>
      <c r="F83" s="28" t="n">
        <f aca="false">$B$18*(1+(B83+$B$17)/2)^9</f>
        <v>30133.3942133401</v>
      </c>
      <c r="G83" s="28" t="n">
        <f aca="false">F83*C83</f>
        <v>10984.7316847466</v>
      </c>
      <c r="H83" s="28" t="n">
        <f aca="false">E83*G83/(1+D83)^9</f>
        <v>47535.7690281794</v>
      </c>
      <c r="I83" s="28" t="n">
        <f aca="false">$B$13*G83/$B$12*((1+$B$8)/(1+D83))^4.5</f>
        <v>21187.9998233677</v>
      </c>
      <c r="J83" s="28" t="n">
        <f aca="false">H83+I83-$B$14-$B$19</f>
        <v>46061.4119822321</v>
      </c>
      <c r="K83" s="46" t="n">
        <f aca="false">J83/$B$15</f>
        <v>136.59967966261</v>
      </c>
    </row>
    <row r="84" customFormat="false" ht="15" hidden="false" customHeight="false" outlineLevel="0" collapsed="false">
      <c r="A84" s="54" t="n">
        <v>44</v>
      </c>
      <c r="B84" s="23" t="n">
        <f aca="true">NORMINV(RAND(),$B$6,$C$6)</f>
        <v>0.0775581539099388</v>
      </c>
      <c r="C84" s="23" t="n">
        <f aca="true">MAX(0.15,NORMINV(RAND(),$B$7,$C$7))</f>
        <v>0.337387408722008</v>
      </c>
      <c r="D84" s="35" t="n">
        <f aca="true">MAX(0.06,NORMINV(RAND(),$B$8,$C$8))</f>
        <v>0.0927327024628382</v>
      </c>
      <c r="E84" s="55" t="n">
        <f aca="true">MAX(5,NORMINV(RAND(),$B$9,$C$9))</f>
        <v>9.43090008936439</v>
      </c>
      <c r="F84" s="28" t="n">
        <f aca="false">$B$18*(1+(B84+$B$17)/2)^9</f>
        <v>36500.2548657454</v>
      </c>
      <c r="G84" s="28" t="n">
        <f aca="false">F84*C84</f>
        <v>12314.7264068467</v>
      </c>
      <c r="H84" s="28" t="n">
        <f aca="false">E84*G84/(1+D84)^9</f>
        <v>52282.030621705</v>
      </c>
      <c r="I84" s="28" t="n">
        <f aca="false">$B$13*G84/$B$12*((1+$B$8)/(1+D84))^4.5</f>
        <v>24741.1940546736</v>
      </c>
      <c r="J84" s="28" t="n">
        <f aca="false">H84+I84-$B$14-$B$19</f>
        <v>54360.8678070636</v>
      </c>
      <c r="K84" s="46" t="n">
        <f aca="false">J84/$B$15</f>
        <v>161.212537980616</v>
      </c>
    </row>
    <row r="85" customFormat="false" ht="15" hidden="false" customHeight="false" outlineLevel="0" collapsed="false">
      <c r="A85" s="54" t="n">
        <v>45</v>
      </c>
      <c r="B85" s="23" t="n">
        <f aca="true">NORMINV(RAND(),$B$6,$C$6)</f>
        <v>0.0884988365220753</v>
      </c>
      <c r="C85" s="23" t="n">
        <f aca="true">MAX(0.15,NORMINV(RAND(),$B$7,$C$7))</f>
        <v>0.353416235288898</v>
      </c>
      <c r="D85" s="35" t="n">
        <f aca="true">MAX(0.06,NORMINV(RAND(),$B$8,$C$8))</f>
        <v>0.0869935421064959</v>
      </c>
      <c r="E85" s="55" t="n">
        <f aca="true">MAX(5,NORMINV(RAND(),$B$9,$C$9))</f>
        <v>10.5878851700367</v>
      </c>
      <c r="F85" s="28" t="n">
        <f aca="false">$B$18*(1+(B85+$B$17)/2)^9</f>
        <v>38245.6340353348</v>
      </c>
      <c r="G85" s="28" t="n">
        <f aca="false">F85*C85</f>
        <v>13516.6279970049</v>
      </c>
      <c r="H85" s="28" t="n">
        <f aca="false">E85*G85/(1+D85)^9</f>
        <v>67551.4862335601</v>
      </c>
      <c r="I85" s="28" t="n">
        <f aca="false">$B$13*G85/$B$12*((1+$B$8)/(1+D85))^4.5</f>
        <v>27807.0964929444</v>
      </c>
      <c r="J85" s="28" t="n">
        <f aca="false">H85+I85-$B$14-$B$19</f>
        <v>72696.2258571894</v>
      </c>
      <c r="K85" s="46" t="n">
        <f aca="false">J85/$B$15</f>
        <v>215.587858413966</v>
      </c>
    </row>
    <row r="86" customFormat="false" ht="15" hidden="false" customHeight="false" outlineLevel="0" collapsed="false">
      <c r="A86" s="54" t="n">
        <v>46</v>
      </c>
      <c r="B86" s="23" t="n">
        <f aca="true">NORMINV(RAND(),$B$6,$C$6)</f>
        <v>0.144874150117413</v>
      </c>
      <c r="C86" s="23" t="n">
        <f aca="true">MAX(0.15,NORMINV(RAND(),$B$7,$C$7))</f>
        <v>0.321523518606751</v>
      </c>
      <c r="D86" s="35" t="n">
        <f aca="true">MAX(0.06,NORMINV(RAND(),$B$8,$C$8))</f>
        <v>0.0988177659835458</v>
      </c>
      <c r="E86" s="55" t="n">
        <f aca="true">MAX(5,NORMINV(RAND(),$B$9,$C$9))</f>
        <v>12.3724120475706</v>
      </c>
      <c r="F86" s="28" t="n">
        <f aca="false">$B$18*(1+(B86+$B$17)/2)^9</f>
        <v>48470.1832699189</v>
      </c>
      <c r="G86" s="28" t="n">
        <f aca="false">F86*C86</f>
        <v>15584.3038724584</v>
      </c>
      <c r="H86" s="28" t="n">
        <f aca="false">E86*G86/(1+D86)^9</f>
        <v>82567.8031413978</v>
      </c>
      <c r="I86" s="28" t="n">
        <f aca="false">$B$13*G86/$B$12*((1+$B$8)/(1+D86))^4.5</f>
        <v>30537.2905541275</v>
      </c>
      <c r="J86" s="28" t="n">
        <f aca="false">H86+I86-$B$14-$B$19</f>
        <v>90442.7368262103</v>
      </c>
      <c r="K86" s="46" t="n">
        <f aca="false">J86/$B$15</f>
        <v>268.216894502403</v>
      </c>
    </row>
    <row r="87" customFormat="false" ht="15" hidden="false" customHeight="false" outlineLevel="0" collapsed="false">
      <c r="A87" s="54" t="n">
        <v>47</v>
      </c>
      <c r="B87" s="23" t="n">
        <f aca="true">NORMINV(RAND(),$B$6,$C$6)</f>
        <v>0.0822484451509157</v>
      </c>
      <c r="C87" s="23" t="n">
        <f aca="true">MAX(0.15,NORMINV(RAND(),$B$7,$C$7))</f>
        <v>0.298690631437197</v>
      </c>
      <c r="D87" s="35" t="n">
        <f aca="true">MAX(0.06,NORMINV(RAND(),$B$8,$C$8))</f>
        <v>0.0927616375253998</v>
      </c>
      <c r="E87" s="55" t="n">
        <f aca="true">MAX(5,NORMINV(RAND(),$B$9,$C$9))</f>
        <v>11.6575247669832</v>
      </c>
      <c r="F87" s="28" t="n">
        <f aca="false">$B$18*(1+(B87+$B$17)/2)^9</f>
        <v>37239.6358723561</v>
      </c>
      <c r="G87" s="28" t="n">
        <f aca="false">F87*C87</f>
        <v>11123.1303532054</v>
      </c>
      <c r="H87" s="28" t="n">
        <f aca="false">E87*G87/(1+D87)^9</f>
        <v>58358.53904599</v>
      </c>
      <c r="I87" s="28" t="n">
        <f aca="false">$B$13*G87/$B$12*((1+$B$8)/(1+D87))^4.5</f>
        <v>22344.5270038021</v>
      </c>
      <c r="J87" s="28" t="n">
        <f aca="false">H87+I87-$B$14-$B$19</f>
        <v>58040.7091804769</v>
      </c>
      <c r="K87" s="46" t="n">
        <f aca="false">J87/$B$15</f>
        <v>172.125472065471</v>
      </c>
    </row>
    <row r="88" customFormat="false" ht="15" hidden="false" customHeight="false" outlineLevel="0" collapsed="false">
      <c r="A88" s="54" t="n">
        <v>48</v>
      </c>
      <c r="B88" s="23" t="n">
        <f aca="true">NORMINV(RAND(),$B$6,$C$6)</f>
        <v>0.084633555942115</v>
      </c>
      <c r="C88" s="23" t="n">
        <f aca="true">MAX(0.15,NORMINV(RAND(),$B$7,$C$7))</f>
        <v>0.368549837709758</v>
      </c>
      <c r="D88" s="35" t="n">
        <f aca="true">MAX(0.06,NORMINV(RAND(),$B$8,$C$8))</f>
        <v>0.0965820371206531</v>
      </c>
      <c r="E88" s="55" t="n">
        <f aca="true">MAX(5,NORMINV(RAND(),$B$9,$C$9))</f>
        <v>12.1026788383117</v>
      </c>
      <c r="F88" s="28" t="n">
        <f aca="false">$B$18*(1+(B88+$B$17)/2)^9</f>
        <v>37620.7084817123</v>
      </c>
      <c r="G88" s="28" t="n">
        <f aca="false">F88*C88</f>
        <v>13865.1060054612</v>
      </c>
      <c r="H88" s="28" t="n">
        <f aca="false">E88*G88/(1+D88)^9</f>
        <v>73187.1028070723</v>
      </c>
      <c r="I88" s="28" t="n">
        <f aca="false">$B$13*G88/$B$12*((1+$B$8)/(1+D88))^4.5</f>
        <v>27418.6924820748</v>
      </c>
      <c r="J88" s="28" t="n">
        <f aca="false">H88+I88-$B$14-$B$19</f>
        <v>77943.438419832</v>
      </c>
      <c r="K88" s="46" t="n">
        <f aca="false">J88/$B$15</f>
        <v>231.148987010178</v>
      </c>
    </row>
    <row r="89" customFormat="false" ht="15" hidden="false" customHeight="false" outlineLevel="0" collapsed="false">
      <c r="A89" s="54" t="n">
        <v>49</v>
      </c>
      <c r="B89" s="23" t="n">
        <f aca="true">NORMINV(RAND(),$B$6,$C$6)</f>
        <v>0.0989177126279911</v>
      </c>
      <c r="C89" s="23" t="n">
        <f aca="true">MAX(0.15,NORMINV(RAND(),$B$7,$C$7))</f>
        <v>0.308274869493259</v>
      </c>
      <c r="D89" s="35" t="n">
        <f aca="true">MAX(0.06,NORMINV(RAND(),$B$8,$C$8))</f>
        <v>0.0937893008094692</v>
      </c>
      <c r="E89" s="55" t="n">
        <f aca="true">MAX(5,NORMINV(RAND(),$B$9,$C$9))</f>
        <v>7.79850910985374</v>
      </c>
      <c r="F89" s="28" t="n">
        <f aca="false">$B$18*(1+(B89+$B$17)/2)^9</f>
        <v>39976.3306216474</v>
      </c>
      <c r="G89" s="28" t="n">
        <f aca="false">F89*C89</f>
        <v>12323.6981052077</v>
      </c>
      <c r="H89" s="28" t="n">
        <f aca="false">E89*G89/(1+D89)^9</f>
        <v>42889.3630522039</v>
      </c>
      <c r="I89" s="28" t="n">
        <f aca="false">$B$13*G89/$B$12*((1+$B$8)/(1+D89))^4.5</f>
        <v>24651.7725486046</v>
      </c>
      <c r="J89" s="28" t="n">
        <f aca="false">H89+I89-$B$14-$B$19</f>
        <v>44878.7787314934</v>
      </c>
      <c r="K89" s="46" t="n">
        <f aca="false">J89/$B$15</f>
        <v>133.092463616528</v>
      </c>
    </row>
    <row r="90" customFormat="false" ht="15" hidden="false" customHeight="false" outlineLevel="0" collapsed="false">
      <c r="A90" s="54" t="n">
        <v>50</v>
      </c>
      <c r="B90" s="23" t="n">
        <f aca="true">NORMINV(RAND(),$B$6,$C$6)</f>
        <v>0.0467151922048359</v>
      </c>
      <c r="C90" s="23" t="n">
        <f aca="true">MAX(0.15,NORMINV(RAND(),$B$7,$C$7))</f>
        <v>0.293819232341371</v>
      </c>
      <c r="D90" s="35" t="n">
        <f aca="true">MAX(0.06,NORMINV(RAND(),$B$8,$C$8))</f>
        <v>0.094897507566616</v>
      </c>
      <c r="E90" s="55" t="n">
        <f aca="true">MAX(5,NORMINV(RAND(),$B$9,$C$9))</f>
        <v>7.72199117969031</v>
      </c>
      <c r="F90" s="28" t="n">
        <f aca="false">$B$18*(1+(B90+$B$17)/2)^9</f>
        <v>31954.6602594112</v>
      </c>
      <c r="G90" s="28" t="n">
        <f aca="false">F90*C90</f>
        <v>9388.8937471495</v>
      </c>
      <c r="H90" s="28" t="n">
        <f aca="false">E90*G90/(1+D90)^9</f>
        <v>32061.4028633249</v>
      </c>
      <c r="I90" s="28" t="n">
        <f aca="false">$B$13*G90/$B$12*((1+$B$8)/(1+D90))^4.5</f>
        <v>18695.7306413906</v>
      </c>
      <c r="J90" s="28" t="n">
        <f aca="false">H90+I90-$B$14-$B$19</f>
        <v>28094.7766354004</v>
      </c>
      <c r="K90" s="46" t="n">
        <f aca="false">J90/$B$15</f>
        <v>83.3178429282337</v>
      </c>
    </row>
    <row r="91" customFormat="false" ht="15" hidden="false" customHeight="false" outlineLevel="0" collapsed="false">
      <c r="A91" s="54" t="n">
        <v>51</v>
      </c>
      <c r="B91" s="23" t="n">
        <f aca="true">NORMINV(RAND(),$B$6,$C$6)</f>
        <v>0.0996578360795524</v>
      </c>
      <c r="C91" s="23" t="n">
        <f aca="true">MAX(0.15,NORMINV(RAND(),$B$7,$C$7))</f>
        <v>0.364010168973263</v>
      </c>
      <c r="D91" s="35" t="n">
        <f aca="true">MAX(0.06,NORMINV(RAND(),$B$8,$C$8))</f>
        <v>0.0918754921333552</v>
      </c>
      <c r="E91" s="55" t="n">
        <f aca="true">MAX(5,NORMINV(RAND(),$B$9,$C$9))</f>
        <v>9.92681403168528</v>
      </c>
      <c r="F91" s="28" t="n">
        <f aca="false">$B$18*(1+(B91+$B$17)/2)^9</f>
        <v>40101.8808024838</v>
      </c>
      <c r="G91" s="28" t="n">
        <f aca="false">F91*C91</f>
        <v>14597.4924070578</v>
      </c>
      <c r="H91" s="28" t="n">
        <f aca="false">E91*G91/(1+D91)^9</f>
        <v>65694.6618102543</v>
      </c>
      <c r="I91" s="28" t="n">
        <f aca="false">$B$13*G91/$B$12*((1+$B$8)/(1+D91))^4.5</f>
        <v>29431.1916604515</v>
      </c>
      <c r="J91" s="28" t="n">
        <f aca="false">H91+I91-$B$14-$B$19</f>
        <v>72463.4966013908</v>
      </c>
      <c r="K91" s="46" t="n">
        <f aca="false">J91/$B$15</f>
        <v>214.897676753828</v>
      </c>
    </row>
    <row r="92" customFormat="false" ht="15" hidden="false" customHeight="false" outlineLevel="0" collapsed="false">
      <c r="A92" s="54" t="n">
        <v>52</v>
      </c>
      <c r="B92" s="23" t="n">
        <f aca="true">NORMINV(RAND(),$B$6,$C$6)</f>
        <v>0.0557978942767142</v>
      </c>
      <c r="C92" s="23" t="n">
        <f aca="true">MAX(0.15,NORMINV(RAND(),$B$7,$C$7))</f>
        <v>0.324880970577205</v>
      </c>
      <c r="D92" s="35" t="n">
        <f aca="true">MAX(0.06,NORMINV(RAND(),$B$8,$C$8))</f>
        <v>0.0924002266331312</v>
      </c>
      <c r="E92" s="55" t="n">
        <f aca="true">MAX(5,NORMINV(RAND(),$B$9,$C$9))</f>
        <v>9.18452803897925</v>
      </c>
      <c r="F92" s="28" t="n">
        <f aca="false">$B$18*(1+(B92+$B$17)/2)^9</f>
        <v>33237.8439484388</v>
      </c>
      <c r="G92" s="28" t="n">
        <f aca="false">F92*C92</f>
        <v>10798.3430018625</v>
      </c>
      <c r="H92" s="28" t="n">
        <f aca="false">E92*G92/(1+D92)^9</f>
        <v>44769.055142823</v>
      </c>
      <c r="I92" s="28" t="n">
        <f aca="false">$B$13*G92/$B$12*((1+$B$8)/(1+D92))^4.5</f>
        <v>21724.3965460264</v>
      </c>
      <c r="J92" s="28" t="n">
        <f aca="false">H92+I92-$B$14-$B$19</f>
        <v>43831.0948195344</v>
      </c>
      <c r="K92" s="46" t="n">
        <f aca="false">J92/$B$15</f>
        <v>129.985453201466</v>
      </c>
    </row>
    <row r="93" customFormat="false" ht="15" hidden="false" customHeight="false" outlineLevel="0" collapsed="false">
      <c r="A93" s="54" t="n">
        <v>53</v>
      </c>
      <c r="B93" s="23" t="n">
        <f aca="true">NORMINV(RAND(),$B$6,$C$6)</f>
        <v>0.128113707224793</v>
      </c>
      <c r="C93" s="23" t="n">
        <f aca="true">MAX(0.15,NORMINV(RAND(),$B$7,$C$7))</f>
        <v>0.318880295634743</v>
      </c>
      <c r="D93" s="35" t="n">
        <f aca="true">MAX(0.06,NORMINV(RAND(),$B$8,$C$8))</f>
        <v>0.0789347519900116</v>
      </c>
      <c r="E93" s="55" t="n">
        <f aca="true">MAX(5,NORMINV(RAND(),$B$9,$C$9))</f>
        <v>9.59717357983464</v>
      </c>
      <c r="F93" s="28" t="n">
        <f aca="false">$B$18*(1+(B93+$B$17)/2)^9</f>
        <v>45202.9147119153</v>
      </c>
      <c r="G93" s="28" t="n">
        <f aca="false">F93*C93</f>
        <v>14414.3188068876</v>
      </c>
      <c r="H93" s="28" t="n">
        <f aca="false">E93*G93/(1+D93)^9</f>
        <v>69820.1596166122</v>
      </c>
      <c r="I93" s="28" t="n">
        <f aca="false">$B$13*G93/$B$12*((1+$B$8)/(1+D93))^4.5</f>
        <v>30663.6907025382</v>
      </c>
      <c r="J93" s="28" t="n">
        <f aca="false">H93+I93-$B$14-$B$19</f>
        <v>77821.4934498353</v>
      </c>
      <c r="K93" s="46" t="n">
        <f aca="false">J93/$B$15</f>
        <v>230.787347122881</v>
      </c>
    </row>
    <row r="94" customFormat="false" ht="15" hidden="false" customHeight="false" outlineLevel="0" collapsed="false">
      <c r="A94" s="54" t="n">
        <v>54</v>
      </c>
      <c r="B94" s="23" t="n">
        <f aca="true">NORMINV(RAND(),$B$6,$C$6)</f>
        <v>0.080189958795153</v>
      </c>
      <c r="C94" s="23" t="n">
        <f aca="true">MAX(0.15,NORMINV(RAND(),$B$7,$C$7))</f>
        <v>0.309931588922872</v>
      </c>
      <c r="D94" s="35" t="n">
        <f aca="true">MAX(0.06,NORMINV(RAND(),$B$8,$C$8))</f>
        <v>0.0889296216228495</v>
      </c>
      <c r="E94" s="55" t="n">
        <f aca="true">MAX(5,NORMINV(RAND(),$B$9,$C$9))</f>
        <v>8.48245710845743</v>
      </c>
      <c r="F94" s="28" t="n">
        <f aca="false">$B$18*(1+(B94+$B$17)/2)^9</f>
        <v>36913.5111217796</v>
      </c>
      <c r="G94" s="28" t="n">
        <f aca="false">F94*C94</f>
        <v>11440.6631546952</v>
      </c>
      <c r="H94" s="28" t="n">
        <f aca="false">E94*G94/(1+D94)^9</f>
        <v>45079.0302078031</v>
      </c>
      <c r="I94" s="28" t="n">
        <f aca="false">$B$13*G94/$B$12*((1+$B$8)/(1+D94))^4.5</f>
        <v>23348.5903603189</v>
      </c>
      <c r="J94" s="28" t="n">
        <f aca="false">H94+I94-$B$14-$B$19</f>
        <v>45765.263698807</v>
      </c>
      <c r="K94" s="46" t="n">
        <f aca="false">J94/$B$15</f>
        <v>135.721422594327</v>
      </c>
    </row>
    <row r="95" customFormat="false" ht="15" hidden="false" customHeight="false" outlineLevel="0" collapsed="false">
      <c r="A95" s="54" t="n">
        <v>55</v>
      </c>
      <c r="B95" s="23" t="n">
        <f aca="true">NORMINV(RAND(),$B$6,$C$6)</f>
        <v>0.0974576492594927</v>
      </c>
      <c r="C95" s="23" t="n">
        <f aca="true">MAX(0.15,NORMINV(RAND(),$B$7,$C$7))</f>
        <v>0.315278998709812</v>
      </c>
      <c r="D95" s="35" t="n">
        <f aca="true">MAX(0.06,NORMINV(RAND(),$B$8,$C$8))</f>
        <v>0.0969179215716424</v>
      </c>
      <c r="E95" s="55" t="n">
        <f aca="true">MAX(5,NORMINV(RAND(),$B$9,$C$9))</f>
        <v>10.4620990509649</v>
      </c>
      <c r="F95" s="28" t="n">
        <f aca="false">$B$18*(1+(B95+$B$17)/2)^9</f>
        <v>39729.67811893</v>
      </c>
      <c r="G95" s="28" t="n">
        <f aca="false">F95*C95</f>
        <v>12525.9331363994</v>
      </c>
      <c r="H95" s="28" t="n">
        <f aca="false">E95*G95/(1+D95)^9</f>
        <v>56998.2770132608</v>
      </c>
      <c r="I95" s="28" t="n">
        <f aca="false">$B$13*G95/$B$12*((1+$B$8)/(1+D95))^4.5</f>
        <v>24736.3213896818</v>
      </c>
      <c r="J95" s="28" t="n">
        <f aca="false">H95+I95-$B$14-$B$19</f>
        <v>59072.2415336275</v>
      </c>
      <c r="K95" s="46" t="n">
        <f aca="false">J95/$B$15</f>
        <v>175.184583433059</v>
      </c>
    </row>
    <row r="96" customFormat="false" ht="15" hidden="false" customHeight="false" outlineLevel="0" collapsed="false">
      <c r="A96" s="54" t="n">
        <v>56</v>
      </c>
      <c r="B96" s="23" t="n">
        <f aca="true">NORMINV(RAND(),$B$6,$C$6)</f>
        <v>0.0843833500170374</v>
      </c>
      <c r="C96" s="23" t="n">
        <f aca="true">MAX(0.15,NORMINV(RAND(),$B$7,$C$7))</f>
        <v>0.309362292115775</v>
      </c>
      <c r="D96" s="35" t="n">
        <f aca="true">MAX(0.06,NORMINV(RAND(),$B$8,$C$8))</f>
        <v>0.0903240321141394</v>
      </c>
      <c r="E96" s="55" t="n">
        <f aca="true">MAX(5,NORMINV(RAND(),$B$9,$C$9))</f>
        <v>14.6350468791176</v>
      </c>
      <c r="F96" s="28" t="n">
        <f aca="false">$B$18*(1+(B96+$B$17)/2)^9</f>
        <v>37580.5706395612</v>
      </c>
      <c r="G96" s="28" t="n">
        <f aca="false">F96*C96</f>
        <v>11626.0114720735</v>
      </c>
      <c r="H96" s="28" t="n">
        <f aca="false">E96*G96/(1+D96)^9</f>
        <v>78131.2196423706</v>
      </c>
      <c r="I96" s="28" t="n">
        <f aca="false">$B$13*G96/$B$12*((1+$B$8)/(1+D96))^4.5</f>
        <v>23590.6135759034</v>
      </c>
      <c r="J96" s="28" t="n">
        <f aca="false">H96+I96-$B$14-$B$19</f>
        <v>79059.4763489589</v>
      </c>
      <c r="K96" s="46" t="n">
        <f aca="false">J96/$B$15</f>
        <v>234.458708033686</v>
      </c>
    </row>
    <row r="97" customFormat="false" ht="15" hidden="false" customHeight="false" outlineLevel="0" collapsed="false">
      <c r="A97" s="54" t="n">
        <v>57</v>
      </c>
      <c r="B97" s="23" t="n">
        <f aca="true">NORMINV(RAND(),$B$6,$C$6)</f>
        <v>0.0760945972054076</v>
      </c>
      <c r="C97" s="23" t="n">
        <f aca="true">MAX(0.15,NORMINV(RAND(),$B$7,$C$7))</f>
        <v>0.371084479463579</v>
      </c>
      <c r="D97" s="35" t="n">
        <f aca="true">MAX(0.06,NORMINV(RAND(),$B$8,$C$8))</f>
        <v>0.0988788454362644</v>
      </c>
      <c r="E97" s="55" t="n">
        <f aca="true">MAX(5,NORMINV(RAND(),$B$9,$C$9))</f>
        <v>13.0008563394552</v>
      </c>
      <c r="F97" s="28" t="n">
        <f aca="false">$B$18*(1+(B97+$B$17)/2)^9</f>
        <v>36272.2253826725</v>
      </c>
      <c r="G97" s="28" t="n">
        <f aca="false">F97*C97</f>
        <v>13460.0598751147</v>
      </c>
      <c r="H97" s="28" t="n">
        <f aca="false">E97*G97/(1+D97)^9</f>
        <v>74898.0715068663</v>
      </c>
      <c r="I97" s="28" t="n">
        <f aca="false">$B$13*G97/$B$12*((1+$B$8)/(1+D97))^4.5</f>
        <v>26368.2589002367</v>
      </c>
      <c r="J97" s="28" t="n">
        <f aca="false">H97+I97-$B$14-$B$19</f>
        <v>78603.9735377879</v>
      </c>
      <c r="K97" s="46" t="n">
        <f aca="false">J97/$B$15</f>
        <v>233.107869329146</v>
      </c>
    </row>
    <row r="98" customFormat="false" ht="15" hidden="false" customHeight="false" outlineLevel="0" collapsed="false">
      <c r="A98" s="54" t="n">
        <v>58</v>
      </c>
      <c r="B98" s="23" t="n">
        <f aca="true">NORMINV(RAND(),$B$6,$C$6)</f>
        <v>0.100227739404799</v>
      </c>
      <c r="C98" s="23" t="n">
        <f aca="true">MAX(0.15,NORMINV(RAND(),$B$7,$C$7))</f>
        <v>0.318930467862238</v>
      </c>
      <c r="D98" s="35" t="n">
        <f aca="true">MAX(0.06,NORMINV(RAND(),$B$8,$C$8))</f>
        <v>0.0959844717765178</v>
      </c>
      <c r="E98" s="55" t="n">
        <f aca="true">MAX(5,NORMINV(RAND(),$B$9,$C$9))</f>
        <v>9.32521677780648</v>
      </c>
      <c r="F98" s="28" t="n">
        <f aca="false">$B$18*(1+(B98+$B$17)/2)^9</f>
        <v>40198.7945646029</v>
      </c>
      <c r="G98" s="28" t="n">
        <f aca="false">F98*C98</f>
        <v>12820.6203579868</v>
      </c>
      <c r="H98" s="28" t="n">
        <f aca="false">E98*G98/(1+D98)^9</f>
        <v>52399.6477693134</v>
      </c>
      <c r="I98" s="28" t="n">
        <f aca="false">$B$13*G98/$B$12*((1+$B$8)/(1+D98))^4.5</f>
        <v>25415.4530605987</v>
      </c>
      <c r="J98" s="28" t="n">
        <f aca="false">H98+I98-$B$14-$B$19</f>
        <v>55152.743960597</v>
      </c>
      <c r="K98" s="46" t="n">
        <f aca="false">J98/$B$15</f>
        <v>163.56092515005</v>
      </c>
    </row>
    <row r="99" customFormat="false" ht="15" hidden="false" customHeight="false" outlineLevel="0" collapsed="false">
      <c r="A99" s="54" t="n">
        <v>59</v>
      </c>
      <c r="B99" s="23" t="n">
        <f aca="true">NORMINV(RAND(),$B$6,$C$6)</f>
        <v>0.0803871476427262</v>
      </c>
      <c r="C99" s="23" t="n">
        <f aca="true">MAX(0.15,NORMINV(RAND(),$B$7,$C$7))</f>
        <v>0.311782189681908</v>
      </c>
      <c r="D99" s="35" t="n">
        <f aca="true">MAX(0.06,NORMINV(RAND(),$B$8,$C$8))</f>
        <v>0.090911801326365</v>
      </c>
      <c r="E99" s="55" t="n">
        <f aca="true">MAX(5,NORMINV(RAND(),$B$9,$C$9))</f>
        <v>9.56978094428435</v>
      </c>
      <c r="F99" s="28" t="n">
        <f aca="false">$B$18*(1+(B99+$B$17)/2)^9</f>
        <v>36944.641302908</v>
      </c>
      <c r="G99" s="28" t="n">
        <f aca="false">F99*C99</f>
        <v>11518.6811624333</v>
      </c>
      <c r="H99" s="28" t="n">
        <f aca="false">E99*G99/(1+D99)^9</f>
        <v>50373.020682557</v>
      </c>
      <c r="I99" s="28" t="n">
        <f aca="false">$B$13*G99/$B$12*((1+$B$8)/(1+D99))^4.5</f>
        <v>23316.2121247708</v>
      </c>
      <c r="J99" s="28" t="n">
        <f aca="false">H99+I99-$B$14-$B$19</f>
        <v>51026.8759380127</v>
      </c>
      <c r="K99" s="46" t="n">
        <f aca="false">J99/$B$15</f>
        <v>151.325254857689</v>
      </c>
    </row>
    <row r="100" customFormat="false" ht="15" hidden="false" customHeight="false" outlineLevel="0" collapsed="false">
      <c r="A100" s="54" t="n">
        <v>60</v>
      </c>
      <c r="B100" s="23" t="n">
        <f aca="true">NORMINV(RAND(),$B$6,$C$6)</f>
        <v>0.0476989155883017</v>
      </c>
      <c r="C100" s="23" t="n">
        <f aca="true">MAX(0.15,NORMINV(RAND(),$B$7,$C$7))</f>
        <v>0.343721448587904</v>
      </c>
      <c r="D100" s="35" t="n">
        <f aca="true">MAX(0.06,NORMINV(RAND(),$B$8,$C$8))</f>
        <v>0.0969122048648229</v>
      </c>
      <c r="E100" s="55" t="n">
        <f aca="true">MAX(5,NORMINV(RAND(),$B$9,$C$9))</f>
        <v>8.26605411365694</v>
      </c>
      <c r="F100" s="28" t="n">
        <f aca="false">$B$18*(1+(B100+$B$17)/2)^9</f>
        <v>32091.4787080614</v>
      </c>
      <c r="G100" s="28" t="n">
        <f aca="false">F100*C100</f>
        <v>11030.5295488628</v>
      </c>
      <c r="H100" s="28" t="n">
        <f aca="false">E100*G100/(1+D100)^9</f>
        <v>39659.5505332491</v>
      </c>
      <c r="I100" s="28" t="n">
        <f aca="false">$B$13*G100/$B$12*((1+$B$8)/(1+D100))^4.5</f>
        <v>21783.6962878165</v>
      </c>
      <c r="J100" s="28" t="n">
        <f aca="false">H100+I100-$B$14-$B$19</f>
        <v>38780.8899517505</v>
      </c>
      <c r="K100" s="46" t="n">
        <f aca="false">J100/$B$15</f>
        <v>115.008570438169</v>
      </c>
    </row>
    <row r="101" customFormat="false" ht="15" hidden="false" customHeight="false" outlineLevel="0" collapsed="false">
      <c r="A101" s="54" t="n">
        <v>61</v>
      </c>
      <c r="B101" s="23" t="n">
        <f aca="true">NORMINV(RAND(),$B$6,$C$6)</f>
        <v>0.155194109548066</v>
      </c>
      <c r="C101" s="23" t="n">
        <f aca="true">MAX(0.15,NORMINV(RAND(),$B$7,$C$7))</f>
        <v>0.303747900954931</v>
      </c>
      <c r="D101" s="35" t="n">
        <f aca="true">MAX(0.06,NORMINV(RAND(),$B$8,$C$8))</f>
        <v>0.0919744133868992</v>
      </c>
      <c r="E101" s="55" t="n">
        <f aca="true">MAX(5,NORMINV(RAND(),$B$9,$C$9))</f>
        <v>8.29330289737361</v>
      </c>
      <c r="F101" s="28" t="n">
        <f aca="false">$B$18*(1+(B101+$B$17)/2)^9</f>
        <v>50584.8194990337</v>
      </c>
      <c r="G101" s="28" t="n">
        <f aca="false">F101*C101</f>
        <v>15365.0327430155</v>
      </c>
      <c r="H101" s="28" t="n">
        <f aca="false">E101*G101/(1+D101)^9</f>
        <v>57722.9950067937</v>
      </c>
      <c r="I101" s="28" t="n">
        <f aca="false">$B$13*G101/$B$12*((1+$B$8)/(1+D101))^4.5</f>
        <v>30966.0656296423</v>
      </c>
      <c r="J101" s="28" t="n">
        <f aca="false">H101+I101-$B$14-$B$19</f>
        <v>66026.703767121</v>
      </c>
      <c r="K101" s="46" t="n">
        <f aca="false">J101/$B$15</f>
        <v>195.80873003298</v>
      </c>
    </row>
    <row r="102" customFormat="false" ht="15" hidden="false" customHeight="false" outlineLevel="0" collapsed="false">
      <c r="A102" s="54" t="n">
        <v>62</v>
      </c>
      <c r="B102" s="23" t="n">
        <f aca="true">NORMINV(RAND(),$B$6,$C$6)</f>
        <v>0.0968713773148392</v>
      </c>
      <c r="C102" s="23" t="n">
        <f aca="true">MAX(0.15,NORMINV(RAND(),$B$7,$C$7))</f>
        <v>0.329791122781164</v>
      </c>
      <c r="D102" s="35" t="n">
        <f aca="true">MAX(0.06,NORMINV(RAND(),$B$8,$C$8))</f>
        <v>0.100924497398548</v>
      </c>
      <c r="E102" s="55" t="n">
        <f aca="true">MAX(5,NORMINV(RAND(),$B$9,$C$9))</f>
        <v>8.70528205293171</v>
      </c>
      <c r="F102" s="28" t="n">
        <f aca="false">$B$18*(1+(B102+$B$17)/2)^9</f>
        <v>39631.0188642714</v>
      </c>
      <c r="G102" s="28" t="n">
        <f aca="false">F102*C102</f>
        <v>13069.9582082096</v>
      </c>
      <c r="H102" s="28" t="n">
        <f aca="false">E102*G102/(1+D102)^9</f>
        <v>47889.3812014116</v>
      </c>
      <c r="I102" s="28" t="n">
        <f aca="false">$B$13*G102/$B$12*((1+$B$8)/(1+D102))^4.5</f>
        <v>25390.6552596876</v>
      </c>
      <c r="J102" s="28" t="n">
        <f aca="false">H102+I102-$B$14-$B$19</f>
        <v>50617.6795917841</v>
      </c>
      <c r="K102" s="46" t="n">
        <f aca="false">J102/$B$15</f>
        <v>150.111742561637</v>
      </c>
    </row>
    <row r="103" customFormat="false" ht="15" hidden="false" customHeight="false" outlineLevel="0" collapsed="false">
      <c r="A103" s="54" t="n">
        <v>63</v>
      </c>
      <c r="B103" s="23" t="n">
        <f aca="true">NORMINV(RAND(),$B$6,$C$6)</f>
        <v>0.0845222888994842</v>
      </c>
      <c r="C103" s="23" t="n">
        <f aca="true">MAX(0.15,NORMINV(RAND(),$B$7,$C$7))</f>
        <v>0.302096649348326</v>
      </c>
      <c r="D103" s="35" t="n">
        <f aca="true">MAX(0.06,NORMINV(RAND(),$B$8,$C$8))</f>
        <v>0.0856386590610353</v>
      </c>
      <c r="E103" s="55" t="n">
        <f aca="true">MAX(5,NORMINV(RAND(),$B$9,$C$9))</f>
        <v>10.4900187985989</v>
      </c>
      <c r="F103" s="28" t="n">
        <f aca="false">$B$18*(1+(B103+$B$17)/2)^9</f>
        <v>37602.8544057357</v>
      </c>
      <c r="G103" s="28" t="n">
        <f aca="false">F103*C103</f>
        <v>11359.6963219057</v>
      </c>
      <c r="H103" s="28" t="n">
        <f aca="false">E103*G103/(1+D103)^9</f>
        <v>56882.0563927519</v>
      </c>
      <c r="I103" s="28" t="n">
        <f aca="false">$B$13*G103/$B$12*((1+$B$8)/(1+D103))^4.5</f>
        <v>23501.278659731</v>
      </c>
      <c r="J103" s="28" t="n">
        <f aca="false">H103+I103-$B$14-$B$19</f>
        <v>57720.9781831678</v>
      </c>
      <c r="K103" s="46" t="n">
        <f aca="false">J103/$B$15</f>
        <v>171.177278123273</v>
      </c>
    </row>
    <row r="104" customFormat="false" ht="15" hidden="false" customHeight="false" outlineLevel="0" collapsed="false">
      <c r="A104" s="54" t="n">
        <v>64</v>
      </c>
      <c r="B104" s="23" t="n">
        <f aca="true">NORMINV(RAND(),$B$6,$C$6)</f>
        <v>0.057409470999825</v>
      </c>
      <c r="C104" s="23" t="n">
        <f aca="true">MAX(0.15,NORMINV(RAND(),$B$7,$C$7))</f>
        <v>0.335679073924417</v>
      </c>
      <c r="D104" s="35" t="n">
        <f aca="true">MAX(0.06,NORMINV(RAND(),$B$8,$C$8))</f>
        <v>0.0872465274452759</v>
      </c>
      <c r="E104" s="55" t="n">
        <f aca="true">MAX(5,NORMINV(RAND(),$B$9,$C$9))</f>
        <v>9.95643173094488</v>
      </c>
      <c r="F104" s="28" t="n">
        <f aca="false">$B$18*(1+(B104+$B$17)/2)^9</f>
        <v>33470.2472163005</v>
      </c>
      <c r="G104" s="28" t="n">
        <f aca="false">F104*C104</f>
        <v>11235.261589589</v>
      </c>
      <c r="H104" s="28" t="n">
        <f aca="false">E104*G104/(1+D104)^9</f>
        <v>52690.7821696618</v>
      </c>
      <c r="I104" s="28" t="n">
        <f aca="false">$B$13*G104/$B$12*((1+$B$8)/(1+D104))^4.5</f>
        <v>23089.5610708264</v>
      </c>
      <c r="J104" s="28" t="n">
        <f aca="false">H104+I104-$B$14-$B$19</f>
        <v>53117.9863711732</v>
      </c>
      <c r="K104" s="46" t="n">
        <f aca="false">J104/$B$15</f>
        <v>157.526649973823</v>
      </c>
    </row>
    <row r="105" customFormat="false" ht="15" hidden="false" customHeight="false" outlineLevel="0" collapsed="false">
      <c r="A105" s="54" t="n">
        <v>65</v>
      </c>
      <c r="B105" s="23" t="n">
        <f aca="true">NORMINV(RAND(),$B$6,$C$6)</f>
        <v>0.0119118761536353</v>
      </c>
      <c r="C105" s="23" t="n">
        <f aca="true">MAX(0.15,NORMINV(RAND(),$B$7,$C$7))</f>
        <v>0.278673703157445</v>
      </c>
      <c r="D105" s="35" t="n">
        <f aca="true">MAX(0.06,NORMINV(RAND(),$B$8,$C$8))</f>
        <v>0.0744554617133572</v>
      </c>
      <c r="E105" s="55" t="n">
        <f aca="true">MAX(5,NORMINV(RAND(),$B$9,$C$9))</f>
        <v>10.4254893281727</v>
      </c>
      <c r="F105" s="28" t="n">
        <f aca="false">$B$18*(1+(B105+$B$17)/2)^9</f>
        <v>27435.5651165391</v>
      </c>
      <c r="G105" s="28" t="n">
        <f aca="false">F105*C105</f>
        <v>7645.57052924316</v>
      </c>
      <c r="H105" s="28" t="n">
        <f aca="false">E105*G105/(1+D105)^9</f>
        <v>41764.8173498569</v>
      </c>
      <c r="I105" s="28" t="n">
        <f aca="false">$B$13*G105/$B$12*((1+$B$8)/(1+D105))^4.5</f>
        <v>16571.8364639949</v>
      </c>
      <c r="J105" s="28" t="n">
        <f aca="false">H105+I105-$B$14-$B$19</f>
        <v>35674.2969445367</v>
      </c>
      <c r="K105" s="46" t="n">
        <f aca="false">J105/$B$15</f>
        <v>105.795661164106</v>
      </c>
    </row>
    <row r="106" customFormat="false" ht="15" hidden="false" customHeight="false" outlineLevel="0" collapsed="false">
      <c r="A106" s="54" t="n">
        <v>66</v>
      </c>
      <c r="B106" s="23" t="n">
        <f aca="true">NORMINV(RAND(),$B$6,$C$6)</f>
        <v>0.0674988856099192</v>
      </c>
      <c r="C106" s="23" t="n">
        <f aca="true">MAX(0.15,NORMINV(RAND(),$B$7,$C$7))</f>
        <v>0.328063144940263</v>
      </c>
      <c r="D106" s="35" t="n">
        <f aca="true">MAX(0.06,NORMINV(RAND(),$B$8,$C$8))</f>
        <v>0.0929170988401148</v>
      </c>
      <c r="E106" s="55" t="n">
        <f aca="true">MAX(5,NORMINV(RAND(),$B$9,$C$9))</f>
        <v>9.70027920798873</v>
      </c>
      <c r="F106" s="28" t="n">
        <f aca="false">$B$18*(1+(B106+$B$17)/2)^9</f>
        <v>34958.3451279512</v>
      </c>
      <c r="G106" s="28" t="n">
        <f aca="false">F106*C106</f>
        <v>11468.5446445828</v>
      </c>
      <c r="H106" s="28" t="n">
        <f aca="false">E106*G106/(1+D106)^9</f>
        <v>50004.323826059</v>
      </c>
      <c r="I106" s="28" t="n">
        <f aca="false">$B$13*G106/$B$12*((1+$B$8)/(1+D106))^4.5</f>
        <v>23023.6639109249</v>
      </c>
      <c r="J106" s="28" t="n">
        <f aca="false">H106+I106-$B$14-$B$19</f>
        <v>50365.6308676688</v>
      </c>
      <c r="K106" s="46" t="n">
        <f aca="false">J106/$B$15</f>
        <v>149.364267104593</v>
      </c>
    </row>
    <row r="107" customFormat="false" ht="15" hidden="false" customHeight="false" outlineLevel="0" collapsed="false">
      <c r="A107" s="54" t="n">
        <v>67</v>
      </c>
      <c r="B107" s="23" t="n">
        <f aca="true">NORMINV(RAND(),$B$6,$C$6)</f>
        <v>0.036431240384065</v>
      </c>
      <c r="C107" s="23" t="n">
        <f aca="true">MAX(0.15,NORMINV(RAND(),$B$7,$C$7))</f>
        <v>0.339798548027721</v>
      </c>
      <c r="D107" s="35" t="n">
        <f aca="true">MAX(0.06,NORMINV(RAND(),$B$8,$C$8))</f>
        <v>0.0910306518202836</v>
      </c>
      <c r="E107" s="55" t="n">
        <f aca="true">MAX(5,NORMINV(RAND(),$B$9,$C$9))</f>
        <v>11.3596268069915</v>
      </c>
      <c r="F107" s="28" t="n">
        <f aca="false">$B$18*(1+(B107+$B$17)/2)^9</f>
        <v>30555.08016963</v>
      </c>
      <c r="G107" s="28" t="n">
        <f aca="false">F107*C107</f>
        <v>10382.5718765109</v>
      </c>
      <c r="H107" s="28" t="n">
        <f aca="false">E107*G107/(1+D107)^9</f>
        <v>53843.8917345078</v>
      </c>
      <c r="I107" s="28" t="n">
        <f aca="false">$B$13*G107/$B$12*((1+$B$8)/(1+D107))^4.5</f>
        <v>21006.1896736962</v>
      </c>
      <c r="J107" s="28" t="n">
        <f aca="false">H107+I107-$B$14-$B$19</f>
        <v>52187.7245388889</v>
      </c>
      <c r="K107" s="46" t="n">
        <f aca="false">J107/$B$15</f>
        <v>154.767866366812</v>
      </c>
    </row>
    <row r="108" customFormat="false" ht="15" hidden="false" customHeight="false" outlineLevel="0" collapsed="false">
      <c r="A108" s="54" t="n">
        <v>68</v>
      </c>
      <c r="B108" s="23" t="n">
        <f aca="true">NORMINV(RAND(),$B$6,$C$6)</f>
        <v>0.143313052085953</v>
      </c>
      <c r="C108" s="23" t="n">
        <f aca="true">MAX(0.15,NORMINV(RAND(),$B$7,$C$7))</f>
        <v>0.335473659417616</v>
      </c>
      <c r="D108" s="35" t="n">
        <f aca="true">MAX(0.06,NORMINV(RAND(),$B$8,$C$8))</f>
        <v>0.0993929239894257</v>
      </c>
      <c r="E108" s="55" t="n">
        <f aca="true">MAX(5,NORMINV(RAND(),$B$9,$C$9))</f>
        <v>9.90948084663036</v>
      </c>
      <c r="F108" s="28" t="n">
        <f aca="false">$B$18*(1+(B108+$B$17)/2)^9</f>
        <v>48157.2416667914</v>
      </c>
      <c r="G108" s="28" t="n">
        <f aca="false">F108*C108</f>
        <v>16155.486089417</v>
      </c>
      <c r="H108" s="28" t="n">
        <f aca="false">E108*G108/(1+D108)^9</f>
        <v>68233.0046194342</v>
      </c>
      <c r="I108" s="28" t="n">
        <f aca="false">$B$13*G108/$B$12*((1+$B$8)/(1+D108))^4.5</f>
        <v>31582.0583532699</v>
      </c>
      <c r="J108" s="28" t="n">
        <f aca="false">H108+I108-$B$14-$B$19</f>
        <v>77152.7061033891</v>
      </c>
      <c r="K108" s="46" t="n">
        <f aca="false">J108/$B$15</f>
        <v>228.803992002933</v>
      </c>
    </row>
    <row r="109" customFormat="false" ht="15" hidden="false" customHeight="false" outlineLevel="0" collapsed="false">
      <c r="A109" s="54" t="n">
        <v>69</v>
      </c>
      <c r="B109" s="23" t="n">
        <f aca="true">NORMINV(RAND(),$B$6,$C$6)</f>
        <v>0.0589507810829119</v>
      </c>
      <c r="C109" s="23" t="n">
        <f aca="true">MAX(0.15,NORMINV(RAND(),$B$7,$C$7))</f>
        <v>0.366656014663783</v>
      </c>
      <c r="D109" s="35" t="n">
        <f aca="true">MAX(0.06,NORMINV(RAND(),$B$8,$C$8))</f>
        <v>0.102860296927927</v>
      </c>
      <c r="E109" s="55" t="n">
        <f aca="true">MAX(5,NORMINV(RAND(),$B$9,$C$9))</f>
        <v>10.5267407854213</v>
      </c>
      <c r="F109" s="28" t="n">
        <f aca="false">$B$18*(1+(B109+$B$17)/2)^9</f>
        <v>33693.8676164002</v>
      </c>
      <c r="G109" s="28" t="n">
        <f aca="false">F109*C109</f>
        <v>12354.0592188384</v>
      </c>
      <c r="H109" s="28" t="n">
        <f aca="false">E109*G109/(1+D109)^9</f>
        <v>53878.9453859666</v>
      </c>
      <c r="I109" s="28" t="n">
        <f aca="false">$B$13*G109/$B$12*((1+$B$8)/(1+D109))^4.5</f>
        <v>23810.9124609122</v>
      </c>
      <c r="J109" s="28" t="n">
        <f aca="false">H109+I109-$B$14-$B$19</f>
        <v>55027.5009775636</v>
      </c>
      <c r="K109" s="46" t="n">
        <f aca="false">J109/$B$15</f>
        <v>163.189504678421</v>
      </c>
    </row>
    <row r="110" customFormat="false" ht="15" hidden="false" customHeight="false" outlineLevel="0" collapsed="false">
      <c r="A110" s="54" t="n">
        <v>70</v>
      </c>
      <c r="B110" s="23" t="n">
        <f aca="true">NORMINV(RAND(),$B$6,$C$6)</f>
        <v>0.0437578242586356</v>
      </c>
      <c r="C110" s="23" t="n">
        <f aca="true">MAX(0.15,NORMINV(RAND(),$B$7,$C$7))</f>
        <v>0.261803947764176</v>
      </c>
      <c r="D110" s="35" t="n">
        <f aca="true">MAX(0.06,NORMINV(RAND(),$B$8,$C$8))</f>
        <v>0.0872847383150819</v>
      </c>
      <c r="E110" s="55" t="n">
        <f aca="true">MAX(5,NORMINV(RAND(),$B$9,$C$9))</f>
        <v>9.13062102444658</v>
      </c>
      <c r="F110" s="28" t="n">
        <f aca="false">$B$18*(1+(B110+$B$17)/2)^9</f>
        <v>31546.4598930434</v>
      </c>
      <c r="G110" s="28" t="n">
        <f aca="false">F110*C110</f>
        <v>8258.98773798299</v>
      </c>
      <c r="H110" s="28" t="n">
        <f aca="false">E110*G110/(1+D110)^9</f>
        <v>35508.923786588</v>
      </c>
      <c r="I110" s="28" t="n">
        <f aca="false">$B$13*G110/$B$12*((1+$B$8)/(1+D110))^4.5</f>
        <v>16970.343268291</v>
      </c>
      <c r="J110" s="28" t="n">
        <f aca="false">H110+I110-$B$14-$B$19</f>
        <v>29816.9101855639</v>
      </c>
      <c r="K110" s="46" t="n">
        <f aca="false">J110/$B$15</f>
        <v>88.4250005503082</v>
      </c>
    </row>
    <row r="111" customFormat="false" ht="15" hidden="false" customHeight="false" outlineLevel="0" collapsed="false">
      <c r="A111" s="54" t="n">
        <v>71</v>
      </c>
      <c r="B111" s="23" t="n">
        <f aca="true">NORMINV(RAND(),$B$6,$C$6)</f>
        <v>0.0754475816869898</v>
      </c>
      <c r="C111" s="23" t="n">
        <f aca="true">MAX(0.15,NORMINV(RAND(),$B$7,$C$7))</f>
        <v>0.309257316693027</v>
      </c>
      <c r="D111" s="35" t="n">
        <f aca="true">MAX(0.06,NORMINV(RAND(),$B$8,$C$8))</f>
        <v>0.0949694026534217</v>
      </c>
      <c r="E111" s="55" t="n">
        <f aca="true">MAX(5,NORMINV(RAND(),$B$9,$C$9))</f>
        <v>10.6403798030043</v>
      </c>
      <c r="F111" s="28" t="n">
        <f aca="false">$B$18*(1+(B111+$B$17)/2)^9</f>
        <v>36171.8214077319</v>
      </c>
      <c r="G111" s="28" t="n">
        <f aca="false">F111*C111</f>
        <v>11186.4004284545</v>
      </c>
      <c r="H111" s="28" t="n">
        <f aca="false">E111*G111/(1+D111)^9</f>
        <v>52605.3166289216</v>
      </c>
      <c r="I111" s="28" t="n">
        <f aca="false">$B$13*G111/$B$12*((1+$B$8)/(1+D111))^4.5</f>
        <v>22268.4534006846</v>
      </c>
      <c r="J111" s="28" t="n">
        <f aca="false">H111+I111-$B$14-$B$19</f>
        <v>52211.4131602911</v>
      </c>
      <c r="K111" s="46" t="n">
        <f aca="false">J111/$B$15</f>
        <v>154.838117319962</v>
      </c>
    </row>
    <row r="112" customFormat="false" ht="15" hidden="false" customHeight="false" outlineLevel="0" collapsed="false">
      <c r="A112" s="54" t="n">
        <v>72</v>
      </c>
      <c r="B112" s="23" t="n">
        <f aca="true">NORMINV(RAND(),$B$6,$C$6)</f>
        <v>0.082806752940891</v>
      </c>
      <c r="C112" s="23" t="n">
        <f aca="true">MAX(0.15,NORMINV(RAND(),$B$7,$C$7))</f>
        <v>0.33825250834956</v>
      </c>
      <c r="D112" s="35" t="n">
        <f aca="true">MAX(0.06,NORMINV(RAND(),$B$8,$C$8))</f>
        <v>0.0889613372458974</v>
      </c>
      <c r="E112" s="55" t="n">
        <f aca="true">MAX(5,NORMINV(RAND(),$B$9,$C$9))</f>
        <v>8.5225830683428</v>
      </c>
      <c r="F112" s="28" t="n">
        <f aca="false">$B$18*(1+(B112+$B$17)/2)^9</f>
        <v>37328.5285893005</v>
      </c>
      <c r="G112" s="28" t="n">
        <f aca="false">F112*C112</f>
        <v>12626.4684283292</v>
      </c>
      <c r="H112" s="28" t="n">
        <f aca="false">E112*G112/(1+D112)^9</f>
        <v>49973.6411033848</v>
      </c>
      <c r="I112" s="28" t="n">
        <f aca="false">$B$13*G112/$B$12*((1+$B$8)/(1+D112))^4.5</f>
        <v>25765.2549423974</v>
      </c>
      <c r="J112" s="28" t="n">
        <f aca="false">H112+I112-$B$14-$B$19</f>
        <v>53076.5391764671</v>
      </c>
      <c r="K112" s="46" t="n">
        <f aca="false">J112/$B$15</f>
        <v>157.403734212536</v>
      </c>
    </row>
    <row r="113" customFormat="false" ht="15" hidden="false" customHeight="false" outlineLevel="0" collapsed="false">
      <c r="A113" s="54" t="n">
        <v>73</v>
      </c>
      <c r="B113" s="23" t="n">
        <f aca="true">NORMINV(RAND(),$B$6,$C$6)</f>
        <v>0.135605262025888</v>
      </c>
      <c r="C113" s="23" t="n">
        <f aca="true">MAX(0.15,NORMINV(RAND(),$B$7,$C$7))</f>
        <v>0.310380454852605</v>
      </c>
      <c r="D113" s="35" t="n">
        <f aca="true">MAX(0.06,NORMINV(RAND(),$B$8,$C$8))</f>
        <v>0.0878465924327428</v>
      </c>
      <c r="E113" s="55" t="n">
        <f aca="true">MAX(5,NORMINV(RAND(),$B$9,$C$9))</f>
        <v>10.1956483640819</v>
      </c>
      <c r="F113" s="28" t="n">
        <f aca="false">$B$18*(1+(B113+$B$17)/2)^9</f>
        <v>46638.2893326278</v>
      </c>
      <c r="G113" s="28" t="n">
        <f aca="false">F113*C113</f>
        <v>14475.6134566084</v>
      </c>
      <c r="H113" s="28" t="n">
        <f aca="false">E113*G113/(1+D113)^9</f>
        <v>69174.0056569197</v>
      </c>
      <c r="I113" s="28" t="n">
        <f aca="false">$B$13*G113/$B$12*((1+$B$8)/(1+D113))^4.5</f>
        <v>29675.0286680795</v>
      </c>
      <c r="J113" s="28" t="n">
        <f aca="false">H113+I113-$B$14-$B$19</f>
        <v>76186.6774556841</v>
      </c>
      <c r="K113" s="46" t="n">
        <f aca="false">J113/$B$15</f>
        <v>225.939138362052</v>
      </c>
    </row>
    <row r="114" customFormat="false" ht="15" hidden="false" customHeight="false" outlineLevel="0" collapsed="false">
      <c r="A114" s="54" t="n">
        <v>74</v>
      </c>
      <c r="B114" s="23" t="n">
        <f aca="true">NORMINV(RAND(),$B$6,$C$6)</f>
        <v>0.113955623020285</v>
      </c>
      <c r="C114" s="23" t="n">
        <f aca="true">MAX(0.15,NORMINV(RAND(),$B$7,$C$7))</f>
        <v>0.340214435221307</v>
      </c>
      <c r="D114" s="35" t="n">
        <f aca="true">MAX(0.06,NORMINV(RAND(),$B$8,$C$8))</f>
        <v>0.104648724825866</v>
      </c>
      <c r="E114" s="55" t="n">
        <f aca="true">MAX(5,NORMINV(RAND(),$B$9,$C$9))</f>
        <v>11.361270419778</v>
      </c>
      <c r="F114" s="28" t="n">
        <f aca="false">$B$18*(1+(B114+$B$17)/2)^9</f>
        <v>42597.068898523</v>
      </c>
      <c r="G114" s="28" t="n">
        <f aca="false">F114*C114</f>
        <v>14492.1377373941</v>
      </c>
      <c r="H114" s="28" t="n">
        <f aca="false">E114*G114/(1+D114)^9</f>
        <v>67226.6685365068</v>
      </c>
      <c r="I114" s="28" t="n">
        <f aca="false">$B$13*G114/$B$12*((1+$B$8)/(1+D114))^4.5</f>
        <v>27728.871377824</v>
      </c>
      <c r="J114" s="28" t="n">
        <f aca="false">H114+I114-$B$14-$B$19</f>
        <v>72293.1830450157</v>
      </c>
      <c r="K114" s="46" t="n">
        <f aca="false">J114/$B$15</f>
        <v>214.392595032668</v>
      </c>
    </row>
    <row r="115" customFormat="false" ht="15" hidden="false" customHeight="false" outlineLevel="0" collapsed="false">
      <c r="A115" s="54" t="n">
        <v>75</v>
      </c>
      <c r="B115" s="23" t="n">
        <f aca="true">NORMINV(RAND(),$B$6,$C$6)</f>
        <v>0.0292494620634996</v>
      </c>
      <c r="C115" s="23" t="n">
        <f aca="true">MAX(0.15,NORMINV(RAND(),$B$7,$C$7))</f>
        <v>0.336647115073336</v>
      </c>
      <c r="D115" s="35" t="n">
        <f aca="true">MAX(0.06,NORMINV(RAND(),$B$8,$C$8))</f>
        <v>0.0867553419800851</v>
      </c>
      <c r="E115" s="55" t="n">
        <f aca="true">MAX(5,NORMINV(RAND(),$B$9,$C$9))</f>
        <v>10.0712713496984</v>
      </c>
      <c r="F115" s="28" t="n">
        <f aca="false">$B$18*(1+(B115+$B$17)/2)^9</f>
        <v>29610.2711612007</v>
      </c>
      <c r="G115" s="28" t="n">
        <f aca="false">F115*C115</f>
        <v>9968.21236295739</v>
      </c>
      <c r="H115" s="28" t="n">
        <f aca="false">E115*G115/(1+D115)^9</f>
        <v>47480.5264918642</v>
      </c>
      <c r="I115" s="28" t="n">
        <f aca="false">$B$13*G115/$B$12*((1+$B$8)/(1+D115))^4.5</f>
        <v>20527.3494382596</v>
      </c>
      <c r="J115" s="28" t="n">
        <f aca="false">H115+I115-$B$14-$B$19</f>
        <v>45345.5190608088</v>
      </c>
      <c r="K115" s="46" t="n">
        <f aca="false">J115/$B$15</f>
        <v>134.476628294214</v>
      </c>
    </row>
    <row r="116" customFormat="false" ht="15" hidden="false" customHeight="false" outlineLevel="0" collapsed="false">
      <c r="A116" s="54" t="n">
        <v>76</v>
      </c>
      <c r="B116" s="23" t="n">
        <f aca="true">NORMINV(RAND(),$B$6,$C$6)</f>
        <v>0.0532846712749567</v>
      </c>
      <c r="C116" s="23" t="n">
        <f aca="true">MAX(0.15,NORMINV(RAND(),$B$7,$C$7))</f>
        <v>0.333108862575488</v>
      </c>
      <c r="D116" s="35" t="n">
        <f aca="true">MAX(0.06,NORMINV(RAND(),$B$8,$C$8))</f>
        <v>0.0951510984507559</v>
      </c>
      <c r="E116" s="55" t="n">
        <f aca="true">MAX(5,NORMINV(RAND(),$B$9,$C$9))</f>
        <v>10.9351883068879</v>
      </c>
      <c r="F116" s="28" t="n">
        <f aca="false">$B$18*(1+(B116+$B$17)/2)^9</f>
        <v>32878.277522393</v>
      </c>
      <c r="G116" s="28" t="n">
        <f aca="false">F116*C116</f>
        <v>10952.0456289256</v>
      </c>
      <c r="H116" s="28" t="n">
        <f aca="false">E116*G116/(1+D116)^9</f>
        <v>52851.2328811003</v>
      </c>
      <c r="I116" s="28" t="n">
        <f aca="false">$B$13*G116/$B$12*((1+$B$8)/(1+D116))^4.5</f>
        <v>21785.6574561999</v>
      </c>
      <c r="J116" s="28" t="n">
        <f aca="false">H116+I116-$B$14-$B$19</f>
        <v>51974.5334679851</v>
      </c>
      <c r="K116" s="46" t="n">
        <f aca="false">J116/$B$15</f>
        <v>154.135627129256</v>
      </c>
    </row>
    <row r="117" customFormat="false" ht="15" hidden="false" customHeight="false" outlineLevel="0" collapsed="false">
      <c r="A117" s="54" t="n">
        <v>77</v>
      </c>
      <c r="B117" s="23" t="n">
        <f aca="true">NORMINV(RAND(),$B$6,$C$6)</f>
        <v>0.0869236254435405</v>
      </c>
      <c r="C117" s="23" t="n">
        <f aca="true">MAX(0.15,NORMINV(RAND(),$B$7,$C$7))</f>
        <v>0.302593665167806</v>
      </c>
      <c r="D117" s="35" t="n">
        <f aca="true">MAX(0.06,NORMINV(RAND(),$B$8,$C$8))</f>
        <v>0.10144307614731</v>
      </c>
      <c r="E117" s="55" t="n">
        <f aca="true">MAX(5,NORMINV(RAND(),$B$9,$C$9))</f>
        <v>10.6848799838013</v>
      </c>
      <c r="F117" s="28" t="n">
        <f aca="false">$B$18*(1+(B117+$B$17)/2)^9</f>
        <v>37989.8539632082</v>
      </c>
      <c r="G117" s="28" t="n">
        <f aca="false">F117*C117</f>
        <v>11495.4891499169</v>
      </c>
      <c r="H117" s="28" t="n">
        <f aca="false">E117*G117/(1+D117)^9</f>
        <v>51480.006044084</v>
      </c>
      <c r="I117" s="28" t="n">
        <f aca="false">$B$13*G117/$B$12*((1+$B$8)/(1+D117))^4.5</f>
        <v>22284.7013674173</v>
      </c>
      <c r="J117" s="28" t="n">
        <f aca="false">H117+I117-$B$14-$B$19</f>
        <v>51102.3505421862</v>
      </c>
      <c r="K117" s="46" t="n">
        <f aca="false">J117/$B$15</f>
        <v>151.549082272201</v>
      </c>
    </row>
    <row r="118" customFormat="false" ht="15" hidden="false" customHeight="false" outlineLevel="0" collapsed="false">
      <c r="A118" s="54" t="n">
        <v>78</v>
      </c>
      <c r="B118" s="23" t="n">
        <f aca="true">NORMINV(RAND(),$B$6,$C$6)</f>
        <v>0.0971327192986579</v>
      </c>
      <c r="C118" s="23" t="n">
        <f aca="true">MAX(0.15,NORMINV(RAND(),$B$7,$C$7))</f>
        <v>0.30102077249554</v>
      </c>
      <c r="D118" s="35" t="n">
        <f aca="true">MAX(0.06,NORMINV(RAND(),$B$8,$C$8))</f>
        <v>0.0919907164160082</v>
      </c>
      <c r="E118" s="55" t="n">
        <f aca="true">MAX(5,NORMINV(RAND(),$B$9,$C$9))</f>
        <v>10.5191054760472</v>
      </c>
      <c r="F118" s="28" t="n">
        <f aca="false">$B$18*(1+(B118+$B$17)/2)^9</f>
        <v>39674.9711884947</v>
      </c>
      <c r="G118" s="28" t="n">
        <f aca="false">F118*C118</f>
        <v>11942.990475899</v>
      </c>
      <c r="H118" s="28" t="n">
        <f aca="false">E118*G118/(1+D118)^9</f>
        <v>56901.1940286774</v>
      </c>
      <c r="I118" s="28" t="n">
        <f aca="false">$B$13*G118/$B$12*((1+$B$8)/(1+D118))^4.5</f>
        <v>24067.8030087705</v>
      </c>
      <c r="J118" s="28" t="n">
        <f aca="false">H118+I118-$B$14-$B$19</f>
        <v>58306.6401681328</v>
      </c>
      <c r="K118" s="46" t="n">
        <f aca="false">J118/$B$15</f>
        <v>172.914116750097</v>
      </c>
    </row>
    <row r="119" customFormat="false" ht="15" hidden="false" customHeight="false" outlineLevel="0" collapsed="false">
      <c r="A119" s="54" t="n">
        <v>79</v>
      </c>
      <c r="B119" s="23" t="n">
        <f aca="true">NORMINV(RAND(),$B$6,$C$6)</f>
        <v>0.0517640910145516</v>
      </c>
      <c r="C119" s="23" t="n">
        <f aca="true">MAX(0.15,NORMINV(RAND(),$B$7,$C$7))</f>
        <v>0.34388962349656</v>
      </c>
      <c r="D119" s="35" t="n">
        <f aca="true">MAX(0.06,NORMINV(RAND(),$B$8,$C$8))</f>
        <v>0.107124691246063</v>
      </c>
      <c r="E119" s="55" t="n">
        <f aca="true">MAX(5,NORMINV(RAND(),$B$9,$C$9))</f>
        <v>11.5951002047589</v>
      </c>
      <c r="F119" s="28" t="n">
        <f aca="false">$B$18*(1+(B119+$B$17)/2)^9</f>
        <v>32662.4110563706</v>
      </c>
      <c r="G119" s="28" t="n">
        <f aca="false">F119*C119</f>
        <v>11232.2642406652</v>
      </c>
      <c r="H119" s="28" t="n">
        <f aca="false">E119*G119/(1+D119)^9</f>
        <v>52116.2296072273</v>
      </c>
      <c r="I119" s="28" t="n">
        <f aca="false">$B$13*G119/$B$12*((1+$B$8)/(1+D119))^4.5</f>
        <v>21276.0752364214</v>
      </c>
      <c r="J119" s="28" t="n">
        <f aca="false">H119+I119-$B$14-$B$19</f>
        <v>50729.9479743337</v>
      </c>
      <c r="K119" s="46" t="n">
        <f aca="false">J119/$B$15</f>
        <v>150.444685570385</v>
      </c>
    </row>
    <row r="120" customFormat="false" ht="15" hidden="false" customHeight="false" outlineLevel="0" collapsed="false">
      <c r="A120" s="54" t="n">
        <v>80</v>
      </c>
      <c r="B120" s="23" t="n">
        <f aca="true">NORMINV(RAND(),$B$6,$C$6)</f>
        <v>0.0724165396941821</v>
      </c>
      <c r="C120" s="23" t="n">
        <f aca="true">MAX(0.15,NORMINV(RAND(),$B$7,$C$7))</f>
        <v>0.313890946760913</v>
      </c>
      <c r="D120" s="35" t="n">
        <f aca="true">MAX(0.06,NORMINV(RAND(),$B$8,$C$8))</f>
        <v>0.0925988433360974</v>
      </c>
      <c r="E120" s="55" t="n">
        <f aca="true">MAX(5,NORMINV(RAND(),$B$9,$C$9))</f>
        <v>9.00264808106625</v>
      </c>
      <c r="F120" s="28" t="n">
        <f aca="false">$B$18*(1+(B120+$B$17)/2)^9</f>
        <v>35704.7455995702</v>
      </c>
      <c r="G120" s="28" t="n">
        <f aca="false">F120*C120</f>
        <v>11207.3964001066</v>
      </c>
      <c r="H120" s="28" t="n">
        <f aca="false">E120*G120/(1+D120)^9</f>
        <v>45470.3585575829</v>
      </c>
      <c r="I120" s="28" t="n">
        <f aca="false">$B$13*G120/$B$12*((1+$B$8)/(1+D120))^4.5</f>
        <v>22528.902698471</v>
      </c>
      <c r="J120" s="28" t="n">
        <f aca="false">H120+I120-$B$14-$B$19</f>
        <v>45336.9043867388</v>
      </c>
      <c r="K120" s="46" t="n">
        <f aca="false">J120/$B$15</f>
        <v>134.451080624967</v>
      </c>
    </row>
    <row r="121" customFormat="false" ht="15" hidden="false" customHeight="false" outlineLevel="0" collapsed="false">
      <c r="A121" s="54" t="n">
        <v>81</v>
      </c>
      <c r="B121" s="23" t="n">
        <f aca="true">NORMINV(RAND(),$B$6,$C$6)</f>
        <v>0.061174764165376</v>
      </c>
      <c r="C121" s="23" t="n">
        <f aca="true">MAX(0.15,NORMINV(RAND(),$B$7,$C$7))</f>
        <v>0.325154876404339</v>
      </c>
      <c r="D121" s="35" t="n">
        <f aca="true">MAX(0.06,NORMINV(RAND(),$B$8,$C$8))</f>
        <v>0.100849955764165</v>
      </c>
      <c r="E121" s="55" t="n">
        <f aca="true">MAX(5,NORMINV(RAND(),$B$9,$C$9))</f>
        <v>9.33389398386616</v>
      </c>
      <c r="F121" s="28" t="n">
        <f aca="false">$B$18*(1+(B121+$B$17)/2)^9</f>
        <v>34018.8740540313</v>
      </c>
      <c r="G121" s="28" t="n">
        <f aca="false">F121*C121</f>
        <v>11061.4027884533</v>
      </c>
      <c r="H121" s="28" t="n">
        <f aca="false">E121*G121/(1+D121)^9</f>
        <v>43483.0407999938</v>
      </c>
      <c r="I121" s="28" t="n">
        <f aca="false">$B$13*G121/$B$12*((1+$B$8)/(1+D121))^4.5</f>
        <v>21495.2373677297</v>
      </c>
      <c r="J121" s="28" t="n">
        <f aca="false">H121+I121-$B$14-$B$19</f>
        <v>42315.9212984084</v>
      </c>
      <c r="K121" s="46" t="n">
        <f aca="false">J121/$B$15</f>
        <v>125.492056045102</v>
      </c>
    </row>
    <row r="122" customFormat="false" ht="15" hidden="false" customHeight="false" outlineLevel="0" collapsed="false">
      <c r="A122" s="54" t="n">
        <v>82</v>
      </c>
      <c r="B122" s="23" t="n">
        <f aca="true">NORMINV(RAND(),$B$6,$C$6)</f>
        <v>0.106070862255497</v>
      </c>
      <c r="C122" s="23" t="n">
        <f aca="true">MAX(0.15,NORMINV(RAND(),$B$7,$C$7))</f>
        <v>0.311355823270558</v>
      </c>
      <c r="D122" s="35" t="n">
        <f aca="true">MAX(0.06,NORMINV(RAND(),$B$8,$C$8))</f>
        <v>0.0954006010184986</v>
      </c>
      <c r="E122" s="55" t="n">
        <f aca="true">MAX(5,NORMINV(RAND(),$B$9,$C$9))</f>
        <v>9.37464834786735</v>
      </c>
      <c r="F122" s="28" t="n">
        <f aca="false">$B$18*(1+(B122+$B$17)/2)^9</f>
        <v>41204.5112491998</v>
      </c>
      <c r="G122" s="28" t="n">
        <f aca="false">F122*C122</f>
        <v>12829.2645224556</v>
      </c>
      <c r="H122" s="28" t="n">
        <f aca="false">E122*G122/(1+D122)^9</f>
        <v>52966.3409488184</v>
      </c>
      <c r="I122" s="28" t="n">
        <f aca="false">$B$13*G122/$B$12*((1+$B$8)/(1+D122))^4.5</f>
        <v>25493.6484705429</v>
      </c>
      <c r="J122" s="28" t="n">
        <f aca="false">H122+I122-$B$14-$B$19</f>
        <v>55797.6325500462</v>
      </c>
      <c r="K122" s="46" t="n">
        <f aca="false">J122/$B$15</f>
        <v>165.473406138927</v>
      </c>
    </row>
    <row r="123" customFormat="false" ht="15" hidden="false" customHeight="false" outlineLevel="0" collapsed="false">
      <c r="A123" s="54" t="n">
        <v>83</v>
      </c>
      <c r="B123" s="23" t="n">
        <f aca="true">NORMINV(RAND(),$B$6,$C$6)</f>
        <v>0.0328158965937759</v>
      </c>
      <c r="C123" s="23" t="n">
        <f aca="true">MAX(0.15,NORMINV(RAND(),$B$7,$C$7))</f>
        <v>0.349469914728646</v>
      </c>
      <c r="D123" s="35" t="n">
        <f aca="true">MAX(0.06,NORMINV(RAND(),$B$8,$C$8))</f>
        <v>0.0851798966831296</v>
      </c>
      <c r="E123" s="55" t="n">
        <f aca="true">MAX(5,NORMINV(RAND(),$B$9,$C$9))</f>
        <v>10.4663542560589</v>
      </c>
      <c r="F123" s="28" t="n">
        <f aca="false">$B$18*(1+(B123+$B$17)/2)^9</f>
        <v>30076.1614602362</v>
      </c>
      <c r="G123" s="28" t="n">
        <f aca="false">F123*C123</f>
        <v>10510.7135808737</v>
      </c>
      <c r="H123" s="28" t="n">
        <f aca="false">E123*G123/(1+D123)^9</f>
        <v>52712.3010000064</v>
      </c>
      <c r="I123" s="28" t="n">
        <f aca="false">$B$13*G123/$B$12*((1+$B$8)/(1+D123))^4.5</f>
        <v>21786.2755954425</v>
      </c>
      <c r="J123" s="28" t="n">
        <f aca="false">H123+I123-$B$14-$B$19</f>
        <v>51836.2197261338</v>
      </c>
      <c r="K123" s="46" t="n">
        <f aca="false">J123/$B$15</f>
        <v>153.72544402768</v>
      </c>
    </row>
    <row r="124" customFormat="false" ht="15" hidden="false" customHeight="false" outlineLevel="0" collapsed="false">
      <c r="A124" s="54" t="n">
        <v>84</v>
      </c>
      <c r="B124" s="23" t="n">
        <f aca="true">NORMINV(RAND(),$B$6,$C$6)</f>
        <v>0.09669661280969</v>
      </c>
      <c r="C124" s="23" t="n">
        <f aca="true">MAX(0.15,NORMINV(RAND(),$B$7,$C$7))</f>
        <v>0.321564930221231</v>
      </c>
      <c r="D124" s="35" t="n">
        <f aca="true">MAX(0.06,NORMINV(RAND(),$B$8,$C$8))</f>
        <v>0.0911443379878714</v>
      </c>
      <c r="E124" s="55" t="n">
        <f aca="true">MAX(5,NORMINV(RAND(),$B$9,$C$9))</f>
        <v>8.00876447893607</v>
      </c>
      <c r="F124" s="28" t="n">
        <f aca="false">$B$18*(1+(B124+$B$17)/2)^9</f>
        <v>39601.6512377619</v>
      </c>
      <c r="G124" s="28" t="n">
        <f aca="false">F124*C124</f>
        <v>12734.5022169164</v>
      </c>
      <c r="H124" s="28" t="n">
        <f aca="false">E124*G124/(1+D124)^9</f>
        <v>46516.5679741462</v>
      </c>
      <c r="I124" s="28" t="n">
        <f aca="false">$B$13*G124/$B$12*((1+$B$8)/(1+D124))^4.5</f>
        <v>25752.5760380478</v>
      </c>
      <c r="J124" s="28" t="n">
        <f aca="false">H124+I124-$B$14-$B$19</f>
        <v>49606.7871428789</v>
      </c>
      <c r="K124" s="46" t="n">
        <f aca="false">J124/$B$15</f>
        <v>147.113840874493</v>
      </c>
    </row>
    <row r="125" customFormat="false" ht="15" hidden="false" customHeight="false" outlineLevel="0" collapsed="false">
      <c r="A125" s="54" t="n">
        <v>85</v>
      </c>
      <c r="B125" s="23" t="n">
        <f aca="true">NORMINV(RAND(),$B$6,$C$6)</f>
        <v>0.0525850449838443</v>
      </c>
      <c r="C125" s="23" t="n">
        <f aca="true">MAX(0.15,NORMINV(RAND(),$B$7,$C$7))</f>
        <v>0.327407739011765</v>
      </c>
      <c r="D125" s="35" t="n">
        <f aca="true">MAX(0.06,NORMINV(RAND(),$B$8,$C$8))</f>
        <v>0.0897416361811573</v>
      </c>
      <c r="E125" s="55" t="n">
        <f aca="true">MAX(5,NORMINV(RAND(),$B$9,$C$9))</f>
        <v>9.27134324286499</v>
      </c>
      <c r="F125" s="28" t="n">
        <f aca="false">$B$18*(1+(B125+$B$17)/2)^9</f>
        <v>32778.79932163</v>
      </c>
      <c r="G125" s="28" t="n">
        <f aca="false">F125*C125</f>
        <v>10732.0325734153</v>
      </c>
      <c r="H125" s="28" t="n">
        <f aca="false">E125*G125/(1+D125)^9</f>
        <v>45910.5760191049</v>
      </c>
      <c r="I125" s="28" t="n">
        <f aca="false">$B$13*G125/$B$12*((1+$B$8)/(1+D125))^4.5</f>
        <v>21829.0407828887</v>
      </c>
      <c r="J125" s="28" t="n">
        <f aca="false">H125+I125-$B$14-$B$19</f>
        <v>45077.2599326785</v>
      </c>
      <c r="K125" s="46" t="n">
        <f aca="false">J125/$B$15</f>
        <v>133.681079278406</v>
      </c>
    </row>
    <row r="126" customFormat="false" ht="15" hidden="false" customHeight="false" outlineLevel="0" collapsed="false">
      <c r="A126" s="54" t="n">
        <v>86</v>
      </c>
      <c r="B126" s="23" t="n">
        <f aca="true">NORMINV(RAND(),$B$6,$C$6)</f>
        <v>0.0523631306095597</v>
      </c>
      <c r="C126" s="23" t="n">
        <f aca="true">MAX(0.15,NORMINV(RAND(),$B$7,$C$7))</f>
        <v>0.34660700529555</v>
      </c>
      <c r="D126" s="35" t="n">
        <f aca="true">MAX(0.06,NORMINV(RAND(),$B$8,$C$8))</f>
        <v>0.0911973253019032</v>
      </c>
      <c r="E126" s="55" t="n">
        <f aca="true">MAX(5,NORMINV(RAND(),$B$9,$C$9))</f>
        <v>9.41351237950901</v>
      </c>
      <c r="F126" s="28" t="n">
        <f aca="false">$B$18*(1+(B126+$B$17)/2)^9</f>
        <v>32747.3017822996</v>
      </c>
      <c r="G126" s="28" t="n">
        <f aca="false">F126*C126</f>
        <v>11350.4442022725</v>
      </c>
      <c r="H126" s="28" t="n">
        <f aca="false">E126*G126/(1+D126)^9</f>
        <v>48711.8833505637</v>
      </c>
      <c r="I126" s="28" t="n">
        <f aca="false">$B$13*G126/$B$12*((1+$B$8)/(1+D126))^4.5</f>
        <v>22948.6245496139</v>
      </c>
      <c r="J126" s="28" t="n">
        <f aca="false">H126+I126-$B$14-$B$19</f>
        <v>48998.1510308625</v>
      </c>
      <c r="K126" s="46" t="n">
        <f aca="false">J126/$B$15</f>
        <v>145.308870198287</v>
      </c>
    </row>
    <row r="127" customFormat="false" ht="15" hidden="false" customHeight="false" outlineLevel="0" collapsed="false">
      <c r="A127" s="54" t="n">
        <v>87</v>
      </c>
      <c r="B127" s="23" t="n">
        <f aca="true">NORMINV(RAND(),$B$6,$C$6)</f>
        <v>0.0896990307485006</v>
      </c>
      <c r="C127" s="23" t="n">
        <f aca="true">MAX(0.15,NORMINV(RAND(),$B$7,$C$7))</f>
        <v>0.322154194044167</v>
      </c>
      <c r="D127" s="35" t="n">
        <f aca="true">MAX(0.06,NORMINV(RAND(),$B$8,$C$8))</f>
        <v>0.0987115694040894</v>
      </c>
      <c r="E127" s="55" t="n">
        <f aca="true">MAX(5,NORMINV(RAND(),$B$9,$C$9))</f>
        <v>10.1733888751924</v>
      </c>
      <c r="F127" s="28" t="n">
        <f aca="false">$B$18*(1+(B127+$B$17)/2)^9</f>
        <v>38441.5458258355</v>
      </c>
      <c r="G127" s="28" t="n">
        <f aca="false">F127*C127</f>
        <v>12384.105213334</v>
      </c>
      <c r="H127" s="28" t="n">
        <f aca="false">E127*G127/(1+D127)^9</f>
        <v>53997.9161076771</v>
      </c>
      <c r="I127" s="28" t="n">
        <f aca="false">$B$13*G127/$B$12*((1+$B$8)/(1+D127))^4.5</f>
        <v>24277.0891899841</v>
      </c>
      <c r="J127" s="28" t="n">
        <f aca="false">H127+I127-$B$14-$B$19</f>
        <v>55612.648428346</v>
      </c>
      <c r="K127" s="46" t="n">
        <f aca="false">J127/$B$15</f>
        <v>164.924817403161</v>
      </c>
    </row>
    <row r="128" customFormat="false" ht="15" hidden="false" customHeight="false" outlineLevel="0" collapsed="false">
      <c r="A128" s="54" t="n">
        <v>88</v>
      </c>
      <c r="B128" s="23" t="n">
        <f aca="true">NORMINV(RAND(),$B$6,$C$6)</f>
        <v>0.0601973698220829</v>
      </c>
      <c r="C128" s="23" t="n">
        <f aca="true">MAX(0.15,NORMINV(RAND(),$B$7,$C$7))</f>
        <v>0.300286896510829</v>
      </c>
      <c r="D128" s="35" t="n">
        <f aca="true">MAX(0.06,NORMINV(RAND(),$B$8,$C$8))</f>
        <v>0.0881375013089563</v>
      </c>
      <c r="E128" s="55" t="n">
        <f aca="true">MAX(5,NORMINV(RAND(),$B$9,$C$9))</f>
        <v>9.61954325171878</v>
      </c>
      <c r="F128" s="28" t="n">
        <f aca="false">$B$18*(1+(B128+$B$17)/2)^9</f>
        <v>33875.6988469565</v>
      </c>
      <c r="G128" s="28" t="n">
        <f aca="false">F128*C128</f>
        <v>10172.428473888</v>
      </c>
      <c r="H128" s="28" t="n">
        <f aca="false">E128*G128/(1+D128)^9</f>
        <v>45753.5814224177</v>
      </c>
      <c r="I128" s="28" t="n">
        <f aca="false">$B$13*G128/$B$12*((1+$B$8)/(1+D128))^4.5</f>
        <v>20828.4170090058</v>
      </c>
      <c r="J128" s="28" t="n">
        <f aca="false">H128+I128-$B$14-$B$19</f>
        <v>43919.6415621084</v>
      </c>
      <c r="K128" s="46" t="n">
        <f aca="false">J128/$B$15</f>
        <v>130.248047337214</v>
      </c>
    </row>
    <row r="129" customFormat="false" ht="15" hidden="false" customHeight="false" outlineLevel="0" collapsed="false">
      <c r="A129" s="54" t="n">
        <v>89</v>
      </c>
      <c r="B129" s="23" t="n">
        <f aca="true">NORMINV(RAND(),$B$6,$C$6)</f>
        <v>0.0896192972182855</v>
      </c>
      <c r="C129" s="23" t="n">
        <f aca="true">MAX(0.15,NORMINV(RAND(),$B$7,$C$7))</f>
        <v>0.321567333109334</v>
      </c>
      <c r="D129" s="35" t="n">
        <f aca="true">MAX(0.06,NORMINV(RAND(),$B$8,$C$8))</f>
        <v>0.0890807939791827</v>
      </c>
      <c r="E129" s="55" t="n">
        <f aca="true">MAX(5,NORMINV(RAND(),$B$9,$C$9))</f>
        <v>10.2274512798567</v>
      </c>
      <c r="F129" s="28" t="n">
        <f aca="false">$B$18*(1+(B129+$B$17)/2)^9</f>
        <v>38428.5030424656</v>
      </c>
      <c r="G129" s="28" t="n">
        <f aca="false">F129*C129</f>
        <v>12357.3512387496</v>
      </c>
      <c r="H129" s="28" t="n">
        <f aca="false">E129*G129/(1+D129)^9</f>
        <v>58634.3232165606</v>
      </c>
      <c r="I129" s="28" t="n">
        <f aca="false">$B$13*G129/$B$12*((1+$B$8)/(1+D129))^4.5</f>
        <v>25203.65722</v>
      </c>
      <c r="J129" s="28" t="n">
        <f aca="false">H129+I129-$B$14-$B$19</f>
        <v>61175.6235672455</v>
      </c>
      <c r="K129" s="46" t="n">
        <f aca="false">J129/$B$15</f>
        <v>181.422371195864</v>
      </c>
    </row>
    <row r="130" customFormat="false" ht="15" hidden="false" customHeight="false" outlineLevel="0" collapsed="false">
      <c r="A130" s="54" t="n">
        <v>90</v>
      </c>
      <c r="B130" s="23" t="n">
        <f aca="true">NORMINV(RAND(),$B$6,$C$6)</f>
        <v>0.133435801734109</v>
      </c>
      <c r="C130" s="23" t="n">
        <f aca="true">MAX(0.15,NORMINV(RAND(),$B$7,$C$7))</f>
        <v>0.315868776926724</v>
      </c>
      <c r="D130" s="35" t="n">
        <f aca="true">MAX(0.06,NORMINV(RAND(),$B$8,$C$8))</f>
        <v>0.0971813519012428</v>
      </c>
      <c r="E130" s="55" t="n">
        <f aca="true">MAX(5,NORMINV(RAND(),$B$9,$C$9))</f>
        <v>10.1602511125095</v>
      </c>
      <c r="F130" s="28" t="n">
        <f aca="false">$B$18*(1+(B130+$B$17)/2)^9</f>
        <v>46218.5132552106</v>
      </c>
      <c r="G130" s="28" t="n">
        <f aca="false">F130*C130</f>
        <v>14598.985253295</v>
      </c>
      <c r="H130" s="28" t="n">
        <f aca="false">E130*G130/(1+D130)^9</f>
        <v>64375.60944393</v>
      </c>
      <c r="I130" s="28" t="n">
        <f aca="false">$B$13*G130/$B$12*((1+$B$8)/(1+D130))^4.5</f>
        <v>28799.0665261212</v>
      </c>
      <c r="J130" s="28" t="n">
        <f aca="false">H130+I130-$B$14-$B$19</f>
        <v>70512.3191007361</v>
      </c>
      <c r="K130" s="46" t="n">
        <f aca="false">J130/$B$15</f>
        <v>209.111266609538</v>
      </c>
    </row>
    <row r="131" customFormat="false" ht="15" hidden="false" customHeight="false" outlineLevel="0" collapsed="false">
      <c r="A131" s="54" t="n">
        <v>91</v>
      </c>
      <c r="B131" s="23" t="n">
        <f aca="true">NORMINV(RAND(),$B$6,$C$6)</f>
        <v>0.0846301714639571</v>
      </c>
      <c r="C131" s="23" t="n">
        <f aca="true">MAX(0.15,NORMINV(RAND(),$B$7,$C$7))</f>
        <v>0.311740580424065</v>
      </c>
      <c r="D131" s="35" t="n">
        <f aca="true">MAX(0.06,NORMINV(RAND(),$B$8,$C$8))</f>
        <v>0.0964807541575809</v>
      </c>
      <c r="E131" s="55" t="n">
        <f aca="true">MAX(5,NORMINV(RAND(),$B$9,$C$9))</f>
        <v>11.5116576092434</v>
      </c>
      <c r="F131" s="28" t="n">
        <f aca="false">$B$18*(1+(B131+$B$17)/2)^9</f>
        <v>37620.1652921908</v>
      </c>
      <c r="G131" s="28" t="n">
        <f aca="false">F131*C131</f>
        <v>11727.7321638368</v>
      </c>
      <c r="H131" s="28" t="n">
        <f aca="false">E131*G131/(1+D131)^9</f>
        <v>58930.8607314425</v>
      </c>
      <c r="I131" s="28" t="n">
        <f aca="false">$B$13*G131/$B$12*((1+$B$8)/(1+D131))^4.5</f>
        <v>23201.6088024405</v>
      </c>
      <c r="J131" s="28" t="n">
        <f aca="false">H131+I131-$B$14-$B$19</f>
        <v>59470.1126645679</v>
      </c>
      <c r="K131" s="46" t="n">
        <f aca="false">J131/$B$15</f>
        <v>176.364509681399</v>
      </c>
    </row>
    <row r="132" customFormat="false" ht="15" hidden="false" customHeight="false" outlineLevel="0" collapsed="false">
      <c r="A132" s="54" t="n">
        <v>92</v>
      </c>
      <c r="B132" s="23" t="n">
        <f aca="true">NORMINV(RAND(),$B$6,$C$6)</f>
        <v>0.0857390713492301</v>
      </c>
      <c r="C132" s="23" t="n">
        <f aca="true">MAX(0.15,NORMINV(RAND(),$B$7,$C$7))</f>
        <v>0.275415135593598</v>
      </c>
      <c r="D132" s="35" t="n">
        <f aca="true">MAX(0.06,NORMINV(RAND(),$B$8,$C$8))</f>
        <v>0.0951373152492468</v>
      </c>
      <c r="E132" s="55" t="n">
        <f aca="true">MAX(5,NORMINV(RAND(),$B$9,$C$9))</f>
        <v>8.71537084297236</v>
      </c>
      <c r="F132" s="28" t="n">
        <f aca="false">$B$18*(1+(B132+$B$17)/2)^9</f>
        <v>37798.5109353689</v>
      </c>
      <c r="G132" s="28" t="n">
        <f aca="false">F132*C132</f>
        <v>10410.2820145007</v>
      </c>
      <c r="H132" s="28" t="n">
        <f aca="false">E132*G132/(1+D132)^9</f>
        <v>40043.4208325601</v>
      </c>
      <c r="I132" s="28" t="n">
        <f aca="false">$B$13*G132/$B$12*((1+$B$8)/(1+D132))^4.5</f>
        <v>20709.1616264027</v>
      </c>
      <c r="J132" s="28" t="n">
        <f aca="false">H132+I132-$B$14-$B$19</f>
        <v>38090.2255896477</v>
      </c>
      <c r="K132" s="46" t="n">
        <f aca="false">J132/$B$15</f>
        <v>112.960336861351</v>
      </c>
    </row>
    <row r="133" customFormat="false" ht="15" hidden="false" customHeight="false" outlineLevel="0" collapsed="false">
      <c r="A133" s="54" t="n">
        <v>93</v>
      </c>
      <c r="B133" s="23" t="n">
        <f aca="true">NORMINV(RAND(),$B$6,$C$6)</f>
        <v>0.127320240596641</v>
      </c>
      <c r="C133" s="23" t="n">
        <f aca="true">MAX(0.15,NORMINV(RAND(),$B$7,$C$7))</f>
        <v>0.337842532330477</v>
      </c>
      <c r="D133" s="35" t="n">
        <f aca="true">MAX(0.06,NORMINV(RAND(),$B$8,$C$8))</f>
        <v>0.0992119843156218</v>
      </c>
      <c r="E133" s="55" t="n">
        <f aca="true">MAX(5,NORMINV(RAND(),$B$9,$C$9))</f>
        <v>12.6609118490892</v>
      </c>
      <c r="F133" s="28" t="n">
        <f aca="false">$B$18*(1+(B133+$B$17)/2)^9</f>
        <v>45053.2116987736</v>
      </c>
      <c r="G133" s="28" t="n">
        <f aca="false">F133*C133</f>
        <v>15220.8911299348</v>
      </c>
      <c r="H133" s="28" t="n">
        <f aca="false">E133*G133/(1+D133)^9</f>
        <v>82256.8306877565</v>
      </c>
      <c r="I133" s="28" t="n">
        <f aca="false">$B$13*G133/$B$12*((1+$B$8)/(1+D133))^4.5</f>
        <v>29777.083151149</v>
      </c>
      <c r="J133" s="28" t="n">
        <f aca="false">H133+I133-$B$14-$B$19</f>
        <v>89371.5569695904</v>
      </c>
      <c r="K133" s="46" t="n">
        <f aca="false">J133/$B$15</f>
        <v>265.040204536152</v>
      </c>
    </row>
    <row r="134" customFormat="false" ht="15" hidden="false" customHeight="false" outlineLevel="0" collapsed="false">
      <c r="A134" s="54" t="n">
        <v>94</v>
      </c>
      <c r="B134" s="23" t="n">
        <f aca="true">NORMINV(RAND(),$B$6,$C$6)</f>
        <v>0.0901591976373229</v>
      </c>
      <c r="C134" s="23" t="n">
        <f aca="true">MAX(0.15,NORMINV(RAND(),$B$7,$C$7))</f>
        <v>0.337220884963107</v>
      </c>
      <c r="D134" s="35" t="n">
        <f aca="true">MAX(0.06,NORMINV(RAND(),$B$8,$C$8))</f>
        <v>0.0766515179767296</v>
      </c>
      <c r="E134" s="55" t="n">
        <f aca="true">MAX(5,NORMINV(RAND(),$B$9,$C$9))</f>
        <v>11.3180891681296</v>
      </c>
      <c r="F134" s="28" t="n">
        <f aca="false">$B$18*(1+(B134+$B$17)/2)^9</f>
        <v>38516.8966829376</v>
      </c>
      <c r="G134" s="28" t="n">
        <f aca="false">F134*C134</f>
        <v>12988.7019854528</v>
      </c>
      <c r="H134" s="28" t="n">
        <f aca="false">E134*G134/(1+D134)^9</f>
        <v>75624.4884768236</v>
      </c>
      <c r="I134" s="28" t="n">
        <f aca="false">$B$13*G134/$B$12*((1+$B$8)/(1+D134))^4.5</f>
        <v>27895.629477168</v>
      </c>
      <c r="J134" s="28" t="n">
        <f aca="false">H134+I134-$B$14-$B$19</f>
        <v>80857.7610846766</v>
      </c>
      <c r="K134" s="46" t="n">
        <f aca="false">J134/$B$15</f>
        <v>239.791699539373</v>
      </c>
    </row>
    <row r="135" customFormat="false" ht="15" hidden="false" customHeight="false" outlineLevel="0" collapsed="false">
      <c r="A135" s="54" t="n">
        <v>95</v>
      </c>
      <c r="B135" s="23" t="n">
        <f aca="true">NORMINV(RAND(),$B$6,$C$6)</f>
        <v>0.0388499393274249</v>
      </c>
      <c r="C135" s="23" t="n">
        <f aca="true">MAX(0.15,NORMINV(RAND(),$B$7,$C$7))</f>
        <v>0.33261992553877</v>
      </c>
      <c r="D135" s="35" t="n">
        <f aca="true">MAX(0.06,NORMINV(RAND(),$B$8,$C$8))</f>
        <v>0.0769336826097045</v>
      </c>
      <c r="E135" s="55" t="n">
        <f aca="true">MAX(5,NORMINV(RAND(),$B$9,$C$9))</f>
        <v>9.93049533474789</v>
      </c>
      <c r="F135" s="28" t="n">
        <f aca="false">$B$18*(1+(B135+$B$17)/2)^9</f>
        <v>30879.2539931454</v>
      </c>
      <c r="G135" s="28" t="n">
        <f aca="false">F135*C135</f>
        <v>10271.0551638928</v>
      </c>
      <c r="H135" s="28" t="n">
        <f aca="false">E135*G135/(1+D135)^9</f>
        <v>52346.2205173895</v>
      </c>
      <c r="I135" s="28" t="n">
        <f aca="false">$B$13*G135/$B$12*((1+$B$8)/(1+D135))^4.5</f>
        <v>22032.9860976265</v>
      </c>
      <c r="J135" s="28" t="n">
        <f aca="false">H135+I135-$B$14-$B$19</f>
        <v>51716.8497457009</v>
      </c>
      <c r="K135" s="46" t="n">
        <f aca="false">J135/$B$15</f>
        <v>153.37144052699</v>
      </c>
    </row>
    <row r="136" customFormat="false" ht="15" hidden="false" customHeight="false" outlineLevel="0" collapsed="false">
      <c r="A136" s="54" t="n">
        <v>96</v>
      </c>
      <c r="B136" s="23" t="n">
        <f aca="true">NORMINV(RAND(),$B$6,$C$6)</f>
        <v>0.0667819567645839</v>
      </c>
      <c r="C136" s="23" t="n">
        <f aca="true">MAX(0.15,NORMINV(RAND(),$B$7,$C$7))</f>
        <v>0.31052865013171</v>
      </c>
      <c r="D136" s="35" t="n">
        <f aca="true">MAX(0.06,NORMINV(RAND(),$B$8,$C$8))</f>
        <v>0.0897576447057688</v>
      </c>
      <c r="E136" s="55" t="n">
        <f aca="true">MAX(5,NORMINV(RAND(),$B$9,$C$9))</f>
        <v>10.8405125032028</v>
      </c>
      <c r="F136" s="28" t="n">
        <f aca="false">$B$18*(1+(B136+$B$17)/2)^9</f>
        <v>34850.6963577316</v>
      </c>
      <c r="G136" s="28" t="n">
        <f aca="false">F136*C136</f>
        <v>10822.1396961165</v>
      </c>
      <c r="H136" s="28" t="n">
        <f aca="false">E136*G136/(1+D136)^9</f>
        <v>54124.4668833822</v>
      </c>
      <c r="I136" s="28" t="n">
        <f aca="false">$B$13*G136/$B$12*((1+$B$8)/(1+D136))^4.5</f>
        <v>22010.8643113786</v>
      </c>
      <c r="J136" s="28" t="n">
        <f aca="false">H136+I136-$B$14-$B$19</f>
        <v>53472.9743254457</v>
      </c>
      <c r="K136" s="46" t="n">
        <f aca="false">J136/$B$15</f>
        <v>158.579401914133</v>
      </c>
    </row>
    <row r="137" customFormat="false" ht="15" hidden="false" customHeight="false" outlineLevel="0" collapsed="false">
      <c r="A137" s="54" t="n">
        <v>97</v>
      </c>
      <c r="B137" s="23" t="n">
        <f aca="true">NORMINV(RAND(),$B$6,$C$6)</f>
        <v>0.0678737859148651</v>
      </c>
      <c r="C137" s="23" t="n">
        <f aca="true">MAX(0.15,NORMINV(RAND(),$B$7,$C$7))</f>
        <v>0.316363076016155</v>
      </c>
      <c r="D137" s="35" t="n">
        <f aca="true">MAX(0.06,NORMINV(RAND(),$B$8,$C$8))</f>
        <v>0.087025324926185</v>
      </c>
      <c r="E137" s="55" t="n">
        <f aca="true">MAX(5,NORMINV(RAND(),$B$9,$C$9))</f>
        <v>9.93174938185632</v>
      </c>
      <c r="F137" s="28" t="n">
        <f aca="false">$B$18*(1+(B137+$B$17)/2)^9</f>
        <v>35014.7550099931</v>
      </c>
      <c r="G137" s="28" t="n">
        <f aca="false">F137*C137</f>
        <v>11077.3756009135</v>
      </c>
      <c r="H137" s="28" t="n">
        <f aca="false">E137*G137/(1+D137)^9</f>
        <v>51916.5320083101</v>
      </c>
      <c r="I137" s="28" t="n">
        <f aca="false">$B$13*G137/$B$12*((1+$B$8)/(1+D137))^4.5</f>
        <v>22785.943810822</v>
      </c>
      <c r="J137" s="28" t="n">
        <f aca="false">H137+I137-$B$14-$B$19</f>
        <v>52040.118949817</v>
      </c>
      <c r="K137" s="46" t="n">
        <f aca="false">J137/$B$15</f>
        <v>154.330127371937</v>
      </c>
    </row>
    <row r="138" customFormat="false" ht="15" hidden="false" customHeight="false" outlineLevel="0" collapsed="false">
      <c r="A138" s="54" t="n">
        <v>98</v>
      </c>
      <c r="B138" s="23" t="n">
        <f aca="true">NORMINV(RAND(),$B$6,$C$6)</f>
        <v>0.0738394620004107</v>
      </c>
      <c r="C138" s="23" t="n">
        <f aca="true">MAX(0.15,NORMINV(RAND(),$B$7,$C$7))</f>
        <v>0.335342423639475</v>
      </c>
      <c r="D138" s="35" t="n">
        <f aca="true">MAX(0.06,NORMINV(RAND(),$B$8,$C$8))</f>
        <v>0.109152235157871</v>
      </c>
      <c r="E138" s="55" t="n">
        <f aca="true">MAX(5,NORMINV(RAND(),$B$9,$C$9))</f>
        <v>9.95399558834353</v>
      </c>
      <c r="F138" s="28" t="n">
        <f aca="false">$B$18*(1+(B138+$B$17)/2)^9</f>
        <v>35923.3423734953</v>
      </c>
      <c r="G138" s="28" t="n">
        <f aca="false">F138*C138</f>
        <v>12046.6206967586</v>
      </c>
      <c r="H138" s="28" t="n">
        <f aca="false">E138*G138/(1+D138)^9</f>
        <v>47200.0274930859</v>
      </c>
      <c r="I138" s="28" t="n">
        <f aca="false">$B$13*G138/$B$12*((1+$B$8)/(1+D138))^4.5</f>
        <v>22631.5157654405</v>
      </c>
      <c r="J138" s="28" t="n">
        <f aca="false">H138+I138-$B$14-$B$19</f>
        <v>47169.1863892113</v>
      </c>
      <c r="K138" s="46" t="n">
        <f aca="false">J138/$B$15</f>
        <v>139.884894392679</v>
      </c>
    </row>
    <row r="139" customFormat="false" ht="15" hidden="false" customHeight="false" outlineLevel="0" collapsed="false">
      <c r="A139" s="54" t="n">
        <v>99</v>
      </c>
      <c r="B139" s="23" t="n">
        <f aca="true">NORMINV(RAND(),$B$6,$C$6)</f>
        <v>0.104968649746965</v>
      </c>
      <c r="C139" s="23" t="n">
        <f aca="true">MAX(0.15,NORMINV(RAND(),$B$7,$C$7))</f>
        <v>0.348512300049982</v>
      </c>
      <c r="D139" s="35" t="n">
        <f aca="true">MAX(0.06,NORMINV(RAND(),$B$8,$C$8))</f>
        <v>0.0901670255956117</v>
      </c>
      <c r="E139" s="55" t="n">
        <f aca="true">MAX(5,NORMINV(RAND(),$B$9,$C$9))</f>
        <v>11.7470276423579</v>
      </c>
      <c r="F139" s="28" t="n">
        <f aca="false">$B$18*(1+(B139+$B$17)/2)^9</f>
        <v>41013.1048783597</v>
      </c>
      <c r="G139" s="28" t="n">
        <f aca="false">F139*C139</f>
        <v>14293.5715133483</v>
      </c>
      <c r="H139" s="28" t="n">
        <f aca="false">E139*G139/(1+D139)^9</f>
        <v>77202.5017590602</v>
      </c>
      <c r="I139" s="28" t="n">
        <f aca="false">$B$13*G139/$B$12*((1+$B$8)/(1+D139))^4.5</f>
        <v>29022.2241005364</v>
      </c>
      <c r="J139" s="28" t="n">
        <f aca="false">H139+I139-$B$14-$B$19</f>
        <v>83562.3689902815</v>
      </c>
      <c r="K139" s="46" t="n">
        <f aca="false">J139/$B$15</f>
        <v>247.812482177585</v>
      </c>
    </row>
    <row r="140" customFormat="false" ht="15" hidden="false" customHeight="false" outlineLevel="0" collapsed="false">
      <c r="A140" s="54" t="n">
        <v>100</v>
      </c>
      <c r="B140" s="23" t="n">
        <f aca="true">NORMINV(RAND(),$B$6,$C$6)</f>
        <v>0.125882355120981</v>
      </c>
      <c r="C140" s="23" t="n">
        <f aca="true">MAX(0.15,NORMINV(RAND(),$B$7,$C$7))</f>
        <v>0.312232496588101</v>
      </c>
      <c r="D140" s="35" t="n">
        <f aca="true">MAX(0.06,NORMINV(RAND(),$B$8,$C$8))</f>
        <v>0.1030960028074</v>
      </c>
      <c r="E140" s="55" t="n">
        <f aca="true">MAX(5,NORMINV(RAND(),$B$9,$C$9))</f>
        <v>9.8569268945427</v>
      </c>
      <c r="F140" s="28" t="n">
        <f aca="false">$B$18*(1+(B140+$B$17)/2)^9</f>
        <v>44783.0489995371</v>
      </c>
      <c r="G140" s="28" t="n">
        <f aca="false">F140*C140</f>
        <v>13982.7231939527</v>
      </c>
      <c r="H140" s="28" t="n">
        <f aca="false">E140*G140/(1+D140)^9</f>
        <v>56991.9475346422</v>
      </c>
      <c r="I140" s="28" t="n">
        <f aca="false">$B$13*G140/$B$12*((1+$B$8)/(1+D140))^4.5</f>
        <v>26924.0557774292</v>
      </c>
      <c r="J140" s="28" t="n">
        <f aca="false">H140+I140-$B$14-$B$19</f>
        <v>61253.6464427563</v>
      </c>
      <c r="K140" s="46" t="n">
        <f aca="false">J140/$B$15</f>
        <v>181.653755761436</v>
      </c>
    </row>
    <row r="141" customFormat="false" ht="15" hidden="false" customHeight="false" outlineLevel="0" collapsed="false">
      <c r="A141" s="54" t="n">
        <v>101</v>
      </c>
      <c r="B141" s="23" t="n">
        <f aca="true">NORMINV(RAND(),$B$6,$C$6)</f>
        <v>0.138273317538311</v>
      </c>
      <c r="C141" s="23" t="n">
        <f aca="true">MAX(0.15,NORMINV(RAND(),$B$7,$C$7))</f>
        <v>0.337275448943206</v>
      </c>
      <c r="D141" s="35" t="n">
        <f aca="true">MAX(0.06,NORMINV(RAND(),$B$8,$C$8))</f>
        <v>0.0968007344549149</v>
      </c>
      <c r="E141" s="55" t="n">
        <f aca="true">MAX(5,NORMINV(RAND(),$B$9,$C$9))</f>
        <v>9.82652124864636</v>
      </c>
      <c r="F141" s="28" t="n">
        <f aca="false">$B$18*(1+(B141+$B$17)/2)^9</f>
        <v>47159.1848440224</v>
      </c>
      <c r="G141" s="28" t="n">
        <f aca="false">F141*C141</f>
        <v>15905.6352400633</v>
      </c>
      <c r="H141" s="28" t="n">
        <f aca="false">E141*G141/(1+D141)^9</f>
        <v>68045.7840988843</v>
      </c>
      <c r="I141" s="28" t="n">
        <f aca="false">$B$13*G141/$B$12*((1+$B$8)/(1+D141))^4.5</f>
        <v>31425.6914552983</v>
      </c>
      <c r="J141" s="28" t="n">
        <f aca="false">H141+I141-$B$14-$B$19</f>
        <v>76809.1186848675</v>
      </c>
      <c r="K141" s="46" t="n">
        <f aca="false">J141/$B$15</f>
        <v>227.785049480627</v>
      </c>
    </row>
    <row r="142" customFormat="false" ht="15" hidden="false" customHeight="false" outlineLevel="0" collapsed="false">
      <c r="A142" s="54" t="n">
        <v>102</v>
      </c>
      <c r="B142" s="23" t="n">
        <f aca="true">NORMINV(RAND(),$B$6,$C$6)</f>
        <v>0.0921178989482441</v>
      </c>
      <c r="C142" s="23" t="n">
        <f aca="true">MAX(0.15,NORMINV(RAND(),$B$7,$C$7))</f>
        <v>0.352073163454706</v>
      </c>
      <c r="D142" s="35" t="n">
        <f aca="true">MAX(0.06,NORMINV(RAND(),$B$8,$C$8))</f>
        <v>0.103205875149464</v>
      </c>
      <c r="E142" s="55" t="n">
        <f aca="true">MAX(5,NORMINV(RAND(),$B$9,$C$9))</f>
        <v>8.61048384080571</v>
      </c>
      <c r="F142" s="28" t="n">
        <f aca="false">$B$18*(1+(B142+$B$17)/2)^9</f>
        <v>38839.0986051411</v>
      </c>
      <c r="G142" s="28" t="n">
        <f aca="false">F142*C142</f>
        <v>13674.2043116413</v>
      </c>
      <c r="H142" s="28" t="n">
        <f aca="false">E142*G142/(1+D142)^9</f>
        <v>48643.0195723208</v>
      </c>
      <c r="I142" s="28" t="n">
        <f aca="false">$B$13*G142/$B$12*((1+$B$8)/(1+D142))^4.5</f>
        <v>26318.1972592679</v>
      </c>
      <c r="J142" s="28" t="n">
        <f aca="false">H142+I142-$B$14-$B$19</f>
        <v>52298.8599622735</v>
      </c>
      <c r="K142" s="46" t="n">
        <f aca="false">J142/$B$15</f>
        <v>155.097449472935</v>
      </c>
    </row>
    <row r="143" customFormat="false" ht="15" hidden="false" customHeight="false" outlineLevel="0" collapsed="false">
      <c r="A143" s="54" t="n">
        <v>103</v>
      </c>
      <c r="B143" s="23" t="n">
        <f aca="true">NORMINV(RAND(),$B$6,$C$6)</f>
        <v>0.108738842678283</v>
      </c>
      <c r="C143" s="23" t="n">
        <f aca="true">MAX(0.15,NORMINV(RAND(),$B$7,$C$7))</f>
        <v>0.308178041846292</v>
      </c>
      <c r="D143" s="35" t="n">
        <f aca="true">MAX(0.06,NORMINV(RAND(),$B$8,$C$8))</f>
        <v>0.0998857793035401</v>
      </c>
      <c r="E143" s="55" t="n">
        <f aca="true">MAX(5,NORMINV(RAND(),$B$9,$C$9))</f>
        <v>9.7132576089117</v>
      </c>
      <c r="F143" s="28" t="n">
        <f aca="false">$B$18*(1+(B143+$B$17)/2)^9</f>
        <v>41671.1145196898</v>
      </c>
      <c r="G143" s="28" t="n">
        <f aca="false">F143*C143</f>
        <v>12842.1224742306</v>
      </c>
      <c r="H143" s="28" t="n">
        <f aca="false">E143*G143/(1+D143)^9</f>
        <v>52950.9104133494</v>
      </c>
      <c r="I143" s="28" t="n">
        <f aca="false">$B$13*G143/$B$12*((1+$B$8)/(1+D143))^4.5</f>
        <v>25054.2430531393</v>
      </c>
      <c r="J143" s="28" t="n">
        <f aca="false">H143+I143-$B$14-$B$19</f>
        <v>55342.7965971736</v>
      </c>
      <c r="K143" s="46" t="n">
        <f aca="false">J143/$B$15</f>
        <v>164.124545068724</v>
      </c>
    </row>
    <row r="144" customFormat="false" ht="15" hidden="false" customHeight="false" outlineLevel="0" collapsed="false">
      <c r="A144" s="54" t="n">
        <v>104</v>
      </c>
      <c r="B144" s="23" t="n">
        <f aca="true">NORMINV(RAND(),$B$6,$C$6)</f>
        <v>0.100396023713484</v>
      </c>
      <c r="C144" s="23" t="n">
        <f aca="true">MAX(0.15,NORMINV(RAND(),$B$7,$C$7))</f>
        <v>0.289308314170643</v>
      </c>
      <c r="D144" s="35" t="n">
        <f aca="true">MAX(0.06,NORMINV(RAND(),$B$8,$C$8))</f>
        <v>0.0906117862230876</v>
      </c>
      <c r="E144" s="55" t="n">
        <f aca="true">MAX(5,NORMINV(RAND(),$B$9,$C$9))</f>
        <v>11.6815209084288</v>
      </c>
      <c r="F144" s="28" t="n">
        <f aca="false">$B$18*(1+(B144+$B$17)/2)^9</f>
        <v>40227.451599151</v>
      </c>
      <c r="G144" s="28" t="n">
        <f aca="false">F144*C144</f>
        <v>11638.1362055315</v>
      </c>
      <c r="H144" s="28" t="n">
        <f aca="false">E144*G144/(1+D144)^9</f>
        <v>62280.364428839</v>
      </c>
      <c r="I144" s="28" t="n">
        <f aca="false">$B$13*G144/$B$12*((1+$B$8)/(1+D144))^4.5</f>
        <v>23587.1905362427</v>
      </c>
      <c r="J144" s="28" t="n">
        <f aca="false">H144+I144-$B$14-$B$19</f>
        <v>63205.1980957666</v>
      </c>
      <c r="K144" s="46" t="n">
        <f aca="false">J144/$B$15</f>
        <v>187.441275491597</v>
      </c>
    </row>
    <row r="145" customFormat="false" ht="15" hidden="false" customHeight="false" outlineLevel="0" collapsed="false">
      <c r="A145" s="54" t="n">
        <v>105</v>
      </c>
      <c r="B145" s="23" t="n">
        <f aca="true">NORMINV(RAND(),$B$6,$C$6)</f>
        <v>0.0351267952467538</v>
      </c>
      <c r="C145" s="23" t="n">
        <f aca="true">MAX(0.15,NORMINV(RAND(),$B$7,$C$7))</f>
        <v>0.325791651074098</v>
      </c>
      <c r="D145" s="35" t="n">
        <f aca="true">MAX(0.06,NORMINV(RAND(),$B$8,$C$8))</f>
        <v>0.0831521112862709</v>
      </c>
      <c r="E145" s="55" t="n">
        <f aca="true">MAX(5,NORMINV(RAND(),$B$9,$C$9))</f>
        <v>8.2093838338135</v>
      </c>
      <c r="F145" s="28" t="n">
        <f aca="false">$B$18*(1+(B145+$B$17)/2)^9</f>
        <v>30381.5064894196</v>
      </c>
      <c r="G145" s="28" t="n">
        <f aca="false">F145*C145</f>
        <v>9898.04116130644</v>
      </c>
      <c r="H145" s="28" t="n">
        <f aca="false">E145*G145/(1+D145)^9</f>
        <v>39596.3142291515</v>
      </c>
      <c r="I145" s="28" t="n">
        <f aca="false">$B$13*G145/$B$12*((1+$B$8)/(1+D145))^4.5</f>
        <v>20689.7550078319</v>
      </c>
      <c r="J145" s="28" t="n">
        <f aca="false">H145+I145-$B$14-$B$19</f>
        <v>37623.7123676684</v>
      </c>
      <c r="K145" s="46" t="n">
        <f aca="false">J145/$B$15</f>
        <v>111.576845692967</v>
      </c>
    </row>
    <row r="146" customFormat="false" ht="15" hidden="false" customHeight="false" outlineLevel="0" collapsed="false">
      <c r="A146" s="54" t="n">
        <v>106</v>
      </c>
      <c r="B146" s="23" t="n">
        <f aca="true">NORMINV(RAND(),$B$6,$C$6)</f>
        <v>0.0909848848511684</v>
      </c>
      <c r="C146" s="23" t="n">
        <f aca="true">MAX(0.15,NORMINV(RAND(),$B$7,$C$7))</f>
        <v>0.338578689429969</v>
      </c>
      <c r="D146" s="35" t="n">
        <f aca="true">MAX(0.06,NORMINV(RAND(),$B$8,$C$8))</f>
        <v>0.10025419649346</v>
      </c>
      <c r="E146" s="55" t="n">
        <f aca="true">MAX(5,NORMINV(RAND(),$B$9,$C$9))</f>
        <v>8.64323009480817</v>
      </c>
      <c r="F146" s="28" t="n">
        <f aca="false">$B$18*(1+(B146+$B$17)/2)^9</f>
        <v>38652.4295175493</v>
      </c>
      <c r="G146" s="28" t="n">
        <f aca="false">F146*C146</f>
        <v>13086.8889293361</v>
      </c>
      <c r="H146" s="28" t="n">
        <f aca="false">E146*G146/(1+D146)^9</f>
        <v>47871.2963174717</v>
      </c>
      <c r="I146" s="28" t="n">
        <f aca="false">$B$13*G146/$B$12*((1+$B$8)/(1+D146))^4.5</f>
        <v>25493.3192793468</v>
      </c>
      <c r="J146" s="28" t="n">
        <f aca="false">H146+I146-$B$14-$B$19</f>
        <v>50702.2587275034</v>
      </c>
      <c r="K146" s="46" t="n">
        <f aca="false">J146/$B$15</f>
        <v>150.362570366261</v>
      </c>
    </row>
    <row r="147" customFormat="false" ht="15" hidden="false" customHeight="false" outlineLevel="0" collapsed="false">
      <c r="A147" s="54" t="n">
        <v>107</v>
      </c>
      <c r="B147" s="23" t="n">
        <f aca="true">NORMINV(RAND(),$B$6,$C$6)</f>
        <v>0.0497756939534785</v>
      </c>
      <c r="C147" s="23" t="n">
        <f aca="true">MAX(0.15,NORMINV(RAND(),$B$7,$C$7))</f>
        <v>0.324192960863796</v>
      </c>
      <c r="D147" s="35" t="n">
        <f aca="true">MAX(0.06,NORMINV(RAND(),$B$8,$C$8))</f>
        <v>0.0860189073717481</v>
      </c>
      <c r="E147" s="55" t="n">
        <f aca="true">MAX(5,NORMINV(RAND(),$B$9,$C$9))</f>
        <v>10.6557210815447</v>
      </c>
      <c r="F147" s="28" t="n">
        <f aca="false">$B$18*(1+(B147+$B$17)/2)^9</f>
        <v>32382.0330344713</v>
      </c>
      <c r="G147" s="28" t="n">
        <f aca="false">F147*C147</f>
        <v>10498.0271682345</v>
      </c>
      <c r="H147" s="28" t="n">
        <f aca="false">E147*G147/(1+D147)^9</f>
        <v>53229.7050583723</v>
      </c>
      <c r="I147" s="28" t="n">
        <f aca="false">$B$13*G147/$B$12*((1+$B$8)/(1+D147))^4.5</f>
        <v>21684.4331720367</v>
      </c>
      <c r="J147" s="28" t="n">
        <f aca="false">H147+I147-$B$14-$B$19</f>
        <v>52251.781361094</v>
      </c>
      <c r="K147" s="46" t="n">
        <f aca="false">J147/$B$15</f>
        <v>154.957833217954</v>
      </c>
    </row>
    <row r="148" customFormat="false" ht="15" hidden="false" customHeight="false" outlineLevel="0" collapsed="false">
      <c r="A148" s="54" t="n">
        <v>108</v>
      </c>
      <c r="B148" s="23" t="n">
        <f aca="true">NORMINV(RAND(),$B$6,$C$6)</f>
        <v>0.059817221511027</v>
      </c>
      <c r="C148" s="23" t="n">
        <f aca="true">MAX(0.15,NORMINV(RAND(),$B$7,$C$7))</f>
        <v>0.315075593425631</v>
      </c>
      <c r="D148" s="35" t="n">
        <f aca="true">MAX(0.06,NORMINV(RAND(),$B$8,$C$8))</f>
        <v>0.0960742128239636</v>
      </c>
      <c r="E148" s="55" t="n">
        <f aca="true">MAX(5,NORMINV(RAND(),$B$9,$C$9))</f>
        <v>10.1811596310264</v>
      </c>
      <c r="F148" s="28" t="n">
        <f aca="false">$B$18*(1+(B148+$B$17)/2)^9</f>
        <v>33820.1570422135</v>
      </c>
      <c r="G148" s="28" t="n">
        <f aca="false">F148*C148</f>
        <v>10655.9060498235</v>
      </c>
      <c r="H148" s="28" t="n">
        <f aca="false">E148*G148/(1+D148)^9</f>
        <v>47514.699505776</v>
      </c>
      <c r="I148" s="28" t="n">
        <f aca="false">$B$13*G148/$B$12*((1+$B$8)/(1+D148))^4.5</f>
        <v>21116.3660437525</v>
      </c>
      <c r="J148" s="28" t="n">
        <f aca="false">H148+I148-$B$14-$B$19</f>
        <v>45968.7086802135</v>
      </c>
      <c r="K148" s="46" t="n">
        <f aca="false">J148/$B$15</f>
        <v>136.324758838118</v>
      </c>
    </row>
    <row r="149" customFormat="false" ht="15" hidden="false" customHeight="false" outlineLevel="0" collapsed="false">
      <c r="A149" s="54" t="n">
        <v>109</v>
      </c>
      <c r="B149" s="23" t="n">
        <f aca="true">NORMINV(RAND(),$B$6,$C$6)</f>
        <v>0.108406690165694</v>
      </c>
      <c r="C149" s="23" t="n">
        <f aca="true">MAX(0.15,NORMINV(RAND(),$B$7,$C$7))</f>
        <v>0.310436310604844</v>
      </c>
      <c r="D149" s="35" t="n">
        <f aca="true">MAX(0.06,NORMINV(RAND(),$B$8,$C$8))</f>
        <v>0.092443327012233</v>
      </c>
      <c r="E149" s="55" t="n">
        <f aca="true">MAX(5,NORMINV(RAND(),$B$9,$C$9))</f>
        <v>9.97818241247605</v>
      </c>
      <c r="F149" s="28" t="n">
        <f aca="false">$B$18*(1+(B149+$B$17)/2)^9</f>
        <v>41612.769539423</v>
      </c>
      <c r="G149" s="28" t="n">
        <f aca="false">F149*C149</f>
        <v>12918.1146498681</v>
      </c>
      <c r="H149" s="28" t="n">
        <f aca="false">E149*G149/(1+D149)^9</f>
        <v>58164.8118807255</v>
      </c>
      <c r="I149" s="28" t="n">
        <f aca="false">$B$13*G149/$B$12*((1+$B$8)/(1+D149))^4.5</f>
        <v>25984.3963405775</v>
      </c>
      <c r="J149" s="28" t="n">
        <f aca="false">H149+I149-$B$14-$B$19</f>
        <v>61486.8513519879</v>
      </c>
      <c r="K149" s="46" t="n">
        <f aca="false">J149/$B$15</f>
        <v>182.345348018944</v>
      </c>
    </row>
    <row r="150" customFormat="false" ht="15" hidden="false" customHeight="false" outlineLevel="0" collapsed="false">
      <c r="A150" s="54" t="n">
        <v>110</v>
      </c>
      <c r="B150" s="23" t="n">
        <f aca="true">NORMINV(RAND(),$B$6,$C$6)</f>
        <v>0.0467515661207298</v>
      </c>
      <c r="C150" s="23" t="n">
        <f aca="true">MAX(0.15,NORMINV(RAND(),$B$7,$C$7))</f>
        <v>0.341396376706129</v>
      </c>
      <c r="D150" s="35" t="n">
        <f aca="true">MAX(0.06,NORMINV(RAND(),$B$8,$C$8))</f>
        <v>0.0789603061829656</v>
      </c>
      <c r="E150" s="55" t="n">
        <f aca="true">MAX(5,NORMINV(RAND(),$B$9,$C$9))</f>
        <v>7.57470209630341</v>
      </c>
      <c r="F150" s="28" t="n">
        <f aca="false">$B$18*(1+(B150+$B$17)/2)^9</f>
        <v>31959.7099785292</v>
      </c>
      <c r="G150" s="28" t="n">
        <f aca="false">F150*C150</f>
        <v>10910.9291872486</v>
      </c>
      <c r="H150" s="28" t="n">
        <f aca="false">E150*G150/(1+D150)^9</f>
        <v>41704.0358042535</v>
      </c>
      <c r="I150" s="28" t="n">
        <f aca="false">$B$13*G150/$B$12*((1+$B$8)/(1+D150))^4.5</f>
        <v>23208.4294767132</v>
      </c>
      <c r="J150" s="28" t="n">
        <f aca="false">H150+I150-$B$14-$B$19</f>
        <v>42250.1084116516</v>
      </c>
      <c r="K150" s="46" t="n">
        <f aca="false">J150/$B$15</f>
        <v>125.296881410592</v>
      </c>
    </row>
    <row r="151" customFormat="false" ht="15" hidden="false" customHeight="false" outlineLevel="0" collapsed="false">
      <c r="A151" s="54" t="n">
        <v>111</v>
      </c>
      <c r="B151" s="23" t="n">
        <f aca="true">NORMINV(RAND(),$B$6,$C$6)</f>
        <v>0.0758081136369013</v>
      </c>
      <c r="C151" s="23" t="n">
        <f aca="true">MAX(0.15,NORMINV(RAND(),$B$7,$C$7))</f>
        <v>0.298540722373973</v>
      </c>
      <c r="D151" s="35" t="n">
        <f aca="true">MAX(0.06,NORMINV(RAND(),$B$8,$C$8))</f>
        <v>0.0991625605745565</v>
      </c>
      <c r="E151" s="55" t="n">
        <f aca="true">MAX(5,NORMINV(RAND(),$B$9,$C$9))</f>
        <v>9.35250114066933</v>
      </c>
      <c r="F151" s="28" t="n">
        <f aca="false">$B$18*(1+(B151+$B$17)/2)^9</f>
        <v>36227.7382956331</v>
      </c>
      <c r="G151" s="28" t="n">
        <f aca="false">F151*C151</f>
        <v>10815.4551607535</v>
      </c>
      <c r="H151" s="28" t="n">
        <f aca="false">E151*G151/(1+D151)^9</f>
        <v>43193.1847395597</v>
      </c>
      <c r="I151" s="28" t="n">
        <f aca="false">$B$13*G151/$B$12*((1+$B$8)/(1+D151))^4.5</f>
        <v>21162.879021404</v>
      </c>
      <c r="J151" s="28" t="n">
        <f aca="false">H151+I151-$B$14-$B$19</f>
        <v>41693.7068916487</v>
      </c>
      <c r="K151" s="46" t="n">
        <f aca="false">J151/$B$15</f>
        <v>123.646817590892</v>
      </c>
    </row>
    <row r="152" customFormat="false" ht="15" hidden="false" customHeight="false" outlineLevel="0" collapsed="false">
      <c r="A152" s="54" t="n">
        <v>112</v>
      </c>
      <c r="B152" s="23" t="n">
        <f aca="true">NORMINV(RAND(),$B$6,$C$6)</f>
        <v>0.121398772235996</v>
      </c>
      <c r="C152" s="23" t="n">
        <f aca="true">MAX(0.15,NORMINV(RAND(),$B$7,$C$7))</f>
        <v>0.293173453398467</v>
      </c>
      <c r="D152" s="35" t="n">
        <f aca="true">MAX(0.06,NORMINV(RAND(),$B$8,$C$8))</f>
        <v>0.10037043141904</v>
      </c>
      <c r="E152" s="55" t="n">
        <f aca="true">MAX(5,NORMINV(RAND(),$B$9,$C$9))</f>
        <v>9.89706754820432</v>
      </c>
      <c r="F152" s="28" t="n">
        <f aca="false">$B$18*(1+(B152+$B$17)/2)^9</f>
        <v>43949.8551888093</v>
      </c>
      <c r="G152" s="28" t="n">
        <f aca="false">F152*C152</f>
        <v>12884.9308220657</v>
      </c>
      <c r="H152" s="28" t="n">
        <f aca="false">E152*G152/(1+D152)^9</f>
        <v>53918.5767502482</v>
      </c>
      <c r="I152" s="28" t="n">
        <f aca="false">$B$13*G152/$B$12*((1+$B$8)/(1+D152))^4.5</f>
        <v>25087.975021353</v>
      </c>
      <c r="J152" s="28" t="n">
        <f aca="false">H152+I152-$B$14-$B$19</f>
        <v>56344.1949022861</v>
      </c>
      <c r="K152" s="46" t="n">
        <f aca="false">J152/$B$15</f>
        <v>167.094290932047</v>
      </c>
    </row>
    <row r="153" customFormat="false" ht="15" hidden="false" customHeight="false" outlineLevel="0" collapsed="false">
      <c r="A153" s="54" t="n">
        <v>113</v>
      </c>
      <c r="B153" s="23" t="n">
        <f aca="true">NORMINV(RAND(),$B$6,$C$6)</f>
        <v>0.0536757382815893</v>
      </c>
      <c r="C153" s="23" t="n">
        <f aca="true">MAX(0.15,NORMINV(RAND(),$B$7,$C$7))</f>
        <v>0.326316810002823</v>
      </c>
      <c r="D153" s="35" t="n">
        <f aca="true">MAX(0.06,NORMINV(RAND(),$B$8,$C$8))</f>
        <v>0.0921700745136536</v>
      </c>
      <c r="E153" s="55" t="n">
        <f aca="true">MAX(5,NORMINV(RAND(),$B$9,$C$9))</f>
        <v>8.64730691481721</v>
      </c>
      <c r="F153" s="28" t="n">
        <f aca="false">$B$18*(1+(B153+$B$17)/2)^9</f>
        <v>32933.9992549147</v>
      </c>
      <c r="G153" s="28" t="n">
        <f aca="false">F153*C153</f>
        <v>10746.9175774991</v>
      </c>
      <c r="H153" s="28" t="n">
        <f aca="false">E153*G153/(1+D153)^9</f>
        <v>42029.3174727313</v>
      </c>
      <c r="I153" s="28" t="n">
        <f aca="false">$B$13*G153/$B$12*((1+$B$8)/(1+D153))^4.5</f>
        <v>21641.4477902967</v>
      </c>
      <c r="J153" s="28" t="n">
        <f aca="false">H153+I153-$B$14-$B$19</f>
        <v>41008.4083937129</v>
      </c>
      <c r="K153" s="46" t="n">
        <f aca="false">J153/$B$15</f>
        <v>121.614497015756</v>
      </c>
    </row>
    <row r="154" customFormat="false" ht="15" hidden="false" customHeight="false" outlineLevel="0" collapsed="false">
      <c r="A154" s="54" t="n">
        <v>114</v>
      </c>
      <c r="B154" s="23" t="n">
        <f aca="true">NORMINV(RAND(),$B$6,$C$6)</f>
        <v>0.136610049757906</v>
      </c>
      <c r="C154" s="23" t="n">
        <f aca="true">MAX(0.15,NORMINV(RAND(),$B$7,$C$7))</f>
        <v>0.301363507990216</v>
      </c>
      <c r="D154" s="35" t="n">
        <f aca="true">MAX(0.06,NORMINV(RAND(),$B$8,$C$8))</f>
        <v>0.10292424565485</v>
      </c>
      <c r="E154" s="55" t="n">
        <f aca="true">MAX(5,NORMINV(RAND(),$B$9,$C$9))</f>
        <v>8.83725491786586</v>
      </c>
      <c r="F154" s="28" t="n">
        <f aca="false">$B$18*(1+(B154+$B$17)/2)^9</f>
        <v>46833.8547299125</v>
      </c>
      <c r="G154" s="28" t="n">
        <f aca="false">F154*C154</f>
        <v>14114.0147541106</v>
      </c>
      <c r="H154" s="28" t="n">
        <f aca="false">E154*G154/(1+D154)^9</f>
        <v>51648.3907356695</v>
      </c>
      <c r="I154" s="28" t="n">
        <f aca="false">$B$13*G154/$B$12*((1+$B$8)/(1+D154))^4.5</f>
        <v>27195.9108921908</v>
      </c>
      <c r="J154" s="28" t="n">
        <f aca="false">H154+I154-$B$14-$B$19</f>
        <v>56181.9447585452</v>
      </c>
      <c r="K154" s="46" t="n">
        <f aca="false">J154/$B$15</f>
        <v>166.613122059743</v>
      </c>
    </row>
    <row r="155" customFormat="false" ht="15" hidden="false" customHeight="false" outlineLevel="0" collapsed="false">
      <c r="A155" s="54" t="n">
        <v>115</v>
      </c>
      <c r="B155" s="23" t="n">
        <f aca="true">NORMINV(RAND(),$B$6,$C$6)</f>
        <v>0.0501388858543526</v>
      </c>
      <c r="C155" s="23" t="n">
        <f aca="true">MAX(0.15,NORMINV(RAND(),$B$7,$C$7))</f>
        <v>0.337677703891279</v>
      </c>
      <c r="D155" s="35" t="n">
        <f aca="true">MAX(0.06,NORMINV(RAND(),$B$8,$C$8))</f>
        <v>0.0931022190789697</v>
      </c>
      <c r="E155" s="55" t="n">
        <f aca="true">MAX(5,NORMINV(RAND(),$B$9,$C$9))</f>
        <v>11.0426730570817</v>
      </c>
      <c r="F155" s="28" t="n">
        <f aca="false">$B$18*(1+(B155+$B$17)/2)^9</f>
        <v>32433.0853843999</v>
      </c>
      <c r="G155" s="28" t="n">
        <f aca="false">F155*C155</f>
        <v>10951.929802714</v>
      </c>
      <c r="H155" s="28" t="n">
        <f aca="false">E155*G155/(1+D155)^9</f>
        <v>54277.2557913123</v>
      </c>
      <c r="I155" s="28" t="n">
        <f aca="false">$B$13*G155/$B$12*((1+$B$8)/(1+D155))^4.5</f>
        <v>21969.7836370074</v>
      </c>
      <c r="J155" s="28" t="n">
        <f aca="false">H155+I155-$B$14-$B$19</f>
        <v>53584.6825590046</v>
      </c>
      <c r="K155" s="46" t="n">
        <f aca="false">J155/$B$15</f>
        <v>158.910683745565</v>
      </c>
    </row>
    <row r="156" customFormat="false" ht="15" hidden="false" customHeight="false" outlineLevel="0" collapsed="false">
      <c r="A156" s="54" t="n">
        <v>116</v>
      </c>
      <c r="B156" s="23" t="n">
        <f aca="true">NORMINV(RAND(),$B$6,$C$6)</f>
        <v>0.102775309940467</v>
      </c>
      <c r="C156" s="23" t="n">
        <f aca="true">MAX(0.15,NORMINV(RAND(),$B$7,$C$7))</f>
        <v>0.302634490401792</v>
      </c>
      <c r="D156" s="35" t="n">
        <f aca="true">MAX(0.06,NORMINV(RAND(),$B$8,$C$8))</f>
        <v>0.0852260447886736</v>
      </c>
      <c r="E156" s="55" t="n">
        <f aca="true">MAX(5,NORMINV(RAND(),$B$9,$C$9))</f>
        <v>10.1028508270594</v>
      </c>
      <c r="F156" s="28" t="n">
        <f aca="false">$B$18*(1+(B156+$B$17)/2)^9</f>
        <v>40634.5667594236</v>
      </c>
      <c r="G156" s="28" t="n">
        <f aca="false">F156*C156</f>
        <v>12297.4214039357</v>
      </c>
      <c r="H156" s="28" t="n">
        <f aca="false">E156*G156/(1+D156)^9</f>
        <v>59508.1054325194</v>
      </c>
      <c r="I156" s="28" t="n">
        <f aca="false">$B$13*G156/$B$12*((1+$B$8)/(1+D156))^4.5</f>
        <v>25484.8299256345</v>
      </c>
      <c r="J156" s="28" t="n">
        <f aca="false">H156+I156-$B$14-$B$19</f>
        <v>62330.5784888389</v>
      </c>
      <c r="K156" s="46" t="n">
        <f aca="false">J156/$B$15</f>
        <v>184.847504415299</v>
      </c>
    </row>
    <row r="157" customFormat="false" ht="15" hidden="false" customHeight="false" outlineLevel="0" collapsed="false">
      <c r="A157" s="54" t="n">
        <v>117</v>
      </c>
      <c r="B157" s="23" t="n">
        <f aca="true">NORMINV(RAND(),$B$6,$C$6)</f>
        <v>0.111843324299516</v>
      </c>
      <c r="C157" s="23" t="n">
        <f aca="true">MAX(0.15,NORMINV(RAND(),$B$7,$C$7))</f>
        <v>0.284079751833095</v>
      </c>
      <c r="D157" s="35" t="n">
        <f aca="true">MAX(0.06,NORMINV(RAND(),$B$8,$C$8))</f>
        <v>0.0940683580079687</v>
      </c>
      <c r="E157" s="55" t="n">
        <f aca="true">MAX(5,NORMINV(RAND(),$B$9,$C$9))</f>
        <v>8.65779548708822</v>
      </c>
      <c r="F157" s="28" t="n">
        <f aca="false">$B$18*(1+(B157+$B$17)/2)^9</f>
        <v>42219.9651713824</v>
      </c>
      <c r="G157" s="28" t="n">
        <f aca="false">F157*C157</f>
        <v>11993.8372282882</v>
      </c>
      <c r="H157" s="28" t="n">
        <f aca="false">E157*G157/(1+D157)^9</f>
        <v>46234.4135295918</v>
      </c>
      <c r="I157" s="28" t="n">
        <f aca="false">$B$13*G157/$B$12*((1+$B$8)/(1+D157))^4.5</f>
        <v>23964.4083165656</v>
      </c>
      <c r="J157" s="28" t="n">
        <f aca="false">H157+I157-$B$14-$B$19</f>
        <v>47536.4649768424</v>
      </c>
      <c r="K157" s="46" t="n">
        <f aca="false">J157/$B$15</f>
        <v>140.974095423613</v>
      </c>
    </row>
    <row r="158" customFormat="false" ht="15" hidden="false" customHeight="false" outlineLevel="0" collapsed="false">
      <c r="A158" s="54" t="n">
        <v>118</v>
      </c>
      <c r="B158" s="23" t="n">
        <f aca="true">NORMINV(RAND(),$B$6,$C$6)</f>
        <v>0.0238670323511</v>
      </c>
      <c r="C158" s="23" t="n">
        <f aca="true">MAX(0.15,NORMINV(RAND(),$B$7,$C$7))</f>
        <v>0.357899963168925</v>
      </c>
      <c r="D158" s="35" t="n">
        <f aca="true">MAX(0.06,NORMINV(RAND(),$B$8,$C$8))</f>
        <v>0.0916540473065547</v>
      </c>
      <c r="E158" s="55" t="n">
        <f aca="true">MAX(5,NORMINV(RAND(),$B$9,$C$9))</f>
        <v>11.742477307333</v>
      </c>
      <c r="F158" s="28" t="n">
        <f aca="false">$B$18*(1+(B158+$B$17)/2)^9</f>
        <v>28919.2960353952</v>
      </c>
      <c r="G158" s="28" t="n">
        <f aca="false">F158*C158</f>
        <v>10350.2149859392</v>
      </c>
      <c r="H158" s="28" t="n">
        <f aca="false">E158*G158/(1+D158)^9</f>
        <v>55200.6049122825</v>
      </c>
      <c r="I158" s="28" t="n">
        <f aca="false">$B$13*G158/$B$12*((1+$B$8)/(1+D158))^4.5</f>
        <v>20886.9659740178</v>
      </c>
      <c r="J158" s="28" t="n">
        <f aca="false">H158+I158-$B$14-$B$19</f>
        <v>53425.2140169853</v>
      </c>
      <c r="K158" s="46" t="n">
        <f aca="false">J158/$B$15</f>
        <v>158.437763988687</v>
      </c>
    </row>
    <row r="159" customFormat="false" ht="15" hidden="false" customHeight="false" outlineLevel="0" collapsed="false">
      <c r="A159" s="54" t="n">
        <v>119</v>
      </c>
      <c r="B159" s="23" t="n">
        <f aca="true">NORMINV(RAND(),$B$6,$C$6)</f>
        <v>0.0565823704555591</v>
      </c>
      <c r="C159" s="23" t="n">
        <f aca="true">MAX(0.15,NORMINV(RAND(),$B$7,$C$7))</f>
        <v>0.308426623380798</v>
      </c>
      <c r="D159" s="35" t="n">
        <f aca="true">MAX(0.06,NORMINV(RAND(),$B$8,$C$8))</f>
        <v>0.086850553346887</v>
      </c>
      <c r="E159" s="55" t="n">
        <f aca="true">MAX(5,NORMINV(RAND(),$B$9,$C$9))</f>
        <v>8.33255310163566</v>
      </c>
      <c r="F159" s="28" t="n">
        <f aca="false">$B$18*(1+(B159+$B$17)/2)^9</f>
        <v>33350.7923855485</v>
      </c>
      <c r="G159" s="28" t="n">
        <f aca="false">F159*C159</f>
        <v>10286.2722825488</v>
      </c>
      <c r="H159" s="28" t="n">
        <f aca="false">E159*G159/(1+D159)^9</f>
        <v>40504.9060091208</v>
      </c>
      <c r="I159" s="28" t="n">
        <f aca="false">$B$13*G159/$B$12*((1+$B$8)/(1+D159))^4.5</f>
        <v>21173.975081416</v>
      </c>
      <c r="J159" s="28" t="n">
        <f aca="false">H159+I159-$B$14-$B$19</f>
        <v>39016.5242212217</v>
      </c>
      <c r="K159" s="46" t="n">
        <f aca="false">J159/$B$15</f>
        <v>115.707367204098</v>
      </c>
    </row>
    <row r="160" customFormat="false" ht="15" hidden="false" customHeight="false" outlineLevel="0" collapsed="false">
      <c r="A160" s="54" t="n">
        <v>120</v>
      </c>
      <c r="B160" s="23" t="n">
        <f aca="true">NORMINV(RAND(),$B$6,$C$6)</f>
        <v>0.132764324930822</v>
      </c>
      <c r="C160" s="23" t="n">
        <f aca="true">MAX(0.15,NORMINV(RAND(),$B$7,$C$7))</f>
        <v>0.31076417837857</v>
      </c>
      <c r="D160" s="35" t="n">
        <f aca="true">MAX(0.06,NORMINV(RAND(),$B$8,$C$8))</f>
        <v>0.0992023081679555</v>
      </c>
      <c r="E160" s="55" t="n">
        <f aca="true">MAX(5,NORMINV(RAND(),$B$9,$C$9))</f>
        <v>11.8050460667346</v>
      </c>
      <c r="F160" s="28" t="n">
        <f aca="false">$B$18*(1+(B160+$B$17)/2)^9</f>
        <v>46089.2693747628</v>
      </c>
      <c r="G160" s="28" t="n">
        <f aca="false">F160*C160</f>
        <v>14322.8939293168</v>
      </c>
      <c r="H160" s="28" t="n">
        <f aca="false">E160*G160/(1+D160)^9</f>
        <v>72177.1578720693</v>
      </c>
      <c r="I160" s="28" t="n">
        <f aca="false">$B$13*G160/$B$12*((1+$B$8)/(1+D160))^4.5</f>
        <v>28021.4144369372</v>
      </c>
      <c r="J160" s="28" t="n">
        <f aca="false">H160+I160-$B$14-$B$19</f>
        <v>77536.2154396914</v>
      </c>
      <c r="K160" s="46" t="n">
        <f aca="false">J160/$B$15</f>
        <v>229.941326926724</v>
      </c>
    </row>
    <row r="161" customFormat="false" ht="15" hidden="false" customHeight="false" outlineLevel="0" collapsed="false">
      <c r="A161" s="54" t="n">
        <v>121</v>
      </c>
      <c r="B161" s="23" t="n">
        <f aca="true">NORMINV(RAND(),$B$6,$C$6)</f>
        <v>0.10219750145055</v>
      </c>
      <c r="C161" s="23" t="n">
        <f aca="true">MAX(0.15,NORMINV(RAND(),$B$7,$C$7))</f>
        <v>0.349840024079952</v>
      </c>
      <c r="D161" s="35" t="n">
        <f aca="true">MAX(0.06,NORMINV(RAND(),$B$8,$C$8))</f>
        <v>0.0901998724115896</v>
      </c>
      <c r="E161" s="55" t="n">
        <f aca="true">MAX(5,NORMINV(RAND(),$B$9,$C$9))</f>
        <v>12.3898377774408</v>
      </c>
      <c r="F161" s="28" t="n">
        <f aca="false">$B$18*(1+(B161+$B$17)/2)^9</f>
        <v>40535.3638065016</v>
      </c>
      <c r="G161" s="28" t="n">
        <f aca="false">F161*C161</f>
        <v>14180.8926501562</v>
      </c>
      <c r="H161" s="28" t="n">
        <f aca="false">E161*G161/(1+D161)^9</f>
        <v>80763.2984686994</v>
      </c>
      <c r="I161" s="28" t="n">
        <f aca="false">$B$13*G161/$B$12*((1+$B$8)/(1+D161))^4.5</f>
        <v>28789.5329051544</v>
      </c>
      <c r="J161" s="28" t="n">
        <f aca="false">H161+I161-$B$14-$B$19</f>
        <v>86890.4745045387</v>
      </c>
      <c r="K161" s="46" t="n">
        <f aca="false">J161/$B$15</f>
        <v>257.682308732321</v>
      </c>
    </row>
    <row r="162" customFormat="false" ht="15" hidden="false" customHeight="false" outlineLevel="0" collapsed="false">
      <c r="A162" s="54" t="n">
        <v>122</v>
      </c>
      <c r="B162" s="23" t="n">
        <f aca="true">NORMINV(RAND(),$B$6,$C$6)</f>
        <v>0.0203387529542036</v>
      </c>
      <c r="C162" s="23" t="n">
        <f aca="true">MAX(0.15,NORMINV(RAND(),$B$7,$C$7))</f>
        <v>0.325684605251157</v>
      </c>
      <c r="D162" s="35" t="n">
        <f aca="true">MAX(0.06,NORMINV(RAND(),$B$8,$C$8))</f>
        <v>0.0877856148176868</v>
      </c>
      <c r="E162" s="55" t="n">
        <f aca="true">MAX(5,NORMINV(RAND(),$B$9,$C$9))</f>
        <v>11.320546938066</v>
      </c>
      <c r="F162" s="28" t="n">
        <f aca="false">$B$18*(1+(B162+$B$17)/2)^9</f>
        <v>28474.1632204655</v>
      </c>
      <c r="G162" s="28" t="n">
        <f aca="false">F162*C162</f>
        <v>9273.5966083143</v>
      </c>
      <c r="H162" s="28" t="n">
        <f aca="false">E162*G162/(1+D162)^9</f>
        <v>49229.5435203213</v>
      </c>
      <c r="I162" s="28" t="n">
        <f aca="false">$B$13*G162/$B$12*((1+$B$8)/(1+D162))^4.5</f>
        <v>19015.6826129852</v>
      </c>
      <c r="J162" s="28" t="n">
        <f aca="false">H162+I162-$B$14-$B$19</f>
        <v>45582.8692639915</v>
      </c>
      <c r="K162" s="46" t="n">
        <f aca="false">J162/$B$15</f>
        <v>135.180513831529</v>
      </c>
    </row>
    <row r="163" customFormat="false" ht="15" hidden="false" customHeight="false" outlineLevel="0" collapsed="false">
      <c r="A163" s="54" t="n">
        <v>123</v>
      </c>
      <c r="B163" s="23" t="n">
        <f aca="true">NORMINV(RAND(),$B$6,$C$6)</f>
        <v>0.0513548242649681</v>
      </c>
      <c r="C163" s="23" t="n">
        <f aca="true">MAX(0.15,NORMINV(RAND(),$B$7,$C$7))</f>
        <v>0.345697556044342</v>
      </c>
      <c r="D163" s="35" t="n">
        <f aca="true">MAX(0.06,NORMINV(RAND(),$B$8,$C$8))</f>
        <v>0.0985078574950806</v>
      </c>
      <c r="E163" s="55" t="n">
        <f aca="true">MAX(5,NORMINV(RAND(),$B$9,$C$9))</f>
        <v>11.0891030995762</v>
      </c>
      <c r="F163" s="28" t="n">
        <f aca="false">$B$18*(1+(B163+$B$17)/2)^9</f>
        <v>32604.5258316304</v>
      </c>
      <c r="G163" s="28" t="n">
        <f aca="false">F163*C163</f>
        <v>11271.3048959792</v>
      </c>
      <c r="H163" s="28" t="n">
        <f aca="false">E163*G163/(1+D163)^9</f>
        <v>53658.9425286455</v>
      </c>
      <c r="I163" s="28" t="n">
        <f aca="false">$B$13*G163/$B$12*((1+$B$8)/(1+D163))^4.5</f>
        <v>22114.0640612906</v>
      </c>
      <c r="J163" s="28" t="n">
        <f aca="false">H163+I163-$B$14-$B$19</f>
        <v>53110.649720621</v>
      </c>
      <c r="K163" s="46" t="n">
        <f aca="false">J163/$B$15</f>
        <v>157.504892409908</v>
      </c>
    </row>
    <row r="164" customFormat="false" ht="15" hidden="false" customHeight="false" outlineLevel="0" collapsed="false">
      <c r="A164" s="54" t="n">
        <v>124</v>
      </c>
      <c r="B164" s="23" t="n">
        <f aca="true">NORMINV(RAND(),$B$6,$C$6)</f>
        <v>0.10184601809245</v>
      </c>
      <c r="C164" s="23" t="n">
        <f aca="true">MAX(0.15,NORMINV(RAND(),$B$7,$C$7))</f>
        <v>0.311720778002994</v>
      </c>
      <c r="D164" s="35" t="n">
        <f aca="true">MAX(0.06,NORMINV(RAND(),$B$8,$C$8))</f>
        <v>0.104509669940063</v>
      </c>
      <c r="E164" s="55" t="n">
        <f aca="true">MAX(5,NORMINV(RAND(),$B$9,$C$9))</f>
        <v>11.4667568319576</v>
      </c>
      <c r="F164" s="28" t="n">
        <f aca="false">$B$18*(1+(B164+$B$17)/2)^9</f>
        <v>40475.1235913888</v>
      </c>
      <c r="G164" s="28" t="n">
        <f aca="false">F164*C164</f>
        <v>12616.9370156751</v>
      </c>
      <c r="H164" s="28" t="n">
        <f aca="false">E164*G164/(1+D164)^9</f>
        <v>59138.2999573928</v>
      </c>
      <c r="I164" s="28" t="n">
        <f aca="false">$B$13*G164/$B$12*((1+$B$8)/(1+D164))^4.5</f>
        <v>24154.5918936142</v>
      </c>
      <c r="J164" s="28" t="n">
        <f aca="false">H164+I164-$B$14-$B$19</f>
        <v>60630.534981692</v>
      </c>
      <c r="K164" s="46" t="n">
        <f aca="false">J164/$B$15</f>
        <v>179.805857003832</v>
      </c>
    </row>
    <row r="165" customFormat="false" ht="15" hidden="false" customHeight="false" outlineLevel="0" collapsed="false">
      <c r="A165" s="54" t="n">
        <v>125</v>
      </c>
      <c r="B165" s="23" t="n">
        <f aca="true">NORMINV(RAND(),$B$6,$C$6)</f>
        <v>0.0933313888374561</v>
      </c>
      <c r="C165" s="23" t="n">
        <f aca="true">MAX(0.15,NORMINV(RAND(),$B$7,$C$7))</f>
        <v>0.305963848161322</v>
      </c>
      <c r="D165" s="35" t="n">
        <f aca="true">MAX(0.06,NORMINV(RAND(),$B$8,$C$8))</f>
        <v>0.0986210808810088</v>
      </c>
      <c r="E165" s="55" t="n">
        <f aca="true">MAX(5,NORMINV(RAND(),$B$9,$C$9))</f>
        <v>8.9451676477063</v>
      </c>
      <c r="F165" s="28" t="n">
        <f aca="false">$B$18*(1+(B165+$B$17)/2)^9</f>
        <v>39039.9147732087</v>
      </c>
      <c r="G165" s="28" t="n">
        <f aca="false">F165*C165</f>
        <v>11944.802555901</v>
      </c>
      <c r="H165" s="28" t="n">
        <f aca="false">E165*G165/(1+D165)^9</f>
        <v>45828.5488670043</v>
      </c>
      <c r="I165" s="28" t="n">
        <f aca="false">$B$13*G165/$B$12*((1+$B$8)/(1+D165))^4.5</f>
        <v>23424.5857081797</v>
      </c>
      <c r="J165" s="28" t="n">
        <f aca="false">H165+I165-$B$14-$B$19</f>
        <v>46590.7777058689</v>
      </c>
      <c r="K165" s="46" t="n">
        <f aca="false">J165/$B$15</f>
        <v>138.169566150264</v>
      </c>
    </row>
    <row r="166" customFormat="false" ht="15" hidden="false" customHeight="false" outlineLevel="0" collapsed="false">
      <c r="A166" s="54" t="n">
        <v>126</v>
      </c>
      <c r="B166" s="23" t="n">
        <f aca="true">NORMINV(RAND(),$B$6,$C$6)</f>
        <v>0.0747958531569236</v>
      </c>
      <c r="C166" s="23" t="n">
        <f aca="true">MAX(0.15,NORMINV(RAND(),$B$7,$C$7))</f>
        <v>0.351207561470477</v>
      </c>
      <c r="D166" s="35" t="n">
        <f aca="true">MAX(0.06,NORMINV(RAND(),$B$8,$C$8))</f>
        <v>0.0929911994987465</v>
      </c>
      <c r="E166" s="55" t="n">
        <f aca="true">MAX(5,NORMINV(RAND(),$B$9,$C$9))</f>
        <v>10.1188486491614</v>
      </c>
      <c r="F166" s="28" t="n">
        <f aca="false">$B$18*(1+(B166+$B$17)/2)^9</f>
        <v>36070.9358927068</v>
      </c>
      <c r="G166" s="28" t="n">
        <f aca="false">F166*C166</f>
        <v>12668.3854348354</v>
      </c>
      <c r="H166" s="28" t="n">
        <f aca="false">E166*G166/(1+D166)^9</f>
        <v>57584.0733083467</v>
      </c>
      <c r="I166" s="28" t="n">
        <f aca="false">$B$13*G166/$B$12*((1+$B$8)/(1+D166))^4.5</f>
        <v>25424.6448691606</v>
      </c>
      <c r="J166" s="28" t="n">
        <f aca="false">H166+I166-$B$14-$B$19</f>
        <v>60346.3613081922</v>
      </c>
      <c r="K166" s="46" t="n">
        <f aca="false">J166/$B$15</f>
        <v>178.963111827379</v>
      </c>
    </row>
    <row r="167" customFormat="false" ht="15" hidden="false" customHeight="false" outlineLevel="0" collapsed="false">
      <c r="A167" s="54" t="n">
        <v>127</v>
      </c>
      <c r="B167" s="23" t="n">
        <f aca="true">NORMINV(RAND(),$B$6,$C$6)</f>
        <v>0.101240694686528</v>
      </c>
      <c r="C167" s="23" t="n">
        <f aca="true">MAX(0.15,NORMINV(RAND(),$B$7,$C$7))</f>
        <v>0.352857762942728</v>
      </c>
      <c r="D167" s="35" t="n">
        <f aca="true">MAX(0.06,NORMINV(RAND(),$B$8,$C$8))</f>
        <v>0.0924282807496325</v>
      </c>
      <c r="E167" s="55" t="n">
        <f aca="true">MAX(5,NORMINV(RAND(),$B$9,$C$9))</f>
        <v>9.51062949502649</v>
      </c>
      <c r="F167" s="28" t="n">
        <f aca="false">$B$18*(1+(B167+$B$17)/2)^9</f>
        <v>40371.5646174476</v>
      </c>
      <c r="G167" s="28" t="n">
        <f aca="false">F167*C167</f>
        <v>14245.4199774103</v>
      </c>
      <c r="H167" s="28" t="n">
        <f aca="false">E167*G167/(1+D167)^9</f>
        <v>61143.192234863</v>
      </c>
      <c r="I167" s="28" t="n">
        <f aca="false">$B$13*G167/$B$12*((1+$B$8)/(1+D167))^4.5</f>
        <v>28656.0068223999</v>
      </c>
      <c r="J167" s="28" t="n">
        <f aca="false">H167+I167-$B$14-$B$19</f>
        <v>67136.8421879478</v>
      </c>
      <c r="K167" s="46" t="n">
        <f aca="false">J167/$B$15</f>
        <v>199.100955480272</v>
      </c>
    </row>
    <row r="168" customFormat="false" ht="15" hidden="false" customHeight="false" outlineLevel="0" collapsed="false">
      <c r="A168" s="54" t="n">
        <v>128</v>
      </c>
      <c r="B168" s="23" t="n">
        <f aca="true">NORMINV(RAND(),$B$6,$C$6)</f>
        <v>0.0968029368065986</v>
      </c>
      <c r="C168" s="23" t="n">
        <f aca="true">MAX(0.15,NORMINV(RAND(),$B$7,$C$7))</f>
        <v>0.350225721730321</v>
      </c>
      <c r="D168" s="35" t="n">
        <f aca="true">MAX(0.06,NORMINV(RAND(),$B$8,$C$8))</f>
        <v>0.105865384215085</v>
      </c>
      <c r="E168" s="55" t="n">
        <f aca="true">MAX(5,NORMINV(RAND(),$B$9,$C$9))</f>
        <v>11.8027899691153</v>
      </c>
      <c r="F168" s="28" t="n">
        <f aca="false">$B$18*(1+(B168+$B$17)/2)^9</f>
        <v>39619.5157380071</v>
      </c>
      <c r="G168" s="28" t="n">
        <f aca="false">F168*C168</f>
        <v>13875.7734939493</v>
      </c>
      <c r="H168" s="28" t="n">
        <f aca="false">E168*G168/(1+D168)^9</f>
        <v>66209.6824330043</v>
      </c>
      <c r="I168" s="28" t="n">
        <f aca="false">$B$13*G168/$B$12*((1+$B$8)/(1+D168))^4.5</f>
        <v>26418.3466267673</v>
      </c>
      <c r="J168" s="28" t="n">
        <f aca="false">H168+I168-$B$14-$B$19</f>
        <v>69965.6721904566</v>
      </c>
      <c r="K168" s="46" t="n">
        <f aca="false">J168/$B$15</f>
        <v>207.490131051176</v>
      </c>
    </row>
    <row r="169" customFormat="false" ht="15" hidden="false" customHeight="false" outlineLevel="0" collapsed="false">
      <c r="A169" s="54" t="n">
        <v>129</v>
      </c>
      <c r="B169" s="23" t="n">
        <f aca="true">NORMINV(RAND(),$B$6,$C$6)</f>
        <v>0.0444811874997048</v>
      </c>
      <c r="C169" s="23" t="n">
        <f aca="true">MAX(0.15,NORMINV(RAND(),$B$7,$C$7))</f>
        <v>0.292249718289935</v>
      </c>
      <c r="D169" s="35" t="n">
        <f aca="true">MAX(0.06,NORMINV(RAND(),$B$8,$C$8))</f>
        <v>0.0894967652500994</v>
      </c>
      <c r="E169" s="55" t="n">
        <f aca="true">MAX(5,NORMINV(RAND(),$B$9,$C$9))</f>
        <v>10.4878799807959</v>
      </c>
      <c r="F169" s="28" t="n">
        <f aca="false">$B$18*(1+(B169+$B$17)/2)^9</f>
        <v>31645.8738625675</v>
      </c>
      <c r="G169" s="28" t="n">
        <f aca="false">F169*C169</f>
        <v>9248.49772137417</v>
      </c>
      <c r="H169" s="28" t="n">
        <f aca="false">E169*G169/(1+D169)^9</f>
        <v>44846.1738691259</v>
      </c>
      <c r="I169" s="28" t="n">
        <f aca="false">$B$13*G169/$B$12*((1+$B$8)/(1+D169))^4.5</f>
        <v>18830.5524249586</v>
      </c>
      <c r="J169" s="28" t="n">
        <f aca="false">H169+I169-$B$14-$B$19</f>
        <v>41014.3694247694</v>
      </c>
      <c r="K169" s="46" t="n">
        <f aca="false">J169/$B$15</f>
        <v>121.6321750438</v>
      </c>
    </row>
    <row r="170" customFormat="false" ht="15" hidden="false" customHeight="false" outlineLevel="0" collapsed="false">
      <c r="A170" s="54" t="n">
        <v>130</v>
      </c>
      <c r="B170" s="23" t="n">
        <f aca="true">NORMINV(RAND(),$B$6,$C$6)</f>
        <v>0.0625822642969326</v>
      </c>
      <c r="C170" s="23" t="n">
        <f aca="true">MAX(0.15,NORMINV(RAND(),$B$7,$C$7))</f>
        <v>0.323500663440425</v>
      </c>
      <c r="D170" s="35" t="n">
        <f aca="true">MAX(0.06,NORMINV(RAND(),$B$8,$C$8))</f>
        <v>0.0934310747767943</v>
      </c>
      <c r="E170" s="55" t="n">
        <f aca="true">MAX(5,NORMINV(RAND(),$B$9,$C$9))</f>
        <v>7.47033585794383</v>
      </c>
      <c r="F170" s="28" t="n">
        <f aca="false">$B$18*(1+(B170+$B$17)/2)^9</f>
        <v>34225.9990455607</v>
      </c>
      <c r="G170" s="28" t="n">
        <f aca="false">F170*C170</f>
        <v>11072.1333981502</v>
      </c>
      <c r="H170" s="28" t="n">
        <f aca="false">E170*G170/(1+D170)^9</f>
        <v>37021.0496204431</v>
      </c>
      <c r="I170" s="28" t="n">
        <f aca="false">$B$13*G170/$B$12*((1+$B$8)/(1+D170))^4.5</f>
        <v>22180.8699263605</v>
      </c>
      <c r="J170" s="28" t="n">
        <f aca="false">H170+I170-$B$14-$B$19</f>
        <v>36539.5626774885</v>
      </c>
      <c r="K170" s="46" t="n">
        <f aca="false">J170/$B$15</f>
        <v>108.361692400618</v>
      </c>
    </row>
    <row r="171" customFormat="false" ht="15" hidden="false" customHeight="false" outlineLevel="0" collapsed="false">
      <c r="A171" s="54" t="n">
        <v>131</v>
      </c>
      <c r="B171" s="23" t="n">
        <f aca="true">NORMINV(RAND(),$B$6,$C$6)</f>
        <v>0.0540296922826575</v>
      </c>
      <c r="C171" s="23" t="n">
        <f aca="true">MAX(0.15,NORMINV(RAND(),$B$7,$C$7))</f>
        <v>0.322275754660799</v>
      </c>
      <c r="D171" s="35" t="n">
        <f aca="true">MAX(0.06,NORMINV(RAND(),$B$8,$C$8))</f>
        <v>0.0995091805088857</v>
      </c>
      <c r="E171" s="55" t="n">
        <f aca="true">MAX(5,NORMINV(RAND(),$B$9,$C$9))</f>
        <v>9.50662499400261</v>
      </c>
      <c r="F171" s="28" t="n">
        <f aca="false">$B$18*(1+(B171+$B$17)/2)^9</f>
        <v>32984.5052440065</v>
      </c>
      <c r="G171" s="28" t="n">
        <f aca="false">F171*C171</f>
        <v>10630.1063196253</v>
      </c>
      <c r="H171" s="28" t="n">
        <f aca="false">E171*G171/(1+D171)^9</f>
        <v>43030.2859109899</v>
      </c>
      <c r="I171" s="28" t="n">
        <f aca="false">$B$13*G171/$B$12*((1+$B$8)/(1+D171))^4.5</f>
        <v>20770.7107977387</v>
      </c>
      <c r="J171" s="28" t="n">
        <f aca="false">H171+I171-$B$14-$B$19</f>
        <v>41138.6398394136</v>
      </c>
      <c r="K171" s="46" t="n">
        <f aca="false">J171/$B$15</f>
        <v>122.000711267537</v>
      </c>
    </row>
    <row r="172" customFormat="false" ht="15" hidden="false" customHeight="false" outlineLevel="0" collapsed="false">
      <c r="A172" s="54" t="n">
        <v>132</v>
      </c>
      <c r="B172" s="23" t="n">
        <f aca="true">NORMINV(RAND(),$B$6,$C$6)</f>
        <v>0.0599708596555685</v>
      </c>
      <c r="C172" s="23" t="n">
        <f aca="true">MAX(0.15,NORMINV(RAND(),$B$7,$C$7))</f>
        <v>0.347390721193999</v>
      </c>
      <c r="D172" s="35" t="n">
        <f aca="true">MAX(0.06,NORMINV(RAND(),$B$8,$C$8))</f>
        <v>0.0967249611329795</v>
      </c>
      <c r="E172" s="55" t="n">
        <f aca="true">MAX(5,NORMINV(RAND(),$B$9,$C$9))</f>
        <v>10.0853480027617</v>
      </c>
      <c r="F172" s="28" t="n">
        <f aca="false">$B$18*(1+(B172+$B$17)/2)^9</f>
        <v>33842.5946844774</v>
      </c>
      <c r="G172" s="28" t="n">
        <f aca="false">F172*C172</f>
        <v>11756.6033745168</v>
      </c>
      <c r="H172" s="28" t="n">
        <f aca="false">E172*G172/(1+D172)^9</f>
        <v>51652.7208678076</v>
      </c>
      <c r="I172" s="28" t="n">
        <f aca="false">$B$13*G172/$B$12*((1+$B$8)/(1+D172))^4.5</f>
        <v>23235.4298457072</v>
      </c>
      <c r="J172" s="28" t="n">
        <f aca="false">H172+I172-$B$14-$B$19</f>
        <v>52225.7938441997</v>
      </c>
      <c r="K172" s="46" t="n">
        <f aca="false">J172/$B$15</f>
        <v>154.880764662514</v>
      </c>
    </row>
    <row r="173" customFormat="false" ht="15" hidden="false" customHeight="false" outlineLevel="0" collapsed="false">
      <c r="A173" s="54" t="n">
        <v>133</v>
      </c>
      <c r="B173" s="23" t="n">
        <f aca="true">NORMINV(RAND(),$B$6,$C$6)</f>
        <v>0.0610022310631563</v>
      </c>
      <c r="C173" s="23" t="n">
        <f aca="true">MAX(0.15,NORMINV(RAND(),$B$7,$C$7))</f>
        <v>0.317022310576896</v>
      </c>
      <c r="D173" s="35" t="n">
        <f aca="true">MAX(0.06,NORMINV(RAND(),$B$8,$C$8))</f>
        <v>0.089424659796481</v>
      </c>
      <c r="E173" s="55" t="n">
        <f aca="true">MAX(5,NORMINV(RAND(),$B$9,$C$9))</f>
        <v>10.9844193285314</v>
      </c>
      <c r="F173" s="28" t="n">
        <f aca="false">$B$18*(1+(B173+$B$17)/2)^9</f>
        <v>33993.5612345241</v>
      </c>
      <c r="G173" s="28" t="n">
        <f aca="false">F173*C173</f>
        <v>10776.717327306</v>
      </c>
      <c r="H173" s="28" t="n">
        <f aca="false">E173*G173/(1+D173)^9</f>
        <v>54763.1953991367</v>
      </c>
      <c r="I173" s="28" t="n">
        <f aca="false">$B$13*G173/$B$12*((1+$B$8)/(1+D173))^4.5</f>
        <v>21948.644515401</v>
      </c>
      <c r="J173" s="28" t="n">
        <f aca="false">H173+I173-$B$14-$B$19</f>
        <v>54049.4830452226</v>
      </c>
      <c r="K173" s="46" t="n">
        <f aca="false">J173/$B$15</f>
        <v>160.289095626402</v>
      </c>
    </row>
    <row r="174" customFormat="false" ht="15" hidden="false" customHeight="false" outlineLevel="0" collapsed="false">
      <c r="A174" s="54" t="n">
        <v>134</v>
      </c>
      <c r="B174" s="23" t="n">
        <f aca="true">NORMINV(RAND(),$B$6,$C$6)</f>
        <v>0.0509055611590298</v>
      </c>
      <c r="C174" s="23" t="n">
        <f aca="true">MAX(0.15,NORMINV(RAND(),$B$7,$C$7))</f>
        <v>0.338572645292069</v>
      </c>
      <c r="D174" s="35" t="n">
        <f aca="true">MAX(0.06,NORMINV(RAND(),$B$8,$C$8))</f>
        <v>0.0816159305589337</v>
      </c>
      <c r="E174" s="55" t="n">
        <f aca="true">MAX(5,NORMINV(RAND(),$B$9,$C$9))</f>
        <v>7.56441542977496</v>
      </c>
      <c r="F174" s="28" t="n">
        <f aca="false">$B$18*(1+(B174+$B$17)/2)^9</f>
        <v>32541.0886713107</v>
      </c>
      <c r="G174" s="28" t="n">
        <f aca="false">F174*C174</f>
        <v>11017.5224721294</v>
      </c>
      <c r="H174" s="28" t="n">
        <f aca="false">E174*G174/(1+D174)^9</f>
        <v>41134.0659987252</v>
      </c>
      <c r="I174" s="28" t="n">
        <f aca="false">$B$13*G174/$B$12*((1+$B$8)/(1+D174))^4.5</f>
        <v>23177.3472252235</v>
      </c>
      <c r="J174" s="28" t="n">
        <f aca="false">H174+I174-$B$14-$B$19</f>
        <v>41649.0563546336</v>
      </c>
      <c r="K174" s="46" t="n">
        <f aca="false">J174/$B$15</f>
        <v>123.514402000693</v>
      </c>
    </row>
    <row r="175" customFormat="false" ht="15" hidden="false" customHeight="false" outlineLevel="0" collapsed="false">
      <c r="A175" s="54" t="n">
        <v>135</v>
      </c>
      <c r="B175" s="23" t="n">
        <f aca="true">NORMINV(RAND(),$B$6,$C$6)</f>
        <v>0.116992625951681</v>
      </c>
      <c r="C175" s="23" t="n">
        <f aca="true">MAX(0.15,NORMINV(RAND(),$B$7,$C$7))</f>
        <v>0.365615980661734</v>
      </c>
      <c r="D175" s="35" t="n">
        <f aca="true">MAX(0.06,NORMINV(RAND(),$B$8,$C$8))</f>
        <v>0.0781564752784237</v>
      </c>
      <c r="E175" s="55" t="n">
        <f aca="true">MAX(5,NORMINV(RAND(),$B$9,$C$9))</f>
        <v>11.1534889567795</v>
      </c>
      <c r="F175" s="28" t="n">
        <f aca="false">$B$18*(1+(B175+$B$17)/2)^9</f>
        <v>43144.5049128223</v>
      </c>
      <c r="G175" s="28" t="n">
        <f aca="false">F175*C175</f>
        <v>15774.3204738665</v>
      </c>
      <c r="H175" s="28" t="n">
        <f aca="false">E175*G175/(1+D175)^9</f>
        <v>89376.8905490017</v>
      </c>
      <c r="I175" s="28" t="n">
        <f aca="false">$B$13*G175/$B$12*((1+$B$8)/(1+D175))^4.5</f>
        <v>33665.9752629227</v>
      </c>
      <c r="J175" s="28" t="n">
        <f aca="false">H175+I175-$B$14-$B$19</f>
        <v>100380.508942609</v>
      </c>
      <c r="K175" s="46" t="n">
        <f aca="false">J175/$B$15</f>
        <v>297.688342059933</v>
      </c>
    </row>
    <row r="176" customFormat="false" ht="15" hidden="false" customHeight="false" outlineLevel="0" collapsed="false">
      <c r="A176" s="54" t="n">
        <v>136</v>
      </c>
      <c r="B176" s="23" t="n">
        <f aca="true">NORMINV(RAND(),$B$6,$C$6)</f>
        <v>0.102485198393614</v>
      </c>
      <c r="C176" s="23" t="n">
        <f aca="true">MAX(0.15,NORMINV(RAND(),$B$7,$C$7))</f>
        <v>0.28253742253558</v>
      </c>
      <c r="D176" s="35" t="n">
        <f aca="true">MAX(0.06,NORMINV(RAND(),$B$8,$C$8))</f>
        <v>0.10760233542009</v>
      </c>
      <c r="E176" s="55" t="n">
        <f aca="true">MAX(5,NORMINV(RAND(),$B$9,$C$9))</f>
        <v>11.3528967339711</v>
      </c>
      <c r="F176" s="28" t="n">
        <f aca="false">$B$18*(1+(B176+$B$17)/2)^9</f>
        <v>40584.7310611332</v>
      </c>
      <c r="G176" s="28" t="n">
        <f aca="false">F176*C176</f>
        <v>11466.7053083123</v>
      </c>
      <c r="H176" s="28" t="n">
        <f aca="false">E176*G176/(1+D176)^9</f>
        <v>51890.8247862696</v>
      </c>
      <c r="I176" s="28" t="n">
        <f aca="false">$B$13*G176/$B$12*((1+$B$8)/(1+D176))^4.5</f>
        <v>21678.0337953404</v>
      </c>
      <c r="J176" s="28" t="n">
        <f aca="false">H176+I176-$B$14-$B$19</f>
        <v>50906.501712295</v>
      </c>
      <c r="K176" s="46" t="n">
        <f aca="false">J176/$B$15</f>
        <v>150.968273168135</v>
      </c>
    </row>
    <row r="177" customFormat="false" ht="15" hidden="false" customHeight="false" outlineLevel="0" collapsed="false">
      <c r="A177" s="54" t="n">
        <v>137</v>
      </c>
      <c r="B177" s="23" t="n">
        <f aca="true">NORMINV(RAND(),$B$6,$C$6)</f>
        <v>0.0439285118478391</v>
      </c>
      <c r="C177" s="23" t="n">
        <f aca="true">MAX(0.15,NORMINV(RAND(),$B$7,$C$7))</f>
        <v>0.299110234717986</v>
      </c>
      <c r="D177" s="35" t="n">
        <f aca="true">MAX(0.06,NORMINV(RAND(),$B$8,$C$8))</f>
        <v>0.0819018257814273</v>
      </c>
      <c r="E177" s="55" t="n">
        <f aca="true">MAX(5,NORMINV(RAND(),$B$9,$C$9))</f>
        <v>7.26793934409842</v>
      </c>
      <c r="F177" s="28" t="n">
        <f aca="false">$B$18*(1+(B177+$B$17)/2)^9</f>
        <v>31569.8929400807</v>
      </c>
      <c r="G177" s="28" t="n">
        <f aca="false">F177*C177</f>
        <v>9442.87808732922</v>
      </c>
      <c r="H177" s="28" t="n">
        <f aca="false">E177*G177/(1+D177)^9</f>
        <v>33792.8634679916</v>
      </c>
      <c r="I177" s="28" t="n">
        <f aca="false">$B$13*G177/$B$12*((1+$B$8)/(1+D177))^4.5</f>
        <v>19841.18750506</v>
      </c>
      <c r="J177" s="28" t="n">
        <f aca="false">H177+I177-$B$14-$B$19</f>
        <v>30971.6941037365</v>
      </c>
      <c r="K177" s="46" t="n">
        <f aca="false">J177/$B$15</f>
        <v>91.8496266421605</v>
      </c>
    </row>
    <row r="178" customFormat="false" ht="15" hidden="false" customHeight="false" outlineLevel="0" collapsed="false">
      <c r="A178" s="54" t="n">
        <v>138</v>
      </c>
      <c r="B178" s="23" t="n">
        <f aca="true">NORMINV(RAND(),$B$6,$C$6)</f>
        <v>0.112040553154391</v>
      </c>
      <c r="C178" s="23" t="n">
        <f aca="true">MAX(0.15,NORMINV(RAND(),$B$7,$C$7))</f>
        <v>0.335963637544474</v>
      </c>
      <c r="D178" s="35" t="n">
        <f aca="true">MAX(0.06,NORMINV(RAND(),$B$8,$C$8))</f>
        <v>0.0930750409857811</v>
      </c>
      <c r="E178" s="55" t="n">
        <f aca="true">MAX(5,NORMINV(RAND(),$B$9,$C$9))</f>
        <v>10.9565880408513</v>
      </c>
      <c r="F178" s="28" t="n">
        <f aca="false">$B$18*(1+(B178+$B$17)/2)^9</f>
        <v>42255.049930405</v>
      </c>
      <c r="G178" s="28" t="n">
        <f aca="false">F178*C178</f>
        <v>14196.1602792422</v>
      </c>
      <c r="H178" s="28" t="n">
        <f aca="false">E178*G178/(1+D178)^9</f>
        <v>69822.6658517952</v>
      </c>
      <c r="I178" s="28" t="n">
        <f aca="false">$B$13*G178/$B$12*((1+$B$8)/(1+D178))^4.5</f>
        <v>28480.9593517356</v>
      </c>
      <c r="J178" s="28" t="n">
        <f aca="false">H178+I178-$B$14-$B$19</f>
        <v>75641.2683342158</v>
      </c>
      <c r="K178" s="46" t="n">
        <f aca="false">J178/$B$15</f>
        <v>224.321673589015</v>
      </c>
    </row>
    <row r="179" customFormat="false" ht="15" hidden="false" customHeight="false" outlineLevel="0" collapsed="false">
      <c r="A179" s="54" t="n">
        <v>139</v>
      </c>
      <c r="B179" s="23" t="n">
        <f aca="true">NORMINV(RAND(),$B$6,$C$6)</f>
        <v>0.055298993288996</v>
      </c>
      <c r="C179" s="23" t="n">
        <f aca="true">MAX(0.15,NORMINV(RAND(),$B$7,$C$7))</f>
        <v>0.253286869760498</v>
      </c>
      <c r="D179" s="35" t="n">
        <f aca="true">MAX(0.06,NORMINV(RAND(),$B$8,$C$8))</f>
        <v>0.0876603618992215</v>
      </c>
      <c r="E179" s="55" t="n">
        <f aca="true">MAX(5,NORMINV(RAND(),$B$9,$C$9))</f>
        <v>7.2949531715208</v>
      </c>
      <c r="F179" s="28" t="n">
        <f aca="false">$B$18*(1+(B179+$B$17)/2)^9</f>
        <v>33166.1894701825</v>
      </c>
      <c r="G179" s="28" t="n">
        <f aca="false">F179*C179</f>
        <v>8400.56031278611</v>
      </c>
      <c r="H179" s="28" t="n">
        <f aca="false">E179*G179/(1+D179)^9</f>
        <v>28766.7664830799</v>
      </c>
      <c r="I179" s="28" t="n">
        <f aca="false">$B$13*G179/$B$12*((1+$B$8)/(1+D179))^4.5</f>
        <v>17234.4336787876</v>
      </c>
      <c r="J179" s="28" t="n">
        <f aca="false">H179+I179-$B$14-$B$19</f>
        <v>23338.8432925525</v>
      </c>
      <c r="K179" s="46" t="n">
        <f aca="false">J179/$B$15</f>
        <v>69.2136515200252</v>
      </c>
    </row>
    <row r="180" customFormat="false" ht="15" hidden="false" customHeight="false" outlineLevel="0" collapsed="false">
      <c r="A180" s="54" t="n">
        <v>140</v>
      </c>
      <c r="B180" s="23" t="n">
        <f aca="true">NORMINV(RAND(),$B$6,$C$6)</f>
        <v>0.10259701849672</v>
      </c>
      <c r="C180" s="23" t="n">
        <f aca="true">MAX(0.15,NORMINV(RAND(),$B$7,$C$7))</f>
        <v>0.327662231612712</v>
      </c>
      <c r="D180" s="35" t="n">
        <f aca="true">MAX(0.06,NORMINV(RAND(),$B$8,$C$8))</f>
        <v>0.0855666281216976</v>
      </c>
      <c r="E180" s="55" t="n">
        <f aca="true">MAX(5,NORMINV(RAND(),$B$9,$C$9))</f>
        <v>11.7192142672247</v>
      </c>
      <c r="F180" s="28" t="n">
        <f aca="false">$B$18*(1+(B180+$B$17)/2)^9</f>
        <v>40603.9332099096</v>
      </c>
      <c r="G180" s="28" t="n">
        <f aca="false">F180*C180</f>
        <v>13304.3753678125</v>
      </c>
      <c r="H180" s="28" t="n">
        <f aca="false">E180*G180/(1+D180)^9</f>
        <v>74470.561440334</v>
      </c>
      <c r="I180" s="28" t="n">
        <f aca="false">$B$13*G180/$B$12*((1+$B$8)/(1+D180))^4.5</f>
        <v>27532.7081767075</v>
      </c>
      <c r="J180" s="28" t="n">
        <f aca="false">H180+I180-$B$14-$B$19</f>
        <v>79340.9127477264</v>
      </c>
      <c r="K180" s="46" t="n">
        <f aca="false">J180/$B$15</f>
        <v>235.29333555079</v>
      </c>
    </row>
    <row r="181" customFormat="false" ht="15" hidden="false" customHeight="false" outlineLevel="0" collapsed="false">
      <c r="A181" s="54" t="n">
        <v>141</v>
      </c>
      <c r="B181" s="23" t="n">
        <f aca="true">NORMINV(RAND(),$B$6,$C$6)</f>
        <v>0.0566947341859519</v>
      </c>
      <c r="C181" s="23" t="n">
        <f aca="true">MAX(0.15,NORMINV(RAND(),$B$7,$C$7))</f>
        <v>0.363571516232111</v>
      </c>
      <c r="D181" s="35" t="n">
        <f aca="true">MAX(0.06,NORMINV(RAND(),$B$8,$C$8))</f>
        <v>0.099662452956248</v>
      </c>
      <c r="E181" s="55" t="n">
        <f aca="true">MAX(5,NORMINV(RAND(),$B$9,$C$9))</f>
        <v>9.06412812078834</v>
      </c>
      <c r="F181" s="28" t="n">
        <f aca="false">$B$18*(1+(B181+$B$17)/2)^9</f>
        <v>33366.9983539847</v>
      </c>
      <c r="G181" s="28" t="n">
        <f aca="false">F181*C181</f>
        <v>12131.2901836726</v>
      </c>
      <c r="H181" s="28" t="n">
        <f aca="false">E181*G181/(1+D181)^9</f>
        <v>46762.5791943149</v>
      </c>
      <c r="I181" s="28" t="n">
        <f aca="false">$B$13*G181/$B$12*((1+$B$8)/(1+D181))^4.5</f>
        <v>23689.0871901715</v>
      </c>
      <c r="J181" s="28" t="n">
        <f aca="false">H181+I181-$B$14-$B$19</f>
        <v>47789.3095151714</v>
      </c>
      <c r="K181" s="46" t="n">
        <f aca="false">J181/$B$15</f>
        <v>141.723930946534</v>
      </c>
    </row>
    <row r="182" customFormat="false" ht="15" hidden="false" customHeight="false" outlineLevel="0" collapsed="false">
      <c r="A182" s="54" t="n">
        <v>142</v>
      </c>
      <c r="B182" s="23" t="n">
        <f aca="true">NORMINV(RAND(),$B$6,$C$6)</f>
        <v>0.107538854194416</v>
      </c>
      <c r="C182" s="23" t="n">
        <f aca="true">MAX(0.15,NORMINV(RAND(),$B$7,$C$7))</f>
        <v>0.388061005526931</v>
      </c>
      <c r="D182" s="35" t="n">
        <f aca="true">MAX(0.06,NORMINV(RAND(),$B$8,$C$8))</f>
        <v>0.0973381979576131</v>
      </c>
      <c r="E182" s="55" t="n">
        <f aca="true">MAX(5,NORMINV(RAND(),$B$9,$C$9))</f>
        <v>9.86603321352205</v>
      </c>
      <c r="F182" s="28" t="n">
        <f aca="false">$B$18*(1+(B182+$B$17)/2)^9</f>
        <v>41460.6704672141</v>
      </c>
      <c r="G182" s="28" t="n">
        <f aca="false">F182*C182</f>
        <v>16089.2694713278</v>
      </c>
      <c r="H182" s="28" t="n">
        <f aca="false">E182*G182/(1+D182)^9</f>
        <v>68804.1168554194</v>
      </c>
      <c r="I182" s="28" t="n">
        <f aca="false">$B$13*G182/$B$12*((1+$B$8)/(1+D182))^4.5</f>
        <v>31718.5049583242</v>
      </c>
      <c r="J182" s="28" t="n">
        <f aca="false">H182+I182-$B$14-$B$19</f>
        <v>77860.2649444285</v>
      </c>
      <c r="K182" s="46" t="n">
        <f aca="false">J182/$B$15</f>
        <v>230.902327830452</v>
      </c>
    </row>
    <row r="183" customFormat="false" ht="15" hidden="false" customHeight="false" outlineLevel="0" collapsed="false">
      <c r="A183" s="54" t="n">
        <v>143</v>
      </c>
      <c r="B183" s="23" t="n">
        <f aca="true">NORMINV(RAND(),$B$6,$C$6)</f>
        <v>0.112216204964555</v>
      </c>
      <c r="C183" s="23" t="n">
        <f aca="true">MAX(0.15,NORMINV(RAND(),$B$7,$C$7))</f>
        <v>0.33200802813892</v>
      </c>
      <c r="D183" s="35" t="n">
        <f aca="true">MAX(0.06,NORMINV(RAND(),$B$8,$C$8))</f>
        <v>0.0896522312546276</v>
      </c>
      <c r="E183" s="55" t="n">
        <f aca="true">MAX(5,NORMINV(RAND(),$B$9,$C$9))</f>
        <v>10.113631561985</v>
      </c>
      <c r="F183" s="28" t="n">
        <f aca="false">$B$18*(1+(B183+$B$17)/2)^9</f>
        <v>42286.3181954273</v>
      </c>
      <c r="G183" s="28" t="n">
        <f aca="false">F183*C183</f>
        <v>14039.3971213188</v>
      </c>
      <c r="H183" s="28" t="n">
        <f aca="false">E183*G183/(1+D183)^9</f>
        <v>65563.8389297879</v>
      </c>
      <c r="I183" s="28" t="n">
        <f aca="false">$B$13*G183/$B$12*((1+$B$8)/(1+D183))^4.5</f>
        <v>28566.7920111788</v>
      </c>
      <c r="J183" s="28" t="n">
        <f aca="false">H183+I183-$B$14-$B$19</f>
        <v>71468.2740716516</v>
      </c>
      <c r="K183" s="46" t="n">
        <f aca="false">J183/$B$15</f>
        <v>211.946245764091</v>
      </c>
    </row>
    <row r="184" customFormat="false" ht="15" hidden="false" customHeight="false" outlineLevel="0" collapsed="false">
      <c r="A184" s="54" t="n">
        <v>144</v>
      </c>
      <c r="B184" s="23" t="n">
        <f aca="true">NORMINV(RAND(),$B$6,$C$6)</f>
        <v>0.0561535641153833</v>
      </c>
      <c r="C184" s="23" t="n">
        <f aca="true">MAX(0.15,NORMINV(RAND(),$B$7,$C$7))</f>
        <v>0.338054087865381</v>
      </c>
      <c r="D184" s="35" t="n">
        <f aca="true">MAX(0.06,NORMINV(RAND(),$B$8,$C$8))</f>
        <v>0.0906112646122743</v>
      </c>
      <c r="E184" s="55" t="n">
        <f aca="true">MAX(5,NORMINV(RAND(),$B$9,$C$9))</f>
        <v>11.1159644583634</v>
      </c>
      <c r="F184" s="28" t="n">
        <f aca="false">$B$18*(1+(B184+$B$17)/2)^9</f>
        <v>33289.0108883226</v>
      </c>
      <c r="G184" s="28" t="n">
        <f aca="false">F184*C184</f>
        <v>11253.4862117926</v>
      </c>
      <c r="H184" s="28" t="n">
        <f aca="false">E184*G184/(1+D184)^9</f>
        <v>57306.5707645532</v>
      </c>
      <c r="I184" s="28" t="n">
        <f aca="false">$B$13*G184/$B$12*((1+$B$8)/(1+D184))^4.5</f>
        <v>22807.663535792</v>
      </c>
      <c r="J184" s="28" t="n">
        <f aca="false">H184+I184-$B$14-$B$19</f>
        <v>57451.8774310302</v>
      </c>
      <c r="K184" s="46" t="n">
        <f aca="false">J184/$B$15</f>
        <v>170.379233188108</v>
      </c>
    </row>
    <row r="185" customFormat="false" ht="15" hidden="false" customHeight="false" outlineLevel="0" collapsed="false">
      <c r="A185" s="54" t="n">
        <v>145</v>
      </c>
      <c r="B185" s="23" t="n">
        <f aca="true">NORMINV(RAND(),$B$6,$C$6)</f>
        <v>0.0914245155177603</v>
      </c>
      <c r="C185" s="23" t="n">
        <f aca="true">MAX(0.15,NORMINV(RAND(),$B$7,$C$7))</f>
        <v>0.325439727952576</v>
      </c>
      <c r="D185" s="35" t="n">
        <f aca="true">MAX(0.06,NORMINV(RAND(),$B$8,$C$8))</f>
        <v>0.10202400876167</v>
      </c>
      <c r="E185" s="55" t="n">
        <f aca="true">MAX(5,NORMINV(RAND(),$B$9,$C$9))</f>
        <v>10.0679465416443</v>
      </c>
      <c r="F185" s="28" t="n">
        <f aca="false">$B$18*(1+(B185+$B$17)/2)^9</f>
        <v>38724.7657152619</v>
      </c>
      <c r="G185" s="28" t="n">
        <f aca="false">F185*C185</f>
        <v>12602.5772194021</v>
      </c>
      <c r="H185" s="28" t="n">
        <f aca="false">E185*G185/(1+D185)^9</f>
        <v>52927.4246300395</v>
      </c>
      <c r="I185" s="28" t="n">
        <f aca="false">$B$13*G185/$B$12*((1+$B$8)/(1+D185))^4.5</f>
        <v>24372.9576881815</v>
      </c>
      <c r="J185" s="28" t="n">
        <f aca="false">H185+I185-$B$14-$B$19</f>
        <v>54638.0254489059</v>
      </c>
      <c r="K185" s="46" t="n">
        <f aca="false">J185/$B$15</f>
        <v>162.034476420243</v>
      </c>
    </row>
    <row r="186" customFormat="false" ht="15" hidden="false" customHeight="false" outlineLevel="0" collapsed="false">
      <c r="A186" s="54" t="n">
        <v>146</v>
      </c>
      <c r="B186" s="23" t="n">
        <f aca="true">NORMINV(RAND(),$B$6,$C$6)</f>
        <v>0.11146023079628</v>
      </c>
      <c r="C186" s="23" t="n">
        <f aca="true">MAX(0.15,NORMINV(RAND(),$B$7,$C$7))</f>
        <v>0.320907658675486</v>
      </c>
      <c r="D186" s="35" t="n">
        <f aca="true">MAX(0.06,NORMINV(RAND(),$B$8,$C$8))</f>
        <v>0.082132450272093</v>
      </c>
      <c r="E186" s="55" t="n">
        <f aca="true">MAX(5,NORMINV(RAND(),$B$9,$C$9))</f>
        <v>12.3595781291809</v>
      </c>
      <c r="F186" s="28" t="n">
        <f aca="false">$B$18*(1+(B186+$B$17)/2)^9</f>
        <v>42151.8912037353</v>
      </c>
      <c r="G186" s="28" t="n">
        <f aca="false">F186*C186</f>
        <v>13526.8647149345</v>
      </c>
      <c r="H186" s="28" t="n">
        <f aca="false">E186*G186/(1+D186)^9</f>
        <v>82163.1363021366</v>
      </c>
      <c r="I186" s="28" t="n">
        <f aca="false">$B$13*G186/$B$12*((1+$B$8)/(1+D186))^4.5</f>
        <v>28395.130843719</v>
      </c>
      <c r="J186" s="28" t="n">
        <f aca="false">H186+I186-$B$14-$B$19</f>
        <v>87895.9102765405</v>
      </c>
      <c r="K186" s="46" t="n">
        <f aca="false">J186/$B$15</f>
        <v>260.664028103619</v>
      </c>
    </row>
    <row r="187" customFormat="false" ht="15" hidden="false" customHeight="false" outlineLevel="0" collapsed="false">
      <c r="A187" s="54" t="n">
        <v>147</v>
      </c>
      <c r="B187" s="23" t="n">
        <f aca="true">NORMINV(RAND(),$B$6,$C$6)</f>
        <v>0.0951564445876775</v>
      </c>
      <c r="C187" s="23" t="n">
        <f aca="true">MAX(0.15,NORMINV(RAND(),$B$7,$C$7))</f>
        <v>0.312783097406814</v>
      </c>
      <c r="D187" s="35" t="n">
        <f aca="true">MAX(0.06,NORMINV(RAND(),$B$8,$C$8))</f>
        <v>0.0869812868828185</v>
      </c>
      <c r="E187" s="55" t="n">
        <f aca="true">MAX(5,NORMINV(RAND(),$B$9,$C$9))</f>
        <v>9.21748246911211</v>
      </c>
      <c r="F187" s="28" t="n">
        <f aca="false">$B$18*(1+(B187+$B$17)/2)^9</f>
        <v>39343.6748578892</v>
      </c>
      <c r="G187" s="28" t="n">
        <f aca="false">F187*C187</f>
        <v>12306.0364854172</v>
      </c>
      <c r="H187" s="28" t="n">
        <f aca="false">E187*G187/(1+D187)^9</f>
        <v>53546.6013950356</v>
      </c>
      <c r="I187" s="28" t="n">
        <f aca="false">$B$13*G187/$B$12*((1+$B$8)/(1+D187))^4.5</f>
        <v>25317.8903677423</v>
      </c>
      <c r="J187" s="28" t="n">
        <f aca="false">H187+I187-$B$14-$B$19</f>
        <v>56202.1348934628</v>
      </c>
      <c r="K187" s="46" t="n">
        <f aca="false">J187/$B$15</f>
        <v>166.672997904694</v>
      </c>
    </row>
    <row r="188" customFormat="false" ht="15" hidden="false" customHeight="false" outlineLevel="0" collapsed="false">
      <c r="A188" s="54" t="n">
        <v>148</v>
      </c>
      <c r="B188" s="23" t="n">
        <f aca="true">NORMINV(RAND(),$B$6,$C$6)</f>
        <v>0.0969851223873505</v>
      </c>
      <c r="C188" s="23" t="n">
        <f aca="true">MAX(0.15,NORMINV(RAND(),$B$7,$C$7))</f>
        <v>0.312928029025104</v>
      </c>
      <c r="D188" s="35" t="n">
        <f aca="true">MAX(0.06,NORMINV(RAND(),$B$8,$C$8))</f>
        <v>0.0902450205198893</v>
      </c>
      <c r="E188" s="55" t="n">
        <f aca="true">MAX(5,NORMINV(RAND(),$B$9,$C$9))</f>
        <v>10.8866707315223</v>
      </c>
      <c r="F188" s="28" t="n">
        <f aca="false">$B$18*(1+(B188+$B$17)/2)^9</f>
        <v>39650.1431141401</v>
      </c>
      <c r="G188" s="28" t="n">
        <f aca="false">F188*C188</f>
        <v>12407.6411352712</v>
      </c>
      <c r="H188" s="28" t="n">
        <f aca="false">E188*G188/(1+D188)^9</f>
        <v>62067.936282038</v>
      </c>
      <c r="I188" s="28" t="n">
        <f aca="false">$B$13*G188/$B$12*((1+$B$8)/(1+D188))^4.5</f>
        <v>25184.8484065598</v>
      </c>
      <c r="J188" s="28" t="n">
        <f aca="false">H188+I188-$B$14-$B$19</f>
        <v>64590.4278192827</v>
      </c>
      <c r="K188" s="46" t="n">
        <f aca="false">J188/$B$15</f>
        <v>191.549311445085</v>
      </c>
    </row>
    <row r="189" customFormat="false" ht="15" hidden="false" customHeight="false" outlineLevel="0" collapsed="false">
      <c r="A189" s="54" t="n">
        <v>149</v>
      </c>
      <c r="B189" s="23" t="n">
        <f aca="true">NORMINV(RAND(),$B$6,$C$6)</f>
        <v>0.0452679108481401</v>
      </c>
      <c r="C189" s="23" t="n">
        <f aca="true">MAX(0.15,NORMINV(RAND(),$B$7,$C$7))</f>
        <v>0.310090992824629</v>
      </c>
      <c r="D189" s="35" t="n">
        <f aca="true">MAX(0.06,NORMINV(RAND(),$B$8,$C$8))</f>
        <v>0.0949906826638436</v>
      </c>
      <c r="E189" s="55" t="n">
        <f aca="true">MAX(5,NORMINV(RAND(),$B$9,$C$9))</f>
        <v>11.5080348078408</v>
      </c>
      <c r="F189" s="28" t="n">
        <f aca="false">$B$18*(1+(B189+$B$17)/2)^9</f>
        <v>31754.3116478359</v>
      </c>
      <c r="G189" s="28" t="n">
        <f aca="false">F189*C189</f>
        <v>9846.72602534009</v>
      </c>
      <c r="H189" s="28" t="n">
        <f aca="false">E189*G189/(1+D189)^9</f>
        <v>50072.4921701206</v>
      </c>
      <c r="I189" s="28" t="n">
        <f aca="false">$B$13*G189/$B$12*((1+$B$8)/(1+D189))^4.5</f>
        <v>19599.8870052535</v>
      </c>
      <c r="J189" s="28" t="n">
        <f aca="false">H189+I189-$B$14-$B$19</f>
        <v>47010.022306059</v>
      </c>
      <c r="K189" s="46" t="n">
        <f aca="false">J189/$B$15</f>
        <v>139.412877538728</v>
      </c>
    </row>
    <row r="190" customFormat="false" ht="15" hidden="false" customHeight="false" outlineLevel="0" collapsed="false">
      <c r="A190" s="54" t="n">
        <v>150</v>
      </c>
      <c r="B190" s="23" t="n">
        <f aca="true">NORMINV(RAND(),$B$6,$C$6)</f>
        <v>0.144293230761684</v>
      </c>
      <c r="C190" s="23" t="n">
        <f aca="true">MAX(0.15,NORMINV(RAND(),$B$7,$C$7))</f>
        <v>0.319034132619547</v>
      </c>
      <c r="D190" s="35" t="n">
        <f aca="true">MAX(0.06,NORMINV(RAND(),$B$8,$C$8))</f>
        <v>0.0903252304783288</v>
      </c>
      <c r="E190" s="55" t="n">
        <f aca="true">MAX(5,NORMINV(RAND(),$B$9,$C$9))</f>
        <v>6.66947932968021</v>
      </c>
      <c r="F190" s="28" t="n">
        <f aca="false">$B$18*(1+(B190+$B$17)/2)^9</f>
        <v>48353.5201904578</v>
      </c>
      <c r="G190" s="28" t="n">
        <f aca="false">F190*C190</f>
        <v>15426.4233730645</v>
      </c>
      <c r="H190" s="28" t="n">
        <f aca="false">E190*G190/(1+D190)^9</f>
        <v>47244.6482525454</v>
      </c>
      <c r="I190" s="28" t="n">
        <f aca="false">$B$13*G190/$B$12*((1+$B$8)/(1+D190))^4.5</f>
        <v>31301.9640161326</v>
      </c>
      <c r="J190" s="28" t="n">
        <f aca="false">H190+I190-$B$14-$B$19</f>
        <v>55884.2553993629</v>
      </c>
      <c r="K190" s="46" t="n">
        <f aca="false">J190/$B$15</f>
        <v>165.730294778656</v>
      </c>
    </row>
    <row r="191" customFormat="false" ht="15" hidden="false" customHeight="false" outlineLevel="0" collapsed="false">
      <c r="A191" s="54" t="n">
        <v>151</v>
      </c>
      <c r="B191" s="23" t="n">
        <f aca="true">NORMINV(RAND(),$B$6,$C$6)</f>
        <v>0.109582882702218</v>
      </c>
      <c r="C191" s="23" t="n">
        <f aca="true">MAX(0.15,NORMINV(RAND(),$B$7,$C$7))</f>
        <v>0.355874169792289</v>
      </c>
      <c r="D191" s="35" t="n">
        <f aca="true">MAX(0.06,NORMINV(RAND(),$B$8,$C$8))</f>
        <v>0.0961187237468049</v>
      </c>
      <c r="E191" s="55" t="n">
        <f aca="true">MAX(5,NORMINV(RAND(),$B$9,$C$9))</f>
        <v>13.3462450188747</v>
      </c>
      <c r="F191" s="28" t="n">
        <f aca="false">$B$18*(1+(B191+$B$17)/2)^9</f>
        <v>41819.7035221107</v>
      </c>
      <c r="G191" s="28" t="n">
        <f aca="false">F191*C191</f>
        <v>14882.5522718908</v>
      </c>
      <c r="H191" s="28" t="n">
        <f aca="false">E191*G191/(1+D191)^9</f>
        <v>86959.7220422633</v>
      </c>
      <c r="I191" s="28" t="n">
        <f aca="false">$B$13*G191/$B$12*((1+$B$8)/(1+D191))^4.5</f>
        <v>29486.7462971012</v>
      </c>
      <c r="J191" s="28" t="n">
        <f aca="false">H191+I191-$B$14-$B$19</f>
        <v>93784.1114700494</v>
      </c>
      <c r="K191" s="46" t="n">
        <f aca="false">J191/$B$15</f>
        <v>278.126071975236</v>
      </c>
    </row>
    <row r="192" customFormat="false" ht="15" hidden="false" customHeight="false" outlineLevel="0" collapsed="false">
      <c r="A192" s="54" t="n">
        <v>152</v>
      </c>
      <c r="B192" s="23" t="n">
        <f aca="true">NORMINV(RAND(),$B$6,$C$6)</f>
        <v>0.0709542668473774</v>
      </c>
      <c r="C192" s="23" t="n">
        <f aca="true">MAX(0.15,NORMINV(RAND(),$B$7,$C$7))</f>
        <v>0.314263912958045</v>
      </c>
      <c r="D192" s="35" t="n">
        <f aca="true">MAX(0.06,NORMINV(RAND(),$B$8,$C$8))</f>
        <v>0.0946383611527035</v>
      </c>
      <c r="E192" s="55" t="n">
        <f aca="true">MAX(5,NORMINV(RAND(),$B$9,$C$9))</f>
        <v>10.976752296232</v>
      </c>
      <c r="F192" s="28" t="n">
        <f aca="false">$B$18*(1+(B192+$B$17)/2)^9</f>
        <v>35481.3362526611</v>
      </c>
      <c r="G192" s="28" t="n">
        <f aca="false">F192*C192</f>
        <v>11150.5035677414</v>
      </c>
      <c r="H192" s="28" t="n">
        <f aca="false">E192*G192/(1+D192)^9</f>
        <v>54241.5849504921</v>
      </c>
      <c r="I192" s="28" t="n">
        <f aca="false">$B$13*G192/$B$12*((1+$B$8)/(1+D192))^4.5</f>
        <v>22227.2182747122</v>
      </c>
      <c r="J192" s="28" t="n">
        <f aca="false">H192+I192-$B$14-$B$19</f>
        <v>53806.4463558892</v>
      </c>
      <c r="K192" s="46" t="n">
        <f aca="false">J192/$B$15</f>
        <v>159.568346251154</v>
      </c>
    </row>
    <row r="193" customFormat="false" ht="15" hidden="false" customHeight="false" outlineLevel="0" collapsed="false">
      <c r="A193" s="54" t="n">
        <v>153</v>
      </c>
      <c r="B193" s="23" t="n">
        <f aca="true">NORMINV(RAND(),$B$6,$C$6)</f>
        <v>0.111077786062007</v>
      </c>
      <c r="C193" s="23" t="n">
        <f aca="true">MAX(0.15,NORMINV(RAND(),$B$7,$C$7))</f>
        <v>0.310483909057161</v>
      </c>
      <c r="D193" s="35" t="n">
        <f aca="true">MAX(0.06,NORMINV(RAND(),$B$8,$C$8))</f>
        <v>0.084612379832325</v>
      </c>
      <c r="E193" s="55" t="n">
        <f aca="true">MAX(5,NORMINV(RAND(),$B$9,$C$9))</f>
        <v>8.5227422292786</v>
      </c>
      <c r="F193" s="28" t="n">
        <f aca="false">$B$18*(1+(B193+$B$17)/2)^9</f>
        <v>42084.0298536639</v>
      </c>
      <c r="G193" s="28" t="n">
        <f aca="false">F193*C193</f>
        <v>13066.4140978438</v>
      </c>
      <c r="H193" s="28" t="n">
        <f aca="false">E193*G193/(1+D193)^9</f>
        <v>53612.3391542698</v>
      </c>
      <c r="I193" s="28" t="n">
        <f aca="false">$B$13*G193/$B$12*((1+$B$8)/(1+D193))^4.5</f>
        <v>27147.4805404297</v>
      </c>
      <c r="J193" s="28" t="n">
        <f aca="false">H193+I193-$B$14-$B$19</f>
        <v>58097.4628253844</v>
      </c>
      <c r="K193" s="46" t="n">
        <f aca="false">J193/$B$15</f>
        <v>172.29378062095</v>
      </c>
    </row>
    <row r="194" customFormat="false" ht="15" hidden="false" customHeight="false" outlineLevel="0" collapsed="false">
      <c r="A194" s="54" t="n">
        <v>154</v>
      </c>
      <c r="B194" s="23" t="n">
        <f aca="true">NORMINV(RAND(),$B$6,$C$6)</f>
        <v>0.0910691532990373</v>
      </c>
      <c r="C194" s="23" t="n">
        <f aca="true">MAX(0.15,NORMINV(RAND(),$B$7,$C$7))</f>
        <v>0.306873432948601</v>
      </c>
      <c r="D194" s="35" t="n">
        <f aca="true">MAX(0.06,NORMINV(RAND(),$B$8,$C$8))</f>
        <v>0.100352418245089</v>
      </c>
      <c r="E194" s="55" t="n">
        <f aca="true">MAX(5,NORMINV(RAND(),$B$9,$C$9))</f>
        <v>7.98922080968874</v>
      </c>
      <c r="F194" s="28" t="n">
        <f aca="false">$B$18*(1+(B194+$B$17)/2)^9</f>
        <v>38666.2856148227</v>
      </c>
      <c r="G194" s="28" t="n">
        <f aca="false">F194*C194</f>
        <v>11865.6558059918</v>
      </c>
      <c r="H194" s="28" t="n">
        <f aca="false">E194*G194/(1+D194)^9</f>
        <v>40087.5902586974</v>
      </c>
      <c r="I194" s="28" t="n">
        <f aca="false">$B$13*G194/$B$12*((1+$B$8)/(1+D194))^4.5</f>
        <v>23105.0682918599</v>
      </c>
      <c r="J194" s="28" t="n">
        <f aca="false">H194+I194-$B$14-$B$19</f>
        <v>40530.3016812423</v>
      </c>
      <c r="K194" s="46" t="n">
        <f aca="false">J194/$B$15</f>
        <v>120.196624202972</v>
      </c>
    </row>
    <row r="195" customFormat="false" ht="15" hidden="false" customHeight="false" outlineLevel="0" collapsed="false">
      <c r="A195" s="54" t="n">
        <v>155</v>
      </c>
      <c r="B195" s="23" t="n">
        <f aca="true">NORMINV(RAND(),$B$6,$C$6)</f>
        <v>0.109909092534708</v>
      </c>
      <c r="C195" s="23" t="n">
        <f aca="true">MAX(0.15,NORMINV(RAND(),$B$7,$C$7))</f>
        <v>0.324413019919342</v>
      </c>
      <c r="D195" s="35" t="n">
        <f aca="true">MAX(0.06,NORMINV(RAND(),$B$8,$C$8))</f>
        <v>0.092657673085078</v>
      </c>
      <c r="E195" s="55" t="n">
        <f aca="true">MAX(5,NORMINV(RAND(),$B$9,$C$9))</f>
        <v>8.42601717324708</v>
      </c>
      <c r="F195" s="28" t="n">
        <f aca="false">$B$18*(1+(B195+$B$17)/2)^9</f>
        <v>41877.257185864</v>
      </c>
      <c r="G195" s="28" t="n">
        <f aca="false">F195*C195</f>
        <v>13585.5274696051</v>
      </c>
      <c r="H195" s="28" t="n">
        <f aca="false">E195*G195/(1+D195)^9</f>
        <v>51563.4260805086</v>
      </c>
      <c r="I195" s="28" t="n">
        <f aca="false">$B$13*G195/$B$12*((1+$B$8)/(1+D195))^4.5</f>
        <v>27302.7621472202</v>
      </c>
      <c r="J195" s="28" t="n">
        <f aca="false">H195+I195-$B$14-$B$19</f>
        <v>56203.8313584137</v>
      </c>
      <c r="K195" s="46" t="n">
        <f aca="false">J195/$B$15</f>
        <v>166.678028939542</v>
      </c>
    </row>
    <row r="196" customFormat="false" ht="15" hidden="false" customHeight="false" outlineLevel="0" collapsed="false">
      <c r="A196" s="54" t="n">
        <v>156</v>
      </c>
      <c r="B196" s="23" t="n">
        <f aca="true">NORMINV(RAND(),$B$6,$C$6)</f>
        <v>0.137114264618247</v>
      </c>
      <c r="C196" s="23" t="n">
        <f aca="true">MAX(0.15,NORMINV(RAND(),$B$7,$C$7))</f>
        <v>0.313371337710497</v>
      </c>
      <c r="D196" s="35" t="n">
        <f aca="true">MAX(0.06,NORMINV(RAND(),$B$8,$C$8))</f>
        <v>0.0977151212846159</v>
      </c>
      <c r="E196" s="55" t="n">
        <f aca="true">MAX(5,NORMINV(RAND(),$B$9,$C$9))</f>
        <v>9.23715540460905</v>
      </c>
      <c r="F196" s="28" t="n">
        <f aca="false">$B$18*(1+(B196+$B$17)/2)^9</f>
        <v>46932.2662518121</v>
      </c>
      <c r="G196" s="28" t="n">
        <f aca="false">F196*C196</f>
        <v>14707.2270571155</v>
      </c>
      <c r="H196" s="28" t="n">
        <f aca="false">E196*G196/(1+D196)^9</f>
        <v>58703.2609290653</v>
      </c>
      <c r="I196" s="28" t="n">
        <f aca="false">$B$13*G196/$B$12*((1+$B$8)/(1+D196))^4.5</f>
        <v>28949.1627025077</v>
      </c>
      <c r="J196" s="28" t="n">
        <f aca="false">H196+I196-$B$14-$B$19</f>
        <v>64990.066762258</v>
      </c>
      <c r="K196" s="46" t="n">
        <f aca="false">J196/$B$15</f>
        <v>192.734480315119</v>
      </c>
    </row>
    <row r="197" customFormat="false" ht="15" hidden="false" customHeight="false" outlineLevel="0" collapsed="false">
      <c r="A197" s="54" t="n">
        <v>157</v>
      </c>
      <c r="B197" s="23" t="n">
        <f aca="true">NORMINV(RAND(),$B$6,$C$6)</f>
        <v>0.0641739675969296</v>
      </c>
      <c r="C197" s="23" t="n">
        <f aca="true">MAX(0.15,NORMINV(RAND(),$B$7,$C$7))</f>
        <v>0.341650411422916</v>
      </c>
      <c r="D197" s="35" t="n">
        <f aca="true">MAX(0.06,NORMINV(RAND(),$B$8,$C$8))</f>
        <v>0.0824459737794686</v>
      </c>
      <c r="E197" s="55" t="n">
        <f aca="true">MAX(5,NORMINV(RAND(),$B$9,$C$9))</f>
        <v>11.7120120407395</v>
      </c>
      <c r="F197" s="28" t="n">
        <f aca="false">$B$18*(1+(B197+$B$17)/2)^9</f>
        <v>34461.5810056459</v>
      </c>
      <c r="G197" s="28" t="n">
        <f aca="false">F197*C197</f>
        <v>11773.8133288631</v>
      </c>
      <c r="H197" s="28" t="n">
        <f aca="false">E197*G197/(1+D197)^9</f>
        <v>67591.57892295</v>
      </c>
      <c r="I197" s="28" t="n">
        <f aca="false">$B$13*G197/$B$12*((1+$B$8)/(1+D197))^4.5</f>
        <v>24682.9881010239</v>
      </c>
      <c r="J197" s="28" t="n">
        <f aca="false">H197+I197-$B$14-$B$19</f>
        <v>69612.2101546588</v>
      </c>
      <c r="K197" s="46" t="n">
        <f aca="false">J197/$B$15</f>
        <v>206.441904373247</v>
      </c>
    </row>
    <row r="198" customFormat="false" ht="15" hidden="false" customHeight="false" outlineLevel="0" collapsed="false">
      <c r="A198" s="54" t="n">
        <v>158</v>
      </c>
      <c r="B198" s="23" t="n">
        <f aca="true">NORMINV(RAND(),$B$6,$C$6)</f>
        <v>0.0730452235349503</v>
      </c>
      <c r="C198" s="23" t="n">
        <f aca="true">MAX(0.15,NORMINV(RAND(),$B$7,$C$7))</f>
        <v>0.299494998468178</v>
      </c>
      <c r="D198" s="35" t="n">
        <f aca="true">MAX(0.06,NORMINV(RAND(),$B$8,$C$8))</f>
        <v>0.102840472291168</v>
      </c>
      <c r="E198" s="55" t="n">
        <f aca="true">MAX(5,NORMINV(RAND(),$B$9,$C$9))</f>
        <v>7.36737332299998</v>
      </c>
      <c r="F198" s="28" t="n">
        <f aca="false">$B$18*(1+(B198+$B$17)/2)^9</f>
        <v>35801.1810734548</v>
      </c>
      <c r="G198" s="28" t="n">
        <f aca="false">F198*C198</f>
        <v>10722.2746707533</v>
      </c>
      <c r="H198" s="28" t="n">
        <f aca="false">E198*G198/(1+D198)^9</f>
        <v>32732.9649450031</v>
      </c>
      <c r="I198" s="28" t="n">
        <f aca="false">$B$13*G198/$B$12*((1+$B$8)/(1+D198))^4.5</f>
        <v>20667.522469733</v>
      </c>
      <c r="J198" s="28" t="n">
        <f aca="false">H198+I198-$B$14-$B$19</f>
        <v>30738.130545421</v>
      </c>
      <c r="K198" s="46" t="n">
        <f aca="false">J198/$B$15</f>
        <v>91.1569707752699</v>
      </c>
    </row>
    <row r="199" customFormat="false" ht="15" hidden="false" customHeight="false" outlineLevel="0" collapsed="false">
      <c r="A199" s="54" t="n">
        <v>159</v>
      </c>
      <c r="B199" s="23" t="n">
        <f aca="true">NORMINV(RAND(),$B$6,$C$6)</f>
        <v>0.103824853707449</v>
      </c>
      <c r="C199" s="23" t="n">
        <f aca="true">MAX(0.15,NORMINV(RAND(),$B$7,$C$7))</f>
        <v>0.355942094522721</v>
      </c>
      <c r="D199" s="35" t="n">
        <f aca="true">MAX(0.06,NORMINV(RAND(),$B$8,$C$8))</f>
        <v>0.0867492750522346</v>
      </c>
      <c r="E199" s="55" t="n">
        <f aca="true">MAX(5,NORMINV(RAND(),$B$9,$C$9))</f>
        <v>8.59210525283323</v>
      </c>
      <c r="F199" s="28" t="n">
        <f aca="false">$B$18*(1+(B199+$B$17)/2)^9</f>
        <v>40815.3132820884</v>
      </c>
      <c r="G199" s="28" t="n">
        <f aca="false">F199*C199</f>
        <v>14527.8880982276</v>
      </c>
      <c r="H199" s="28" t="n">
        <f aca="false">E199*G199/(1+D199)^9</f>
        <v>59038.8435691631</v>
      </c>
      <c r="I199" s="28" t="n">
        <f aca="false">$B$13*G199/$B$12*((1+$B$8)/(1+D199))^4.5</f>
        <v>29917.7542197917</v>
      </c>
      <c r="J199" s="28" t="n">
        <f aca="false">H199+I199-$B$14-$B$19</f>
        <v>66294.2409196397</v>
      </c>
      <c r="K199" s="46" t="n">
        <f aca="false">J199/$B$15</f>
        <v>196.602137958599</v>
      </c>
    </row>
    <row r="200" customFormat="false" ht="15" hidden="false" customHeight="false" outlineLevel="0" collapsed="false">
      <c r="A200" s="54" t="n">
        <v>160</v>
      </c>
      <c r="B200" s="23" t="n">
        <f aca="true">NORMINV(RAND(),$B$6,$C$6)</f>
        <v>0.0720717263387666</v>
      </c>
      <c r="C200" s="23" t="n">
        <f aca="true">MAX(0.15,NORMINV(RAND(),$B$7,$C$7))</f>
        <v>0.293925246952682</v>
      </c>
      <c r="D200" s="35" t="n">
        <f aca="true">MAX(0.06,NORMINV(RAND(),$B$8,$C$8))</f>
        <v>0.0853438262375206</v>
      </c>
      <c r="E200" s="55" t="n">
        <f aca="true">MAX(5,NORMINV(RAND(),$B$9,$C$9))</f>
        <v>8.77140834501474</v>
      </c>
      <c r="F200" s="28" t="n">
        <f aca="false">$B$18*(1+(B200+$B$17)/2)^9</f>
        <v>35651.9518791805</v>
      </c>
      <c r="G200" s="28" t="n">
        <f aca="false">F200*C200</f>
        <v>10479.0087604332</v>
      </c>
      <c r="H200" s="28" t="n">
        <f aca="false">E200*G200/(1+D200)^9</f>
        <v>43982.8605304338</v>
      </c>
      <c r="I200" s="28" t="n">
        <f aca="false">$B$13*G200/$B$12*((1+$B$8)/(1+D200))^4.5</f>
        <v>21705.7997858111</v>
      </c>
      <c r="J200" s="28" t="n">
        <f aca="false">H200+I200-$B$14-$B$19</f>
        <v>43026.3034469298</v>
      </c>
      <c r="K200" s="46" t="n">
        <f aca="false">J200/$B$15</f>
        <v>127.59876467061</v>
      </c>
    </row>
    <row r="201" customFormat="false" ht="15" hidden="false" customHeight="false" outlineLevel="0" collapsed="false">
      <c r="A201" s="54" t="n">
        <v>161</v>
      </c>
      <c r="B201" s="23" t="n">
        <f aca="true">NORMINV(RAND(),$B$6,$C$6)</f>
        <v>0.0821054874210493</v>
      </c>
      <c r="C201" s="23" t="n">
        <f aca="true">MAX(0.15,NORMINV(RAND(),$B$7,$C$7))</f>
        <v>0.315730155018426</v>
      </c>
      <c r="D201" s="35" t="n">
        <f aca="true">MAX(0.06,NORMINV(RAND(),$B$8,$C$8))</f>
        <v>0.0919024530664522</v>
      </c>
      <c r="E201" s="55" t="n">
        <f aca="true">MAX(5,NORMINV(RAND(),$B$9,$C$9))</f>
        <v>9.43148552631994</v>
      </c>
      <c r="F201" s="28" t="n">
        <f aca="false">$B$18*(1+(B201+$B$17)/2)^9</f>
        <v>37216.9046920356</v>
      </c>
      <c r="G201" s="28" t="n">
        <f aca="false">F201*C201</f>
        <v>11750.4990877224</v>
      </c>
      <c r="H201" s="28" t="n">
        <f aca="false">E201*G201/(1+D201)^9</f>
        <v>50232.1585258367</v>
      </c>
      <c r="I201" s="28" t="n">
        <f aca="false">$B$13*G201/$B$12*((1+$B$8)/(1+D201))^4.5</f>
        <v>23688.5046107169</v>
      </c>
      <c r="J201" s="28" t="n">
        <f aca="false">H201+I201-$B$14-$B$19</f>
        <v>51258.3062672385</v>
      </c>
      <c r="K201" s="46" t="n">
        <f aca="false">J201/$B$15</f>
        <v>152.011584422415</v>
      </c>
    </row>
    <row r="202" customFormat="false" ht="15" hidden="false" customHeight="false" outlineLevel="0" collapsed="false">
      <c r="A202" s="54" t="n">
        <v>162</v>
      </c>
      <c r="B202" s="23" t="n">
        <f aca="true">NORMINV(RAND(),$B$6,$C$6)</f>
        <v>0.0845413277986953</v>
      </c>
      <c r="C202" s="23" t="n">
        <f aca="true">MAX(0.15,NORMINV(RAND(),$B$7,$C$7))</f>
        <v>0.354942459149954</v>
      </c>
      <c r="D202" s="35" t="n">
        <f aca="true">MAX(0.06,NORMINV(RAND(),$B$8,$C$8))</f>
        <v>0.0878914538656662</v>
      </c>
      <c r="E202" s="55" t="n">
        <f aca="true">MAX(5,NORMINV(RAND(),$B$9,$C$9))</f>
        <v>10.6823146775662</v>
      </c>
      <c r="F202" s="28" t="n">
        <f aca="false">$B$18*(1+(B202+$B$17)/2)^9</f>
        <v>37605.908881738</v>
      </c>
      <c r="G202" s="28" t="n">
        <f aca="false">F202*C202</f>
        <v>13347.9337770532</v>
      </c>
      <c r="H202" s="28" t="n">
        <f aca="false">E202*G202/(1+D202)^9</f>
        <v>66805.0548221259</v>
      </c>
      <c r="I202" s="28" t="n">
        <f aca="false">$B$13*G202/$B$12*((1+$B$8)/(1+D202))^4.5</f>
        <v>27358.206334293</v>
      </c>
      <c r="J202" s="28" t="n">
        <f aca="false">H202+I202-$B$14-$B$19</f>
        <v>71500.9042871039</v>
      </c>
      <c r="K202" s="46" t="n">
        <f aca="false">J202/$B$15</f>
        <v>212.043013900071</v>
      </c>
    </row>
    <row r="203" customFormat="false" ht="15" hidden="false" customHeight="false" outlineLevel="0" collapsed="false">
      <c r="A203" s="54" t="n">
        <v>163</v>
      </c>
      <c r="B203" s="23" t="n">
        <f aca="true">NORMINV(RAND(),$B$6,$C$6)</f>
        <v>0.123483660137788</v>
      </c>
      <c r="C203" s="23" t="n">
        <f aca="true">MAX(0.15,NORMINV(RAND(),$B$7,$C$7))</f>
        <v>0.275047590871463</v>
      </c>
      <c r="D203" s="35" t="n">
        <f aca="true">MAX(0.06,NORMINV(RAND(),$B$8,$C$8))</f>
        <v>0.0875295855133723</v>
      </c>
      <c r="E203" s="55" t="n">
        <f aca="true">MAX(5,NORMINV(RAND(),$B$9,$C$9))</f>
        <v>10.6056606085704</v>
      </c>
      <c r="F203" s="28" t="n">
        <f aca="false">$B$18*(1+(B203+$B$17)/2)^9</f>
        <v>44335.5645646112</v>
      </c>
      <c r="G203" s="28" t="n">
        <f aca="false">F203*C203</f>
        <v>12194.3902234225</v>
      </c>
      <c r="H203" s="28" t="n">
        <f aca="false">E203*G203/(1+D203)^9</f>
        <v>60775.4368625479</v>
      </c>
      <c r="I203" s="28" t="n">
        <f aca="false">$B$13*G203/$B$12*((1+$B$8)/(1+D203))^4.5</f>
        <v>25031.3254316348</v>
      </c>
      <c r="J203" s="28" t="n">
        <f aca="false">H203+I203-$B$14-$B$19</f>
        <v>63144.4054248676</v>
      </c>
      <c r="K203" s="46" t="n">
        <f aca="false">J203/$B$15</f>
        <v>187.260988804471</v>
      </c>
    </row>
    <row r="204" customFormat="false" ht="15" hidden="false" customHeight="false" outlineLevel="0" collapsed="false">
      <c r="A204" s="54" t="n">
        <v>164</v>
      </c>
      <c r="B204" s="23" t="n">
        <f aca="true">NORMINV(RAND(),$B$6,$C$6)</f>
        <v>0.0934626382948703</v>
      </c>
      <c r="C204" s="23" t="n">
        <f aca="true">MAX(0.15,NORMINV(RAND(),$B$7,$C$7))</f>
        <v>0.337205600753078</v>
      </c>
      <c r="D204" s="35" t="n">
        <f aca="true">MAX(0.06,NORMINV(RAND(),$B$8,$C$8))</f>
        <v>0.0955687688561518</v>
      </c>
      <c r="E204" s="55" t="n">
        <f aca="true">MAX(5,NORMINV(RAND(),$B$9,$C$9))</f>
        <v>10.3759119871707</v>
      </c>
      <c r="F204" s="28" t="n">
        <f aca="false">$B$18*(1+(B204+$B$17)/2)^9</f>
        <v>39061.6899967129</v>
      </c>
      <c r="G204" s="28" t="n">
        <f aca="false">F204*C204</f>
        <v>13171.8206417721</v>
      </c>
      <c r="H204" s="28" t="n">
        <f aca="false">E204*G204/(1+D204)^9</f>
        <v>60105.6498238891</v>
      </c>
      <c r="I204" s="28" t="n">
        <f aca="false">$B$13*G204/$B$12*((1+$B$8)/(1+D204))^4.5</f>
        <v>26156.2833378653</v>
      </c>
      <c r="J204" s="28" t="n">
        <f aca="false">H204+I204-$B$14-$B$19</f>
        <v>63599.5762924393</v>
      </c>
      <c r="K204" s="46" t="n">
        <f aca="false">J204/$B$15</f>
        <v>188.610843097388</v>
      </c>
    </row>
    <row r="205" customFormat="false" ht="15" hidden="false" customHeight="false" outlineLevel="0" collapsed="false">
      <c r="A205" s="54" t="n">
        <v>165</v>
      </c>
      <c r="B205" s="23" t="n">
        <f aca="true">NORMINV(RAND(),$B$6,$C$6)</f>
        <v>0.0905932399223931</v>
      </c>
      <c r="C205" s="23" t="n">
        <f aca="true">MAX(0.15,NORMINV(RAND(),$B$7,$C$7))</f>
        <v>0.340177272111747</v>
      </c>
      <c r="D205" s="35" t="n">
        <f aca="true">MAX(0.06,NORMINV(RAND(),$B$8,$C$8))</f>
        <v>0.0953220588808291</v>
      </c>
      <c r="E205" s="55" t="n">
        <f aca="true">MAX(5,NORMINV(RAND(),$B$9,$C$9))</f>
        <v>9.61164828213819</v>
      </c>
      <c r="F205" s="28" t="n">
        <f aca="false">$B$18*(1+(B205+$B$17)/2)^9</f>
        <v>38588.0900088135</v>
      </c>
      <c r="G205" s="28" t="n">
        <f aca="false">F205*C205</f>
        <v>13126.7911952007</v>
      </c>
      <c r="H205" s="28" t="n">
        <f aca="false">E205*G205/(1+D205)^9</f>
        <v>55600.6592018665</v>
      </c>
      <c r="I205" s="28" t="n">
        <f aca="false">$B$13*G205/$B$12*((1+$B$8)/(1+D205))^4.5</f>
        <v>26093.2961803972</v>
      </c>
      <c r="J205" s="28" t="n">
        <f aca="false">H205+I205-$B$14-$B$19</f>
        <v>59031.5985129486</v>
      </c>
      <c r="K205" s="46" t="n">
        <f aca="false">J205/$B$15</f>
        <v>175.064052529504</v>
      </c>
    </row>
    <row r="206" customFormat="false" ht="15" hidden="false" customHeight="false" outlineLevel="0" collapsed="false">
      <c r="A206" s="54" t="n">
        <v>166</v>
      </c>
      <c r="B206" s="23" t="n">
        <f aca="true">NORMINV(RAND(),$B$6,$C$6)</f>
        <v>0.0884166194040602</v>
      </c>
      <c r="C206" s="23" t="n">
        <f aca="true">MAX(0.15,NORMINV(RAND(),$B$7,$C$7))</f>
        <v>0.278930552139206</v>
      </c>
      <c r="D206" s="35" t="n">
        <f aca="true">MAX(0.06,NORMINV(RAND(),$B$8,$C$8))</f>
        <v>0.101272872325573</v>
      </c>
      <c r="E206" s="55" t="n">
        <f aca="true">MAX(5,NORMINV(RAND(),$B$9,$C$9))</f>
        <v>11.7453544329881</v>
      </c>
      <c r="F206" s="28" t="n">
        <f aca="false">$B$18*(1+(B206+$B$17)/2)^9</f>
        <v>38232.2459943364</v>
      </c>
      <c r="G206" s="28" t="n">
        <f aca="false">F206*C206</f>
        <v>10664.1414847222</v>
      </c>
      <c r="H206" s="28" t="n">
        <f aca="false">E206*G206/(1+D206)^9</f>
        <v>52569.9486499328</v>
      </c>
      <c r="I206" s="28" t="n">
        <f aca="false">$B$13*G206/$B$12*((1+$B$8)/(1+D206))^4.5</f>
        <v>20687.4652887401</v>
      </c>
      <c r="J206" s="28" t="n">
        <f aca="false">H206+I206-$B$14-$B$19</f>
        <v>50595.0570693578</v>
      </c>
      <c r="K206" s="46" t="n">
        <f aca="false">J206/$B$15</f>
        <v>150.044653230598</v>
      </c>
    </row>
    <row r="207" customFormat="false" ht="15" hidden="false" customHeight="false" outlineLevel="0" collapsed="false">
      <c r="A207" s="54" t="n">
        <v>167</v>
      </c>
      <c r="B207" s="23" t="n">
        <f aca="true">NORMINV(RAND(),$B$6,$C$6)</f>
        <v>0.072335138423958</v>
      </c>
      <c r="C207" s="23" t="n">
        <f aca="true">MAX(0.15,NORMINV(RAND(),$B$7,$C$7))</f>
        <v>0.345909899739497</v>
      </c>
      <c r="D207" s="35" t="n">
        <f aca="true">MAX(0.06,NORMINV(RAND(),$B$8,$C$8))</f>
        <v>0.0902585958829377</v>
      </c>
      <c r="E207" s="55" t="n">
        <f aca="true">MAX(5,NORMINV(RAND(),$B$9,$C$9))</f>
        <v>10.6019622349492</v>
      </c>
      <c r="F207" s="28" t="n">
        <f aca="false">$B$18*(1+(B207+$B$17)/2)^9</f>
        <v>35692.2761430137</v>
      </c>
      <c r="G207" s="28" t="n">
        <f aca="false">F207*C207</f>
        <v>12346.3116621043</v>
      </c>
      <c r="H207" s="28" t="n">
        <f aca="false">E207*G207/(1+D207)^9</f>
        <v>60139.2231324566</v>
      </c>
      <c r="I207" s="28" t="n">
        <f aca="false">$B$13*G207/$B$12*((1+$B$8)/(1+D207))^4.5</f>
        <v>25058.9585931782</v>
      </c>
      <c r="J207" s="28" t="n">
        <f aca="false">H207+I207-$B$14-$B$19</f>
        <v>62535.8248563198</v>
      </c>
      <c r="K207" s="46" t="n">
        <f aca="false">J207/$B$15</f>
        <v>185.456182847924</v>
      </c>
    </row>
    <row r="208" customFormat="false" ht="15" hidden="false" customHeight="false" outlineLevel="0" collapsed="false">
      <c r="A208" s="54" t="n">
        <v>168</v>
      </c>
      <c r="B208" s="23" t="n">
        <f aca="true">NORMINV(RAND(),$B$6,$C$6)</f>
        <v>0.0843166941552489</v>
      </c>
      <c r="C208" s="23" t="n">
        <f aca="true">MAX(0.15,NORMINV(RAND(),$B$7,$C$7))</f>
        <v>0.310839594542896</v>
      </c>
      <c r="D208" s="35" t="n">
        <f aca="true">MAX(0.06,NORMINV(RAND(),$B$8,$C$8))</f>
        <v>0.0882639854924461</v>
      </c>
      <c r="E208" s="55" t="n">
        <f aca="true">MAX(5,NORMINV(RAND(),$B$9,$C$9))</f>
        <v>10.1505168315762</v>
      </c>
      <c r="F208" s="28" t="n">
        <f aca="false">$B$18*(1+(B208+$B$17)/2)^9</f>
        <v>37569.884180653</v>
      </c>
      <c r="G208" s="28" t="n">
        <f aca="false">F208*C208</f>
        <v>11678.2075657377</v>
      </c>
      <c r="H208" s="28" t="n">
        <f aca="false">E208*G208/(1+D208)^9</f>
        <v>55367.6425041786</v>
      </c>
      <c r="I208" s="28" t="n">
        <f aca="false">$B$13*G208/$B$12*((1+$B$8)/(1+D208))^4.5</f>
        <v>23899.0508580819</v>
      </c>
      <c r="J208" s="28" t="n">
        <f aca="false">H208+I208-$B$14-$B$19</f>
        <v>56604.3364929454</v>
      </c>
      <c r="K208" s="46" t="n">
        <f aca="false">J208/$B$15</f>
        <v>167.865766586434</v>
      </c>
    </row>
    <row r="209" customFormat="false" ht="15" hidden="false" customHeight="false" outlineLevel="0" collapsed="false">
      <c r="A209" s="54" t="n">
        <v>169</v>
      </c>
      <c r="B209" s="23" t="n">
        <f aca="true">NORMINV(RAND(),$B$6,$C$6)</f>
        <v>0.113771270031018</v>
      </c>
      <c r="C209" s="23" t="n">
        <f aca="true">MAX(0.15,NORMINV(RAND(),$B$7,$C$7))</f>
        <v>0.319627842818167</v>
      </c>
      <c r="D209" s="35" t="n">
        <f aca="true">MAX(0.06,NORMINV(RAND(),$B$8,$C$8))</f>
        <v>0.0923123719990242</v>
      </c>
      <c r="E209" s="55" t="n">
        <f aca="true">MAX(5,NORMINV(RAND(),$B$9,$C$9))</f>
        <v>12.3883153854042</v>
      </c>
      <c r="F209" s="28" t="n">
        <f aca="false">$B$18*(1+(B209+$B$17)/2)^9</f>
        <v>42564.0379598721</v>
      </c>
      <c r="G209" s="28" t="n">
        <f aca="false">F209*C209</f>
        <v>13604.6516347445</v>
      </c>
      <c r="H209" s="28" t="n">
        <f aca="false">E209*G209/(1+D209)^9</f>
        <v>76133.8872508677</v>
      </c>
      <c r="I209" s="28" t="n">
        <f aca="false">$B$13*G209/$B$12*((1+$B$8)/(1+D209))^4.5</f>
        <v>27380.1112679032</v>
      </c>
      <c r="J209" s="28" t="n">
        <f aca="false">H209+I209-$B$14-$B$19</f>
        <v>80851.6416494558</v>
      </c>
      <c r="K209" s="46" t="n">
        <f aca="false">J209/$B$15</f>
        <v>239.77355174809</v>
      </c>
    </row>
    <row r="210" customFormat="false" ht="15" hidden="false" customHeight="false" outlineLevel="0" collapsed="false">
      <c r="A210" s="54" t="n">
        <v>170</v>
      </c>
      <c r="B210" s="23" t="n">
        <f aca="true">NORMINV(RAND(),$B$6,$C$6)</f>
        <v>0.0616027140767385</v>
      </c>
      <c r="C210" s="23" t="n">
        <f aca="true">MAX(0.15,NORMINV(RAND(),$B$7,$C$7))</f>
        <v>0.317860207938999</v>
      </c>
      <c r="D210" s="35" t="n">
        <f aca="true">MAX(0.06,NORMINV(RAND(),$B$8,$C$8))</f>
        <v>0.0901919311296627</v>
      </c>
      <c r="E210" s="55" t="n">
        <f aca="true">MAX(5,NORMINV(RAND(),$B$9,$C$9))</f>
        <v>9.30149890795156</v>
      </c>
      <c r="F210" s="28" t="n">
        <f aca="false">$B$18*(1+(B210+$B$17)/2)^9</f>
        <v>34081.7321295504</v>
      </c>
      <c r="G210" s="28" t="n">
        <f aca="false">F210*C210</f>
        <v>10833.2264616202</v>
      </c>
      <c r="H210" s="28" t="n">
        <f aca="false">E210*G210/(1+D210)^9</f>
        <v>46321.657509105</v>
      </c>
      <c r="I210" s="28" t="n">
        <f aca="false">$B$13*G210/$B$12*((1+$B$8)/(1+D210))^4.5</f>
        <v>21993.9436004409</v>
      </c>
      <c r="J210" s="28" t="n">
        <f aca="false">H210+I210-$B$14-$B$19</f>
        <v>45653.2442402308</v>
      </c>
      <c r="K210" s="46" t="n">
        <f aca="false">J210/$B$15</f>
        <v>135.389217794279</v>
      </c>
    </row>
    <row r="211" customFormat="false" ht="15" hidden="false" customHeight="false" outlineLevel="0" collapsed="false">
      <c r="A211" s="54" t="n">
        <v>171</v>
      </c>
      <c r="B211" s="23" t="n">
        <f aca="true">NORMINV(RAND(),$B$6,$C$6)</f>
        <v>0.128218633114023</v>
      </c>
      <c r="C211" s="23" t="n">
        <f aca="true">MAX(0.15,NORMINV(RAND(),$B$7,$C$7))</f>
        <v>0.3180647808141</v>
      </c>
      <c r="D211" s="35" t="n">
        <f aca="true">MAX(0.06,NORMINV(RAND(),$B$8,$C$8))</f>
        <v>0.105545167625106</v>
      </c>
      <c r="E211" s="55" t="n">
        <f aca="true">MAX(5,NORMINV(RAND(),$B$9,$C$9))</f>
        <v>9.01628545163881</v>
      </c>
      <c r="F211" s="28" t="n">
        <f aca="false">$B$18*(1+(B211+$B$17)/2)^9</f>
        <v>45222.7440993938</v>
      </c>
      <c r="G211" s="28" t="n">
        <f aca="false">F211*C211</f>
        <v>14383.7621897858</v>
      </c>
      <c r="H211" s="28" t="n">
        <f aca="false">E211*G211/(1+D211)^9</f>
        <v>52566.8231617481</v>
      </c>
      <c r="I211" s="28" t="n">
        <f aca="false">$B$13*G211/$B$12*((1+$B$8)/(1+D211))^4.5</f>
        <v>27421.2284312252</v>
      </c>
      <c r="J211" s="28" t="n">
        <f aca="false">H211+I211-$B$14-$B$19</f>
        <v>57325.6947236582</v>
      </c>
      <c r="K211" s="46" t="n">
        <f aca="false">J211/$B$15</f>
        <v>170.005025870872</v>
      </c>
    </row>
    <row r="212" customFormat="false" ht="15" hidden="false" customHeight="false" outlineLevel="0" collapsed="false">
      <c r="A212" s="54" t="n">
        <v>172</v>
      </c>
      <c r="B212" s="23" t="n">
        <f aca="true">NORMINV(RAND(),$B$6,$C$6)</f>
        <v>0.0849080575668863</v>
      </c>
      <c r="C212" s="23" t="n">
        <f aca="true">MAX(0.15,NORMINV(RAND(),$B$7,$C$7))</f>
        <v>0.312526249306345</v>
      </c>
      <c r="D212" s="35" t="n">
        <f aca="true">MAX(0.06,NORMINV(RAND(),$B$8,$C$8))</f>
        <v>0.0977248526160501</v>
      </c>
      <c r="E212" s="55" t="n">
        <f aca="true">MAX(5,NORMINV(RAND(),$B$9,$C$9))</f>
        <v>6.43292841195644</v>
      </c>
      <c r="F212" s="28" t="n">
        <f aca="false">$B$18*(1+(B212+$B$17)/2)^9</f>
        <v>37664.7876531347</v>
      </c>
      <c r="G212" s="28" t="n">
        <f aca="false">F212*C212</f>
        <v>11771.2348161541</v>
      </c>
      <c r="H212" s="28" t="n">
        <f aca="false">E212*G212/(1+D212)^9</f>
        <v>32718.1900312854</v>
      </c>
      <c r="I212" s="28" t="n">
        <f aca="false">$B$13*G212/$B$12*((1+$B$8)/(1+D212))^4.5</f>
        <v>23169.1396838984</v>
      </c>
      <c r="J212" s="28" t="n">
        <f aca="false">H212+I212-$B$14-$B$19</f>
        <v>33224.9728458687</v>
      </c>
      <c r="K212" s="46" t="n">
        <f aca="false">J212/$B$15</f>
        <v>98.531947941485</v>
      </c>
    </row>
    <row r="213" customFormat="false" ht="15" hidden="false" customHeight="false" outlineLevel="0" collapsed="false">
      <c r="A213" s="54" t="n">
        <v>173</v>
      </c>
      <c r="B213" s="23" t="n">
        <f aca="true">NORMINV(RAND(),$B$6,$C$6)</f>
        <v>0.118594811863141</v>
      </c>
      <c r="C213" s="23" t="n">
        <f aca="true">MAX(0.15,NORMINV(RAND(),$B$7,$C$7))</f>
        <v>0.368857390139742</v>
      </c>
      <c r="D213" s="35" t="n">
        <f aca="true">MAX(0.06,NORMINV(RAND(),$B$8,$C$8))</f>
        <v>0.0887873922061081</v>
      </c>
      <c r="E213" s="55" t="n">
        <f aca="true">MAX(5,NORMINV(RAND(),$B$9,$C$9))</f>
        <v>8.3695987330288</v>
      </c>
      <c r="F213" s="28" t="n">
        <f aca="false">$B$18*(1+(B213+$B$17)/2)^9</f>
        <v>43435.8197798883</v>
      </c>
      <c r="G213" s="28" t="n">
        <f aca="false">F213*C213</f>
        <v>16021.6231225898</v>
      </c>
      <c r="H213" s="28" t="n">
        <f aca="false">E213*G213/(1+D213)^9</f>
        <v>62362.4831173277</v>
      </c>
      <c r="I213" s="28" t="n">
        <f aca="false">$B$13*G213/$B$12*((1+$B$8)/(1+D213))^4.5</f>
        <v>32716.8330034885</v>
      </c>
      <c r="J213" s="28" t="n">
        <f aca="false">H213+I213-$B$14-$B$19</f>
        <v>72416.9592515011</v>
      </c>
      <c r="K213" s="46" t="n">
        <f aca="false">J213/$B$15</f>
        <v>214.759665633159</v>
      </c>
    </row>
    <row r="214" customFormat="false" ht="15" hidden="false" customHeight="false" outlineLevel="0" collapsed="false">
      <c r="A214" s="54" t="n">
        <v>174</v>
      </c>
      <c r="B214" s="23" t="n">
        <f aca="true">NORMINV(RAND(),$B$6,$C$6)</f>
        <v>0.114058743236264</v>
      </c>
      <c r="C214" s="23" t="n">
        <f aca="true">MAX(0.15,NORMINV(RAND(),$B$7,$C$7))</f>
        <v>0.37487960048028</v>
      </c>
      <c r="D214" s="35" t="n">
        <f aca="true">MAX(0.06,NORMINV(RAND(),$B$8,$C$8))</f>
        <v>0.100986972264826</v>
      </c>
      <c r="E214" s="55" t="n">
        <f aca="true">MAX(5,NORMINV(RAND(),$B$9,$C$9))</f>
        <v>9.49083536838645</v>
      </c>
      <c r="F214" s="28" t="n">
        <f aca="false">$B$18*(1+(B214+$B$17)/2)^9</f>
        <v>42615.555114261</v>
      </c>
      <c r="G214" s="28" t="n">
        <f aca="false">F214*C214</f>
        <v>15975.7022754795</v>
      </c>
      <c r="H214" s="28" t="n">
        <f aca="false">E214*G214/(1+D214)^9</f>
        <v>63785.9132066816</v>
      </c>
      <c r="I214" s="28" t="n">
        <f aca="false">$B$13*G214/$B$12*((1+$B$8)/(1+D214))^4.5</f>
        <v>31027.6417378198</v>
      </c>
      <c r="J214" s="28" t="n">
        <f aca="false">H214+I214-$B$14-$B$19</f>
        <v>72151.1980751863</v>
      </c>
      <c r="K214" s="46" t="n">
        <f aca="false">J214/$B$15</f>
        <v>213.971524540885</v>
      </c>
    </row>
    <row r="215" customFormat="false" ht="15" hidden="false" customHeight="false" outlineLevel="0" collapsed="false">
      <c r="A215" s="54" t="n">
        <v>175</v>
      </c>
      <c r="B215" s="23" t="n">
        <f aca="true">NORMINV(RAND(),$B$6,$C$6)</f>
        <v>0.0710866914537631</v>
      </c>
      <c r="C215" s="23" t="n">
        <f aca="true">MAX(0.15,NORMINV(RAND(),$B$7,$C$7))</f>
        <v>0.327601869813489</v>
      </c>
      <c r="D215" s="35" t="n">
        <f aca="true">MAX(0.06,NORMINV(RAND(),$B$8,$C$8))</f>
        <v>0.114869735353593</v>
      </c>
      <c r="E215" s="55" t="n">
        <f aca="true">MAX(5,NORMINV(RAND(),$B$9,$C$9))</f>
        <v>6.30890918901688</v>
      </c>
      <c r="F215" s="28" t="n">
        <f aca="false">$B$18*(1+(B215+$B$17)/2)^9</f>
        <v>35501.5170873222</v>
      </c>
      <c r="G215" s="28" t="n">
        <f aca="false">F215*C215</f>
        <v>11630.3633790223</v>
      </c>
      <c r="H215" s="28" t="n">
        <f aca="false">E215*G215/(1+D215)^9</f>
        <v>27575.9463353974</v>
      </c>
      <c r="I215" s="28" t="n">
        <f aca="false">$B$13*G215/$B$12*((1+$B$8)/(1+D215))^4.5</f>
        <v>21349.7766863815</v>
      </c>
      <c r="J215" s="28" t="n">
        <f aca="false">H215+I215-$B$14-$B$19</f>
        <v>26263.3661524639</v>
      </c>
      <c r="K215" s="46" t="n">
        <f aca="false">J215/$B$15</f>
        <v>77.8866137380304</v>
      </c>
    </row>
    <row r="216" customFormat="false" ht="15" hidden="false" customHeight="false" outlineLevel="0" collapsed="false">
      <c r="A216" s="54" t="n">
        <v>176</v>
      </c>
      <c r="B216" s="23" t="n">
        <f aca="true">NORMINV(RAND(),$B$6,$C$6)</f>
        <v>0.0787048378382834</v>
      </c>
      <c r="C216" s="23" t="n">
        <f aca="true">MAX(0.15,NORMINV(RAND(),$B$7,$C$7))</f>
        <v>0.359314588631375</v>
      </c>
      <c r="D216" s="35" t="n">
        <f aca="true">MAX(0.06,NORMINV(RAND(),$B$8,$C$8))</f>
        <v>0.0788838788964693</v>
      </c>
      <c r="E216" s="55" t="n">
        <f aca="true">MAX(5,NORMINV(RAND(),$B$9,$C$9))</f>
        <v>6.8832065949141</v>
      </c>
      <c r="F216" s="28" t="n">
        <f aca="false">$B$18*(1+(B216+$B$17)/2)^9</f>
        <v>36679.8033329394</v>
      </c>
      <c r="G216" s="28" t="n">
        <f aca="false">F216*C216</f>
        <v>13179.5884456549</v>
      </c>
      <c r="H216" s="28" t="n">
        <f aca="false">E216*G216/(1+D216)^9</f>
        <v>45805.783912764</v>
      </c>
      <c r="I216" s="28" t="n">
        <f aca="false">$B$13*G216/$B$12*((1+$B$8)/(1+D216))^4.5</f>
        <v>28042.9890410228</v>
      </c>
      <c r="J216" s="28" t="n">
        <f aca="false">H216+I216-$B$14-$B$19</f>
        <v>51186.4160844717</v>
      </c>
      <c r="K216" s="46" t="n">
        <f aca="false">J216/$B$15</f>
        <v>151.798386964625</v>
      </c>
    </row>
    <row r="217" customFormat="false" ht="15" hidden="false" customHeight="false" outlineLevel="0" collapsed="false">
      <c r="A217" s="54" t="n">
        <v>177</v>
      </c>
      <c r="B217" s="23" t="n">
        <f aca="true">NORMINV(RAND(),$B$6,$C$6)</f>
        <v>0.0233762218178034</v>
      </c>
      <c r="C217" s="23" t="n">
        <f aca="true">MAX(0.15,NORMINV(RAND(),$B$7,$C$7))</f>
        <v>0.308298598807422</v>
      </c>
      <c r="D217" s="35" t="n">
        <f aca="true">MAX(0.06,NORMINV(RAND(),$B$8,$C$8))</f>
        <v>0.0911351213425935</v>
      </c>
      <c r="E217" s="55" t="n">
        <f aca="true">MAX(5,NORMINV(RAND(),$B$9,$C$9))</f>
        <v>9.11468679736092</v>
      </c>
      <c r="F217" s="28" t="n">
        <f aca="false">$B$18*(1+(B217+$B$17)/2)^9</f>
        <v>28857.0066257126</v>
      </c>
      <c r="G217" s="28" t="n">
        <f aca="false">F217*C217</f>
        <v>8896.57470848369</v>
      </c>
      <c r="H217" s="28" t="n">
        <f aca="false">E217*G217/(1+D217)^9</f>
        <v>36987.7373198791</v>
      </c>
      <c r="I217" s="28" t="n">
        <f aca="false">$B$13*G217/$B$12*((1+$B$8)/(1+D217))^4.5</f>
        <v>17991.9420111463</v>
      </c>
      <c r="J217" s="28" t="n">
        <f aca="false">H217+I217-$B$14-$B$19</f>
        <v>32317.3224617103</v>
      </c>
      <c r="K217" s="46" t="n">
        <f aca="false">J217/$B$15</f>
        <v>95.8402208235773</v>
      </c>
    </row>
    <row r="218" customFormat="false" ht="15" hidden="false" customHeight="false" outlineLevel="0" collapsed="false">
      <c r="A218" s="54" t="n">
        <v>178</v>
      </c>
      <c r="B218" s="23" t="n">
        <f aca="true">NORMINV(RAND(),$B$6,$C$6)</f>
        <v>0.104248064017988</v>
      </c>
      <c r="C218" s="23" t="n">
        <f aca="true">MAX(0.15,NORMINV(RAND(),$B$7,$C$7))</f>
        <v>0.368968869613607</v>
      </c>
      <c r="D218" s="35" t="n">
        <f aca="true">MAX(0.06,NORMINV(RAND(),$B$8,$C$8))</f>
        <v>0.0982616255306139</v>
      </c>
      <c r="E218" s="55" t="n">
        <f aca="true">MAX(5,NORMINV(RAND(),$B$9,$C$9))</f>
        <v>11.2714329789317</v>
      </c>
      <c r="F218" s="28" t="n">
        <f aca="false">$B$18*(1+(B218+$B$17)/2)^9</f>
        <v>40888.398126273</v>
      </c>
      <c r="G218" s="28" t="n">
        <f aca="false">F218*C218</f>
        <v>15086.5460369621</v>
      </c>
      <c r="H218" s="28" t="n">
        <f aca="false">E218*G218/(1+D218)^9</f>
        <v>73150.3945856189</v>
      </c>
      <c r="I218" s="28" t="n">
        <f aca="false">$B$13*G218/$B$12*((1+$B$8)/(1+D218))^4.5</f>
        <v>29629.3620958499</v>
      </c>
      <c r="J218" s="28" t="n">
        <f aca="false">H218+I218-$B$14-$B$19</f>
        <v>80117.3998121537</v>
      </c>
      <c r="K218" s="46" t="n">
        <f aca="false">J218/$B$15</f>
        <v>237.596084852176</v>
      </c>
    </row>
    <row r="219" customFormat="false" ht="15" hidden="false" customHeight="false" outlineLevel="0" collapsed="false">
      <c r="A219" s="54" t="n">
        <v>179</v>
      </c>
      <c r="B219" s="23" t="n">
        <f aca="true">NORMINV(RAND(),$B$6,$C$6)</f>
        <v>0.0450872276992006</v>
      </c>
      <c r="C219" s="23" t="n">
        <f aca="true">MAX(0.15,NORMINV(RAND(),$B$7,$C$7))</f>
        <v>0.373655868178203</v>
      </c>
      <c r="D219" s="35" t="n">
        <f aca="true">MAX(0.06,NORMINV(RAND(),$B$8,$C$8))</f>
        <v>0.0924214114219926</v>
      </c>
      <c r="E219" s="55" t="n">
        <f aca="true">MAX(5,NORMINV(RAND(),$B$9,$C$9))</f>
        <v>8.96837116271138</v>
      </c>
      <c r="F219" s="28" t="n">
        <f aca="false">$B$18*(1+(B219+$B$17)/2)^9</f>
        <v>31729.3780641277</v>
      </c>
      <c r="G219" s="28" t="n">
        <f aca="false">F219*C219</f>
        <v>11855.8683073061</v>
      </c>
      <c r="H219" s="28" t="n">
        <f aca="false">E219*G219/(1+D219)^9</f>
        <v>47988.2714473367</v>
      </c>
      <c r="I219" s="28" t="n">
        <f aca="false">$B$13*G219/$B$12*((1+$B$8)/(1+D219))^4.5</f>
        <v>23849.8729650524</v>
      </c>
      <c r="J219" s="28" t="n">
        <f aca="false">H219+I219-$B$14-$B$19</f>
        <v>49175.787543074</v>
      </c>
      <c r="K219" s="46" t="n">
        <f aca="false">J219/$B$15</f>
        <v>145.835668870326</v>
      </c>
    </row>
    <row r="220" customFormat="false" ht="15" hidden="false" customHeight="false" outlineLevel="0" collapsed="false">
      <c r="A220" s="54" t="n">
        <v>180</v>
      </c>
      <c r="B220" s="23" t="n">
        <f aca="true">NORMINV(RAND(),$B$6,$C$6)</f>
        <v>0.0761892966476619</v>
      </c>
      <c r="C220" s="23" t="n">
        <f aca="true">MAX(0.15,NORMINV(RAND(),$B$7,$C$7))</f>
        <v>0.319649894787452</v>
      </c>
      <c r="D220" s="35" t="n">
        <f aca="true">MAX(0.06,NORMINV(RAND(),$B$8,$C$8))</f>
        <v>0.0825677364498303</v>
      </c>
      <c r="E220" s="55" t="n">
        <f aca="true">MAX(5,NORMINV(RAND(),$B$9,$C$9))</f>
        <v>8.56744877035664</v>
      </c>
      <c r="F220" s="28" t="n">
        <f aca="false">$B$18*(1+(B220+$B$17)/2)^9</f>
        <v>36286.9416213979</v>
      </c>
      <c r="G220" s="28" t="n">
        <f aca="false">F220*C220</f>
        <v>11599.1170714382</v>
      </c>
      <c r="H220" s="28" t="n">
        <f aca="false">E220*G220/(1+D220)^9</f>
        <v>48660.9664616913</v>
      </c>
      <c r="I220" s="28" t="n">
        <f aca="false">$B$13*G220/$B$12*((1+$B$8)/(1+D220))^4.5</f>
        <v>24304.4441549687</v>
      </c>
      <c r="J220" s="28" t="n">
        <f aca="false">H220+I220-$B$14-$B$19</f>
        <v>50303.0537473449</v>
      </c>
      <c r="K220" s="46" t="n">
        <f aca="false">J220/$B$15</f>
        <v>149.178688455946</v>
      </c>
    </row>
    <row r="221" customFormat="false" ht="15" hidden="false" customHeight="false" outlineLevel="0" collapsed="false">
      <c r="A221" s="54" t="n">
        <v>181</v>
      </c>
      <c r="B221" s="23" t="n">
        <f aca="true">NORMINV(RAND(),$B$6,$C$6)</f>
        <v>0.0891557077544046</v>
      </c>
      <c r="C221" s="23" t="n">
        <f aca="true">MAX(0.15,NORMINV(RAND(),$B$7,$C$7))</f>
        <v>0.334406289950167</v>
      </c>
      <c r="D221" s="35" t="n">
        <f aca="true">MAX(0.06,NORMINV(RAND(),$B$8,$C$8))</f>
        <v>0.0875975473310695</v>
      </c>
      <c r="E221" s="55" t="n">
        <f aca="true">MAX(5,NORMINV(RAND(),$B$9,$C$9))</f>
        <v>7.96866305823128</v>
      </c>
      <c r="F221" s="28" t="n">
        <f aca="false">$B$18*(1+(B221+$B$17)/2)^9</f>
        <v>38352.7471310277</v>
      </c>
      <c r="G221" s="28" t="n">
        <f aca="false">F221*C221</f>
        <v>12825.3998774839</v>
      </c>
      <c r="H221" s="28" t="n">
        <f aca="false">E221*G221/(1+D221)^9</f>
        <v>48000.1287973294</v>
      </c>
      <c r="I221" s="28" t="n">
        <f aca="false">$B$13*G221/$B$12*((1+$B$8)/(1+D221))^4.5</f>
        <v>26319.1916802332</v>
      </c>
      <c r="J221" s="28" t="n">
        <f aca="false">H221+I221-$B$14-$B$19</f>
        <v>51656.9636082475</v>
      </c>
      <c r="K221" s="46" t="n">
        <f aca="false">J221/$B$15</f>
        <v>153.193842254589</v>
      </c>
    </row>
    <row r="222" customFormat="false" ht="15" hidden="false" customHeight="false" outlineLevel="0" collapsed="false">
      <c r="A222" s="54" t="n">
        <v>182</v>
      </c>
      <c r="B222" s="23" t="n">
        <f aca="true">NORMINV(RAND(),$B$6,$C$6)</f>
        <v>0.11370203706963</v>
      </c>
      <c r="C222" s="23" t="n">
        <f aca="true">MAX(0.15,NORMINV(RAND(),$B$7,$C$7))</f>
        <v>0.31424614156166</v>
      </c>
      <c r="D222" s="35" t="n">
        <f aca="true">MAX(0.06,NORMINV(RAND(),$B$8,$C$8))</f>
        <v>0.0932365357891438</v>
      </c>
      <c r="E222" s="55" t="n">
        <f aca="true">MAX(5,NORMINV(RAND(),$B$9,$C$9))</f>
        <v>9.48604855660793</v>
      </c>
      <c r="F222" s="28" t="n">
        <f aca="false">$B$18*(1+(B222+$B$17)/2)^9</f>
        <v>42551.6392166549</v>
      </c>
      <c r="G222" s="28" t="n">
        <f aca="false">F222*C222</f>
        <v>13371.6884409576</v>
      </c>
      <c r="H222" s="28" t="n">
        <f aca="false">E222*G222/(1+D222)^9</f>
        <v>56864.9100551912</v>
      </c>
      <c r="I222" s="28" t="n">
        <f aca="false">$B$13*G222/$B$12*((1+$B$8)/(1+D222))^4.5</f>
        <v>26809.0392983589</v>
      </c>
      <c r="J222" s="28" t="n">
        <f aca="false">H222+I222-$B$14-$B$19</f>
        <v>61011.592484235</v>
      </c>
      <c r="K222" s="46" t="n">
        <f aca="false">J222/$B$15</f>
        <v>180.935920771753</v>
      </c>
    </row>
    <row r="223" customFormat="false" ht="15" hidden="false" customHeight="false" outlineLevel="0" collapsed="false">
      <c r="A223" s="54" t="n">
        <v>183</v>
      </c>
      <c r="B223" s="23" t="n">
        <f aca="true">NORMINV(RAND(),$B$6,$C$6)</f>
        <v>0.0613386939610565</v>
      </c>
      <c r="C223" s="23" t="n">
        <f aca="true">MAX(0.15,NORMINV(RAND(),$B$7,$C$7))</f>
        <v>0.316129174836869</v>
      </c>
      <c r="D223" s="35" t="n">
        <f aca="true">MAX(0.06,NORMINV(RAND(),$B$8,$C$8))</f>
        <v>0.0933832694391802</v>
      </c>
      <c r="E223" s="55" t="n">
        <f aca="true">MAX(5,NORMINV(RAND(),$B$9,$C$9))</f>
        <v>10.6109744070538</v>
      </c>
      <c r="F223" s="28" t="n">
        <f aca="false">$B$18*(1+(B223+$B$17)/2)^9</f>
        <v>34042.9401788221</v>
      </c>
      <c r="G223" s="28" t="n">
        <f aca="false">F223*C223</f>
        <v>10761.9665877519</v>
      </c>
      <c r="H223" s="28" t="n">
        <f aca="false">E223*G223/(1+D223)^9</f>
        <v>51132.2717926817</v>
      </c>
      <c r="I223" s="28" t="n">
        <f aca="false">$B$13*G223/$B$12*((1+$B$8)/(1+D223))^4.5</f>
        <v>21563.753107036</v>
      </c>
      <c r="J223" s="28" t="n">
        <f aca="false">H223+I223-$B$14-$B$19</f>
        <v>50033.6680304027</v>
      </c>
      <c r="K223" s="46" t="n">
        <f aca="false">J223/$B$15</f>
        <v>148.379798429427</v>
      </c>
    </row>
    <row r="224" customFormat="false" ht="15" hidden="false" customHeight="false" outlineLevel="0" collapsed="false">
      <c r="A224" s="54" t="n">
        <v>184</v>
      </c>
      <c r="B224" s="23" t="n">
        <f aca="true">NORMINV(RAND(),$B$6,$C$6)</f>
        <v>0.0687332388799199</v>
      </c>
      <c r="C224" s="23" t="n">
        <f aca="true">MAX(0.15,NORMINV(RAND(),$B$7,$C$7))</f>
        <v>0.391694547878266</v>
      </c>
      <c r="D224" s="35" t="n">
        <f aca="true">MAX(0.06,NORMINV(RAND(),$B$8,$C$8))</f>
        <v>0.0968741494437471</v>
      </c>
      <c r="E224" s="55" t="n">
        <f aca="true">MAX(5,NORMINV(RAND(),$B$9,$C$9))</f>
        <v>11.4043999447905</v>
      </c>
      <c r="F224" s="28" t="n">
        <f aca="false">$B$18*(1+(B224+$B$17)/2)^9</f>
        <v>35144.3792308616</v>
      </c>
      <c r="G224" s="28" t="n">
        <f aca="false">F224*C224</f>
        <v>13765.8617332947</v>
      </c>
      <c r="H224" s="28" t="n">
        <f aca="false">E224*G224/(1+D224)^9</f>
        <v>68306.9084954702</v>
      </c>
      <c r="I224" s="28" t="n">
        <f aca="false">$B$13*G224/$B$12*((1+$B$8)/(1+D224))^4.5</f>
        <v>27189.8252975578</v>
      </c>
      <c r="J224" s="28" t="n">
        <f aca="false">H224+I224-$B$14-$B$19</f>
        <v>72834.3769237129</v>
      </c>
      <c r="K224" s="46" t="n">
        <f aca="false">J224/$B$15</f>
        <v>215.997559085744</v>
      </c>
    </row>
    <row r="225" customFormat="false" ht="15" hidden="false" customHeight="false" outlineLevel="0" collapsed="false">
      <c r="A225" s="54" t="n">
        <v>185</v>
      </c>
      <c r="B225" s="23" t="n">
        <f aca="true">NORMINV(RAND(),$B$6,$C$6)</f>
        <v>0.0822386606687418</v>
      </c>
      <c r="C225" s="23" t="n">
        <f aca="true">MAX(0.15,NORMINV(RAND(),$B$7,$C$7))</f>
        <v>0.327828828710325</v>
      </c>
      <c r="D225" s="35" t="n">
        <f aca="true">MAX(0.06,NORMINV(RAND(),$B$8,$C$8))</f>
        <v>0.0935962135240313</v>
      </c>
      <c r="E225" s="55" t="n">
        <f aca="true">MAX(5,NORMINV(RAND(),$B$9,$C$9))</f>
        <v>8.38235868488735</v>
      </c>
      <c r="F225" s="28" t="n">
        <f aca="false">$B$18*(1+(B225+$B$17)/2)^9</f>
        <v>37238.0796846738</v>
      </c>
      <c r="G225" s="28" t="n">
        <f aca="false">F225*C225</f>
        <v>12207.7160464484</v>
      </c>
      <c r="H225" s="28" t="n">
        <f aca="false">E225*G225/(1+D225)^9</f>
        <v>45739.1067377105</v>
      </c>
      <c r="I225" s="28" t="n">
        <f aca="false">$B$13*G225/$B$12*((1+$B$8)/(1+D225))^4.5</f>
        <v>24439.1754280775</v>
      </c>
      <c r="J225" s="28" t="n">
        <f aca="false">H225+I225-$B$14-$B$19</f>
        <v>47515.9252964729</v>
      </c>
      <c r="K225" s="46" t="n">
        <f aca="false">J225/$B$15</f>
        <v>140.913182967002</v>
      </c>
    </row>
    <row r="226" customFormat="false" ht="15" hidden="false" customHeight="false" outlineLevel="0" collapsed="false">
      <c r="A226" s="54" t="n">
        <v>186</v>
      </c>
      <c r="B226" s="23" t="n">
        <f aca="true">NORMINV(RAND(),$B$6,$C$6)</f>
        <v>0.132253943152586</v>
      </c>
      <c r="C226" s="23" t="n">
        <f aca="true">MAX(0.15,NORMINV(RAND(),$B$7,$C$7))</f>
        <v>0.349169101739247</v>
      </c>
      <c r="D226" s="35" t="n">
        <f aca="true">MAX(0.06,NORMINV(RAND(),$B$8,$C$8))</f>
        <v>0.0925265326681333</v>
      </c>
      <c r="E226" s="55" t="n">
        <f aca="true">MAX(5,NORMINV(RAND(),$B$9,$C$9))</f>
        <v>11.3607939811612</v>
      </c>
      <c r="F226" s="28" t="n">
        <f aca="false">$B$18*(1+(B226+$B$17)/2)^9</f>
        <v>45991.2475871789</v>
      </c>
      <c r="G226" s="28" t="n">
        <f aca="false">F226*C226</f>
        <v>16058.7226078826</v>
      </c>
      <c r="H226" s="28" t="n">
        <f aca="false">E226*G226/(1+D226)^9</f>
        <v>82268.1525660907</v>
      </c>
      <c r="I226" s="28" t="n">
        <f aca="false">$B$13*G226/$B$12*((1+$B$8)/(1+D226))^4.5</f>
        <v>32290.5653363011</v>
      </c>
      <c r="J226" s="28" t="n">
        <f aca="false">H226+I226-$B$14-$B$19</f>
        <v>91896.3610330768</v>
      </c>
      <c r="K226" s="46" t="n">
        <f aca="false">J226/$B$15</f>
        <v>272.527761070809</v>
      </c>
    </row>
    <row r="227" customFormat="false" ht="15" hidden="false" customHeight="false" outlineLevel="0" collapsed="false">
      <c r="A227" s="54" t="n">
        <v>187</v>
      </c>
      <c r="B227" s="23" t="n">
        <f aca="true">NORMINV(RAND(),$B$6,$C$6)</f>
        <v>0.0645074900745238</v>
      </c>
      <c r="C227" s="23" t="n">
        <f aca="true">MAX(0.15,NORMINV(RAND(),$B$7,$C$7))</f>
        <v>0.23099002618877</v>
      </c>
      <c r="D227" s="35" t="n">
        <f aca="true">MAX(0.06,NORMINV(RAND(),$B$8,$C$8))</f>
        <v>0.086251715026144</v>
      </c>
      <c r="E227" s="55" t="n">
        <f aca="true">MAX(5,NORMINV(RAND(),$B$9,$C$9))</f>
        <v>7.96160073597008</v>
      </c>
      <c r="F227" s="28" t="n">
        <f aca="false">$B$18*(1+(B227+$B$17)/2)^9</f>
        <v>34511.1266582744</v>
      </c>
      <c r="G227" s="28" t="n">
        <f aca="false">F227*C227</f>
        <v>7971.72605059878</v>
      </c>
      <c r="H227" s="28" t="n">
        <f aca="false">E227*G227/(1+D227)^9</f>
        <v>30142.4454694232</v>
      </c>
      <c r="I227" s="28" t="n">
        <f aca="false">$B$13*G227/$B$12*((1+$B$8)/(1+D227))^4.5</f>
        <v>16450.3009584068</v>
      </c>
      <c r="J227" s="28" t="n">
        <f aca="false">H227+I227-$B$14-$B$19</f>
        <v>23930.3895585149</v>
      </c>
      <c r="K227" s="46" t="n">
        <f aca="false">J227/$B$15</f>
        <v>70.9679405649909</v>
      </c>
    </row>
    <row r="228" customFormat="false" ht="15" hidden="false" customHeight="false" outlineLevel="0" collapsed="false">
      <c r="A228" s="54" t="n">
        <v>188</v>
      </c>
      <c r="B228" s="23" t="n">
        <f aca="true">NORMINV(RAND(),$B$6,$C$6)</f>
        <v>0.0891955017861879</v>
      </c>
      <c r="C228" s="23" t="n">
        <f aca="true">MAX(0.15,NORMINV(RAND(),$B$7,$C$7))</f>
        <v>0.357618667537041</v>
      </c>
      <c r="D228" s="35" t="n">
        <f aca="true">MAX(0.06,NORMINV(RAND(),$B$8,$C$8))</f>
        <v>0.0855537108902559</v>
      </c>
      <c r="E228" s="55" t="n">
        <f aca="true">MAX(5,NORMINV(RAND(),$B$9,$C$9))</f>
        <v>8.67911353389521</v>
      </c>
      <c r="F228" s="28" t="n">
        <f aca="false">$B$18*(1+(B228+$B$17)/2)^9</f>
        <v>38359.2447263202</v>
      </c>
      <c r="G228" s="28" t="n">
        <f aca="false">F228*C228</f>
        <v>13717.9819867539</v>
      </c>
      <c r="H228" s="28" t="n">
        <f aca="false">E228*G228/(1+D228)^9</f>
        <v>56872.6874985651</v>
      </c>
      <c r="I228" s="28" t="n">
        <f aca="false">$B$13*G228/$B$12*((1+$B$8)/(1+D228))^4.5</f>
        <v>28390.1655599147</v>
      </c>
      <c r="J228" s="28" t="n">
        <f aca="false">H228+I228-$B$14-$B$19</f>
        <v>62600.4961891648</v>
      </c>
      <c r="K228" s="46" t="n">
        <f aca="false">J228/$B$15</f>
        <v>185.647972091236</v>
      </c>
    </row>
    <row r="229" customFormat="false" ht="15" hidden="false" customHeight="false" outlineLevel="0" collapsed="false">
      <c r="A229" s="54" t="n">
        <v>189</v>
      </c>
      <c r="B229" s="23" t="n">
        <f aca="true">NORMINV(RAND(),$B$6,$C$6)</f>
        <v>0.0916447050552255</v>
      </c>
      <c r="C229" s="23" t="n">
        <f aca="true">MAX(0.15,NORMINV(RAND(),$B$7,$C$7))</f>
        <v>0.369103027921938</v>
      </c>
      <c r="D229" s="35" t="n">
        <f aca="true">MAX(0.06,NORMINV(RAND(),$B$8,$C$8))</f>
        <v>0.0903634436518889</v>
      </c>
      <c r="E229" s="55" t="n">
        <f aca="true">MAX(5,NORMINV(RAND(),$B$9,$C$9))</f>
        <v>10.1047410027447</v>
      </c>
      <c r="F229" s="28" t="n">
        <f aca="false">$B$18*(1+(B229+$B$17)/2)^9</f>
        <v>38761.0405918532</v>
      </c>
      <c r="G229" s="28" t="n">
        <f aca="false">F229*C229</f>
        <v>14306.8174478582</v>
      </c>
      <c r="H229" s="28" t="n">
        <f aca="false">E229*G229/(1+D229)^9</f>
        <v>66363.1021371502</v>
      </c>
      <c r="I229" s="28" t="n">
        <f aca="false">$B$13*G229/$B$12*((1+$B$8)/(1+D229))^4.5</f>
        <v>29025.5784982461</v>
      </c>
      <c r="J229" s="28" t="n">
        <f aca="false">H229+I229-$B$14-$B$19</f>
        <v>72726.3237660812</v>
      </c>
      <c r="K229" s="46" t="n">
        <f aca="false">J229/$B$15</f>
        <v>215.677116744013</v>
      </c>
    </row>
    <row r="230" customFormat="false" ht="15" hidden="false" customHeight="false" outlineLevel="0" collapsed="false">
      <c r="A230" s="54" t="n">
        <v>190</v>
      </c>
      <c r="B230" s="23" t="n">
        <f aca="true">NORMINV(RAND(),$B$6,$C$6)</f>
        <v>0.0497650911857882</v>
      </c>
      <c r="C230" s="23" t="n">
        <f aca="true">MAX(0.15,NORMINV(RAND(),$B$7,$C$7))</f>
        <v>0.337441100184534</v>
      </c>
      <c r="D230" s="35" t="n">
        <f aca="true">MAX(0.06,NORMINV(RAND(),$B$8,$C$8))</f>
        <v>0.0888883884134202</v>
      </c>
      <c r="E230" s="55" t="n">
        <f aca="true">MAX(5,NORMINV(RAND(),$B$9,$C$9))</f>
        <v>9.42317505389146</v>
      </c>
      <c r="F230" s="28" t="n">
        <f aca="false">$B$18*(1+(B230+$B$17)/2)^9</f>
        <v>32380.5437219603</v>
      </c>
      <c r="G230" s="28" t="n">
        <f aca="false">F230*C230</f>
        <v>10926.5262981117</v>
      </c>
      <c r="H230" s="28" t="n">
        <f aca="false">E230*G230/(1+D230)^9</f>
        <v>47844.1754839724</v>
      </c>
      <c r="I230" s="28" t="n">
        <f aca="false">$B$13*G230/$B$12*((1+$B$8)/(1+D230))^4.5</f>
        <v>22303.1181822467</v>
      </c>
      <c r="J230" s="28" t="n">
        <f aca="false">H230+I230-$B$14-$B$19</f>
        <v>47484.936796904</v>
      </c>
      <c r="K230" s="46" t="n">
        <f aca="false">J230/$B$15</f>
        <v>140.821283502088</v>
      </c>
    </row>
    <row r="231" customFormat="false" ht="15" hidden="false" customHeight="false" outlineLevel="0" collapsed="false">
      <c r="A231" s="54" t="n">
        <v>191</v>
      </c>
      <c r="B231" s="23" t="n">
        <f aca="true">NORMINV(RAND(),$B$6,$C$6)</f>
        <v>0.0624293252405977</v>
      </c>
      <c r="C231" s="23" t="n">
        <f aca="true">MAX(0.15,NORMINV(RAND(),$B$7,$C$7))</f>
        <v>0.333911810821451</v>
      </c>
      <c r="D231" s="35" t="n">
        <f aca="true">MAX(0.06,NORMINV(RAND(),$B$8,$C$8))</f>
        <v>0.0907232915079175</v>
      </c>
      <c r="E231" s="55" t="n">
        <f aca="true">MAX(5,NORMINV(RAND(),$B$9,$C$9))</f>
        <v>7.81722677881695</v>
      </c>
      <c r="F231" s="28" t="n">
        <f aca="false">$B$18*(1+(B231+$B$17)/2)^9</f>
        <v>34203.4386772151</v>
      </c>
      <c r="G231" s="28" t="n">
        <f aca="false">F231*C231</f>
        <v>11420.9321450293</v>
      </c>
      <c r="H231" s="28" t="n">
        <f aca="false">E231*G231/(1+D231)^9</f>
        <v>40862.3159251518</v>
      </c>
      <c r="I231" s="28" t="n">
        <f aca="false">$B$13*G231/$B$12*((1+$B$8)/(1+D231))^4.5</f>
        <v>23136.3331322385</v>
      </c>
      <c r="J231" s="28" t="n">
        <f aca="false">H231+I231-$B$14-$B$19</f>
        <v>41336.2921880753</v>
      </c>
      <c r="K231" s="46" t="n">
        <f aca="false">J231/$B$15</f>
        <v>122.586868885158</v>
      </c>
    </row>
    <row r="232" customFormat="false" ht="15" hidden="false" customHeight="false" outlineLevel="0" collapsed="false">
      <c r="A232" s="54" t="n">
        <v>192</v>
      </c>
      <c r="B232" s="23" t="n">
        <f aca="true">NORMINV(RAND(),$B$6,$C$6)</f>
        <v>0.10495308350881</v>
      </c>
      <c r="C232" s="23" t="n">
        <f aca="true">MAX(0.15,NORMINV(RAND(),$B$7,$C$7))</f>
        <v>0.320516484929607</v>
      </c>
      <c r="D232" s="35" t="n">
        <f aca="true">MAX(0.06,NORMINV(RAND(),$B$8,$C$8))</f>
        <v>0.0961041510421375</v>
      </c>
      <c r="E232" s="55" t="n">
        <f aca="true">MAX(5,NORMINV(RAND(),$B$9,$C$9))</f>
        <v>5.13424056041663</v>
      </c>
      <c r="F232" s="28" t="n">
        <f aca="false">$B$18*(1+(B232+$B$17)/2)^9</f>
        <v>41010.4073692388</v>
      </c>
      <c r="G232" s="28" t="n">
        <f aca="false">F232*C232</f>
        <v>13144.5116155197</v>
      </c>
      <c r="H232" s="28" t="n">
        <f aca="false">E232*G232/(1+D232)^9</f>
        <v>29549.7809374111</v>
      </c>
      <c r="I232" s="28" t="n">
        <f aca="false">$B$13*G232/$B$12*((1+$B$8)/(1+D232))^4.5</f>
        <v>26044.7308457553</v>
      </c>
      <c r="J232" s="28" t="n">
        <f aca="false">H232+I232-$B$14-$B$19</f>
        <v>32932.1549138513</v>
      </c>
      <c r="K232" s="46" t="n">
        <f aca="false">J232/$B$15</f>
        <v>97.6635673601758</v>
      </c>
    </row>
    <row r="233" customFormat="false" ht="15" hidden="false" customHeight="false" outlineLevel="0" collapsed="false">
      <c r="A233" s="54" t="n">
        <v>193</v>
      </c>
      <c r="B233" s="23" t="n">
        <f aca="true">NORMINV(RAND(),$B$6,$C$6)</f>
        <v>0.0862424291565614</v>
      </c>
      <c r="C233" s="23" t="n">
        <f aca="true">MAX(0.15,NORMINV(RAND(),$B$7,$C$7))</f>
        <v>0.320896884271154</v>
      </c>
      <c r="D233" s="35" t="n">
        <f aca="true">MAX(0.06,NORMINV(RAND(),$B$8,$C$8))</f>
        <v>0.103971905227247</v>
      </c>
      <c r="E233" s="55" t="n">
        <f aca="true">MAX(5,NORMINV(RAND(),$B$9,$C$9))</f>
        <v>8.57760125829355</v>
      </c>
      <c r="F233" s="28" t="n">
        <f aca="false">$B$18*(1+(B233+$B$17)/2)^9</f>
        <v>37879.7142517368</v>
      </c>
      <c r="G233" s="28" t="n">
        <f aca="false">F233*C233</f>
        <v>12155.4822804639</v>
      </c>
      <c r="H233" s="28" t="n">
        <f aca="false">E233*G233/(1+D233)^9</f>
        <v>42807.1048936159</v>
      </c>
      <c r="I233" s="28" t="n">
        <f aca="false">$B$13*G233/$B$12*((1+$B$8)/(1+D233))^4.5</f>
        <v>23322.2109450141</v>
      </c>
      <c r="J233" s="28" t="n">
        <f aca="false">H233+I233-$B$14-$B$19</f>
        <v>43466.9589693149</v>
      </c>
      <c r="K233" s="46" t="n">
        <f aca="false">J233/$B$15</f>
        <v>128.905572269617</v>
      </c>
    </row>
    <row r="234" customFormat="false" ht="15" hidden="false" customHeight="false" outlineLevel="0" collapsed="false">
      <c r="A234" s="54" t="n">
        <v>194</v>
      </c>
      <c r="B234" s="23" t="n">
        <f aca="true">NORMINV(RAND(),$B$6,$C$6)</f>
        <v>0.0552469222647335</v>
      </c>
      <c r="C234" s="23" t="n">
        <f aca="true">MAX(0.15,NORMINV(RAND(),$B$7,$C$7))</f>
        <v>0.353766101101446</v>
      </c>
      <c r="D234" s="35" t="n">
        <f aca="true">MAX(0.06,NORMINV(RAND(),$B$8,$C$8))</f>
        <v>0.085484325303322</v>
      </c>
      <c r="E234" s="55" t="n">
        <f aca="true">MAX(5,NORMINV(RAND(),$B$9,$C$9))</f>
        <v>9.07782855451339</v>
      </c>
      <c r="F234" s="28" t="n">
        <f aca="false">$B$18*(1+(B234+$B$17)/2)^9</f>
        <v>33158.7187070598</v>
      </c>
      <c r="G234" s="28" t="n">
        <f aca="false">F234*C234</f>
        <v>11730.4306345161</v>
      </c>
      <c r="H234" s="28" t="n">
        <f aca="false">E234*G234/(1+D234)^9</f>
        <v>50896.0318508495</v>
      </c>
      <c r="I234" s="28" t="n">
        <f aca="false">$B$13*G234/$B$12*((1+$B$8)/(1+D234))^4.5</f>
        <v>24283.7957680116</v>
      </c>
      <c r="J234" s="28" t="n">
        <f aca="false">H234+I234-$B$14-$B$19</f>
        <v>52517.470749546</v>
      </c>
      <c r="K234" s="46" t="n">
        <f aca="false">J234/$B$15</f>
        <v>155.74576141621</v>
      </c>
    </row>
    <row r="235" customFormat="false" ht="15" hidden="false" customHeight="false" outlineLevel="0" collapsed="false">
      <c r="A235" s="54" t="n">
        <v>195</v>
      </c>
      <c r="B235" s="23" t="n">
        <f aca="true">NORMINV(RAND(),$B$6,$C$6)</f>
        <v>0.0996087157312891</v>
      </c>
      <c r="C235" s="23" t="n">
        <f aca="true">MAX(0.15,NORMINV(RAND(),$B$7,$C$7))</f>
        <v>0.349916253487991</v>
      </c>
      <c r="D235" s="35" t="n">
        <f aca="true">MAX(0.06,NORMINV(RAND(),$B$8,$C$8))</f>
        <v>0.0931850973101088</v>
      </c>
      <c r="E235" s="55" t="n">
        <f aca="true">MAX(5,NORMINV(RAND(),$B$9,$C$9))</f>
        <v>11.3345105317883</v>
      </c>
      <c r="F235" s="28" t="n">
        <f aca="false">$B$18*(1+(B235+$B$17)/2)^9</f>
        <v>40093.5374704491</v>
      </c>
      <c r="G235" s="28" t="n">
        <f aca="false">F235*C235</f>
        <v>14029.38042074</v>
      </c>
      <c r="H235" s="28" t="n">
        <f aca="false">E235*G235/(1+D235)^9</f>
        <v>71317.8001580646</v>
      </c>
      <c r="I235" s="28" t="n">
        <f aca="false">$B$13*G235/$B$12*((1+$B$8)/(1+D235))^4.5</f>
        <v>28133.6091856159</v>
      </c>
      <c r="J235" s="28" t="n">
        <f aca="false">H235+I235-$B$14-$B$19</f>
        <v>76789.0524743654</v>
      </c>
      <c r="K235" s="46" t="n">
        <f aca="false">J235/$B$15</f>
        <v>227.725541145805</v>
      </c>
    </row>
    <row r="236" customFormat="false" ht="15" hidden="false" customHeight="false" outlineLevel="0" collapsed="false">
      <c r="A236" s="54" t="n">
        <v>196</v>
      </c>
      <c r="B236" s="23" t="n">
        <f aca="true">NORMINV(RAND(),$B$6,$C$6)</f>
        <v>0.105518632576749</v>
      </c>
      <c r="C236" s="23" t="n">
        <f aca="true">MAX(0.15,NORMINV(RAND(),$B$7,$C$7))</f>
        <v>0.293387183009075</v>
      </c>
      <c r="D236" s="35" t="n">
        <f aca="true">MAX(0.06,NORMINV(RAND(),$B$8,$C$8))</f>
        <v>0.0922163313019716</v>
      </c>
      <c r="E236" s="55" t="n">
        <f aca="true">MAX(5,NORMINV(RAND(),$B$9,$C$9))</f>
        <v>8.56955303297175</v>
      </c>
      <c r="F236" s="28" t="n">
        <f aca="false">$B$18*(1+(B236+$B$17)/2)^9</f>
        <v>41108.5139513657</v>
      </c>
      <c r="G236" s="28" t="n">
        <f aca="false">F236*C236</f>
        <v>12060.7111058805</v>
      </c>
      <c r="H236" s="28" t="n">
        <f aca="false">E236*G236/(1+D236)^9</f>
        <v>46725.406836989</v>
      </c>
      <c r="I236" s="28" t="n">
        <f aca="false">$B$13*G236/$B$12*((1+$B$8)/(1+D236))^4.5</f>
        <v>24282.4519461849</v>
      </c>
      <c r="J236" s="28" t="n">
        <f aca="false">H236+I236-$B$14-$B$19</f>
        <v>48345.5019138589</v>
      </c>
      <c r="K236" s="46" t="n">
        <f aca="false">J236/$B$15</f>
        <v>143.37337459626</v>
      </c>
    </row>
    <row r="237" customFormat="false" ht="15" hidden="false" customHeight="false" outlineLevel="0" collapsed="false">
      <c r="A237" s="54" t="n">
        <v>197</v>
      </c>
      <c r="B237" s="23" t="n">
        <f aca="true">NORMINV(RAND(),$B$6,$C$6)</f>
        <v>0.125239091872479</v>
      </c>
      <c r="C237" s="23" t="n">
        <f aca="true">MAX(0.15,NORMINV(RAND(),$B$7,$C$7))</f>
        <v>0.297839103041566</v>
      </c>
      <c r="D237" s="35" t="n">
        <f aca="true">MAX(0.06,NORMINV(RAND(),$B$8,$C$8))</f>
        <v>0.0936536226248221</v>
      </c>
      <c r="E237" s="55" t="n">
        <f aca="true">MAX(5,NORMINV(RAND(),$B$9,$C$9))</f>
        <v>6.93365928105046</v>
      </c>
      <c r="F237" s="28" t="n">
        <f aca="false">$B$18*(1+(B237+$B$17)/2)^9</f>
        <v>44662.6539122816</v>
      </c>
      <c r="G237" s="28" t="n">
        <f aca="false">F237*C237</f>
        <v>13302.2847806898</v>
      </c>
      <c r="H237" s="28" t="n">
        <f aca="false">E237*G237/(1+D237)^9</f>
        <v>41206.9599111476</v>
      </c>
      <c r="I237" s="28" t="n">
        <f aca="false">$B$13*G237/$B$12*((1+$B$8)/(1+D237))^4.5</f>
        <v>26624.1517537293</v>
      </c>
      <c r="J237" s="28" t="n">
        <f aca="false">H237+I237-$B$14-$B$19</f>
        <v>45168.7547955618</v>
      </c>
      <c r="K237" s="46" t="n">
        <f aca="false">J237/$B$15</f>
        <v>133.952416356945</v>
      </c>
    </row>
    <row r="238" customFormat="false" ht="15" hidden="false" customHeight="false" outlineLevel="0" collapsed="false">
      <c r="A238" s="54" t="n">
        <v>198</v>
      </c>
      <c r="B238" s="23" t="n">
        <f aca="true">NORMINV(RAND(),$B$6,$C$6)</f>
        <v>0.0829662212234171</v>
      </c>
      <c r="C238" s="23" t="n">
        <f aca="true">MAX(0.15,NORMINV(RAND(),$B$7,$C$7))</f>
        <v>0.332957973345446</v>
      </c>
      <c r="D238" s="35" t="n">
        <f aca="true">MAX(0.06,NORMINV(RAND(),$B$8,$C$8))</f>
        <v>0.0821854715270831</v>
      </c>
      <c r="E238" s="55" t="n">
        <f aca="true">MAX(5,NORMINV(RAND(),$B$9,$C$9))</f>
        <v>10.1681809165913</v>
      </c>
      <c r="F238" s="28" t="n">
        <f aca="false">$B$18*(1+(B238+$B$17)/2)^9</f>
        <v>37353.9534356708</v>
      </c>
      <c r="G238" s="28" t="n">
        <f aca="false">F238*C238</f>
        <v>12437.2966323811</v>
      </c>
      <c r="H238" s="28" t="n">
        <f aca="false">E238*G238/(1+D238)^9</f>
        <v>62123.2209204818</v>
      </c>
      <c r="I238" s="28" t="n">
        <f aca="false">$B$13*G238/$B$12*((1+$B$8)/(1+D238))^4.5</f>
        <v>26102.1911888349</v>
      </c>
      <c r="J238" s="28" t="n">
        <f aca="false">H238+I238-$B$14-$B$19</f>
        <v>65563.0552400017</v>
      </c>
      <c r="K238" s="46" t="n">
        <f aca="false">J238/$B$15</f>
        <v>194.433734400954</v>
      </c>
    </row>
    <row r="239" customFormat="false" ht="15" hidden="false" customHeight="false" outlineLevel="0" collapsed="false">
      <c r="A239" s="54" t="n">
        <v>199</v>
      </c>
      <c r="B239" s="23" t="n">
        <f aca="true">NORMINV(RAND(),$B$6,$C$6)</f>
        <v>0.0761194717353037</v>
      </c>
      <c r="C239" s="23" t="n">
        <f aca="true">MAX(0.15,NORMINV(RAND(),$B$7,$C$7))</f>
        <v>0.235180914828505</v>
      </c>
      <c r="D239" s="35" t="n">
        <f aca="true">MAX(0.06,NORMINV(RAND(),$B$8,$C$8))</f>
        <v>0.0865614298514529</v>
      </c>
      <c r="E239" s="55" t="n">
        <f aca="true">MAX(5,NORMINV(RAND(),$B$9,$C$9))</f>
        <v>9.89038445884762</v>
      </c>
      <c r="F239" s="28" t="n">
        <f aca="false">$B$18*(1+(B239+$B$17)/2)^9</f>
        <v>36276.0903564595</v>
      </c>
      <c r="G239" s="28" t="n">
        <f aca="false">F239*C239</f>
        <v>8531.44411643367</v>
      </c>
      <c r="H239" s="28" t="n">
        <f aca="false">E239*G239/(1+D239)^9</f>
        <v>39971.1977756418</v>
      </c>
      <c r="I239" s="28" t="n">
        <f aca="false">$B$13*G239/$B$12*((1+$B$8)/(1+D239))^4.5</f>
        <v>17582.7535875571</v>
      </c>
      <c r="J239" s="28" t="n">
        <f aca="false">H239+I239-$B$14-$B$19</f>
        <v>34891.5944938838</v>
      </c>
      <c r="K239" s="46" t="n">
        <f aca="false">J239/$B$15</f>
        <v>103.474479519228</v>
      </c>
    </row>
    <row r="240" customFormat="false" ht="15" hidden="false" customHeight="false" outlineLevel="0" collapsed="false">
      <c r="A240" s="54" t="n">
        <v>200</v>
      </c>
      <c r="B240" s="23" t="n">
        <f aca="true">NORMINV(RAND(),$B$6,$C$6)</f>
        <v>0.0955302677172372</v>
      </c>
      <c r="C240" s="23" t="n">
        <f aca="true">MAX(0.15,NORMINV(RAND(),$B$7,$C$7))</f>
        <v>0.290474800269408</v>
      </c>
      <c r="D240" s="35" t="n">
        <f aca="true">MAX(0.06,NORMINV(RAND(),$B$8,$C$8))</f>
        <v>0.0947498751762045</v>
      </c>
      <c r="E240" s="55" t="n">
        <f aca="true">MAX(5,NORMINV(RAND(),$B$9,$C$9))</f>
        <v>9.45372117925968</v>
      </c>
      <c r="F240" s="28" t="n">
        <f aca="false">$B$18*(1+(B240+$B$17)/2)^9</f>
        <v>39406.1521225493</v>
      </c>
      <c r="G240" s="28" t="n">
        <f aca="false">F240*C240</f>
        <v>11446.4941671834</v>
      </c>
      <c r="H240" s="28" t="n">
        <f aca="false">E240*G240/(1+D240)^9</f>
        <v>47911.6515540483</v>
      </c>
      <c r="I240" s="28" t="n">
        <f aca="false">$B$13*G240/$B$12*((1+$B$8)/(1+D240))^4.5</f>
        <v>22806.7836079848</v>
      </c>
      <c r="J240" s="28" t="n">
        <f aca="false">H240+I240-$B$14-$B$19</f>
        <v>48056.078292718</v>
      </c>
      <c r="K240" s="46" t="n">
        <f aca="false">J240/$B$15</f>
        <v>142.515060180065</v>
      </c>
    </row>
    <row r="241" customFormat="false" ht="15" hidden="false" customHeight="false" outlineLevel="0" collapsed="false">
      <c r="A241" s="54" t="n">
        <v>201</v>
      </c>
      <c r="B241" s="23" t="n">
        <f aca="true">NORMINV(RAND(),$B$6,$C$6)</f>
        <v>0.0937184644235925</v>
      </c>
      <c r="C241" s="23" t="n">
        <f aca="true">MAX(0.15,NORMINV(RAND(),$B$7,$C$7))</f>
        <v>0.352363829885163</v>
      </c>
      <c r="D241" s="35" t="n">
        <f aca="true">MAX(0.06,NORMINV(RAND(),$B$8,$C$8))</f>
        <v>0.0859363848635614</v>
      </c>
      <c r="E241" s="55" t="n">
        <f aca="true">MAX(5,NORMINV(RAND(),$B$9,$C$9))</f>
        <v>10.8376515677618</v>
      </c>
      <c r="F241" s="28" t="n">
        <f aca="false">$B$18*(1+(B241+$B$17)/2)^9</f>
        <v>39104.164412965</v>
      </c>
      <c r="G241" s="28" t="n">
        <f aca="false">F241*C241</f>
        <v>13778.8931370114</v>
      </c>
      <c r="H241" s="28" t="n">
        <f aca="false">E241*G241/(1+D241)^9</f>
        <v>71106.6231508245</v>
      </c>
      <c r="I241" s="28" t="n">
        <f aca="false">$B$13*G241/$B$12*((1+$B$8)/(1+D241))^4.5</f>
        <v>28471.0327773997</v>
      </c>
      <c r="J241" s="28" t="n">
        <f aca="false">H241+I241-$B$14-$B$19</f>
        <v>76915.2990589092</v>
      </c>
      <c r="K241" s="46" t="n">
        <f aca="false">J241/$B$15</f>
        <v>228.099937897121</v>
      </c>
    </row>
    <row r="242" customFormat="false" ht="15" hidden="false" customHeight="false" outlineLevel="0" collapsed="false">
      <c r="A242" s="54" t="n">
        <v>202</v>
      </c>
      <c r="B242" s="23" t="n">
        <f aca="true">NORMINV(RAND(),$B$6,$C$6)</f>
        <v>0.098148020827228</v>
      </c>
      <c r="C242" s="23" t="n">
        <f aca="true">MAX(0.15,NORMINV(RAND(),$B$7,$C$7))</f>
        <v>0.325151008066506</v>
      </c>
      <c r="D242" s="35" t="n">
        <f aca="true">MAX(0.06,NORMINV(RAND(),$B$8,$C$8))</f>
        <v>0.0881651563608424</v>
      </c>
      <c r="E242" s="55" t="n">
        <f aca="true">MAX(5,NORMINV(RAND(),$B$9,$C$9))</f>
        <v>11.0012707881126</v>
      </c>
      <c r="F242" s="28" t="n">
        <f aca="false">$B$18*(1+(B242+$B$17)/2)^9</f>
        <v>39846.1353695086</v>
      </c>
      <c r="G242" s="28" t="n">
        <f aca="false">F242*C242</f>
        <v>12956.0110829502</v>
      </c>
      <c r="H242" s="28" t="n">
        <f aca="false">E242*G242/(1+D242)^9</f>
        <v>66628.6212481897</v>
      </c>
      <c r="I242" s="28" t="n">
        <f aca="false">$B$13*G242/$B$12*((1+$B$8)/(1+D242))^4.5</f>
        <v>26524.8698460604</v>
      </c>
      <c r="J242" s="28" t="n">
        <f aca="false">H242+I242-$B$14-$B$19</f>
        <v>70491.134224935</v>
      </c>
      <c r="K242" s="46" t="n">
        <f aca="false">J242/$B$15</f>
        <v>209.048440761966</v>
      </c>
    </row>
    <row r="243" customFormat="false" ht="15" hidden="false" customHeight="false" outlineLevel="0" collapsed="false">
      <c r="A243" s="54" t="n">
        <v>203</v>
      </c>
      <c r="B243" s="23" t="n">
        <f aca="true">NORMINV(RAND(),$B$6,$C$6)</f>
        <v>0.0297755762098132</v>
      </c>
      <c r="C243" s="23" t="n">
        <f aca="true">MAX(0.15,NORMINV(RAND(),$B$7,$C$7))</f>
        <v>0.291895157995617</v>
      </c>
      <c r="D243" s="35" t="n">
        <f aca="true">MAX(0.06,NORMINV(RAND(),$B$8,$C$8))</f>
        <v>0.097926853036462</v>
      </c>
      <c r="E243" s="55" t="n">
        <f aca="true">MAX(5,NORMINV(RAND(),$B$9,$C$9))</f>
        <v>10.4359592628076</v>
      </c>
      <c r="F243" s="28" t="n">
        <f aca="false">$B$18*(1+(B243+$B$17)/2)^9</f>
        <v>29678.5925425203</v>
      </c>
      <c r="G243" s="28" t="n">
        <f aca="false">F243*C243</f>
        <v>8663.03745928651</v>
      </c>
      <c r="H243" s="28" t="n">
        <f aca="false">E243*G243/(1+D243)^9</f>
        <v>38997.9612123017</v>
      </c>
      <c r="I243" s="28" t="n">
        <f aca="false">$B$13*G243/$B$12*((1+$B$8)/(1+D243))^4.5</f>
        <v>17037.2101476914</v>
      </c>
      <c r="J243" s="28" t="n">
        <f aca="false">H243+I243-$B$14-$B$19</f>
        <v>33372.8144906781</v>
      </c>
      <c r="K243" s="46" t="n">
        <f aca="false">J243/$B$15</f>
        <v>98.970386983031</v>
      </c>
    </row>
    <row r="244" customFormat="false" ht="15" hidden="false" customHeight="false" outlineLevel="0" collapsed="false">
      <c r="A244" s="54" t="n">
        <v>204</v>
      </c>
      <c r="B244" s="23" t="n">
        <f aca="true">NORMINV(RAND(),$B$6,$C$6)</f>
        <v>0.100662223347794</v>
      </c>
      <c r="C244" s="23" t="n">
        <f aca="true">MAX(0.15,NORMINV(RAND(),$B$7,$C$7))</f>
        <v>0.318598317179639</v>
      </c>
      <c r="D244" s="35" t="n">
        <f aca="true">MAX(0.06,NORMINV(RAND(),$B$8,$C$8))</f>
        <v>0.102799615816364</v>
      </c>
      <c r="E244" s="55" t="n">
        <f aca="true">MAX(5,NORMINV(RAND(),$B$9,$C$9))</f>
        <v>10.9837051020901</v>
      </c>
      <c r="F244" s="28" t="n">
        <f aca="false">$B$18*(1+(B244+$B$17)/2)^9</f>
        <v>40272.8196589521</v>
      </c>
      <c r="G244" s="28" t="n">
        <f aca="false">F244*C244</f>
        <v>12830.8525714212</v>
      </c>
      <c r="H244" s="28" t="n">
        <f aca="false">E244*G244/(1+D244)^9</f>
        <v>58416.4180783167</v>
      </c>
      <c r="I244" s="28" t="n">
        <f aca="false">$B$13*G244/$B$12*((1+$B$8)/(1+D244))^4.5</f>
        <v>24735.9963122113</v>
      </c>
      <c r="J244" s="28" t="n">
        <f aca="false">H244+I244-$B$14-$B$19</f>
        <v>60490.0575212129</v>
      </c>
      <c r="K244" s="46" t="n">
        <f aca="false">J244/$B$15</f>
        <v>179.389257180347</v>
      </c>
    </row>
    <row r="245" customFormat="false" ht="15" hidden="false" customHeight="false" outlineLevel="0" collapsed="false">
      <c r="A245" s="54" t="n">
        <v>205</v>
      </c>
      <c r="B245" s="23" t="n">
        <f aca="true">NORMINV(RAND(),$B$6,$C$6)</f>
        <v>0.060005024980879</v>
      </c>
      <c r="C245" s="23" t="n">
        <f aca="true">MAX(0.15,NORMINV(RAND(),$B$7,$C$7))</f>
        <v>0.287536501050163</v>
      </c>
      <c r="D245" s="35" t="n">
        <f aca="true">MAX(0.06,NORMINV(RAND(),$B$8,$C$8))</f>
        <v>0.101143313947074</v>
      </c>
      <c r="E245" s="55" t="n">
        <f aca="true">MAX(5,NORMINV(RAND(),$B$9,$C$9))</f>
        <v>9.01527047132999</v>
      </c>
      <c r="F245" s="28" t="n">
        <f aca="false">$B$18*(1+(B245+$B$17)/2)^9</f>
        <v>33847.5860594751</v>
      </c>
      <c r="G245" s="28" t="n">
        <f aca="false">F245*C245</f>
        <v>9732.41646453575</v>
      </c>
      <c r="H245" s="28" t="n">
        <f aca="false">E245*G245/(1+D245)^9</f>
        <v>36864.201415768</v>
      </c>
      <c r="I245" s="28" t="n">
        <f aca="false">$B$13*G245/$B$12*((1+$B$8)/(1+D245))^4.5</f>
        <v>18890.0017162049</v>
      </c>
      <c r="J245" s="28" t="n">
        <f aca="false">H245+I245-$B$14-$B$19</f>
        <v>33091.8462626578</v>
      </c>
      <c r="K245" s="46" t="n">
        <f aca="false">J245/$B$15</f>
        <v>98.1371478726508</v>
      </c>
    </row>
    <row r="246" customFormat="false" ht="15" hidden="false" customHeight="false" outlineLevel="0" collapsed="false">
      <c r="A246" s="54" t="n">
        <v>206</v>
      </c>
      <c r="B246" s="23" t="n">
        <f aca="true">NORMINV(RAND(),$B$6,$C$6)</f>
        <v>0.13909956575733</v>
      </c>
      <c r="C246" s="23" t="n">
        <f aca="true">MAX(0.15,NORMINV(RAND(),$B$7,$C$7))</f>
        <v>0.318584765003722</v>
      </c>
      <c r="D246" s="35" t="n">
        <f aca="true">MAX(0.06,NORMINV(RAND(),$B$8,$C$8))</f>
        <v>0.0903055234183584</v>
      </c>
      <c r="E246" s="55" t="n">
        <f aca="true">MAX(5,NORMINV(RAND(),$B$9,$C$9))</f>
        <v>10.9306043102837</v>
      </c>
      <c r="F246" s="28" t="n">
        <f aca="false">$B$18*(1+(B246+$B$17)/2)^9</f>
        <v>47321.542035502</v>
      </c>
      <c r="G246" s="28" t="n">
        <f aca="false">F246*C246</f>
        <v>15075.9223489942</v>
      </c>
      <c r="H246" s="28" t="n">
        <f aca="false">E246*G246/(1+D246)^9</f>
        <v>75682.270940762</v>
      </c>
      <c r="I246" s="28" t="n">
        <f aca="false">$B$13*G246/$B$12*((1+$B$8)/(1+D246))^4.5</f>
        <v>30593.2458819534</v>
      </c>
      <c r="J246" s="28" t="n">
        <f aca="false">H246+I246-$B$14-$B$19</f>
        <v>83613.1599534004</v>
      </c>
      <c r="K246" s="46" t="n">
        <f aca="false">J246/$B$15</f>
        <v>247.96310780961</v>
      </c>
    </row>
    <row r="247" customFormat="false" ht="15" hidden="false" customHeight="false" outlineLevel="0" collapsed="false">
      <c r="A247" s="54" t="n">
        <v>207</v>
      </c>
      <c r="B247" s="23" t="n">
        <f aca="true">NORMINV(RAND(),$B$6,$C$6)</f>
        <v>0.0312558676318613</v>
      </c>
      <c r="C247" s="23" t="n">
        <f aca="true">MAX(0.15,NORMINV(RAND(),$B$7,$C$7))</f>
        <v>0.355490534645113</v>
      </c>
      <c r="D247" s="35" t="n">
        <f aca="true">MAX(0.06,NORMINV(RAND(),$B$8,$C$8))</f>
        <v>0.103664927335025</v>
      </c>
      <c r="E247" s="55" t="n">
        <f aca="true">MAX(5,NORMINV(RAND(),$B$9,$C$9))</f>
        <v>10.7030265275088</v>
      </c>
      <c r="F247" s="28" t="n">
        <f aca="false">$B$18*(1+(B247+$B$17)/2)^9</f>
        <v>29871.5761533033</v>
      </c>
      <c r="G247" s="28" t="n">
        <f aca="false">F247*C247</f>
        <v>10619.06257743</v>
      </c>
      <c r="H247" s="28" t="n">
        <f aca="false">E247*G247/(1+D247)^9</f>
        <v>46779.7188662353</v>
      </c>
      <c r="I247" s="28" t="n">
        <f aca="false">$B$13*G247/$B$12*((1+$B$8)/(1+D247))^4.5</f>
        <v>20399.8612271449</v>
      </c>
      <c r="J247" s="28" t="n">
        <f aca="false">H247+I247-$B$14-$B$19</f>
        <v>44517.2232240651</v>
      </c>
      <c r="K247" s="46" t="n">
        <f aca="false">J247/$B$15</f>
        <v>132.020234946812</v>
      </c>
    </row>
    <row r="248" customFormat="false" ht="15" hidden="false" customHeight="false" outlineLevel="0" collapsed="false">
      <c r="A248" s="54" t="n">
        <v>208</v>
      </c>
      <c r="B248" s="23" t="n">
        <f aca="true">NORMINV(RAND(),$B$6,$C$6)</f>
        <v>0.069858171906461</v>
      </c>
      <c r="C248" s="23" t="n">
        <f aca="true">MAX(0.15,NORMINV(RAND(),$B$7,$C$7))</f>
        <v>0.332359716449103</v>
      </c>
      <c r="D248" s="35" t="n">
        <f aca="true">MAX(0.06,NORMINV(RAND(),$B$8,$C$8))</f>
        <v>0.0921967044347051</v>
      </c>
      <c r="E248" s="55" t="n">
        <f aca="true">MAX(5,NORMINV(RAND(),$B$9,$C$9))</f>
        <v>10.3628614800278</v>
      </c>
      <c r="F248" s="28" t="n">
        <f aca="false">$B$18*(1+(B248+$B$17)/2)^9</f>
        <v>35314.6880875952</v>
      </c>
      <c r="G248" s="28" t="n">
        <f aca="false">F248*C248</f>
        <v>11737.1797192817</v>
      </c>
      <c r="H248" s="28" t="n">
        <f aca="false">E248*G248/(1+D248)^9</f>
        <v>54996.5810309236</v>
      </c>
      <c r="I248" s="28" t="n">
        <f aca="false">$B$13*G248/$B$12*((1+$B$8)/(1+D248))^4.5</f>
        <v>23632.980508364</v>
      </c>
      <c r="J248" s="28" t="n">
        <f aca="false">H248+I248-$B$14-$B$19</f>
        <v>55967.2046699726</v>
      </c>
      <c r="K248" s="46" t="n">
        <f aca="false">J248/$B$15</f>
        <v>165.976289056858</v>
      </c>
    </row>
    <row r="249" customFormat="false" ht="15" hidden="false" customHeight="false" outlineLevel="0" collapsed="false">
      <c r="A249" s="54" t="n">
        <v>209</v>
      </c>
      <c r="B249" s="23" t="n">
        <f aca="true">NORMINV(RAND(),$B$6,$C$6)</f>
        <v>0.149648264191632</v>
      </c>
      <c r="C249" s="23" t="n">
        <f aca="true">MAX(0.15,NORMINV(RAND(),$B$7,$C$7))</f>
        <v>0.357007856156792</v>
      </c>
      <c r="D249" s="35" t="n">
        <f aca="true">MAX(0.06,NORMINV(RAND(),$B$8,$C$8))</f>
        <v>0.0933876540550653</v>
      </c>
      <c r="E249" s="55" t="n">
        <f aca="true">MAX(5,NORMINV(RAND(),$B$9,$C$9))</f>
        <v>11.8981024953151</v>
      </c>
      <c r="F249" s="28" t="n">
        <f aca="false">$B$18*(1+(B249+$B$17)/2)^9</f>
        <v>49438.4618294959</v>
      </c>
      <c r="G249" s="28" t="n">
        <f aca="false">F249*C249</f>
        <v>17649.9192694377</v>
      </c>
      <c r="H249" s="28" t="n">
        <f aca="false">E249*G249/(1+D249)^9</f>
        <v>94027.0773684872</v>
      </c>
      <c r="I249" s="28" t="n">
        <f aca="false">$B$13*G249/$B$12*((1+$B$8)/(1+D249))^4.5</f>
        <v>35364.5061359738</v>
      </c>
      <c r="J249" s="28" t="n">
        <f aca="false">H249+I249-$B$14-$B$19</f>
        <v>106729.226635146</v>
      </c>
      <c r="K249" s="46" t="n">
        <f aca="false">J249/$B$15</f>
        <v>316.516093224039</v>
      </c>
    </row>
    <row r="250" customFormat="false" ht="15" hidden="false" customHeight="false" outlineLevel="0" collapsed="false">
      <c r="A250" s="54" t="n">
        <v>210</v>
      </c>
      <c r="B250" s="23" t="n">
        <f aca="true">NORMINV(RAND(),$B$6,$C$6)</f>
        <v>0.10612173919578</v>
      </c>
      <c r="C250" s="23" t="n">
        <f aca="true">MAX(0.15,NORMINV(RAND(),$B$7,$C$7))</f>
        <v>0.312335749400611</v>
      </c>
      <c r="D250" s="35" t="n">
        <f aca="true">MAX(0.06,NORMINV(RAND(),$B$8,$C$8))</f>
        <v>0.0913153523827956</v>
      </c>
      <c r="E250" s="55" t="n">
        <f aca="true">MAX(5,NORMINV(RAND(),$B$9,$C$9))</f>
        <v>11.2960609597691</v>
      </c>
      <c r="F250" s="28" t="n">
        <f aca="false">$B$18*(1+(B250+$B$17)/2)^9</f>
        <v>41213.3655005038</v>
      </c>
      <c r="G250" s="28" t="n">
        <f aca="false">F250*C250</f>
        <v>12872.4073989211</v>
      </c>
      <c r="H250" s="28" t="n">
        <f aca="false">E250*G250/(1+D250)^9</f>
        <v>66226.8990441048</v>
      </c>
      <c r="I250" s="28" t="n">
        <f aca="false">$B$13*G250/$B$12*((1+$B$8)/(1+D250))^4.5</f>
        <v>26013.1056560833</v>
      </c>
      <c r="J250" s="28" t="n">
        <f aca="false">H250+I250-$B$14-$B$19</f>
        <v>69577.6478308731</v>
      </c>
      <c r="K250" s="46" t="n">
        <f aca="false">J250/$B$15</f>
        <v>206.339406378627</v>
      </c>
    </row>
    <row r="251" customFormat="false" ht="15" hidden="false" customHeight="false" outlineLevel="0" collapsed="false">
      <c r="A251" s="54" t="n">
        <v>211</v>
      </c>
      <c r="B251" s="23" t="n">
        <f aca="true">NORMINV(RAND(),$B$6,$C$6)</f>
        <v>0.0278474143274313</v>
      </c>
      <c r="C251" s="23" t="n">
        <f aca="true">MAX(0.15,NORMINV(RAND(),$B$7,$C$7))</f>
        <v>0.321492261876261</v>
      </c>
      <c r="D251" s="35" t="n">
        <f aca="true">MAX(0.06,NORMINV(RAND(),$B$8,$C$8))</f>
        <v>0.0871819035645971</v>
      </c>
      <c r="E251" s="55" t="n">
        <f aca="true">MAX(5,NORMINV(RAND(),$B$9,$C$9))</f>
        <v>12.1102371574049</v>
      </c>
      <c r="F251" s="28" t="n">
        <f aca="false">$B$18*(1+(B251+$B$17)/2)^9</f>
        <v>29428.8829158908</v>
      </c>
      <c r="G251" s="28" t="n">
        <f aca="false">F251*C251</f>
        <v>9461.15813312137</v>
      </c>
      <c r="H251" s="28" t="n">
        <f aca="false">E251*G251/(1+D251)^9</f>
        <v>53997.9181069991</v>
      </c>
      <c r="I251" s="28" t="n">
        <f aca="false">$B$13*G251/$B$12*((1+$B$8)/(1+D251))^4.5</f>
        <v>19448.8064689613</v>
      </c>
      <c r="J251" s="28" t="n">
        <f aca="false">H251+I251-$B$14-$B$19</f>
        <v>50784.3677066454</v>
      </c>
      <c r="K251" s="46" t="n">
        <f aca="false">J251/$B$15</f>
        <v>150.606072676884</v>
      </c>
    </row>
    <row r="252" customFormat="false" ht="15" hidden="false" customHeight="false" outlineLevel="0" collapsed="false">
      <c r="A252" s="54" t="n">
        <v>212</v>
      </c>
      <c r="B252" s="23" t="n">
        <f aca="true">NORMINV(RAND(),$B$6,$C$6)</f>
        <v>0.0338390401478045</v>
      </c>
      <c r="C252" s="23" t="n">
        <f aca="true">MAX(0.15,NORMINV(RAND(),$B$7,$C$7))</f>
        <v>0.288352489893033</v>
      </c>
      <c r="D252" s="35" t="n">
        <f aca="true">MAX(0.06,NORMINV(RAND(),$B$8,$C$8))</f>
        <v>0.110409575968039</v>
      </c>
      <c r="E252" s="55" t="n">
        <f aca="true">MAX(5,NORMINV(RAND(),$B$9,$C$9))</f>
        <v>9.90525174391053</v>
      </c>
      <c r="F252" s="28" t="n">
        <f aca="false">$B$18*(1+(B252+$B$17)/2)^9</f>
        <v>30211.0139091094</v>
      </c>
      <c r="G252" s="28" t="n">
        <f aca="false">F252*C252</f>
        <v>8711.42108288476</v>
      </c>
      <c r="H252" s="28" t="n">
        <f aca="false">E252*G252/(1+D252)^9</f>
        <v>33620.6216044612</v>
      </c>
      <c r="I252" s="28" t="n">
        <f aca="false">$B$13*G252/$B$12*((1+$B$8)/(1+D252))^4.5</f>
        <v>16282.5805044996</v>
      </c>
      <c r="J252" s="28" t="n">
        <f aca="false">H252+I252-$B$14-$B$19</f>
        <v>27240.8452396458</v>
      </c>
      <c r="K252" s="46" t="n">
        <f aca="false">J252/$B$15</f>
        <v>80.7854247913576</v>
      </c>
    </row>
    <row r="253" customFormat="false" ht="15" hidden="false" customHeight="false" outlineLevel="0" collapsed="false">
      <c r="A253" s="54" t="n">
        <v>213</v>
      </c>
      <c r="B253" s="23" t="n">
        <f aca="true">NORMINV(RAND(),$B$6,$C$6)</f>
        <v>0.00634649078531317</v>
      </c>
      <c r="C253" s="23" t="n">
        <f aca="true">MAX(0.15,NORMINV(RAND(),$B$7,$C$7))</f>
        <v>0.328724807726919</v>
      </c>
      <c r="D253" s="35" t="n">
        <f aca="true">MAX(0.06,NORMINV(RAND(),$B$8,$C$8))</f>
        <v>0.0731589050781805</v>
      </c>
      <c r="E253" s="55" t="n">
        <f aca="true">MAX(5,NORMINV(RAND(),$B$9,$C$9))</f>
        <v>8.62545041012572</v>
      </c>
      <c r="F253" s="28" t="n">
        <f aca="false">$B$18*(1+(B253+$B$17)/2)^9</f>
        <v>26768.2402176609</v>
      </c>
      <c r="G253" s="28" t="n">
        <f aca="false">F253*C253</f>
        <v>8799.38461873856</v>
      </c>
      <c r="H253" s="28" t="n">
        <f aca="false">E253*G253/(1+D253)^9</f>
        <v>40202.9369092891</v>
      </c>
      <c r="I253" s="28" t="n">
        <f aca="false">$B$13*G253/$B$12*((1+$B$8)/(1+D253))^4.5</f>
        <v>19176.6512245842</v>
      </c>
      <c r="J253" s="28" t="n">
        <f aca="false">H253+I253-$B$14-$B$19</f>
        <v>36717.2312645582</v>
      </c>
      <c r="K253" s="46" t="n">
        <f aca="false">J253/$B$15</f>
        <v>108.888586193826</v>
      </c>
    </row>
    <row r="254" customFormat="false" ht="15" hidden="false" customHeight="false" outlineLevel="0" collapsed="false">
      <c r="A254" s="54" t="n">
        <v>214</v>
      </c>
      <c r="B254" s="23" t="n">
        <f aca="true">NORMINV(RAND(),$B$6,$C$6)</f>
        <v>0.0765225417372899</v>
      </c>
      <c r="C254" s="23" t="n">
        <f aca="true">MAX(0.15,NORMINV(RAND(),$B$7,$C$7))</f>
        <v>0.321687773003527</v>
      </c>
      <c r="D254" s="35" t="n">
        <f aca="true">MAX(0.06,NORMINV(RAND(),$B$8,$C$8))</f>
        <v>0.100741232216725</v>
      </c>
      <c r="E254" s="55" t="n">
        <f aca="true">MAX(5,NORMINV(RAND(),$B$9,$C$9))</f>
        <v>9.75432447887931</v>
      </c>
      <c r="F254" s="28" t="n">
        <f aca="false">$B$18*(1+(B254+$B$17)/2)^9</f>
        <v>36338.7699236071</v>
      </c>
      <c r="G254" s="28" t="n">
        <f aca="false">F254*C254</f>
        <v>11689.7379704127</v>
      </c>
      <c r="H254" s="28" t="n">
        <f aca="false">E254*G254/(1+D254)^9</f>
        <v>48065.6545906571</v>
      </c>
      <c r="I254" s="28" t="n">
        <f aca="false">$B$13*G254/$B$12*((1+$B$8)/(1+D254))^4.5</f>
        <v>22726.3577996022</v>
      </c>
      <c r="J254" s="28" t="n">
        <f aca="false">H254+I254-$B$14-$B$19</f>
        <v>48129.6555209442</v>
      </c>
      <c r="K254" s="46" t="n">
        <f aca="false">J254/$B$15</f>
        <v>142.733260738269</v>
      </c>
    </row>
    <row r="255" customFormat="false" ht="15" hidden="false" customHeight="false" outlineLevel="0" collapsed="false">
      <c r="A255" s="54" t="n">
        <v>215</v>
      </c>
      <c r="B255" s="23" t="n">
        <f aca="true">NORMINV(RAND(),$B$6,$C$6)</f>
        <v>0.135572994739915</v>
      </c>
      <c r="C255" s="23" t="n">
        <f aca="true">MAX(0.15,NORMINV(RAND(),$B$7,$C$7))</f>
        <v>0.309671336313945</v>
      </c>
      <c r="D255" s="35" t="n">
        <f aca="true">MAX(0.06,NORMINV(RAND(),$B$8,$C$8))</f>
        <v>0.0948540148558033</v>
      </c>
      <c r="E255" s="55" t="n">
        <f aca="true">MAX(5,NORMINV(RAND(),$B$9,$C$9))</f>
        <v>10.1684169754858</v>
      </c>
      <c r="F255" s="28" t="n">
        <f aca="false">$B$18*(1+(B255+$B$17)/2)^9</f>
        <v>46632.0210843953</v>
      </c>
      <c r="G255" s="28" t="n">
        <f aca="false">F255*C255</f>
        <v>14440.6002842247</v>
      </c>
      <c r="H255" s="28" t="n">
        <f aca="false">E255*G255/(1+D255)^9</f>
        <v>64958.0017181862</v>
      </c>
      <c r="I255" s="28" t="n">
        <f aca="false">$B$13*G255/$B$12*((1+$B$8)/(1+D255))^4.5</f>
        <v>28760.1335473613</v>
      </c>
      <c r="J255" s="28" t="n">
        <f aca="false">H255+I255-$B$14-$B$19</f>
        <v>71055.7783962324</v>
      </c>
      <c r="K255" s="46" t="n">
        <f aca="false">J255/$B$15</f>
        <v>210.722948980523</v>
      </c>
    </row>
    <row r="256" customFormat="false" ht="15" hidden="false" customHeight="false" outlineLevel="0" collapsed="false">
      <c r="A256" s="54" t="n">
        <v>216</v>
      </c>
      <c r="B256" s="23" t="n">
        <f aca="true">NORMINV(RAND(),$B$6,$C$6)</f>
        <v>0.0985869021237282</v>
      </c>
      <c r="C256" s="23" t="n">
        <f aca="true">MAX(0.15,NORMINV(RAND(),$B$7,$C$7))</f>
        <v>0.329640817030508</v>
      </c>
      <c r="D256" s="35" t="n">
        <f aca="true">MAX(0.06,NORMINV(RAND(),$B$8,$C$8))</f>
        <v>0.0826112715139544</v>
      </c>
      <c r="E256" s="55" t="n">
        <f aca="true">MAX(5,NORMINV(RAND(),$B$9,$C$9))</f>
        <v>7.68788525266907</v>
      </c>
      <c r="F256" s="28" t="n">
        <f aca="false">$B$18*(1+(B256+$B$17)/2)^9</f>
        <v>39920.3269523577</v>
      </c>
      <c r="G256" s="28" t="n">
        <f aca="false">F256*C256</f>
        <v>13159.3691927002</v>
      </c>
      <c r="H256" s="28" t="n">
        <f aca="false">E256*G256/(1+D256)^9</f>
        <v>49520.9610485728</v>
      </c>
      <c r="I256" s="28" t="n">
        <f aca="false">$B$13*G256/$B$12*((1+$B$8)/(1+D256))^4.5</f>
        <v>27568.7605852586</v>
      </c>
      <c r="J256" s="28" t="n">
        <f aca="false">H256+I256-$B$14-$B$19</f>
        <v>54427.3647645163</v>
      </c>
      <c r="K256" s="46" t="n">
        <f aca="false">J256/$B$15</f>
        <v>161.409741294532</v>
      </c>
    </row>
    <row r="257" customFormat="false" ht="15" hidden="false" customHeight="false" outlineLevel="0" collapsed="false">
      <c r="A257" s="54" t="n">
        <v>217</v>
      </c>
      <c r="B257" s="23" t="n">
        <f aca="true">NORMINV(RAND(),$B$6,$C$6)</f>
        <v>0.0473667331591083</v>
      </c>
      <c r="C257" s="23" t="n">
        <f aca="true">MAX(0.15,NORMINV(RAND(),$B$7,$C$7))</f>
        <v>0.319834951093423</v>
      </c>
      <c r="D257" s="35" t="n">
        <f aca="true">MAX(0.06,NORMINV(RAND(),$B$8,$C$8))</f>
        <v>0.0893583324199475</v>
      </c>
      <c r="E257" s="55" t="n">
        <f aca="true">MAX(5,NORMINV(RAND(),$B$9,$C$9))</f>
        <v>6.52854466460152</v>
      </c>
      <c r="F257" s="28" t="n">
        <f aca="false">$B$18*(1+(B257+$B$17)/2)^9</f>
        <v>32045.2199168728</v>
      </c>
      <c r="G257" s="28" t="n">
        <f aca="false">F257*C257</f>
        <v>10249.181344891</v>
      </c>
      <c r="H257" s="28" t="n">
        <f aca="false">E257*G257/(1+D257)^9</f>
        <v>30971.9621833164</v>
      </c>
      <c r="I257" s="28" t="n">
        <f aca="false">$B$13*G257/$B$12*((1+$B$8)/(1+D257))^4.5</f>
        <v>20879.9463901723</v>
      </c>
      <c r="J257" s="28" t="n">
        <f aca="false">H257+I257-$B$14-$B$19</f>
        <v>29189.5517041736</v>
      </c>
      <c r="K257" s="46" t="n">
        <f aca="false">J257/$B$15</f>
        <v>86.5645068332552</v>
      </c>
    </row>
    <row r="258" customFormat="false" ht="15" hidden="false" customHeight="false" outlineLevel="0" collapsed="false">
      <c r="A258" s="54" t="n">
        <v>218</v>
      </c>
      <c r="B258" s="23" t="n">
        <f aca="true">NORMINV(RAND(),$B$6,$C$6)</f>
        <v>0.116215699112402</v>
      </c>
      <c r="C258" s="23" t="n">
        <f aca="true">MAX(0.15,NORMINV(RAND(),$B$7,$C$7))</f>
        <v>0.360031003873168</v>
      </c>
      <c r="D258" s="35" t="n">
        <f aca="true">MAX(0.06,NORMINV(RAND(),$B$8,$C$8))</f>
        <v>0.0902423742356085</v>
      </c>
      <c r="E258" s="55" t="n">
        <f aca="true">MAX(5,NORMINV(RAND(),$B$9,$C$9))</f>
        <v>9.67724528336574</v>
      </c>
      <c r="F258" s="28" t="n">
        <f aca="false">$B$18*(1+(B258+$B$17)/2)^9</f>
        <v>43003.867738158</v>
      </c>
      <c r="G258" s="28" t="n">
        <f aca="false">F258*C258</f>
        <v>15482.7256721979</v>
      </c>
      <c r="H258" s="28" t="n">
        <f aca="false">E258*G258/(1+D258)^9</f>
        <v>68848.0507648914</v>
      </c>
      <c r="I258" s="28" t="n">
        <f aca="false">$B$13*G258/$B$12*((1+$B$8)/(1+D258))^4.5</f>
        <v>31426.9532614086</v>
      </c>
      <c r="J258" s="28" t="n">
        <f aca="false">H258+I258-$B$14-$B$19</f>
        <v>77612.647156985</v>
      </c>
      <c r="K258" s="46" t="n">
        <f aca="false">J258/$B$15</f>
        <v>230.167992754997</v>
      </c>
    </row>
    <row r="259" customFormat="false" ht="15" hidden="false" customHeight="false" outlineLevel="0" collapsed="false">
      <c r="A259" s="54" t="n">
        <v>219</v>
      </c>
      <c r="B259" s="23" t="n">
        <f aca="true">NORMINV(RAND(),$B$6,$C$6)</f>
        <v>0.116827359983475</v>
      </c>
      <c r="C259" s="23" t="n">
        <f aca="true">MAX(0.15,NORMINV(RAND(),$B$7,$C$7))</f>
        <v>0.337598089297161</v>
      </c>
      <c r="D259" s="35" t="n">
        <f aca="true">MAX(0.06,NORMINV(RAND(),$B$8,$C$8))</f>
        <v>0.0867031332843357</v>
      </c>
      <c r="E259" s="55" t="n">
        <f aca="true">MAX(5,NORMINV(RAND(),$B$9,$C$9))</f>
        <v>8.00981691282838</v>
      </c>
      <c r="F259" s="28" t="n">
        <f aca="false">$B$18*(1+(B259+$B$17)/2)^9</f>
        <v>43114.5547332142</v>
      </c>
      <c r="G259" s="28" t="n">
        <f aca="false">F259*C259</f>
        <v>14555.391298831</v>
      </c>
      <c r="H259" s="28" t="n">
        <f aca="false">E259*G259/(1+D259)^9</f>
        <v>55163.0411702596</v>
      </c>
      <c r="I259" s="28" t="n">
        <f aca="false">$B$13*G259/$B$12*((1+$B$8)/(1+D259))^4.5</f>
        <v>29980.1201351758</v>
      </c>
      <c r="J259" s="28" t="n">
        <f aca="false">H259+I259-$B$14-$B$19</f>
        <v>62480.8044361203</v>
      </c>
      <c r="K259" s="46" t="n">
        <f aca="false">J259/$B$15</f>
        <v>185.293014341994</v>
      </c>
    </row>
    <row r="260" customFormat="false" ht="15" hidden="false" customHeight="false" outlineLevel="0" collapsed="false">
      <c r="A260" s="54" t="n">
        <v>220</v>
      </c>
      <c r="B260" s="23" t="n">
        <f aca="true">NORMINV(RAND(),$B$6,$C$6)</f>
        <v>0.0736771409015703</v>
      </c>
      <c r="C260" s="23" t="n">
        <f aca="true">MAX(0.15,NORMINV(RAND(),$B$7,$C$7))</f>
        <v>0.327831420969252</v>
      </c>
      <c r="D260" s="35" t="n">
        <f aca="true">MAX(0.06,NORMINV(RAND(),$B$8,$C$8))</f>
        <v>0.0838681171021444</v>
      </c>
      <c r="E260" s="55" t="n">
        <f aca="true">MAX(5,NORMINV(RAND(),$B$9,$C$9))</f>
        <v>9.48829785425395</v>
      </c>
      <c r="F260" s="28" t="n">
        <f aca="false">$B$18*(1+(B260+$B$17)/2)^9</f>
        <v>35898.3457900791</v>
      </c>
      <c r="G260" s="28" t="n">
        <f aca="false">F260*C260</f>
        <v>11768.6057108072</v>
      </c>
      <c r="H260" s="28" t="n">
        <f aca="false">E260*G260/(1+D260)^9</f>
        <v>54091.0423113637</v>
      </c>
      <c r="I260" s="28" t="n">
        <f aca="false">$B$13*G260/$B$12*((1+$B$8)/(1+D260))^4.5</f>
        <v>24526.7298141332</v>
      </c>
      <c r="J260" s="28" t="n">
        <f aca="false">H260+I260-$B$14-$B$19</f>
        <v>55955.4152561819</v>
      </c>
      <c r="K260" s="46" t="n">
        <f aca="false">J260/$B$15</f>
        <v>165.941326382509</v>
      </c>
    </row>
    <row r="261" customFormat="false" ht="15" hidden="false" customHeight="false" outlineLevel="0" collapsed="false">
      <c r="A261" s="54" t="n">
        <v>221</v>
      </c>
      <c r="B261" s="23" t="n">
        <f aca="true">NORMINV(RAND(),$B$6,$C$6)</f>
        <v>0.0680241110516483</v>
      </c>
      <c r="C261" s="23" t="n">
        <f aca="true">MAX(0.15,NORMINV(RAND(),$B$7,$C$7))</f>
        <v>0.313670388505575</v>
      </c>
      <c r="D261" s="35" t="n">
        <f aca="true">MAX(0.06,NORMINV(RAND(),$B$8,$C$8))</f>
        <v>0.0852080123854332</v>
      </c>
      <c r="E261" s="55" t="n">
        <f aca="true">MAX(5,NORMINV(RAND(),$B$9,$C$9))</f>
        <v>8.12019093219185</v>
      </c>
      <c r="F261" s="28" t="n">
        <f aca="false">$B$18*(1+(B261+$B$17)/2)^9</f>
        <v>35037.3966014819</v>
      </c>
      <c r="G261" s="28" t="n">
        <f aca="false">F261*C261</f>
        <v>10990.1938042107</v>
      </c>
      <c r="H261" s="28" t="n">
        <f aca="false">E261*G261/(1+D261)^9</f>
        <v>42751.8258604658</v>
      </c>
      <c r="I261" s="28" t="n">
        <f aca="false">$B$13*G261/$B$12*((1+$B$8)/(1+D261))^4.5</f>
        <v>22777.4713431875</v>
      </c>
      <c r="J261" s="28" t="n">
        <f aca="false">H261+I261-$B$14-$B$19</f>
        <v>42866.9403343382</v>
      </c>
      <c r="K261" s="46" t="n">
        <f aca="false">J261/$B$15</f>
        <v>127.126157575143</v>
      </c>
    </row>
    <row r="262" customFormat="false" ht="15" hidden="false" customHeight="false" outlineLevel="0" collapsed="false">
      <c r="A262" s="54" t="n">
        <v>222</v>
      </c>
      <c r="B262" s="23" t="n">
        <f aca="true">NORMINV(RAND(),$B$6,$C$6)</f>
        <v>0.0728610216866431</v>
      </c>
      <c r="C262" s="23" t="n">
        <f aca="true">MAX(0.15,NORMINV(RAND(),$B$7,$C$7))</f>
        <v>0.365045165904513</v>
      </c>
      <c r="D262" s="35" t="n">
        <f aca="true">MAX(0.06,NORMINV(RAND(),$B$8,$C$8))</f>
        <v>0.0842379740340023</v>
      </c>
      <c r="E262" s="55" t="n">
        <f aca="true">MAX(5,NORMINV(RAND(),$B$9,$C$9))</f>
        <v>10.5206048847292</v>
      </c>
      <c r="F262" s="28" t="n">
        <f aca="false">$B$18*(1+(B262+$B$17)/2)^9</f>
        <v>35772.9019145883</v>
      </c>
      <c r="G262" s="28" t="n">
        <f aca="false">F262*C262</f>
        <v>13058.7249142968</v>
      </c>
      <c r="H262" s="28" t="n">
        <f aca="false">E262*G262/(1+D262)^9</f>
        <v>66346.7967072299</v>
      </c>
      <c r="I262" s="28" t="n">
        <f aca="false">$B$13*G262/$B$12*((1+$B$8)/(1+D262))^4.5</f>
        <v>27173.6909306596</v>
      </c>
      <c r="J262" s="28" t="n">
        <f aca="false">H262+I262-$B$14-$B$19</f>
        <v>70858.1307685744</v>
      </c>
      <c r="K262" s="46" t="n">
        <f aca="false">J262/$B$15</f>
        <v>210.136805363507</v>
      </c>
    </row>
    <row r="263" customFormat="false" ht="15" hidden="false" customHeight="false" outlineLevel="0" collapsed="false">
      <c r="A263" s="54" t="n">
        <v>223</v>
      </c>
      <c r="B263" s="23" t="n">
        <f aca="true">NORMINV(RAND(),$B$6,$C$6)</f>
        <v>0.0797223752549166</v>
      </c>
      <c r="C263" s="23" t="n">
        <f aca="true">MAX(0.15,NORMINV(RAND(),$B$7,$C$7))</f>
        <v>0.322222087932005</v>
      </c>
      <c r="D263" s="35" t="n">
        <f aca="true">MAX(0.06,NORMINV(RAND(),$B$8,$C$8))</f>
        <v>0.095434457426231</v>
      </c>
      <c r="E263" s="55" t="n">
        <f aca="true">MAX(5,NORMINV(RAND(),$B$9,$C$9))</f>
        <v>9.55943650749306</v>
      </c>
      <c r="F263" s="28" t="n">
        <f aca="false">$B$18*(1+(B263+$B$17)/2)^9</f>
        <v>36839.7869377184</v>
      </c>
      <c r="G263" s="28" t="n">
        <f aca="false">F263*C263</f>
        <v>11870.5930660418</v>
      </c>
      <c r="H263" s="28" t="n">
        <f aca="false">E263*G263/(1+D263)^9</f>
        <v>49960.5407696447</v>
      </c>
      <c r="I263" s="28" t="n">
        <f aca="false">$B$13*G263/$B$12*((1+$B$8)/(1+D263))^4.5</f>
        <v>23585.3457724282</v>
      </c>
      <c r="J263" s="28" t="n">
        <f aca="false">H263+I263-$B$14-$B$19</f>
        <v>50883.5296727578</v>
      </c>
      <c r="K263" s="46" t="n">
        <f aca="false">J263/$B$15</f>
        <v>150.900147309483</v>
      </c>
    </row>
    <row r="264" customFormat="false" ht="15" hidden="false" customHeight="false" outlineLevel="0" collapsed="false">
      <c r="A264" s="54" t="n">
        <v>224</v>
      </c>
      <c r="B264" s="23" t="n">
        <f aca="true">NORMINV(RAND(),$B$6,$C$6)</f>
        <v>0.110539124695062</v>
      </c>
      <c r="C264" s="23" t="n">
        <f aca="true">MAX(0.15,NORMINV(RAND(),$B$7,$C$7))</f>
        <v>0.311261657418693</v>
      </c>
      <c r="D264" s="35" t="n">
        <f aca="true">MAX(0.06,NORMINV(RAND(),$B$8,$C$8))</f>
        <v>0.093966060879378</v>
      </c>
      <c r="E264" s="55" t="n">
        <f aca="true">MAX(5,NORMINV(RAND(),$B$9,$C$9))</f>
        <v>12.3769261866073</v>
      </c>
      <c r="F264" s="28" t="n">
        <f aca="false">$B$18*(1+(B264+$B$17)/2)^9</f>
        <v>41988.6139952182</v>
      </c>
      <c r="G264" s="28" t="n">
        <f aca="false">F264*C264</f>
        <v>13069.4455848653</v>
      </c>
      <c r="H264" s="28" t="n">
        <f aca="false">E264*G264/(1+D264)^9</f>
        <v>72083.410712082</v>
      </c>
      <c r="I264" s="28" t="n">
        <f aca="false">$B$13*G264/$B$12*((1+$B$8)/(1+D264))^4.5</f>
        <v>26124.5288039599</v>
      </c>
      <c r="J264" s="28" t="n">
        <f aca="false">H264+I264-$B$14-$B$19</f>
        <v>75545.5826467268</v>
      </c>
      <c r="K264" s="46" t="n">
        <f aca="false">J264/$B$15</f>
        <v>224.037908205002</v>
      </c>
    </row>
    <row r="265" customFormat="false" ht="15" hidden="false" customHeight="false" outlineLevel="0" collapsed="false">
      <c r="A265" s="54" t="n">
        <v>225</v>
      </c>
      <c r="B265" s="23" t="n">
        <f aca="true">NORMINV(RAND(),$B$6,$C$6)</f>
        <v>0.103166019425174</v>
      </c>
      <c r="C265" s="23" t="n">
        <f aca="true">MAX(0.15,NORMINV(RAND(),$B$7,$C$7))</f>
        <v>0.340831917374446</v>
      </c>
      <c r="D265" s="35" t="n">
        <f aca="true">MAX(0.06,NORMINV(RAND(),$B$8,$C$8))</f>
        <v>0.0992453248398965</v>
      </c>
      <c r="E265" s="55" t="n">
        <f aca="true">MAX(5,NORMINV(RAND(),$B$9,$C$9))</f>
        <v>10.9397339258498</v>
      </c>
      <c r="F265" s="28" t="n">
        <f aca="false">$B$18*(1+(B265+$B$17)/2)^9</f>
        <v>40701.7692452999</v>
      </c>
      <c r="G265" s="28" t="n">
        <f aca="false">F265*C265</f>
        <v>13872.4620524078</v>
      </c>
      <c r="H265" s="28" t="n">
        <f aca="false">E265*G265/(1+D265)^9</f>
        <v>64760.2713584743</v>
      </c>
      <c r="I265" s="28" t="n">
        <f aca="false">$B$13*G265/$B$12*((1+$B$8)/(1+D265))^4.5</f>
        <v>27135.4072104226</v>
      </c>
      <c r="J265" s="28" t="n">
        <f aca="false">H265+I265-$B$14-$B$19</f>
        <v>69233.3216995818</v>
      </c>
      <c r="K265" s="46" t="n">
        <f aca="false">J265/$B$15</f>
        <v>205.318273130432</v>
      </c>
    </row>
    <row r="266" customFormat="false" ht="15" hidden="false" customHeight="false" outlineLevel="0" collapsed="false">
      <c r="A266" s="54" t="n">
        <v>226</v>
      </c>
      <c r="B266" s="23" t="n">
        <f aca="true">NORMINV(RAND(),$B$6,$C$6)</f>
        <v>0.108435929254743</v>
      </c>
      <c r="C266" s="23" t="n">
        <f aca="true">MAX(0.15,NORMINV(RAND(),$B$7,$C$7))</f>
        <v>0.329766844205015</v>
      </c>
      <c r="D266" s="35" t="n">
        <f aca="true">MAX(0.06,NORMINV(RAND(),$B$8,$C$8))</f>
        <v>0.0869370000107726</v>
      </c>
      <c r="E266" s="55" t="n">
        <f aca="true">MAX(5,NORMINV(RAND(),$B$9,$C$9))</f>
        <v>10.4784339571247</v>
      </c>
      <c r="F266" s="28" t="n">
        <f aca="false">$B$18*(1+(B266+$B$17)/2)^9</f>
        <v>41617.9026796055</v>
      </c>
      <c r="G266" s="28" t="n">
        <f aca="false">F266*C266</f>
        <v>13724.2044290849</v>
      </c>
      <c r="H266" s="28" t="n">
        <f aca="false">E266*G266/(1+D266)^9</f>
        <v>67911.6379112675</v>
      </c>
      <c r="I266" s="28" t="n">
        <f aca="false">$B$13*G266/$B$12*((1+$B$8)/(1+D266))^4.5</f>
        <v>28240.7432029353</v>
      </c>
      <c r="J266" s="28" t="n">
        <f aca="false">H266+I266-$B$14-$B$19</f>
        <v>73490.0242448877</v>
      </c>
      <c r="K266" s="46" t="n">
        <f aca="false">J266/$B$15</f>
        <v>217.941946159216</v>
      </c>
    </row>
    <row r="267" customFormat="false" ht="15" hidden="false" customHeight="false" outlineLevel="0" collapsed="false">
      <c r="A267" s="54" t="n">
        <v>227</v>
      </c>
      <c r="B267" s="23" t="n">
        <f aca="true">NORMINV(RAND(),$B$6,$C$6)</f>
        <v>0.098513478321106</v>
      </c>
      <c r="C267" s="23" t="n">
        <f aca="true">MAX(0.15,NORMINV(RAND(),$B$7,$C$7))</f>
        <v>0.306151512324726</v>
      </c>
      <c r="D267" s="35" t="n">
        <f aca="true">MAX(0.06,NORMINV(RAND(),$B$8,$C$8))</f>
        <v>0.0932266587136369</v>
      </c>
      <c r="E267" s="55" t="n">
        <f aca="true">MAX(5,NORMINV(RAND(),$B$9,$C$9))</f>
        <v>12.2938275073781</v>
      </c>
      <c r="F267" s="28" t="n">
        <f aca="false">$B$18*(1+(B267+$B$17)/2)^9</f>
        <v>39907.9063296147</v>
      </c>
      <c r="G267" s="28" t="n">
        <f aca="false">F267*C267</f>
        <v>12217.865876525</v>
      </c>
      <c r="H267" s="28" t="n">
        <f aca="false">E267*G267/(1+D267)^9</f>
        <v>67342.7033641454</v>
      </c>
      <c r="I267" s="28" t="n">
        <f aca="false">$B$13*G267/$B$12*((1+$B$8)/(1+D267))^4.5</f>
        <v>24496.7241878008</v>
      </c>
      <c r="J267" s="28" t="n">
        <f aca="false">H267+I267-$B$14-$B$19</f>
        <v>69177.0706826311</v>
      </c>
      <c r="K267" s="46" t="n">
        <f aca="false">J267/$B$15</f>
        <v>205.151455167945</v>
      </c>
    </row>
    <row r="268" customFormat="false" ht="15" hidden="false" customHeight="false" outlineLevel="0" collapsed="false">
      <c r="A268" s="54" t="n">
        <v>228</v>
      </c>
      <c r="B268" s="23" t="n">
        <f aca="true">NORMINV(RAND(),$B$6,$C$6)</f>
        <v>0.0282419667112885</v>
      </c>
      <c r="C268" s="23" t="n">
        <f aca="true">MAX(0.15,NORMINV(RAND(),$B$7,$C$7))</f>
        <v>0.308128812810278</v>
      </c>
      <c r="D268" s="35" t="n">
        <f aca="true">MAX(0.06,NORMINV(RAND(),$B$8,$C$8))</f>
        <v>0.0935645927920354</v>
      </c>
      <c r="E268" s="55" t="n">
        <f aca="true">MAX(5,NORMINV(RAND(),$B$9,$C$9))</f>
        <v>8.49369118540355</v>
      </c>
      <c r="F268" s="28" t="n">
        <f aca="false">$B$18*(1+(B268+$B$17)/2)^9</f>
        <v>29479.8275199349</v>
      </c>
      <c r="G268" s="28" t="n">
        <f aca="false">F268*C268</f>
        <v>9083.58425556931</v>
      </c>
      <c r="H268" s="28" t="n">
        <f aca="false">E268*G268/(1+D268)^9</f>
        <v>34494.8096756115</v>
      </c>
      <c r="I268" s="28" t="n">
        <f aca="false">$B$13*G268/$B$12*((1+$B$8)/(1+D268))^4.5</f>
        <v>18187.201890508</v>
      </c>
      <c r="J268" s="28" t="n">
        <f aca="false">H268+I268-$B$14-$B$19</f>
        <v>30019.6546968044</v>
      </c>
      <c r="K268" s="46" t="n">
        <f aca="false">J268/$B$15</f>
        <v>89.0262594804401</v>
      </c>
    </row>
    <row r="269" customFormat="false" ht="15" hidden="false" customHeight="false" outlineLevel="0" collapsed="false">
      <c r="A269" s="54" t="n">
        <v>229</v>
      </c>
      <c r="B269" s="23" t="n">
        <f aca="true">NORMINV(RAND(),$B$6,$C$6)</f>
        <v>0.0900492974884966</v>
      </c>
      <c r="C269" s="23" t="n">
        <f aca="true">MAX(0.15,NORMINV(RAND(),$B$7,$C$7))</f>
        <v>0.31743972787226</v>
      </c>
      <c r="D269" s="35" t="n">
        <f aca="true">MAX(0.06,NORMINV(RAND(),$B$8,$C$8))</f>
        <v>0.0888056525752711</v>
      </c>
      <c r="E269" s="55" t="n">
        <f aca="true">MAX(5,NORMINV(RAND(),$B$9,$C$9))</f>
        <v>12.2226814446373</v>
      </c>
      <c r="F269" s="28" t="n">
        <f aca="false">$B$18*(1+(B269+$B$17)/2)^9</f>
        <v>38498.8889616975</v>
      </c>
      <c r="G269" s="28" t="n">
        <f aca="false">F269*C269</f>
        <v>12221.0768353856</v>
      </c>
      <c r="H269" s="28" t="n">
        <f aca="false">E269*G269/(1+D269)^9</f>
        <v>69458.062691752</v>
      </c>
      <c r="I269" s="28" t="n">
        <f aca="false">$B$13*G269/$B$12*((1+$B$8)/(1+D269))^4.5</f>
        <v>24954.0731556697</v>
      </c>
      <c r="J269" s="28" t="n">
        <f aca="false">H269+I269-$B$14-$B$19</f>
        <v>71749.7789781066</v>
      </c>
      <c r="K269" s="46" t="n">
        <f aca="false">J269/$B$15</f>
        <v>212.781076447529</v>
      </c>
    </row>
    <row r="270" customFormat="false" ht="15" hidden="false" customHeight="false" outlineLevel="0" collapsed="false">
      <c r="A270" s="54" t="n">
        <v>230</v>
      </c>
      <c r="B270" s="23" t="n">
        <f aca="true">NORMINV(RAND(),$B$6,$C$6)</f>
        <v>0.0949938707889602</v>
      </c>
      <c r="C270" s="23" t="n">
        <f aca="true">MAX(0.15,NORMINV(RAND(),$B$7,$C$7))</f>
        <v>0.337750945709966</v>
      </c>
      <c r="D270" s="35" t="n">
        <f aca="true">MAX(0.06,NORMINV(RAND(),$B$8,$C$8))</f>
        <v>0.0854441336922679</v>
      </c>
      <c r="E270" s="55" t="n">
        <f aca="true">MAX(5,NORMINV(RAND(),$B$9,$C$9))</f>
        <v>9.38183988967926</v>
      </c>
      <c r="F270" s="28" t="n">
        <f aca="false">$B$18*(1+(B270+$B$17)/2)^9</f>
        <v>39316.5312937168</v>
      </c>
      <c r="G270" s="28" t="n">
        <f aca="false">F270*C270</f>
        <v>13279.1956264883</v>
      </c>
      <c r="H270" s="28" t="n">
        <f aca="false">E270*G270/(1+D270)^9</f>
        <v>59565.1861610632</v>
      </c>
      <c r="I270" s="28" t="n">
        <f aca="false">$B$13*G270/$B$12*((1+$B$8)/(1+D270))^4.5</f>
        <v>27494.5583471381</v>
      </c>
      <c r="J270" s="28" t="n">
        <f aca="false">H270+I270-$B$14-$B$19</f>
        <v>64397.3876388862</v>
      </c>
      <c r="K270" s="46" t="n">
        <f aca="false">J270/$B$15</f>
        <v>190.976831669295</v>
      </c>
    </row>
    <row r="271" customFormat="false" ht="15" hidden="false" customHeight="false" outlineLevel="0" collapsed="false">
      <c r="A271" s="54" t="n">
        <v>231</v>
      </c>
      <c r="B271" s="23" t="n">
        <f aca="true">NORMINV(RAND(),$B$6,$C$6)</f>
        <v>0.11824042242291</v>
      </c>
      <c r="C271" s="23" t="n">
        <f aca="true">MAX(0.15,NORMINV(RAND(),$B$7,$C$7))</f>
        <v>0.325004518272698</v>
      </c>
      <c r="D271" s="35" t="n">
        <f aca="true">MAX(0.06,NORMINV(RAND(),$B$8,$C$8))</f>
        <v>0.0948729305200202</v>
      </c>
      <c r="E271" s="55" t="n">
        <f aca="true">MAX(5,NORMINV(RAND(),$B$9,$C$9))</f>
        <v>11.7606909364525</v>
      </c>
      <c r="F271" s="28" t="n">
        <f aca="false">$B$18*(1+(B271+$B$17)/2)^9</f>
        <v>43371.2333283357</v>
      </c>
      <c r="G271" s="28" t="n">
        <f aca="false">F271*C271</f>
        <v>14095.8467947685</v>
      </c>
      <c r="H271" s="28" t="n">
        <f aca="false">E271*G271/(1+D271)^9</f>
        <v>73324.7416974084</v>
      </c>
      <c r="I271" s="28" t="n">
        <f aca="false">$B$13*G271/$B$12*((1+$B$8)/(1+D271))^4.5</f>
        <v>28071.3344116091</v>
      </c>
      <c r="J271" s="28" t="n">
        <f aca="false">H271+I271-$B$14-$B$19</f>
        <v>78733.7192397024</v>
      </c>
      <c r="K271" s="46" t="n">
        <f aca="false">J271/$B$15</f>
        <v>233.492643059616</v>
      </c>
    </row>
    <row r="272" customFormat="false" ht="15" hidden="false" customHeight="false" outlineLevel="0" collapsed="false">
      <c r="A272" s="54" t="n">
        <v>232</v>
      </c>
      <c r="B272" s="23" t="n">
        <f aca="true">NORMINV(RAND(),$B$6,$C$6)</f>
        <v>0.105440271875655</v>
      </c>
      <c r="C272" s="23" t="n">
        <f aca="true">MAX(0.15,NORMINV(RAND(),$B$7,$C$7))</f>
        <v>0.295852758667174</v>
      </c>
      <c r="D272" s="35" t="n">
        <f aca="true">MAX(0.06,NORMINV(RAND(),$B$8,$C$8))</f>
        <v>0.0921920847500652</v>
      </c>
      <c r="E272" s="55" t="n">
        <f aca="true">MAX(5,NORMINV(RAND(),$B$9,$C$9))</f>
        <v>7.34098588453975</v>
      </c>
      <c r="F272" s="28" t="n">
        <f aca="false">$B$18*(1+(B272+$B$17)/2)^9</f>
        <v>41094.9081736787</v>
      </c>
      <c r="G272" s="28" t="n">
        <f aca="false">F272*C272</f>
        <v>12158.041950357</v>
      </c>
      <c r="H272" s="28" t="n">
        <f aca="false">E272*G272/(1+D272)^9</f>
        <v>40357.736747827</v>
      </c>
      <c r="I272" s="28" t="n">
        <f aca="false">$B$13*G272/$B$12*((1+$B$8)/(1+D272))^4.5</f>
        <v>24480.8586343347</v>
      </c>
      <c r="J272" s="28" t="n">
        <f aca="false">H272+I272-$B$14-$B$19</f>
        <v>42176.2385128466</v>
      </c>
      <c r="K272" s="46" t="n">
        <f aca="false">J272/$B$15</f>
        <v>125.077812908798</v>
      </c>
    </row>
    <row r="273" customFormat="false" ht="15" hidden="false" customHeight="false" outlineLevel="0" collapsed="false">
      <c r="A273" s="54" t="n">
        <v>233</v>
      </c>
      <c r="B273" s="23" t="n">
        <f aca="true">NORMINV(RAND(),$B$6,$C$6)</f>
        <v>0.113711691180796</v>
      </c>
      <c r="C273" s="23" t="n">
        <f aca="true">MAX(0.15,NORMINV(RAND(),$B$7,$C$7))</f>
        <v>0.332280198501223</v>
      </c>
      <c r="D273" s="35" t="n">
        <f aca="true">MAX(0.06,NORMINV(RAND(),$B$8,$C$8))</f>
        <v>0.10129173064797</v>
      </c>
      <c r="E273" s="55" t="n">
        <f aca="true">MAX(5,NORMINV(RAND(),$B$9,$C$9))</f>
        <v>10.3727655289342</v>
      </c>
      <c r="F273" s="28" t="n">
        <f aca="false">$B$18*(1+(B273+$B$17)/2)^9</f>
        <v>42553.3679525848</v>
      </c>
      <c r="G273" s="28" t="n">
        <f aca="false">F273*C273</f>
        <v>14139.6415501804</v>
      </c>
      <c r="H273" s="28" t="n">
        <f aca="false">E273*G273/(1+D273)^9</f>
        <v>61547.6615567403</v>
      </c>
      <c r="I273" s="28" t="n">
        <f aca="false">$B$13*G273/$B$12*((1+$B$8)/(1+D273))^4.5</f>
        <v>27427.505964875</v>
      </c>
      <c r="J273" s="28" t="n">
        <f aca="false">H273+I273-$B$14-$B$19</f>
        <v>66312.8106523002</v>
      </c>
      <c r="K273" s="46" t="n">
        <f aca="false">J273/$B$15</f>
        <v>196.657208340155</v>
      </c>
    </row>
    <row r="274" customFormat="false" ht="15" hidden="false" customHeight="false" outlineLevel="0" collapsed="false">
      <c r="A274" s="54" t="n">
        <v>234</v>
      </c>
      <c r="B274" s="23" t="n">
        <f aca="true">NORMINV(RAND(),$B$6,$C$6)</f>
        <v>0.0749188017336584</v>
      </c>
      <c r="C274" s="23" t="n">
        <f aca="true">MAX(0.15,NORMINV(RAND(),$B$7,$C$7))</f>
        <v>0.334438192581603</v>
      </c>
      <c r="D274" s="35" t="n">
        <f aca="true">MAX(0.06,NORMINV(RAND(),$B$8,$C$8))</f>
        <v>0.0977513590155151</v>
      </c>
      <c r="E274" s="55" t="n">
        <f aca="true">MAX(5,NORMINV(RAND(),$B$9,$C$9))</f>
        <v>9.20165540566675</v>
      </c>
      <c r="F274" s="28" t="n">
        <f aca="false">$B$18*(1+(B274+$B$17)/2)^9</f>
        <v>36089.9487798513</v>
      </c>
      <c r="G274" s="28" t="n">
        <f aca="false">F274*C274</f>
        <v>12069.8572402961</v>
      </c>
      <c r="H274" s="28" t="n">
        <f aca="false">E274*G274/(1+D274)^9</f>
        <v>47976.9071701797</v>
      </c>
      <c r="I274" s="28" t="n">
        <f aca="false">$B$13*G274/$B$12*((1+$B$8)/(1+D274))^4.5</f>
        <v>23754.3323340129</v>
      </c>
      <c r="J274" s="28" t="n">
        <f aca="false">H274+I274-$B$14-$B$19</f>
        <v>49068.8826348776</v>
      </c>
      <c r="K274" s="46" t="n">
        <f aca="false">J274/$B$15</f>
        <v>145.518631776031</v>
      </c>
    </row>
    <row r="275" customFormat="false" ht="15" hidden="false" customHeight="false" outlineLevel="0" collapsed="false">
      <c r="A275" s="54" t="n">
        <v>235</v>
      </c>
      <c r="B275" s="23" t="n">
        <f aca="true">NORMINV(RAND(),$B$6,$C$6)</f>
        <v>0.135347712049386</v>
      </c>
      <c r="C275" s="23" t="n">
        <f aca="true">MAX(0.15,NORMINV(RAND(),$B$7,$C$7))</f>
        <v>0.336859216404543</v>
      </c>
      <c r="D275" s="35" t="n">
        <f aca="true">MAX(0.06,NORMINV(RAND(),$B$8,$C$8))</f>
        <v>0.106162194471783</v>
      </c>
      <c r="E275" s="55" t="n">
        <f aca="true">MAX(5,NORMINV(RAND(),$B$9,$C$9))</f>
        <v>11.5317144465401</v>
      </c>
      <c r="F275" s="28" t="n">
        <f aca="false">$B$18*(1+(B275+$B$17)/2)^9</f>
        <v>46588.2784938149</v>
      </c>
      <c r="G275" s="28" t="n">
        <f aca="false">F275*C275</f>
        <v>15693.6909870631</v>
      </c>
      <c r="H275" s="28" t="n">
        <f aca="false">E275*G275/(1+D275)^9</f>
        <v>72987.6992570281</v>
      </c>
      <c r="I275" s="28" t="n">
        <f aca="false">$B$13*G275/$B$12*((1+$B$8)/(1+D275))^4.5</f>
        <v>29843.4526298442</v>
      </c>
      <c r="J275" s="28" t="n">
        <f aca="false">H275+I275-$B$14-$B$19</f>
        <v>80168.7950175572</v>
      </c>
      <c r="K275" s="46" t="n">
        <f aca="false">J275/$B$15</f>
        <v>237.748502424547</v>
      </c>
    </row>
    <row r="276" customFormat="false" ht="15" hidden="false" customHeight="false" outlineLevel="0" collapsed="false">
      <c r="A276" s="54" t="n">
        <v>236</v>
      </c>
      <c r="B276" s="23" t="n">
        <f aca="true">NORMINV(RAND(),$B$6,$C$6)</f>
        <v>0.102170932790647</v>
      </c>
      <c r="C276" s="23" t="n">
        <f aca="true">MAX(0.15,NORMINV(RAND(),$B$7,$C$7))</f>
        <v>0.326045054887669</v>
      </c>
      <c r="D276" s="35" t="n">
        <f aca="true">MAX(0.06,NORMINV(RAND(),$B$8,$C$8))</f>
        <v>0.0919719654717894</v>
      </c>
      <c r="E276" s="55" t="n">
        <f aca="true">MAX(5,NORMINV(RAND(),$B$9,$C$9))</f>
        <v>11.8999056568639</v>
      </c>
      <c r="F276" s="28" t="n">
        <f aca="false">$B$18*(1+(B276+$B$17)/2)^9</f>
        <v>40530.8074602222</v>
      </c>
      <c r="G276" s="28" t="n">
        <f aca="false">F276*C276</f>
        <v>13214.8693430097</v>
      </c>
      <c r="H276" s="28" t="n">
        <f aca="false">E276*G276/(1+D276)^9</f>
        <v>71236.5688451606</v>
      </c>
      <c r="I276" s="28" t="n">
        <f aca="false">$B$13*G276/$B$12*((1+$B$8)/(1+D276))^4.5</f>
        <v>26632.9819328022</v>
      </c>
      <c r="J276" s="28" t="n">
        <f aca="false">H276+I276-$B$14-$B$19</f>
        <v>75207.1939086478</v>
      </c>
      <c r="K276" s="46" t="n">
        <f aca="false">J276/$B$15</f>
        <v>223.034382884483</v>
      </c>
    </row>
    <row r="277" customFormat="false" ht="15" hidden="false" customHeight="false" outlineLevel="0" collapsed="false">
      <c r="A277" s="54" t="n">
        <v>237</v>
      </c>
      <c r="B277" s="23" t="n">
        <f aca="true">NORMINV(RAND(),$B$6,$C$6)</f>
        <v>0.0481531521911259</v>
      </c>
      <c r="C277" s="23" t="n">
        <f aca="true">MAX(0.15,NORMINV(RAND(),$B$7,$C$7))</f>
        <v>0.308395011024601</v>
      </c>
      <c r="D277" s="35" t="n">
        <f aca="true">MAX(0.06,NORMINV(RAND(),$B$8,$C$8))</f>
        <v>0.0988137528425772</v>
      </c>
      <c r="E277" s="55" t="n">
        <f aca="true">MAX(5,NORMINV(RAND(),$B$9,$C$9))</f>
        <v>9.85410684261004</v>
      </c>
      <c r="F277" s="28" t="n">
        <f aca="false">$B$18*(1+(B277+$B$17)/2)^9</f>
        <v>32154.8304964906</v>
      </c>
      <c r="G277" s="28" t="n">
        <f aca="false">F277*C277</f>
        <v>9916.38930545941</v>
      </c>
      <c r="H277" s="28" t="n">
        <f aca="false">E277*G277/(1+D277)^9</f>
        <v>41846.0102461333</v>
      </c>
      <c r="I277" s="28" t="n">
        <f aca="false">$B$13*G277/$B$12*((1+$B$8)/(1+D277))^4.5</f>
        <v>19431.3869169795</v>
      </c>
      <c r="J277" s="28" t="n">
        <f aca="false">H277+I277-$B$14-$B$19</f>
        <v>38615.0402937977</v>
      </c>
      <c r="K277" s="46" t="n">
        <f aca="false">J277/$B$15</f>
        <v>114.516726849934</v>
      </c>
    </row>
    <row r="278" customFormat="false" ht="15" hidden="false" customHeight="false" outlineLevel="0" collapsed="false">
      <c r="A278" s="54" t="n">
        <v>238</v>
      </c>
      <c r="B278" s="23" t="n">
        <f aca="true">NORMINV(RAND(),$B$6,$C$6)</f>
        <v>0.0458082065370936</v>
      </c>
      <c r="C278" s="23" t="n">
        <f aca="true">MAX(0.15,NORMINV(RAND(),$B$7,$C$7))</f>
        <v>0.33245816622473</v>
      </c>
      <c r="D278" s="35" t="n">
        <f aca="true">MAX(0.06,NORMINV(RAND(),$B$8,$C$8))</f>
        <v>0.0889604511444486</v>
      </c>
      <c r="E278" s="55" t="n">
        <f aca="true">MAX(5,NORMINV(RAND(),$B$9,$C$9))</f>
        <v>9.59387299103279</v>
      </c>
      <c r="F278" s="28" t="n">
        <f aca="false">$B$18*(1+(B278+$B$17)/2)^9</f>
        <v>31828.9743269554</v>
      </c>
      <c r="G278" s="28" t="n">
        <f aca="false">F278*C278</f>
        <v>10581.8024375536</v>
      </c>
      <c r="H278" s="28" t="n">
        <f aca="false">E278*G278/(1+D278)^9</f>
        <v>47145.9778333338</v>
      </c>
      <c r="I278" s="28" t="n">
        <f aca="false">$B$13*G278/$B$12*((1+$B$8)/(1+D278))^4.5</f>
        <v>21593.0398465299</v>
      </c>
      <c r="J278" s="28" t="n">
        <f aca="false">H278+I278-$B$14-$B$19</f>
        <v>46076.6608105485</v>
      </c>
      <c r="K278" s="46" t="n">
        <f aca="false">J278/$B$15</f>
        <v>136.644901573394</v>
      </c>
    </row>
    <row r="279" customFormat="false" ht="15" hidden="false" customHeight="false" outlineLevel="0" collapsed="false">
      <c r="A279" s="54" t="n">
        <v>239</v>
      </c>
      <c r="B279" s="23" t="n">
        <f aca="true">NORMINV(RAND(),$B$6,$C$6)</f>
        <v>0.0883874565817109</v>
      </c>
      <c r="C279" s="23" t="n">
        <f aca="true">MAX(0.15,NORMINV(RAND(),$B$7,$C$7))</f>
        <v>0.336224138483153</v>
      </c>
      <c r="D279" s="35" t="n">
        <f aca="true">MAX(0.06,NORMINV(RAND(),$B$8,$C$8))</f>
        <v>0.0831948611015012</v>
      </c>
      <c r="E279" s="55" t="n">
        <f aca="true">MAX(5,NORMINV(RAND(),$B$9,$C$9))</f>
        <v>9.62440162694185</v>
      </c>
      <c r="F279" s="28" t="n">
        <f aca="false">$B$18*(1+(B279+$B$17)/2)^9</f>
        <v>38227.4981903118</v>
      </c>
      <c r="G279" s="28" t="n">
        <f aca="false">F279*C279</f>
        <v>12853.0076454039</v>
      </c>
      <c r="H279" s="28" t="n">
        <f aca="false">E279*G279/(1+D279)^9</f>
        <v>60258.6204855859</v>
      </c>
      <c r="I279" s="28" t="n">
        <f aca="false">$B$13*G279/$B$12*((1+$B$8)/(1+D279))^4.5</f>
        <v>26861.7143682502</v>
      </c>
      <c r="J279" s="28" t="n">
        <f aca="false">H279+I279-$B$14-$B$19</f>
        <v>64457.9779845211</v>
      </c>
      <c r="K279" s="46" t="n">
        <f aca="false">J279/$B$15</f>
        <v>191.15651834081</v>
      </c>
    </row>
    <row r="280" customFormat="false" ht="15" hidden="false" customHeight="false" outlineLevel="0" collapsed="false">
      <c r="A280" s="54" t="n">
        <v>240</v>
      </c>
      <c r="B280" s="23" t="n">
        <f aca="true">NORMINV(RAND(),$B$6,$C$6)</f>
        <v>0.0786450245597902</v>
      </c>
      <c r="C280" s="23" t="n">
        <f aca="true">MAX(0.15,NORMINV(RAND(),$B$7,$C$7))</f>
        <v>0.309227606871996</v>
      </c>
      <c r="D280" s="35" t="n">
        <f aca="true">MAX(0.06,NORMINV(RAND(),$B$8,$C$8))</f>
        <v>0.103231495540686</v>
      </c>
      <c r="E280" s="55" t="n">
        <f aca="true">MAX(5,NORMINV(RAND(),$B$9,$C$9))</f>
        <v>8.94681911662356</v>
      </c>
      <c r="F280" s="28" t="n">
        <f aca="false">$B$18*(1+(B280+$B$17)/2)^9</f>
        <v>36670.4183623002</v>
      </c>
      <c r="G280" s="28" t="n">
        <f aca="false">F280*C280</f>
        <v>11339.505713169</v>
      </c>
      <c r="H280" s="28" t="n">
        <f aca="false">E280*G280/(1+D280)^9</f>
        <v>41904.717306688</v>
      </c>
      <c r="I280" s="28" t="n">
        <f aca="false">$B$13*G280/$B$12*((1+$B$8)/(1+D280))^4.5</f>
        <v>21822.4150417684</v>
      </c>
      <c r="J280" s="28" t="n">
        <f aca="false">H280+I280-$B$14-$B$19</f>
        <v>41064.7754791414</v>
      </c>
      <c r="K280" s="46" t="n">
        <f aca="false">J280/$B$15</f>
        <v>121.781659190811</v>
      </c>
    </row>
    <row r="281" customFormat="false" ht="15" hidden="false" customHeight="false" outlineLevel="0" collapsed="false">
      <c r="A281" s="54" t="n">
        <v>241</v>
      </c>
      <c r="B281" s="23" t="n">
        <f aca="true">NORMINV(RAND(),$B$6,$C$6)</f>
        <v>0.107605982931549</v>
      </c>
      <c r="C281" s="23" t="n">
        <f aca="true">MAX(0.15,NORMINV(RAND(),$B$7,$C$7))</f>
        <v>0.363033613038769</v>
      </c>
      <c r="D281" s="35" t="n">
        <f aca="true">MAX(0.06,NORMINV(RAND(),$B$8,$C$8))</f>
        <v>0.108765579309621</v>
      </c>
      <c r="E281" s="55" t="n">
        <f aca="true">MAX(5,NORMINV(RAND(),$B$9,$C$9))</f>
        <v>10.5190310142164</v>
      </c>
      <c r="F281" s="28" t="n">
        <f aca="false">$B$18*(1+(B281+$B$17)/2)^9</f>
        <v>41472.4179559897</v>
      </c>
      <c r="G281" s="28" t="n">
        <f aca="false">F281*C281</f>
        <v>15055.8817320169</v>
      </c>
      <c r="H281" s="28" t="n">
        <f aca="false">E281*G281/(1+D281)^9</f>
        <v>62535.1669520031</v>
      </c>
      <c r="I281" s="28" t="n">
        <f aca="false">$B$13*G281/$B$12*((1+$B$8)/(1+D281))^4.5</f>
        <v>28329.3106357331</v>
      </c>
      <c r="J281" s="28" t="n">
        <f aca="false">H281+I281-$B$14-$B$19</f>
        <v>68202.1207184211</v>
      </c>
      <c r="K281" s="46" t="n">
        <f aca="false">J281/$B$15</f>
        <v>202.260144479303</v>
      </c>
    </row>
    <row r="282" customFormat="false" ht="15" hidden="false" customHeight="false" outlineLevel="0" collapsed="false">
      <c r="A282" s="54" t="n">
        <v>242</v>
      </c>
      <c r="B282" s="23" t="n">
        <f aca="true">NORMINV(RAND(),$B$6,$C$6)</f>
        <v>0.0594810937835101</v>
      </c>
      <c r="C282" s="23" t="n">
        <f aca="true">MAX(0.15,NORMINV(RAND(),$B$7,$C$7))</f>
        <v>0.334670372228987</v>
      </c>
      <c r="D282" s="35" t="n">
        <f aca="true">MAX(0.06,NORMINV(RAND(),$B$8,$C$8))</f>
        <v>0.107396261692536</v>
      </c>
      <c r="E282" s="55" t="n">
        <f aca="true">MAX(5,NORMINV(RAND(),$B$9,$C$9))</f>
        <v>9.63297414989952</v>
      </c>
      <c r="F282" s="28" t="n">
        <f aca="false">$B$18*(1+(B282+$B$17)/2)^9</f>
        <v>33771.1143369103</v>
      </c>
      <c r="G282" s="28" t="n">
        <f aca="false">F282*C282</f>
        <v>11302.1914057214</v>
      </c>
      <c r="H282" s="28" t="n">
        <f aca="false">E282*G282/(1+D282)^9</f>
        <v>43470.59402419</v>
      </c>
      <c r="I282" s="28" t="n">
        <f aca="false">$B$13*G282/$B$12*((1+$B$8)/(1+D282))^4.5</f>
        <v>21384.9155318038</v>
      </c>
      <c r="J282" s="28" t="n">
        <f aca="false">H282+I282-$B$14-$B$19</f>
        <v>42193.1526866787</v>
      </c>
      <c r="K282" s="46" t="n">
        <f aca="false">J282/$B$15</f>
        <v>125.127973566663</v>
      </c>
    </row>
    <row r="283" customFormat="false" ht="15" hidden="false" customHeight="false" outlineLevel="0" collapsed="false">
      <c r="A283" s="54" t="n">
        <v>243</v>
      </c>
      <c r="B283" s="23" t="n">
        <f aca="true">NORMINV(RAND(),$B$6,$C$6)</f>
        <v>0.0882582400248158</v>
      </c>
      <c r="C283" s="23" t="n">
        <f aca="true">MAX(0.15,NORMINV(RAND(),$B$7,$C$7))</f>
        <v>0.283533372258558</v>
      </c>
      <c r="D283" s="35" t="n">
        <f aca="true">MAX(0.06,NORMINV(RAND(),$B$8,$C$8))</f>
        <v>0.0990696148999753</v>
      </c>
      <c r="E283" s="55" t="n">
        <f aca="true">MAX(5,NORMINV(RAND(),$B$9,$C$9))</f>
        <v>11.6368553835691</v>
      </c>
      <c r="F283" s="28" t="n">
        <f aca="false">$B$18*(1+(B283+$B$17)/2)^9</f>
        <v>38206.4676121222</v>
      </c>
      <c r="G283" s="28" t="n">
        <f aca="false">F283*C283</f>
        <v>10832.8086041524</v>
      </c>
      <c r="H283" s="28" t="n">
        <f aca="false">E283*G283/(1+D283)^9</f>
        <v>53870.3620375512</v>
      </c>
      <c r="I283" s="28" t="n">
        <f aca="false">$B$13*G283/$B$12*((1+$B$8)/(1+D283))^4.5</f>
        <v>21204.9026880206</v>
      </c>
      <c r="J283" s="28" t="n">
        <f aca="false">H283+I283-$B$14-$B$19</f>
        <v>52412.9078562567</v>
      </c>
      <c r="K283" s="46" t="n">
        <f aca="false">J283/$B$15</f>
        <v>155.435669799101</v>
      </c>
    </row>
    <row r="284" customFormat="false" ht="15" hidden="false" customHeight="false" outlineLevel="0" collapsed="false">
      <c r="A284" s="54" t="n">
        <v>244</v>
      </c>
      <c r="B284" s="23" t="n">
        <f aca="true">NORMINV(RAND(),$B$6,$C$6)</f>
        <v>0.078577225878512</v>
      </c>
      <c r="C284" s="23" t="n">
        <f aca="true">MAX(0.15,NORMINV(RAND(),$B$7,$C$7))</f>
        <v>0.30433227047573</v>
      </c>
      <c r="D284" s="35" t="n">
        <f aca="true">MAX(0.06,NORMINV(RAND(),$B$8,$C$8))</f>
        <v>0.0964441722147192</v>
      </c>
      <c r="E284" s="55" t="n">
        <f aca="true">MAX(5,NORMINV(RAND(),$B$9,$C$9))</f>
        <v>9.46680347080285</v>
      </c>
      <c r="F284" s="28" t="n">
        <f aca="false">$B$18*(1+(B284+$B$17)/2)^9</f>
        <v>36659.7830272513</v>
      </c>
      <c r="G284" s="28" t="n">
        <f aca="false">F284*C284</f>
        <v>11156.755003831</v>
      </c>
      <c r="H284" s="28" t="n">
        <f aca="false">E284*G284/(1+D284)^9</f>
        <v>46117.1590548883</v>
      </c>
      <c r="I284" s="28" t="n">
        <f aca="false">$B$13*G284/$B$12*((1+$B$8)/(1+D284))^4.5</f>
        <v>22075.3277674188</v>
      </c>
      <c r="J284" s="28" t="n">
        <f aca="false">H284+I284-$B$14-$B$19</f>
        <v>45530.1299529921</v>
      </c>
      <c r="K284" s="46" t="n">
        <f aca="false">J284/$B$15</f>
        <v>135.024110180878</v>
      </c>
    </row>
    <row r="285" customFormat="false" ht="15" hidden="false" customHeight="false" outlineLevel="0" collapsed="false">
      <c r="A285" s="54" t="n">
        <v>245</v>
      </c>
      <c r="B285" s="23" t="n">
        <f aca="true">NORMINV(RAND(),$B$6,$C$6)</f>
        <v>0.0987251709580798</v>
      </c>
      <c r="C285" s="23" t="n">
        <f aca="true">MAX(0.15,NORMINV(RAND(),$B$7,$C$7))</f>
        <v>0.345205768859724</v>
      </c>
      <c r="D285" s="35" t="n">
        <f aca="true">MAX(0.06,NORMINV(RAND(),$B$8,$C$8))</f>
        <v>0.0827063641508557</v>
      </c>
      <c r="E285" s="55" t="n">
        <f aca="true">MAX(5,NORMINV(RAND(),$B$9,$C$9))</f>
        <v>10.6927643319426</v>
      </c>
      <c r="F285" s="28" t="n">
        <f aca="false">$B$18*(1+(B285+$B$17)/2)^9</f>
        <v>39943.7263121044</v>
      </c>
      <c r="G285" s="28" t="n">
        <f aca="false">F285*C285</f>
        <v>13788.8047526924</v>
      </c>
      <c r="H285" s="28" t="n">
        <f aca="false">E285*G285/(1+D285)^9</f>
        <v>72114.1370735545</v>
      </c>
      <c r="I285" s="28" t="n">
        <f aca="false">$B$13*G285/$B$12*((1+$B$8)/(1+D285))^4.5</f>
        <v>28876.0070552881</v>
      </c>
      <c r="J285" s="28" t="n">
        <f aca="false">H285+I285-$B$14-$B$19</f>
        <v>78327.7872595275</v>
      </c>
      <c r="K285" s="46" t="n">
        <f aca="false">J285/$B$15</f>
        <v>232.288811564435</v>
      </c>
    </row>
    <row r="286" customFormat="false" ht="15" hidden="false" customHeight="false" outlineLevel="0" collapsed="false">
      <c r="A286" s="54" t="n">
        <v>246</v>
      </c>
      <c r="B286" s="23" t="n">
        <f aca="true">NORMINV(RAND(),$B$6,$C$6)</f>
        <v>0.095660335118616</v>
      </c>
      <c r="C286" s="23" t="n">
        <f aca="true">MAX(0.15,NORMINV(RAND(),$B$7,$C$7))</f>
        <v>0.301057859930672</v>
      </c>
      <c r="D286" s="35" t="n">
        <f aca="true">MAX(0.06,NORMINV(RAND(),$B$8,$C$8))</f>
        <v>0.087635323626728</v>
      </c>
      <c r="E286" s="55" t="n">
        <f aca="true">MAX(5,NORMINV(RAND(),$B$9,$C$9))</f>
        <v>8.77289835019211</v>
      </c>
      <c r="F286" s="28" t="n">
        <f aca="false">$B$18*(1+(B286+$B$17)/2)^9</f>
        <v>39427.911029879</v>
      </c>
      <c r="G286" s="28" t="n">
        <f aca="false">F286*C286</f>
        <v>11870.0825161923</v>
      </c>
      <c r="H286" s="28" t="n">
        <f aca="false">E286*G286/(1+D286)^9</f>
        <v>48893.0466389861</v>
      </c>
      <c r="I286" s="28" t="n">
        <f aca="false">$B$13*G286/$B$12*((1+$B$8)/(1+D286))^4.5</f>
        <v>24354.9639223004</v>
      </c>
      <c r="J286" s="28" t="n">
        <f aca="false">H286+I286-$B$14-$B$19</f>
        <v>50585.6536919714</v>
      </c>
      <c r="K286" s="46" t="n">
        <f aca="false">J286/$B$15</f>
        <v>150.016766583545</v>
      </c>
    </row>
    <row r="287" customFormat="false" ht="15" hidden="false" customHeight="false" outlineLevel="0" collapsed="false">
      <c r="A287" s="54" t="n">
        <v>247</v>
      </c>
      <c r="B287" s="23" t="n">
        <f aca="true">NORMINV(RAND(),$B$6,$C$6)</f>
        <v>0.03713004898764</v>
      </c>
      <c r="C287" s="23" t="n">
        <f aca="true">MAX(0.15,NORMINV(RAND(),$B$7,$C$7))</f>
        <v>0.30149024333087</v>
      </c>
      <c r="D287" s="35" t="n">
        <f aca="true">MAX(0.06,NORMINV(RAND(),$B$8,$C$8))</f>
        <v>0.097959026386674</v>
      </c>
      <c r="E287" s="55" t="n">
        <f aca="true">MAX(5,NORMINV(RAND(),$B$9,$C$9))</f>
        <v>9.19791052075778</v>
      </c>
      <c r="F287" s="28" t="n">
        <f aca="false">$B$18*(1+(B287+$B$17)/2)^9</f>
        <v>30648.4280116941</v>
      </c>
      <c r="G287" s="28" t="n">
        <f aca="false">F287*C287</f>
        <v>9240.2020189543</v>
      </c>
      <c r="H287" s="28" t="n">
        <f aca="false">E287*G287/(1+D287)^9</f>
        <v>36651.8116295778</v>
      </c>
      <c r="I287" s="28" t="n">
        <f aca="false">$B$13*G287/$B$12*((1+$B$8)/(1+D287))^4.5</f>
        <v>18169.8978667326</v>
      </c>
      <c r="J287" s="28" t="n">
        <f aca="false">H287+I287-$B$14-$B$19</f>
        <v>32159.3526269954</v>
      </c>
      <c r="K287" s="46" t="n">
        <f aca="false">J287/$B$15</f>
        <v>95.3717456316589</v>
      </c>
    </row>
    <row r="288" customFormat="false" ht="15" hidden="false" customHeight="false" outlineLevel="0" collapsed="false">
      <c r="A288" s="54" t="n">
        <v>248</v>
      </c>
      <c r="B288" s="23" t="n">
        <f aca="true">NORMINV(RAND(),$B$6,$C$6)</f>
        <v>0.148358936849755</v>
      </c>
      <c r="C288" s="23" t="n">
        <f aca="true">MAX(0.15,NORMINV(RAND(),$B$7,$C$7))</f>
        <v>0.312359904188365</v>
      </c>
      <c r="D288" s="35" t="n">
        <f aca="true">MAX(0.06,NORMINV(RAND(),$B$8,$C$8))</f>
        <v>0.0912560080999855</v>
      </c>
      <c r="E288" s="55" t="n">
        <f aca="true">MAX(5,NORMINV(RAND(),$B$9,$C$9))</f>
        <v>9.98839064989997</v>
      </c>
      <c r="F288" s="28" t="n">
        <f aca="false">$B$18*(1+(B288+$B$17)/2)^9</f>
        <v>49175.282438388</v>
      </c>
      <c r="G288" s="28" t="n">
        <f aca="false">F288*C288</f>
        <v>15360.3865108907</v>
      </c>
      <c r="H288" s="28" t="n">
        <f aca="false">E288*G288/(1+D288)^9</f>
        <v>69912.9830657857</v>
      </c>
      <c r="I288" s="28" t="n">
        <f aca="false">$B$13*G288/$B$12*((1+$B$8)/(1+D288))^4.5</f>
        <v>31048.5161157379</v>
      </c>
      <c r="J288" s="28" t="n">
        <f aca="false">H288+I288-$B$14-$B$19</f>
        <v>78299.1423122086</v>
      </c>
      <c r="K288" s="46" t="n">
        <f aca="false">J288/$B$15</f>
        <v>232.20386213585</v>
      </c>
    </row>
    <row r="289" customFormat="false" ht="15" hidden="false" customHeight="false" outlineLevel="0" collapsed="false">
      <c r="A289" s="54" t="n">
        <v>249</v>
      </c>
      <c r="B289" s="23" t="n">
        <f aca="true">NORMINV(RAND(),$B$6,$C$6)</f>
        <v>0.0990064594231525</v>
      </c>
      <c r="C289" s="23" t="n">
        <f aca="true">MAX(0.15,NORMINV(RAND(),$B$7,$C$7))</f>
        <v>0.292670175849269</v>
      </c>
      <c r="D289" s="35" t="n">
        <f aca="true">MAX(0.06,NORMINV(RAND(),$B$8,$C$8))</f>
        <v>0.0941731574147625</v>
      </c>
      <c r="E289" s="55" t="n">
        <f aca="true">MAX(5,NORMINV(RAND(),$B$9,$C$9))</f>
        <v>12.2335157031913</v>
      </c>
      <c r="F289" s="28" t="n">
        <f aca="false">$B$18*(1+(B289+$B$17)/2)^9</f>
        <v>39991.3666459054</v>
      </c>
      <c r="G289" s="28" t="n">
        <f aca="false">F289*C289</f>
        <v>11704.2803087097</v>
      </c>
      <c r="H289" s="28" t="n">
        <f aca="false">E289*G289/(1+D289)^9</f>
        <v>63697.3685274674</v>
      </c>
      <c r="I289" s="28" t="n">
        <f aca="false">$B$13*G289/$B$12*((1+$B$8)/(1+D289))^4.5</f>
        <v>23375.7783712416</v>
      </c>
      <c r="J289" s="28" t="n">
        <f aca="false">H289+I289-$B$14-$B$19</f>
        <v>64410.7900293939</v>
      </c>
      <c r="K289" s="46" t="n">
        <f aca="false">J289/$B$15</f>
        <v>191.016577785866</v>
      </c>
    </row>
    <row r="290" customFormat="false" ht="15" hidden="false" customHeight="false" outlineLevel="0" collapsed="false">
      <c r="A290" s="54" t="n">
        <v>250</v>
      </c>
      <c r="B290" s="23" t="n">
        <f aca="true">NORMINV(RAND(),$B$6,$C$6)</f>
        <v>0.0325340275440651</v>
      </c>
      <c r="C290" s="23" t="n">
        <f aca="true">MAX(0.15,NORMINV(RAND(),$B$7,$C$7))</f>
        <v>0.308925107884715</v>
      </c>
      <c r="D290" s="35" t="n">
        <f aca="true">MAX(0.06,NORMINV(RAND(),$B$8,$C$8))</f>
        <v>0.100974365520894</v>
      </c>
      <c r="E290" s="55" t="n">
        <f aca="true">MAX(5,NORMINV(RAND(),$B$9,$C$9))</f>
        <v>9.80415918027964</v>
      </c>
      <c r="F290" s="28" t="n">
        <f aca="false">$B$18*(1+(B290+$B$17)/2)^9</f>
        <v>30039.1046655146</v>
      </c>
      <c r="G290" s="28" t="n">
        <f aca="false">F290*C290</f>
        <v>9279.83364955434</v>
      </c>
      <c r="H290" s="28" t="n">
        <f aca="false">E290*G290/(1+D290)^9</f>
        <v>38278.5677835067</v>
      </c>
      <c r="I290" s="28" t="n">
        <f aca="false">$B$13*G290/$B$12*((1+$B$8)/(1+D290))^4.5</f>
        <v>18024.0083065734</v>
      </c>
      <c r="J290" s="28" t="n">
        <f aca="false">H290+I290-$B$14-$B$19</f>
        <v>33640.219220765</v>
      </c>
      <c r="K290" s="46" t="n">
        <f aca="false">J290/$B$15</f>
        <v>99.763402196812</v>
      </c>
    </row>
    <row r="291" customFormat="false" ht="15" hidden="false" customHeight="false" outlineLevel="0" collapsed="false">
      <c r="A291" s="54" t="n">
        <v>251</v>
      </c>
      <c r="B291" s="23" t="n">
        <f aca="true">NORMINV(RAND(),$B$6,$C$6)</f>
        <v>0.106370962229409</v>
      </c>
      <c r="C291" s="23" t="n">
        <f aca="true">MAX(0.15,NORMINV(RAND(),$B$7,$C$7))</f>
        <v>0.296316251109123</v>
      </c>
      <c r="D291" s="35" t="n">
        <f aca="true">MAX(0.06,NORMINV(RAND(),$B$8,$C$8))</f>
        <v>0.0959664882915142</v>
      </c>
      <c r="E291" s="55" t="n">
        <f aca="true">MAX(5,NORMINV(RAND(),$B$9,$C$9))</f>
        <v>10.4938839562311</v>
      </c>
      <c r="F291" s="28" t="n">
        <f aca="false">$B$18*(1+(B291+$B$17)/2)^9</f>
        <v>41256.7628964268</v>
      </c>
      <c r="G291" s="28" t="n">
        <f aca="false">F291*C291</f>
        <v>12225.0493143672</v>
      </c>
      <c r="H291" s="28" t="n">
        <f aca="false">E291*G291/(1+D291)^9</f>
        <v>56235.6091605477</v>
      </c>
      <c r="I291" s="28" t="n">
        <f aca="false">$B$13*G291/$B$12*((1+$B$8)/(1+D291))^4.5</f>
        <v>24236.5892856851</v>
      </c>
      <c r="J291" s="28" t="n">
        <f aca="false">H291+I291-$B$14-$B$19</f>
        <v>57809.8415769177</v>
      </c>
      <c r="K291" s="46" t="n">
        <f aca="false">J291/$B$15</f>
        <v>171.440811319447</v>
      </c>
    </row>
    <row r="292" customFormat="false" ht="15" hidden="false" customHeight="false" outlineLevel="0" collapsed="false">
      <c r="A292" s="54" t="n">
        <v>252</v>
      </c>
      <c r="B292" s="23" t="n">
        <f aca="true">NORMINV(RAND(),$B$6,$C$6)</f>
        <v>0.0564563671434619</v>
      </c>
      <c r="C292" s="23" t="n">
        <f aca="true">MAX(0.15,NORMINV(RAND(),$B$7,$C$7))</f>
        <v>0.323481362227542</v>
      </c>
      <c r="D292" s="35" t="n">
        <f aca="true">MAX(0.06,NORMINV(RAND(),$B$8,$C$8))</f>
        <v>0.0949947873577159</v>
      </c>
      <c r="E292" s="55" t="n">
        <f aca="true">MAX(5,NORMINV(RAND(),$B$9,$C$9))</f>
        <v>7.15359239917654</v>
      </c>
      <c r="F292" s="28" t="n">
        <f aca="false">$B$18*(1+(B292+$B$17)/2)^9</f>
        <v>33332.6275331739</v>
      </c>
      <c r="G292" s="28" t="n">
        <f aca="false">F292*C292</f>
        <v>10782.4837610544</v>
      </c>
      <c r="H292" s="28" t="n">
        <f aca="false">E292*G292/(1+D292)^9</f>
        <v>34082.7428630439</v>
      </c>
      <c r="I292" s="28" t="n">
        <f aca="false">$B$13*G292/$B$12*((1+$B$8)/(1+D292))^4.5</f>
        <v>21462.1487264665</v>
      </c>
      <c r="J292" s="28" t="n">
        <f aca="false">H292+I292-$B$14-$B$19</f>
        <v>32882.5347201953</v>
      </c>
      <c r="K292" s="46" t="n">
        <f aca="false">J292/$B$15</f>
        <v>97.5164137609588</v>
      </c>
    </row>
    <row r="293" customFormat="false" ht="15" hidden="false" customHeight="false" outlineLevel="0" collapsed="false">
      <c r="A293" s="54" t="n">
        <v>253</v>
      </c>
      <c r="B293" s="23" t="n">
        <f aca="true">NORMINV(RAND(),$B$6,$C$6)</f>
        <v>0.0689087446964937</v>
      </c>
      <c r="C293" s="23" t="n">
        <f aca="true">MAX(0.15,NORMINV(RAND(),$B$7,$C$7))</f>
        <v>0.316839860125182</v>
      </c>
      <c r="D293" s="35" t="n">
        <f aca="true">MAX(0.06,NORMINV(RAND(),$B$8,$C$8))</f>
        <v>0.0867176049738988</v>
      </c>
      <c r="E293" s="55" t="n">
        <f aca="true">MAX(5,NORMINV(RAND(),$B$9,$C$9))</f>
        <v>7.16053481884807</v>
      </c>
      <c r="F293" s="28" t="n">
        <f aca="false">$B$18*(1+(B293+$B$17)/2)^9</f>
        <v>35170.9017135454</v>
      </c>
      <c r="G293" s="28" t="n">
        <f aca="false">F293*C293</f>
        <v>11143.5435793963</v>
      </c>
      <c r="H293" s="28" t="n">
        <f aca="false">E293*G293/(1+D293)^9</f>
        <v>37750.1300369432</v>
      </c>
      <c r="I293" s="28" t="n">
        <f aca="false">$B$13*G293/$B$12*((1+$B$8)/(1+D293))^4.5</f>
        <v>22951.2727275242</v>
      </c>
      <c r="J293" s="28" t="n">
        <f aca="false">H293+I293-$B$14-$B$19</f>
        <v>38039.0458951524</v>
      </c>
      <c r="K293" s="46" t="n">
        <f aca="false">J293/$B$15</f>
        <v>112.808558407925</v>
      </c>
    </row>
    <row r="294" customFormat="false" ht="15" hidden="false" customHeight="false" outlineLevel="0" collapsed="false">
      <c r="A294" s="54" t="n">
        <v>254</v>
      </c>
      <c r="B294" s="23" t="n">
        <f aca="true">NORMINV(RAND(),$B$6,$C$6)</f>
        <v>0.105506212082651</v>
      </c>
      <c r="C294" s="23" t="n">
        <f aca="true">MAX(0.15,NORMINV(RAND(),$B$7,$C$7))</f>
        <v>0.307647343945573</v>
      </c>
      <c r="D294" s="35" t="n">
        <f aca="true">MAX(0.06,NORMINV(RAND(),$B$8,$C$8))</f>
        <v>0.0894091625694805</v>
      </c>
      <c r="E294" s="55" t="n">
        <f aca="true">MAX(5,NORMINV(RAND(),$B$9,$C$9))</f>
        <v>11.7292705476664</v>
      </c>
      <c r="F294" s="28" t="n">
        <f aca="false">$B$18*(1+(B294+$B$17)/2)^9</f>
        <v>41106.3571125252</v>
      </c>
      <c r="G294" s="28" t="n">
        <f aca="false">F294*C294</f>
        <v>12646.2615849466</v>
      </c>
      <c r="H294" s="28" t="n">
        <f aca="false">E294*G294/(1+D294)^9</f>
        <v>68629.992603547</v>
      </c>
      <c r="I294" s="28" t="n">
        <f aca="false">$B$13*G294/$B$12*((1+$B$8)/(1+D294))^4.5</f>
        <v>25757.9428193917</v>
      </c>
      <c r="J294" s="28" t="n">
        <f aca="false">H294+I294-$B$14-$B$19</f>
        <v>71725.5785536236</v>
      </c>
      <c r="K294" s="46" t="n">
        <f aca="false">J294/$B$15</f>
        <v>212.709307691648</v>
      </c>
    </row>
    <row r="295" customFormat="false" ht="15" hidden="false" customHeight="false" outlineLevel="0" collapsed="false">
      <c r="A295" s="54" t="n">
        <v>255</v>
      </c>
      <c r="B295" s="23" t="n">
        <f aca="true">NORMINV(RAND(),$B$6,$C$6)</f>
        <v>0.00782402196845773</v>
      </c>
      <c r="C295" s="23" t="n">
        <f aca="true">MAX(0.15,NORMINV(RAND(),$B$7,$C$7))</f>
        <v>0.296399179572981</v>
      </c>
      <c r="D295" s="35" t="n">
        <f aca="true">MAX(0.06,NORMINV(RAND(),$B$8,$C$8))</f>
        <v>0.0920743505979375</v>
      </c>
      <c r="E295" s="55" t="n">
        <f aca="true">MAX(5,NORMINV(RAND(),$B$9,$C$9))</f>
        <v>8.6907469593051</v>
      </c>
      <c r="F295" s="28" t="n">
        <f aca="false">$B$18*(1+(B295+$B$17)/2)^9</f>
        <v>26943.9835458798</v>
      </c>
      <c r="G295" s="28" t="n">
        <f aca="false">F295*C295</f>
        <v>7986.17461742669</v>
      </c>
      <c r="H295" s="28" t="n">
        <f aca="false">E295*G295/(1+D295)^9</f>
        <v>31414.2028565992</v>
      </c>
      <c r="I295" s="28" t="n">
        <f aca="false">$B$13*G295/$B$12*((1+$B$8)/(1+D295))^4.5</f>
        <v>16088.3864804209</v>
      </c>
      <c r="J295" s="28" t="n">
        <f aca="false">H295+I295-$B$14-$B$19</f>
        <v>24840.232467705</v>
      </c>
      <c r="K295" s="46" t="n">
        <f aca="false">J295/$B$15</f>
        <v>73.6661698330515</v>
      </c>
    </row>
    <row r="296" customFormat="false" ht="15" hidden="false" customHeight="false" outlineLevel="0" collapsed="false">
      <c r="A296" s="54" t="n">
        <v>256</v>
      </c>
      <c r="B296" s="23" t="n">
        <f aca="true">NORMINV(RAND(),$B$6,$C$6)</f>
        <v>0.134199658338065</v>
      </c>
      <c r="C296" s="23" t="n">
        <f aca="true">MAX(0.15,NORMINV(RAND(),$B$7,$C$7))</f>
        <v>0.316332011878048</v>
      </c>
      <c r="D296" s="35" t="n">
        <f aca="true">MAX(0.06,NORMINV(RAND(),$B$8,$C$8))</f>
        <v>0.0993847026871794</v>
      </c>
      <c r="E296" s="55" t="n">
        <f aca="true">MAX(5,NORMINV(RAND(),$B$9,$C$9))</f>
        <v>8.72356067098053</v>
      </c>
      <c r="F296" s="28" t="n">
        <f aca="false">$B$18*(1+(B296+$B$17)/2)^9</f>
        <v>46365.9297331522</v>
      </c>
      <c r="G296" s="28" t="n">
        <f aca="false">F296*C296</f>
        <v>14667.0278350842</v>
      </c>
      <c r="H296" s="28" t="n">
        <f aca="false">E296*G296/(1+D296)^9</f>
        <v>54536.6798183315</v>
      </c>
      <c r="I296" s="28" t="n">
        <f aca="false">$B$13*G296/$B$12*((1+$B$8)/(1+D296))^4.5</f>
        <v>28673.2639574248</v>
      </c>
      <c r="J296" s="28" t="n">
        <f aca="false">H296+I296-$B$14-$B$19</f>
        <v>60547.5869064412</v>
      </c>
      <c r="K296" s="46" t="n">
        <f aca="false">J296/$B$15</f>
        <v>179.559866270585</v>
      </c>
    </row>
    <row r="297" customFormat="false" ht="15" hidden="false" customHeight="false" outlineLevel="0" collapsed="false">
      <c r="A297" s="54" t="n">
        <v>257</v>
      </c>
      <c r="B297" s="23" t="n">
        <f aca="true">NORMINV(RAND(),$B$6,$C$6)</f>
        <v>0.0381129062001611</v>
      </c>
      <c r="C297" s="23" t="n">
        <f aca="true">MAX(0.15,NORMINV(RAND(),$B$7,$C$7))</f>
        <v>0.29479722111505</v>
      </c>
      <c r="D297" s="35" t="n">
        <f aca="true">MAX(0.06,NORMINV(RAND(),$B$8,$C$8))</f>
        <v>0.10147686815597</v>
      </c>
      <c r="E297" s="55" t="n">
        <f aca="true">MAX(5,NORMINV(RAND(),$B$9,$C$9))</f>
        <v>9.50722882459287</v>
      </c>
      <c r="F297" s="28" t="n">
        <f aca="false">$B$18*(1+(B297+$B$17)/2)^9</f>
        <v>30780.148460243</v>
      </c>
      <c r="G297" s="28" t="n">
        <f aca="false">F297*C297</f>
        <v>9073.90223158832</v>
      </c>
      <c r="H297" s="28" t="n">
        <f aca="false">E297*G297/(1+D297)^9</f>
        <v>36146.7797430142</v>
      </c>
      <c r="I297" s="28" t="n">
        <f aca="false">$B$13*G297/$B$12*((1+$B$8)/(1+D297))^4.5</f>
        <v>17587.8802896538</v>
      </c>
      <c r="J297" s="28" t="n">
        <f aca="false">H297+I297-$B$14-$B$19</f>
        <v>31072.3031633529</v>
      </c>
      <c r="K297" s="46" t="n">
        <f aca="false">J297/$B$15</f>
        <v>92.1479927738818</v>
      </c>
    </row>
    <row r="298" customFormat="false" ht="15" hidden="false" customHeight="false" outlineLevel="0" collapsed="false">
      <c r="A298" s="54" t="n">
        <v>258</v>
      </c>
      <c r="B298" s="23" t="n">
        <f aca="true">NORMINV(RAND(),$B$6,$C$6)</f>
        <v>0.118354154485171</v>
      </c>
      <c r="C298" s="23" t="n">
        <f aca="true">MAX(0.15,NORMINV(RAND(),$B$7,$C$7))</f>
        <v>0.301594065179057</v>
      </c>
      <c r="D298" s="35" t="n">
        <f aca="true">MAX(0.06,NORMINV(RAND(),$B$8,$C$8))</f>
        <v>0.0913898668767386</v>
      </c>
      <c r="E298" s="55" t="n">
        <f aca="true">MAX(5,NORMINV(RAND(),$B$9,$C$9))</f>
        <v>7.94054669082959</v>
      </c>
      <c r="F298" s="28" t="n">
        <f aca="false">$B$18*(1+(B298+$B$17)/2)^9</f>
        <v>43391.9513598747</v>
      </c>
      <c r="G298" s="28" t="n">
        <f aca="false">F298*C298</f>
        <v>13086.7550066765</v>
      </c>
      <c r="H298" s="28" t="n">
        <f aca="false">E298*G298/(1+D298)^9</f>
        <v>47300.2156791757</v>
      </c>
      <c r="I298" s="28" t="n">
        <f aca="false">$B$13*G298/$B$12*((1+$B$8)/(1+D298))^4.5</f>
        <v>26438.1440750787</v>
      </c>
      <c r="J298" s="28" t="n">
        <f aca="false">H298+I298-$B$14-$B$19</f>
        <v>51076.0028849394</v>
      </c>
      <c r="K298" s="46" t="n">
        <f aca="false">J298/$B$15</f>
        <v>151.470945684874</v>
      </c>
    </row>
    <row r="299" customFormat="false" ht="15" hidden="false" customHeight="false" outlineLevel="0" collapsed="false">
      <c r="A299" s="54" t="n">
        <v>259</v>
      </c>
      <c r="B299" s="23" t="n">
        <f aca="true">NORMINV(RAND(),$B$6,$C$6)</f>
        <v>0.0529579430598256</v>
      </c>
      <c r="C299" s="23" t="n">
        <f aca="true">MAX(0.15,NORMINV(RAND(),$B$7,$C$7))</f>
        <v>0.286712631218569</v>
      </c>
      <c r="D299" s="35" t="n">
        <f aca="true">MAX(0.06,NORMINV(RAND(),$B$8,$C$8))</f>
        <v>0.0985598694959369</v>
      </c>
      <c r="E299" s="55" t="n">
        <f aca="true">MAX(5,NORMINV(RAND(),$B$9,$C$9))</f>
        <v>10.2542073478844</v>
      </c>
      <c r="F299" s="28" t="n">
        <f aca="false">$B$18*(1+(B299+$B$17)/2)^9</f>
        <v>32831.787464826</v>
      </c>
      <c r="G299" s="28" t="n">
        <f aca="false">F299*C299</f>
        <v>9413.28817164911</v>
      </c>
      <c r="H299" s="28" t="n">
        <f aca="false">E299*G299/(1+D299)^9</f>
        <v>41421.8868172481</v>
      </c>
      <c r="I299" s="28" t="n">
        <f aca="false">$B$13*G299/$B$12*((1+$B$8)/(1+D299))^4.5</f>
        <v>18464.7396524525</v>
      </c>
      <c r="J299" s="28" t="n">
        <f aca="false">H299+I299-$B$14-$B$19</f>
        <v>37224.2696003855</v>
      </c>
      <c r="K299" s="46" t="n">
        <f aca="false">J299/$B$15</f>
        <v>110.392258601381</v>
      </c>
    </row>
    <row r="300" customFormat="false" ht="15" hidden="false" customHeight="false" outlineLevel="0" collapsed="false">
      <c r="A300" s="54" t="n">
        <v>260</v>
      </c>
      <c r="B300" s="23" t="n">
        <f aca="true">NORMINV(RAND(),$B$6,$C$6)</f>
        <v>0.0901801897510786</v>
      </c>
      <c r="C300" s="23" t="n">
        <f aca="true">MAX(0.15,NORMINV(RAND(),$B$7,$C$7))</f>
        <v>0.304664129656736</v>
      </c>
      <c r="D300" s="35" t="n">
        <f aca="true">MAX(0.06,NORMINV(RAND(),$B$8,$C$8))</f>
        <v>0.103423666129284</v>
      </c>
      <c r="E300" s="55" t="n">
        <f aca="true">MAX(5,NORMINV(RAND(),$B$9,$C$9))</f>
        <v>9.95792248738049</v>
      </c>
      <c r="F300" s="28" t="n">
        <f aca="false">$B$18*(1+(B300+$B$17)/2)^9</f>
        <v>38520.3372034378</v>
      </c>
      <c r="G300" s="28" t="n">
        <f aca="false">F300*C300</f>
        <v>11735.7650081694</v>
      </c>
      <c r="H300" s="28" t="n">
        <f aca="false">E300*G300/(1+D300)^9</f>
        <v>48194.7238689559</v>
      </c>
      <c r="I300" s="28" t="n">
        <f aca="false">$B$13*G300/$B$12*((1+$B$8)/(1+D300))^4.5</f>
        <v>22567.3050830901</v>
      </c>
      <c r="J300" s="28" t="n">
        <f aca="false">H300+I300-$B$14-$B$19</f>
        <v>48099.672082731</v>
      </c>
      <c r="K300" s="46" t="n">
        <f aca="false">J300/$B$15</f>
        <v>142.644341882358</v>
      </c>
    </row>
    <row r="301" customFormat="false" ht="15" hidden="false" customHeight="false" outlineLevel="0" collapsed="false">
      <c r="A301" s="54" t="n">
        <v>261</v>
      </c>
      <c r="B301" s="23" t="n">
        <f aca="true">NORMINV(RAND(),$B$6,$C$6)</f>
        <v>0.163020833287769</v>
      </c>
      <c r="C301" s="23" t="n">
        <f aca="true">MAX(0.15,NORMINV(RAND(),$B$7,$C$7))</f>
        <v>0.343558611480224</v>
      </c>
      <c r="D301" s="35" t="n">
        <f aca="true">MAX(0.06,NORMINV(RAND(),$B$8,$C$8))</f>
        <v>0.0972588040763706</v>
      </c>
      <c r="E301" s="55" t="n">
        <f aca="true">MAX(5,NORMINV(RAND(),$B$9,$C$9))</f>
        <v>9.65293661085241</v>
      </c>
      <c r="F301" s="28" t="n">
        <f aca="false">$B$18*(1+(B301+$B$17)/2)^9</f>
        <v>52242.8453983478</v>
      </c>
      <c r="G301" s="28" t="n">
        <f aca="false">F301*C301</f>
        <v>17948.4794248324</v>
      </c>
      <c r="H301" s="28" t="n">
        <f aca="false">E301*G301/(1+D301)^9</f>
        <v>75145.9273281848</v>
      </c>
      <c r="I301" s="28" t="n">
        <f aca="false">$B$13*G301/$B$12*((1+$B$8)/(1+D301))^4.5</f>
        <v>35395.2878000754</v>
      </c>
      <c r="J301" s="28" t="n">
        <f aca="false">H301+I301-$B$14-$B$19</f>
        <v>87878.8582589452</v>
      </c>
      <c r="K301" s="46" t="n">
        <f aca="false">J301/$B$15</f>
        <v>260.613458656421</v>
      </c>
    </row>
    <row r="302" customFormat="false" ht="15" hidden="false" customHeight="false" outlineLevel="0" collapsed="false">
      <c r="A302" s="54" t="n">
        <v>262</v>
      </c>
      <c r="B302" s="23" t="n">
        <f aca="true">NORMINV(RAND(),$B$6,$C$6)</f>
        <v>0.0837004138961671</v>
      </c>
      <c r="C302" s="23" t="n">
        <f aca="true">MAX(0.15,NORMINV(RAND(),$B$7,$C$7))</f>
        <v>0.308338551408679</v>
      </c>
      <c r="D302" s="35" t="n">
        <f aca="true">MAX(0.06,NORMINV(RAND(),$B$8,$C$8))</f>
        <v>0.0960507937900695</v>
      </c>
      <c r="E302" s="55" t="n">
        <f aca="true">MAX(5,NORMINV(RAND(),$B$9,$C$9))</f>
        <v>11.2274604743902</v>
      </c>
      <c r="F302" s="28" t="n">
        <f aca="false">$B$18*(1+(B302+$B$17)/2)^9</f>
        <v>37471.2082276532</v>
      </c>
      <c r="G302" s="28" t="n">
        <f aca="false">F302*C302</f>
        <v>11553.8180644476</v>
      </c>
      <c r="H302" s="28" t="n">
        <f aca="false">E302*G302/(1+D302)^9</f>
        <v>56823.8860784515</v>
      </c>
      <c r="I302" s="28" t="n">
        <f aca="false">$B$13*G302/$B$12*((1+$B$8)/(1+D302))^4.5</f>
        <v>22897.9224697469</v>
      </c>
      <c r="J302" s="28" t="n">
        <f aca="false">H302+I302-$B$14-$B$19</f>
        <v>57059.4516788833</v>
      </c>
      <c r="K302" s="46" t="n">
        <f aca="false">J302/$B$15</f>
        <v>169.215455749951</v>
      </c>
    </row>
    <row r="303" customFormat="false" ht="15" hidden="false" customHeight="false" outlineLevel="0" collapsed="false">
      <c r="A303" s="54" t="n">
        <v>263</v>
      </c>
      <c r="B303" s="23" t="n">
        <f aca="true">NORMINV(RAND(),$B$6,$C$6)</f>
        <v>0.103020365775045</v>
      </c>
      <c r="C303" s="23" t="n">
        <f aca="true">MAX(0.15,NORMINV(RAND(),$B$7,$C$7))</f>
        <v>0.334681178853679</v>
      </c>
      <c r="D303" s="35" t="n">
        <f aca="true">MAX(0.06,NORMINV(RAND(),$B$8,$C$8))</f>
        <v>0.0927624391877165</v>
      </c>
      <c r="E303" s="55" t="n">
        <f aca="true">MAX(5,NORMINV(RAND(),$B$9,$C$9))</f>
        <v>10.0329465552788</v>
      </c>
      <c r="F303" s="28" t="n">
        <f aca="false">$B$18*(1+(B303+$B$17)/2)^9</f>
        <v>40676.7051072437</v>
      </c>
      <c r="G303" s="28" t="n">
        <f aca="false">F303*C303</f>
        <v>13613.7276171758</v>
      </c>
      <c r="H303" s="28" t="n">
        <f aca="false">E303*G303/(1+D303)^9</f>
        <v>61471.4880043334</v>
      </c>
      <c r="I303" s="28" t="n">
        <f aca="false">$B$13*G303/$B$12*((1+$B$8)/(1+D303))^4.5</f>
        <v>27347.6342083517</v>
      </c>
      <c r="J303" s="28" t="n">
        <f aca="false">H303+I303-$B$14-$B$19</f>
        <v>66156.7653433701</v>
      </c>
      <c r="K303" s="46" t="n">
        <f aca="false">J303/$B$15</f>
        <v>196.194440520077</v>
      </c>
    </row>
    <row r="304" customFormat="false" ht="15" hidden="false" customHeight="false" outlineLevel="0" collapsed="false">
      <c r="A304" s="54" t="n">
        <v>264</v>
      </c>
      <c r="B304" s="23" t="n">
        <f aca="true">NORMINV(RAND(),$B$6,$C$6)</f>
        <v>0.119666611524299</v>
      </c>
      <c r="C304" s="23" t="n">
        <f aca="true">MAX(0.15,NORMINV(RAND(),$B$7,$C$7))</f>
        <v>0.353388808656388</v>
      </c>
      <c r="D304" s="35" t="n">
        <f aca="true">MAX(0.06,NORMINV(RAND(),$B$8,$C$8))</f>
        <v>0.0866999320705301</v>
      </c>
      <c r="E304" s="55" t="n">
        <f aca="true">MAX(5,NORMINV(RAND(),$B$9,$C$9))</f>
        <v>8.22678354179247</v>
      </c>
      <c r="F304" s="28" t="n">
        <f aca="false">$B$18*(1+(B304+$B$17)/2)^9</f>
        <v>43631.6727606226</v>
      </c>
      <c r="G304" s="28" t="n">
        <f aca="false">F304*C304</f>
        <v>15418.9448565618</v>
      </c>
      <c r="H304" s="28" t="n">
        <f aca="false">E304*G304/(1+D304)^9</f>
        <v>60020.2730184023</v>
      </c>
      <c r="I304" s="28" t="n">
        <f aca="false">$B$13*G304/$B$12*((1+$B$8)/(1+D304))^4.5</f>
        <v>31759.2249849136</v>
      </c>
      <c r="J304" s="28" t="n">
        <f aca="false">H304+I304-$B$14-$B$19</f>
        <v>69117.1411340009</v>
      </c>
      <c r="K304" s="46" t="n">
        <f aca="false">J304/$B$15</f>
        <v>204.9737281554</v>
      </c>
    </row>
    <row r="305" customFormat="false" ht="15" hidden="false" customHeight="false" outlineLevel="0" collapsed="false">
      <c r="A305" s="54" t="n">
        <v>265</v>
      </c>
      <c r="B305" s="23" t="n">
        <f aca="true">NORMINV(RAND(),$B$6,$C$6)</f>
        <v>0.107855418402262</v>
      </c>
      <c r="C305" s="23" t="n">
        <f aca="true">MAX(0.15,NORMINV(RAND(),$B$7,$C$7))</f>
        <v>0.311566014246089</v>
      </c>
      <c r="D305" s="35" t="n">
        <f aca="true">MAX(0.06,NORMINV(RAND(),$B$8,$C$8))</f>
        <v>0.084433147581093</v>
      </c>
      <c r="E305" s="55" t="n">
        <f aca="true">MAX(5,NORMINV(RAND(),$B$9,$C$9))</f>
        <v>10.3231791115693</v>
      </c>
      <c r="F305" s="28" t="n">
        <f aca="false">$B$18*(1+(B305+$B$17)/2)^9</f>
        <v>41516.0949406075</v>
      </c>
      <c r="G305" s="28" t="n">
        <f aca="false">F305*C305</f>
        <v>12935.0042277073</v>
      </c>
      <c r="H305" s="28" t="n">
        <f aca="false">E305*G305/(1+D305)^9</f>
        <v>64380.5942344215</v>
      </c>
      <c r="I305" s="28" t="n">
        <f aca="false">$B$13*G305/$B$12*((1+$B$8)/(1+D305))^4.5</f>
        <v>26894.449977029</v>
      </c>
      <c r="J305" s="28" t="n">
        <f aca="false">H305+I305-$B$14-$B$19</f>
        <v>68612.6873421355</v>
      </c>
      <c r="K305" s="46" t="n">
        <f aca="false">J305/$B$15</f>
        <v>203.477720468966</v>
      </c>
    </row>
    <row r="306" customFormat="false" ht="15" hidden="false" customHeight="false" outlineLevel="0" collapsed="false">
      <c r="A306" s="54" t="n">
        <v>266</v>
      </c>
      <c r="B306" s="23" t="n">
        <f aca="true">NORMINV(RAND(),$B$6,$C$6)</f>
        <v>0.105034828171042</v>
      </c>
      <c r="C306" s="23" t="n">
        <f aca="true">MAX(0.15,NORMINV(RAND(),$B$7,$C$7))</f>
        <v>0.325876917397465</v>
      </c>
      <c r="D306" s="35" t="n">
        <f aca="true">MAX(0.06,NORMINV(RAND(),$B$8,$C$8))</f>
        <v>0.089296834794935</v>
      </c>
      <c r="E306" s="55" t="n">
        <f aca="true">MAX(5,NORMINV(RAND(),$B$9,$C$9))</f>
        <v>8.59899908359977</v>
      </c>
      <c r="F306" s="28" t="n">
        <f aca="false">$B$18*(1+(B306+$B$17)/2)^9</f>
        <v>41024.5748499626</v>
      </c>
      <c r="G306" s="28" t="n">
        <f aca="false">F306*C306</f>
        <v>13368.9619896474</v>
      </c>
      <c r="H306" s="28" t="n">
        <f aca="false">E306*G306/(1+D306)^9</f>
        <v>53238.9419589051</v>
      </c>
      <c r="I306" s="28" t="n">
        <f aca="false">$B$13*G306/$B$12*((1+$B$8)/(1+D306))^4.5</f>
        <v>27242.5791352639</v>
      </c>
      <c r="J306" s="28" t="n">
        <f aca="false">H306+I306-$B$14-$B$19</f>
        <v>57819.1642248539</v>
      </c>
      <c r="K306" s="46" t="n">
        <f aca="false">J306/$B$15</f>
        <v>171.46845855532</v>
      </c>
    </row>
    <row r="307" customFormat="false" ht="15" hidden="false" customHeight="false" outlineLevel="0" collapsed="false">
      <c r="A307" s="54" t="n">
        <v>267</v>
      </c>
      <c r="B307" s="23" t="n">
        <f aca="true">NORMINV(RAND(),$B$6,$C$6)</f>
        <v>0.0494960406810019</v>
      </c>
      <c r="C307" s="23" t="n">
        <f aca="true">MAX(0.15,NORMINV(RAND(),$B$7,$C$7))</f>
        <v>0.308659352069863</v>
      </c>
      <c r="D307" s="35" t="n">
        <f aca="true">MAX(0.06,NORMINV(RAND(),$B$8,$C$8))</f>
        <v>0.100292997632802</v>
      </c>
      <c r="E307" s="55" t="n">
        <f aca="true">MAX(5,NORMINV(RAND(),$B$9,$C$9))</f>
        <v>10.2099103071402</v>
      </c>
      <c r="F307" s="28" t="n">
        <f aca="false">$B$18*(1+(B307+$B$17)/2)^9</f>
        <v>32342.7720454004</v>
      </c>
      <c r="G307" s="28" t="n">
        <f aca="false">F307*C307</f>
        <v>9982.89906367658</v>
      </c>
      <c r="H307" s="28" t="n">
        <f aca="false">E307*G307/(1+D307)^9</f>
        <v>43122.4537628636</v>
      </c>
      <c r="I307" s="28" t="n">
        <f aca="false">$B$13*G307/$B$12*((1+$B$8)/(1+D307))^4.5</f>
        <v>19443.6470691685</v>
      </c>
      <c r="J307" s="28" t="n">
        <f aca="false">H307+I307-$B$14-$B$19</f>
        <v>39903.7439627171</v>
      </c>
      <c r="K307" s="46" t="n">
        <f aca="false">J307/$B$15</f>
        <v>118.338505227512</v>
      </c>
    </row>
    <row r="308" customFormat="false" ht="15" hidden="false" customHeight="false" outlineLevel="0" collapsed="false">
      <c r="A308" s="54" t="n">
        <v>268</v>
      </c>
      <c r="B308" s="23" t="n">
        <f aca="true">NORMINV(RAND(),$B$6,$C$6)</f>
        <v>0.115889743134897</v>
      </c>
      <c r="C308" s="23" t="n">
        <f aca="true">MAX(0.15,NORMINV(RAND(),$B$7,$C$7))</f>
        <v>0.358587235512941</v>
      </c>
      <c r="D308" s="35" t="n">
        <f aca="true">MAX(0.06,NORMINV(RAND(),$B$8,$C$8))</f>
        <v>0.0886732351366221</v>
      </c>
      <c r="E308" s="55" t="n">
        <f aca="true">MAX(5,NORMINV(RAND(),$B$9,$C$9))</f>
        <v>9.34744550184489</v>
      </c>
      <c r="F308" s="28" t="n">
        <f aca="false">$B$18*(1+(B308+$B$17)/2)^9</f>
        <v>42944.9855254778</v>
      </c>
      <c r="G308" s="28" t="n">
        <f aca="false">F308*C308</f>
        <v>15399.5236387243</v>
      </c>
      <c r="H308" s="28" t="n">
        <f aca="false">E308*G308/(1+D308)^9</f>
        <v>67007.3302250003</v>
      </c>
      <c r="I308" s="28" t="n">
        <f aca="false">$B$13*G308/$B$12*((1+$B$8)/(1+D308))^4.5</f>
        <v>31461.3207254284</v>
      </c>
      <c r="J308" s="28" t="n">
        <f aca="false">H308+I308-$B$14-$B$19</f>
        <v>75806.2940811136</v>
      </c>
      <c r="K308" s="46" t="n">
        <f aca="false">J308/$B$15</f>
        <v>224.811073787407</v>
      </c>
    </row>
    <row r="309" customFormat="false" ht="15" hidden="false" customHeight="false" outlineLevel="0" collapsed="false">
      <c r="A309" s="54" t="n">
        <v>269</v>
      </c>
      <c r="B309" s="23" t="n">
        <f aca="true">NORMINV(RAND(),$B$6,$C$6)</f>
        <v>0.0281985637687008</v>
      </c>
      <c r="C309" s="23" t="n">
        <f aca="true">MAX(0.15,NORMINV(RAND(),$B$7,$C$7))</f>
        <v>0.343031502548538</v>
      </c>
      <c r="D309" s="35" t="n">
        <f aca="true">MAX(0.06,NORMINV(RAND(),$B$8,$C$8))</f>
        <v>0.0991274237432245</v>
      </c>
      <c r="E309" s="55" t="n">
        <f aca="true">MAX(5,NORMINV(RAND(),$B$9,$C$9))</f>
        <v>8.89813154987414</v>
      </c>
      <c r="F309" s="28" t="n">
        <f aca="false">$B$18*(1+(B309+$B$17)/2)^9</f>
        <v>29474.2194971661</v>
      </c>
      <c r="G309" s="28" t="n">
        <f aca="false">F309*C309</f>
        <v>10110.5858005583</v>
      </c>
      <c r="H309" s="28" t="n">
        <f aca="false">E309*G309/(1+D309)^9</f>
        <v>38427.5544348984</v>
      </c>
      <c r="I309" s="28" t="n">
        <f aca="false">$B$13*G309/$B$12*((1+$B$8)/(1+D309))^4.5</f>
        <v>19786.4891813165</v>
      </c>
      <c r="J309" s="28" t="n">
        <f aca="false">H309+I309-$B$14-$B$19</f>
        <v>35551.6867468998</v>
      </c>
      <c r="K309" s="46" t="n">
        <f aca="false">J309/$B$15</f>
        <v>105.432048478351</v>
      </c>
    </row>
    <row r="310" customFormat="false" ht="15" hidden="false" customHeight="false" outlineLevel="0" collapsed="false">
      <c r="A310" s="54" t="n">
        <v>270</v>
      </c>
      <c r="B310" s="23" t="n">
        <f aca="true">NORMINV(RAND(),$B$6,$C$6)</f>
        <v>0.0473433870790236</v>
      </c>
      <c r="C310" s="23" t="n">
        <f aca="true">MAX(0.15,NORMINV(RAND(),$B$7,$C$7))</f>
        <v>0.281483323662559</v>
      </c>
      <c r="D310" s="35" t="n">
        <f aca="true">MAX(0.06,NORMINV(RAND(),$B$8,$C$8))</f>
        <v>0.0878010563777844</v>
      </c>
      <c r="E310" s="55" t="n">
        <f aca="true">MAX(5,NORMINV(RAND(),$B$9,$C$9))</f>
        <v>7.65459702747321</v>
      </c>
      <c r="F310" s="28" t="n">
        <f aca="false">$B$18*(1+(B310+$B$17)/2)^9</f>
        <v>32041.9710377402</v>
      </c>
      <c r="G310" s="28" t="n">
        <f aca="false">F310*C310</f>
        <v>9019.28050440258</v>
      </c>
      <c r="H310" s="28" t="n">
        <f aca="false">E310*G310/(1+D310)^9</f>
        <v>32370.4651654194</v>
      </c>
      <c r="I310" s="28" t="n">
        <f aca="false">$B$13*G310/$B$12*((1+$B$8)/(1+D310))^4.5</f>
        <v>18493.0213527591</v>
      </c>
      <c r="J310" s="28" t="n">
        <f aca="false">H310+I310-$B$14-$B$19</f>
        <v>28201.1296488635</v>
      </c>
      <c r="K310" s="46" t="n">
        <f aca="false">J310/$B$15</f>
        <v>83.6332433240317</v>
      </c>
    </row>
    <row r="311" customFormat="false" ht="15" hidden="false" customHeight="false" outlineLevel="0" collapsed="false">
      <c r="A311" s="54" t="n">
        <v>271</v>
      </c>
      <c r="B311" s="23" t="n">
        <f aca="true">NORMINV(RAND(),$B$6,$C$6)</f>
        <v>0.101052991864028</v>
      </c>
      <c r="C311" s="23" t="n">
        <f aca="true">MAX(0.15,NORMINV(RAND(),$B$7,$C$7))</f>
        <v>0.297501710713269</v>
      </c>
      <c r="D311" s="35" t="n">
        <f aca="true">MAX(0.06,NORMINV(RAND(),$B$8,$C$8))</f>
        <v>0.0851875910353514</v>
      </c>
      <c r="E311" s="55" t="n">
        <f aca="true">MAX(5,NORMINV(RAND(),$B$9,$C$9))</f>
        <v>9.20576412936917</v>
      </c>
      <c r="F311" s="28" t="n">
        <f aca="false">$B$18*(1+(B311+$B$17)/2)^9</f>
        <v>40339.5002176072</v>
      </c>
      <c r="G311" s="28" t="n">
        <f aca="false">F311*C311</f>
        <v>12001.0703240565</v>
      </c>
      <c r="H311" s="28" t="n">
        <f aca="false">E311*G311/(1+D311)^9</f>
        <v>52934.2120286605</v>
      </c>
      <c r="I311" s="28" t="n">
        <f aca="false">$B$13*G311/$B$12*((1+$B$8)/(1+D311))^4.5</f>
        <v>24874.6463663952</v>
      </c>
      <c r="J311" s="28" t="n">
        <f aca="false">H311+I311-$B$14-$B$19</f>
        <v>55146.5015257406</v>
      </c>
      <c r="K311" s="46" t="n">
        <f aca="false">J311/$B$15</f>
        <v>163.542412591164</v>
      </c>
    </row>
    <row r="312" customFormat="false" ht="15" hidden="false" customHeight="false" outlineLevel="0" collapsed="false">
      <c r="A312" s="54" t="n">
        <v>272</v>
      </c>
      <c r="B312" s="23" t="n">
        <f aca="true">NORMINV(RAND(),$B$6,$C$6)</f>
        <v>0.0636566022422436</v>
      </c>
      <c r="C312" s="23" t="n">
        <f aca="true">MAX(0.15,NORMINV(RAND(),$B$7,$C$7))</f>
        <v>0.329718320969885</v>
      </c>
      <c r="D312" s="35" t="n">
        <f aca="true">MAX(0.06,NORMINV(RAND(),$B$8,$C$8))</f>
        <v>0.0778123146770866</v>
      </c>
      <c r="E312" s="55" t="n">
        <f aca="true">MAX(5,NORMINV(RAND(),$B$9,$C$9))</f>
        <v>9.48467513465492</v>
      </c>
      <c r="F312" s="28" t="n">
        <f aca="false">$B$18*(1+(B312+$B$17)/2)^9</f>
        <v>34384.850107202</v>
      </c>
      <c r="G312" s="28" t="n">
        <f aca="false">F312*C312</f>
        <v>11337.3150441478</v>
      </c>
      <c r="H312" s="28" t="n">
        <f aca="false">E312*G312/(1+D312)^9</f>
        <v>54782.8223578329</v>
      </c>
      <c r="I312" s="28" t="n">
        <f aca="false">$B$13*G312/$B$12*((1+$B$8)/(1+D312))^4.5</f>
        <v>24231.1875536371</v>
      </c>
      <c r="J312" s="28" t="n">
        <f aca="false">H312+I312-$B$14-$B$19</f>
        <v>56351.6530421549</v>
      </c>
      <c r="K312" s="46" t="n">
        <f aca="false">J312/$B$15</f>
        <v>167.116408784564</v>
      </c>
    </row>
    <row r="313" customFormat="false" ht="15" hidden="false" customHeight="false" outlineLevel="0" collapsed="false">
      <c r="A313" s="54" t="n">
        <v>273</v>
      </c>
      <c r="B313" s="23" t="n">
        <f aca="true">NORMINV(RAND(),$B$6,$C$6)</f>
        <v>0.0192041196399584</v>
      </c>
      <c r="C313" s="23" t="n">
        <f aca="true">MAX(0.15,NORMINV(RAND(),$B$7,$C$7))</f>
        <v>0.277932587154479</v>
      </c>
      <c r="D313" s="35" t="n">
        <f aca="true">MAX(0.06,NORMINV(RAND(),$B$8,$C$8))</f>
        <v>0.0797854118173787</v>
      </c>
      <c r="E313" s="55" t="n">
        <f aca="true">MAX(5,NORMINV(RAND(),$B$9,$C$9))</f>
        <v>9.65171763873839</v>
      </c>
      <c r="F313" s="28" t="n">
        <f aca="false">$B$18*(1+(B313+$B$17)/2)^9</f>
        <v>28332.3161868692</v>
      </c>
      <c r="G313" s="28" t="n">
        <f aca="false">F313*C313</f>
        <v>7874.47393789527</v>
      </c>
      <c r="H313" s="28" t="n">
        <f aca="false">E313*G313/(1+D313)^9</f>
        <v>38088.0778718647</v>
      </c>
      <c r="I313" s="28" t="n">
        <f aca="false">$B$13*G313/$B$12*((1+$B$8)/(1+D313))^4.5</f>
        <v>16692.1246555571</v>
      </c>
      <c r="J313" s="28" t="n">
        <f aca="false">H313+I313-$B$14-$B$19</f>
        <v>32117.8456581067</v>
      </c>
      <c r="K313" s="46" t="n">
        <f aca="false">J313/$B$15</f>
        <v>95.2486526041125</v>
      </c>
    </row>
    <row r="314" customFormat="false" ht="15" hidden="false" customHeight="false" outlineLevel="0" collapsed="false">
      <c r="A314" s="54" t="n">
        <v>274</v>
      </c>
      <c r="B314" s="23" t="n">
        <f aca="true">NORMINV(RAND(),$B$6,$C$6)</f>
        <v>0.0773825516147392</v>
      </c>
      <c r="C314" s="23" t="n">
        <f aca="true">MAX(0.15,NORMINV(RAND(),$B$7,$C$7))</f>
        <v>0.362416817600604</v>
      </c>
      <c r="D314" s="35" t="n">
        <f aca="true">MAX(0.06,NORMINV(RAND(),$B$8,$C$8))</f>
        <v>0.101296914786324</v>
      </c>
      <c r="E314" s="55" t="n">
        <f aca="true">MAX(5,NORMINV(RAND(),$B$9,$C$9))</f>
        <v>9.95616188690604</v>
      </c>
      <c r="F314" s="28" t="n">
        <f aca="false">$B$18*(1+(B314+$B$17)/2)^9</f>
        <v>36472.8280432686</v>
      </c>
      <c r="G314" s="28" t="n">
        <f aca="false">F314*C314</f>
        <v>13218.3662683355</v>
      </c>
      <c r="H314" s="28" t="n">
        <f aca="false">E314*G314/(1+D314)^9</f>
        <v>55224.2629156742</v>
      </c>
      <c r="I314" s="28" t="n">
        <f aca="false">$B$13*G314/$B$12*((1+$B$8)/(1+D314))^4.5</f>
        <v>25639.9102245554</v>
      </c>
      <c r="J314" s="28" t="n">
        <f aca="false">H314+I314-$B$14-$B$19</f>
        <v>58201.8162709146</v>
      </c>
      <c r="K314" s="46" t="n">
        <f aca="false">J314/$B$15</f>
        <v>172.603251099984</v>
      </c>
    </row>
    <row r="315" customFormat="false" ht="15" hidden="false" customHeight="false" outlineLevel="0" collapsed="false">
      <c r="A315" s="54" t="n">
        <v>275</v>
      </c>
      <c r="B315" s="23" t="n">
        <f aca="true">NORMINV(RAND(),$B$6,$C$6)</f>
        <v>0.0918795201505916</v>
      </c>
      <c r="C315" s="23" t="n">
        <f aca="true">MAX(0.15,NORMINV(RAND(),$B$7,$C$7))</f>
        <v>0.323634639103546</v>
      </c>
      <c r="D315" s="35" t="n">
        <f aca="true">MAX(0.06,NORMINV(RAND(),$B$8,$C$8))</f>
        <v>0.107953141301662</v>
      </c>
      <c r="E315" s="55" t="n">
        <f aca="true">MAX(5,NORMINV(RAND(),$B$9,$C$9))</f>
        <v>10.300885325341</v>
      </c>
      <c r="F315" s="28" t="n">
        <f aca="false">$B$18*(1+(B315+$B$17)/2)^9</f>
        <v>38799.7582169698</v>
      </c>
      <c r="G315" s="28" t="n">
        <f aca="false">F315*C315</f>
        <v>12556.9457478539</v>
      </c>
      <c r="H315" s="28" t="n">
        <f aca="false">E315*G315/(1+D315)^9</f>
        <v>51412.1814875789</v>
      </c>
      <c r="I315" s="28" t="n">
        <f aca="false">$B$13*G315/$B$12*((1+$B$8)/(1+D315))^4.5</f>
        <v>23705.3498390414</v>
      </c>
      <c r="J315" s="28" t="n">
        <f aca="false">H315+I315-$B$14-$B$19</f>
        <v>52455.1744573052</v>
      </c>
      <c r="K315" s="46" t="n">
        <f aca="false">J315/$B$15</f>
        <v>155.561015591059</v>
      </c>
    </row>
    <row r="316" customFormat="false" ht="15" hidden="false" customHeight="false" outlineLevel="0" collapsed="false">
      <c r="A316" s="54" t="n">
        <v>276</v>
      </c>
      <c r="B316" s="23" t="n">
        <f aca="true">NORMINV(RAND(),$B$6,$C$6)</f>
        <v>0.0976234599005742</v>
      </c>
      <c r="C316" s="23" t="n">
        <f aca="true">MAX(0.15,NORMINV(RAND(),$B$7,$C$7))</f>
        <v>0.313065709077598</v>
      </c>
      <c r="D316" s="35" t="n">
        <f aca="true">MAX(0.06,NORMINV(RAND(),$B$8,$C$8))</f>
        <v>0.0930083132624291</v>
      </c>
      <c r="E316" s="55" t="n">
        <f aca="true">MAX(5,NORMINV(RAND(),$B$9,$C$9))</f>
        <v>7.39027637398679</v>
      </c>
      <c r="F316" s="28" t="n">
        <f aca="false">$B$18*(1+(B316+$B$17)/2)^9</f>
        <v>39757.6207075191</v>
      </c>
      <c r="G316" s="28" t="n">
        <f aca="false">F316*C316</f>
        <v>12446.7477180376</v>
      </c>
      <c r="H316" s="28" t="n">
        <f aca="false">E316*G316/(1+D316)^9</f>
        <v>41314.7739289767</v>
      </c>
      <c r="I316" s="28" t="n">
        <f aca="false">$B$13*G316/$B$12*((1+$B$8)/(1+D316))^4.5</f>
        <v>24978.0720519449</v>
      </c>
      <c r="J316" s="28" t="n">
        <f aca="false">H316+I316-$B$14-$B$19</f>
        <v>43630.4891116065</v>
      </c>
      <c r="K316" s="46" t="n">
        <f aca="false">J316/$B$15</f>
        <v>129.390537104408</v>
      </c>
    </row>
    <row r="317" customFormat="false" ht="15" hidden="false" customHeight="false" outlineLevel="0" collapsed="false">
      <c r="A317" s="54" t="n">
        <v>277</v>
      </c>
      <c r="B317" s="23" t="n">
        <f aca="true">NORMINV(RAND(),$B$6,$C$6)</f>
        <v>0.0665431289906675</v>
      </c>
      <c r="C317" s="23" t="n">
        <f aca="true">MAX(0.15,NORMINV(RAND(),$B$7,$C$7))</f>
        <v>0.295766508581634</v>
      </c>
      <c r="D317" s="35" t="n">
        <f aca="true">MAX(0.06,NORMINV(RAND(),$B$8,$C$8))</f>
        <v>0.0812849308472609</v>
      </c>
      <c r="E317" s="55" t="n">
        <f aca="true">MAX(5,NORMINV(RAND(),$B$9,$C$9))</f>
        <v>8.43485135692154</v>
      </c>
      <c r="F317" s="28" t="n">
        <f aca="false">$B$18*(1+(B317+$B$17)/2)^9</f>
        <v>34814.9012186485</v>
      </c>
      <c r="G317" s="28" t="n">
        <f aca="false">F317*C317</f>
        <v>10297.0817800541</v>
      </c>
      <c r="H317" s="28" t="n">
        <f aca="false">E317*G317/(1+D317)^9</f>
        <v>42986.317349351</v>
      </c>
      <c r="I317" s="28" t="n">
        <f aca="false">$B$13*G317/$B$12*((1+$B$8)/(1+D317))^4.5</f>
        <v>21691.6258400573</v>
      </c>
      <c r="J317" s="28" t="n">
        <f aca="false">H317+I317-$B$14-$B$19</f>
        <v>42015.5863200933</v>
      </c>
      <c r="K317" s="46" t="n">
        <f aca="false">J317/$B$15</f>
        <v>124.601382918426</v>
      </c>
    </row>
    <row r="318" customFormat="false" ht="15" hidden="false" customHeight="false" outlineLevel="0" collapsed="false">
      <c r="A318" s="54" t="n">
        <v>278</v>
      </c>
      <c r="B318" s="23" t="n">
        <f aca="true">NORMINV(RAND(),$B$6,$C$6)</f>
        <v>0.056761086962223</v>
      </c>
      <c r="C318" s="23" t="n">
        <f aca="true">MAX(0.15,NORMINV(RAND(),$B$7,$C$7))</f>
        <v>0.285365684617029</v>
      </c>
      <c r="D318" s="35" t="n">
        <f aca="true">MAX(0.06,NORMINV(RAND(),$B$8,$C$8))</f>
        <v>0.0874387296997342</v>
      </c>
      <c r="E318" s="55" t="n">
        <f aca="true">MAX(5,NORMINV(RAND(),$B$9,$C$9))</f>
        <v>10.8802585504625</v>
      </c>
      <c r="F318" s="28" t="n">
        <f aca="false">$B$18*(1+(B318+$B$17)/2)^9</f>
        <v>33376.5715527639</v>
      </c>
      <c r="G318" s="28" t="n">
        <f aca="false">F318*C318</f>
        <v>9524.52819132373</v>
      </c>
      <c r="H318" s="28" t="n">
        <f aca="false">E318*G318/(1+D318)^9</f>
        <v>48734.8370433209</v>
      </c>
      <c r="I318" s="28" t="n">
        <f aca="false">$B$13*G318/$B$12*((1+$B$8)/(1+D318))^4.5</f>
        <v>19558.2731541932</v>
      </c>
      <c r="J318" s="28" t="n">
        <f aca="false">H318+I318-$B$14-$B$19</f>
        <v>45630.753328199</v>
      </c>
      <c r="K318" s="46" t="n">
        <f aca="false">J318/$B$15</f>
        <v>135.322518766901</v>
      </c>
    </row>
    <row r="319" customFormat="false" ht="15" hidden="false" customHeight="false" outlineLevel="0" collapsed="false">
      <c r="A319" s="54" t="n">
        <v>279</v>
      </c>
      <c r="B319" s="23" t="n">
        <f aca="true">NORMINV(RAND(),$B$6,$C$6)</f>
        <v>0.0942351274614077</v>
      </c>
      <c r="C319" s="23" t="n">
        <f aca="true">MAX(0.15,NORMINV(RAND(),$B$7,$C$7))</f>
        <v>0.339248022665792</v>
      </c>
      <c r="D319" s="35" t="n">
        <f aca="true">MAX(0.06,NORMINV(RAND(),$B$8,$C$8))</f>
        <v>0.0919933428975844</v>
      </c>
      <c r="E319" s="55" t="n">
        <f aca="true">MAX(5,NORMINV(RAND(),$B$9,$C$9))</f>
        <v>10.806297066925</v>
      </c>
      <c r="F319" s="28" t="n">
        <f aca="false">$B$18*(1+(B319+$B$17)/2)^9</f>
        <v>39190.0703773706</v>
      </c>
      <c r="G319" s="28" t="n">
        <f aca="false">F319*C319</f>
        <v>13295.1538836562</v>
      </c>
      <c r="H319" s="28" t="n">
        <f aca="false">E319*G319/(1+D319)^9</f>
        <v>65071.4303930316</v>
      </c>
      <c r="I319" s="28" t="n">
        <f aca="false">$B$13*G319/$B$12*((1+$B$8)/(1+D319))^4.5</f>
        <v>26792.4253938672</v>
      </c>
      <c r="J319" s="28" t="n">
        <f aca="false">H319+I319-$B$14-$B$19</f>
        <v>69201.4989175838</v>
      </c>
      <c r="K319" s="46" t="n">
        <f aca="false">J319/$B$15</f>
        <v>205.223899518339</v>
      </c>
    </row>
    <row r="320" customFormat="false" ht="15" hidden="false" customHeight="false" outlineLevel="0" collapsed="false">
      <c r="A320" s="54" t="n">
        <v>280</v>
      </c>
      <c r="B320" s="23" t="n">
        <f aca="true">NORMINV(RAND(),$B$6,$C$6)</f>
        <v>0.0840241511270292</v>
      </c>
      <c r="C320" s="23" t="n">
        <f aca="true">MAX(0.15,NORMINV(RAND(),$B$7,$C$7))</f>
        <v>0.298188033755484</v>
      </c>
      <c r="D320" s="35" t="n">
        <f aca="true">MAX(0.06,NORMINV(RAND(),$B$8,$C$8))</f>
        <v>0.0945730293932252</v>
      </c>
      <c r="E320" s="55" t="n">
        <f aca="true">MAX(5,NORMINV(RAND(),$B$9,$C$9))</f>
        <v>7.81957727997086</v>
      </c>
      <c r="F320" s="28" t="n">
        <f aca="false">$B$18*(1+(B320+$B$17)/2)^9</f>
        <v>37523.0147790494</v>
      </c>
      <c r="G320" s="28" t="n">
        <f aca="false">F320*C320</f>
        <v>11188.9139975427</v>
      </c>
      <c r="H320" s="28" t="n">
        <f aca="false">E320*G320/(1+D320)^9</f>
        <v>38794.3541984659</v>
      </c>
      <c r="I320" s="28" t="n">
        <f aca="false">$B$13*G320/$B$12*((1+$B$8)/(1+D320))^4.5</f>
        <v>22309.776182806</v>
      </c>
      <c r="J320" s="28" t="n">
        <f aca="false">H320+I320-$B$14-$B$19</f>
        <v>38441.7735119569</v>
      </c>
      <c r="K320" s="46" t="n">
        <f aca="false">J320/$B$15</f>
        <v>114.002887046136</v>
      </c>
    </row>
    <row r="321" customFormat="false" ht="15" hidden="false" customHeight="false" outlineLevel="0" collapsed="false">
      <c r="A321" s="54" t="n">
        <v>281</v>
      </c>
      <c r="B321" s="23" t="n">
        <f aca="true">NORMINV(RAND(),$B$6,$C$6)</f>
        <v>0.0692107174175617</v>
      </c>
      <c r="C321" s="23" t="n">
        <f aca="true">MAX(0.15,NORMINV(RAND(),$B$7,$C$7))</f>
        <v>0.332887937648378</v>
      </c>
      <c r="D321" s="35" t="n">
        <f aca="true">MAX(0.06,NORMINV(RAND(),$B$8,$C$8))</f>
        <v>0.0892512535250213</v>
      </c>
      <c r="E321" s="55" t="n">
        <f aca="true">MAX(5,NORMINV(RAND(),$B$9,$C$9))</f>
        <v>8.78113200913852</v>
      </c>
      <c r="F321" s="28" t="n">
        <f aca="false">$B$18*(1+(B321+$B$17)/2)^9</f>
        <v>35216.577550396</v>
      </c>
      <c r="G321" s="28" t="n">
        <f aca="false">F321*C321</f>
        <v>11723.1738717855</v>
      </c>
      <c r="H321" s="28" t="n">
        <f aca="false">E321*G321/(1+D321)^9</f>
        <v>47691.7322107408</v>
      </c>
      <c r="I321" s="28" t="n">
        <f aca="false">$B$13*G321/$B$12*((1+$B$8)/(1+D321))^4.5</f>
        <v>23893.3760669413</v>
      </c>
      <c r="J321" s="28" t="n">
        <f aca="false">H321+I321-$B$14-$B$19</f>
        <v>48922.751408367</v>
      </c>
      <c r="K321" s="46" t="n">
        <f aca="false">J321/$B$15</f>
        <v>145.085265149368</v>
      </c>
    </row>
    <row r="322" customFormat="false" ht="15" hidden="false" customHeight="false" outlineLevel="0" collapsed="false">
      <c r="A322" s="54" t="n">
        <v>282</v>
      </c>
      <c r="B322" s="23" t="n">
        <f aca="true">NORMINV(RAND(),$B$6,$C$6)</f>
        <v>0.115025902703082</v>
      </c>
      <c r="C322" s="23" t="n">
        <f aca="true">MAX(0.15,NORMINV(RAND(),$B$7,$C$7))</f>
        <v>0.266105511889056</v>
      </c>
      <c r="D322" s="35" t="n">
        <f aca="true">MAX(0.06,NORMINV(RAND(),$B$8,$C$8))</f>
        <v>0.0943017358717552</v>
      </c>
      <c r="E322" s="55" t="n">
        <f aca="true">MAX(5,NORMINV(RAND(),$B$9,$C$9))</f>
        <v>8.36407431995848</v>
      </c>
      <c r="F322" s="28" t="n">
        <f aca="false">$B$18*(1+(B322+$B$17)/2)^9</f>
        <v>42789.2838285212</v>
      </c>
      <c r="G322" s="28" t="n">
        <f aca="false">F322*C322</f>
        <v>11386.4642765547</v>
      </c>
      <c r="H322" s="28" t="n">
        <f aca="false">E322*G322/(1+D322)^9</f>
        <v>42322.6621778312</v>
      </c>
      <c r="I322" s="28" t="n">
        <f aca="false">$B$13*G322/$B$12*((1+$B$8)/(1+D322))^4.5</f>
        <v>22729.0148063532</v>
      </c>
      <c r="J322" s="28" t="n">
        <f aca="false">H322+I322-$B$14-$B$19</f>
        <v>42389.3201148693</v>
      </c>
      <c r="K322" s="46" t="n">
        <f aca="false">J322/$B$15</f>
        <v>125.709727505544</v>
      </c>
    </row>
    <row r="323" customFormat="false" ht="15" hidden="false" customHeight="false" outlineLevel="0" collapsed="false">
      <c r="A323" s="54" t="n">
        <v>283</v>
      </c>
      <c r="B323" s="23" t="n">
        <f aca="true">NORMINV(RAND(),$B$6,$C$6)</f>
        <v>0.0562126208687132</v>
      </c>
      <c r="C323" s="23" t="n">
        <f aca="true">MAX(0.15,NORMINV(RAND(),$B$7,$C$7))</f>
        <v>0.353754720453441</v>
      </c>
      <c r="D323" s="35" t="n">
        <f aca="true">MAX(0.06,NORMINV(RAND(),$B$8,$C$8))</f>
        <v>0.0870826226618924</v>
      </c>
      <c r="E323" s="55" t="n">
        <f aca="true">MAX(5,NORMINV(RAND(),$B$9,$C$9))</f>
        <v>8.11064346810952</v>
      </c>
      <c r="F323" s="28" t="n">
        <f aca="false">$B$18*(1+(B323+$B$17)/2)^9</f>
        <v>33297.5136134098</v>
      </c>
      <c r="G323" s="28" t="n">
        <f aca="false">F323*C323</f>
        <v>11779.1526201064</v>
      </c>
      <c r="H323" s="28" t="n">
        <f aca="false">E323*G323/(1+D323)^9</f>
        <v>45061.5761748711</v>
      </c>
      <c r="I323" s="28" t="n">
        <f aca="false">$B$13*G323/$B$12*((1+$B$8)/(1+D323))^4.5</f>
        <v>24223.7389980901</v>
      </c>
      <c r="J323" s="28" t="n">
        <f aca="false">H323+I323-$B$14-$B$19</f>
        <v>46622.9583036461</v>
      </c>
      <c r="K323" s="46" t="n">
        <f aca="false">J323/$B$15</f>
        <v>138.265000900493</v>
      </c>
    </row>
    <row r="324" customFormat="false" ht="15" hidden="false" customHeight="false" outlineLevel="0" collapsed="false">
      <c r="A324" s="54" t="n">
        <v>284</v>
      </c>
      <c r="B324" s="23" t="n">
        <f aca="true">NORMINV(RAND(),$B$6,$C$6)</f>
        <v>0.0540247473722889</v>
      </c>
      <c r="C324" s="23" t="n">
        <f aca="true">MAX(0.15,NORMINV(RAND(),$B$7,$C$7))</f>
        <v>0.300726599094595</v>
      </c>
      <c r="D324" s="35" t="n">
        <f aca="true">MAX(0.06,NORMINV(RAND(),$B$8,$C$8))</f>
        <v>0.0967078909457449</v>
      </c>
      <c r="E324" s="55" t="n">
        <f aca="true">MAX(5,NORMINV(RAND(),$B$9,$C$9))</f>
        <v>12.0530209320248</v>
      </c>
      <c r="F324" s="28" t="n">
        <f aca="false">$B$18*(1+(B324+$B$17)/2)^9</f>
        <v>32983.7991767302</v>
      </c>
      <c r="G324" s="28" t="n">
        <f aca="false">F324*C324</f>
        <v>9919.10575163716</v>
      </c>
      <c r="H324" s="28" t="n">
        <f aca="false">E324*G324/(1+D324)^9</f>
        <v>52089.4433882728</v>
      </c>
      <c r="I324" s="28" t="n">
        <f aca="false">$B$13*G324/$B$12*((1+$B$8)/(1+D324))^4.5</f>
        <v>19605.2228588057</v>
      </c>
      <c r="J324" s="28" t="n">
        <f aca="false">H324+I324-$B$14-$B$19</f>
        <v>49032.3093777634</v>
      </c>
      <c r="K324" s="46" t="n">
        <f aca="false">J324/$B$15</f>
        <v>145.410170159441</v>
      </c>
    </row>
    <row r="325" customFormat="false" ht="15" hidden="false" customHeight="false" outlineLevel="0" collapsed="false">
      <c r="A325" s="54" t="n">
        <v>285</v>
      </c>
      <c r="B325" s="23" t="n">
        <f aca="true">NORMINV(RAND(),$B$6,$C$6)</f>
        <v>0.127758532704612</v>
      </c>
      <c r="C325" s="23" t="n">
        <f aca="true">MAX(0.15,NORMINV(RAND(),$B$7,$C$7))</f>
        <v>0.278717095695659</v>
      </c>
      <c r="D325" s="35" t="n">
        <f aca="true">MAX(0.06,NORMINV(RAND(),$B$8,$C$8))</f>
        <v>0.0776785099717755</v>
      </c>
      <c r="E325" s="55" t="n">
        <f aca="true">MAX(5,NORMINV(RAND(),$B$9,$C$9))</f>
        <v>8.80888075362174</v>
      </c>
      <c r="F325" s="28" t="n">
        <f aca="false">$B$18*(1+(B325+$B$17)/2)^9</f>
        <v>45135.8495096427</v>
      </c>
      <c r="G325" s="28" t="n">
        <f aca="false">F325*C325</f>
        <v>12580.132887084</v>
      </c>
      <c r="H325" s="28" t="n">
        <f aca="false">E325*G325/(1+D325)^9</f>
        <v>56520.1044425459</v>
      </c>
      <c r="I325" s="28" t="n">
        <f aca="false">$B$13*G325/$B$12*((1+$B$8)/(1+D325))^4.5</f>
        <v>26902.4818423054</v>
      </c>
      <c r="J325" s="28" t="n">
        <f aca="false">H325+I325-$B$14-$B$19</f>
        <v>60760.2294155362</v>
      </c>
      <c r="K325" s="46" t="n">
        <f aca="false">J325/$B$15</f>
        <v>180.190478693761</v>
      </c>
    </row>
    <row r="326" customFormat="false" ht="15" hidden="false" customHeight="false" outlineLevel="0" collapsed="false">
      <c r="A326" s="54" t="n">
        <v>286</v>
      </c>
      <c r="B326" s="23" t="n">
        <f aca="true">NORMINV(RAND(),$B$6,$C$6)</f>
        <v>0.0426228766104478</v>
      </c>
      <c r="C326" s="23" t="n">
        <f aca="true">MAX(0.15,NORMINV(RAND(),$B$7,$C$7))</f>
        <v>0.319113779823217</v>
      </c>
      <c r="D326" s="35" t="n">
        <f aca="true">MAX(0.06,NORMINV(RAND(),$B$8,$C$8))</f>
        <v>0.0973327314858806</v>
      </c>
      <c r="E326" s="55" t="n">
        <f aca="true">MAX(5,NORMINV(RAND(),$B$9,$C$9))</f>
        <v>13.6998327186217</v>
      </c>
      <c r="F326" s="28" t="n">
        <f aca="false">$B$18*(1+(B326+$B$17)/2)^9</f>
        <v>31391.0400553179</v>
      </c>
      <c r="G326" s="28" t="n">
        <f aca="false">F326*C326</f>
        <v>10017.3134446345</v>
      </c>
      <c r="H326" s="28" t="n">
        <f aca="false">E326*G326/(1+D326)^9</f>
        <v>59486.9256661247</v>
      </c>
      <c r="I326" s="28" t="n">
        <f aca="false">$B$13*G326/$B$12*((1+$B$8)/(1+D326))^4.5</f>
        <v>19748.6485947046</v>
      </c>
      <c r="J326" s="28" t="n">
        <f aca="false">H326+I326-$B$14-$B$19</f>
        <v>56573.2173915142</v>
      </c>
      <c r="K326" s="46" t="n">
        <f aca="false">J326/$B$15</f>
        <v>167.773479808761</v>
      </c>
    </row>
    <row r="327" customFormat="false" ht="15" hidden="false" customHeight="false" outlineLevel="0" collapsed="false">
      <c r="A327" s="54" t="n">
        <v>287</v>
      </c>
      <c r="B327" s="23" t="n">
        <f aca="true">NORMINV(RAND(),$B$6,$C$6)</f>
        <v>0.0884615561433569</v>
      </c>
      <c r="C327" s="23" t="n">
        <f aca="true">MAX(0.15,NORMINV(RAND(),$B$7,$C$7))</f>
        <v>0.283219056511612</v>
      </c>
      <c r="D327" s="35" t="n">
        <f aca="true">MAX(0.06,NORMINV(RAND(),$B$8,$C$8))</f>
        <v>0.105805775856782</v>
      </c>
      <c r="E327" s="55" t="n">
        <f aca="true">MAX(5,NORMINV(RAND(),$B$9,$C$9))</f>
        <v>11.0976954436157</v>
      </c>
      <c r="F327" s="28" t="n">
        <f aca="false">$B$18*(1+(B327+$B$17)/2)^9</f>
        <v>38239.5628703543</v>
      </c>
      <c r="G327" s="28" t="n">
        <f aca="false">F327*C327</f>
        <v>10830.1729175582</v>
      </c>
      <c r="H327" s="28" t="n">
        <f aca="false">E327*G327/(1+D327)^9</f>
        <v>48613.680991421</v>
      </c>
      <c r="I327" s="28" t="n">
        <f aca="false">$B$13*G327/$B$12*((1+$B$8)/(1+D327))^4.5</f>
        <v>20624.7725513591</v>
      </c>
      <c r="J327" s="28" t="n">
        <f aca="false">H327+I327-$B$14-$B$19</f>
        <v>46576.0966734651</v>
      </c>
      <c r="K327" s="46" t="n">
        <f aca="false">J327/$B$15</f>
        <v>138.126028094499</v>
      </c>
    </row>
    <row r="328" customFormat="false" ht="15" hidden="false" customHeight="false" outlineLevel="0" collapsed="false">
      <c r="A328" s="54" t="n">
        <v>288</v>
      </c>
      <c r="B328" s="23" t="n">
        <f aca="true">NORMINV(RAND(),$B$6,$C$6)</f>
        <v>0.100372356421388</v>
      </c>
      <c r="C328" s="23" t="n">
        <f aca="true">MAX(0.15,NORMINV(RAND(),$B$7,$C$7))</f>
        <v>0.30034003260619</v>
      </c>
      <c r="D328" s="35" t="n">
        <f aca="true">MAX(0.06,NORMINV(RAND(),$B$8,$C$8))</f>
        <v>0.0955206822887727</v>
      </c>
      <c r="E328" s="55" t="n">
        <f aca="true">MAX(5,NORMINV(RAND(),$B$9,$C$9))</f>
        <v>12.1191783274934</v>
      </c>
      <c r="F328" s="28" t="n">
        <f aca="false">$B$18*(1+(B328+$B$17)/2)^9</f>
        <v>40223.4202130588</v>
      </c>
      <c r="G328" s="28" t="n">
        <f aca="false">F328*C328</f>
        <v>12080.7033383225</v>
      </c>
      <c r="H328" s="28" t="n">
        <f aca="false">E328*G328/(1+D328)^9</f>
        <v>64413.9848157583</v>
      </c>
      <c r="I328" s="28" t="n">
        <f aca="false">$B$13*G328/$B$12*((1+$B$8)/(1+D328))^4.5</f>
        <v>23994.3077807807</v>
      </c>
      <c r="J328" s="28" t="n">
        <f aca="false">H328+I328-$B$14-$B$19</f>
        <v>65745.935727224</v>
      </c>
      <c r="K328" s="46" t="n">
        <f aca="false">J328/$B$15</f>
        <v>194.976084600308</v>
      </c>
    </row>
    <row r="329" customFormat="false" ht="15" hidden="false" customHeight="false" outlineLevel="0" collapsed="false">
      <c r="A329" s="54" t="n">
        <v>289</v>
      </c>
      <c r="B329" s="23" t="n">
        <f aca="true">NORMINV(RAND(),$B$6,$C$6)</f>
        <v>0.11827429575314</v>
      </c>
      <c r="C329" s="23" t="n">
        <f aca="true">MAX(0.15,NORMINV(RAND(),$B$7,$C$7))</f>
        <v>0.319789249589128</v>
      </c>
      <c r="D329" s="35" t="n">
        <f aca="true">MAX(0.06,NORMINV(RAND(),$B$8,$C$8))</f>
        <v>0.100866232496326</v>
      </c>
      <c r="E329" s="55" t="n">
        <f aca="true">MAX(5,NORMINV(RAND(),$B$9,$C$9))</f>
        <v>10.6219932778</v>
      </c>
      <c r="F329" s="28" t="n">
        <f aca="false">$B$18*(1+(B329+$B$17)/2)^9</f>
        <v>43377.4029529675</v>
      </c>
      <c r="G329" s="28" t="n">
        <f aca="false">F329*C329</f>
        <v>13871.6271394547</v>
      </c>
      <c r="H329" s="28" t="n">
        <f aca="false">E329*G329/(1+D329)^9</f>
        <v>62047.2408607558</v>
      </c>
      <c r="I329" s="28" t="n">
        <f aca="false">$B$13*G329/$B$12*((1+$B$8)/(1+D329))^4.5</f>
        <v>26954.4546456314</v>
      </c>
      <c r="J329" s="28" t="n">
        <f aca="false">H329+I329-$B$14-$B$19</f>
        <v>66339.3386370722</v>
      </c>
      <c r="K329" s="46" t="n">
        <f aca="false">J329/$B$15</f>
        <v>196.73587970662</v>
      </c>
    </row>
    <row r="330" customFormat="false" ht="15" hidden="false" customHeight="false" outlineLevel="0" collapsed="false">
      <c r="A330" s="54" t="n">
        <v>290</v>
      </c>
      <c r="B330" s="23" t="n">
        <f aca="true">NORMINV(RAND(),$B$6,$C$6)</f>
        <v>0.07303531432495</v>
      </c>
      <c r="C330" s="23" t="n">
        <f aca="true">MAX(0.15,NORMINV(RAND(),$B$7,$C$7))</f>
        <v>0.332328150301618</v>
      </c>
      <c r="D330" s="35" t="n">
        <f aca="true">MAX(0.06,NORMINV(RAND(),$B$8,$C$8))</f>
        <v>0.0818374927199472</v>
      </c>
      <c r="E330" s="55" t="n">
        <f aca="true">MAX(5,NORMINV(RAND(),$B$9,$C$9))</f>
        <v>10.120094175734</v>
      </c>
      <c r="F330" s="28" t="n">
        <f aca="false">$B$18*(1+(B330+$B$17)/2)^9</f>
        <v>35799.6592795305</v>
      </c>
      <c r="G330" s="28" t="n">
        <f aca="false">F330*C330</f>
        <v>11897.2345497945</v>
      </c>
      <c r="H330" s="28" t="n">
        <f aca="false">E330*G330/(1+D330)^9</f>
        <v>59316.0634553429</v>
      </c>
      <c r="I330" s="28" t="n">
        <f aca="false">$B$13*G330/$B$12*((1+$B$8)/(1+D330))^4.5</f>
        <v>25004.9226589768</v>
      </c>
      <c r="J330" s="28" t="n">
        <f aca="false">H330+I330-$B$14-$B$19</f>
        <v>61658.6292450047</v>
      </c>
      <c r="K330" s="46" t="n">
        <f aca="false">J330/$B$15</f>
        <v>182.854772375459</v>
      </c>
    </row>
    <row r="331" customFormat="false" ht="15" hidden="false" customHeight="false" outlineLevel="0" collapsed="false">
      <c r="A331" s="54" t="n">
        <v>291</v>
      </c>
      <c r="B331" s="23" t="n">
        <f aca="true">NORMINV(RAND(),$B$6,$C$6)</f>
        <v>0.104340495889221</v>
      </c>
      <c r="C331" s="23" t="n">
        <f aca="true">MAX(0.15,NORMINV(RAND(),$B$7,$C$7))</f>
        <v>0.322450678724029</v>
      </c>
      <c r="D331" s="35" t="n">
        <f aca="true">MAX(0.06,NORMINV(RAND(),$B$8,$C$8))</f>
        <v>0.0953338825208994</v>
      </c>
      <c r="E331" s="55" t="n">
        <f aca="true">MAX(5,NORMINV(RAND(),$B$9,$C$9))</f>
        <v>8.29265405297793</v>
      </c>
      <c r="F331" s="28" t="n">
        <f aca="false">$B$18*(1+(B331+$B$17)/2)^9</f>
        <v>40904.3757983379</v>
      </c>
      <c r="G331" s="28" t="n">
        <f aca="false">F331*C331</f>
        <v>13189.6437389568</v>
      </c>
      <c r="H331" s="28" t="n">
        <f aca="false">E331*G331/(1+D331)^9</f>
        <v>48195.6580218265</v>
      </c>
      <c r="I331" s="28" t="n">
        <f aca="false">$B$13*G331/$B$12*((1+$B$8)/(1+D331))^4.5</f>
        <v>26216.9602601147</v>
      </c>
      <c r="J331" s="28" t="n">
        <f aca="false">H331+I331-$B$14-$B$19</f>
        <v>51750.2614126261</v>
      </c>
      <c r="K331" s="46" t="n">
        <f aca="false">J331/$B$15</f>
        <v>153.470526134716</v>
      </c>
    </row>
    <row r="332" customFormat="false" ht="15" hidden="false" customHeight="false" outlineLevel="0" collapsed="false">
      <c r="A332" s="54" t="n">
        <v>292</v>
      </c>
      <c r="B332" s="23" t="n">
        <f aca="true">NORMINV(RAND(),$B$6,$C$6)</f>
        <v>0.102724831568554</v>
      </c>
      <c r="C332" s="23" t="n">
        <f aca="true">MAX(0.15,NORMINV(RAND(),$B$7,$C$7))</f>
        <v>0.325207589992287</v>
      </c>
      <c r="D332" s="35" t="n">
        <f aca="true">MAX(0.06,NORMINV(RAND(),$B$8,$C$8))</f>
        <v>0.0933218645382937</v>
      </c>
      <c r="E332" s="55" t="n">
        <f aca="true">MAX(5,NORMINV(RAND(),$B$9,$C$9))</f>
        <v>11.5784246980657</v>
      </c>
      <c r="F332" s="28" t="n">
        <f aca="false">$B$18*(1+(B332+$B$17)/2)^9</f>
        <v>40625.8916191598</v>
      </c>
      <c r="G332" s="28" t="n">
        <f aca="false">F332*C332</f>
        <v>13211.8483047548</v>
      </c>
      <c r="H332" s="28" t="n">
        <f aca="false">E332*G332/(1+D332)^9</f>
        <v>68530.0035225117</v>
      </c>
      <c r="I332" s="28" t="n">
        <f aca="false">$B$13*G332/$B$12*((1+$B$8)/(1+D332))^4.5</f>
        <v>26479.272490732</v>
      </c>
      <c r="J332" s="28" t="n">
        <f aca="false">H332+I332-$B$14-$B$19</f>
        <v>72346.9191439286</v>
      </c>
      <c r="K332" s="46" t="n">
        <f aca="false">J332/$B$15</f>
        <v>214.551954756609</v>
      </c>
    </row>
    <row r="333" customFormat="false" ht="15" hidden="false" customHeight="false" outlineLevel="0" collapsed="false">
      <c r="A333" s="54" t="n">
        <v>293</v>
      </c>
      <c r="B333" s="23" t="n">
        <f aca="true">NORMINV(RAND(),$B$6,$C$6)</f>
        <v>0.0871752436419575</v>
      </c>
      <c r="C333" s="23" t="n">
        <f aca="true">MAX(0.15,NORMINV(RAND(),$B$7,$C$7))</f>
        <v>0.35694176315271</v>
      </c>
      <c r="D333" s="35" t="n">
        <f aca="true">MAX(0.06,NORMINV(RAND(),$B$8,$C$8))</f>
        <v>0.0978747936193407</v>
      </c>
      <c r="E333" s="55" t="n">
        <f aca="true">MAX(5,NORMINV(RAND(),$B$9,$C$9))</f>
        <v>13.5968085769286</v>
      </c>
      <c r="F333" s="28" t="n">
        <f aca="false">$B$18*(1+(B333+$B$17)/2)^9</f>
        <v>38030.6089683294</v>
      </c>
      <c r="G333" s="28" t="n">
        <f aca="false">F333*C333</f>
        <v>13574.7126189267</v>
      </c>
      <c r="H333" s="28" t="n">
        <f aca="false">E333*G333/(1+D333)^9</f>
        <v>79651.1958460147</v>
      </c>
      <c r="I333" s="28" t="n">
        <f aca="false">$B$13*G333/$B$12*((1+$B$8)/(1+D333))^4.5</f>
        <v>26702.4801492209</v>
      </c>
      <c r="J333" s="28" t="n">
        <f aca="false">H333+I333-$B$14-$B$19</f>
        <v>83691.3191259206</v>
      </c>
      <c r="K333" s="46" t="n">
        <f aca="false">J333/$B$15</f>
        <v>248.194896577463</v>
      </c>
    </row>
    <row r="334" customFormat="false" ht="15" hidden="false" customHeight="false" outlineLevel="0" collapsed="false">
      <c r="A334" s="54" t="n">
        <v>294</v>
      </c>
      <c r="B334" s="23" t="n">
        <f aca="true">NORMINV(RAND(),$B$6,$C$6)</f>
        <v>0.0461656376190464</v>
      </c>
      <c r="C334" s="23" t="n">
        <f aca="true">MAX(0.15,NORMINV(RAND(),$B$7,$C$7))</f>
        <v>0.328143813468666</v>
      </c>
      <c r="D334" s="35" t="n">
        <f aca="true">MAX(0.06,NORMINV(RAND(),$B$8,$C$8))</f>
        <v>0.0835570126460161</v>
      </c>
      <c r="E334" s="55" t="n">
        <f aca="true">MAX(5,NORMINV(RAND(),$B$9,$C$9))</f>
        <v>14.4527899898286</v>
      </c>
      <c r="F334" s="28" t="n">
        <f aca="false">$B$18*(1+(B334+$B$17)/2)^9</f>
        <v>31878.4529327841</v>
      </c>
      <c r="G334" s="28" t="n">
        <f aca="false">F334*C334</f>
        <v>10460.7171128451</v>
      </c>
      <c r="H334" s="28" t="n">
        <f aca="false">E334*G334/(1+D334)^9</f>
        <v>73425.5562320372</v>
      </c>
      <c r="I334" s="28" t="n">
        <f aca="false">$B$13*G334/$B$12*((1+$B$8)/(1+D334))^4.5</f>
        <v>21829.165102901</v>
      </c>
      <c r="J334" s="28" t="n">
        <f aca="false">H334+I334-$B$14-$B$19</f>
        <v>72592.3644656231</v>
      </c>
      <c r="K334" s="46" t="n">
        <f aca="false">J334/$B$15</f>
        <v>215.279847169701</v>
      </c>
    </row>
    <row r="335" customFormat="false" ht="15" hidden="false" customHeight="false" outlineLevel="0" collapsed="false">
      <c r="A335" s="54" t="n">
        <v>295</v>
      </c>
      <c r="B335" s="23" t="n">
        <f aca="true">NORMINV(RAND(),$B$6,$C$6)</f>
        <v>0.0663306219308837</v>
      </c>
      <c r="C335" s="23" t="n">
        <f aca="true">MAX(0.15,NORMINV(RAND(),$B$7,$C$7))</f>
        <v>0.316560476837094</v>
      </c>
      <c r="D335" s="35" t="n">
        <f aca="true">MAX(0.06,NORMINV(RAND(),$B$8,$C$8))</f>
        <v>0.104881618176907</v>
      </c>
      <c r="E335" s="55" t="n">
        <f aca="true">MAX(5,NORMINV(RAND(),$B$9,$C$9))</f>
        <v>10.2603006289663</v>
      </c>
      <c r="F335" s="28" t="n">
        <f aca="false">$B$18*(1+(B335+$B$17)/2)^9</f>
        <v>34783.0784678233</v>
      </c>
      <c r="G335" s="28" t="n">
        <f aca="false">F335*C335</f>
        <v>11010.9479056362</v>
      </c>
      <c r="H335" s="28" t="n">
        <f aca="false">E335*G335/(1+D335)^9</f>
        <v>46040.8209602617</v>
      </c>
      <c r="I335" s="28" t="n">
        <f aca="false">$B$13*G335/$B$12*((1+$B$8)/(1+D335))^4.5</f>
        <v>21048.0787877106</v>
      </c>
      <c r="J335" s="28" t="n">
        <f aca="false">H335+I335-$B$14-$B$19</f>
        <v>44426.5428786572</v>
      </c>
      <c r="K335" s="46" t="n">
        <f aca="false">J335/$B$15</f>
        <v>131.751313400525</v>
      </c>
    </row>
    <row r="336" customFormat="false" ht="15" hidden="false" customHeight="false" outlineLevel="0" collapsed="false">
      <c r="A336" s="54" t="n">
        <v>296</v>
      </c>
      <c r="B336" s="23" t="n">
        <f aca="true">NORMINV(RAND(),$B$6,$C$6)</f>
        <v>0.122558022941459</v>
      </c>
      <c r="C336" s="23" t="n">
        <f aca="true">MAX(0.15,NORMINV(RAND(),$B$7,$C$7))</f>
        <v>0.333411783769812</v>
      </c>
      <c r="D336" s="35" t="n">
        <f aca="true">MAX(0.06,NORMINV(RAND(),$B$8,$C$8))</f>
        <v>0.0919387226556737</v>
      </c>
      <c r="E336" s="55" t="n">
        <f aca="true">MAX(5,NORMINV(RAND(),$B$9,$C$9))</f>
        <v>9.42112272286197</v>
      </c>
      <c r="F336" s="28" t="n">
        <f aca="false">$B$18*(1+(B336+$B$17)/2)^9</f>
        <v>44163.9495941032</v>
      </c>
      <c r="G336" s="28" t="n">
        <f aca="false">F336*C336</f>
        <v>14724.78121249</v>
      </c>
      <c r="H336" s="28" t="n">
        <f aca="false">E336*G336/(1+D336)^9</f>
        <v>62858.9475846904</v>
      </c>
      <c r="I336" s="28" t="n">
        <f aca="false">$B$13*G336/$B$12*((1+$B$8)/(1+D336))^4.5</f>
        <v>29680.0937040951</v>
      </c>
      <c r="J336" s="28" t="n">
        <f aca="false">H336+I336-$B$14-$B$19</f>
        <v>69876.6844194704</v>
      </c>
      <c r="K336" s="46" t="n">
        <f aca="false">J336/$B$15</f>
        <v>207.226229001988</v>
      </c>
    </row>
    <row r="337" customFormat="false" ht="15" hidden="false" customHeight="false" outlineLevel="0" collapsed="false">
      <c r="A337" s="54" t="n">
        <v>297</v>
      </c>
      <c r="B337" s="23" t="n">
        <f aca="true">NORMINV(RAND(),$B$6,$C$6)</f>
        <v>0.0924692171734338</v>
      </c>
      <c r="C337" s="23" t="n">
        <f aca="true">MAX(0.15,NORMINV(RAND(),$B$7,$C$7))</f>
        <v>0.355214892951309</v>
      </c>
      <c r="D337" s="35" t="n">
        <f aca="true">MAX(0.06,NORMINV(RAND(),$B$8,$C$8))</f>
        <v>0.0862478421705655</v>
      </c>
      <c r="E337" s="55" t="n">
        <f aca="true">MAX(5,NORMINV(RAND(),$B$9,$C$9))</f>
        <v>10.0328356920347</v>
      </c>
      <c r="F337" s="28" t="n">
        <f aca="false">$B$18*(1+(B337+$B$17)/2)^9</f>
        <v>38897.1423699891</v>
      </c>
      <c r="G337" s="28" t="n">
        <f aca="false">F337*C337</f>
        <v>13816.8442630675</v>
      </c>
      <c r="H337" s="28" t="n">
        <f aca="false">E337*G337/(1+D337)^9</f>
        <v>65837.3317819139</v>
      </c>
      <c r="I337" s="28" t="n">
        <f aca="false">$B$13*G337/$B$12*((1+$B$8)/(1+D337))^4.5</f>
        <v>28512.6322307712</v>
      </c>
      <c r="J337" s="28" t="n">
        <f aca="false">H337+I337-$B$14-$B$19</f>
        <v>71687.6071433701</v>
      </c>
      <c r="K337" s="46" t="n">
        <f aca="false">J337/$B$15</f>
        <v>212.596699713434</v>
      </c>
    </row>
    <row r="338" customFormat="false" ht="15" hidden="false" customHeight="false" outlineLevel="0" collapsed="false">
      <c r="A338" s="54" t="n">
        <v>298</v>
      </c>
      <c r="B338" s="23" t="n">
        <f aca="true">NORMINV(RAND(),$B$6,$C$6)</f>
        <v>0.105765926197006</v>
      </c>
      <c r="C338" s="23" t="n">
        <f aca="true">MAX(0.15,NORMINV(RAND(),$B$7,$C$7))</f>
        <v>0.356783514436224</v>
      </c>
      <c r="D338" s="35" t="n">
        <f aca="true">MAX(0.06,NORMINV(RAND(),$B$8,$C$8))</f>
        <v>0.092221552866956</v>
      </c>
      <c r="E338" s="55" t="n">
        <f aca="true">MAX(5,NORMINV(RAND(),$B$9,$C$9))</f>
        <v>8.09542752481184</v>
      </c>
      <c r="F338" s="28" t="n">
        <f aca="false">$B$18*(1+(B338+$B$17)/2)^9</f>
        <v>41151.4778326949</v>
      </c>
      <c r="G338" s="28" t="n">
        <f aca="false">F338*C338</f>
        <v>14682.1688853933</v>
      </c>
      <c r="H338" s="28" t="n">
        <f aca="false">E338*G338/(1+D338)^9</f>
        <v>53732.0393653579</v>
      </c>
      <c r="I338" s="28" t="n">
        <f aca="false">$B$13*G338/$B$12*((1+$B$8)/(1+D338))^4.5</f>
        <v>29559.7322196833</v>
      </c>
      <c r="J338" s="28" t="n">
        <f aca="false">H338+I338-$B$14-$B$19</f>
        <v>60629.4147157262</v>
      </c>
      <c r="K338" s="46" t="n">
        <f aca="false">J338/$B$15</f>
        <v>179.802534744146</v>
      </c>
    </row>
    <row r="339" customFormat="false" ht="15" hidden="false" customHeight="false" outlineLevel="0" collapsed="false">
      <c r="A339" s="54" t="n">
        <v>299</v>
      </c>
      <c r="B339" s="23" t="n">
        <f aca="true">NORMINV(RAND(),$B$6,$C$6)</f>
        <v>0.0902342350743648</v>
      </c>
      <c r="C339" s="23" t="n">
        <f aca="true">MAX(0.15,NORMINV(RAND(),$B$7,$C$7))</f>
        <v>0.315647787371547</v>
      </c>
      <c r="D339" s="35" t="n">
        <f aca="true">MAX(0.06,NORMINV(RAND(),$B$8,$C$8))</f>
        <v>0.108148311145604</v>
      </c>
      <c r="E339" s="55" t="n">
        <f aca="true">MAX(5,NORMINV(RAND(),$B$9,$C$9))</f>
        <v>10.2417277560056</v>
      </c>
      <c r="F339" s="28" t="n">
        <f aca="false">$B$18*(1+(B339+$B$17)/2)^9</f>
        <v>38529.1962651234</v>
      </c>
      <c r="G339" s="28" t="n">
        <f aca="false">F339*C339</f>
        <v>12161.6555502903</v>
      </c>
      <c r="H339" s="28" t="n">
        <f aca="false">E339*G339/(1+D339)^9</f>
        <v>49429.353015158</v>
      </c>
      <c r="I339" s="28" t="n">
        <f aca="false">$B$13*G339/$B$12*((1+$B$8)/(1+D339))^4.5</f>
        <v>22940.9193967338</v>
      </c>
      <c r="J339" s="28" t="n">
        <f aca="false">H339+I339-$B$14-$B$19</f>
        <v>49707.9155425768</v>
      </c>
      <c r="K339" s="46" t="n">
        <f aca="false">J339/$B$15</f>
        <v>147.413747160667</v>
      </c>
    </row>
    <row r="340" customFormat="false" ht="15" hidden="false" customHeight="false" outlineLevel="0" collapsed="false">
      <c r="A340" s="54" t="n">
        <v>300</v>
      </c>
      <c r="B340" s="23" t="n">
        <f aca="true">NORMINV(RAND(),$B$6,$C$6)</f>
        <v>0.0246156402984769</v>
      </c>
      <c r="C340" s="23" t="n">
        <f aca="true">MAX(0.15,NORMINV(RAND(),$B$7,$C$7))</f>
        <v>0.356534643628876</v>
      </c>
      <c r="D340" s="35" t="n">
        <f aca="true">MAX(0.06,NORMINV(RAND(),$B$8,$C$8))</f>
        <v>0.0914529429017677</v>
      </c>
      <c r="E340" s="55" t="n">
        <f aca="true">MAX(5,NORMINV(RAND(),$B$9,$C$9))</f>
        <v>11.3893321409611</v>
      </c>
      <c r="F340" s="28" t="n">
        <f aca="false">$B$18*(1+(B340+$B$17)/2)^9</f>
        <v>29014.5330310499</v>
      </c>
      <c r="G340" s="28" t="n">
        <f aca="false">F340*C340</f>
        <v>10344.6861942836</v>
      </c>
      <c r="H340" s="28" t="n">
        <f aca="false">E340*G340/(1+D340)^9</f>
        <v>53600.6965351349</v>
      </c>
      <c r="I340" s="28" t="n">
        <f aca="false">$B$13*G340/$B$12*((1+$B$8)/(1+D340))^4.5</f>
        <v>20893.1233469346</v>
      </c>
      <c r="J340" s="28" t="n">
        <f aca="false">H340+I340-$B$14-$B$19</f>
        <v>51831.4630127544</v>
      </c>
      <c r="K340" s="46" t="n">
        <f aca="false">J340/$B$15</f>
        <v>153.711337522996</v>
      </c>
    </row>
    <row r="341" customFormat="false" ht="15" hidden="false" customHeight="false" outlineLevel="0" collapsed="false">
      <c r="A341" s="54" t="n">
        <v>301</v>
      </c>
      <c r="B341" s="23" t="n">
        <f aca="true">NORMINV(RAND(),$B$6,$C$6)</f>
        <v>0.0930355237778734</v>
      </c>
      <c r="C341" s="23" t="n">
        <f aca="true">MAX(0.15,NORMINV(RAND(),$B$7,$C$7))</f>
        <v>0.337638458430547</v>
      </c>
      <c r="D341" s="35" t="n">
        <f aca="true">MAX(0.06,NORMINV(RAND(),$B$8,$C$8))</f>
        <v>0.0870867810161849</v>
      </c>
      <c r="E341" s="55" t="n">
        <f aca="true">MAX(5,NORMINV(RAND(),$B$9,$C$9))</f>
        <v>12.4205579235036</v>
      </c>
      <c r="F341" s="28" t="n">
        <f aca="false">$B$18*(1+(B341+$B$17)/2)^9</f>
        <v>38990.8682157255</v>
      </c>
      <c r="G341" s="28" t="n">
        <f aca="false">F341*C341</f>
        <v>13164.8166372262</v>
      </c>
      <c r="H341" s="28" t="n">
        <f aca="false">E341*G341/(1+D341)^9</f>
        <v>77121.9472064796</v>
      </c>
      <c r="I341" s="28" t="n">
        <f aca="false">$B$13*G341/$B$12*((1+$B$8)/(1+D341))^4.5</f>
        <v>27072.8806297051</v>
      </c>
      <c r="J341" s="28" t="n">
        <f aca="false">H341+I341-$B$14-$B$19</f>
        <v>81532.4709668697</v>
      </c>
      <c r="K341" s="46" t="n">
        <f aca="false">J341/$B$15</f>
        <v>241.792618525711</v>
      </c>
    </row>
    <row r="342" customFormat="false" ht="15" hidden="false" customHeight="false" outlineLevel="0" collapsed="false">
      <c r="A342" s="54" t="n">
        <v>302</v>
      </c>
      <c r="B342" s="23" t="n">
        <f aca="true">NORMINV(RAND(),$B$6,$C$6)</f>
        <v>0.0654592131696468</v>
      </c>
      <c r="C342" s="23" t="n">
        <f aca="true">MAX(0.15,NORMINV(RAND(),$B$7,$C$7))</f>
        <v>0.33302772438421</v>
      </c>
      <c r="D342" s="35" t="n">
        <f aca="true">MAX(0.06,NORMINV(RAND(),$B$8,$C$8))</f>
        <v>0.104294673620971</v>
      </c>
      <c r="E342" s="55" t="n">
        <f aca="true">MAX(5,NORMINV(RAND(),$B$9,$C$9))</f>
        <v>9.96101672280719</v>
      </c>
      <c r="F342" s="28" t="n">
        <f aca="false">$B$18*(1+(B342+$B$17)/2)^9</f>
        <v>34652.8559732817</v>
      </c>
      <c r="G342" s="28" t="n">
        <f aca="false">F342*C342</f>
        <v>11540.3617681958</v>
      </c>
      <c r="H342" s="28" t="n">
        <f aca="false">E342*G342/(1+D342)^9</f>
        <v>47071.5279389922</v>
      </c>
      <c r="I342" s="28" t="n">
        <f aca="false">$B$13*G342/$B$12*((1+$B$8)/(1+D342))^4.5</f>
        <v>22112.8971080592</v>
      </c>
      <c r="J342" s="28" t="n">
        <f aca="false">H342+I342-$B$14-$B$19</f>
        <v>46522.0681777363</v>
      </c>
      <c r="K342" s="46" t="n">
        <f aca="false">J342/$B$15</f>
        <v>137.965801238838</v>
      </c>
    </row>
    <row r="343" customFormat="false" ht="15" hidden="false" customHeight="false" outlineLevel="0" collapsed="false">
      <c r="A343" s="54" t="n">
        <v>303</v>
      </c>
      <c r="B343" s="23" t="n">
        <f aca="true">NORMINV(RAND(),$B$6,$C$6)</f>
        <v>0.0796414199790988</v>
      </c>
      <c r="C343" s="23" t="n">
        <f aca="true">MAX(0.15,NORMINV(RAND(),$B$7,$C$7))</f>
        <v>0.280750411384694</v>
      </c>
      <c r="D343" s="35" t="n">
        <f aca="true">MAX(0.06,NORMINV(RAND(),$B$8,$C$8))</f>
        <v>0.0777462220428491</v>
      </c>
      <c r="E343" s="55" t="n">
        <f aca="true">MAX(5,NORMINV(RAND(),$B$9,$C$9))</f>
        <v>11.3284441863205</v>
      </c>
      <c r="F343" s="28" t="n">
        <f aca="false">$B$18*(1+(B343+$B$17)/2)^9</f>
        <v>36827.0359701646</v>
      </c>
      <c r="G343" s="28" t="n">
        <f aca="false">F343*C343</f>
        <v>10339.2054987026</v>
      </c>
      <c r="H343" s="28" t="n">
        <f aca="false">E343*G343/(1+D343)^9</f>
        <v>59704.7458955134</v>
      </c>
      <c r="I343" s="28" t="n">
        <f aca="false">$B$13*G343/$B$12*((1+$B$8)/(1+D343))^4.5</f>
        <v>22104.0317837959</v>
      </c>
      <c r="J343" s="28" t="n">
        <f aca="false">H343+I343-$B$14-$B$19</f>
        <v>59146.4208099943</v>
      </c>
      <c r="K343" s="46" t="n">
        <f aca="false">J343/$B$15</f>
        <v>175.404569424657</v>
      </c>
    </row>
    <row r="344" customFormat="false" ht="15" hidden="false" customHeight="false" outlineLevel="0" collapsed="false">
      <c r="A344" s="54" t="n">
        <v>304</v>
      </c>
      <c r="B344" s="23" t="n">
        <f aca="true">NORMINV(RAND(),$B$6,$C$6)</f>
        <v>0.0147183057670467</v>
      </c>
      <c r="C344" s="23" t="n">
        <f aca="true">MAX(0.15,NORMINV(RAND(),$B$7,$C$7))</f>
        <v>0.31098719836749</v>
      </c>
      <c r="D344" s="35" t="n">
        <f aca="true">MAX(0.06,NORMINV(RAND(),$B$8,$C$8))</f>
        <v>0.087495219513203</v>
      </c>
      <c r="E344" s="55" t="n">
        <f aca="true">MAX(5,NORMINV(RAND(),$B$9,$C$9))</f>
        <v>10.6125678756353</v>
      </c>
      <c r="F344" s="28" t="n">
        <f aca="false">$B$18*(1+(B344+$B$17)/2)^9</f>
        <v>27777.6492182332</v>
      </c>
      <c r="G344" s="28" t="n">
        <f aca="false">F344*C344</f>
        <v>8638.49330761325</v>
      </c>
      <c r="H344" s="28" t="n">
        <f aca="false">E344*G344/(1+D344)^9</f>
        <v>43093.5501001544</v>
      </c>
      <c r="I344" s="28" t="n">
        <f aca="false">$B$13*G344/$B$12*((1+$B$8)/(1+D344))^4.5</f>
        <v>17734.6865496208</v>
      </c>
      <c r="J344" s="28" t="n">
        <f aca="false">H344+I344-$B$14-$B$19</f>
        <v>38165.8797804601</v>
      </c>
      <c r="K344" s="46" t="n">
        <f aca="false">J344/$B$15</f>
        <v>113.18469685783</v>
      </c>
    </row>
    <row r="345" customFormat="false" ht="15" hidden="false" customHeight="false" outlineLevel="0" collapsed="false">
      <c r="A345" s="54" t="n">
        <v>305</v>
      </c>
      <c r="B345" s="23" t="n">
        <f aca="true">NORMINV(RAND(),$B$6,$C$6)</f>
        <v>0.0976832242059341</v>
      </c>
      <c r="C345" s="23" t="n">
        <f aca="true">MAX(0.15,NORMINV(RAND(),$B$7,$C$7))</f>
        <v>0.29156165153926</v>
      </c>
      <c r="D345" s="35" t="n">
        <f aca="true">MAX(0.06,NORMINV(RAND(),$B$8,$C$8))</f>
        <v>0.0968913327513158</v>
      </c>
      <c r="E345" s="55" t="n">
        <f aca="true">MAX(5,NORMINV(RAND(),$B$9,$C$9))</f>
        <v>7.3842944289695</v>
      </c>
      <c r="F345" s="28" t="n">
        <f aca="false">$B$18*(1+(B345+$B$17)/2)^9</f>
        <v>39767.6965350266</v>
      </c>
      <c r="G345" s="28" t="n">
        <f aca="false">F345*C345</f>
        <v>11594.7352796645</v>
      </c>
      <c r="H345" s="28" t="n">
        <f aca="false">E345*G345/(1+D345)^9</f>
        <v>37247.5231439883</v>
      </c>
      <c r="I345" s="28" t="n">
        <f aca="false">$B$13*G345/$B$12*((1+$B$8)/(1+D345))^4.5</f>
        <v>22899.881555293</v>
      </c>
      <c r="J345" s="28" t="n">
        <f aca="false">H345+I345-$B$14-$B$19</f>
        <v>37485.0478299662</v>
      </c>
      <c r="K345" s="46" t="n">
        <f aca="false">J345/$B$15</f>
        <v>111.165622271549</v>
      </c>
    </row>
    <row r="346" customFormat="false" ht="15" hidden="false" customHeight="false" outlineLevel="0" collapsed="false">
      <c r="A346" s="54" t="n">
        <v>306</v>
      </c>
      <c r="B346" s="23" t="n">
        <f aca="true">NORMINV(RAND(),$B$6,$C$6)</f>
        <v>0.0722799419267182</v>
      </c>
      <c r="C346" s="23" t="n">
        <f aca="true">MAX(0.15,NORMINV(RAND(),$B$7,$C$7))</f>
        <v>0.327245358664941</v>
      </c>
      <c r="D346" s="35" t="n">
        <f aca="true">MAX(0.06,NORMINV(RAND(),$B$8,$C$8))</f>
        <v>0.097024786964398</v>
      </c>
      <c r="E346" s="55" t="n">
        <f aca="true">MAX(5,NORMINV(RAND(),$B$9,$C$9))</f>
        <v>7.63405293480783</v>
      </c>
      <c r="F346" s="28" t="n">
        <f aca="false">$B$18*(1+(B346+$B$17)/2)^9</f>
        <v>35683.8230680296</v>
      </c>
      <c r="G346" s="28" t="n">
        <f aca="false">F346*C346</f>
        <v>11677.3654784336</v>
      </c>
      <c r="H346" s="28" t="n">
        <f aca="false">E346*G346/(1+D346)^9</f>
        <v>38739.3273873806</v>
      </c>
      <c r="I346" s="28" t="n">
        <f aca="false">$B$13*G346/$B$12*((1+$B$8)/(1+D346))^4.5</f>
        <v>23050.4554622402</v>
      </c>
      <c r="J346" s="28" t="n">
        <f aca="false">H346+I346-$B$14-$B$19</f>
        <v>39127.4259803057</v>
      </c>
      <c r="K346" s="46" t="n">
        <f aca="false">J346/$B$15</f>
        <v>116.036257355592</v>
      </c>
    </row>
    <row r="347" customFormat="false" ht="15" hidden="false" customHeight="false" outlineLevel="0" collapsed="false">
      <c r="A347" s="54" t="n">
        <v>307</v>
      </c>
      <c r="B347" s="23" t="n">
        <f aca="true">NORMINV(RAND(),$B$6,$C$6)</f>
        <v>0.103177213869567</v>
      </c>
      <c r="C347" s="23" t="n">
        <f aca="true">MAX(0.15,NORMINV(RAND(),$B$7,$C$7))</f>
        <v>0.365876203385945</v>
      </c>
      <c r="D347" s="35" t="n">
        <f aca="true">MAX(0.06,NORMINV(RAND(),$B$8,$C$8))</f>
        <v>0.104142389196247</v>
      </c>
      <c r="E347" s="55" t="n">
        <f aca="true">MAX(5,NORMINV(RAND(),$B$9,$C$9))</f>
        <v>9.71577253199169</v>
      </c>
      <c r="F347" s="28" t="n">
        <f aca="false">$B$18*(1+(B347+$B$17)/2)^9</f>
        <v>40703.6961577104</v>
      </c>
      <c r="G347" s="28" t="n">
        <f aca="false">F347*C347</f>
        <v>14892.5138139581</v>
      </c>
      <c r="H347" s="28" t="n">
        <f aca="false">E347*G347/(1+D347)^9</f>
        <v>59322.5213117452</v>
      </c>
      <c r="I347" s="28" t="n">
        <f aca="false">$B$13*G347/$B$12*((1+$B$8)/(1+D347))^4.5</f>
        <v>28553.7897476745</v>
      </c>
      <c r="J347" s="28" t="n">
        <f aca="false">H347+I347-$B$14-$B$19</f>
        <v>65213.9541901046</v>
      </c>
      <c r="K347" s="46" t="n">
        <f aca="false">J347/$B$15</f>
        <v>193.398440658673</v>
      </c>
    </row>
    <row r="348" customFormat="false" ht="15" hidden="false" customHeight="false" outlineLevel="0" collapsed="false">
      <c r="A348" s="54" t="n">
        <v>308</v>
      </c>
      <c r="B348" s="23" t="n">
        <f aca="true">NORMINV(RAND(),$B$6,$C$6)</f>
        <v>0.0471300116018315</v>
      </c>
      <c r="C348" s="23" t="n">
        <f aca="true">MAX(0.15,NORMINV(RAND(),$B$7,$C$7))</f>
        <v>0.311706717063089</v>
      </c>
      <c r="D348" s="35" t="n">
        <f aca="true">MAX(0.06,NORMINV(RAND(),$B$8,$C$8))</f>
        <v>0.0962790990135085</v>
      </c>
      <c r="E348" s="55" t="n">
        <f aca="true">MAX(5,NORMINV(RAND(),$B$9,$C$9))</f>
        <v>10.3511558513726</v>
      </c>
      <c r="F348" s="28" t="n">
        <f aca="false">$B$18*(1+(B348+$B$17)/2)^9</f>
        <v>32012.2909172834</v>
      </c>
      <c r="G348" s="28" t="n">
        <f aca="false">F348*C348</f>
        <v>9978.44610749496</v>
      </c>
      <c r="H348" s="28" t="n">
        <f aca="false">E348*G348/(1+D348)^9</f>
        <v>45160.7926451906</v>
      </c>
      <c r="I348" s="28" t="n">
        <f aca="false">$B$13*G348/$B$12*((1+$B$8)/(1+D348))^4.5</f>
        <v>19757.2471416581</v>
      </c>
      <c r="J348" s="28" t="n">
        <f aca="false">H348+I348-$B$14-$B$19</f>
        <v>42255.6829175336</v>
      </c>
      <c r="K348" s="46" t="n">
        <f aca="false">J348/$B$15</f>
        <v>125.313413159945</v>
      </c>
    </row>
    <row r="349" customFormat="false" ht="15" hidden="false" customHeight="false" outlineLevel="0" collapsed="false">
      <c r="A349" s="54" t="n">
        <v>309</v>
      </c>
      <c r="B349" s="23" t="n">
        <f aca="true">NORMINV(RAND(),$B$6,$C$6)</f>
        <v>0.0919161015169235</v>
      </c>
      <c r="C349" s="23" t="n">
        <f aca="true">MAX(0.15,NORMINV(RAND(),$B$7,$C$7))</f>
        <v>0.300670972162802</v>
      </c>
      <c r="D349" s="35" t="n">
        <f aca="true">MAX(0.06,NORMINV(RAND(),$B$8,$C$8))</f>
        <v>0.0899168863007605</v>
      </c>
      <c r="E349" s="55" t="n">
        <f aca="true">MAX(5,NORMINV(RAND(),$B$9,$C$9))</f>
        <v>10.4100014433705</v>
      </c>
      <c r="F349" s="28" t="n">
        <f aca="false">$B$18*(1+(B349+$B$17)/2)^9</f>
        <v>38805.79305099</v>
      </c>
      <c r="G349" s="28" t="n">
        <f aca="false">F349*C349</f>
        <v>11667.7755221896</v>
      </c>
      <c r="H349" s="28" t="n">
        <f aca="false">E349*G349/(1+D349)^9</f>
        <v>55962.6696043459</v>
      </c>
      <c r="I349" s="28" t="n">
        <f aca="false">$B$13*G349/$B$12*((1+$B$8)/(1+D349))^4.5</f>
        <v>23715.1824228723</v>
      </c>
      <c r="J349" s="28" t="n">
        <f aca="false">H349+I349-$B$14-$B$19</f>
        <v>57015.4951579031</v>
      </c>
      <c r="K349" s="46" t="n">
        <f aca="false">J349/$B$15</f>
        <v>169.085098333046</v>
      </c>
    </row>
    <row r="350" customFormat="false" ht="15" hidden="false" customHeight="false" outlineLevel="0" collapsed="false">
      <c r="A350" s="54" t="n">
        <v>310</v>
      </c>
      <c r="B350" s="23" t="n">
        <f aca="true">NORMINV(RAND(),$B$6,$C$6)</f>
        <v>0.0413099350702859</v>
      </c>
      <c r="C350" s="23" t="n">
        <f aca="true">MAX(0.15,NORMINV(RAND(),$B$7,$C$7))</f>
        <v>0.280663292582703</v>
      </c>
      <c r="D350" s="35" t="n">
        <f aca="true">MAX(0.06,NORMINV(RAND(),$B$8,$C$8))</f>
        <v>0.104604139021654</v>
      </c>
      <c r="E350" s="55" t="n">
        <f aca="true">MAX(5,NORMINV(RAND(),$B$9,$C$9))</f>
        <v>11.5262811110233</v>
      </c>
      <c r="F350" s="28" t="n">
        <f aca="false">$B$18*(1+(B350+$B$17)/2)^9</f>
        <v>31212.0951245775</v>
      </c>
      <c r="G350" s="28" t="n">
        <f aca="false">F350*C350</f>
        <v>8760.08938606846</v>
      </c>
      <c r="H350" s="28" t="n">
        <f aca="false">E350*G350/(1+D350)^9</f>
        <v>41241.8130183718</v>
      </c>
      <c r="I350" s="28" t="n">
        <f aca="false">$B$13*G350/$B$12*((1+$B$8)/(1+D350))^4.5</f>
        <v>16764.3670066993</v>
      </c>
      <c r="J350" s="28" t="n">
        <f aca="false">H350+I350-$B$14-$B$19</f>
        <v>35343.8231557561</v>
      </c>
      <c r="K350" s="46" t="n">
        <f aca="false">J350/$B$15</f>
        <v>104.815608409716</v>
      </c>
    </row>
    <row r="351" customFormat="false" ht="15" hidden="false" customHeight="false" outlineLevel="0" collapsed="false">
      <c r="A351" s="54" t="n">
        <v>311</v>
      </c>
      <c r="B351" s="23" t="n">
        <f aca="true">NORMINV(RAND(),$B$6,$C$6)</f>
        <v>0.0110334474503889</v>
      </c>
      <c r="C351" s="23" t="n">
        <f aca="true">MAX(0.15,NORMINV(RAND(),$B$7,$C$7))</f>
        <v>0.314679961357487</v>
      </c>
      <c r="D351" s="35" t="n">
        <f aca="true">MAX(0.06,NORMINV(RAND(),$B$8,$C$8))</f>
        <v>0.0920966521179987</v>
      </c>
      <c r="E351" s="55" t="n">
        <f aca="true">MAX(5,NORMINV(RAND(),$B$9,$C$9))</f>
        <v>10.5643171137175</v>
      </c>
      <c r="F351" s="28" t="n">
        <f aca="false">$B$18*(1+(B351+$B$17)/2)^9</f>
        <v>27329.2630668938</v>
      </c>
      <c r="G351" s="28" t="n">
        <f aca="false">F351*C351</f>
        <v>8599.97144581873</v>
      </c>
      <c r="H351" s="28" t="n">
        <f aca="false">E351*G351/(1+D351)^9</f>
        <v>41113.9077063521</v>
      </c>
      <c r="I351" s="28" t="n">
        <f aca="false">$B$13*G351/$B$12*((1+$B$8)/(1+D351))^4.5</f>
        <v>17323.3064685395</v>
      </c>
      <c r="J351" s="28" t="n">
        <f aca="false">H351+I351-$B$14-$B$19</f>
        <v>35774.8573055765</v>
      </c>
      <c r="K351" s="46" t="n">
        <f aca="false">J351/$B$15</f>
        <v>106.093882875375</v>
      </c>
    </row>
    <row r="352" customFormat="false" ht="15" hidden="false" customHeight="false" outlineLevel="0" collapsed="false">
      <c r="A352" s="54" t="n">
        <v>312</v>
      </c>
      <c r="B352" s="23" t="n">
        <f aca="true">NORMINV(RAND(),$B$6,$C$6)</f>
        <v>0.0806279944592275</v>
      </c>
      <c r="C352" s="23" t="n">
        <f aca="true">MAX(0.15,NORMINV(RAND(),$B$7,$C$7))</f>
        <v>0.323066246938377</v>
      </c>
      <c r="D352" s="35" t="n">
        <f aca="true">MAX(0.06,NORMINV(RAND(),$B$8,$C$8))</f>
        <v>0.0982548387600338</v>
      </c>
      <c r="E352" s="55" t="n">
        <f aca="true">MAX(5,NORMINV(RAND(),$B$9,$C$9))</f>
        <v>11.1891974387286</v>
      </c>
      <c r="F352" s="28" t="n">
        <f aca="false">$B$18*(1+(B352+$B$17)/2)^9</f>
        <v>36982.6954190608</v>
      </c>
      <c r="G352" s="28" t="n">
        <f aca="false">F352*C352</f>
        <v>11947.8606107011</v>
      </c>
      <c r="H352" s="28" t="n">
        <f aca="false">E352*G352/(1+D352)^9</f>
        <v>57512.3291431691</v>
      </c>
      <c r="I352" s="28" t="n">
        <f aca="false">$B$13*G352/$B$12*((1+$B$8)/(1+D352))^4.5</f>
        <v>23465.7642543279</v>
      </c>
      <c r="J352" s="28" t="n">
        <f aca="false">H352+I352-$B$14-$B$19</f>
        <v>58315.7365281819</v>
      </c>
      <c r="K352" s="46" t="n">
        <f aca="false">J352/$B$15</f>
        <v>172.941092906826</v>
      </c>
    </row>
    <row r="353" customFormat="false" ht="15" hidden="false" customHeight="false" outlineLevel="0" collapsed="false">
      <c r="A353" s="54" t="n">
        <v>313</v>
      </c>
      <c r="B353" s="23" t="n">
        <f aca="true">NORMINV(RAND(),$B$6,$C$6)</f>
        <v>0.0833560687270482</v>
      </c>
      <c r="C353" s="23" t="n">
        <f aca="true">MAX(0.15,NORMINV(RAND(),$B$7,$C$7))</f>
        <v>0.316910686088708</v>
      </c>
      <c r="D353" s="35" t="n">
        <f aca="true">MAX(0.06,NORMINV(RAND(),$B$8,$C$8))</f>
        <v>0.100108292264927</v>
      </c>
      <c r="E353" s="55" t="n">
        <f aca="true">MAX(5,NORMINV(RAND(),$B$9,$C$9))</f>
        <v>8.79938296632701</v>
      </c>
      <c r="F353" s="28" t="n">
        <f aca="false">$B$18*(1+(B353+$B$17)/2)^9</f>
        <v>37416.1736476608</v>
      </c>
      <c r="G353" s="28" t="n">
        <f aca="false">F353*C353</f>
        <v>11857.5852614944</v>
      </c>
      <c r="H353" s="28" t="n">
        <f aca="false">E353*G353/(1+D353)^9</f>
        <v>44210.9178414065</v>
      </c>
      <c r="I353" s="28" t="n">
        <f aca="false">$B$13*G353/$B$12*((1+$B$8)/(1+D353))^4.5</f>
        <v>23112.419106469</v>
      </c>
      <c r="J353" s="28" t="n">
        <f aca="false">H353+I353-$B$14-$B$19</f>
        <v>44660.9800785604</v>
      </c>
      <c r="K353" s="46" t="n">
        <f aca="false">J353/$B$15</f>
        <v>132.44656013808</v>
      </c>
    </row>
    <row r="354" customFormat="false" ht="15" hidden="false" customHeight="false" outlineLevel="0" collapsed="false">
      <c r="A354" s="54" t="n">
        <v>314</v>
      </c>
      <c r="B354" s="23" t="n">
        <f aca="true">NORMINV(RAND(),$B$6,$C$6)</f>
        <v>0.0489278112071585</v>
      </c>
      <c r="C354" s="23" t="n">
        <f aca="true">MAX(0.15,NORMINV(RAND(),$B$7,$C$7))</f>
        <v>0.328764611554856</v>
      </c>
      <c r="D354" s="35" t="n">
        <f aca="true">MAX(0.06,NORMINV(RAND(),$B$8,$C$8))</f>
        <v>0.0809886881026203</v>
      </c>
      <c r="E354" s="55" t="n">
        <f aca="true">MAX(5,NORMINV(RAND(),$B$9,$C$9))</f>
        <v>10.1705510838599</v>
      </c>
      <c r="F354" s="28" t="n">
        <f aca="false">$B$18*(1+(B354+$B$17)/2)^9</f>
        <v>32263.1276710265</v>
      </c>
      <c r="G354" s="28" t="n">
        <f aca="false">F354*C354</f>
        <v>10606.9746363098</v>
      </c>
      <c r="H354" s="28" t="n">
        <f aca="false">E354*G354/(1+D354)^9</f>
        <v>53523.6437904014</v>
      </c>
      <c r="I354" s="28" t="n">
        <f aca="false">$B$13*G354/$B$12*((1+$B$8)/(1+D354))^4.5</f>
        <v>22372.0086472162</v>
      </c>
      <c r="J354" s="28" t="n">
        <f aca="false">H354+I354-$B$14-$B$19</f>
        <v>53233.2955683025</v>
      </c>
      <c r="K354" s="46" t="n">
        <f aca="false">J354/$B$15</f>
        <v>157.868610819402</v>
      </c>
    </row>
    <row r="355" customFormat="false" ht="15" hidden="false" customHeight="false" outlineLevel="0" collapsed="false">
      <c r="A355" s="54" t="n">
        <v>315</v>
      </c>
      <c r="B355" s="23" t="n">
        <f aca="true">NORMINV(RAND(),$B$6,$C$6)</f>
        <v>0.0347078432854995</v>
      </c>
      <c r="C355" s="23" t="n">
        <f aca="true">MAX(0.15,NORMINV(RAND(),$B$7,$C$7))</f>
        <v>0.324971390707739</v>
      </c>
      <c r="D355" s="35" t="n">
        <f aca="true">MAX(0.06,NORMINV(RAND(),$B$8,$C$8))</f>
        <v>0.0904584288625224</v>
      </c>
      <c r="E355" s="55" t="n">
        <f aca="true">MAX(5,NORMINV(RAND(),$B$9,$C$9))</f>
        <v>9.91074631790569</v>
      </c>
      <c r="F355" s="28" t="n">
        <f aca="false">$B$18*(1+(B355+$B$17)/2)^9</f>
        <v>30325.9456448299</v>
      </c>
      <c r="G355" s="28" t="n">
        <f aca="false">F355*C355</f>
        <v>9855.06473072767</v>
      </c>
      <c r="H355" s="28" t="n">
        <f aca="false">E355*G355/(1+D355)^9</f>
        <v>44800.5986084017</v>
      </c>
      <c r="I355" s="28" t="n">
        <f aca="false">$B$13*G355/$B$12*((1+$B$8)/(1+D355))^4.5</f>
        <v>19986.0555135187</v>
      </c>
      <c r="J355" s="28" t="n">
        <f aca="false">H355+I355-$B$14-$B$19</f>
        <v>42124.2972526053</v>
      </c>
      <c r="K355" s="46" t="n">
        <f aca="false">J355/$B$15</f>
        <v>124.923775956718</v>
      </c>
    </row>
    <row r="356" customFormat="false" ht="15" hidden="false" customHeight="false" outlineLevel="0" collapsed="false">
      <c r="A356" s="54" t="n">
        <v>316</v>
      </c>
      <c r="B356" s="23" t="n">
        <f aca="true">NORMINV(RAND(),$B$6,$C$6)</f>
        <v>0.129527382620142</v>
      </c>
      <c r="C356" s="23" t="n">
        <f aca="true">MAX(0.15,NORMINV(RAND(),$B$7,$C$7))</f>
        <v>0.353376130373666</v>
      </c>
      <c r="D356" s="35" t="n">
        <f aca="true">MAX(0.06,NORMINV(RAND(),$B$8,$C$8))</f>
        <v>0.09743532783751</v>
      </c>
      <c r="E356" s="55" t="n">
        <f aca="true">MAX(5,NORMINV(RAND(),$B$9,$C$9))</f>
        <v>9.47253101344006</v>
      </c>
      <c r="F356" s="28" t="n">
        <f aca="false">$B$18*(1+(B356+$B$17)/2)^9</f>
        <v>45470.7282425925</v>
      </c>
      <c r="G356" s="28" t="n">
        <f aca="false">F356*C356</f>
        <v>16068.2699916399</v>
      </c>
      <c r="H356" s="28" t="n">
        <f aca="false">E356*G356/(1+D356)^9</f>
        <v>65921.1427259795</v>
      </c>
      <c r="I356" s="28" t="n">
        <f aca="false">$B$13*G356/$B$12*((1+$B$8)/(1+D356))^4.5</f>
        <v>31664.4920847054</v>
      </c>
      <c r="J356" s="28" t="n">
        <f aca="false">H356+I356-$B$14-$B$19</f>
        <v>74923.2779413698</v>
      </c>
      <c r="K356" s="46" t="n">
        <f aca="false">J356/$B$15</f>
        <v>222.192401961358</v>
      </c>
    </row>
    <row r="357" customFormat="false" ht="15" hidden="false" customHeight="false" outlineLevel="0" collapsed="false">
      <c r="A357" s="54" t="n">
        <v>317</v>
      </c>
      <c r="B357" s="23" t="n">
        <f aca="true">NORMINV(RAND(),$B$6,$C$6)</f>
        <v>0.0568567592082479</v>
      </c>
      <c r="C357" s="23" t="n">
        <f aca="true">MAX(0.15,NORMINV(RAND(),$B$7,$C$7))</f>
        <v>0.295825308914034</v>
      </c>
      <c r="D357" s="35" t="n">
        <f aca="true">MAX(0.06,NORMINV(RAND(),$B$8,$C$8))</f>
        <v>0.0910474949965631</v>
      </c>
      <c r="E357" s="55" t="n">
        <f aca="true">MAX(5,NORMINV(RAND(),$B$9,$C$9))</f>
        <v>10.2289438839812</v>
      </c>
      <c r="F357" s="28" t="n">
        <f aca="false">$B$18*(1+(B357+$B$17)/2)^9</f>
        <v>33390.3791831826</v>
      </c>
      <c r="G357" s="28" t="n">
        <f aca="false">F357*C357</f>
        <v>9877.71923662172</v>
      </c>
      <c r="H357" s="28" t="n">
        <f aca="false">E357*G357/(1+D357)^9</f>
        <v>46120.5592775126</v>
      </c>
      <c r="I357" s="28" t="n">
        <f aca="false">$B$13*G357/$B$12*((1+$B$8)/(1+D357))^4.5</f>
        <v>19983.3752443139</v>
      </c>
      <c r="J357" s="28" t="n">
        <f aca="false">H357+I357-$B$14-$B$19</f>
        <v>43441.5776525114</v>
      </c>
      <c r="K357" s="46" t="n">
        <f aca="false">J357/$B$15</f>
        <v>128.830301460591</v>
      </c>
    </row>
    <row r="358" customFormat="false" ht="15" hidden="false" customHeight="false" outlineLevel="0" collapsed="false">
      <c r="A358" s="54" t="n">
        <v>318</v>
      </c>
      <c r="B358" s="23" t="n">
        <f aca="true">NORMINV(RAND(),$B$6,$C$6)</f>
        <v>0.11181830200285</v>
      </c>
      <c r="C358" s="23" t="n">
        <f aca="true">MAX(0.15,NORMINV(RAND(),$B$7,$C$7))</f>
        <v>0.357834431972478</v>
      </c>
      <c r="D358" s="35" t="n">
        <f aca="true">MAX(0.06,NORMINV(RAND(),$B$8,$C$8))</f>
        <v>0.0915190332886524</v>
      </c>
      <c r="E358" s="55" t="n">
        <f aca="true">MAX(5,NORMINV(RAND(),$B$9,$C$9))</f>
        <v>9.78481175486253</v>
      </c>
      <c r="F358" s="28" t="n">
        <f aca="false">$B$18*(1+(B358+$B$17)/2)^9</f>
        <v>42215.5158423196</v>
      </c>
      <c r="G358" s="28" t="n">
        <f aca="false">F358*C358</f>
        <v>15106.1651318616</v>
      </c>
      <c r="H358" s="28" t="n">
        <f aca="false">E358*G358/(1+D358)^9</f>
        <v>67208.6055813993</v>
      </c>
      <c r="I358" s="28" t="n">
        <f aca="false">$B$13*G358/$B$12*((1+$B$8)/(1+D358))^4.5</f>
        <v>30501.5520833233</v>
      </c>
      <c r="J358" s="28" t="n">
        <f aca="false">H358+I358-$B$14-$B$19</f>
        <v>75047.8007954076</v>
      </c>
      <c r="K358" s="46" t="n">
        <f aca="false">J358/$B$15</f>
        <v>222.561686819121</v>
      </c>
    </row>
    <row r="359" customFormat="false" ht="15" hidden="false" customHeight="false" outlineLevel="0" collapsed="false">
      <c r="A359" s="54" t="n">
        <v>319</v>
      </c>
      <c r="B359" s="23" t="n">
        <f aca="true">NORMINV(RAND(),$B$6,$C$6)</f>
        <v>0.0824802915624386</v>
      </c>
      <c r="C359" s="23" t="n">
        <f aca="true">MAX(0.15,NORMINV(RAND(),$B$7,$C$7))</f>
        <v>0.330085822035318</v>
      </c>
      <c r="D359" s="35" t="n">
        <f aca="true">MAX(0.06,NORMINV(RAND(),$B$8,$C$8))</f>
        <v>0.0837059404086614</v>
      </c>
      <c r="E359" s="55" t="n">
        <f aca="true">MAX(5,NORMINV(RAND(),$B$9,$C$9))</f>
        <v>8.21925946836124</v>
      </c>
      <c r="F359" s="28" t="n">
        <f aca="false">$B$18*(1+(B359+$B$17)/2)^9</f>
        <v>37276.5271510464</v>
      </c>
      <c r="G359" s="28" t="n">
        <f aca="false">F359*C359</f>
        <v>12304.453107275</v>
      </c>
      <c r="H359" s="28" t="n">
        <f aca="false">E359*G359/(1+D359)^9</f>
        <v>49055.9759447468</v>
      </c>
      <c r="I359" s="28" t="n">
        <f aca="false">$B$13*G359/$B$12*((1+$B$8)/(1+D359))^4.5</f>
        <v>25660.7527884534</v>
      </c>
      <c r="J359" s="28" t="n">
        <f aca="false">H359+I359-$B$14-$B$19</f>
        <v>52054.3718638851</v>
      </c>
      <c r="K359" s="46" t="n">
        <f aca="false">J359/$B$15</f>
        <v>154.372395800371</v>
      </c>
    </row>
    <row r="360" customFormat="false" ht="15" hidden="false" customHeight="false" outlineLevel="0" collapsed="false">
      <c r="A360" s="54" t="n">
        <v>320</v>
      </c>
      <c r="B360" s="23" t="n">
        <f aca="true">NORMINV(RAND(),$B$6,$C$6)</f>
        <v>0.130837442589501</v>
      </c>
      <c r="C360" s="23" t="n">
        <f aca="true">MAX(0.15,NORMINV(RAND(),$B$7,$C$7))</f>
        <v>0.24151677146857</v>
      </c>
      <c r="D360" s="35" t="n">
        <f aca="true">MAX(0.06,NORMINV(RAND(),$B$8,$C$8))</f>
        <v>0.0929825148068814</v>
      </c>
      <c r="E360" s="55" t="n">
        <f aca="true">MAX(5,NORMINV(RAND(),$B$9,$C$9))</f>
        <v>8.97389428703963</v>
      </c>
      <c r="F360" s="28" t="n">
        <f aca="false">$B$18*(1+(B360+$B$17)/2)^9</f>
        <v>45720.170531015</v>
      </c>
      <c r="G360" s="28" t="n">
        <f aca="false">F360*C360</f>
        <v>11042.1879776432</v>
      </c>
      <c r="H360" s="28" t="n">
        <f aca="false">E360*G360/(1+D360)^9</f>
        <v>44516.1048504736</v>
      </c>
      <c r="I360" s="28" t="n">
        <f aca="false">$B$13*G360/$B$12*((1+$B$8)/(1+D360))^4.5</f>
        <v>22161.762276374</v>
      </c>
      <c r="J360" s="28" t="n">
        <f aca="false">H360+I360-$B$14-$B$19</f>
        <v>44015.5102575325</v>
      </c>
      <c r="K360" s="46" t="n">
        <f aca="false">J360/$B$15</f>
        <v>130.532355449385</v>
      </c>
    </row>
    <row r="361" customFormat="false" ht="15" hidden="false" customHeight="false" outlineLevel="0" collapsed="false">
      <c r="A361" s="54" t="n">
        <v>321</v>
      </c>
      <c r="B361" s="23" t="n">
        <f aca="true">NORMINV(RAND(),$B$6,$C$6)</f>
        <v>0.105131979916823</v>
      </c>
      <c r="C361" s="23" t="n">
        <f aca="true">MAX(0.15,NORMINV(RAND(),$B$7,$C$7))</f>
        <v>0.322541196121064</v>
      </c>
      <c r="D361" s="35" t="n">
        <f aca="true">MAX(0.06,NORMINV(RAND(),$B$8,$C$8))</f>
        <v>0.0960648420403271</v>
      </c>
      <c r="E361" s="55" t="n">
        <f aca="true">MAX(5,NORMINV(RAND(),$B$9,$C$9))</f>
        <v>10.1733193972523</v>
      </c>
      <c r="F361" s="28" t="n">
        <f aca="false">$B$18*(1+(B361+$B$17)/2)^9</f>
        <v>41041.4182489952</v>
      </c>
      <c r="G361" s="28" t="n">
        <f aca="false">F361*C361</f>
        <v>13237.5481325357</v>
      </c>
      <c r="H361" s="28" t="n">
        <f aca="false">E361*G361/(1+D361)^9</f>
        <v>58985.3289952312</v>
      </c>
      <c r="I361" s="28" t="n">
        <f aca="false">$B$13*G361/$B$12*((1+$B$8)/(1+D361))^4.5</f>
        <v>26233.3080793077</v>
      </c>
      <c r="J361" s="28" t="n">
        <f aca="false">H361+I361-$B$14-$B$19</f>
        <v>62556.2802052238</v>
      </c>
      <c r="K361" s="46" t="n">
        <f aca="false">J361/$B$15</f>
        <v>185.516845211221</v>
      </c>
    </row>
    <row r="362" customFormat="false" ht="15" hidden="false" customHeight="false" outlineLevel="0" collapsed="false">
      <c r="A362" s="54" t="n">
        <v>322</v>
      </c>
      <c r="B362" s="23" t="n">
        <f aca="true">NORMINV(RAND(),$B$6,$C$6)</f>
        <v>0.0487795544208377</v>
      </c>
      <c r="C362" s="23" t="n">
        <f aca="true">MAX(0.15,NORMINV(RAND(),$B$7,$C$7))</f>
        <v>0.274743950479247</v>
      </c>
      <c r="D362" s="35" t="n">
        <f aca="true">MAX(0.06,NORMINV(RAND(),$B$8,$C$8))</f>
        <v>0.0958267608155873</v>
      </c>
      <c r="E362" s="55" t="n">
        <f aca="true">MAX(5,NORMINV(RAND(),$B$9,$C$9))</f>
        <v>11.5596055797219</v>
      </c>
      <c r="F362" s="28" t="n">
        <f aca="false">$B$18*(1+(B362+$B$17)/2)^9</f>
        <v>32242.3763503531</v>
      </c>
      <c r="G362" s="28" t="n">
        <f aca="false">F362*C362</f>
        <v>8858.39785133465</v>
      </c>
      <c r="H362" s="28" t="n">
        <f aca="false">E362*G362/(1+D362)^9</f>
        <v>44938.759475476</v>
      </c>
      <c r="I362" s="28" t="n">
        <f aca="false">$B$13*G362/$B$12*((1+$B$8)/(1+D362))^4.5</f>
        <v>17572.1637971806</v>
      </c>
      <c r="J362" s="28" t="n">
        <f aca="false">H362+I362-$B$14-$B$19</f>
        <v>39848.5664033415</v>
      </c>
      <c r="K362" s="46" t="n">
        <f aca="false">J362/$B$15</f>
        <v>118.174870709791</v>
      </c>
    </row>
    <row r="363" customFormat="false" ht="15" hidden="false" customHeight="false" outlineLevel="0" collapsed="false">
      <c r="A363" s="54" t="n">
        <v>323</v>
      </c>
      <c r="B363" s="23" t="n">
        <f aca="true">NORMINV(RAND(),$B$6,$C$6)</f>
        <v>0.0774767392566883</v>
      </c>
      <c r="C363" s="23" t="n">
        <f aca="true">MAX(0.15,NORMINV(RAND(),$B$7,$C$7))</f>
        <v>0.331457520989279</v>
      </c>
      <c r="D363" s="35" t="n">
        <f aca="true">MAX(0.06,NORMINV(RAND(),$B$8,$C$8))</f>
        <v>0.0977047075692635</v>
      </c>
      <c r="E363" s="55" t="n">
        <f aca="true">MAX(5,NORMINV(RAND(),$B$9,$C$9))</f>
        <v>10.8731152006556</v>
      </c>
      <c r="F363" s="28" t="n">
        <f aca="false">$B$18*(1+(B363+$B$17)/2)^9</f>
        <v>36487.5366642382</v>
      </c>
      <c r="G363" s="28" t="n">
        <f aca="false">F363*C363</f>
        <v>12094.0684497338</v>
      </c>
      <c r="H363" s="28" t="n">
        <f aca="false">E363*G363/(1+D363)^9</f>
        <v>56827.25409249</v>
      </c>
      <c r="I363" s="28" t="n">
        <f aca="false">$B$13*G363/$B$12*((1+$B$8)/(1+D363))^4.5</f>
        <v>23806.5340754261</v>
      </c>
      <c r="J363" s="28" t="n">
        <f aca="false">H363+I363-$B$14-$B$19</f>
        <v>57971.431298601</v>
      </c>
      <c r="K363" s="46" t="n">
        <f aca="false">J363/$B$15</f>
        <v>171.920021644724</v>
      </c>
    </row>
    <row r="364" customFormat="false" ht="15" hidden="false" customHeight="false" outlineLevel="0" collapsed="false">
      <c r="A364" s="54" t="n">
        <v>324</v>
      </c>
      <c r="B364" s="23" t="n">
        <f aca="true">NORMINV(RAND(),$B$6,$C$6)</f>
        <v>0.0874068318782094</v>
      </c>
      <c r="C364" s="23" t="n">
        <f aca="true">MAX(0.15,NORMINV(RAND(),$B$7,$C$7))</f>
        <v>0.353209724722453</v>
      </c>
      <c r="D364" s="35" t="n">
        <f aca="true">MAX(0.06,NORMINV(RAND(),$B$8,$C$8))</f>
        <v>0.101363621085601</v>
      </c>
      <c r="E364" s="55" t="n">
        <f aca="true">MAX(5,NORMINV(RAND(),$B$9,$C$9))</f>
        <v>12.5273289299723</v>
      </c>
      <c r="F364" s="28" t="n">
        <f aca="false">$B$18*(1+(B364+$B$17)/2)^9</f>
        <v>38068.1540293996</v>
      </c>
      <c r="G364" s="28" t="n">
        <f aca="false">F364*C364</f>
        <v>13446.0422054162</v>
      </c>
      <c r="H364" s="28" t="n">
        <f aca="false">E364*G364/(1+D364)^9</f>
        <v>70644.1827495703</v>
      </c>
      <c r="I364" s="28" t="n">
        <f aca="false">$B$13*G364/$B$12*((1+$B$8)/(1+D364))^4.5</f>
        <v>26074.4296529525</v>
      </c>
      <c r="J364" s="28" t="n">
        <f aca="false">H364+I364-$B$14-$B$19</f>
        <v>74056.2555332077</v>
      </c>
      <c r="K364" s="46" t="n">
        <f aca="false">J364/$B$15</f>
        <v>219.621161130509</v>
      </c>
    </row>
    <row r="365" customFormat="false" ht="15" hidden="false" customHeight="false" outlineLevel="0" collapsed="false">
      <c r="A365" s="54" t="n">
        <v>325</v>
      </c>
      <c r="B365" s="23" t="n">
        <f aca="true">NORMINV(RAND(),$B$6,$C$6)</f>
        <v>0.0939180006297291</v>
      </c>
      <c r="C365" s="23" t="n">
        <f aca="true">MAX(0.15,NORMINV(RAND(),$B$7,$C$7))</f>
        <v>0.360412997876996</v>
      </c>
      <c r="D365" s="35" t="n">
        <f aca="true">MAX(0.06,NORMINV(RAND(),$B$8,$C$8))</f>
        <v>0.086936785441572</v>
      </c>
      <c r="E365" s="55" t="n">
        <f aca="true">MAX(5,NORMINV(RAND(),$B$9,$C$9))</f>
        <v>10.2513408131045</v>
      </c>
      <c r="F365" s="28" t="n">
        <f aca="false">$B$18*(1+(B365+$B$17)/2)^9</f>
        <v>39137.3215930044</v>
      </c>
      <c r="G365" s="28" t="n">
        <f aca="false">F365*C365</f>
        <v>14105.5994042108</v>
      </c>
      <c r="H365" s="28" t="n">
        <f aca="false">E365*G365/(1+D365)^9</f>
        <v>68286.3084847942</v>
      </c>
      <c r="I365" s="28" t="n">
        <f aca="false">$B$13*G365/$B$12*((1+$B$8)/(1+D365))^4.5</f>
        <v>29025.5778705342</v>
      </c>
      <c r="J365" s="28" t="n">
        <f aca="false">H365+I365-$B$14-$B$19</f>
        <v>74649.5294860134</v>
      </c>
      <c r="K365" s="46" t="n">
        <f aca="false">J365/$B$15</f>
        <v>221.380573801938</v>
      </c>
    </row>
    <row r="366" customFormat="false" ht="15" hidden="false" customHeight="false" outlineLevel="0" collapsed="false">
      <c r="A366" s="54" t="n">
        <v>326</v>
      </c>
      <c r="B366" s="23" t="n">
        <f aca="true">NORMINV(RAND(),$B$6,$C$6)</f>
        <v>0.1113233728165</v>
      </c>
      <c r="C366" s="23" t="n">
        <f aca="true">MAX(0.15,NORMINV(RAND(),$B$7,$C$7))</f>
        <v>0.324118853522023</v>
      </c>
      <c r="D366" s="35" t="n">
        <f aca="true">MAX(0.06,NORMINV(RAND(),$B$8,$C$8))</f>
        <v>0.086204934159452</v>
      </c>
      <c r="E366" s="55" t="n">
        <f aca="true">MAX(5,NORMINV(RAND(),$B$9,$C$9))</f>
        <v>10.7938939409806</v>
      </c>
      <c r="F366" s="28" t="n">
        <f aca="false">$B$18*(1+(B366+$B$17)/2)^9</f>
        <v>42127.5958286872</v>
      </c>
      <c r="G366" s="28" t="n">
        <f aca="false">F366*C366</f>
        <v>13654.3480616332</v>
      </c>
      <c r="H366" s="28" t="n">
        <f aca="false">E366*G366/(1+D366)^9</f>
        <v>70023.396776086</v>
      </c>
      <c r="I366" s="28" t="n">
        <f aca="false">$B$13*G366/$B$12*((1+$B$8)/(1+D366))^4.5</f>
        <v>28182.3120088844</v>
      </c>
      <c r="J366" s="28" t="n">
        <f aca="false">H366+I366-$B$14-$B$19</f>
        <v>75543.3519156553</v>
      </c>
      <c r="K366" s="46" t="n">
        <f aca="false">J366/$B$15</f>
        <v>224.031292751054</v>
      </c>
    </row>
    <row r="367" customFormat="false" ht="15" hidden="false" customHeight="false" outlineLevel="0" collapsed="false">
      <c r="A367" s="54" t="n">
        <v>327</v>
      </c>
      <c r="B367" s="23" t="n">
        <f aca="true">NORMINV(RAND(),$B$6,$C$6)</f>
        <v>0.115736946320149</v>
      </c>
      <c r="C367" s="23" t="n">
        <f aca="true">MAX(0.15,NORMINV(RAND(),$B$7,$C$7))</f>
        <v>0.312000887746194</v>
      </c>
      <c r="D367" s="35" t="n">
        <f aca="true">MAX(0.06,NORMINV(RAND(),$B$8,$C$8))</f>
        <v>0.0785316483925201</v>
      </c>
      <c r="E367" s="55" t="n">
        <f aca="true">MAX(5,NORMINV(RAND(),$B$9,$C$9))</f>
        <v>9.48597843620939</v>
      </c>
      <c r="F367" s="28" t="n">
        <f aca="false">$B$18*(1+(B367+$B$17)/2)^9</f>
        <v>42917.4082734037</v>
      </c>
      <c r="G367" s="28" t="n">
        <f aca="false">F367*C367</f>
        <v>13390.2694810678</v>
      </c>
      <c r="H367" s="28" t="n">
        <f aca="false">E367*G367/(1+D367)^9</f>
        <v>64324.3503173092</v>
      </c>
      <c r="I367" s="28" t="n">
        <f aca="false">$B$13*G367/$B$12*((1+$B$8)/(1+D367))^4.5</f>
        <v>28533.1629490952</v>
      </c>
      <c r="J367" s="28" t="n">
        <f aca="false">H367+I367-$B$14-$B$19</f>
        <v>70195.1563970893</v>
      </c>
      <c r="K367" s="46" t="n">
        <f aca="false">J367/$B$15</f>
        <v>208.170689196588</v>
      </c>
    </row>
    <row r="368" customFormat="false" ht="15" hidden="false" customHeight="false" outlineLevel="0" collapsed="false">
      <c r="A368" s="54" t="n">
        <v>328</v>
      </c>
      <c r="B368" s="23" t="n">
        <f aca="true">NORMINV(RAND(),$B$6,$C$6)</f>
        <v>0.0901957851680026</v>
      </c>
      <c r="C368" s="23" t="n">
        <f aca="true">MAX(0.15,NORMINV(RAND(),$B$7,$C$7))</f>
        <v>0.327422020129199</v>
      </c>
      <c r="D368" s="35" t="n">
        <f aca="true">MAX(0.06,NORMINV(RAND(),$B$8,$C$8))</f>
        <v>0.101177881020104</v>
      </c>
      <c r="E368" s="55" t="n">
        <f aca="true">MAX(5,NORMINV(RAND(),$B$9,$C$9))</f>
        <v>9.80319074160306</v>
      </c>
      <c r="F368" s="28" t="n">
        <f aca="false">$B$18*(1+(B368+$B$17)/2)^9</f>
        <v>38522.8934045373</v>
      </c>
      <c r="G368" s="28" t="n">
        <f aca="false">F368*C368</f>
        <v>12613.2435797354</v>
      </c>
      <c r="H368" s="28" t="n">
        <f aca="false">E368*G368/(1+D368)^9</f>
        <v>51937.0073837724</v>
      </c>
      <c r="I368" s="28" t="n">
        <f aca="false">$B$13*G368/$B$12*((1+$B$8)/(1+D368))^4.5</f>
        <v>24478.0459720479</v>
      </c>
      <c r="J368" s="28" t="n">
        <f aca="false">H368+I368-$B$14-$B$19</f>
        <v>53752.6964865052</v>
      </c>
      <c r="K368" s="46" t="n">
        <f aca="false">J368/$B$15</f>
        <v>159.408945689517</v>
      </c>
    </row>
    <row r="369" customFormat="false" ht="15" hidden="false" customHeight="false" outlineLevel="0" collapsed="false">
      <c r="A369" s="54" t="n">
        <v>329</v>
      </c>
      <c r="B369" s="23" t="n">
        <f aca="true">NORMINV(RAND(),$B$6,$C$6)</f>
        <v>0.0981932219674257</v>
      </c>
      <c r="C369" s="23" t="n">
        <f aca="true">MAX(0.15,NORMINV(RAND(),$B$7,$C$7))</f>
        <v>0.318944414029057</v>
      </c>
      <c r="D369" s="35" t="n">
        <f aca="true">MAX(0.06,NORMINV(RAND(),$B$8,$C$8))</f>
        <v>0.0904367340780221</v>
      </c>
      <c r="E369" s="55" t="n">
        <f aca="true">MAX(5,NORMINV(RAND(),$B$9,$C$9))</f>
        <v>10.8278734869282</v>
      </c>
      <c r="F369" s="28" t="n">
        <f aca="false">$B$18*(1+(B369+$B$17)/2)^9</f>
        <v>39853.7708226551</v>
      </c>
      <c r="G369" s="28" t="n">
        <f aca="false">F369*C369</f>
        <v>12711.1375818801</v>
      </c>
      <c r="H369" s="28" t="n">
        <f aca="false">E369*G369/(1+D369)^9</f>
        <v>63142.7266738721</v>
      </c>
      <c r="I369" s="28" t="n">
        <f aca="false">$B$13*G369/$B$12*((1+$B$8)/(1+D369))^4.5</f>
        <v>25780.4746813965</v>
      </c>
      <c r="J369" s="28" t="n">
        <f aca="false">H369+I369-$B$14-$B$19</f>
        <v>66260.8444859535</v>
      </c>
      <c r="K369" s="46" t="n">
        <f aca="false">J369/$B$15</f>
        <v>196.503097526553</v>
      </c>
    </row>
    <row r="370" customFormat="false" ht="15" hidden="false" customHeight="false" outlineLevel="0" collapsed="false">
      <c r="A370" s="54" t="n">
        <v>330</v>
      </c>
      <c r="B370" s="23" t="n">
        <f aca="true">NORMINV(RAND(),$B$6,$C$6)</f>
        <v>0.0774808469697156</v>
      </c>
      <c r="C370" s="23" t="n">
        <f aca="true">MAX(0.15,NORMINV(RAND(),$B$7,$C$7))</f>
        <v>0.322337845725189</v>
      </c>
      <c r="D370" s="35" t="n">
        <f aca="true">MAX(0.06,NORMINV(RAND(),$B$8,$C$8))</f>
        <v>0.0837237568257647</v>
      </c>
      <c r="E370" s="55" t="n">
        <f aca="true">MAX(5,NORMINV(RAND(),$B$9,$C$9))</f>
        <v>13.5699219954625</v>
      </c>
      <c r="F370" s="28" t="n">
        <f aca="false">$B$18*(1+(B370+$B$17)/2)^9</f>
        <v>36488.1782568342</v>
      </c>
      <c r="G370" s="28" t="n">
        <f aca="false">F370*C370</f>
        <v>11761.5207737446</v>
      </c>
      <c r="H370" s="28" t="n">
        <f aca="false">E370*G370/(1+D370)^9</f>
        <v>77405.7969779954</v>
      </c>
      <c r="I370" s="28" t="n">
        <f aca="false">$B$13*G370/$B$12*((1+$B$8)/(1+D370))^4.5</f>
        <v>24526.660968944</v>
      </c>
      <c r="J370" s="28" t="n">
        <f aca="false">H370+I370-$B$14-$B$19</f>
        <v>79270.1010776243</v>
      </c>
      <c r="K370" s="46" t="n">
        <f aca="false">J370/$B$15</f>
        <v>235.083336529135</v>
      </c>
    </row>
    <row r="371" customFormat="false" ht="15" hidden="false" customHeight="false" outlineLevel="0" collapsed="false">
      <c r="A371" s="54" t="n">
        <v>331</v>
      </c>
      <c r="B371" s="23" t="n">
        <f aca="true">NORMINV(RAND(),$B$6,$C$6)</f>
        <v>0.0351546198123445</v>
      </c>
      <c r="C371" s="23" t="n">
        <f aca="true">MAX(0.15,NORMINV(RAND(),$B$7,$C$7))</f>
        <v>0.354987380140588</v>
      </c>
      <c r="D371" s="35" t="n">
        <f aca="true">MAX(0.06,NORMINV(RAND(),$B$8,$C$8))</f>
        <v>0.0874616252715856</v>
      </c>
      <c r="E371" s="55" t="n">
        <f aca="true">MAX(5,NORMINV(RAND(),$B$9,$C$9))</f>
        <v>11.4845679066411</v>
      </c>
      <c r="F371" s="28" t="n">
        <f aca="false">$B$18*(1+(B371+$B$17)/2)^9</f>
        <v>30385.1997480297</v>
      </c>
      <c r="G371" s="28" t="n">
        <f aca="false">F371*C371</f>
        <v>10786.3624536015</v>
      </c>
      <c r="H371" s="28" t="n">
        <f aca="false">E371*G371/(1+D371)^9</f>
        <v>58245.7452693266</v>
      </c>
      <c r="I371" s="28" t="n">
        <f aca="false">$B$13*G371/$B$12*((1+$B$8)/(1+D371))^4.5</f>
        <v>22147.3056029487</v>
      </c>
      <c r="J371" s="28" t="n">
        <f aca="false">H371+I371-$B$14-$B$19</f>
        <v>57730.6940029603</v>
      </c>
      <c r="K371" s="46" t="n">
        <f aca="false">J371/$B$15</f>
        <v>171.20609134923</v>
      </c>
    </row>
    <row r="372" customFormat="false" ht="15" hidden="false" customHeight="false" outlineLevel="0" collapsed="false">
      <c r="A372" s="54" t="n">
        <v>332</v>
      </c>
      <c r="B372" s="23" t="n">
        <f aca="true">NORMINV(RAND(),$B$6,$C$6)</f>
        <v>0.107553585188288</v>
      </c>
      <c r="C372" s="23" t="n">
        <f aca="true">MAX(0.15,NORMINV(RAND(),$B$7,$C$7))</f>
        <v>0.318618776420639</v>
      </c>
      <c r="D372" s="35" t="n">
        <f aca="true">MAX(0.06,NORMINV(RAND(),$B$8,$C$8))</f>
        <v>0.095920652656343</v>
      </c>
      <c r="E372" s="55" t="n">
        <f aca="true">MAX(5,NORMINV(RAND(),$B$9,$C$9))</f>
        <v>8.14894487821157</v>
      </c>
      <c r="F372" s="28" t="n">
        <f aca="false">$B$18*(1+(B372+$B$17)/2)^9</f>
        <v>41463.2481289607</v>
      </c>
      <c r="G372" s="28" t="n">
        <f aca="false">F372*C372</f>
        <v>13210.9693852748</v>
      </c>
      <c r="H372" s="28" t="n">
        <f aca="false">E372*G372/(1+D372)^9</f>
        <v>47208.9199326201</v>
      </c>
      <c r="I372" s="28" t="n">
        <f aca="false">$B$13*G372/$B$12*((1+$B$8)/(1+D372))^4.5</f>
        <v>26196.1401656408</v>
      </c>
      <c r="J372" s="28" t="n">
        <f aca="false">H372+I372-$B$14-$B$19</f>
        <v>50742.7032289458</v>
      </c>
      <c r="K372" s="46" t="n">
        <f aca="false">J372/$B$15</f>
        <v>150.482512541358</v>
      </c>
    </row>
    <row r="373" customFormat="false" ht="15" hidden="false" customHeight="false" outlineLevel="0" collapsed="false">
      <c r="A373" s="54" t="n">
        <v>333</v>
      </c>
      <c r="B373" s="23" t="n">
        <f aca="true">NORMINV(RAND(),$B$6,$C$6)</f>
        <v>0.061687474680921</v>
      </c>
      <c r="C373" s="23" t="n">
        <f aca="true">MAX(0.15,NORMINV(RAND(),$B$7,$C$7))</f>
        <v>0.291170670374739</v>
      </c>
      <c r="D373" s="35" t="n">
        <f aca="true">MAX(0.06,NORMINV(RAND(),$B$8,$C$8))</f>
        <v>0.0925991370614181</v>
      </c>
      <c r="E373" s="55" t="n">
        <f aca="true">MAX(5,NORMINV(RAND(),$B$9,$C$9))</f>
        <v>8.03957944178857</v>
      </c>
      <c r="F373" s="28" t="n">
        <f aca="false">$B$18*(1+(B373+$B$17)/2)^9</f>
        <v>34094.1941658352</v>
      </c>
      <c r="G373" s="28" t="n">
        <f aca="false">F373*C373</f>
        <v>9927.22937115274</v>
      </c>
      <c r="H373" s="28" t="n">
        <f aca="false">E373*G373/(1+D373)^9</f>
        <v>35967.7862736529</v>
      </c>
      <c r="I373" s="28" t="n">
        <f aca="false">$B$13*G373/$B$12*((1+$B$8)/(1+D373))^4.5</f>
        <v>19955.5102742353</v>
      </c>
      <c r="J373" s="28" t="n">
        <f aca="false">H373+I373-$B$14-$B$19</f>
        <v>33260.9396785731</v>
      </c>
      <c r="K373" s="46" t="n">
        <f aca="false">J373/$B$15</f>
        <v>98.6386111464208</v>
      </c>
    </row>
    <row r="374" customFormat="false" ht="15" hidden="false" customHeight="false" outlineLevel="0" collapsed="false">
      <c r="A374" s="54" t="n">
        <v>334</v>
      </c>
      <c r="B374" s="23" t="n">
        <f aca="true">NORMINV(RAND(),$B$6,$C$6)</f>
        <v>0.142337699828291</v>
      </c>
      <c r="C374" s="23" t="n">
        <f aca="true">MAX(0.15,NORMINV(RAND(),$B$7,$C$7))</f>
        <v>0.31663800393687</v>
      </c>
      <c r="D374" s="35" t="n">
        <f aca="true">MAX(0.06,NORMINV(RAND(),$B$8,$C$8))</f>
        <v>0.0903702080002019</v>
      </c>
      <c r="E374" s="55" t="n">
        <f aca="true">MAX(5,NORMINV(RAND(),$B$9,$C$9))</f>
        <v>10.7042468968726</v>
      </c>
      <c r="F374" s="28" t="n">
        <f aca="false">$B$18*(1+(B374+$B$17)/2)^9</f>
        <v>47962.6329356223</v>
      </c>
      <c r="G374" s="28" t="n">
        <f aca="false">F374*C374</f>
        <v>15186.7923562922</v>
      </c>
      <c r="H374" s="28" t="n">
        <f aca="false">E374*G374/(1+D374)^9</f>
        <v>74620.1952716723</v>
      </c>
      <c r="I374" s="28" t="n">
        <f aca="false">$B$13*G374/$B$12*((1+$B$8)/(1+D374))^4.5</f>
        <v>30810.0057590912</v>
      </c>
      <c r="J374" s="28" t="n">
        <f aca="false">H374+I374-$B$14-$B$19</f>
        <v>82767.8441614484</v>
      </c>
      <c r="K374" s="46" t="n">
        <f aca="false">J374/$B$15</f>
        <v>245.456240099194</v>
      </c>
    </row>
    <row r="375" customFormat="false" ht="15" hidden="false" customHeight="false" outlineLevel="0" collapsed="false">
      <c r="A375" s="54" t="n">
        <v>335</v>
      </c>
      <c r="B375" s="23" t="n">
        <f aca="true">NORMINV(RAND(),$B$6,$C$6)</f>
        <v>0.0512059266383882</v>
      </c>
      <c r="C375" s="23" t="n">
        <f aca="true">MAX(0.15,NORMINV(RAND(),$B$7,$C$7))</f>
        <v>0.30809008077994</v>
      </c>
      <c r="D375" s="35" t="n">
        <f aca="true">MAX(0.06,NORMINV(RAND(),$B$8,$C$8))</f>
        <v>0.0951945301229479</v>
      </c>
      <c r="E375" s="55" t="n">
        <f aca="true">MAX(5,NORMINV(RAND(),$B$9,$C$9))</f>
        <v>10.8073805842053</v>
      </c>
      <c r="F375" s="28" t="n">
        <f aca="false">$B$18*(1+(B375+$B$17)/2)^9</f>
        <v>32583.4889177009</v>
      </c>
      <c r="G375" s="28" t="n">
        <f aca="false">F375*C375</f>
        <v>10038.6497327467</v>
      </c>
      <c r="H375" s="28" t="n">
        <f aca="false">E375*G375/(1+D375)^9</f>
        <v>47860.1826814586</v>
      </c>
      <c r="I375" s="28" t="n">
        <f aca="false">$B$13*G375/$B$12*((1+$B$8)/(1+D375))^4.5</f>
        <v>19965.179724807</v>
      </c>
      <c r="J375" s="28" t="n">
        <f aca="false">H375+I375-$B$14-$B$19</f>
        <v>45163.0055369505</v>
      </c>
      <c r="K375" s="46" t="n">
        <f aca="false">J375/$B$15</f>
        <v>133.935366361063</v>
      </c>
    </row>
    <row r="376" customFormat="false" ht="15" hidden="false" customHeight="false" outlineLevel="0" collapsed="false">
      <c r="A376" s="54" t="n">
        <v>336</v>
      </c>
      <c r="B376" s="23" t="n">
        <f aca="true">NORMINV(RAND(),$B$6,$C$6)</f>
        <v>0.0950461080682118</v>
      </c>
      <c r="C376" s="23" t="n">
        <f aca="true">MAX(0.15,NORMINV(RAND(),$B$7,$C$7))</f>
        <v>0.305488157101244</v>
      </c>
      <c r="D376" s="35" t="n">
        <f aca="true">MAX(0.06,NORMINV(RAND(),$B$8,$C$8))</f>
        <v>0.0907536440886429</v>
      </c>
      <c r="E376" s="55" t="n">
        <f aca="true">MAX(5,NORMINV(RAND(),$B$9,$C$9))</f>
        <v>8.73224636059804</v>
      </c>
      <c r="F376" s="28" t="n">
        <f aca="false">$B$18*(1+(B376+$B$17)/2)^9</f>
        <v>39325.2510922944</v>
      </c>
      <c r="G376" s="28" t="n">
        <f aca="false">F376*C376</f>
        <v>12013.3984837287</v>
      </c>
      <c r="H376" s="28" t="n">
        <f aca="false">E376*G376/(1+D376)^9</f>
        <v>48001.1684728913</v>
      </c>
      <c r="I376" s="28" t="n">
        <f aca="false">$B$13*G376/$B$12*((1+$B$8)/(1+D376))^4.5</f>
        <v>24333.4941944001</v>
      </c>
      <c r="J376" s="28" t="n">
        <f aca="false">H376+I376-$B$14-$B$19</f>
        <v>49672.3057979763</v>
      </c>
      <c r="K376" s="46" t="n">
        <f aca="false">J376/$B$15</f>
        <v>147.308142935873</v>
      </c>
    </row>
    <row r="377" customFormat="false" ht="15" hidden="false" customHeight="false" outlineLevel="0" collapsed="false">
      <c r="A377" s="54" t="n">
        <v>337</v>
      </c>
      <c r="B377" s="23" t="n">
        <f aca="true">NORMINV(RAND(),$B$6,$C$6)</f>
        <v>0.0987108976606021</v>
      </c>
      <c r="C377" s="23" t="n">
        <f aca="true">MAX(0.15,NORMINV(RAND(),$B$7,$C$7))</f>
        <v>0.289505843977953</v>
      </c>
      <c r="D377" s="35" t="n">
        <f aca="true">MAX(0.06,NORMINV(RAND(),$B$8,$C$8))</f>
        <v>0.0999357621245068</v>
      </c>
      <c r="E377" s="55" t="n">
        <f aca="true">MAX(5,NORMINV(RAND(),$B$9,$C$9))</f>
        <v>8.65251113958194</v>
      </c>
      <c r="F377" s="28" t="n">
        <f aca="false">$B$18*(1+(B377+$B$17)/2)^9</f>
        <v>39941.3102649054</v>
      </c>
      <c r="G377" s="28" t="n">
        <f aca="false">F377*C377</f>
        <v>11563.2427378267</v>
      </c>
      <c r="H377" s="28" t="n">
        <f aca="false">E377*G377/(1+D377)^9</f>
        <v>42453.7352759979</v>
      </c>
      <c r="I377" s="28" t="n">
        <f aca="false">$B$13*G377/$B$12*((1+$B$8)/(1+D377))^4.5</f>
        <v>22554.6094669205</v>
      </c>
      <c r="J377" s="28" t="n">
        <f aca="false">H377+I377-$B$14-$B$19</f>
        <v>42345.9878736033</v>
      </c>
      <c r="K377" s="46" t="n">
        <f aca="false">J377/$B$15</f>
        <v>125.581221451967</v>
      </c>
    </row>
    <row r="378" customFormat="false" ht="15" hidden="false" customHeight="false" outlineLevel="0" collapsed="false">
      <c r="A378" s="54" t="n">
        <v>338</v>
      </c>
      <c r="B378" s="23" t="n">
        <f aca="true">NORMINV(RAND(),$B$6,$C$6)</f>
        <v>0.131101639147079</v>
      </c>
      <c r="C378" s="23" t="n">
        <f aca="true">MAX(0.15,NORMINV(RAND(),$B$7,$C$7))</f>
        <v>0.288247504731238</v>
      </c>
      <c r="D378" s="35" t="n">
        <f aca="true">MAX(0.06,NORMINV(RAND(),$B$8,$C$8))</f>
        <v>0.0974189373579011</v>
      </c>
      <c r="E378" s="55" t="n">
        <f aca="true">MAX(5,NORMINV(RAND(),$B$9,$C$9))</f>
        <v>10.2022805439291</v>
      </c>
      <c r="F378" s="28" t="n">
        <f aca="false">$B$18*(1+(B378+$B$17)/2)^9</f>
        <v>45770.622067131</v>
      </c>
      <c r="G378" s="28" t="n">
        <f aca="false">F378*C378</f>
        <v>13193.2676008471</v>
      </c>
      <c r="H378" s="28" t="n">
        <f aca="false">E378*G378/(1+D378)^9</f>
        <v>58303.8966320973</v>
      </c>
      <c r="I378" s="28" t="n">
        <f aca="false">$B$13*G378/$B$12*((1+$B$8)/(1+D378))^4.5</f>
        <v>26000.6955230678</v>
      </c>
      <c r="J378" s="28" t="n">
        <f aca="false">H378+I378-$B$14-$B$19</f>
        <v>61642.23528585</v>
      </c>
      <c r="K378" s="46" t="n">
        <f aca="false">J378/$B$15</f>
        <v>182.806154465747</v>
      </c>
    </row>
    <row r="379" customFormat="false" ht="15" hidden="false" customHeight="false" outlineLevel="0" collapsed="false">
      <c r="A379" s="54" t="n">
        <v>339</v>
      </c>
      <c r="B379" s="23" t="n">
        <f aca="true">NORMINV(RAND(),$B$6,$C$6)</f>
        <v>0.106481899873349</v>
      </c>
      <c r="C379" s="23" t="n">
        <f aca="true">MAX(0.15,NORMINV(RAND(),$B$7,$C$7))</f>
        <v>0.367925033112493</v>
      </c>
      <c r="D379" s="35" t="n">
        <f aca="true">MAX(0.06,NORMINV(RAND(),$B$8,$C$8))</f>
        <v>0.101550255313622</v>
      </c>
      <c r="E379" s="55" t="n">
        <f aca="true">MAX(5,NORMINV(RAND(),$B$9,$C$9))</f>
        <v>10.4809485564601</v>
      </c>
      <c r="F379" s="28" t="n">
        <f aca="false">$B$18*(1+(B379+$B$17)/2)^9</f>
        <v>41276.0936139104</v>
      </c>
      <c r="G379" s="28" t="n">
        <f aca="false">F379*C379</f>
        <v>15186.5081096523</v>
      </c>
      <c r="H379" s="28" t="n">
        <f aca="false">E379*G379/(1+D379)^9</f>
        <v>66652.9961662907</v>
      </c>
      <c r="I379" s="28" t="n">
        <f aca="false">$B$13*G379/$B$12*((1+$B$8)/(1+D379))^4.5</f>
        <v>29427.077090376</v>
      </c>
      <c r="J379" s="28" t="n">
        <f aca="false">H379+I379-$B$14-$B$19</f>
        <v>73417.7163873516</v>
      </c>
      <c r="K379" s="46" t="n">
        <f aca="false">J379/$B$15</f>
        <v>217.727510045527</v>
      </c>
    </row>
    <row r="380" customFormat="false" ht="15" hidden="false" customHeight="false" outlineLevel="0" collapsed="false">
      <c r="A380" s="54" t="n">
        <v>340</v>
      </c>
      <c r="B380" s="23" t="n">
        <f aca="true">NORMINV(RAND(),$B$6,$C$6)</f>
        <v>0.0925569417325253</v>
      </c>
      <c r="C380" s="23" t="n">
        <f aca="true">MAX(0.15,NORMINV(RAND(),$B$7,$C$7))</f>
        <v>0.352989487919011</v>
      </c>
      <c r="D380" s="35" t="n">
        <f aca="true">MAX(0.06,NORMINV(RAND(),$B$8,$C$8))</f>
        <v>0.0872108646804943</v>
      </c>
      <c r="E380" s="55" t="n">
        <f aca="true">MAX(5,NORMINV(RAND(),$B$9,$C$9))</f>
        <v>10.1400195478397</v>
      </c>
      <c r="F380" s="28" t="n">
        <f aca="false">$B$18*(1+(B380+$B$17)/2)^9</f>
        <v>38911.647988949</v>
      </c>
      <c r="G380" s="28" t="n">
        <f aca="false">F380*C380</f>
        <v>13735.4026977039</v>
      </c>
      <c r="H380" s="28" t="n">
        <f aca="false">E380*G380/(1+D380)^9</f>
        <v>65623.0082852269</v>
      </c>
      <c r="I380" s="28" t="n">
        <f aca="false">$B$13*G380/$B$12*((1+$B$8)/(1+D380))^4.5</f>
        <v>28231.7623890507</v>
      </c>
      <c r="J380" s="28" t="n">
        <f aca="false">H380+I380-$B$14-$B$19</f>
        <v>71192.4138049625</v>
      </c>
      <c r="K380" s="46" t="n">
        <f aca="false">J380/$B$15</f>
        <v>211.128154818987</v>
      </c>
    </row>
    <row r="381" customFormat="false" ht="15" hidden="false" customHeight="false" outlineLevel="0" collapsed="false">
      <c r="A381" s="54" t="n">
        <v>341</v>
      </c>
      <c r="B381" s="23" t="n">
        <f aca="true">NORMINV(RAND(),$B$6,$C$6)</f>
        <v>0.116452377010407</v>
      </c>
      <c r="C381" s="23" t="n">
        <f aca="true">MAX(0.15,NORMINV(RAND(),$B$7,$C$7))</f>
        <v>0.289065427346428</v>
      </c>
      <c r="D381" s="35" t="n">
        <f aca="true">MAX(0.06,NORMINV(RAND(),$B$8,$C$8))</f>
        <v>0.0869237739120831</v>
      </c>
      <c r="E381" s="55" t="n">
        <f aca="true">MAX(5,NORMINV(RAND(),$B$9,$C$9))</f>
        <v>12.2102671154377</v>
      </c>
      <c r="F381" s="28" t="n">
        <f aca="false">$B$18*(1+(B381+$B$17)/2)^9</f>
        <v>43046.6673013302</v>
      </c>
      <c r="G381" s="28" t="n">
        <f aca="false">F381*C381</f>
        <v>12443.3032792985</v>
      </c>
      <c r="H381" s="28" t="n">
        <f aca="false">E381*G381/(1+D381)^9</f>
        <v>71757.7906536669</v>
      </c>
      <c r="I381" s="28" t="n">
        <f aca="false">$B$13*G381/$B$12*((1+$B$8)/(1+D381))^4.5</f>
        <v>25606.3932181321</v>
      </c>
      <c r="J381" s="28" t="n">
        <f aca="false">H381+I381-$B$14-$B$19</f>
        <v>74701.8270024839</v>
      </c>
      <c r="K381" s="46" t="n">
        <f aca="false">J381/$B$15</f>
        <v>221.535667267153</v>
      </c>
    </row>
    <row r="382" customFormat="false" ht="15" hidden="false" customHeight="false" outlineLevel="0" collapsed="false">
      <c r="A382" s="54" t="n">
        <v>342</v>
      </c>
      <c r="B382" s="23" t="n">
        <f aca="true">NORMINV(RAND(),$B$6,$C$6)</f>
        <v>0.0457219936496405</v>
      </c>
      <c r="C382" s="23" t="n">
        <f aca="true">MAX(0.15,NORMINV(RAND(),$B$7,$C$7))</f>
        <v>0.310932950542462</v>
      </c>
      <c r="D382" s="35" t="n">
        <f aca="true">MAX(0.06,NORMINV(RAND(),$B$8,$C$8))</f>
        <v>0.0897480301561559</v>
      </c>
      <c r="E382" s="55" t="n">
        <f aca="true">MAX(5,NORMINV(RAND(),$B$9,$C$9))</f>
        <v>10.3952504895322</v>
      </c>
      <c r="F382" s="28" t="n">
        <f aca="false">$B$18*(1+(B382+$B$17)/2)^9</f>
        <v>31817.0502397177</v>
      </c>
      <c r="G382" s="28" t="n">
        <f aca="false">F382*C382</f>
        <v>9892.96930859316</v>
      </c>
      <c r="H382" s="28" t="n">
        <f aca="false">E382*G382/(1+D382)^9</f>
        <v>47448.9696992436</v>
      </c>
      <c r="I382" s="28" t="n">
        <f aca="false">$B$13*G382/$B$12*((1+$B$8)/(1+D382))^4.5</f>
        <v>20121.8480464552</v>
      </c>
      <c r="J382" s="28" t="n">
        <f aca="false">H382+I382-$B$14-$B$19</f>
        <v>44908.4608763837</v>
      </c>
      <c r="K382" s="46" t="n">
        <f aca="false">J382/$B$15</f>
        <v>133.180488957247</v>
      </c>
    </row>
    <row r="383" customFormat="false" ht="15" hidden="false" customHeight="false" outlineLevel="0" collapsed="false">
      <c r="A383" s="54" t="n">
        <v>343</v>
      </c>
      <c r="B383" s="23" t="n">
        <f aca="true">NORMINV(RAND(),$B$6,$C$6)</f>
        <v>0.121358051614787</v>
      </c>
      <c r="C383" s="23" t="n">
        <f aca="true">MAX(0.15,NORMINV(RAND(),$B$7,$C$7))</f>
        <v>0.299024748408379</v>
      </c>
      <c r="D383" s="35" t="n">
        <f aca="true">MAX(0.06,NORMINV(RAND(),$B$8,$C$8))</f>
        <v>0.0902825551316674</v>
      </c>
      <c r="E383" s="55" t="n">
        <f aca="true">MAX(5,NORMINV(RAND(),$B$9,$C$9))</f>
        <v>8.94733610421324</v>
      </c>
      <c r="F383" s="28" t="n">
        <f aca="false">$B$18*(1+(B383+$B$17)/2)^9</f>
        <v>43942.3515661792</v>
      </c>
      <c r="G383" s="28" t="n">
        <f aca="false">F383*C383</f>
        <v>13139.8506215493</v>
      </c>
      <c r="H383" s="28" t="n">
        <f aca="false">E383*G383/(1+D383)^9</f>
        <v>54004.8308586519</v>
      </c>
      <c r="I383" s="28" t="n">
        <f aca="false">$B$13*G383/$B$12*((1+$B$8)/(1+D383))^4.5</f>
        <v>26666.9448926865</v>
      </c>
      <c r="J383" s="28" t="n">
        <f aca="false">H383+I383-$B$14-$B$19</f>
        <v>58009.4188820233</v>
      </c>
      <c r="K383" s="46" t="n">
        <f aca="false">J383/$B$15</f>
        <v>172.032677586071</v>
      </c>
    </row>
    <row r="384" customFormat="false" ht="15" hidden="false" customHeight="false" outlineLevel="0" collapsed="false">
      <c r="A384" s="54" t="n">
        <v>344</v>
      </c>
      <c r="B384" s="23" t="n">
        <f aca="true">NORMINV(RAND(),$B$6,$C$6)</f>
        <v>0.109029329934967</v>
      </c>
      <c r="C384" s="23" t="n">
        <f aca="true">MAX(0.15,NORMINV(RAND(),$B$7,$C$7))</f>
        <v>0.303368627463172</v>
      </c>
      <c r="D384" s="35" t="n">
        <f aca="true">MAX(0.06,NORMINV(RAND(),$B$8,$C$8))</f>
        <v>0.0939394782527736</v>
      </c>
      <c r="E384" s="55" t="n">
        <f aca="true">MAX(5,NORMINV(RAND(),$B$9,$C$9))</f>
        <v>10.4257969610669</v>
      </c>
      <c r="F384" s="28" t="n">
        <f aca="false">$B$18*(1+(B384+$B$17)/2)^9</f>
        <v>41722.2002913282</v>
      </c>
      <c r="G384" s="28" t="n">
        <f aca="false">F384*C384</f>
        <v>12657.2066371238</v>
      </c>
      <c r="H384" s="28" t="n">
        <f aca="false">E384*G384/(1+D384)^9</f>
        <v>58817.6235921049</v>
      </c>
      <c r="I384" s="28" t="n">
        <f aca="false">$B$13*G384/$B$12*((1+$B$8)/(1+D384))^4.5</f>
        <v>25303.2706460258</v>
      </c>
      <c r="J384" s="28" t="n">
        <f aca="false">H384+I384-$B$14-$B$19</f>
        <v>61458.5373688156</v>
      </c>
      <c r="K384" s="46" t="n">
        <f aca="false">J384/$B$15</f>
        <v>182.261380097318</v>
      </c>
    </row>
    <row r="385" customFormat="false" ht="15" hidden="false" customHeight="false" outlineLevel="0" collapsed="false">
      <c r="A385" s="54" t="n">
        <v>345</v>
      </c>
      <c r="B385" s="23" t="n">
        <f aca="true">NORMINV(RAND(),$B$6,$C$6)</f>
        <v>0.0434051509725295</v>
      </c>
      <c r="C385" s="23" t="n">
        <f aca="true">MAX(0.15,NORMINV(RAND(),$B$7,$C$7))</f>
        <v>0.306534395986139</v>
      </c>
      <c r="D385" s="35" t="n">
        <f aca="true">MAX(0.06,NORMINV(RAND(),$B$8,$C$8))</f>
        <v>0.0944277057832721</v>
      </c>
      <c r="E385" s="55" t="n">
        <f aca="true">MAX(5,NORMINV(RAND(),$B$9,$C$9))</f>
        <v>10.006596984218</v>
      </c>
      <c r="F385" s="28" t="n">
        <f aca="false">$B$18*(1+(B385+$B$17)/2)^9</f>
        <v>31498.0916936193</v>
      </c>
      <c r="G385" s="28" t="n">
        <f aca="false">F385*C385</f>
        <v>9655.24851201962</v>
      </c>
      <c r="H385" s="28" t="n">
        <f aca="false">E385*G385/(1+D385)^9</f>
        <v>42890.9984235552</v>
      </c>
      <c r="I385" s="28" t="n">
        <f aca="false">$B$13*G385/$B$12*((1+$B$8)/(1+D385))^4.5</f>
        <v>19263.2793156786</v>
      </c>
      <c r="J385" s="28" t="n">
        <f aca="false">H385+I385-$B$14-$B$19</f>
        <v>39491.9208699187</v>
      </c>
      <c r="K385" s="46" t="n">
        <f aca="false">J385/$B$15</f>
        <v>117.117203054326</v>
      </c>
    </row>
    <row r="386" customFormat="false" ht="15" hidden="false" customHeight="false" outlineLevel="0" collapsed="false">
      <c r="A386" s="54" t="n">
        <v>346</v>
      </c>
      <c r="B386" s="23" t="n">
        <f aca="true">NORMINV(RAND(),$B$6,$C$6)</f>
        <v>0.105388190698059</v>
      </c>
      <c r="C386" s="23" t="n">
        <f aca="true">MAX(0.15,NORMINV(RAND(),$B$7,$C$7))</f>
        <v>0.344751790274792</v>
      </c>
      <c r="D386" s="35" t="n">
        <f aca="true">MAX(0.06,NORMINV(RAND(),$B$8,$C$8))</f>
        <v>0.0945847932773659</v>
      </c>
      <c r="E386" s="55" t="n">
        <f aca="true">MAX(5,NORMINV(RAND(),$B$9,$C$9))</f>
        <v>8.17937182185231</v>
      </c>
      <c r="F386" s="28" t="n">
        <f aca="false">$B$18*(1+(B386+$B$17)/2)^9</f>
        <v>41085.8675271581</v>
      </c>
      <c r="G386" s="28" t="n">
        <f aca="false">F386*C386</f>
        <v>14164.4263849807</v>
      </c>
      <c r="H386" s="28" t="n">
        <f aca="false">E386*G386/(1+D386)^9</f>
        <v>51365.8228525306</v>
      </c>
      <c r="I386" s="28" t="n">
        <f aca="false">$B$13*G386/$B$12*((1+$B$8)/(1+D386))^4.5</f>
        <v>28241.3377905583</v>
      </c>
      <c r="J386" s="28" t="n">
        <f aca="false">H386+I386-$B$14-$B$19</f>
        <v>56944.8037737739</v>
      </c>
      <c r="K386" s="46" t="n">
        <f aca="false">J386/$B$15</f>
        <v>168.875456031358</v>
      </c>
    </row>
    <row r="387" customFormat="false" ht="15" hidden="false" customHeight="false" outlineLevel="0" collapsed="false">
      <c r="A387" s="54" t="n">
        <v>347</v>
      </c>
      <c r="B387" s="23" t="n">
        <f aca="true">NORMINV(RAND(),$B$6,$C$6)</f>
        <v>0.082353979369467</v>
      </c>
      <c r="C387" s="23" t="n">
        <f aca="true">MAX(0.15,NORMINV(RAND(),$B$7,$C$7))</f>
        <v>0.377443906981637</v>
      </c>
      <c r="D387" s="35" t="n">
        <f aca="true">MAX(0.06,NORMINV(RAND(),$B$8,$C$8))</f>
        <v>0.0826996982729987</v>
      </c>
      <c r="E387" s="55" t="n">
        <f aca="true">MAX(5,NORMINV(RAND(),$B$9,$C$9))</f>
        <v>10.2366480421191</v>
      </c>
      <c r="F387" s="28" t="n">
        <f aca="false">$B$18*(1+(B387+$B$17)/2)^9</f>
        <v>37256.4243955048</v>
      </c>
      <c r="G387" s="28" t="n">
        <f aca="false">F387*C387</f>
        <v>14062.2103840053</v>
      </c>
      <c r="H387" s="28" t="n">
        <f aca="false">E387*G387/(1+D387)^9</f>
        <v>70410.790624449</v>
      </c>
      <c r="I387" s="28" t="n">
        <f aca="false">$B$13*G387/$B$12*((1+$B$8)/(1+D387))^4.5</f>
        <v>29449.3789467063</v>
      </c>
      <c r="J387" s="28" t="n">
        <f aca="false">H387+I387-$B$14-$B$19</f>
        <v>77197.8127018402</v>
      </c>
      <c r="K387" s="46" t="n">
        <f aca="false">J387/$B$15</f>
        <v>228.937760088494</v>
      </c>
    </row>
    <row r="388" customFormat="false" ht="15" hidden="false" customHeight="false" outlineLevel="0" collapsed="false">
      <c r="A388" s="54" t="n">
        <v>348</v>
      </c>
      <c r="B388" s="23" t="n">
        <f aca="true">NORMINV(RAND(),$B$6,$C$6)</f>
        <v>0.134715874662676</v>
      </c>
      <c r="C388" s="23" t="n">
        <f aca="true">MAX(0.15,NORMINV(RAND(),$B$7,$C$7))</f>
        <v>0.337588778378767</v>
      </c>
      <c r="D388" s="35" t="n">
        <f aca="true">MAX(0.06,NORMINV(RAND(),$B$8,$C$8))</f>
        <v>0.0922676934681512</v>
      </c>
      <c r="E388" s="55" t="n">
        <f aca="true">MAX(5,NORMINV(RAND(),$B$9,$C$9))</f>
        <v>11.2609078835232</v>
      </c>
      <c r="F388" s="28" t="n">
        <f aca="false">$B$18*(1+(B388+$B$17)/2)^9</f>
        <v>46465.7907001388</v>
      </c>
      <c r="G388" s="28" t="n">
        <f aca="false">F388*C388</f>
        <v>15686.3295188634</v>
      </c>
      <c r="H388" s="28" t="n">
        <f aca="false">E388*G388/(1+D388)^9</f>
        <v>79823.9001259736</v>
      </c>
      <c r="I388" s="28" t="n">
        <f aca="false">$B$13*G388/$B$12*((1+$B$8)/(1+D388))^4.5</f>
        <v>31575.4141697118</v>
      </c>
      <c r="J388" s="28" t="n">
        <f aca="false">H388+I388-$B$14-$B$19</f>
        <v>88736.9574263704</v>
      </c>
      <c r="K388" s="46" t="n">
        <f aca="false">J388/$B$15</f>
        <v>263.158236733008</v>
      </c>
    </row>
    <row r="389" customFormat="false" ht="15" hidden="false" customHeight="false" outlineLevel="0" collapsed="false">
      <c r="A389" s="54" t="n">
        <v>349</v>
      </c>
      <c r="B389" s="23" t="n">
        <f aca="true">NORMINV(RAND(),$B$6,$C$6)</f>
        <v>0.117273705344902</v>
      </c>
      <c r="C389" s="23" t="n">
        <f aca="true">MAX(0.15,NORMINV(RAND(),$B$7,$C$7))</f>
        <v>0.34572106146596</v>
      </c>
      <c r="D389" s="35" t="n">
        <f aca="true">MAX(0.06,NORMINV(RAND(),$B$8,$C$8))</f>
        <v>0.0909313232080259</v>
      </c>
      <c r="E389" s="55" t="n">
        <f aca="true">MAX(5,NORMINV(RAND(),$B$9,$C$9))</f>
        <v>11.9401021226525</v>
      </c>
      <c r="F389" s="28" t="n">
        <f aca="false">$B$18*(1+(B389+$B$17)/2)^9</f>
        <v>43195.4857547515</v>
      </c>
      <c r="G389" s="28" t="n">
        <f aca="false">F389*C389</f>
        <v>14933.5891856704</v>
      </c>
      <c r="H389" s="28" t="n">
        <f aca="false">E389*G389/(1+D389)^9</f>
        <v>81469.5912385337</v>
      </c>
      <c r="I389" s="28" t="n">
        <f aca="false">$B$13*G389/$B$12*((1+$B$8)/(1+D389))^4.5</f>
        <v>30226.2637913513</v>
      </c>
      <c r="J389" s="28" t="n">
        <f aca="false">H389+I389-$B$14-$B$19</f>
        <v>89033.4981605699</v>
      </c>
      <c r="K389" s="46" t="n">
        <f aca="false">J389/$B$15</f>
        <v>264.037657652936</v>
      </c>
    </row>
    <row r="390" customFormat="false" ht="15" hidden="false" customHeight="false" outlineLevel="0" collapsed="false">
      <c r="A390" s="54" t="n">
        <v>350</v>
      </c>
      <c r="B390" s="23" t="n">
        <f aca="true">NORMINV(RAND(),$B$6,$C$6)</f>
        <v>0.124670645701268</v>
      </c>
      <c r="C390" s="23" t="n">
        <f aca="true">MAX(0.15,NORMINV(RAND(),$B$7,$C$7))</f>
        <v>0.378438599121529</v>
      </c>
      <c r="D390" s="35" t="n">
        <f aca="true">MAX(0.06,NORMINV(RAND(),$B$8,$C$8))</f>
        <v>0.090817891919531</v>
      </c>
      <c r="E390" s="55" t="n">
        <f aca="true">MAX(5,NORMINV(RAND(),$B$9,$C$9))</f>
        <v>9.87013948352932</v>
      </c>
      <c r="F390" s="28" t="n">
        <f aca="false">$B$18*(1+(B390+$B$17)/2)^9</f>
        <v>44556.5013648849</v>
      </c>
      <c r="G390" s="28" t="n">
        <f aca="false">F390*C390</f>
        <v>16861.8999582835</v>
      </c>
      <c r="H390" s="28" t="n">
        <f aca="false">E390*G390/(1+D390)^9</f>
        <v>76113.1198021034</v>
      </c>
      <c r="I390" s="28" t="n">
        <f aca="false">$B$13*G390/$B$12*((1+$B$8)/(1+D390))^4.5</f>
        <v>34145.2259652439</v>
      </c>
      <c r="J390" s="28" t="n">
        <f aca="false">H390+I390-$B$14-$B$19</f>
        <v>87595.9888980322</v>
      </c>
      <c r="K390" s="46" t="n">
        <f aca="false">J390/$B$15</f>
        <v>259.774581548138</v>
      </c>
    </row>
    <row r="391" customFormat="false" ht="15" hidden="false" customHeight="false" outlineLevel="0" collapsed="false">
      <c r="A391" s="54" t="n">
        <v>351</v>
      </c>
      <c r="B391" s="23" t="n">
        <f aca="true">NORMINV(RAND(),$B$6,$C$6)</f>
        <v>0.051003738452635</v>
      </c>
      <c r="C391" s="23" t="n">
        <f aca="true">MAX(0.15,NORMINV(RAND(),$B$7,$C$7))</f>
        <v>0.311812884891856</v>
      </c>
      <c r="D391" s="35" t="n">
        <f aca="true">MAX(0.06,NORMINV(RAND(),$B$8,$C$8))</f>
        <v>0.0842775770826908</v>
      </c>
      <c r="E391" s="55" t="n">
        <f aca="true">MAX(5,NORMINV(RAND(),$B$9,$C$9))</f>
        <v>9.8933356784712</v>
      </c>
      <c r="F391" s="28" t="n">
        <f aca="false">$B$18*(1+(B391+$B$17)/2)^9</f>
        <v>32554.9421936795</v>
      </c>
      <c r="G391" s="28" t="n">
        <f aca="false">F391*C391</f>
        <v>10151.0504428988</v>
      </c>
      <c r="H391" s="28" t="n">
        <f aca="false">E391*G391/(1+D391)^9</f>
        <v>48482.9950919475</v>
      </c>
      <c r="I391" s="28" t="n">
        <f aca="false">$B$13*G391/$B$12*((1+$B$8)/(1+D391))^4.5</f>
        <v>21119.6862084372</v>
      </c>
      <c r="J391" s="28" t="n">
        <f aca="false">H391+I391-$B$14-$B$19</f>
        <v>46940.3244310695</v>
      </c>
      <c r="K391" s="46" t="n">
        <f aca="false">J391/$B$15</f>
        <v>139.206181586802</v>
      </c>
    </row>
    <row r="392" customFormat="false" ht="15" hidden="false" customHeight="false" outlineLevel="0" collapsed="false">
      <c r="A392" s="54" t="n">
        <v>352</v>
      </c>
      <c r="B392" s="23" t="n">
        <f aca="true">NORMINV(RAND(),$B$6,$C$6)</f>
        <v>0.132708704207174</v>
      </c>
      <c r="C392" s="23" t="n">
        <f aca="true">MAX(0.15,NORMINV(RAND(),$B$7,$C$7))</f>
        <v>0.309626882903214</v>
      </c>
      <c r="D392" s="35" t="n">
        <f aca="true">MAX(0.06,NORMINV(RAND(),$B$8,$C$8))</f>
        <v>0.0989704441762471</v>
      </c>
      <c r="E392" s="55" t="n">
        <f aca="true">MAX(5,NORMINV(RAND(),$B$9,$C$9))</f>
        <v>7.15127972805465</v>
      </c>
      <c r="F392" s="28" t="n">
        <f aca="false">$B$18*(1+(B392+$B$17)/2)^9</f>
        <v>46078.5780830229</v>
      </c>
      <c r="G392" s="28" t="n">
        <f aca="false">F392*C392</f>
        <v>14267.1665004587</v>
      </c>
      <c r="H392" s="28" t="n">
        <f aca="false">E392*G392/(1+D392)^9</f>
        <v>43636.2460710197</v>
      </c>
      <c r="I392" s="28" t="n">
        <f aca="false">$B$13*G392/$B$12*((1+$B$8)/(1+D392))^4.5</f>
        <v>27938.8993415643</v>
      </c>
      <c r="J392" s="28" t="n">
        <f aca="false">H392+I392-$B$14-$B$19</f>
        <v>48912.7885432689</v>
      </c>
      <c r="K392" s="46" t="n">
        <f aca="false">J392/$B$15</f>
        <v>145.055719286088</v>
      </c>
    </row>
    <row r="393" customFormat="false" ht="15" hidden="false" customHeight="false" outlineLevel="0" collapsed="false">
      <c r="A393" s="54" t="n">
        <v>353</v>
      </c>
      <c r="B393" s="23" t="n">
        <f aca="true">NORMINV(RAND(),$B$6,$C$6)</f>
        <v>0.0950092097033265</v>
      </c>
      <c r="C393" s="23" t="n">
        <f aca="true">MAX(0.15,NORMINV(RAND(),$B$7,$C$7))</f>
        <v>0.312504120950395</v>
      </c>
      <c r="D393" s="35" t="n">
        <f aca="true">MAX(0.06,NORMINV(RAND(),$B$8,$C$8))</f>
        <v>0.104943638044082</v>
      </c>
      <c r="E393" s="55" t="n">
        <f aca="true">MAX(5,NORMINV(RAND(),$B$9,$C$9))</f>
        <v>11.9381581321129</v>
      </c>
      <c r="F393" s="28" t="n">
        <f aca="false">$B$18*(1+(B393+$B$17)/2)^9</f>
        <v>39319.0915903864</v>
      </c>
      <c r="G393" s="28" t="n">
        <f aca="false">F393*C393</f>
        <v>12287.3781540218</v>
      </c>
      <c r="H393" s="28" t="n">
        <f aca="false">E393*G393/(1+D393)^9</f>
        <v>59749.6574999914</v>
      </c>
      <c r="I393" s="28" t="n">
        <f aca="false">$B$13*G393/$B$12*((1+$B$8)/(1+D393))^4.5</f>
        <v>23482.1186869009</v>
      </c>
      <c r="J393" s="28" t="n">
        <f aca="false">H393+I393-$B$14-$B$19</f>
        <v>60569.4193175772</v>
      </c>
      <c r="K393" s="46" t="n">
        <f aca="false">J393/$B$15</f>
        <v>179.624612448331</v>
      </c>
    </row>
    <row r="394" customFormat="false" ht="15" hidden="false" customHeight="false" outlineLevel="0" collapsed="false">
      <c r="A394" s="54" t="n">
        <v>354</v>
      </c>
      <c r="B394" s="23" t="n">
        <f aca="true">NORMINV(RAND(),$B$6,$C$6)</f>
        <v>0.0307018497052657</v>
      </c>
      <c r="C394" s="23" t="n">
        <f aca="true">MAX(0.15,NORMINV(RAND(),$B$7,$C$7))</f>
        <v>0.356698125156055</v>
      </c>
      <c r="D394" s="35" t="n">
        <f aca="true">MAX(0.06,NORMINV(RAND(),$B$8,$C$8))</f>
        <v>0.0957545725857399</v>
      </c>
      <c r="E394" s="55" t="n">
        <f aca="true">MAX(5,NORMINV(RAND(),$B$9,$C$9))</f>
        <v>12.9884326731617</v>
      </c>
      <c r="F394" s="28" t="n">
        <f aca="false">$B$18*(1+(B394+$B$17)/2)^9</f>
        <v>29799.2193612087</v>
      </c>
      <c r="G394" s="28" t="n">
        <f aca="false">F394*C394</f>
        <v>10629.3256772571</v>
      </c>
      <c r="H394" s="28" t="n">
        <f aca="false">E394*G394/(1+D394)^9</f>
        <v>60623.755521482</v>
      </c>
      <c r="I394" s="28" t="n">
        <f aca="false">$B$13*G394/$B$12*((1+$B$8)/(1+D394))^4.5</f>
        <v>21091.3569457141</v>
      </c>
      <c r="J394" s="28" t="n">
        <f aca="false">H394+I394-$B$14-$B$19</f>
        <v>59052.755597881</v>
      </c>
      <c r="K394" s="46" t="n">
        <f aca="false">J394/$B$15</f>
        <v>175.126795960501</v>
      </c>
    </row>
    <row r="395" customFormat="false" ht="15" hidden="false" customHeight="false" outlineLevel="0" collapsed="false">
      <c r="A395" s="54" t="n">
        <v>355</v>
      </c>
      <c r="B395" s="23" t="n">
        <f aca="true">NORMINV(RAND(),$B$6,$C$6)</f>
        <v>0.107843323853457</v>
      </c>
      <c r="C395" s="23" t="n">
        <f aca="true">MAX(0.15,NORMINV(RAND(),$B$7,$C$7))</f>
        <v>0.312702977635621</v>
      </c>
      <c r="D395" s="35" t="n">
        <f aca="true">MAX(0.06,NORMINV(RAND(),$B$8,$C$8))</f>
        <v>0.0978532383275699</v>
      </c>
      <c r="E395" s="55" t="n">
        <f aca="true">MAX(5,NORMINV(RAND(),$B$9,$C$9))</f>
        <v>10.3932802985645</v>
      </c>
      <c r="F395" s="28" t="n">
        <f aca="false">$B$18*(1+(B395+$B$17)/2)^9</f>
        <v>41513.9762018561</v>
      </c>
      <c r="G395" s="28" t="n">
        <f aca="false">F395*C395</f>
        <v>12981.5439718147</v>
      </c>
      <c r="H395" s="28" t="n">
        <f aca="false">E395*G395/(1+D395)^9</f>
        <v>58234.5070448834</v>
      </c>
      <c r="I395" s="28" t="n">
        <f aca="false">$B$13*G395/$B$12*((1+$B$8)/(1+D395))^4.5</f>
        <v>25537.9290662823</v>
      </c>
      <c r="J395" s="28" t="n">
        <f aca="false">H395+I395-$B$14-$B$19</f>
        <v>61110.0792418506</v>
      </c>
      <c r="K395" s="46" t="n">
        <f aca="false">J395/$B$15</f>
        <v>181.227993006674</v>
      </c>
    </row>
    <row r="396" customFormat="false" ht="15" hidden="false" customHeight="false" outlineLevel="0" collapsed="false">
      <c r="A396" s="54" t="n">
        <v>356</v>
      </c>
      <c r="B396" s="23" t="n">
        <f aca="true">NORMINV(RAND(),$B$6,$C$6)</f>
        <v>0.0932537561381982</v>
      </c>
      <c r="C396" s="23" t="n">
        <f aca="true">MAX(0.15,NORMINV(RAND(),$B$7,$C$7))</f>
        <v>0.302370257509929</v>
      </c>
      <c r="D396" s="35" t="n">
        <f aca="true">MAX(0.06,NORMINV(RAND(),$B$8,$C$8))</f>
        <v>0.0920504899582719</v>
      </c>
      <c r="E396" s="55" t="n">
        <f aca="true">MAX(5,NORMINV(RAND(),$B$9,$C$9))</f>
        <v>10.1532326938491</v>
      </c>
      <c r="F396" s="28" t="n">
        <f aca="false">$B$18*(1+(B396+$B$17)/2)^9</f>
        <v>39027.0400324766</v>
      </c>
      <c r="G396" s="28" t="n">
        <f aca="false">F396*C396</f>
        <v>11800.6161444703</v>
      </c>
      <c r="H396" s="28" t="n">
        <f aca="false">E396*G396/(1+D396)^9</f>
        <v>54240.609475513</v>
      </c>
      <c r="I396" s="28" t="n">
        <f aca="false">$B$13*G396/$B$12*((1+$B$8)/(1+D396))^4.5</f>
        <v>23775.0299503135</v>
      </c>
      <c r="J396" s="28" t="n">
        <f aca="false">H396+I396-$B$14-$B$19</f>
        <v>55353.2825565114</v>
      </c>
      <c r="K396" s="46" t="n">
        <f aca="false">J396/$B$15</f>
        <v>164.155642219785</v>
      </c>
    </row>
    <row r="397" customFormat="false" ht="15" hidden="false" customHeight="false" outlineLevel="0" collapsed="false">
      <c r="A397" s="54" t="n">
        <v>357</v>
      </c>
      <c r="B397" s="23" t="n">
        <f aca="true">NORMINV(RAND(),$B$6,$C$6)</f>
        <v>0.0867490364757332</v>
      </c>
      <c r="C397" s="23" t="n">
        <f aca="true">MAX(0.15,NORMINV(RAND(),$B$7,$C$7))</f>
        <v>0.342482647046168</v>
      </c>
      <c r="D397" s="35" t="n">
        <f aca="true">MAX(0.06,NORMINV(RAND(),$B$8,$C$8))</f>
        <v>0.0939999133219548</v>
      </c>
      <c r="E397" s="55" t="n">
        <f aca="true">MAX(5,NORMINV(RAND(),$B$9,$C$9))</f>
        <v>9.17084523974813</v>
      </c>
      <c r="F397" s="28" t="n">
        <f aca="false">$B$18*(1+(B397+$B$17)/2)^9</f>
        <v>37961.5983252738</v>
      </c>
      <c r="G397" s="28" t="n">
        <f aca="false">F397*C397</f>
        <v>13001.1886805431</v>
      </c>
      <c r="H397" s="28" t="n">
        <f aca="false">E397*G397/(1+D397)^9</f>
        <v>53117.4034850145</v>
      </c>
      <c r="I397" s="28" t="n">
        <f aca="false">$B$13*G397/$B$12*((1+$B$8)/(1+D397))^4.5</f>
        <v>25984.4714421451</v>
      </c>
      <c r="J397" s="28" t="n">
        <f aca="false">H397+I397-$B$14-$B$19</f>
        <v>56439.5180578445</v>
      </c>
      <c r="K397" s="46" t="n">
        <f aca="false">J397/$B$15</f>
        <v>167.37698119171</v>
      </c>
    </row>
    <row r="398" customFormat="false" ht="15" hidden="false" customHeight="false" outlineLevel="0" collapsed="false">
      <c r="A398" s="54" t="n">
        <v>358</v>
      </c>
      <c r="B398" s="23" t="n">
        <f aca="true">NORMINV(RAND(),$B$6,$C$6)</f>
        <v>0.0493926913544102</v>
      </c>
      <c r="C398" s="23" t="n">
        <f aca="true">MAX(0.15,NORMINV(RAND(),$B$7,$C$7))</f>
        <v>0.293259879254822</v>
      </c>
      <c r="D398" s="35" t="n">
        <f aca="true">MAX(0.06,NORMINV(RAND(),$B$8,$C$8))</f>
        <v>0.091812069918796</v>
      </c>
      <c r="E398" s="55" t="n">
        <f aca="true">MAX(5,NORMINV(RAND(),$B$9,$C$9))</f>
        <v>8.86349765239774</v>
      </c>
      <c r="F398" s="28" t="n">
        <f aca="false">$B$18*(1+(B398+$B$17)/2)^9</f>
        <v>32328.2733726629</v>
      </c>
      <c r="G398" s="28" t="n">
        <f aca="false">F398*C398</f>
        <v>9480.585545784</v>
      </c>
      <c r="H398" s="28" t="n">
        <f aca="false">E398*G398/(1+D398)^9</f>
        <v>38116.1717740009</v>
      </c>
      <c r="I398" s="28" t="n">
        <f aca="false">$B$13*G398/$B$12*((1+$B$8)/(1+D398))^4.5</f>
        <v>19119.5766419555</v>
      </c>
      <c r="J398" s="28" t="n">
        <f aca="false">H398+I398-$B$14-$B$19</f>
        <v>34573.3915466413</v>
      </c>
      <c r="K398" s="46" t="n">
        <f aca="false">J398/$B$15</f>
        <v>102.530817160858</v>
      </c>
    </row>
    <row r="399" customFormat="false" ht="15" hidden="false" customHeight="false" outlineLevel="0" collapsed="false">
      <c r="A399" s="54" t="n">
        <v>359</v>
      </c>
      <c r="B399" s="23" t="n">
        <f aca="true">NORMINV(RAND(),$B$6,$C$6)</f>
        <v>0.0332833864910546</v>
      </c>
      <c r="C399" s="23" t="n">
        <f aca="true">MAX(0.15,NORMINV(RAND(),$B$7,$C$7))</f>
        <v>0.305844561548039</v>
      </c>
      <c r="D399" s="35" t="n">
        <f aca="true">MAX(0.06,NORMINV(RAND(),$B$8,$C$8))</f>
        <v>0.0980187200492099</v>
      </c>
      <c r="E399" s="55" t="n">
        <f aca="true">MAX(5,NORMINV(RAND(),$B$9,$C$9))</f>
        <v>10.2591217239323</v>
      </c>
      <c r="F399" s="28" t="n">
        <f aca="false">$B$18*(1+(B399+$B$17)/2)^9</f>
        <v>30137.7110704828</v>
      </c>
      <c r="G399" s="28" t="n">
        <f aca="false">F399*C399</f>
        <v>9217.45502841327</v>
      </c>
      <c r="H399" s="28" t="n">
        <f aca="false">E399*G399/(1+D399)^9</f>
        <v>40759.9375737718</v>
      </c>
      <c r="I399" s="28" t="n">
        <f aca="false">$B$13*G399/$B$12*((1+$B$8)/(1+D399))^4.5</f>
        <v>18120.7345162992</v>
      </c>
      <c r="J399" s="28" t="n">
        <f aca="false">H399+I399-$B$14-$B$19</f>
        <v>36218.3152207559</v>
      </c>
      <c r="K399" s="46" t="n">
        <f aca="false">J399/$B$15</f>
        <v>107.409001247793</v>
      </c>
    </row>
    <row r="400" customFormat="false" ht="15" hidden="false" customHeight="false" outlineLevel="0" collapsed="false">
      <c r="A400" s="54" t="n">
        <v>360</v>
      </c>
      <c r="B400" s="23" t="n">
        <f aca="true">NORMINV(RAND(),$B$6,$C$6)</f>
        <v>0.0813955694368297</v>
      </c>
      <c r="C400" s="23" t="n">
        <f aca="true">MAX(0.15,NORMINV(RAND(),$B$7,$C$7))</f>
        <v>0.336779670625695</v>
      </c>
      <c r="D400" s="35" t="n">
        <f aca="true">MAX(0.06,NORMINV(RAND(),$B$8,$C$8))</f>
        <v>0.0891030379384676</v>
      </c>
      <c r="E400" s="55" t="n">
        <f aca="true">MAX(5,NORMINV(RAND(),$B$9,$C$9))</f>
        <v>8.96535029494103</v>
      </c>
      <c r="F400" s="28" t="n">
        <f aca="false">$B$18*(1+(B400+$B$17)/2)^9</f>
        <v>37104.205853001</v>
      </c>
      <c r="G400" s="28" t="n">
        <f aca="false">F400*C400</f>
        <v>12495.9422260017</v>
      </c>
      <c r="H400" s="28" t="n">
        <f aca="false">E400*G400/(1+D400)^9</f>
        <v>51965.5521866086</v>
      </c>
      <c r="I400" s="28" t="n">
        <f aca="false">$B$13*G400/$B$12*((1+$B$8)/(1+D400))^4.5</f>
        <v>25483.98062648</v>
      </c>
      <c r="J400" s="28" t="n">
        <f aca="false">H400+I400-$B$14-$B$19</f>
        <v>54787.1759437735</v>
      </c>
      <c r="K400" s="46" t="n">
        <f aca="false">J400/$B$15</f>
        <v>162.47679698628</v>
      </c>
    </row>
    <row r="401" customFormat="false" ht="15" hidden="false" customHeight="false" outlineLevel="0" collapsed="false">
      <c r="A401" s="54" t="n">
        <v>361</v>
      </c>
      <c r="B401" s="23" t="n">
        <f aca="true">NORMINV(RAND(),$B$6,$C$6)</f>
        <v>0.109334602856961</v>
      </c>
      <c r="C401" s="23" t="n">
        <f aca="true">MAX(0.15,NORMINV(RAND(),$B$7,$C$7))</f>
        <v>0.350600127118141</v>
      </c>
      <c r="D401" s="35" t="n">
        <f aca="true">MAX(0.06,NORMINV(RAND(),$B$8,$C$8))</f>
        <v>0.105285913349083</v>
      </c>
      <c r="E401" s="55" t="n">
        <f aca="true">MAX(5,NORMINV(RAND(),$B$9,$C$9))</f>
        <v>9.26595167685278</v>
      </c>
      <c r="F401" s="28" t="n">
        <f aca="false">$B$18*(1+(B401+$B$17)/2)^9</f>
        <v>41775.9462888601</v>
      </c>
      <c r="G401" s="28" t="n">
        <f aca="false">F401*C401</f>
        <v>14646.652079355</v>
      </c>
      <c r="H401" s="28" t="n">
        <f aca="false">E401*G401/(1+D401)^9</f>
        <v>55126.0253858838</v>
      </c>
      <c r="I401" s="28" t="n">
        <f aca="false">$B$13*G401/$B$12*((1+$B$8)/(1+D401))^4.5</f>
        <v>27951.8867324379</v>
      </c>
      <c r="J401" s="28" t="n">
        <f aca="false">H401+I401-$B$14-$B$19</f>
        <v>60415.5552490067</v>
      </c>
      <c r="K401" s="46" t="n">
        <f aca="false">J401/$B$15</f>
        <v>179.168313312594</v>
      </c>
    </row>
    <row r="402" customFormat="false" ht="15" hidden="false" customHeight="false" outlineLevel="0" collapsed="false">
      <c r="A402" s="54" t="n">
        <v>362</v>
      </c>
      <c r="B402" s="23" t="n">
        <f aca="true">NORMINV(RAND(),$B$6,$C$6)</f>
        <v>0.11057862326733</v>
      </c>
      <c r="C402" s="23" t="n">
        <f aca="true">MAX(0.15,NORMINV(RAND(),$B$7,$C$7))</f>
        <v>0.306691694285979</v>
      </c>
      <c r="D402" s="35" t="n">
        <f aca="true">MAX(0.06,NORMINV(RAND(),$B$8,$C$8))</f>
        <v>0.0838256534977428</v>
      </c>
      <c r="E402" s="55" t="n">
        <f aca="true">MAX(5,NORMINV(RAND(),$B$9,$C$9))</f>
        <v>8.56184251545923</v>
      </c>
      <c r="F402" s="28" t="n">
        <f aca="false">$B$18*(1+(B402+$B$17)/2)^9</f>
        <v>41995.6040413942</v>
      </c>
      <c r="G402" s="28" t="n">
        <f aca="false">F402*C402</f>
        <v>12879.7029560183</v>
      </c>
      <c r="H402" s="28" t="n">
        <f aca="false">E402*G402/(1+D402)^9</f>
        <v>53436.5296367001</v>
      </c>
      <c r="I402" s="28" t="n">
        <f aca="false">$B$13*G402/$B$12*((1+$B$8)/(1+D402))^4.5</f>
        <v>26847.0795073239</v>
      </c>
      <c r="J402" s="28" t="n">
        <f aca="false">H402+I402-$B$14-$B$19</f>
        <v>57621.2522747089</v>
      </c>
      <c r="K402" s="46" t="n">
        <f aca="false">J402/$B$15</f>
        <v>170.881531063787</v>
      </c>
    </row>
    <row r="403" customFormat="false" ht="15" hidden="false" customHeight="false" outlineLevel="0" collapsed="false">
      <c r="A403" s="54" t="n">
        <v>363</v>
      </c>
      <c r="B403" s="23" t="n">
        <f aca="true">NORMINV(RAND(),$B$6,$C$6)</f>
        <v>0.100066828093225</v>
      </c>
      <c r="C403" s="23" t="n">
        <f aca="true">MAX(0.15,NORMINV(RAND(),$B$7,$C$7))</f>
        <v>0.360331027593899</v>
      </c>
      <c r="D403" s="35" t="n">
        <f aca="true">MAX(0.06,NORMINV(RAND(),$B$8,$C$8))</f>
        <v>0.084830075435682</v>
      </c>
      <c r="E403" s="55" t="n">
        <f aca="true">MAX(5,NORMINV(RAND(),$B$9,$C$9))</f>
        <v>9.90277844564978</v>
      </c>
      <c r="F403" s="28" t="n">
        <f aca="false">$B$18*(1+(B403+$B$17)/2)^9</f>
        <v>40171.4100459486</v>
      </c>
      <c r="G403" s="28" t="n">
        <f aca="false">F403*C403</f>
        <v>14475.0054617526</v>
      </c>
      <c r="H403" s="28" t="n">
        <f aca="false">E403*G403/(1+D403)^9</f>
        <v>68884.3154308258</v>
      </c>
      <c r="I403" s="28" t="n">
        <f aca="false">$B$13*G403/$B$12*((1+$B$8)/(1+D403))^4.5</f>
        <v>30046.8971482623</v>
      </c>
      <c r="J403" s="28" t="n">
        <f aca="false">H403+I403-$B$14-$B$19</f>
        <v>76268.855709773</v>
      </c>
      <c r="K403" s="46" t="n">
        <f aca="false">J403/$B$15</f>
        <v>226.182846114392</v>
      </c>
    </row>
    <row r="404" customFormat="false" ht="15" hidden="false" customHeight="false" outlineLevel="0" collapsed="false">
      <c r="A404" s="54" t="n">
        <v>364</v>
      </c>
      <c r="B404" s="23" t="n">
        <f aca="true">NORMINV(RAND(),$B$6,$C$6)</f>
        <v>0.0854567406344532</v>
      </c>
      <c r="C404" s="23" t="n">
        <f aca="true">MAX(0.15,NORMINV(RAND(),$B$7,$C$7))</f>
        <v>0.345958798153256</v>
      </c>
      <c r="D404" s="35" t="n">
        <f aca="true">MAX(0.06,NORMINV(RAND(),$B$8,$C$8))</f>
        <v>0.0837329511414002</v>
      </c>
      <c r="E404" s="55" t="n">
        <f aca="true">MAX(5,NORMINV(RAND(),$B$9,$C$9))</f>
        <v>9.57299082874619</v>
      </c>
      <c r="F404" s="28" t="n">
        <f aca="false">$B$18*(1+(B404+$B$17)/2)^9</f>
        <v>37753.0321951681</v>
      </c>
      <c r="G404" s="28" t="n">
        <f aca="false">F404*C404</f>
        <v>13060.9936448816</v>
      </c>
      <c r="H404" s="28" t="n">
        <f aca="false">E404*G404/(1+D404)^9</f>
        <v>60634.9963110642</v>
      </c>
      <c r="I404" s="28" t="n">
        <f aca="false">$B$13*G404/$B$12*((1+$B$8)/(1+D404))^4.5</f>
        <v>27235.4518986367</v>
      </c>
      <c r="J404" s="28" t="n">
        <f aca="false">H404+I404-$B$14-$B$19</f>
        <v>65208.0913403859</v>
      </c>
      <c r="K404" s="46" t="n">
        <f aca="false">J404/$B$15</f>
        <v>193.381053797111</v>
      </c>
    </row>
    <row r="405" customFormat="false" ht="15" hidden="false" customHeight="false" outlineLevel="0" collapsed="false">
      <c r="A405" s="54" t="n">
        <v>365</v>
      </c>
      <c r="B405" s="23" t="n">
        <f aca="true">NORMINV(RAND(),$B$6,$C$6)</f>
        <v>0.0974179386152316</v>
      </c>
      <c r="C405" s="23" t="n">
        <f aca="true">MAX(0.15,NORMINV(RAND(),$B$7,$C$7))</f>
        <v>0.301525540406955</v>
      </c>
      <c r="D405" s="35" t="n">
        <f aca="true">MAX(0.06,NORMINV(RAND(),$B$8,$C$8))</f>
        <v>0.0963023306754325</v>
      </c>
      <c r="E405" s="55" t="n">
        <f aca="true">MAX(5,NORMINV(RAND(),$B$9,$C$9))</f>
        <v>7.80467996131255</v>
      </c>
      <c r="F405" s="28" t="n">
        <f aca="false">$B$18*(1+(B405+$B$17)/2)^9</f>
        <v>39722.9886297778</v>
      </c>
      <c r="G405" s="28" t="n">
        <f aca="false">F405*C405</f>
        <v>11977.4956131731</v>
      </c>
      <c r="H405" s="28" t="n">
        <f aca="false">E405*G405/(1+D405)^9</f>
        <v>40864.6781720731</v>
      </c>
      <c r="I405" s="28" t="n">
        <f aca="false">$B$13*G405/$B$12*((1+$B$8)/(1+D405))^4.5</f>
        <v>23713.0885148361</v>
      </c>
      <c r="J405" s="28" t="n">
        <f aca="false">H405+I405-$B$14-$B$19</f>
        <v>41915.4098175941</v>
      </c>
      <c r="K405" s="46" t="n">
        <f aca="false">J405/$B$15</f>
        <v>124.304299577681</v>
      </c>
    </row>
    <row r="406" customFormat="false" ht="15" hidden="false" customHeight="false" outlineLevel="0" collapsed="false">
      <c r="A406" s="54" t="n">
        <v>366</v>
      </c>
      <c r="B406" s="23" t="n">
        <f aca="true">NORMINV(RAND(),$B$6,$C$6)</f>
        <v>0.0811661853755616</v>
      </c>
      <c r="C406" s="23" t="n">
        <f aca="true">MAX(0.15,NORMINV(RAND(),$B$7,$C$7))</f>
        <v>0.290665462241929</v>
      </c>
      <c r="D406" s="35" t="n">
        <f aca="true">MAX(0.06,NORMINV(RAND(),$B$8,$C$8))</f>
        <v>0.0897091102642423</v>
      </c>
      <c r="E406" s="55" t="n">
        <f aca="true">MAX(5,NORMINV(RAND(),$B$9,$C$9))</f>
        <v>9.84404438533249</v>
      </c>
      <c r="F406" s="28" t="n">
        <f aca="false">$B$18*(1+(B406+$B$17)/2)^9</f>
        <v>37067.8562405025</v>
      </c>
      <c r="G406" s="28" t="n">
        <f aca="false">F406*C406</f>
        <v>10774.345568463</v>
      </c>
      <c r="H406" s="28" t="n">
        <f aca="false">E406*G406/(1+D406)^9</f>
        <v>48951.863399812</v>
      </c>
      <c r="I406" s="28" t="n">
        <f aca="false">$B$13*G406/$B$12*((1+$B$8)/(1+D406))^4.5</f>
        <v>21918.0494843598</v>
      </c>
      <c r="J406" s="28" t="n">
        <f aca="false">H406+I406-$B$14-$B$19</f>
        <v>48207.5560148567</v>
      </c>
      <c r="K406" s="46" t="n">
        <f aca="false">J406/$B$15</f>
        <v>142.964282369089</v>
      </c>
    </row>
    <row r="407" customFormat="false" ht="15" hidden="false" customHeight="false" outlineLevel="0" collapsed="false">
      <c r="A407" s="54" t="n">
        <v>367</v>
      </c>
      <c r="B407" s="23" t="n">
        <f aca="true">NORMINV(RAND(),$B$6,$C$6)</f>
        <v>0.109752119904296</v>
      </c>
      <c r="C407" s="23" t="n">
        <f aca="true">MAX(0.15,NORMINV(RAND(),$B$7,$C$7))</f>
        <v>0.348191903068059</v>
      </c>
      <c r="D407" s="35" t="n">
        <f aca="true">MAX(0.06,NORMINV(RAND(),$B$8,$C$8))</f>
        <v>0.0873030156527943</v>
      </c>
      <c r="E407" s="55" t="n">
        <f aca="true">MAX(5,NORMINV(RAND(),$B$9,$C$9))</f>
        <v>10.5639517869055</v>
      </c>
      <c r="F407" s="28" t="n">
        <f aca="false">$B$18*(1+(B407+$B$17)/2)^9</f>
        <v>41849.5534994975</v>
      </c>
      <c r="G407" s="28" t="n">
        <f aca="false">F407*C407</f>
        <v>14571.6756755386</v>
      </c>
      <c r="H407" s="28" t="n">
        <f aca="false">E407*G407/(1+D407)^9</f>
        <v>72473.7233673951</v>
      </c>
      <c r="I407" s="28" t="n">
        <f aca="false">$B$13*G407/$B$12*((1+$B$8)/(1+D407))^4.5</f>
        <v>29939.2178386947</v>
      </c>
      <c r="J407" s="28" t="n">
        <f aca="false">H407+I407-$B$14-$B$19</f>
        <v>79750.5843367748</v>
      </c>
      <c r="K407" s="46" t="n">
        <f aca="false">J407/$B$15</f>
        <v>236.508257226497</v>
      </c>
    </row>
    <row r="408" customFormat="false" ht="15" hidden="false" customHeight="false" outlineLevel="0" collapsed="false">
      <c r="A408" s="54" t="n">
        <v>368</v>
      </c>
      <c r="B408" s="23" t="n">
        <f aca="true">NORMINV(RAND(),$B$6,$C$6)</f>
        <v>0.137831332868516</v>
      </c>
      <c r="C408" s="23" t="n">
        <f aca="true">MAX(0.15,NORMINV(RAND(),$B$7,$C$7))</f>
        <v>0.284573661486355</v>
      </c>
      <c r="D408" s="35" t="n">
        <f aca="true">MAX(0.06,NORMINV(RAND(),$B$8,$C$8))</f>
        <v>0.0939434269216286</v>
      </c>
      <c r="E408" s="55" t="n">
        <f aca="true">MAX(5,NORMINV(RAND(),$B$9,$C$9))</f>
        <v>9.71491234652878</v>
      </c>
      <c r="F408" s="28" t="n">
        <f aca="false">$B$18*(1+(B408+$B$17)/2)^9</f>
        <v>47072.538606699</v>
      </c>
      <c r="G408" s="28" t="n">
        <f aca="false">F408*C408</f>
        <v>13395.6046667661</v>
      </c>
      <c r="H408" s="28" t="n">
        <f aca="false">E408*G408/(1+D408)^9</f>
        <v>58002.597195737</v>
      </c>
      <c r="I408" s="28" t="n">
        <f aca="false">$B$13*G408/$B$12*((1+$B$8)/(1+D408))^4.5</f>
        <v>26778.9816875437</v>
      </c>
      <c r="J408" s="28" t="n">
        <f aca="false">H408+I408-$B$14-$B$19</f>
        <v>62119.2220139656</v>
      </c>
      <c r="K408" s="46" t="n">
        <f aca="false">J408/$B$15</f>
        <v>184.220705853991</v>
      </c>
    </row>
    <row r="409" customFormat="false" ht="15" hidden="false" customHeight="false" outlineLevel="0" collapsed="false">
      <c r="A409" s="54" t="n">
        <v>369</v>
      </c>
      <c r="B409" s="23" t="n">
        <f aca="true">NORMINV(RAND(),$B$6,$C$6)</f>
        <v>0.0867158265418592</v>
      </c>
      <c r="C409" s="23" t="n">
        <f aca="true">MAX(0.15,NORMINV(RAND(),$B$7,$C$7))</f>
        <v>0.282474181250811</v>
      </c>
      <c r="D409" s="35" t="n">
        <f aca="true">MAX(0.06,NORMINV(RAND(),$B$8,$C$8))</f>
        <v>0.100909840297509</v>
      </c>
      <c r="E409" s="55" t="n">
        <f aca="true">MAX(5,NORMINV(RAND(),$B$9,$C$9))</f>
        <v>8.48017334907275</v>
      </c>
      <c r="F409" s="28" t="n">
        <f aca="false">$B$18*(1+(B409+$B$17)/2)^9</f>
        <v>37956.2257144093</v>
      </c>
      <c r="G409" s="28" t="n">
        <f aca="false">F409*C409</f>
        <v>10721.6537820488</v>
      </c>
      <c r="H409" s="28" t="n">
        <f aca="false">E409*G409/(1+D409)^9</f>
        <v>38273.7245230332</v>
      </c>
      <c r="I409" s="28" t="n">
        <f aca="false">$B$13*G409/$B$12*((1+$B$8)/(1+D409))^4.5</f>
        <v>20829.9154964806</v>
      </c>
      <c r="J409" s="28" t="n">
        <f aca="false">H409+I409-$B$14-$B$19</f>
        <v>36441.2831501988</v>
      </c>
      <c r="K409" s="46" t="n">
        <f aca="false">J409/$B$15</f>
        <v>108.070234727754</v>
      </c>
    </row>
    <row r="410" customFormat="false" ht="15" hidden="false" customHeight="false" outlineLevel="0" collapsed="false">
      <c r="A410" s="54" t="n">
        <v>370</v>
      </c>
      <c r="B410" s="23" t="n">
        <f aca="true">NORMINV(RAND(),$B$6,$C$6)</f>
        <v>0.0977357901742508</v>
      </c>
      <c r="C410" s="23" t="n">
        <f aca="true">MAX(0.15,NORMINV(RAND(),$B$7,$C$7))</f>
        <v>0.30619591492886</v>
      </c>
      <c r="D410" s="35" t="n">
        <f aca="true">MAX(0.06,NORMINV(RAND(),$B$8,$C$8))</f>
        <v>0.0810243166755881</v>
      </c>
      <c r="E410" s="55" t="n">
        <f aca="true">MAX(5,NORMINV(RAND(),$B$9,$C$9))</f>
        <v>8.84442469891008</v>
      </c>
      <c r="F410" s="28" t="n">
        <f aca="false">$B$18*(1+(B410+$B$17)/2)^9</f>
        <v>39776.5606513473</v>
      </c>
      <c r="G410" s="28" t="n">
        <f aca="false">F410*C410</f>
        <v>12179.4203813626</v>
      </c>
      <c r="H410" s="28" t="n">
        <f aca="false">E410*G410/(1+D410)^9</f>
        <v>53428.9994404109</v>
      </c>
      <c r="I410" s="28" t="n">
        <f aca="false">$B$13*G410/$B$12*((1+$B$8)/(1+D410))^4.5</f>
        <v>25684.7685665267</v>
      </c>
      <c r="J410" s="28" t="n">
        <f aca="false">H410+I410-$B$14-$B$19</f>
        <v>56451.4111376226</v>
      </c>
      <c r="K410" s="46" t="n">
        <f aca="false">J410/$B$15</f>
        <v>167.412251297813</v>
      </c>
    </row>
    <row r="411" customFormat="false" ht="15" hidden="false" customHeight="false" outlineLevel="0" collapsed="false">
      <c r="A411" s="54" t="n">
        <v>371</v>
      </c>
      <c r="B411" s="23" t="n">
        <f aca="true">NORMINV(RAND(),$B$6,$C$6)</f>
        <v>0.103208114247751</v>
      </c>
      <c r="C411" s="23" t="n">
        <f aca="true">MAX(0.15,NORMINV(RAND(),$B$7,$C$7))</f>
        <v>0.309843114814268</v>
      </c>
      <c r="D411" s="35" t="n">
        <f aca="true">MAX(0.06,NORMINV(RAND(),$B$8,$C$8))</f>
        <v>0.0766865518703906</v>
      </c>
      <c r="E411" s="55" t="n">
        <f aca="true">MAX(5,NORMINV(RAND(),$B$9,$C$9))</f>
        <v>9.09788042580092</v>
      </c>
      <c r="F411" s="28" t="n">
        <f aca="false">$B$18*(1+(B411+$B$17)/2)^9</f>
        <v>40709.0154957013</v>
      </c>
      <c r="G411" s="28" t="n">
        <f aca="false">F411*C411</f>
        <v>12613.4081622104</v>
      </c>
      <c r="H411" s="28" t="n">
        <f aca="false">E411*G411/(1+D411)^9</f>
        <v>59015.9056901854</v>
      </c>
      <c r="I411" s="28" t="n">
        <f aca="false">$B$13*G411/$B$12*((1+$B$8)/(1+D411))^4.5</f>
        <v>27085.6505402736</v>
      </c>
      <c r="J411" s="28" t="n">
        <f aca="false">H411+I411-$B$14-$B$19</f>
        <v>63439.1993611439</v>
      </c>
      <c r="K411" s="46" t="n">
        <f aca="false">J411/$B$15</f>
        <v>188.135229422135</v>
      </c>
    </row>
    <row r="412" customFormat="false" ht="15" hidden="false" customHeight="false" outlineLevel="0" collapsed="false">
      <c r="A412" s="54" t="n">
        <v>372</v>
      </c>
      <c r="B412" s="23" t="n">
        <f aca="true">NORMINV(RAND(),$B$6,$C$6)</f>
        <v>0.0822218162302098</v>
      </c>
      <c r="C412" s="23" t="n">
        <f aca="true">MAX(0.15,NORMINV(RAND(),$B$7,$C$7))</f>
        <v>0.314373432040553</v>
      </c>
      <c r="D412" s="35" t="n">
        <f aca="true">MAX(0.06,NORMINV(RAND(),$B$8,$C$8))</f>
        <v>0.102820521053099</v>
      </c>
      <c r="E412" s="55" t="n">
        <f aca="true">MAX(5,NORMINV(RAND(),$B$9,$C$9))</f>
        <v>12.6978420032187</v>
      </c>
      <c r="F412" s="28" t="n">
        <f aca="false">$B$18*(1+(B412+$B$17)/2)^9</f>
        <v>37235.4007710309</v>
      </c>
      <c r="G412" s="28" t="n">
        <f aca="false">F412*C412</f>
        <v>11705.8207337944</v>
      </c>
      <c r="H412" s="28" t="n">
        <f aca="false">E412*G412/(1+D412)^9</f>
        <v>61601.0675993706</v>
      </c>
      <c r="I412" s="28" t="n">
        <f aca="false">$B$13*G412/$B$12*((1+$B$8)/(1+D412))^4.5</f>
        <v>22565.1754531418</v>
      </c>
      <c r="J412" s="28" t="n">
        <f aca="false">H412+I412-$B$14-$B$19</f>
        <v>61503.8861831974</v>
      </c>
      <c r="K412" s="46" t="n">
        <f aca="false">J412/$B$15</f>
        <v>182.395866498213</v>
      </c>
    </row>
    <row r="413" customFormat="false" ht="15" hidden="false" customHeight="false" outlineLevel="0" collapsed="false">
      <c r="A413" s="54" t="n">
        <v>373</v>
      </c>
      <c r="B413" s="23" t="n">
        <f aca="true">NORMINV(RAND(),$B$6,$C$6)</f>
        <v>0.0543374462875734</v>
      </c>
      <c r="C413" s="23" t="n">
        <f aca="true">MAX(0.15,NORMINV(RAND(),$B$7,$C$7))</f>
        <v>0.324204498905415</v>
      </c>
      <c r="D413" s="35" t="n">
        <f aca="true">MAX(0.06,NORMINV(RAND(),$B$8,$C$8))</f>
        <v>0.0933511317563118</v>
      </c>
      <c r="E413" s="55" t="n">
        <f aca="true">MAX(5,NORMINV(RAND(),$B$9,$C$9))</f>
        <v>9.03730082346197</v>
      </c>
      <c r="F413" s="28" t="n">
        <f aca="false">$B$18*(1+(B413+$B$17)/2)^9</f>
        <v>33028.4748595384</v>
      </c>
      <c r="G413" s="28" t="n">
        <f aca="false">F413*C413</f>
        <v>10707.9801414467</v>
      </c>
      <c r="H413" s="28" t="n">
        <f aca="false">E413*G413/(1+D413)^9</f>
        <v>43342.0417769388</v>
      </c>
      <c r="I413" s="28" t="n">
        <f aca="false">$B$13*G413/$B$12*((1+$B$8)/(1+D413))^4.5</f>
        <v>21458.418576516</v>
      </c>
      <c r="J413" s="28" t="n">
        <f aca="false">H413+I413-$B$14-$B$19</f>
        <v>42138.1034841397</v>
      </c>
      <c r="K413" s="46" t="n">
        <f aca="false">J413/$B$15</f>
        <v>124.964719703854</v>
      </c>
    </row>
    <row r="414" customFormat="false" ht="15" hidden="false" customHeight="false" outlineLevel="0" collapsed="false">
      <c r="A414" s="54" t="n">
        <v>374</v>
      </c>
      <c r="B414" s="23" t="n">
        <f aca="true">NORMINV(RAND(),$B$6,$C$6)</f>
        <v>0.0428550899060793</v>
      </c>
      <c r="C414" s="23" t="n">
        <f aca="true">MAX(0.15,NORMINV(RAND(),$B$7,$C$7))</f>
        <v>0.367261284793876</v>
      </c>
      <c r="D414" s="35" t="n">
        <f aca="true">MAX(0.06,NORMINV(RAND(),$B$8,$C$8))</f>
        <v>0.0911773690837734</v>
      </c>
      <c r="E414" s="55" t="n">
        <f aca="true">MAX(5,NORMINV(RAND(),$B$9,$C$9))</f>
        <v>9.48143868064309</v>
      </c>
      <c r="F414" s="28" t="n">
        <f aca="false">$B$18*(1+(B414+$B$17)/2)^9</f>
        <v>31422.7838671828</v>
      </c>
      <c r="G414" s="28" t="n">
        <f aca="false">F414*C414</f>
        <v>11540.3719748619</v>
      </c>
      <c r="H414" s="28" t="n">
        <f aca="false">E414*G414/(1+D414)^9</f>
        <v>49892.5724337004</v>
      </c>
      <c r="I414" s="28" t="n">
        <f aca="false">$B$13*G414/$B$12*((1+$B$8)/(1+D414))^4.5</f>
        <v>23334.545797897</v>
      </c>
      <c r="J414" s="28" t="n">
        <f aca="false">H414+I414-$B$14-$B$19</f>
        <v>50564.7613622823</v>
      </c>
      <c r="K414" s="46" t="n">
        <f aca="false">J414/$B$15</f>
        <v>149.954808310446</v>
      </c>
    </row>
    <row r="415" customFormat="false" ht="15" hidden="false" customHeight="false" outlineLevel="0" collapsed="false">
      <c r="A415" s="54" t="n">
        <v>375</v>
      </c>
      <c r="B415" s="23" t="n">
        <f aca="true">NORMINV(RAND(),$B$6,$C$6)</f>
        <v>0.150633618860371</v>
      </c>
      <c r="C415" s="23" t="n">
        <f aca="true">MAX(0.15,NORMINV(RAND(),$B$7,$C$7))</f>
        <v>0.335051363625207</v>
      </c>
      <c r="D415" s="35" t="n">
        <f aca="true">MAX(0.06,NORMINV(RAND(),$B$8,$C$8))</f>
        <v>0.10036205743515</v>
      </c>
      <c r="E415" s="55" t="n">
        <f aca="true">MAX(5,NORMINV(RAND(),$B$9,$C$9))</f>
        <v>7.98895512736733</v>
      </c>
      <c r="F415" s="28" t="n">
        <f aca="false">$B$18*(1+(B415+$B$17)/2)^9</f>
        <v>49640.4371319069</v>
      </c>
      <c r="G415" s="28" t="n">
        <f aca="false">F415*C415</f>
        <v>16632.0961519968</v>
      </c>
      <c r="H415" s="28" t="n">
        <f aca="false">E415*G415/(1+D415)^9</f>
        <v>56184.4984984344</v>
      </c>
      <c r="I415" s="28" t="n">
        <f aca="false">$B$13*G415/$B$12*((1+$B$8)/(1+D415))^4.5</f>
        <v>32385.1100497027</v>
      </c>
      <c r="J415" s="28" t="n">
        <f aca="false">H415+I415-$B$14-$B$19</f>
        <v>65907.251678822</v>
      </c>
      <c r="K415" s="46" t="n">
        <f aca="false">J415/$B$15</f>
        <v>195.45448303328</v>
      </c>
    </row>
    <row r="416" customFormat="false" ht="15" hidden="false" customHeight="false" outlineLevel="0" collapsed="false">
      <c r="A416" s="54" t="n">
        <v>376</v>
      </c>
      <c r="B416" s="23" t="n">
        <f aca="true">NORMINV(RAND(),$B$6,$C$6)</f>
        <v>0.0569996943643449</v>
      </c>
      <c r="C416" s="23" t="n">
        <f aca="true">MAX(0.15,NORMINV(RAND(),$B$7,$C$7))</f>
        <v>0.297480477625447</v>
      </c>
      <c r="D416" s="35" t="n">
        <f aca="true">MAX(0.06,NORMINV(RAND(),$B$8,$C$8))</f>
        <v>0.0850418143292816</v>
      </c>
      <c r="E416" s="55" t="n">
        <f aca="true">MAX(5,NORMINV(RAND(),$B$9,$C$9))</f>
        <v>10.2166525983984</v>
      </c>
      <c r="F416" s="28" t="n">
        <f aca="false">$B$18*(1+(B416+$B$17)/2)^9</f>
        <v>33411.017360949</v>
      </c>
      <c r="G416" s="28" t="n">
        <f aca="false">F416*C416</f>
        <v>9939.1254024872</v>
      </c>
      <c r="H416" s="28" t="n">
        <f aca="false">E416*G416/(1+D416)^9</f>
        <v>48712.2872221625</v>
      </c>
      <c r="I416" s="28" t="n">
        <f aca="false">$B$13*G416/$B$12*((1+$B$8)/(1+D416))^4.5</f>
        <v>20613.3061337556</v>
      </c>
      <c r="J416" s="28" t="n">
        <f aca="false">H416+I416-$B$14-$B$19</f>
        <v>46663.236486603</v>
      </c>
      <c r="K416" s="46" t="n">
        <f aca="false">J416/$B$15</f>
        <v>138.384449841646</v>
      </c>
    </row>
    <row r="417" customFormat="false" ht="15" hidden="false" customHeight="false" outlineLevel="0" collapsed="false">
      <c r="A417" s="54" t="n">
        <v>377</v>
      </c>
      <c r="B417" s="23" t="n">
        <f aca="true">NORMINV(RAND(),$B$6,$C$6)</f>
        <v>0.0663555128265038</v>
      </c>
      <c r="C417" s="23" t="n">
        <f aca="true">MAX(0.15,NORMINV(RAND(),$B$7,$C$7))</f>
        <v>0.345845344668445</v>
      </c>
      <c r="D417" s="35" t="n">
        <f aca="true">MAX(0.06,NORMINV(RAND(),$B$8,$C$8))</f>
        <v>0.0875558972328606</v>
      </c>
      <c r="E417" s="55" t="n">
        <f aca="true">MAX(5,NORMINV(RAND(),$B$9,$C$9))</f>
        <v>10.6575990476663</v>
      </c>
      <c r="F417" s="28" t="n">
        <f aca="false">$B$18*(1+(B417+$B$17)/2)^9</f>
        <v>34786.8045208296</v>
      </c>
      <c r="G417" s="28" t="n">
        <f aca="false">F417*C417</f>
        <v>12030.8543994201</v>
      </c>
      <c r="H417" s="28" t="n">
        <f aca="false">E417*G417/(1+D417)^9</f>
        <v>60240.9149297184</v>
      </c>
      <c r="I417" s="28" t="n">
        <f aca="false">$B$13*G417/$B$12*((1+$B$8)/(1+D417))^4.5</f>
        <v>24692.948266348</v>
      </c>
      <c r="J417" s="28" t="n">
        <f aca="false">H417+I417-$B$14-$B$19</f>
        <v>62271.5063267513</v>
      </c>
      <c r="K417" s="46" t="n">
        <f aca="false">J417/$B$15</f>
        <v>184.672320067471</v>
      </c>
    </row>
    <row r="418" customFormat="false" ht="15" hidden="false" customHeight="false" outlineLevel="0" collapsed="false">
      <c r="A418" s="54" t="n">
        <v>378</v>
      </c>
      <c r="B418" s="23" t="n">
        <f aca="true">NORMINV(RAND(),$B$6,$C$6)</f>
        <v>0.0763651417756527</v>
      </c>
      <c r="C418" s="23" t="n">
        <f aca="true">MAX(0.15,NORMINV(RAND(),$B$7,$C$7))</f>
        <v>0.309260657127147</v>
      </c>
      <c r="D418" s="35" t="n">
        <f aca="true">MAX(0.06,NORMINV(RAND(),$B$8,$C$8))</f>
        <v>0.0910316456279939</v>
      </c>
      <c r="E418" s="55" t="n">
        <f aca="true">MAX(5,NORMINV(RAND(),$B$9,$C$9))</f>
        <v>10.1701181979647</v>
      </c>
      <c r="F418" s="28" t="n">
        <f aca="false">$B$18*(1+(B418+$B$17)/2)^9</f>
        <v>36314.2819305717</v>
      </c>
      <c r="G418" s="28" t="n">
        <f aca="false">F418*C418</f>
        <v>11230.5786929491</v>
      </c>
      <c r="H418" s="28" t="n">
        <f aca="false">E418*G418/(1+D418)^9</f>
        <v>52142.5189215162</v>
      </c>
      <c r="I418" s="28" t="n">
        <f aca="false">$B$13*G418/$B$12*((1+$B$8)/(1+D418))^4.5</f>
        <v>22721.7978335085</v>
      </c>
      <c r="J418" s="28" t="n">
        <f aca="false">H418+I418-$B$14-$B$19</f>
        <v>52201.9598857096</v>
      </c>
      <c r="K418" s="46" t="n">
        <f aca="false">J418/$B$15</f>
        <v>154.810082697834</v>
      </c>
    </row>
    <row r="419" customFormat="false" ht="15" hidden="false" customHeight="false" outlineLevel="0" collapsed="false">
      <c r="A419" s="54" t="n">
        <v>379</v>
      </c>
      <c r="B419" s="23" t="n">
        <f aca="true">NORMINV(RAND(),$B$6,$C$6)</f>
        <v>0.107646735989117</v>
      </c>
      <c r="C419" s="23" t="n">
        <f aca="true">MAX(0.15,NORMINV(RAND(),$B$7,$C$7))</f>
        <v>0.375585289721858</v>
      </c>
      <c r="D419" s="35" t="n">
        <f aca="true">MAX(0.06,NORMINV(RAND(),$B$8,$C$8))</f>
        <v>0.0777838742233077</v>
      </c>
      <c r="E419" s="55" t="n">
        <f aca="true">MAX(5,NORMINV(RAND(),$B$9,$C$9))</f>
        <v>10.2779973973678</v>
      </c>
      <c r="F419" s="28" t="n">
        <f aca="false">$B$18*(1+(B419+$B$17)/2)^9</f>
        <v>41479.5511598784</v>
      </c>
      <c r="G419" s="28" t="n">
        <f aca="false">F419*C419</f>
        <v>15579.1092399156</v>
      </c>
      <c r="H419" s="28" t="n">
        <f aca="false">E419*G419/(1+D419)^9</f>
        <v>81595.4596577831</v>
      </c>
      <c r="I419" s="28" t="n">
        <f aca="false">$B$13*G419/$B$12*((1+$B$8)/(1+D419))^4.5</f>
        <v>33301.1074487088</v>
      </c>
      <c r="J419" s="28" t="n">
        <f aca="false">H419+I419-$B$14-$B$19</f>
        <v>92234.2102371768</v>
      </c>
      <c r="K419" s="46" t="n">
        <f aca="false">J419/$B$15</f>
        <v>273.529686349872</v>
      </c>
    </row>
    <row r="420" customFormat="false" ht="15" hidden="false" customHeight="false" outlineLevel="0" collapsed="false">
      <c r="A420" s="54" t="n">
        <v>380</v>
      </c>
      <c r="B420" s="23" t="n">
        <f aca="true">NORMINV(RAND(),$B$6,$C$6)</f>
        <v>0.0825672352628551</v>
      </c>
      <c r="C420" s="23" t="n">
        <f aca="true">MAX(0.15,NORMINV(RAND(),$B$7,$C$7))</f>
        <v>0.308210817724604</v>
      </c>
      <c r="D420" s="35" t="n">
        <f aca="true">MAX(0.06,NORMINV(RAND(),$B$8,$C$8))</f>
        <v>0.0910521089323609</v>
      </c>
      <c r="E420" s="55" t="n">
        <f aca="true">MAX(5,NORMINV(RAND(),$B$9,$C$9))</f>
        <v>8.29316681717155</v>
      </c>
      <c r="F420" s="28" t="n">
        <f aca="false">$B$18*(1+(B420+$B$17)/2)^9</f>
        <v>37290.3699598492</v>
      </c>
      <c r="G420" s="28" t="n">
        <f aca="false">F420*C420</f>
        <v>11493.2954185781</v>
      </c>
      <c r="H420" s="28" t="n">
        <f aca="false">E420*G420/(1+D420)^9</f>
        <v>43506.6388937668</v>
      </c>
      <c r="I420" s="28" t="n">
        <f aca="false">$B$13*G420/$B$12*((1+$B$8)/(1+D420))^4.5</f>
        <v>23251.3659240433</v>
      </c>
      <c r="J420" s="28" t="n">
        <f aca="false">H420+I420-$B$14-$B$19</f>
        <v>44095.647948495</v>
      </c>
      <c r="K420" s="46" t="n">
        <f aca="false">J420/$B$15</f>
        <v>130.770011709653</v>
      </c>
    </row>
    <row r="421" customFormat="false" ht="15" hidden="false" customHeight="false" outlineLevel="0" collapsed="false">
      <c r="A421" s="54" t="n">
        <v>381</v>
      </c>
      <c r="B421" s="23" t="n">
        <f aca="true">NORMINV(RAND(),$B$6,$C$6)</f>
        <v>0.0960897851833865</v>
      </c>
      <c r="C421" s="23" t="n">
        <f aca="true">MAX(0.15,NORMINV(RAND(),$B$7,$C$7))</f>
        <v>0.303358769636617</v>
      </c>
      <c r="D421" s="35" t="n">
        <f aca="true">MAX(0.06,NORMINV(RAND(),$B$8,$C$8))</f>
        <v>0.0967705105485632</v>
      </c>
      <c r="E421" s="55" t="n">
        <f aca="true">MAX(5,NORMINV(RAND(),$B$9,$C$9))</f>
        <v>12.4161168919087</v>
      </c>
      <c r="F421" s="28" t="n">
        <f aca="false">$B$18*(1+(B421+$B$17)/2)^9</f>
        <v>39499.8293694801</v>
      </c>
      <c r="G421" s="28" t="n">
        <f aca="false">F421*C421</f>
        <v>11982.6196383818</v>
      </c>
      <c r="H421" s="28" t="n">
        <f aca="false">E421*G421/(1+D421)^9</f>
        <v>64788.1655046413</v>
      </c>
      <c r="I421" s="28" t="n">
        <f aca="false">$B$13*G421/$B$12*((1+$B$8)/(1+D421))^4.5</f>
        <v>23677.6966534174</v>
      </c>
      <c r="J421" s="28" t="n">
        <f aca="false">H421+I421-$B$14-$B$19</f>
        <v>65803.5052887437</v>
      </c>
      <c r="K421" s="46" t="n">
        <f aca="false">J421/$B$15</f>
        <v>195.146812837318</v>
      </c>
    </row>
    <row r="422" customFormat="false" ht="15" hidden="false" customHeight="false" outlineLevel="0" collapsed="false">
      <c r="A422" s="54" t="n">
        <v>382</v>
      </c>
      <c r="B422" s="23" t="n">
        <f aca="true">NORMINV(RAND(),$B$6,$C$6)</f>
        <v>0.0602935252063955</v>
      </c>
      <c r="C422" s="23" t="n">
        <f aca="true">MAX(0.15,NORMINV(RAND(),$B$7,$C$7))</f>
        <v>0.324961913947321</v>
      </c>
      <c r="D422" s="35" t="n">
        <f aca="true">MAX(0.06,NORMINV(RAND(),$B$8,$C$8))</f>
        <v>0.0989473747288057</v>
      </c>
      <c r="E422" s="55" t="n">
        <f aca="true">MAX(5,NORMINV(RAND(),$B$9,$C$9))</f>
        <v>11.0364120400562</v>
      </c>
      <c r="F422" s="28" t="n">
        <f aca="false">$B$18*(1+(B422+$B$17)/2)^9</f>
        <v>33889.760530521</v>
      </c>
      <c r="G422" s="28" t="n">
        <f aca="false">F422*C422</f>
        <v>11012.8814452145</v>
      </c>
      <c r="H422" s="28" t="n">
        <f aca="false">E422*G422/(1+D422)^9</f>
        <v>51992.0339461838</v>
      </c>
      <c r="I422" s="28" t="n">
        <f aca="false">$B$13*G422/$B$12*((1+$B$8)/(1+D422))^4.5</f>
        <v>21568.1826569397</v>
      </c>
      <c r="J422" s="28" t="n">
        <f aca="false">H422+I422-$B$14-$B$19</f>
        <v>50897.8597338085</v>
      </c>
      <c r="K422" s="46" t="n">
        <f aca="false">J422/$B$15</f>
        <v>150.942644524936</v>
      </c>
    </row>
    <row r="423" customFormat="false" ht="15" hidden="false" customHeight="false" outlineLevel="0" collapsed="false">
      <c r="A423" s="54" t="n">
        <v>383</v>
      </c>
      <c r="B423" s="23" t="n">
        <f aca="true">NORMINV(RAND(),$B$6,$C$6)</f>
        <v>0.112716647072113</v>
      </c>
      <c r="C423" s="23" t="n">
        <f aca="true">MAX(0.15,NORMINV(RAND(),$B$7,$C$7))</f>
        <v>0.351910752614288</v>
      </c>
      <c r="D423" s="35" t="n">
        <f aca="true">MAX(0.06,NORMINV(RAND(),$B$8,$C$8))</f>
        <v>0.0929717294995793</v>
      </c>
      <c r="E423" s="55" t="n">
        <f aca="true">MAX(5,NORMINV(RAND(),$B$9,$C$9))</f>
        <v>8.36310504480625</v>
      </c>
      <c r="F423" s="28" t="n">
        <f aca="false">$B$18*(1+(B423+$B$17)/2)^9</f>
        <v>42375.5160834027</v>
      </c>
      <c r="G423" s="28" t="n">
        <f aca="false">F423*C423</f>
        <v>14912.3997573291</v>
      </c>
      <c r="H423" s="28" t="n">
        <f aca="false">E423*G423/(1+D423)^9</f>
        <v>56031.8201341992</v>
      </c>
      <c r="I423" s="28" t="n">
        <f aca="false">$B$13*G423/$B$12*((1+$B$8)/(1+D423))^4.5</f>
        <v>29930.6382618074</v>
      </c>
      <c r="J423" s="28" t="n">
        <f aca="false">H423+I423-$B$14-$B$19</f>
        <v>63300.1015266915</v>
      </c>
      <c r="K423" s="46" t="n">
        <f aca="false">J423/$B$15</f>
        <v>187.722721016286</v>
      </c>
    </row>
    <row r="424" customFormat="false" ht="15" hidden="false" customHeight="false" outlineLevel="0" collapsed="false">
      <c r="A424" s="54" t="n">
        <v>384</v>
      </c>
      <c r="B424" s="23" t="n">
        <f aca="true">NORMINV(RAND(),$B$6,$C$6)</f>
        <v>0.0882688599624221</v>
      </c>
      <c r="C424" s="23" t="n">
        <f aca="true">MAX(0.15,NORMINV(RAND(),$B$7,$C$7))</f>
        <v>0.322897199126183</v>
      </c>
      <c r="D424" s="35" t="n">
        <f aca="true">MAX(0.06,NORMINV(RAND(),$B$8,$C$8))</f>
        <v>0.111869023014202</v>
      </c>
      <c r="E424" s="55" t="n">
        <f aca="true">MAX(5,NORMINV(RAND(),$B$9,$C$9))</f>
        <v>8.78281423941984</v>
      </c>
      <c r="F424" s="28" t="n">
        <f aca="false">$B$18*(1+(B424+$B$17)/2)^9</f>
        <v>38208.1956669606</v>
      </c>
      <c r="G424" s="28" t="n">
        <f aca="false">F424*C424</f>
        <v>12337.3193645267</v>
      </c>
      <c r="H424" s="28" t="n">
        <f aca="false">E424*G424/(1+D424)^9</f>
        <v>41722.6444457249</v>
      </c>
      <c r="I424" s="28" t="n">
        <f aca="false">$B$13*G424/$B$12*((1+$B$8)/(1+D424))^4.5</f>
        <v>22923.8780018199</v>
      </c>
      <c r="J424" s="28" t="n">
        <f aca="false">H424+I424-$B$14-$B$19</f>
        <v>41984.1655782298</v>
      </c>
      <c r="K424" s="46" t="n">
        <f aca="false">J424/$B$15</f>
        <v>124.508201596174</v>
      </c>
    </row>
    <row r="425" customFormat="false" ht="15" hidden="false" customHeight="false" outlineLevel="0" collapsed="false">
      <c r="A425" s="54" t="n">
        <v>385</v>
      </c>
      <c r="B425" s="23" t="n">
        <f aca="true">NORMINV(RAND(),$B$6,$C$6)</f>
        <v>0.0367572630618898</v>
      </c>
      <c r="C425" s="23" t="n">
        <f aca="true">MAX(0.15,NORMINV(RAND(),$B$7,$C$7))</f>
        <v>0.28875394951917</v>
      </c>
      <c r="D425" s="35" t="n">
        <f aca="true">MAX(0.06,NORMINV(RAND(),$B$8,$C$8))</f>
        <v>0.079985419825415</v>
      </c>
      <c r="E425" s="55" t="n">
        <f aca="true">MAX(5,NORMINV(RAND(),$B$9,$C$9))</f>
        <v>8.59386273571784</v>
      </c>
      <c r="F425" s="28" t="n">
        <f aca="false">$B$18*(1+(B425+$B$17)/2)^9</f>
        <v>30598.599243964</v>
      </c>
      <c r="G425" s="28" t="n">
        <f aca="false">F425*C425</f>
        <v>8835.4663814489</v>
      </c>
      <c r="H425" s="28" t="n">
        <f aca="false">E425*G425/(1+D425)^9</f>
        <v>37988.9123727924</v>
      </c>
      <c r="I425" s="28" t="n">
        <f aca="false">$B$13*G425/$B$12*((1+$B$8)/(1+D425))^4.5</f>
        <v>18713.6103799919</v>
      </c>
      <c r="J425" s="28" t="n">
        <f aca="false">H425+I425-$B$14-$B$19</f>
        <v>34040.1658834692</v>
      </c>
      <c r="K425" s="46" t="n">
        <f aca="false">J425/$B$15</f>
        <v>100.949483640181</v>
      </c>
    </row>
    <row r="426" customFormat="false" ht="15" hidden="false" customHeight="false" outlineLevel="0" collapsed="false">
      <c r="A426" s="54" t="n">
        <v>386</v>
      </c>
      <c r="B426" s="23" t="n">
        <f aca="true">NORMINV(RAND(),$B$6,$C$6)</f>
        <v>0.0519627754795238</v>
      </c>
      <c r="C426" s="23" t="n">
        <f aca="true">MAX(0.15,NORMINV(RAND(),$B$7,$C$7))</f>
        <v>0.326337562875657</v>
      </c>
      <c r="D426" s="35" t="n">
        <f aca="true">MAX(0.06,NORMINV(RAND(),$B$8,$C$8))</f>
        <v>0.0842844255192441</v>
      </c>
      <c r="E426" s="55" t="n">
        <f aca="true">MAX(5,NORMINV(RAND(),$B$9,$C$9))</f>
        <v>10.5475929835838</v>
      </c>
      <c r="F426" s="28" t="n">
        <f aca="false">$B$18*(1+(B426+$B$17)/2)^9</f>
        <v>32690.5451997456</v>
      </c>
      <c r="G426" s="28" t="n">
        <f aca="false">F426*C426</f>
        <v>10668.1528495615</v>
      </c>
      <c r="H426" s="28" t="n">
        <f aca="false">E426*G426/(1+D426)^9</f>
        <v>54319.2312473917</v>
      </c>
      <c r="I426" s="28" t="n">
        <f aca="false">$B$13*G426/$B$12*((1+$B$8)/(1+D426))^4.5</f>
        <v>22194.9086106417</v>
      </c>
      <c r="J426" s="28" t="n">
        <f aca="false">H426+I426-$B$14-$B$19</f>
        <v>53851.7829887183</v>
      </c>
      <c r="K426" s="46" t="n">
        <f aca="false">J426/$B$15</f>
        <v>159.702796526448</v>
      </c>
    </row>
    <row r="427" customFormat="false" ht="15" hidden="false" customHeight="false" outlineLevel="0" collapsed="false">
      <c r="A427" s="54" t="n">
        <v>387</v>
      </c>
      <c r="B427" s="23" t="n">
        <f aca="true">NORMINV(RAND(),$B$6,$C$6)</f>
        <v>0.0822024739656135</v>
      </c>
      <c r="C427" s="23" t="n">
        <f aca="true">MAX(0.15,NORMINV(RAND(),$B$7,$C$7))</f>
        <v>0.343575815481329</v>
      </c>
      <c r="D427" s="35" t="n">
        <f aca="true">MAX(0.06,NORMINV(RAND(),$B$8,$C$8))</f>
        <v>0.0951483470627002</v>
      </c>
      <c r="E427" s="55" t="n">
        <f aca="true">MAX(5,NORMINV(RAND(),$B$9,$C$9))</f>
        <v>11.3512329532295</v>
      </c>
      <c r="F427" s="28" t="n">
        <f aca="false">$B$18*(1+(B427+$B$17)/2)^9</f>
        <v>37232.3248182624</v>
      </c>
      <c r="G427" s="28" t="n">
        <f aca="false">F427*C427</f>
        <v>12792.1263617002</v>
      </c>
      <c r="H427" s="28" t="n">
        <f aca="false">E427*G427/(1+D427)^9</f>
        <v>64080.9894935368</v>
      </c>
      <c r="I427" s="28" t="n">
        <f aca="false">$B$13*G427/$B$12*((1+$B$8)/(1+D427))^4.5</f>
        <v>25446.2082420511</v>
      </c>
      <c r="J427" s="28" t="n">
        <f aca="false">H427+I427-$B$14-$B$19</f>
        <v>66864.8408662728</v>
      </c>
      <c r="K427" s="46" t="n">
        <f aca="false">J427/$B$15</f>
        <v>198.29430861884</v>
      </c>
    </row>
    <row r="428" customFormat="false" ht="15" hidden="false" customHeight="false" outlineLevel="0" collapsed="false">
      <c r="A428" s="54" t="n">
        <v>388</v>
      </c>
      <c r="B428" s="23" t="n">
        <f aca="true">NORMINV(RAND(),$B$6,$C$6)</f>
        <v>0.0586269618535201</v>
      </c>
      <c r="C428" s="23" t="n">
        <f aca="true">MAX(0.15,NORMINV(RAND(),$B$7,$C$7))</f>
        <v>0.354022349463953</v>
      </c>
      <c r="D428" s="35" t="n">
        <f aca="true">MAX(0.06,NORMINV(RAND(),$B$8,$C$8))</f>
        <v>0.0953696785159263</v>
      </c>
      <c r="E428" s="55" t="n">
        <f aca="true">MAX(5,NORMINV(RAND(),$B$9,$C$9))</f>
        <v>8.81495444040002</v>
      </c>
      <c r="F428" s="28" t="n">
        <f aca="false">$B$18*(1+(B428+$B$17)/2)^9</f>
        <v>33646.7765385649</v>
      </c>
      <c r="G428" s="28" t="n">
        <f aca="false">F428*C428</f>
        <v>11911.7108820714</v>
      </c>
      <c r="H428" s="28" t="n">
        <f aca="false">E428*G428/(1+D428)^9</f>
        <v>46253.838780331</v>
      </c>
      <c r="I428" s="28" t="n">
        <f aca="false">$B$13*G428/$B$12*((1+$B$8)/(1+D428))^4.5</f>
        <v>23673.3406385403</v>
      </c>
      <c r="J428" s="28" t="n">
        <f aca="false">H428+I428-$B$14-$B$19</f>
        <v>47264.8225495562</v>
      </c>
      <c r="K428" s="46" t="n">
        <f aca="false">J428/$B$15</f>
        <v>140.16851289904</v>
      </c>
    </row>
    <row r="429" customFormat="false" ht="15" hidden="false" customHeight="false" outlineLevel="0" collapsed="false">
      <c r="A429" s="54" t="n">
        <v>389</v>
      </c>
      <c r="B429" s="23" t="n">
        <f aca="true">NORMINV(RAND(),$B$6,$C$6)</f>
        <v>0.122955518901334</v>
      </c>
      <c r="C429" s="23" t="n">
        <f aca="true">MAX(0.15,NORMINV(RAND(),$B$7,$C$7))</f>
        <v>0.315910875686046</v>
      </c>
      <c r="D429" s="35" t="n">
        <f aca="true">MAX(0.06,NORMINV(RAND(),$B$8,$C$8))</f>
        <v>0.0883724851628064</v>
      </c>
      <c r="E429" s="55" t="n">
        <f aca="true">MAX(5,NORMINV(RAND(),$B$9,$C$9))</f>
        <v>8.96451440727402</v>
      </c>
      <c r="F429" s="28" t="n">
        <f aca="false">$B$18*(1+(B429+$B$17)/2)^9</f>
        <v>44237.5736578518</v>
      </c>
      <c r="G429" s="28" t="n">
        <f aca="false">F429*C429</f>
        <v>13975.130632478</v>
      </c>
      <c r="H429" s="28" t="n">
        <f aca="false">E429*G429/(1+D429)^9</f>
        <v>58463.4796038837</v>
      </c>
      <c r="I429" s="28" t="n">
        <f aca="false">$B$13*G429/$B$12*((1+$B$8)/(1+D429))^4.5</f>
        <v>28586.7973832587</v>
      </c>
      <c r="J429" s="28" t="n">
        <f aca="false">H429+I429-$B$14-$B$19</f>
        <v>64387.9201178273</v>
      </c>
      <c r="K429" s="46" t="n">
        <f aca="false">J429/$B$15</f>
        <v>190.948754797827</v>
      </c>
    </row>
    <row r="430" customFormat="false" ht="15" hidden="false" customHeight="false" outlineLevel="0" collapsed="false">
      <c r="A430" s="54" t="n">
        <v>390</v>
      </c>
      <c r="B430" s="23" t="n">
        <f aca="true">NORMINV(RAND(),$B$6,$C$6)</f>
        <v>0.106487008119518</v>
      </c>
      <c r="C430" s="23" t="n">
        <f aca="true">MAX(0.15,NORMINV(RAND(),$B$7,$C$7))</f>
        <v>0.291913252615556</v>
      </c>
      <c r="D430" s="35" t="n">
        <f aca="true">MAX(0.06,NORMINV(RAND(),$B$8,$C$8))</f>
        <v>0.0885039143934897</v>
      </c>
      <c r="E430" s="55" t="n">
        <f aca="true">MAX(5,NORMINV(RAND(),$B$9,$C$9))</f>
        <v>9.03856812603732</v>
      </c>
      <c r="F430" s="28" t="n">
        <f aca="false">$B$18*(1+(B430+$B$17)/2)^9</f>
        <v>41276.9839119773</v>
      </c>
      <c r="G430" s="28" t="n">
        <f aca="false">F430*C430</f>
        <v>12049.2986319053</v>
      </c>
      <c r="H430" s="28" t="n">
        <f aca="false">E430*G430/(1+D430)^9</f>
        <v>50768.1628085841</v>
      </c>
      <c r="I430" s="28" t="n">
        <f aca="false">$B$13*G430/$B$12*((1+$B$8)/(1+D430))^4.5</f>
        <v>24634.0268336255</v>
      </c>
      <c r="J430" s="28" t="n">
        <f aca="false">H430+I430-$B$14-$B$19</f>
        <v>52739.8327728945</v>
      </c>
      <c r="K430" s="46" t="n">
        <f aca="false">J430/$B$15</f>
        <v>156.405198021633</v>
      </c>
    </row>
    <row r="431" customFormat="false" ht="15" hidden="false" customHeight="false" outlineLevel="0" collapsed="false">
      <c r="A431" s="54" t="n">
        <v>391</v>
      </c>
      <c r="B431" s="23" t="n">
        <f aca="true">NORMINV(RAND(),$B$6,$C$6)</f>
        <v>0.0468244199352438</v>
      </c>
      <c r="C431" s="23" t="n">
        <f aca="true">MAX(0.15,NORMINV(RAND(),$B$7,$C$7))</f>
        <v>0.29938685292429</v>
      </c>
      <c r="D431" s="35" t="n">
        <f aca="true">MAX(0.06,NORMINV(RAND(),$B$8,$C$8))</f>
        <v>0.0916866101484447</v>
      </c>
      <c r="E431" s="55" t="n">
        <f aca="true">MAX(5,NORMINV(RAND(),$B$9,$C$9))</f>
        <v>8.15795439602342</v>
      </c>
      <c r="F431" s="28" t="n">
        <f aca="false">$B$18*(1+(B431+$B$17)/2)^9</f>
        <v>31969.8262633453</v>
      </c>
      <c r="G431" s="28" t="n">
        <f aca="false">F431*C431</f>
        <v>9571.34567351928</v>
      </c>
      <c r="H431" s="28" t="n">
        <f aca="false">E431*G431/(1+D431)^9</f>
        <v>35454.5862971314</v>
      </c>
      <c r="I431" s="28" t="n">
        <f aca="false">$B$13*G431/$B$12*((1+$B$8)/(1+D431))^4.5</f>
        <v>19312.5977667556</v>
      </c>
      <c r="J431" s="28" t="n">
        <f aca="false">H431+I431-$B$14-$B$19</f>
        <v>32104.8271945719</v>
      </c>
      <c r="K431" s="46" t="n">
        <f aca="false">J431/$B$15</f>
        <v>95.2100450610079</v>
      </c>
    </row>
    <row r="432" customFormat="false" ht="15" hidden="false" customHeight="false" outlineLevel="0" collapsed="false">
      <c r="A432" s="54" t="n">
        <v>392</v>
      </c>
      <c r="B432" s="23" t="n">
        <f aca="true">NORMINV(RAND(),$B$6,$C$6)</f>
        <v>0.0905643531004024</v>
      </c>
      <c r="C432" s="23" t="n">
        <f aca="true">MAX(0.15,NORMINV(RAND(),$B$7,$C$7))</f>
        <v>0.300680078830976</v>
      </c>
      <c r="D432" s="35" t="n">
        <f aca="true">MAX(0.06,NORMINV(RAND(),$B$8,$C$8))</f>
        <v>0.0974045353705089</v>
      </c>
      <c r="E432" s="55" t="n">
        <f aca="true">MAX(5,NORMINV(RAND(),$B$9,$C$9))</f>
        <v>10.7399386530545</v>
      </c>
      <c r="F432" s="28" t="n">
        <f aca="false">$B$18*(1+(B432+$B$17)/2)^9</f>
        <v>38583.3482477396</v>
      </c>
      <c r="G432" s="28" t="n">
        <f aca="false">F432*C432</f>
        <v>11601.2441926933</v>
      </c>
      <c r="H432" s="28" t="n">
        <f aca="false">E432*G432/(1+D432)^9</f>
        <v>53976.6108975251</v>
      </c>
      <c r="I432" s="28" t="n">
        <f aca="false">$B$13*G432/$B$12*((1+$B$8)/(1+D432))^4.5</f>
        <v>22864.5579947121</v>
      </c>
      <c r="J432" s="28" t="n">
        <f aca="false">H432+I432-$B$14-$B$19</f>
        <v>54178.8120229221</v>
      </c>
      <c r="K432" s="46" t="n">
        <f aca="false">J432/$B$15</f>
        <v>160.672633519935</v>
      </c>
    </row>
    <row r="433" customFormat="false" ht="15" hidden="false" customHeight="false" outlineLevel="0" collapsed="false">
      <c r="A433" s="54" t="n">
        <v>393</v>
      </c>
      <c r="B433" s="23" t="n">
        <f aca="true">NORMINV(RAND(),$B$6,$C$6)</f>
        <v>0.0679318002796619</v>
      </c>
      <c r="C433" s="23" t="n">
        <f aca="true">MAX(0.15,NORMINV(RAND(),$B$7,$C$7))</f>
        <v>0.314457964978499</v>
      </c>
      <c r="D433" s="35" t="n">
        <f aca="true">MAX(0.06,NORMINV(RAND(),$B$8,$C$8))</f>
        <v>0.0838407946891337</v>
      </c>
      <c r="E433" s="55" t="n">
        <f aca="true">MAX(5,NORMINV(RAND(),$B$9,$C$9))</f>
        <v>8.92507199053925</v>
      </c>
      <c r="F433" s="28" t="n">
        <f aca="false">$B$18*(1+(B433+$B$17)/2)^9</f>
        <v>35023.4914451848</v>
      </c>
      <c r="G433" s="28" t="n">
        <f aca="false">F433*C433</f>
        <v>11013.4158462947</v>
      </c>
      <c r="H433" s="28" t="n">
        <f aca="false">E433*G433/(1+D433)^9</f>
        <v>47626.0238359771</v>
      </c>
      <c r="I433" s="28" t="n">
        <f aca="false">$B$13*G433/$B$12*((1+$B$8)/(1+D433))^4.5</f>
        <v>22955.4567069797</v>
      </c>
      <c r="J433" s="28" t="n">
        <f aca="false">H433+I433-$B$14-$B$19</f>
        <v>47919.1236736418</v>
      </c>
      <c r="K433" s="46" t="n">
        <f aca="false">J433/$B$15</f>
        <v>142.108907691702</v>
      </c>
    </row>
    <row r="434" customFormat="false" ht="15" hidden="false" customHeight="false" outlineLevel="0" collapsed="false">
      <c r="A434" s="54" t="n">
        <v>394</v>
      </c>
      <c r="B434" s="23" t="n">
        <f aca="true">NORMINV(RAND(),$B$6,$C$6)</f>
        <v>0.0486756667318321</v>
      </c>
      <c r="C434" s="23" t="n">
        <f aca="true">MAX(0.15,NORMINV(RAND(),$B$7,$C$7))</f>
        <v>0.286899047487315</v>
      </c>
      <c r="D434" s="35" t="n">
        <f aca="true">MAX(0.06,NORMINV(RAND(),$B$8,$C$8))</f>
        <v>0.0901236308395093</v>
      </c>
      <c r="E434" s="55" t="n">
        <f aca="true">MAX(5,NORMINV(RAND(),$B$9,$C$9))</f>
        <v>8.61218259330829</v>
      </c>
      <c r="F434" s="28" t="n">
        <f aca="false">$B$18*(1+(B434+$B$17)/2)^9</f>
        <v>32227.8423881794</v>
      </c>
      <c r="G434" s="28" t="n">
        <f aca="false">F434*C434</f>
        <v>9246.13728373999</v>
      </c>
      <c r="H434" s="28" t="n">
        <f aca="false">E434*G434/(1+D434)^9</f>
        <v>36626.1930465098</v>
      </c>
      <c r="I434" s="28" t="n">
        <f aca="false">$B$13*G434/$B$12*((1+$B$8)/(1+D434))^4.5</f>
        <v>18777.0803403392</v>
      </c>
      <c r="J434" s="28" t="n">
        <f aca="false">H434+I434-$B$14-$B$19</f>
        <v>32740.9165175339</v>
      </c>
      <c r="K434" s="46" t="n">
        <f aca="false">J434/$B$15</f>
        <v>97.0964309535407</v>
      </c>
    </row>
    <row r="435" customFormat="false" ht="15" hidden="false" customHeight="false" outlineLevel="0" collapsed="false">
      <c r="A435" s="54" t="n">
        <v>395</v>
      </c>
      <c r="B435" s="23" t="n">
        <f aca="true">NORMINV(RAND(),$B$6,$C$6)</f>
        <v>0.116640453999342</v>
      </c>
      <c r="C435" s="23" t="n">
        <f aca="true">MAX(0.15,NORMINV(RAND(),$B$7,$C$7))</f>
        <v>0.320661639437401</v>
      </c>
      <c r="D435" s="35" t="n">
        <f aca="true">MAX(0.06,NORMINV(RAND(),$B$8,$C$8))</f>
        <v>0.0945415792897317</v>
      </c>
      <c r="E435" s="55" t="n">
        <f aca="true">MAX(5,NORMINV(RAND(),$B$9,$C$9))</f>
        <v>11.2217415113989</v>
      </c>
      <c r="F435" s="28" t="n">
        <f aca="false">$B$18*(1+(B435+$B$17)/2)^9</f>
        <v>43080.7051310255</v>
      </c>
      <c r="G435" s="28" t="n">
        <f aca="false">F435*C435</f>
        <v>13814.3295354339</v>
      </c>
      <c r="H435" s="28" t="n">
        <f aca="false">E435*G435/(1+D435)^9</f>
        <v>68754.2731476576</v>
      </c>
      <c r="I435" s="28" t="n">
        <f aca="false">$B$13*G435/$B$12*((1+$B$8)/(1+D435))^4.5</f>
        <v>27548.2010169535</v>
      </c>
      <c r="J435" s="28" t="n">
        <f aca="false">H435+I435-$B$14-$B$19</f>
        <v>73640.117295296</v>
      </c>
      <c r="K435" s="46" t="n">
        <f aca="false">J435/$B$15</f>
        <v>218.38706196707</v>
      </c>
    </row>
    <row r="436" customFormat="false" ht="15" hidden="false" customHeight="false" outlineLevel="0" collapsed="false">
      <c r="A436" s="54" t="n">
        <v>396</v>
      </c>
      <c r="B436" s="23" t="n">
        <f aca="true">NORMINV(RAND(),$B$6,$C$6)</f>
        <v>0.084204782237116</v>
      </c>
      <c r="C436" s="23" t="n">
        <f aca="true">MAX(0.15,NORMINV(RAND(),$B$7,$C$7))</f>
        <v>0.321819541290243</v>
      </c>
      <c r="D436" s="35" t="n">
        <f aca="true">MAX(0.06,NORMINV(RAND(),$B$8,$C$8))</f>
        <v>0.0892590817088048</v>
      </c>
      <c r="E436" s="55" t="n">
        <f aca="true">MAX(5,NORMINV(RAND(),$B$9,$C$9))</f>
        <v>11.5538134137324</v>
      </c>
      <c r="F436" s="28" t="n">
        <f aca="false">$B$18*(1+(B436+$B$17)/2)^9</f>
        <v>37551.9482155956</v>
      </c>
      <c r="G436" s="28" t="n">
        <f aca="false">F436*C436</f>
        <v>12084.950749298</v>
      </c>
      <c r="H436" s="28" t="n">
        <f aca="false">E436*G436/(1+D436)^9</f>
        <v>64682.906797596</v>
      </c>
      <c r="I436" s="28" t="n">
        <f aca="false">$B$13*G436/$B$12*((1+$B$8)/(1+D436))^4.5</f>
        <v>24629.9285539093</v>
      </c>
      <c r="J436" s="28" t="n">
        <f aca="false">H436+I436-$B$14-$B$19</f>
        <v>66650.4784821902</v>
      </c>
      <c r="K436" s="46" t="n">
        <f aca="false">J436/$B$15</f>
        <v>197.658595736033</v>
      </c>
    </row>
    <row r="437" customFormat="false" ht="15" hidden="false" customHeight="false" outlineLevel="0" collapsed="false">
      <c r="A437" s="54" t="n">
        <v>397</v>
      </c>
      <c r="B437" s="23" t="n">
        <f aca="true">NORMINV(RAND(),$B$6,$C$6)</f>
        <v>0.0689569569527899</v>
      </c>
      <c r="C437" s="23" t="n">
        <f aca="true">MAX(0.15,NORMINV(RAND(),$B$7,$C$7))</f>
        <v>0.345207635812512</v>
      </c>
      <c r="D437" s="35" t="n">
        <f aca="true">MAX(0.06,NORMINV(RAND(),$B$8,$C$8))</f>
        <v>0.0860236866653197</v>
      </c>
      <c r="E437" s="55" t="n">
        <f aca="true">MAX(5,NORMINV(RAND(),$B$9,$C$9))</f>
        <v>9.93761296839567</v>
      </c>
      <c r="F437" s="28" t="n">
        <f aca="false">$B$18*(1+(B437+$B$17)/2)^9</f>
        <v>35178.190676067</v>
      </c>
      <c r="G437" s="28" t="n">
        <f aca="false">F437*C437</f>
        <v>12143.7800354468</v>
      </c>
      <c r="H437" s="28" t="n">
        <f aca="false">E437*G437/(1+D437)^9</f>
        <v>57422.5260062332</v>
      </c>
      <c r="I437" s="28" t="n">
        <f aca="false">$B$13*G437/$B$12*((1+$B$8)/(1+D437))^4.5</f>
        <v>25083.3578195234</v>
      </c>
      <c r="J437" s="28" t="n">
        <f aca="false">H437+I437-$B$14-$B$19</f>
        <v>59843.5269564416</v>
      </c>
      <c r="K437" s="46" t="n">
        <f aca="false">J437/$B$15</f>
        <v>177.471906751013</v>
      </c>
    </row>
    <row r="438" customFormat="false" ht="15" hidden="false" customHeight="false" outlineLevel="0" collapsed="false">
      <c r="A438" s="54" t="n">
        <v>398</v>
      </c>
      <c r="B438" s="23" t="n">
        <f aca="true">NORMINV(RAND(),$B$6,$C$6)</f>
        <v>0.124644510174261</v>
      </c>
      <c r="C438" s="23" t="n">
        <f aca="true">MAX(0.15,NORMINV(RAND(),$B$7,$C$7))</f>
        <v>0.316848237542398</v>
      </c>
      <c r="D438" s="35" t="n">
        <f aca="true">MAX(0.06,NORMINV(RAND(),$B$8,$C$8))</f>
        <v>0.0943445833407643</v>
      </c>
      <c r="E438" s="55" t="n">
        <f aca="true">MAX(5,NORMINV(RAND(),$B$9,$C$9))</f>
        <v>10.8750404550841</v>
      </c>
      <c r="F438" s="28" t="n">
        <f aca="false">$B$18*(1+(B438+$B$17)/2)^9</f>
        <v>44551.6261719568</v>
      </c>
      <c r="G438" s="28" t="n">
        <f aca="false">F438*C438</f>
        <v>14116.1042322323</v>
      </c>
      <c r="H438" s="28" t="n">
        <f aca="false">E438*G438/(1+D438)^9</f>
        <v>68196.0002935937</v>
      </c>
      <c r="I438" s="28" t="n">
        <f aca="false">$B$13*G438/$B$12*((1+$B$8)/(1+D438))^4.5</f>
        <v>28172.803090961</v>
      </c>
      <c r="J438" s="28" t="n">
        <f aca="false">H438+I438-$B$14-$B$19</f>
        <v>73706.4465152396</v>
      </c>
      <c r="K438" s="46" t="n">
        <f aca="false">J438/$B$15</f>
        <v>218.583767838789</v>
      </c>
    </row>
    <row r="439" customFormat="false" ht="15" hidden="false" customHeight="false" outlineLevel="0" collapsed="false">
      <c r="A439" s="54" t="n">
        <v>399</v>
      </c>
      <c r="B439" s="23" t="n">
        <f aca="true">NORMINV(RAND(),$B$6,$C$6)</f>
        <v>0.0697984087344377</v>
      </c>
      <c r="C439" s="23" t="n">
        <f aca="true">MAX(0.15,NORMINV(RAND(),$B$7,$C$7))</f>
        <v>0.297786762585113</v>
      </c>
      <c r="D439" s="35" t="n">
        <f aca="true">MAX(0.06,NORMINV(RAND(),$B$8,$C$8))</f>
        <v>0.105927070673673</v>
      </c>
      <c r="E439" s="55" t="n">
        <f aca="true">MAX(5,NORMINV(RAND(),$B$9,$C$9))</f>
        <v>10.1442913437419</v>
      </c>
      <c r="F439" s="28" t="n">
        <f aca="false">$B$18*(1+(B439+$B$17)/2)^9</f>
        <v>35305.6218448996</v>
      </c>
      <c r="G439" s="28" t="n">
        <f aca="false">F439*C439</f>
        <v>10513.5468302469</v>
      </c>
      <c r="H439" s="28" t="n">
        <f aca="false">E439*G439/(1+D439)^9</f>
        <v>43095.5639450366</v>
      </c>
      <c r="I439" s="28" t="n">
        <f aca="false">$B$13*G439/$B$12*((1+$B$8)/(1+D439))^4.5</f>
        <v>20011.9161384852</v>
      </c>
      <c r="J439" s="28" t="n">
        <f aca="false">H439+I439-$B$14-$B$19</f>
        <v>40445.1232142067</v>
      </c>
      <c r="K439" s="46" t="n">
        <f aca="false">J439/$B$15</f>
        <v>119.944019021965</v>
      </c>
    </row>
    <row r="440" customFormat="false" ht="15" hidden="false" customHeight="false" outlineLevel="0" collapsed="false">
      <c r="A440" s="54" t="n">
        <v>400</v>
      </c>
      <c r="B440" s="23" t="n">
        <f aca="true">NORMINV(RAND(),$B$6,$C$6)</f>
        <v>0.0518335568761461</v>
      </c>
      <c r="C440" s="23" t="n">
        <f aca="true">MAX(0.15,NORMINV(RAND(),$B$7,$C$7))</f>
        <v>0.324270024194098</v>
      </c>
      <c r="D440" s="35" t="n">
        <f aca="true">MAX(0.06,NORMINV(RAND(),$B$8,$C$8))</f>
        <v>0.0850837011871547</v>
      </c>
      <c r="E440" s="55" t="n">
        <f aca="true">MAX(5,NORMINV(RAND(),$B$9,$C$9))</f>
        <v>12.159717959977</v>
      </c>
      <c r="F440" s="28" t="n">
        <f aca="false">$B$18*(1+(B440+$B$17)/2)^9</f>
        <v>32672.245122356</v>
      </c>
      <c r="G440" s="28" t="n">
        <f aca="false">F440*C440</f>
        <v>10594.6297163019</v>
      </c>
      <c r="H440" s="28" t="n">
        <f aca="false">E440*G440/(1+D440)^9</f>
        <v>61778.8932325273</v>
      </c>
      <c r="I440" s="28" t="n">
        <f aca="false">$B$13*G440/$B$12*((1+$B$8)/(1+D440))^4.5</f>
        <v>21968.9764092985</v>
      </c>
      <c r="J440" s="28" t="n">
        <f aca="false">H440+I440-$B$14-$B$19</f>
        <v>61085.5127725107</v>
      </c>
      <c r="K440" s="46" t="n">
        <f aca="false">J440/$B$15</f>
        <v>181.155138708513</v>
      </c>
    </row>
    <row r="441" customFormat="false" ht="15" hidden="false" customHeight="false" outlineLevel="0" collapsed="false">
      <c r="A441" s="54" t="n">
        <v>401</v>
      </c>
      <c r="B441" s="23" t="n">
        <f aca="true">NORMINV(RAND(),$B$6,$C$6)</f>
        <v>0.126817286543335</v>
      </c>
      <c r="C441" s="23" t="n">
        <f aca="true">MAX(0.15,NORMINV(RAND(),$B$7,$C$7))</f>
        <v>0.321404966788896</v>
      </c>
      <c r="D441" s="35" t="n">
        <f aca="true">MAX(0.06,NORMINV(RAND(),$B$8,$C$8))</f>
        <v>0.0846099280107018</v>
      </c>
      <c r="E441" s="55" t="n">
        <f aca="true">MAX(5,NORMINV(RAND(),$B$9,$C$9))</f>
        <v>10.2466502911979</v>
      </c>
      <c r="F441" s="28" t="n">
        <f aca="false">$B$18*(1+(B441+$B$17)/2)^9</f>
        <v>44958.5479332136</v>
      </c>
      <c r="G441" s="28" t="n">
        <f aca="false">F441*C441</f>
        <v>14449.9006053515</v>
      </c>
      <c r="H441" s="28" t="n">
        <f aca="false">E441*G441/(1+D441)^9</f>
        <v>71282.7744985638</v>
      </c>
      <c r="I441" s="28" t="n">
        <f aca="false">$B$13*G441/$B$12*((1+$B$8)/(1+D441))^4.5</f>
        <v>30022.1914770356</v>
      </c>
      <c r="J441" s="28" t="n">
        <f aca="false">H441+I441-$B$14-$B$19</f>
        <v>78642.6091062843</v>
      </c>
      <c r="K441" s="46" t="n">
        <f aca="false">J441/$B$15</f>
        <v>233.222446934414</v>
      </c>
    </row>
    <row r="442" customFormat="false" ht="15" hidden="false" customHeight="false" outlineLevel="0" collapsed="false">
      <c r="A442" s="54" t="n">
        <v>402</v>
      </c>
      <c r="B442" s="23" t="n">
        <f aca="true">NORMINV(RAND(),$B$6,$C$6)</f>
        <v>0.119646721413742</v>
      </c>
      <c r="C442" s="23" t="n">
        <f aca="true">MAX(0.15,NORMINV(RAND(),$B$7,$C$7))</f>
        <v>0.33273021264587</v>
      </c>
      <c r="D442" s="35" t="n">
        <f aca="true">MAX(0.06,NORMINV(RAND(),$B$8,$C$8))</f>
        <v>0.0909077337018535</v>
      </c>
      <c r="E442" s="55" t="n">
        <f aca="true">MAX(5,NORMINV(RAND(),$B$9,$C$9))</f>
        <v>8.0834615910316</v>
      </c>
      <c r="F442" s="28" t="n">
        <f aca="false">$B$18*(1+(B442+$B$17)/2)^9</f>
        <v>43628.0310480263</v>
      </c>
      <c r="G442" s="28" t="n">
        <f aca="false">F442*C442</f>
        <v>14516.3640479304</v>
      </c>
      <c r="H442" s="28" t="n">
        <f aca="false">E442*G442/(1+D442)^9</f>
        <v>53624.4739654492</v>
      </c>
      <c r="I442" s="28" t="n">
        <f aca="false">$B$13*G442/$B$12*((1+$B$8)/(1+D442))^4.5</f>
        <v>29384.6402906675</v>
      </c>
      <c r="J442" s="28" t="n">
        <f aca="false">H442+I442-$B$14-$B$19</f>
        <v>60346.7573868016</v>
      </c>
      <c r="K442" s="46" t="n">
        <f aca="false">J442/$B$15</f>
        <v>178.964286437727</v>
      </c>
    </row>
    <row r="443" customFormat="false" ht="15" hidden="false" customHeight="false" outlineLevel="0" collapsed="false">
      <c r="A443" s="54" t="n">
        <v>403</v>
      </c>
      <c r="B443" s="23" t="n">
        <f aca="true">NORMINV(RAND(),$B$6,$C$6)</f>
        <v>0.0571918630628688</v>
      </c>
      <c r="C443" s="23" t="n">
        <f aca="true">MAX(0.15,NORMINV(RAND(),$B$7,$C$7))</f>
        <v>0.337774149582407</v>
      </c>
      <c r="D443" s="35" t="n">
        <f aca="true">MAX(0.06,NORMINV(RAND(),$B$8,$C$8))</f>
        <v>0.0979328327501697</v>
      </c>
      <c r="E443" s="55" t="n">
        <f aca="true">MAX(5,NORMINV(RAND(),$B$9,$C$9))</f>
        <v>13.02814107169</v>
      </c>
      <c r="F443" s="28" t="n">
        <f aca="false">$B$18*(1+(B443+$B$17)/2)^9</f>
        <v>33438.7821605686</v>
      </c>
      <c r="G443" s="28" t="n">
        <f aca="false">F443*C443</f>
        <v>11294.7562073574</v>
      </c>
      <c r="H443" s="28" t="n">
        <f aca="false">E443*G443/(1+D443)^9</f>
        <v>63471.2953236555</v>
      </c>
      <c r="I443" s="28" t="n">
        <f aca="false">$B$13*G443/$B$12*((1+$B$8)/(1+D443))^4.5</f>
        <v>22212.3498620609</v>
      </c>
      <c r="J443" s="28" t="n">
        <f aca="false">H443+I443-$B$14-$B$19</f>
        <v>63021.2883164013</v>
      </c>
      <c r="K443" s="46" t="n">
        <f aca="false">J443/$B$15</f>
        <v>186.895872824441</v>
      </c>
    </row>
    <row r="444" customFormat="false" ht="15" hidden="false" customHeight="false" outlineLevel="0" collapsed="false">
      <c r="A444" s="54" t="n">
        <v>404</v>
      </c>
      <c r="B444" s="23" t="n">
        <f aca="true">NORMINV(RAND(),$B$6,$C$6)</f>
        <v>0.076849494180418</v>
      </c>
      <c r="C444" s="23" t="n">
        <f aca="true">MAX(0.15,NORMINV(RAND(),$B$7,$C$7))</f>
        <v>0.311047670347543</v>
      </c>
      <c r="D444" s="35" t="n">
        <f aca="true">MAX(0.06,NORMINV(RAND(),$B$8,$C$8))</f>
        <v>0.0649407843810186</v>
      </c>
      <c r="E444" s="55" t="n">
        <f aca="true">MAX(5,NORMINV(RAND(),$B$9,$C$9))</f>
        <v>11.0746811398711</v>
      </c>
      <c r="F444" s="28" t="n">
        <f aca="false">$B$18*(1+(B444+$B$17)/2)^9</f>
        <v>36389.6834933339</v>
      </c>
      <c r="G444" s="28" t="n">
        <f aca="false">F444*C444</f>
        <v>11318.9262752859</v>
      </c>
      <c r="H444" s="28" t="n">
        <f aca="false">E444*G444/(1+D444)^9</f>
        <v>71155.3116460632</v>
      </c>
      <c r="I444" s="28" t="n">
        <f aca="false">$B$13*G444/$B$12*((1+$B$8)/(1+D444))^4.5</f>
        <v>25535.7891031125</v>
      </c>
      <c r="J444" s="28" t="n">
        <f aca="false">H444+I444-$B$14-$B$19</f>
        <v>74028.7438798607</v>
      </c>
      <c r="K444" s="46" t="n">
        <f aca="false">J444/$B$15</f>
        <v>219.539572597452</v>
      </c>
    </row>
    <row r="445" customFormat="false" ht="15" hidden="false" customHeight="false" outlineLevel="0" collapsed="false">
      <c r="A445" s="54" t="n">
        <v>405</v>
      </c>
      <c r="B445" s="23" t="n">
        <f aca="true">NORMINV(RAND(),$B$6,$C$6)</f>
        <v>0.0898353949680798</v>
      </c>
      <c r="C445" s="23" t="n">
        <f aca="true">MAX(0.15,NORMINV(RAND(),$B$7,$C$7))</f>
        <v>0.360401776302029</v>
      </c>
      <c r="D445" s="35" t="n">
        <f aca="true">MAX(0.06,NORMINV(RAND(),$B$8,$C$8))</f>
        <v>0.0887781486186166</v>
      </c>
      <c r="E445" s="55" t="n">
        <f aca="true">MAX(5,NORMINV(RAND(),$B$9,$C$9))</f>
        <v>12.6830138417486</v>
      </c>
      <c r="F445" s="28" t="n">
        <f aca="false">$B$18*(1+(B445+$B$17)/2)^9</f>
        <v>38463.8613576108</v>
      </c>
      <c r="G445" s="28" t="n">
        <f aca="false">F445*C445</f>
        <v>13862.4439567179</v>
      </c>
      <c r="H445" s="28" t="n">
        <f aca="false">E445*G445/(1+D445)^9</f>
        <v>81772.5807723582</v>
      </c>
      <c r="I445" s="28" t="n">
        <f aca="false">$B$13*G445/$B$12*((1+$B$8)/(1+D445))^4.5</f>
        <v>28308.7791913122</v>
      </c>
      <c r="J445" s="28" t="n">
        <f aca="false">H445+I445-$B$14-$B$19</f>
        <v>87419.0030943553</v>
      </c>
      <c r="K445" s="46" t="n">
        <f aca="false">J445/$B$15</f>
        <v>259.249712616712</v>
      </c>
    </row>
    <row r="446" customFormat="false" ht="15" hidden="false" customHeight="false" outlineLevel="0" collapsed="false">
      <c r="A446" s="54" t="n">
        <v>406</v>
      </c>
      <c r="B446" s="23" t="n">
        <f aca="true">NORMINV(RAND(),$B$6,$C$6)</f>
        <v>0.0828914433188128</v>
      </c>
      <c r="C446" s="23" t="n">
        <f aca="true">MAX(0.15,NORMINV(RAND(),$B$7,$C$7))</f>
        <v>0.327359994221545</v>
      </c>
      <c r="D446" s="35" t="n">
        <f aca="true">MAX(0.06,NORMINV(RAND(),$B$8,$C$8))</f>
        <v>0.0990229125865923</v>
      </c>
      <c r="E446" s="55" t="n">
        <f aca="true">MAX(5,NORMINV(RAND(),$B$9,$C$9))</f>
        <v>11.1561125314969</v>
      </c>
      <c r="F446" s="28" t="n">
        <f aca="false">$B$18*(1+(B446+$B$17)/2)^9</f>
        <v>37342.0292946735</v>
      </c>
      <c r="G446" s="28" t="n">
        <f aca="false">F446*C446</f>
        <v>12224.2864941251</v>
      </c>
      <c r="H446" s="28" t="n">
        <f aca="false">E446*G446/(1+D446)^9</f>
        <v>58300.9572108097</v>
      </c>
      <c r="I446" s="28" t="n">
        <f aca="false">$B$13*G446/$B$12*((1+$B$8)/(1+D446))^4.5</f>
        <v>23933.2556303473</v>
      </c>
      <c r="J446" s="28" t="n">
        <f aca="false">H446+I446-$B$14-$B$19</f>
        <v>59571.855971842</v>
      </c>
      <c r="K446" s="46" t="n">
        <f aca="false">J446/$B$15</f>
        <v>176.666239536898</v>
      </c>
    </row>
    <row r="447" customFormat="false" ht="15" hidden="false" customHeight="false" outlineLevel="0" collapsed="false">
      <c r="A447" s="54" t="n">
        <v>407</v>
      </c>
      <c r="B447" s="23" t="n">
        <f aca="true">NORMINV(RAND(),$B$6,$C$6)</f>
        <v>0.0609623920968796</v>
      </c>
      <c r="C447" s="23" t="n">
        <f aca="true">MAX(0.15,NORMINV(RAND(),$B$7,$C$7))</f>
        <v>0.347278971879346</v>
      </c>
      <c r="D447" s="35" t="n">
        <f aca="true">MAX(0.06,NORMINV(RAND(),$B$8,$C$8))</f>
        <v>0.0851517718673768</v>
      </c>
      <c r="E447" s="55" t="n">
        <f aca="true">MAX(5,NORMINV(RAND(),$B$9,$C$9))</f>
        <v>12.5556644400458</v>
      </c>
      <c r="F447" s="28" t="n">
        <f aca="false">$B$18*(1+(B447+$B$17)/2)^9</f>
        <v>33987.7187268758</v>
      </c>
      <c r="G447" s="28" t="n">
        <f aca="false">F447*C447</f>
        <v>11803.2200159938</v>
      </c>
      <c r="H447" s="28" t="n">
        <f aca="false">E447*G447/(1+D447)^9</f>
        <v>71027.3886630519</v>
      </c>
      <c r="I447" s="28" t="n">
        <f aca="false">$B$13*G447/$B$12*((1+$B$8)/(1+D447))^4.5</f>
        <v>24468.1956993776</v>
      </c>
      <c r="J447" s="28" t="n">
        <f aca="false">H447+I447-$B$14-$B$19</f>
        <v>72833.2274931144</v>
      </c>
      <c r="K447" s="46" t="n">
        <f aca="false">J447/$B$15</f>
        <v>215.994150335452</v>
      </c>
    </row>
    <row r="448" customFormat="false" ht="15" hidden="false" customHeight="false" outlineLevel="0" collapsed="false">
      <c r="A448" s="54" t="n">
        <v>408</v>
      </c>
      <c r="B448" s="23" t="n">
        <f aca="true">NORMINV(RAND(),$B$6,$C$6)</f>
        <v>0.0579340749664719</v>
      </c>
      <c r="C448" s="23" t="n">
        <f aca="true">MAX(0.15,NORMINV(RAND(),$B$7,$C$7))</f>
        <v>0.322968631755703</v>
      </c>
      <c r="D448" s="35" t="n">
        <f aca="true">MAX(0.06,NORMINV(RAND(),$B$8,$C$8))</f>
        <v>0.101420006292784</v>
      </c>
      <c r="E448" s="55" t="n">
        <f aca="true">MAX(5,NORMINV(RAND(),$B$9,$C$9))</f>
        <v>10.6471789841628</v>
      </c>
      <c r="F448" s="28" t="n">
        <f aca="false">$B$18*(1+(B448+$B$17)/2)^9</f>
        <v>33546.2106414715</v>
      </c>
      <c r="G448" s="28" t="n">
        <f aca="false">F448*C448</f>
        <v>10834.3737514647</v>
      </c>
      <c r="H448" s="28" t="n">
        <f aca="false">E448*G448/(1+D448)^9</f>
        <v>48357.2640108377</v>
      </c>
      <c r="I448" s="28" t="n">
        <f aca="false">$B$13*G448/$B$12*((1+$B$8)/(1+D448))^4.5</f>
        <v>21005.068878859</v>
      </c>
      <c r="J448" s="28" t="n">
        <f aca="false">H448+I448-$B$14-$B$19</f>
        <v>46699.9760203816</v>
      </c>
      <c r="K448" s="46" t="n">
        <f aca="false">J448/$B$15</f>
        <v>138.493404568154</v>
      </c>
    </row>
    <row r="449" customFormat="false" ht="15" hidden="false" customHeight="false" outlineLevel="0" collapsed="false">
      <c r="A449" s="54" t="n">
        <v>409</v>
      </c>
      <c r="B449" s="23" t="n">
        <f aca="true">NORMINV(RAND(),$B$6,$C$6)</f>
        <v>0.0697589642466272</v>
      </c>
      <c r="C449" s="23" t="n">
        <f aca="true">MAX(0.15,NORMINV(RAND(),$B$7,$C$7))</f>
        <v>0.32487484560843</v>
      </c>
      <c r="D449" s="35" t="n">
        <f aca="true">MAX(0.06,NORMINV(RAND(),$B$8,$C$8))</f>
        <v>0.105770794942722</v>
      </c>
      <c r="E449" s="55" t="n">
        <f aca="true">MAX(5,NORMINV(RAND(),$B$9,$C$9))</f>
        <v>10.9463304546678</v>
      </c>
      <c r="F449" s="28" t="n">
        <f aca="false">$B$18*(1+(B449+$B$17)/2)^9</f>
        <v>35299.639137679</v>
      </c>
      <c r="G449" s="28" t="n">
        <f aca="false">F449*C449</f>
        <v>11467.9648148867</v>
      </c>
      <c r="H449" s="28" t="n">
        <f aca="false">E449*G449/(1+D449)^9</f>
        <v>50788.90715792</v>
      </c>
      <c r="I449" s="28" t="n">
        <f aca="false">$B$13*G449/$B$12*((1+$B$8)/(1+D449))^4.5</f>
        <v>21842.4803046275</v>
      </c>
      <c r="J449" s="28" t="n">
        <f aca="false">H449+I449-$B$14-$B$19</f>
        <v>49969.0305932324</v>
      </c>
      <c r="K449" s="46" t="n">
        <f aca="false">J449/$B$15</f>
        <v>148.188109707095</v>
      </c>
    </row>
    <row r="450" customFormat="false" ht="15" hidden="false" customHeight="false" outlineLevel="0" collapsed="false">
      <c r="A450" s="54" t="n">
        <v>410</v>
      </c>
      <c r="B450" s="23" t="n">
        <f aca="true">NORMINV(RAND(),$B$6,$C$6)</f>
        <v>0.0702229773744155</v>
      </c>
      <c r="C450" s="23" t="n">
        <f aca="true">MAX(0.15,NORMINV(RAND(),$B$7,$C$7))</f>
        <v>0.341202927643395</v>
      </c>
      <c r="D450" s="35" t="n">
        <f aca="true">MAX(0.06,NORMINV(RAND(),$B$8,$C$8))</f>
        <v>0.0723431509918047</v>
      </c>
      <c r="E450" s="55" t="n">
        <f aca="true">MAX(5,NORMINV(RAND(),$B$9,$C$9))</f>
        <v>9.4950462345419</v>
      </c>
      <c r="F450" s="28" t="n">
        <f aca="false">$B$18*(1+(B450+$B$17)/2)^9</f>
        <v>35370.0749971777</v>
      </c>
      <c r="G450" s="28" t="n">
        <f aca="false">F450*C450</f>
        <v>12068.3731400035</v>
      </c>
      <c r="H450" s="28" t="n">
        <f aca="false">E450*G450/(1+D450)^9</f>
        <v>61114.1495488298</v>
      </c>
      <c r="I450" s="28" t="n">
        <f aca="false">$B$13*G450/$B$12*((1+$B$8)/(1+D450))^4.5</f>
        <v>26390.968566188</v>
      </c>
      <c r="J450" s="28" t="n">
        <f aca="false">H450+I450-$B$14-$B$19</f>
        <v>64842.7612457027</v>
      </c>
      <c r="K450" s="46" t="n">
        <f aca="false">J450/$B$15</f>
        <v>192.297631215014</v>
      </c>
    </row>
    <row r="451" customFormat="false" ht="15" hidden="false" customHeight="false" outlineLevel="0" collapsed="false">
      <c r="A451" s="54" t="n">
        <v>411</v>
      </c>
      <c r="B451" s="23" t="n">
        <f aca="true">NORMINV(RAND(),$B$6,$C$6)</f>
        <v>0.080117024355816</v>
      </c>
      <c r="C451" s="23" t="n">
        <f aca="true">MAX(0.15,NORMINV(RAND(),$B$7,$C$7))</f>
        <v>0.321412331872618</v>
      </c>
      <c r="D451" s="35" t="n">
        <f aca="true">MAX(0.06,NORMINV(RAND(),$B$8,$C$8))</f>
        <v>0.0902811727609571</v>
      </c>
      <c r="E451" s="55" t="n">
        <f aca="true">MAX(5,NORMINV(RAND(),$B$9,$C$9))</f>
        <v>9.78724244144506</v>
      </c>
      <c r="F451" s="28" t="n">
        <f aca="false">$B$18*(1+(B451+$B$17)/2)^9</f>
        <v>36902.002878329</v>
      </c>
      <c r="G451" s="28" t="n">
        <f aca="false">F451*C451</f>
        <v>11860.7587958938</v>
      </c>
      <c r="H451" s="28" t="n">
        <f aca="false">E451*G451/(1+D451)^9</f>
        <v>53324.4281333514</v>
      </c>
      <c r="I451" s="28" t="n">
        <f aca="false">$B$13*G451/$B$12*((1+$B$8)/(1+D451))^4.5</f>
        <v>24071.2025519211</v>
      </c>
      <c r="J451" s="28" t="n">
        <f aca="false">H451+I451-$B$14-$B$19</f>
        <v>54733.2738159574</v>
      </c>
      <c r="K451" s="46" t="n">
        <f aca="false">J451/$B$15</f>
        <v>162.316944887181</v>
      </c>
    </row>
    <row r="452" customFormat="false" ht="15" hidden="false" customHeight="false" outlineLevel="0" collapsed="false">
      <c r="A452" s="54" t="n">
        <v>412</v>
      </c>
      <c r="B452" s="23" t="n">
        <f aca="true">NORMINV(RAND(),$B$6,$C$6)</f>
        <v>0.0783167242760286</v>
      </c>
      <c r="C452" s="23" t="n">
        <f aca="true">MAX(0.15,NORMINV(RAND(),$B$7,$C$7))</f>
        <v>0.339758609545333</v>
      </c>
      <c r="D452" s="35" t="n">
        <f aca="true">MAX(0.06,NORMINV(RAND(),$B$8,$C$8))</f>
        <v>0.0819429165454748</v>
      </c>
      <c r="E452" s="55" t="n">
        <f aca="true">MAX(5,NORMINV(RAND(),$B$9,$C$9))</f>
        <v>10.5949654240367</v>
      </c>
      <c r="F452" s="28" t="n">
        <f aca="false">$B$18*(1+(B452+$B$17)/2)^9</f>
        <v>36618.9445801224</v>
      </c>
      <c r="G452" s="28" t="n">
        <f aca="false">F452*C452</f>
        <v>12441.60169356</v>
      </c>
      <c r="H452" s="28" t="n">
        <f aca="false">E452*G452/(1+D452)^9</f>
        <v>64883.8641006722</v>
      </c>
      <c r="I452" s="28" t="n">
        <f aca="false">$B$13*G452/$B$12*((1+$B$8)/(1+D452))^4.5</f>
        <v>26137.578381044</v>
      </c>
      <c r="J452" s="28" t="n">
        <f aca="false">H452+I452-$B$14-$B$19</f>
        <v>68359.0856124011</v>
      </c>
      <c r="K452" s="46" t="n">
        <f aca="false">J452/$B$15</f>
        <v>202.725639419932</v>
      </c>
    </row>
    <row r="453" customFormat="false" ht="15" hidden="false" customHeight="false" outlineLevel="0" collapsed="false">
      <c r="A453" s="54" t="n">
        <v>413</v>
      </c>
      <c r="B453" s="23" t="n">
        <f aca="true">NORMINV(RAND(),$B$6,$C$6)</f>
        <v>0.100478777057181</v>
      </c>
      <c r="C453" s="23" t="n">
        <f aca="true">MAX(0.15,NORMINV(RAND(),$B$7,$C$7))</f>
        <v>0.327123634275373</v>
      </c>
      <c r="D453" s="35" t="n">
        <f aca="true">MAX(0.06,NORMINV(RAND(),$B$8,$C$8))</f>
        <v>0.0968416759781482</v>
      </c>
      <c r="E453" s="55" t="n">
        <f aca="true">MAX(5,NORMINV(RAND(),$B$9,$C$9))</f>
        <v>12.3380072860027</v>
      </c>
      <c r="F453" s="28" t="n">
        <f aca="false">$B$18*(1+(B453+$B$17)/2)^9</f>
        <v>40241.5502759941</v>
      </c>
      <c r="G453" s="28" t="n">
        <f aca="false">F453*C453</f>
        <v>13163.9621751583</v>
      </c>
      <c r="H453" s="28" t="n">
        <f aca="false">E453*G453/(1+D453)^9</f>
        <v>70686.447339699</v>
      </c>
      <c r="I453" s="28" t="n">
        <f aca="false">$B$13*G453/$B$12*((1+$B$8)/(1+D453))^4.5</f>
        <v>26004.4396131499</v>
      </c>
      <c r="J453" s="28" t="n">
        <f aca="false">H453+I453-$B$14-$B$19</f>
        <v>74028.5300835338</v>
      </c>
      <c r="K453" s="46" t="n">
        <f aca="false">J453/$B$15</f>
        <v>219.538938563268</v>
      </c>
    </row>
    <row r="454" customFormat="false" ht="15" hidden="false" customHeight="false" outlineLevel="0" collapsed="false">
      <c r="A454" s="54" t="n">
        <v>414</v>
      </c>
      <c r="B454" s="23" t="n">
        <f aca="true">NORMINV(RAND(),$B$6,$C$6)</f>
        <v>0.118443993241866</v>
      </c>
      <c r="C454" s="23" t="n">
        <f aca="true">MAX(0.15,NORMINV(RAND(),$B$7,$C$7))</f>
        <v>0.338331330820012</v>
      </c>
      <c r="D454" s="35" t="n">
        <f aca="true">MAX(0.06,NORMINV(RAND(),$B$8,$C$8))</f>
        <v>0.0956256907004692</v>
      </c>
      <c r="E454" s="55" t="n">
        <f aca="true">MAX(5,NORMINV(RAND(),$B$9,$C$9))</f>
        <v>12.6240013079203</v>
      </c>
      <c r="F454" s="28" t="n">
        <f aca="false">$B$18*(1+(B454+$B$17)/2)^9</f>
        <v>43408.3230796028</v>
      </c>
      <c r="G454" s="28" t="n">
        <f aca="false">F454*C454</f>
        <v>14686.3957161871</v>
      </c>
      <c r="H454" s="28" t="n">
        <f aca="false">E454*G454/(1+D454)^9</f>
        <v>81499.0209683289</v>
      </c>
      <c r="I454" s="28" t="n">
        <f aca="false">$B$13*G454/$B$12*((1+$B$8)/(1+D454))^4.5</f>
        <v>29157.0722860815</v>
      </c>
      <c r="J454" s="28" t="n">
        <f aca="false">H454+I454-$B$14-$B$19</f>
        <v>87993.7363850953</v>
      </c>
      <c r="K454" s="46" t="n">
        <f aca="false">J454/$B$15</f>
        <v>260.954141118314</v>
      </c>
    </row>
    <row r="455" customFormat="false" ht="15" hidden="false" customHeight="false" outlineLevel="0" collapsed="false">
      <c r="A455" s="54" t="n">
        <v>415</v>
      </c>
      <c r="B455" s="23" t="n">
        <f aca="true">NORMINV(RAND(),$B$6,$C$6)</f>
        <v>0.0667631613805793</v>
      </c>
      <c r="C455" s="23" t="n">
        <f aca="true">MAX(0.15,NORMINV(RAND(),$B$7,$C$7))</f>
        <v>0.315545198928395</v>
      </c>
      <c r="D455" s="35" t="n">
        <f aca="true">MAX(0.06,NORMINV(RAND(),$B$8,$C$8))</f>
        <v>0.0995643385974518</v>
      </c>
      <c r="E455" s="55" t="n">
        <f aca="true">MAX(5,NORMINV(RAND(),$B$9,$C$9))</f>
        <v>8.64063885623986</v>
      </c>
      <c r="F455" s="28" t="n">
        <f aca="false">$B$18*(1+(B455+$B$17)/2)^9</f>
        <v>34847.8781490324</v>
      </c>
      <c r="G455" s="28" t="n">
        <f aca="false">F455*C455</f>
        <v>10996.0806427689</v>
      </c>
      <c r="H455" s="28" t="n">
        <f aca="false">E455*G455/(1+D455)^9</f>
        <v>40438.7715295604</v>
      </c>
      <c r="I455" s="28" t="n">
        <f aca="false">$B$13*G455/$B$12*((1+$B$8)/(1+D455))^4.5</f>
        <v>21480.9571304011</v>
      </c>
      <c r="J455" s="28" t="n">
        <f aca="false">H455+I455-$B$14-$B$19</f>
        <v>39257.3717906464</v>
      </c>
      <c r="K455" s="46" t="n">
        <f aca="false">J455/$B$15</f>
        <v>116.421624527421</v>
      </c>
    </row>
    <row r="456" customFormat="false" ht="15" hidden="false" customHeight="false" outlineLevel="0" collapsed="false">
      <c r="A456" s="54" t="n">
        <v>416</v>
      </c>
      <c r="B456" s="23" t="n">
        <f aca="true">NORMINV(RAND(),$B$6,$C$6)</f>
        <v>0.0951657329068013</v>
      </c>
      <c r="C456" s="23" t="n">
        <f aca="true">MAX(0.15,NORMINV(RAND(),$B$7,$C$7))</f>
        <v>0.345511117425892</v>
      </c>
      <c r="D456" s="35" t="n">
        <f aca="true">MAX(0.06,NORMINV(RAND(),$B$8,$C$8))</f>
        <v>0.0978262233194762</v>
      </c>
      <c r="E456" s="55" t="n">
        <f aca="true">MAX(5,NORMINV(RAND(),$B$9,$C$9))</f>
        <v>8.9883064020378</v>
      </c>
      <c r="F456" s="28" t="n">
        <f aca="false">$B$18*(1+(B456+$B$17)/2)^9</f>
        <v>39345.226152423</v>
      </c>
      <c r="G456" s="28" t="n">
        <f aca="false">F456*C456</f>
        <v>13594.2130532981</v>
      </c>
      <c r="H456" s="28" t="n">
        <f aca="false">E456*G456/(1+D456)^9</f>
        <v>52750.8591395899</v>
      </c>
      <c r="I456" s="28" t="n">
        <f aca="false">$B$13*G456/$B$12*((1+$B$8)/(1+D456))^4.5</f>
        <v>26746.1632184224</v>
      </c>
      <c r="J456" s="28" t="n">
        <f aca="false">H456+I456-$B$14-$B$19</f>
        <v>56834.6654886973</v>
      </c>
      <c r="K456" s="46" t="n">
        <f aca="false">J456/$B$15</f>
        <v>168.548830037655</v>
      </c>
    </row>
    <row r="457" customFormat="false" ht="15" hidden="false" customHeight="false" outlineLevel="0" collapsed="false">
      <c r="A457" s="54" t="n">
        <v>417</v>
      </c>
      <c r="B457" s="23" t="n">
        <f aca="true">NORMINV(RAND(),$B$6,$C$6)</f>
        <v>0.107735093842406</v>
      </c>
      <c r="C457" s="23" t="n">
        <f aca="true">MAX(0.15,NORMINV(RAND(),$B$7,$C$7))</f>
        <v>0.330574331010691</v>
      </c>
      <c r="D457" s="35" t="n">
        <f aca="true">MAX(0.06,NORMINV(RAND(),$B$8,$C$8))</f>
        <v>0.0901285847234638</v>
      </c>
      <c r="E457" s="55" t="n">
        <f aca="true">MAX(5,NORMINV(RAND(),$B$9,$C$9))</f>
        <v>9.36550405582397</v>
      </c>
      <c r="F457" s="28" t="n">
        <f aca="false">$B$18*(1+(B457+$B$17)/2)^9</f>
        <v>41495.0206060444</v>
      </c>
      <c r="G457" s="28" t="n">
        <f aca="false">F457*C457</f>
        <v>13717.188677118</v>
      </c>
      <c r="H457" s="28" t="n">
        <f aca="false">E457*G457/(1+D457)^9</f>
        <v>59087.6503071899</v>
      </c>
      <c r="I457" s="28" t="n">
        <f aca="false">$B$13*G457/$B$12*((1+$B$8)/(1+D457))^4.5</f>
        <v>27856.3338229516</v>
      </c>
      <c r="J457" s="28" t="n">
        <f aca="false">H457+I457-$B$14-$B$19</f>
        <v>64281.6272608264</v>
      </c>
      <c r="K457" s="46" t="n">
        <f aca="false">J457/$B$15</f>
        <v>190.633532801976</v>
      </c>
    </row>
    <row r="458" customFormat="false" ht="15" hidden="false" customHeight="false" outlineLevel="0" collapsed="false">
      <c r="A458" s="54" t="n">
        <v>418</v>
      </c>
      <c r="B458" s="23" t="n">
        <f aca="true">NORMINV(RAND(),$B$6,$C$6)</f>
        <v>0.0887710555812842</v>
      </c>
      <c r="C458" s="23" t="n">
        <f aca="true">MAX(0.15,NORMINV(RAND(),$B$7,$C$7))</f>
        <v>0.359299956170392</v>
      </c>
      <c r="D458" s="35" t="n">
        <f aca="true">MAX(0.06,NORMINV(RAND(),$B$8,$C$8))</f>
        <v>0.0859499442040527</v>
      </c>
      <c r="E458" s="55" t="n">
        <f aca="true">MAX(5,NORMINV(RAND(),$B$9,$C$9))</f>
        <v>9.83840353172761</v>
      </c>
      <c r="F458" s="28" t="n">
        <f aca="false">$B$18*(1+(B458+$B$17)/2)^9</f>
        <v>38289.991288916</v>
      </c>
      <c r="G458" s="28" t="n">
        <f aca="false">F458*C458</f>
        <v>13757.5921918722</v>
      </c>
      <c r="H458" s="28" t="n">
        <f aca="false">E458*G458/(1+D458)^9</f>
        <v>64443.4522085126</v>
      </c>
      <c r="I458" s="28" t="n">
        <f aca="false">$B$13*G458/$B$12*((1+$B$8)/(1+D458))^4.5</f>
        <v>28425.421875143</v>
      </c>
      <c r="J458" s="28" t="n">
        <f aca="false">H458+I458-$B$14-$B$19</f>
        <v>70206.5172143406</v>
      </c>
      <c r="K458" s="46" t="n">
        <f aca="false">J458/$B$15</f>
        <v>208.204380825447</v>
      </c>
    </row>
    <row r="459" customFormat="false" ht="15" hidden="false" customHeight="false" outlineLevel="0" collapsed="false">
      <c r="A459" s="54" t="n">
        <v>419</v>
      </c>
      <c r="B459" s="23" t="n">
        <f aca="true">NORMINV(RAND(),$B$6,$C$6)</f>
        <v>0.0974206968187388</v>
      </c>
      <c r="C459" s="23" t="n">
        <f aca="true">MAX(0.15,NORMINV(RAND(),$B$7,$C$7))</f>
        <v>0.380224690288783</v>
      </c>
      <c r="D459" s="35" t="n">
        <f aca="true">MAX(0.06,NORMINV(RAND(),$B$8,$C$8))</f>
        <v>0.09088606148864</v>
      </c>
      <c r="E459" s="55" t="n">
        <f aca="true">MAX(5,NORMINV(RAND(),$B$9,$C$9))</f>
        <v>8.90611335519296</v>
      </c>
      <c r="F459" s="28" t="n">
        <f aca="false">$B$18*(1+(B459+$B$17)/2)^9</f>
        <v>39723.4532328547</v>
      </c>
      <c r="G459" s="28" t="n">
        <f aca="false">F459*C459</f>
        <v>15103.8377026631</v>
      </c>
      <c r="H459" s="28" t="n">
        <f aca="false">E459*G459/(1+D459)^9</f>
        <v>61483.8415101337</v>
      </c>
      <c r="I459" s="28" t="n">
        <f aca="false">$B$13*G459/$B$12*((1+$B$8)/(1+D459))^4.5</f>
        <v>30576.5627876717</v>
      </c>
      <c r="J459" s="28" t="n">
        <f aca="false">H459+I459-$B$14-$B$19</f>
        <v>69398.0474284903</v>
      </c>
      <c r="K459" s="46" t="n">
        <f aca="false">J459/$B$15</f>
        <v>205.80678359576</v>
      </c>
    </row>
    <row r="460" customFormat="false" ht="15" hidden="false" customHeight="false" outlineLevel="0" collapsed="false">
      <c r="A460" s="54" t="n">
        <v>420</v>
      </c>
      <c r="B460" s="23" t="n">
        <f aca="true">NORMINV(RAND(),$B$6,$C$6)</f>
        <v>0.0923758725242024</v>
      </c>
      <c r="C460" s="23" t="n">
        <f aca="true">MAX(0.15,NORMINV(RAND(),$B$7,$C$7))</f>
        <v>0.343036222378729</v>
      </c>
      <c r="D460" s="35" t="n">
        <f aca="true">MAX(0.06,NORMINV(RAND(),$B$8,$C$8))</f>
        <v>0.0933861231054989</v>
      </c>
      <c r="E460" s="55" t="n">
        <f aca="true">MAX(5,NORMINV(RAND(),$B$9,$C$9))</f>
        <v>9.2063594683766</v>
      </c>
      <c r="F460" s="28" t="n">
        <f aca="false">$B$18*(1+(B460+$B$17)/2)^9</f>
        <v>38881.7127244443</v>
      </c>
      <c r="G460" s="28" t="n">
        <f aca="false">F460*C460</f>
        <v>13337.8358526083</v>
      </c>
      <c r="H460" s="28" t="n">
        <f aca="false">E460*G460/(1+D460)^9</f>
        <v>54980.8281948402</v>
      </c>
      <c r="I460" s="28" t="n">
        <f aca="false">$B$13*G460/$B$12*((1+$B$8)/(1+D460))^4.5</f>
        <v>26724.7086337447</v>
      </c>
      <c r="J460" s="28" t="n">
        <f aca="false">H460+I460-$B$14-$B$19</f>
        <v>59043.1799592699</v>
      </c>
      <c r="K460" s="46" t="n">
        <f aca="false">J460/$B$15</f>
        <v>175.098398455723</v>
      </c>
    </row>
    <row r="461" customFormat="false" ht="15" hidden="false" customHeight="false" outlineLevel="0" collapsed="false">
      <c r="A461" s="54" t="n">
        <v>421</v>
      </c>
      <c r="B461" s="23" t="n">
        <f aca="true">NORMINV(RAND(),$B$6,$C$6)</f>
        <v>0.00762259556670088</v>
      </c>
      <c r="C461" s="23" t="n">
        <f aca="true">MAX(0.15,NORMINV(RAND(),$B$7,$C$7))</f>
        <v>0.319792270039336</v>
      </c>
      <c r="D461" s="35" t="n">
        <f aca="true">MAX(0.06,NORMINV(RAND(),$B$8,$C$8))</f>
        <v>0.0949217167908863</v>
      </c>
      <c r="E461" s="55" t="n">
        <f aca="true">MAX(5,NORMINV(RAND(),$B$9,$C$9))</f>
        <v>13.3466812630542</v>
      </c>
      <c r="F461" s="28" t="n">
        <f aca="false">$B$18*(1+(B461+$B$17)/2)^9</f>
        <v>26919.9648845506</v>
      </c>
      <c r="G461" s="28" t="n">
        <f aca="false">F461*C461</f>
        <v>8608.79667980964</v>
      </c>
      <c r="H461" s="28" t="n">
        <f aca="false">E461*G461/(1+D461)^9</f>
        <v>50800.5147224526</v>
      </c>
      <c r="I461" s="28" t="n">
        <f aca="false">$B$13*G461/$B$12*((1+$B$8)/(1+D461))^4.5</f>
        <v>17140.6488342461</v>
      </c>
      <c r="J461" s="28" t="n">
        <f aca="false">H461+I461-$B$14-$B$19</f>
        <v>45278.8066873836</v>
      </c>
      <c r="K461" s="46" t="n">
        <f aca="false">J461/$B$15</f>
        <v>134.278786142893</v>
      </c>
    </row>
    <row r="462" customFormat="false" ht="15" hidden="false" customHeight="false" outlineLevel="0" collapsed="false">
      <c r="A462" s="54" t="n">
        <v>422</v>
      </c>
      <c r="B462" s="23" t="n">
        <f aca="true">NORMINV(RAND(),$B$6,$C$6)</f>
        <v>0.0965623798172878</v>
      </c>
      <c r="C462" s="23" t="n">
        <f aca="true">MAX(0.15,NORMINV(RAND(),$B$7,$C$7))</f>
        <v>0.394183312720675</v>
      </c>
      <c r="D462" s="35" t="n">
        <f aca="true">MAX(0.06,NORMINV(RAND(),$B$8,$C$8))</f>
        <v>0.0733594099155099</v>
      </c>
      <c r="E462" s="55" t="n">
        <f aca="true">MAX(5,NORMINV(RAND(),$B$9,$C$9))</f>
        <v>10.6180168620031</v>
      </c>
      <c r="F462" s="28" t="n">
        <f aca="false">$B$18*(1+(B462+$B$17)/2)^9</f>
        <v>39579.1077094171</v>
      </c>
      <c r="G462" s="28" t="n">
        <f aca="false">F462*C462</f>
        <v>15601.4237914264</v>
      </c>
      <c r="H462" s="28" t="n">
        <f aca="false">E462*G462/(1+D462)^9</f>
        <v>87599.4002170531</v>
      </c>
      <c r="I462" s="28" t="n">
        <f aca="false">$B$13*G462/$B$12*((1+$B$8)/(1+D462))^4.5</f>
        <v>33971.8813185458</v>
      </c>
      <c r="J462" s="28" t="n">
        <f aca="false">H462+I462-$B$14-$B$19</f>
        <v>98908.9246662838</v>
      </c>
      <c r="K462" s="46" t="n">
        <f aca="false">J462/$B$15</f>
        <v>293.324213126583</v>
      </c>
    </row>
    <row r="463" customFormat="false" ht="15" hidden="false" customHeight="false" outlineLevel="0" collapsed="false">
      <c r="A463" s="54" t="n">
        <v>423</v>
      </c>
      <c r="B463" s="23" t="n">
        <f aca="true">NORMINV(RAND(),$B$6,$C$6)</f>
        <v>0.0789196836057439</v>
      </c>
      <c r="C463" s="23" t="n">
        <f aca="true">MAX(0.15,NORMINV(RAND(),$B$7,$C$7))</f>
        <v>0.298392866597082</v>
      </c>
      <c r="D463" s="35" t="n">
        <f aca="true">MAX(0.06,NORMINV(RAND(),$B$8,$C$8))</f>
        <v>0.088753088716313</v>
      </c>
      <c r="E463" s="55" t="n">
        <f aca="true">MAX(5,NORMINV(RAND(),$B$9,$C$9))</f>
        <v>10.4122706071544</v>
      </c>
      <c r="F463" s="28" t="n">
        <f aca="false">$B$18*(1+(B463+$B$17)/2)^9</f>
        <v>36713.531203612</v>
      </c>
      <c r="G463" s="28" t="n">
        <f aca="false">F463*C463</f>
        <v>10955.0558187472</v>
      </c>
      <c r="H463" s="28" t="n">
        <f aca="false">E463*G463/(1+D463)^9</f>
        <v>53063.4448337762</v>
      </c>
      <c r="I463" s="28" t="n">
        <f aca="false">$B$13*G463/$B$12*((1+$B$8)/(1+D463))^4.5</f>
        <v>22373.8599154367</v>
      </c>
      <c r="J463" s="28" t="n">
        <f aca="false">H463+I463-$B$14-$B$19</f>
        <v>52774.9478798978</v>
      </c>
      <c r="K463" s="46" t="n">
        <f aca="false">J463/$B$15</f>
        <v>156.509335349637</v>
      </c>
    </row>
    <row r="464" customFormat="false" ht="15" hidden="false" customHeight="false" outlineLevel="0" collapsed="false">
      <c r="A464" s="54" t="n">
        <v>424</v>
      </c>
      <c r="B464" s="23" t="n">
        <f aca="true">NORMINV(RAND(),$B$6,$C$6)</f>
        <v>0.0830952971834008</v>
      </c>
      <c r="C464" s="23" t="n">
        <f aca="true">MAX(0.15,NORMINV(RAND(),$B$7,$C$7))</f>
        <v>0.314343674164622</v>
      </c>
      <c r="D464" s="35" t="n">
        <f aca="true">MAX(0.06,NORMINV(RAND(),$B$8,$C$8))</f>
        <v>0.0821065042731864</v>
      </c>
      <c r="E464" s="55" t="n">
        <f aca="true">MAX(5,NORMINV(RAND(),$B$9,$C$9))</f>
        <v>11.1418596566605</v>
      </c>
      <c r="F464" s="28" t="n">
        <f aca="false">$B$18*(1+(B464+$B$17)/2)^9</f>
        <v>37374.5439489481</v>
      </c>
      <c r="G464" s="28" t="n">
        <f aca="false">F464*C464</f>
        <v>11748.4514651395</v>
      </c>
      <c r="H464" s="28" t="n">
        <f aca="false">E464*G464/(1+D464)^9</f>
        <v>64344.0278257831</v>
      </c>
      <c r="I464" s="28" t="n">
        <f aca="false">$B$13*G464/$B$12*((1+$B$8)/(1+D464))^4.5</f>
        <v>24664.6077793618</v>
      </c>
      <c r="J464" s="28" t="n">
        <f aca="false">H464+I464-$B$14-$B$19</f>
        <v>66346.2787358298</v>
      </c>
      <c r="K464" s="46" t="n">
        <f aca="false">J464/$B$15</f>
        <v>196.756461256909</v>
      </c>
    </row>
    <row r="465" customFormat="false" ht="15" hidden="false" customHeight="false" outlineLevel="0" collapsed="false">
      <c r="A465" s="54" t="n">
        <v>425</v>
      </c>
      <c r="B465" s="23" t="n">
        <f aca="true">NORMINV(RAND(),$B$6,$C$6)</f>
        <v>0.0359083833806613</v>
      </c>
      <c r="C465" s="23" t="n">
        <f aca="true">MAX(0.15,NORMINV(RAND(),$B$7,$C$7))</f>
        <v>0.353853757960998</v>
      </c>
      <c r="D465" s="35" t="n">
        <f aca="true">MAX(0.06,NORMINV(RAND(),$B$8,$C$8))</f>
        <v>0.102912662431194</v>
      </c>
      <c r="E465" s="55" t="n">
        <f aca="true">MAX(5,NORMINV(RAND(),$B$9,$C$9))</f>
        <v>10.2878579311822</v>
      </c>
      <c r="F465" s="28" t="n">
        <f aca="false">$B$18*(1+(B465+$B$17)/2)^9</f>
        <v>30485.4015663866</v>
      </c>
      <c r="G465" s="28" t="n">
        <f aca="false">F465*C465</f>
        <v>10787.373907216</v>
      </c>
      <c r="H465" s="28" t="n">
        <f aca="false">E465*G465/(1+D465)^9</f>
        <v>45959.0015355438</v>
      </c>
      <c r="I465" s="28" t="n">
        <f aca="false">$B$13*G465/$B$12*((1+$B$8)/(1+D465))^4.5</f>
        <v>20786.8795602881</v>
      </c>
      <c r="J465" s="28" t="n">
        <f aca="false">H465+I465-$B$14-$B$19</f>
        <v>44083.5242265169</v>
      </c>
      <c r="K465" s="46" t="n">
        <f aca="false">J465/$B$15</f>
        <v>130.73405761126</v>
      </c>
    </row>
    <row r="466" customFormat="false" ht="15" hidden="false" customHeight="false" outlineLevel="0" collapsed="false">
      <c r="A466" s="54" t="n">
        <v>426</v>
      </c>
      <c r="B466" s="23" t="n">
        <f aca="true">NORMINV(RAND(),$B$6,$C$6)</f>
        <v>0.107455610117739</v>
      </c>
      <c r="C466" s="23" t="n">
        <f aca="true">MAX(0.15,NORMINV(RAND(),$B$7,$C$7))</f>
        <v>0.325159657478124</v>
      </c>
      <c r="D466" s="35" t="n">
        <f aca="true">MAX(0.06,NORMINV(RAND(),$B$8,$C$8))</f>
        <v>0.0957403666643965</v>
      </c>
      <c r="E466" s="55" t="n">
        <f aca="true">MAX(5,NORMINV(RAND(),$B$9,$C$9))</f>
        <v>9.04488138278548</v>
      </c>
      <c r="F466" s="28" t="n">
        <f aca="false">$B$18*(1+(B466+$B$17)/2)^9</f>
        <v>41446.1069119534</v>
      </c>
      <c r="G466" s="28" t="n">
        <f aca="false">F466*C466</f>
        <v>13476.6019272925</v>
      </c>
      <c r="H466" s="28" t="n">
        <f aca="false">E466*G466/(1+D466)^9</f>
        <v>53532.1055262023</v>
      </c>
      <c r="I466" s="28" t="n">
        <f aca="false">$B$13*G466/$B$12*((1+$B$8)/(1+D466))^4.5</f>
        <v>26742.6564507822</v>
      </c>
      <c r="J466" s="28" t="n">
        <f aca="false">H466+I466-$B$14-$B$19</f>
        <v>57612.4051076695</v>
      </c>
      <c r="K466" s="46" t="n">
        <f aca="false">J466/$B$15</f>
        <v>170.855293913611</v>
      </c>
    </row>
    <row r="467" customFormat="false" ht="15" hidden="false" customHeight="false" outlineLevel="0" collapsed="false">
      <c r="A467" s="54" t="n">
        <v>427</v>
      </c>
      <c r="B467" s="23" t="n">
        <f aca="true">NORMINV(RAND(),$B$6,$C$6)</f>
        <v>0.12169418238557</v>
      </c>
      <c r="C467" s="23" t="n">
        <f aca="true">MAX(0.15,NORMINV(RAND(),$B$7,$C$7))</f>
        <v>0.368266484975514</v>
      </c>
      <c r="D467" s="35" t="n">
        <f aca="true">MAX(0.06,NORMINV(RAND(),$B$8,$C$8))</f>
        <v>0.0879700207439316</v>
      </c>
      <c r="E467" s="55" t="n">
        <f aca="true">MAX(5,NORMINV(RAND(),$B$9,$C$9))</f>
        <v>8.48266731449986</v>
      </c>
      <c r="F467" s="28" t="n">
        <f aca="false">$B$18*(1+(B467+$B$17)/2)^9</f>
        <v>44004.3247728759</v>
      </c>
      <c r="G467" s="28" t="n">
        <f aca="false">F467*C467</f>
        <v>16205.3180078279</v>
      </c>
      <c r="H467" s="28" t="n">
        <f aca="false">E467*G467/(1+D467)^9</f>
        <v>64363.2012279458</v>
      </c>
      <c r="I467" s="28" t="n">
        <f aca="false">$B$13*G467/$B$12*((1+$B$8)/(1+D467))^4.5</f>
        <v>33203.969030366</v>
      </c>
      <c r="J467" s="28" t="n">
        <f aca="false">H467+I467-$B$14-$B$19</f>
        <v>74904.8133889967</v>
      </c>
      <c r="K467" s="46" t="n">
        <f aca="false">J467/$B$15</f>
        <v>222.137643502363</v>
      </c>
    </row>
    <row r="468" customFormat="false" ht="15" hidden="false" customHeight="false" outlineLevel="0" collapsed="false">
      <c r="A468" s="54" t="n">
        <v>428</v>
      </c>
      <c r="B468" s="23" t="n">
        <f aca="true">NORMINV(RAND(),$B$6,$C$6)</f>
        <v>0.0336759599822507</v>
      </c>
      <c r="C468" s="23" t="n">
        <f aca="true">MAX(0.15,NORMINV(RAND(),$B$7,$C$7))</f>
        <v>0.346681490465795</v>
      </c>
      <c r="D468" s="35" t="n">
        <f aca="true">MAX(0.06,NORMINV(RAND(),$B$8,$C$8))</f>
        <v>0.0906335298379044</v>
      </c>
      <c r="E468" s="55" t="n">
        <f aca="true">MAX(5,NORMINV(RAND(),$B$9,$C$9))</f>
        <v>13.2701439040724</v>
      </c>
      <c r="F468" s="28" t="n">
        <f aca="false">$B$18*(1+(B468+$B$17)/2)^9</f>
        <v>30189.4836646334</v>
      </c>
      <c r="G468" s="28" t="n">
        <f aca="false">F468*C468</f>
        <v>10466.1351932479</v>
      </c>
      <c r="H468" s="28" t="n">
        <f aca="false">E468*G468/(1+D468)^9</f>
        <v>63613.950319959</v>
      </c>
      <c r="I468" s="28" t="n">
        <f aca="false">$B$13*G468/$B$12*((1+$B$8)/(1+D468))^4.5</f>
        <v>21209.9750104621</v>
      </c>
      <c r="J468" s="28" t="n">
        <f aca="false">H468+I468-$B$14-$B$19</f>
        <v>62161.568461106</v>
      </c>
      <c r="K468" s="46" t="n">
        <f aca="false">J468/$B$15</f>
        <v>184.346288437444</v>
      </c>
    </row>
    <row r="469" customFormat="false" ht="15" hidden="false" customHeight="false" outlineLevel="0" collapsed="false">
      <c r="A469" s="54" t="n">
        <v>429</v>
      </c>
      <c r="B469" s="23" t="n">
        <f aca="true">NORMINV(RAND(),$B$6,$C$6)</f>
        <v>0.0753716632901708</v>
      </c>
      <c r="C469" s="23" t="n">
        <f aca="true">MAX(0.15,NORMINV(RAND(),$B$7,$C$7))</f>
        <v>0.343126728152194</v>
      </c>
      <c r="D469" s="35" t="n">
        <f aca="true">MAX(0.06,NORMINV(RAND(),$B$8,$C$8))</f>
        <v>0.0979244393471019</v>
      </c>
      <c r="E469" s="55" t="n">
        <f aca="true">MAX(5,NORMINV(RAND(),$B$9,$C$9))</f>
        <v>11.1159300519331</v>
      </c>
      <c r="F469" s="28" t="n">
        <f aca="false">$B$18*(1+(B469+$B$17)/2)^9</f>
        <v>36160.0565879112</v>
      </c>
      <c r="G469" s="28" t="n">
        <f aca="false">F469*C469</f>
        <v>12407.4819068082</v>
      </c>
      <c r="H469" s="28" t="n">
        <f aca="false">E469*G469/(1+D469)^9</f>
        <v>59494.5774244422</v>
      </c>
      <c r="I469" s="28" t="n">
        <f aca="false">$B$13*G469/$B$12*((1+$B$8)/(1+D469))^4.5</f>
        <v>24401.483762479</v>
      </c>
      <c r="J469" s="28" t="n">
        <f aca="false">H469+I469-$B$14-$B$19</f>
        <v>61233.7043176061</v>
      </c>
      <c r="K469" s="46" t="n">
        <f aca="false">J469/$B$15</f>
        <v>181.594615414016</v>
      </c>
    </row>
    <row r="470" customFormat="false" ht="15" hidden="false" customHeight="false" outlineLevel="0" collapsed="false">
      <c r="A470" s="54" t="n">
        <v>430</v>
      </c>
      <c r="B470" s="23" t="n">
        <f aca="true">NORMINV(RAND(),$B$6,$C$6)</f>
        <v>0.0413598521465112</v>
      </c>
      <c r="C470" s="23" t="n">
        <f aca="true">MAX(0.15,NORMINV(RAND(),$B$7,$C$7))</f>
        <v>0.379772627504155</v>
      </c>
      <c r="D470" s="35" t="n">
        <f aca="true">MAX(0.06,NORMINV(RAND(),$B$8,$C$8))</f>
        <v>0.0914852403561109</v>
      </c>
      <c r="E470" s="55" t="n">
        <f aca="true">MAX(5,NORMINV(RAND(),$B$9,$C$9))</f>
        <v>8.22166540476237</v>
      </c>
      <c r="F470" s="28" t="n">
        <f aca="false">$B$18*(1+(B470+$B$17)/2)^9</f>
        <v>31218.8818624174</v>
      </c>
      <c r="G470" s="28" t="n">
        <f aca="false">F470*C470</f>
        <v>11856.0767926321</v>
      </c>
      <c r="H470" s="28" t="n">
        <f aca="false">E470*G470/(1+D470)^9</f>
        <v>44334.3143307093</v>
      </c>
      <c r="I470" s="28" t="n">
        <f aca="false">$B$13*G470/$B$12*((1+$B$8)/(1+D470))^4.5</f>
        <v>23942.4848267557</v>
      </c>
      <c r="J470" s="28" t="n">
        <f aca="false">H470+I470-$B$14-$B$19</f>
        <v>45614.4422881499</v>
      </c>
      <c r="K470" s="46" t="n">
        <f aca="false">J470/$B$15</f>
        <v>135.27414676201</v>
      </c>
    </row>
    <row r="471" customFormat="false" ht="15" hidden="false" customHeight="false" outlineLevel="0" collapsed="false">
      <c r="A471" s="54" t="n">
        <v>431</v>
      </c>
      <c r="B471" s="23" t="n">
        <f aca="true">NORMINV(RAND(),$B$6,$C$6)</f>
        <v>0.0221827129131739</v>
      </c>
      <c r="C471" s="23" t="n">
        <f aca="true">MAX(0.15,NORMINV(RAND(),$B$7,$C$7))</f>
        <v>0.308993444352419</v>
      </c>
      <c r="D471" s="35" t="n">
        <f aca="true">MAX(0.06,NORMINV(RAND(),$B$8,$C$8))</f>
        <v>0.102196152008594</v>
      </c>
      <c r="E471" s="55" t="n">
        <f aca="true">MAX(5,NORMINV(RAND(),$B$9,$C$9))</f>
        <v>9.24938407462646</v>
      </c>
      <c r="F471" s="28" t="n">
        <f aca="false">$B$18*(1+(B471+$B$17)/2)^9</f>
        <v>28706.034163725</v>
      </c>
      <c r="G471" s="28" t="n">
        <f aca="false">F471*C471</f>
        <v>8869.97636994758</v>
      </c>
      <c r="H471" s="28" t="n">
        <f aca="false">E471*G471/(1+D471)^9</f>
        <v>34174.7433816706</v>
      </c>
      <c r="I471" s="28" t="n">
        <f aca="false">$B$13*G471/$B$12*((1+$B$8)/(1+D471))^4.5</f>
        <v>17142.1809805967</v>
      </c>
      <c r="J471" s="28" t="n">
        <f aca="false">H471+I471-$B$14-$B$19</f>
        <v>28654.5674929522</v>
      </c>
      <c r="K471" s="46" t="n">
        <f aca="false">J471/$B$15</f>
        <v>84.9779581641526</v>
      </c>
    </row>
    <row r="472" customFormat="false" ht="15" hidden="false" customHeight="false" outlineLevel="0" collapsed="false">
      <c r="A472" s="54" t="n">
        <v>432</v>
      </c>
      <c r="B472" s="23" t="n">
        <f aca="true">NORMINV(RAND(),$B$6,$C$6)</f>
        <v>0.138554887909319</v>
      </c>
      <c r="C472" s="23" t="n">
        <f aca="true">MAX(0.15,NORMINV(RAND(),$B$7,$C$7))</f>
        <v>0.342549201123479</v>
      </c>
      <c r="D472" s="35" t="n">
        <f aca="true">MAX(0.06,NORMINV(RAND(),$B$8,$C$8))</f>
        <v>0.0902355766624514</v>
      </c>
      <c r="E472" s="55" t="n">
        <f aca="true">MAX(5,NORMINV(RAND(),$B$9,$C$9))</f>
        <v>7.45866953754574</v>
      </c>
      <c r="F472" s="28" t="n">
        <f aca="false">$B$18*(1+(B472+$B$17)/2)^9</f>
        <v>47214.4575183874</v>
      </c>
      <c r="G472" s="28" t="n">
        <f aca="false">F472*C472</f>
        <v>16173.2747044021</v>
      </c>
      <c r="H472" s="28" t="n">
        <f aca="false">E472*G472/(1+D472)^9</f>
        <v>55433.9952423568</v>
      </c>
      <c r="I472" s="28" t="n">
        <f aca="false">$B$13*G472/$B$12*((1+$B$8)/(1+D472))^4.5</f>
        <v>32829.5559848718</v>
      </c>
      <c r="J472" s="28" t="n">
        <f aca="false">H472+I472-$B$14-$B$19</f>
        <v>65601.1943579136</v>
      </c>
      <c r="K472" s="46" t="n">
        <f aca="false">J472/$B$15</f>
        <v>194.54683973284</v>
      </c>
    </row>
    <row r="473" customFormat="false" ht="15" hidden="false" customHeight="false" outlineLevel="0" collapsed="false">
      <c r="A473" s="54" t="n">
        <v>433</v>
      </c>
      <c r="B473" s="23" t="n">
        <f aca="true">NORMINV(RAND(),$B$6,$C$6)</f>
        <v>0.119821035679568</v>
      </c>
      <c r="C473" s="23" t="n">
        <f aca="true">MAX(0.15,NORMINV(RAND(),$B$7,$C$7))</f>
        <v>0.305724338106336</v>
      </c>
      <c r="D473" s="35" t="n">
        <f aca="true">MAX(0.06,NORMINV(RAND(),$B$8,$C$8))</f>
        <v>0.0970482863330333</v>
      </c>
      <c r="E473" s="55" t="n">
        <f aca="true">MAX(5,NORMINV(RAND(),$B$9,$C$9))</f>
        <v>10.1041428923432</v>
      </c>
      <c r="F473" s="28" t="n">
        <f aca="false">$B$18*(1+(B473+$B$17)/2)^9</f>
        <v>43659.9557234614</v>
      </c>
      <c r="G473" s="28" t="n">
        <f aca="false">F473*C473</f>
        <v>13347.9110653072</v>
      </c>
      <c r="H473" s="28" t="n">
        <f aca="false">E473*G473/(1+D473)^9</f>
        <v>58597.7706222804</v>
      </c>
      <c r="I473" s="28" t="n">
        <f aca="false">$B$13*G473/$B$12*((1+$B$8)/(1+D473))^4.5</f>
        <v>26345.4778066131</v>
      </c>
      <c r="J473" s="28" t="n">
        <f aca="false">H473+I473-$B$14-$B$19</f>
        <v>62280.8915595784</v>
      </c>
      <c r="K473" s="46" t="n">
        <f aca="false">J473/$B$15</f>
        <v>184.700152905037</v>
      </c>
    </row>
    <row r="474" customFormat="false" ht="15" hidden="false" customHeight="false" outlineLevel="0" collapsed="false">
      <c r="A474" s="54" t="n">
        <v>434</v>
      </c>
      <c r="B474" s="23" t="n">
        <f aca="true">NORMINV(RAND(),$B$6,$C$6)</f>
        <v>0.0771690087087094</v>
      </c>
      <c r="C474" s="23" t="n">
        <f aca="true">MAX(0.15,NORMINV(RAND(),$B$7,$C$7))</f>
        <v>0.32631437049197</v>
      </c>
      <c r="D474" s="35" t="n">
        <f aca="true">MAX(0.06,NORMINV(RAND(),$B$8,$C$8))</f>
        <v>0.0831375170075423</v>
      </c>
      <c r="E474" s="55" t="n">
        <f aca="true">MAX(5,NORMINV(RAND(),$B$9,$C$9))</f>
        <v>10.881361507447</v>
      </c>
      <c r="F474" s="28" t="n">
        <f aca="false">$B$18*(1+(B474+$B$17)/2)^9</f>
        <v>36439.5000694701</v>
      </c>
      <c r="G474" s="28" t="n">
        <f aca="false">F474*C474</f>
        <v>11890.7325262113</v>
      </c>
      <c r="H474" s="28" t="n">
        <f aca="false">E474*G474/(1+D474)^9</f>
        <v>63057.8935283593</v>
      </c>
      <c r="I474" s="28" t="n">
        <f aca="false">$B$13*G474/$B$12*((1+$B$8)/(1+D474))^4.5</f>
        <v>24856.5606030299</v>
      </c>
      <c r="J474" s="28" t="n">
        <f aca="false">H474+I474-$B$14-$B$19</f>
        <v>65252.0972620741</v>
      </c>
      <c r="K474" s="46" t="n">
        <f aca="false">J474/$B$15</f>
        <v>193.511557716709</v>
      </c>
    </row>
    <row r="475" customFormat="false" ht="15" hidden="false" customHeight="false" outlineLevel="0" collapsed="false">
      <c r="A475" s="54" t="n">
        <v>435</v>
      </c>
      <c r="B475" s="23" t="n">
        <f aca="true">NORMINV(RAND(),$B$6,$C$6)</f>
        <v>0.0919374255240025</v>
      </c>
      <c r="C475" s="23" t="n">
        <f aca="true">MAX(0.15,NORMINV(RAND(),$B$7,$C$7))</f>
        <v>0.318009579812521</v>
      </c>
      <c r="D475" s="35" t="n">
        <f aca="true">MAX(0.06,NORMINV(RAND(),$B$8,$C$8))</f>
        <v>0.0859232403011684</v>
      </c>
      <c r="E475" s="55" t="n">
        <f aca="true">MAX(5,NORMINV(RAND(),$B$9,$C$9))</f>
        <v>10.2848751002736</v>
      </c>
      <c r="F475" s="28" t="n">
        <f aca="false">$B$18*(1+(B475+$B$17)/2)^9</f>
        <v>38809.3112608663</v>
      </c>
      <c r="G475" s="28" t="n">
        <f aca="false">F475*C475</f>
        <v>12341.7327668814</v>
      </c>
      <c r="H475" s="28" t="n">
        <f aca="false">E475*G475/(1+D475)^9</f>
        <v>60448.1495574012</v>
      </c>
      <c r="I475" s="28" t="n">
        <f aca="false">$B$13*G475/$B$12*((1+$B$8)/(1+D475))^4.5</f>
        <v>25502.8480816561</v>
      </c>
      <c r="J475" s="28" t="n">
        <f aca="false">H475+I475-$B$14-$B$19</f>
        <v>63288.6407697422</v>
      </c>
      <c r="K475" s="46" t="n">
        <f aca="false">J475/$B$15</f>
        <v>187.688733006353</v>
      </c>
    </row>
    <row r="476" customFormat="false" ht="15" hidden="false" customHeight="false" outlineLevel="0" collapsed="false">
      <c r="A476" s="54" t="n">
        <v>436</v>
      </c>
      <c r="B476" s="23" t="n">
        <f aca="true">NORMINV(RAND(),$B$6,$C$6)</f>
        <v>0.129808263522138</v>
      </c>
      <c r="C476" s="23" t="n">
        <f aca="true">MAX(0.15,NORMINV(RAND(),$B$7,$C$7))</f>
        <v>0.333537871001503</v>
      </c>
      <c r="D476" s="35" t="n">
        <f aca="true">MAX(0.06,NORMINV(RAND(),$B$8,$C$8))</f>
        <v>0.114220799303033</v>
      </c>
      <c r="E476" s="55" t="n">
        <f aca="true">MAX(5,NORMINV(RAND(),$B$9,$C$9))</f>
        <v>6.93313951747559</v>
      </c>
      <c r="F476" s="28" t="n">
        <f aca="false">$B$18*(1+(B476+$B$17)/2)^9</f>
        <v>45524.1073237889</v>
      </c>
      <c r="G476" s="28" t="n">
        <f aca="false">F476*C476</f>
        <v>15184.0138360205</v>
      </c>
      <c r="H476" s="28" t="n">
        <f aca="false">E476*G476/(1+D476)^9</f>
        <v>39771.7938321838</v>
      </c>
      <c r="I476" s="28" t="n">
        <f aca="false">$B$13*G476/$B$12*((1+$B$8)/(1+D476))^4.5</f>
        <v>27946.3140710703</v>
      </c>
      <c r="J476" s="28" t="n">
        <f aca="false">H476+I476-$B$14-$B$19</f>
        <v>45055.7510339391</v>
      </c>
      <c r="K476" s="46" t="n">
        <f aca="false">J476/$B$15</f>
        <v>133.617292508716</v>
      </c>
    </row>
    <row r="477" customFormat="false" ht="15" hidden="false" customHeight="false" outlineLevel="0" collapsed="false">
      <c r="A477" s="54" t="n">
        <v>437</v>
      </c>
      <c r="B477" s="23" t="n">
        <f aca="true">NORMINV(RAND(),$B$6,$C$6)</f>
        <v>0.136219948595281</v>
      </c>
      <c r="C477" s="23" t="n">
        <f aca="true">MAX(0.15,NORMINV(RAND(),$B$7,$C$7))</f>
        <v>0.314074747438784</v>
      </c>
      <c r="D477" s="35" t="n">
        <f aca="true">MAX(0.06,NORMINV(RAND(),$B$8,$C$8))</f>
        <v>0.0960221291140815</v>
      </c>
      <c r="E477" s="55" t="n">
        <f aca="true">MAX(5,NORMINV(RAND(),$B$9,$C$9))</f>
        <v>10.8159724120349</v>
      </c>
      <c r="F477" s="28" t="n">
        <f aca="false">$B$18*(1+(B477+$B$17)/2)^9</f>
        <v>46757.8415638631</v>
      </c>
      <c r="G477" s="28" t="n">
        <f aca="false">F477*C477</f>
        <v>14685.457279953</v>
      </c>
      <c r="H477" s="28" t="n">
        <f aca="false">E477*G477/(1+D477)^9</f>
        <v>69595.1763748486</v>
      </c>
      <c r="I477" s="28" t="n">
        <f aca="false">$B$13*G477/$B$12*((1+$B$8)/(1+D477))^4.5</f>
        <v>29107.7838879848</v>
      </c>
      <c r="J477" s="28" t="n">
        <f aca="false">H477+I477-$B$14-$B$19</f>
        <v>76040.6033935183</v>
      </c>
      <c r="K477" s="46" t="n">
        <f aca="false">J477/$B$15</f>
        <v>225.505941261917</v>
      </c>
    </row>
    <row r="478" customFormat="false" ht="15" hidden="false" customHeight="false" outlineLevel="0" collapsed="false">
      <c r="A478" s="54" t="n">
        <v>438</v>
      </c>
      <c r="B478" s="23" t="n">
        <f aca="true">NORMINV(RAND(),$B$6,$C$6)</f>
        <v>0.0986284833209515</v>
      </c>
      <c r="C478" s="23" t="n">
        <f aca="true">MAX(0.15,NORMINV(RAND(),$B$7,$C$7))</f>
        <v>0.342321232405736</v>
      </c>
      <c r="D478" s="35" t="n">
        <f aca="true">MAX(0.06,NORMINV(RAND(),$B$8,$C$8))</f>
        <v>0.106232547402323</v>
      </c>
      <c r="E478" s="55" t="n">
        <f aca="true">MAX(5,NORMINV(RAND(),$B$9,$C$9))</f>
        <v>10.2102242965222</v>
      </c>
      <c r="F478" s="28" t="n">
        <f aca="false">$B$18*(1+(B478+$B$17)/2)^9</f>
        <v>39927.362494452</v>
      </c>
      <c r="G478" s="28" t="n">
        <f aca="false">F478*C478</f>
        <v>13667.9839358114</v>
      </c>
      <c r="H478" s="28" t="n">
        <f aca="false">E478*G478/(1+D478)^9</f>
        <v>56249.9128351932</v>
      </c>
      <c r="I478" s="28" t="n">
        <f aca="false">$B$13*G478/$B$12*((1+$B$8)/(1+D478))^4.5</f>
        <v>25983.8880012276</v>
      </c>
      <c r="J478" s="28" t="n">
        <f aca="false">H478+I478-$B$14-$B$19</f>
        <v>59571.4439671058</v>
      </c>
      <c r="K478" s="46" t="n">
        <f aca="false">J478/$B$15</f>
        <v>176.665017696043</v>
      </c>
    </row>
    <row r="479" customFormat="false" ht="15" hidden="false" customHeight="false" outlineLevel="0" collapsed="false">
      <c r="A479" s="54" t="n">
        <v>439</v>
      </c>
      <c r="B479" s="23" t="n">
        <f aca="true">NORMINV(RAND(),$B$6,$C$6)</f>
        <v>0.0888963832828564</v>
      </c>
      <c r="C479" s="23" t="n">
        <f aca="true">MAX(0.15,NORMINV(RAND(),$B$7,$C$7))</f>
        <v>0.328127938555616</v>
      </c>
      <c r="D479" s="35" t="n">
        <f aca="true">MAX(0.06,NORMINV(RAND(),$B$8,$C$8))</f>
        <v>0.104864392217245</v>
      </c>
      <c r="E479" s="55" t="n">
        <f aca="true">MAX(5,NORMINV(RAND(),$B$9,$C$9))</f>
        <v>9.838849214196</v>
      </c>
      <c r="F479" s="28" t="n">
        <f aca="false">$B$18*(1+(B479+$B$17)/2)^9</f>
        <v>38310.4284188695</v>
      </c>
      <c r="G479" s="28" t="n">
        <f aca="false">F479*C479</f>
        <v>12570.7219022661</v>
      </c>
      <c r="H479" s="28" t="n">
        <f aca="false">E479*G479/(1+D479)^9</f>
        <v>50410.8160792795</v>
      </c>
      <c r="I479" s="28" t="n">
        <f aca="false">$B$13*G479/$B$12*((1+$B$8)/(1+D479))^4.5</f>
        <v>24031.365081559</v>
      </c>
      <c r="J479" s="28" t="n">
        <f aca="false">H479+I479-$B$14-$B$19</f>
        <v>51779.8242915235</v>
      </c>
      <c r="K479" s="46" t="n">
        <f aca="false">J479/$B$15</f>
        <v>153.558197780319</v>
      </c>
    </row>
    <row r="480" customFormat="false" ht="15" hidden="false" customHeight="false" outlineLevel="0" collapsed="false">
      <c r="A480" s="54" t="n">
        <v>440</v>
      </c>
      <c r="B480" s="23" t="n">
        <f aca="true">NORMINV(RAND(),$B$6,$C$6)</f>
        <v>0.0770518366152724</v>
      </c>
      <c r="C480" s="23" t="n">
        <f aca="true">MAX(0.15,NORMINV(RAND(),$B$7,$C$7))</f>
        <v>0.323207730481042</v>
      </c>
      <c r="D480" s="35" t="n">
        <f aca="true">MAX(0.06,NORMINV(RAND(),$B$8,$C$8))</f>
        <v>0.0964316329061018</v>
      </c>
      <c r="E480" s="55" t="n">
        <f aca="true">MAX(5,NORMINV(RAND(),$B$9,$C$9))</f>
        <v>10.4971803477989</v>
      </c>
      <c r="F480" s="28" t="n">
        <f aca="false">$B$18*(1+(B480+$B$17)/2)^9</f>
        <v>36421.2243428341</v>
      </c>
      <c r="G480" s="28" t="n">
        <f aca="false">F480*C480</f>
        <v>11771.6212611883</v>
      </c>
      <c r="H480" s="28" t="n">
        <f aca="false">E480*G480/(1+D480)^9</f>
        <v>53960.3711752819</v>
      </c>
      <c r="I480" s="28" t="n">
        <f aca="false">$B$13*G480/$B$12*((1+$B$8)/(1+D480))^4.5</f>
        <v>23293.1324083576</v>
      </c>
      <c r="J480" s="28" t="n">
        <f aca="false">H480+I480-$B$14-$B$19</f>
        <v>54591.1467143244</v>
      </c>
      <c r="K480" s="46" t="n">
        <f aca="false">J480/$B$15</f>
        <v>161.895452889456</v>
      </c>
    </row>
    <row r="481" customFormat="false" ht="15" hidden="false" customHeight="false" outlineLevel="0" collapsed="false">
      <c r="A481" s="54" t="n">
        <v>441</v>
      </c>
      <c r="B481" s="23" t="n">
        <f aca="true">NORMINV(RAND(),$B$6,$C$6)</f>
        <v>0.0863859026476148</v>
      </c>
      <c r="C481" s="23" t="n">
        <f aca="true">MAX(0.15,NORMINV(RAND(),$B$7,$C$7))</f>
        <v>0.34749492404963</v>
      </c>
      <c r="D481" s="35" t="n">
        <f aca="true">MAX(0.06,NORMINV(RAND(),$B$8,$C$8))</f>
        <v>0.0984297533340601</v>
      </c>
      <c r="E481" s="55" t="n">
        <f aca="true">MAX(5,NORMINV(RAND(),$B$9,$C$9))</f>
        <v>12.9182136665549</v>
      </c>
      <c r="F481" s="28" t="n">
        <f aca="false">$B$18*(1+(B481+$B$17)/2)^9</f>
        <v>37902.8882420021</v>
      </c>
      <c r="G481" s="28" t="n">
        <f aca="false">F481*C481</f>
        <v>13171.0612709162</v>
      </c>
      <c r="H481" s="28" t="n">
        <f aca="false">E481*G481/(1+D481)^9</f>
        <v>73092.4702824245</v>
      </c>
      <c r="I481" s="28" t="n">
        <f aca="false">$B$13*G481/$B$12*((1+$B$8)/(1+D481))^4.5</f>
        <v>25849.6158495033</v>
      </c>
      <c r="J481" s="28" t="n">
        <f aca="false">H481+I481-$B$14-$B$19</f>
        <v>76279.7292626127</v>
      </c>
      <c r="K481" s="46" t="n">
        <f aca="false">J481/$B$15</f>
        <v>226.215092712375</v>
      </c>
    </row>
    <row r="482" customFormat="false" ht="15" hidden="false" customHeight="false" outlineLevel="0" collapsed="false">
      <c r="A482" s="54" t="n">
        <v>442</v>
      </c>
      <c r="B482" s="23" t="n">
        <f aca="true">NORMINV(RAND(),$B$6,$C$6)</f>
        <v>0.0435113183904273</v>
      </c>
      <c r="C482" s="23" t="n">
        <f aca="true">MAX(0.15,NORMINV(RAND(),$B$7,$C$7))</f>
        <v>0.305798065877365</v>
      </c>
      <c r="D482" s="35" t="n">
        <f aca="true">MAX(0.06,NORMINV(RAND(),$B$8,$C$8))</f>
        <v>0.0928471315073159</v>
      </c>
      <c r="E482" s="55" t="n">
        <f aca="true">MAX(5,NORMINV(RAND(),$B$9,$C$9))</f>
        <v>11.0494639015609</v>
      </c>
      <c r="F482" s="28" t="n">
        <f aca="false">$B$18*(1+(B482+$B$17)/2)^9</f>
        <v>31512.6453314887</v>
      </c>
      <c r="G482" s="28" t="n">
        <f aca="false">F482*C482</f>
        <v>9636.50599304862</v>
      </c>
      <c r="H482" s="28" t="n">
        <f aca="false">E482*G482/(1+D482)^9</f>
        <v>47887.9287325834</v>
      </c>
      <c r="I482" s="28" t="n">
        <f aca="false">$B$13*G482/$B$12*((1+$B$8)/(1+D482))^4.5</f>
        <v>19351.3309784089</v>
      </c>
      <c r="J482" s="28" t="n">
        <f aca="false">H482+I482-$B$14-$B$19</f>
        <v>44576.9028416773</v>
      </c>
      <c r="K482" s="46" t="n">
        <f aca="false">J482/$B$15</f>
        <v>132.197220764167</v>
      </c>
    </row>
    <row r="483" customFormat="false" ht="15" hidden="false" customHeight="false" outlineLevel="0" collapsed="false">
      <c r="A483" s="54" t="n">
        <v>443</v>
      </c>
      <c r="B483" s="23" t="n">
        <f aca="true">NORMINV(RAND(),$B$6,$C$6)</f>
        <v>0.0575020116375167</v>
      </c>
      <c r="C483" s="23" t="n">
        <f aca="true">MAX(0.15,NORMINV(RAND(),$B$7,$C$7))</f>
        <v>0.291448850092279</v>
      </c>
      <c r="D483" s="35" t="n">
        <f aca="true">MAX(0.06,NORMINV(RAND(),$B$8,$C$8))</f>
        <v>0.094523188499072</v>
      </c>
      <c r="E483" s="55" t="n">
        <f aca="true">MAX(5,NORMINV(RAND(),$B$9,$C$9))</f>
        <v>10.7765286381063</v>
      </c>
      <c r="F483" s="28" t="n">
        <f aca="false">$B$18*(1+(B483+$B$17)/2)^9</f>
        <v>33483.6361190506</v>
      </c>
      <c r="G483" s="28" t="n">
        <f aca="false">F483*C483</f>
        <v>9758.7672438056</v>
      </c>
      <c r="H483" s="28" t="n">
        <f aca="false">E483*G483/(1+D483)^9</f>
        <v>46649.7311000249</v>
      </c>
      <c r="I483" s="28" t="n">
        <f aca="false">$B$13*G483/$B$12*((1+$B$8)/(1+D483))^4.5</f>
        <v>19462.1685223412</v>
      </c>
      <c r="J483" s="28" t="n">
        <f aca="false">H483+I483-$B$14-$B$19</f>
        <v>43449.542753051</v>
      </c>
      <c r="K483" s="46" t="n">
        <f aca="false">J483/$B$15</f>
        <v>128.853922755193</v>
      </c>
    </row>
    <row r="484" customFormat="false" ht="15" hidden="false" customHeight="false" outlineLevel="0" collapsed="false">
      <c r="A484" s="54" t="n">
        <v>444</v>
      </c>
      <c r="B484" s="23" t="n">
        <f aca="true">NORMINV(RAND(),$B$6,$C$6)</f>
        <v>0.0991870837489998</v>
      </c>
      <c r="C484" s="23" t="n">
        <f aca="true">MAX(0.15,NORMINV(RAND(),$B$7,$C$7))</f>
        <v>0.3226755159987</v>
      </c>
      <c r="D484" s="35" t="n">
        <f aca="true">MAX(0.06,NORMINV(RAND(),$B$8,$C$8))</f>
        <v>0.0916134352437712</v>
      </c>
      <c r="E484" s="55" t="n">
        <f aca="true">MAX(5,NORMINV(RAND(),$B$9,$C$9))</f>
        <v>11.6091592909065</v>
      </c>
      <c r="F484" s="28" t="n">
        <f aca="false">$B$18*(1+(B484+$B$17)/2)^9</f>
        <v>40021.984651215</v>
      </c>
      <c r="G484" s="28" t="n">
        <f aca="false">F484*C484</f>
        <v>12914.1145486228</v>
      </c>
      <c r="H484" s="28" t="n">
        <f aca="false">E484*G484/(1+D484)^9</f>
        <v>68115.4381890255</v>
      </c>
      <c r="I484" s="28" t="n">
        <f aca="false">$B$13*G484/$B$12*((1+$B$8)/(1+D484))^4.5</f>
        <v>26065.3361193648</v>
      </c>
      <c r="J484" s="28" t="n">
        <f aca="false">H484+I484-$B$14-$B$19</f>
        <v>71518.4174390752</v>
      </c>
      <c r="K484" s="46" t="n">
        <f aca="false">J484/$B$15</f>
        <v>212.094950886937</v>
      </c>
    </row>
    <row r="485" customFormat="false" ht="15" hidden="false" customHeight="false" outlineLevel="0" collapsed="false">
      <c r="A485" s="54" t="n">
        <v>445</v>
      </c>
      <c r="B485" s="23" t="n">
        <f aca="true">NORMINV(RAND(),$B$6,$C$6)</f>
        <v>0.0988978537908675</v>
      </c>
      <c r="C485" s="23" t="n">
        <f aca="true">MAX(0.15,NORMINV(RAND(),$B$7,$C$7))</f>
        <v>0.300443116203082</v>
      </c>
      <c r="D485" s="35" t="n">
        <f aca="true">MAX(0.06,NORMINV(RAND(),$B$8,$C$8))</f>
        <v>0.0968093157723</v>
      </c>
      <c r="E485" s="55" t="n">
        <f aca="true">MAX(5,NORMINV(RAND(),$B$9,$C$9))</f>
        <v>7.57091254260868</v>
      </c>
      <c r="F485" s="28" t="n">
        <f aca="false">$B$18*(1+(B485+$B$17)/2)^9</f>
        <v>39972.966704257</v>
      </c>
      <c r="G485" s="28" t="n">
        <f aca="false">F485*C485</f>
        <v>12009.602680509</v>
      </c>
      <c r="H485" s="28" t="n">
        <f aca="false">E485*G485/(1+D485)^9</f>
        <v>39581.9052293013</v>
      </c>
      <c r="I485" s="28" t="n">
        <f aca="false">$B$13*G485/$B$12*((1+$B$8)/(1+D485))^4.5</f>
        <v>23727.237243556</v>
      </c>
      <c r="J485" s="28" t="n">
        <f aca="false">H485+I485-$B$14-$B$19</f>
        <v>40646.7856035423</v>
      </c>
      <c r="K485" s="46" t="n">
        <f aca="false">J485/$B$15</f>
        <v>120.542068812403</v>
      </c>
    </row>
    <row r="486" customFormat="false" ht="15" hidden="false" customHeight="false" outlineLevel="0" collapsed="false">
      <c r="A486" s="54" t="n">
        <v>446</v>
      </c>
      <c r="B486" s="23" t="n">
        <f aca="true">NORMINV(RAND(),$B$6,$C$6)</f>
        <v>0.0819686094286576</v>
      </c>
      <c r="C486" s="23" t="n">
        <f aca="true">MAX(0.15,NORMINV(RAND(),$B$7,$C$7))</f>
        <v>0.302081125455545</v>
      </c>
      <c r="D486" s="35" t="n">
        <f aca="true">MAX(0.06,NORMINV(RAND(),$B$8,$C$8))</f>
        <v>0.0710135921295103</v>
      </c>
      <c r="E486" s="55" t="n">
        <f aca="true">MAX(5,NORMINV(RAND(),$B$9,$C$9))</f>
        <v>10.4818624946391</v>
      </c>
      <c r="F486" s="28" t="n">
        <f aca="false">$B$18*(1+(B486+$B$17)/2)^9</f>
        <v>37195.1517870274</v>
      </c>
      <c r="G486" s="28" t="n">
        <f aca="false">F486*C486</f>
        <v>11235.9533133151</v>
      </c>
      <c r="H486" s="28" t="n">
        <f aca="false">E486*G486/(1+D486)^9</f>
        <v>63517.5213208418</v>
      </c>
      <c r="I486" s="28" t="n">
        <f aca="false">$B$13*G486/$B$12*((1+$B$8)/(1+D486))^4.5</f>
        <v>24708.2009723979</v>
      </c>
      <c r="J486" s="28" t="n">
        <f aca="false">H486+I486-$B$14-$B$19</f>
        <v>65563.3654239246</v>
      </c>
      <c r="K486" s="46" t="n">
        <f aca="false">J486/$B$15</f>
        <v>194.434654282101</v>
      </c>
    </row>
    <row r="487" customFormat="false" ht="15" hidden="false" customHeight="false" outlineLevel="0" collapsed="false">
      <c r="A487" s="54" t="n">
        <v>447</v>
      </c>
      <c r="B487" s="23" t="n">
        <f aca="true">NORMINV(RAND(),$B$6,$C$6)</f>
        <v>0.05675562770834</v>
      </c>
      <c r="C487" s="23" t="n">
        <f aca="true">MAX(0.15,NORMINV(RAND(),$B$7,$C$7))</f>
        <v>0.355893495797407</v>
      </c>
      <c r="D487" s="35" t="n">
        <f aca="true">MAX(0.06,NORMINV(RAND(),$B$8,$C$8))</f>
        <v>0.102070359919617</v>
      </c>
      <c r="E487" s="55" t="n">
        <f aca="true">MAX(5,NORMINV(RAND(),$B$9,$C$9))</f>
        <v>7.35390474514272</v>
      </c>
      <c r="F487" s="28" t="n">
        <f aca="false">$B$18*(1+(B487+$B$17)/2)^9</f>
        <v>33375.7838142433</v>
      </c>
      <c r="G487" s="28" t="n">
        <f aca="false">F487*C487</f>
        <v>11878.2243766296</v>
      </c>
      <c r="H487" s="28" t="n">
        <f aca="false">E487*G487/(1+D487)^9</f>
        <v>36423.8312100699</v>
      </c>
      <c r="I487" s="28" t="n">
        <f aca="false">$B$13*G487/$B$12*((1+$B$8)/(1+D487))^4.5</f>
        <v>22967.7363867887</v>
      </c>
      <c r="J487" s="28" t="n">
        <f aca="false">H487+I487-$B$14-$B$19</f>
        <v>36729.2107275435</v>
      </c>
      <c r="K487" s="46" t="n">
        <f aca="false">J487/$B$15</f>
        <v>108.924112477887</v>
      </c>
    </row>
    <row r="488" customFormat="false" ht="15" hidden="false" customHeight="false" outlineLevel="0" collapsed="false">
      <c r="A488" s="54" t="n">
        <v>448</v>
      </c>
      <c r="B488" s="23" t="n">
        <f aca="true">NORMINV(RAND(),$B$6,$C$6)</f>
        <v>0.0674331090973373</v>
      </c>
      <c r="C488" s="23" t="n">
        <f aca="true">MAX(0.15,NORMINV(RAND(),$B$7,$C$7))</f>
        <v>0.300337955243769</v>
      </c>
      <c r="D488" s="35" t="n">
        <f aca="true">MAX(0.06,NORMINV(RAND(),$B$8,$C$8))</f>
        <v>0.0996315572221741</v>
      </c>
      <c r="E488" s="55" t="n">
        <f aca="true">MAX(5,NORMINV(RAND(),$B$9,$C$9))</f>
        <v>10.6227030189735</v>
      </c>
      <c r="F488" s="28" t="n">
        <f aca="false">$B$18*(1+(B488+$B$17)/2)^9</f>
        <v>34948.4563101116</v>
      </c>
      <c r="G488" s="28" t="n">
        <f aca="false">F488*C488</f>
        <v>10496.3479071051</v>
      </c>
      <c r="H488" s="28" t="n">
        <f aca="false">E488*G488/(1+D488)^9</f>
        <v>47429.495439382</v>
      </c>
      <c r="I488" s="28" t="n">
        <f aca="false">$B$13*G488/$B$12*((1+$B$8)/(1+D488))^4.5</f>
        <v>20499.0842855656</v>
      </c>
      <c r="J488" s="28" t="n">
        <f aca="false">H488+I488-$B$14-$B$19</f>
        <v>45266.2228556326</v>
      </c>
      <c r="K488" s="46" t="n">
        <f aca="false">J488/$B$15</f>
        <v>134.241467543394</v>
      </c>
    </row>
    <row r="489" customFormat="false" ht="15" hidden="false" customHeight="false" outlineLevel="0" collapsed="false">
      <c r="A489" s="54" t="n">
        <v>449</v>
      </c>
      <c r="B489" s="23" t="n">
        <f aca="true">NORMINV(RAND(),$B$6,$C$6)</f>
        <v>0.092927195179118</v>
      </c>
      <c r="C489" s="23" t="n">
        <f aca="true">MAX(0.15,NORMINV(RAND(),$B$7,$C$7))</f>
        <v>0.303542091647712</v>
      </c>
      <c r="D489" s="35" t="n">
        <f aca="true">MAX(0.06,NORMINV(RAND(),$B$8,$C$8))</f>
        <v>0.0745473645562708</v>
      </c>
      <c r="E489" s="55" t="n">
        <f aca="true">MAX(5,NORMINV(RAND(),$B$9,$C$9))</f>
        <v>12.3213428897179</v>
      </c>
      <c r="F489" s="28" t="n">
        <f aca="false">$B$18*(1+(B489+$B$17)/2)^9</f>
        <v>38972.9239185451</v>
      </c>
      <c r="G489" s="28" t="n">
        <f aca="false">F489*C489</f>
        <v>11829.9228438623</v>
      </c>
      <c r="H489" s="28" t="n">
        <f aca="false">E489*G489/(1+D489)^9</f>
        <v>76314.9959802767</v>
      </c>
      <c r="I489" s="28" t="n">
        <f aca="false">$B$13*G489/$B$12*((1+$B$8)/(1+D489))^4.5</f>
        <v>25631.5870338138</v>
      </c>
      <c r="J489" s="28" t="n">
        <f aca="false">H489+I489-$B$14-$B$19</f>
        <v>79284.2261447754</v>
      </c>
      <c r="K489" s="46" t="n">
        <f aca="false">J489/$B$15</f>
        <v>235.125225814874</v>
      </c>
    </row>
    <row r="490" customFormat="false" ht="15" hidden="false" customHeight="false" outlineLevel="0" collapsed="false">
      <c r="A490" s="54" t="n">
        <v>450</v>
      </c>
      <c r="B490" s="23" t="n">
        <f aca="true">NORMINV(RAND(),$B$6,$C$6)</f>
        <v>0.0659083684728604</v>
      </c>
      <c r="C490" s="23" t="n">
        <f aca="true">MAX(0.15,NORMINV(RAND(),$B$7,$C$7))</f>
        <v>0.27553839314939</v>
      </c>
      <c r="D490" s="35" t="n">
        <f aca="true">MAX(0.06,NORMINV(RAND(),$B$8,$C$8))</f>
        <v>0.102778607851337</v>
      </c>
      <c r="E490" s="55" t="n">
        <f aca="true">MAX(5,NORMINV(RAND(),$B$9,$C$9))</f>
        <v>10.3001645618641</v>
      </c>
      <c r="F490" s="28" t="n">
        <f aca="false">$B$18*(1+(B490+$B$17)/2)^9</f>
        <v>34719.9230925388</v>
      </c>
      <c r="G490" s="28" t="n">
        <f aca="false">F490*C490</f>
        <v>9566.67181918854</v>
      </c>
      <c r="H490" s="28" t="n">
        <f aca="false">E490*G490/(1+D490)^9</f>
        <v>40851.69146341</v>
      </c>
      <c r="I490" s="28" t="n">
        <f aca="false">$B$13*G490/$B$12*((1+$B$8)/(1+D490))^4.5</f>
        <v>18444.7170827744</v>
      </c>
      <c r="J490" s="28" t="n">
        <f aca="false">H490+I490-$B$14-$B$19</f>
        <v>36634.0516768693</v>
      </c>
      <c r="K490" s="46" t="n">
        <f aca="false">J490/$B$15</f>
        <v>108.641908887513</v>
      </c>
    </row>
    <row r="491" customFormat="false" ht="15" hidden="false" customHeight="false" outlineLevel="0" collapsed="false">
      <c r="A491" s="54" t="n">
        <v>451</v>
      </c>
      <c r="B491" s="23" t="n">
        <f aca="true">NORMINV(RAND(),$B$6,$C$6)</f>
        <v>0.1283946041649</v>
      </c>
      <c r="C491" s="23" t="n">
        <f aca="true">MAX(0.15,NORMINV(RAND(),$B$7,$C$7))</f>
        <v>0.32531139590801</v>
      </c>
      <c r="D491" s="35" t="n">
        <f aca="true">MAX(0.06,NORMINV(RAND(),$B$8,$C$8))</f>
        <v>0.093310624848912</v>
      </c>
      <c r="E491" s="55" t="n">
        <f aca="true">MAX(5,NORMINV(RAND(),$B$9,$C$9))</f>
        <v>9.62672579638081</v>
      </c>
      <c r="F491" s="28" t="n">
        <f aca="false">$B$18*(1+(B491+$B$17)/2)^9</f>
        <v>45256.0172934897</v>
      </c>
      <c r="G491" s="28" t="n">
        <f aca="false">F491*C491</f>
        <v>14722.2981589822</v>
      </c>
      <c r="H491" s="28" t="n">
        <f aca="false">E491*G491/(1+D491)^9</f>
        <v>63498.2992232107</v>
      </c>
      <c r="I491" s="28" t="n">
        <f aca="false">$B$13*G491/$B$12*((1+$B$8)/(1+D491))^4.5</f>
        <v>29507.8909859353</v>
      </c>
      <c r="J491" s="28" t="n">
        <f aca="false">H491+I491-$B$14-$B$19</f>
        <v>70343.8333398309</v>
      </c>
      <c r="K491" s="46" t="n">
        <f aca="false">J491/$B$15</f>
        <v>208.611605396889</v>
      </c>
    </row>
    <row r="492" customFormat="false" ht="15" hidden="false" customHeight="false" outlineLevel="0" collapsed="false">
      <c r="A492" s="54" t="n">
        <v>452</v>
      </c>
      <c r="B492" s="23" t="n">
        <f aca="true">NORMINV(RAND(),$B$6,$C$6)</f>
        <v>0.101991217323557</v>
      </c>
      <c r="C492" s="23" t="n">
        <f aca="true">MAX(0.15,NORMINV(RAND(),$B$7,$C$7))</f>
        <v>0.383763191104666</v>
      </c>
      <c r="D492" s="35" t="n">
        <f aca="true">MAX(0.06,NORMINV(RAND(),$B$8,$C$8))</f>
        <v>0.0965689897870319</v>
      </c>
      <c r="E492" s="55" t="n">
        <f aca="true">MAX(5,NORMINV(RAND(),$B$9,$C$9))</f>
        <v>10.7575242106317</v>
      </c>
      <c r="F492" s="28" t="n">
        <f aca="false">$B$18*(1+(B492+$B$17)/2)^9</f>
        <v>40499.9994202599</v>
      </c>
      <c r="G492" s="28" t="n">
        <f aca="false">F492*C492</f>
        <v>15542.409017256</v>
      </c>
      <c r="H492" s="28" t="n">
        <f aca="false">E492*G492/(1+D492)^9</f>
        <v>72930.1361563069</v>
      </c>
      <c r="I492" s="28" t="n">
        <f aca="false">$B$13*G492/$B$12*((1+$B$8)/(1+D492))^4.5</f>
        <v>30737.2587585692</v>
      </c>
      <c r="J492" s="28" t="n">
        <f aca="false">H492+I492-$B$14-$B$19</f>
        <v>81005.038045561</v>
      </c>
      <c r="K492" s="46" t="n">
        <f aca="false">J492/$B$15</f>
        <v>240.228463954807</v>
      </c>
    </row>
    <row r="493" customFormat="false" ht="15" hidden="false" customHeight="false" outlineLevel="0" collapsed="false">
      <c r="A493" s="54" t="n">
        <v>453</v>
      </c>
      <c r="B493" s="23" t="n">
        <f aca="true">NORMINV(RAND(),$B$6,$C$6)</f>
        <v>0.131379699705478</v>
      </c>
      <c r="C493" s="23" t="n">
        <f aca="true">MAX(0.15,NORMINV(RAND(),$B$7,$C$7))</f>
        <v>0.315754542844436</v>
      </c>
      <c r="D493" s="35" t="n">
        <f aca="true">MAX(0.06,NORMINV(RAND(),$B$8,$C$8))</f>
        <v>0.088165220320285</v>
      </c>
      <c r="E493" s="55" t="n">
        <f aca="true">MAX(5,NORMINV(RAND(),$B$9,$C$9))</f>
        <v>8.70278034128686</v>
      </c>
      <c r="F493" s="28" t="n">
        <f aca="false">$B$18*(1+(B493+$B$17)/2)^9</f>
        <v>45823.7745466887</v>
      </c>
      <c r="G493" s="28" t="n">
        <f aca="false">F493*C493</f>
        <v>14469.0649833962</v>
      </c>
      <c r="H493" s="28" t="n">
        <f aca="false">E493*G493/(1+D493)^9</f>
        <v>58863.3426288775</v>
      </c>
      <c r="I493" s="28" t="n">
        <f aca="false">$B$13*G493/$B$12*((1+$B$8)/(1+D493))^4.5</f>
        <v>29622.5405728581</v>
      </c>
      <c r="J493" s="28" t="n">
        <f aca="false">H493+I493-$B$14-$B$19</f>
        <v>65823.5263324206</v>
      </c>
      <c r="K493" s="46" t="n">
        <f aca="false">J493/$B$15</f>
        <v>195.206187225447</v>
      </c>
    </row>
    <row r="494" customFormat="false" ht="15" hidden="false" customHeight="false" outlineLevel="0" collapsed="false">
      <c r="A494" s="54" t="n">
        <v>454</v>
      </c>
      <c r="B494" s="23" t="n">
        <f aca="true">NORMINV(RAND(),$B$6,$C$6)</f>
        <v>0.0894612533533382</v>
      </c>
      <c r="C494" s="23" t="n">
        <f aca="true">MAX(0.15,NORMINV(RAND(),$B$7,$C$7))</f>
        <v>0.330417268271631</v>
      </c>
      <c r="D494" s="35" t="n">
        <f aca="true">MAX(0.06,NORMINV(RAND(),$B$8,$C$8))</f>
        <v>0.092557868552825</v>
      </c>
      <c r="E494" s="55" t="n">
        <f aca="true">MAX(5,NORMINV(RAND(),$B$9,$C$9))</f>
        <v>10.0226379530911</v>
      </c>
      <c r="F494" s="28" t="n">
        <f aca="false">$B$18*(1+(B494+$B$17)/2)^9</f>
        <v>38402.6619068013</v>
      </c>
      <c r="G494" s="28" t="n">
        <f aca="false">F494*C494</f>
        <v>12688.9026416043</v>
      </c>
      <c r="H494" s="28" t="n">
        <f aca="false">E494*G494/(1+D494)^9</f>
        <v>57333.1845965975</v>
      </c>
      <c r="I494" s="28" t="n">
        <f aca="false">$B$13*G494/$B$12*((1+$B$8)/(1+D494))^4.5</f>
        <v>25511.3043686588</v>
      </c>
      <c r="J494" s="28" t="n">
        <f aca="false">H494+I494-$B$14-$B$19</f>
        <v>60182.1320959412</v>
      </c>
      <c r="K494" s="46" t="n">
        <f aca="false">J494/$B$15</f>
        <v>178.47607383138</v>
      </c>
    </row>
    <row r="495" customFormat="false" ht="15" hidden="false" customHeight="false" outlineLevel="0" collapsed="false">
      <c r="A495" s="54" t="n">
        <v>455</v>
      </c>
      <c r="B495" s="23" t="n">
        <f aca="true">NORMINV(RAND(),$B$6,$C$6)</f>
        <v>0.08849868325588</v>
      </c>
      <c r="C495" s="23" t="n">
        <f aca="true">MAX(0.15,NORMINV(RAND(),$B$7,$C$7))</f>
        <v>0.313050101690273</v>
      </c>
      <c r="D495" s="35" t="n">
        <f aca="true">MAX(0.06,NORMINV(RAND(),$B$8,$C$8))</f>
        <v>0.0851770253556998</v>
      </c>
      <c r="E495" s="55" t="n">
        <f aca="true">MAX(5,NORMINV(RAND(),$B$9,$C$9))</f>
        <v>11.7160985961366</v>
      </c>
      <c r="F495" s="28" t="n">
        <f aca="false">$B$18*(1+(B495+$B$17)/2)^9</f>
        <v>38245.6090739536</v>
      </c>
      <c r="G495" s="28" t="n">
        <f aca="false">F495*C495</f>
        <v>11972.7918098076</v>
      </c>
      <c r="H495" s="28" t="n">
        <f aca="false">E495*G495/(1+D495)^9</f>
        <v>67216.072596638</v>
      </c>
      <c r="I495" s="28" t="n">
        <f aca="false">$B$13*G495/$B$12*((1+$B$8)/(1+D495))^4.5</f>
        <v>24817.1207235035</v>
      </c>
      <c r="J495" s="28" t="n">
        <f aca="false">H495+I495-$B$14-$B$19</f>
        <v>69370.8364508265</v>
      </c>
      <c r="K495" s="46" t="n">
        <f aca="false">J495/$B$15</f>
        <v>205.726086746223</v>
      </c>
    </row>
    <row r="496" customFormat="false" ht="15" hidden="false" customHeight="false" outlineLevel="0" collapsed="false">
      <c r="A496" s="54" t="n">
        <v>456</v>
      </c>
      <c r="B496" s="23" t="n">
        <f aca="true">NORMINV(RAND(),$B$6,$C$6)</f>
        <v>0.109643854072667</v>
      </c>
      <c r="C496" s="23" t="n">
        <f aca="true">MAX(0.15,NORMINV(RAND(),$B$7,$C$7))</f>
        <v>0.309173285137832</v>
      </c>
      <c r="D496" s="35" t="n">
        <f aca="true">MAX(0.06,NORMINV(RAND(),$B$8,$C$8))</f>
        <v>0.105110235018606</v>
      </c>
      <c r="E496" s="55" t="n">
        <f aca="true">MAX(5,NORMINV(RAND(),$B$9,$C$9))</f>
        <v>11.5255616944101</v>
      </c>
      <c r="F496" s="28" t="n">
        <f aca="false">$B$18*(1+(B496+$B$17)/2)^9</f>
        <v>41830.4554418502</v>
      </c>
      <c r="G496" s="28" t="n">
        <f aca="false">F496*C496</f>
        <v>12932.8593277685</v>
      </c>
      <c r="H496" s="28" t="n">
        <f aca="false">E496*G496/(1+D496)^9</f>
        <v>60632.6071643495</v>
      </c>
      <c r="I496" s="28" t="n">
        <f aca="false">$B$13*G496/$B$12*((1+$B$8)/(1+D496))^4.5</f>
        <v>24698.9202992511</v>
      </c>
      <c r="J496" s="28" t="n">
        <f aca="false">H496+I496-$B$14-$B$19</f>
        <v>62669.1705942855</v>
      </c>
      <c r="K496" s="46" t="n">
        <f aca="false">J496/$B$15</f>
        <v>185.851632841891</v>
      </c>
    </row>
    <row r="497" customFormat="false" ht="15" hidden="false" customHeight="false" outlineLevel="0" collapsed="false">
      <c r="A497" s="54" t="n">
        <v>457</v>
      </c>
      <c r="B497" s="23" t="n">
        <f aca="true">NORMINV(RAND(),$B$6,$C$6)</f>
        <v>0.0994233301693144</v>
      </c>
      <c r="C497" s="23" t="n">
        <f aca="true">MAX(0.15,NORMINV(RAND(),$B$7,$C$7))</f>
        <v>0.352331117350963</v>
      </c>
      <c r="D497" s="35" t="n">
        <f aca="true">MAX(0.06,NORMINV(RAND(),$B$8,$C$8))</f>
        <v>0.101391029335952</v>
      </c>
      <c r="E497" s="55" t="n">
        <f aca="true">MAX(5,NORMINV(RAND(),$B$9,$C$9))</f>
        <v>9.62077638937463</v>
      </c>
      <c r="F497" s="28" t="n">
        <f aca="false">$B$18*(1+(B497+$B$17)/2)^9</f>
        <v>40062.0627226356</v>
      </c>
      <c r="G497" s="28" t="n">
        <f aca="false">F497*C497</f>
        <v>14115.1113224506</v>
      </c>
      <c r="H497" s="28" t="n">
        <f aca="false">E497*G497/(1+D497)^9</f>
        <v>56940.4131894853</v>
      </c>
      <c r="I497" s="28" t="n">
        <f aca="false">$B$13*G497/$B$12*((1+$B$8)/(1+D497))^4.5</f>
        <v>27368.8166943537</v>
      </c>
      <c r="J497" s="28" t="n">
        <f aca="false">H497+I497-$B$14-$B$19</f>
        <v>61646.8730145239</v>
      </c>
      <c r="K497" s="46" t="n">
        <f aca="false">J497/$B$15</f>
        <v>182.819908109502</v>
      </c>
    </row>
    <row r="498" customFormat="false" ht="15" hidden="false" customHeight="false" outlineLevel="0" collapsed="false">
      <c r="A498" s="54" t="n">
        <v>458</v>
      </c>
      <c r="B498" s="23" t="n">
        <f aca="true">NORMINV(RAND(),$B$6,$C$6)</f>
        <v>0.0790067074233685</v>
      </c>
      <c r="C498" s="23" t="n">
        <f aca="true">MAX(0.15,NORMINV(RAND(),$B$7,$C$7))</f>
        <v>0.338542165251105</v>
      </c>
      <c r="D498" s="35" t="n">
        <f aca="true">MAX(0.06,NORMINV(RAND(),$B$8,$C$8))</f>
        <v>0.103145231167341</v>
      </c>
      <c r="E498" s="55" t="n">
        <f aca="true">MAX(5,NORMINV(RAND(),$B$9,$C$9))</f>
        <v>9.35416669868668</v>
      </c>
      <c r="F498" s="28" t="n">
        <f aca="false">$B$18*(1+(B498+$B$17)/2)^9</f>
        <v>36727.2006050366</v>
      </c>
      <c r="G498" s="28" t="n">
        <f aca="false">F498*C498</f>
        <v>12433.7060164408</v>
      </c>
      <c r="H498" s="28" t="n">
        <f aca="false">E498*G498/(1+D498)^9</f>
        <v>48074.1343342409</v>
      </c>
      <c r="I498" s="28" t="n">
        <f aca="false">$B$13*G498/$B$12*((1+$B$8)/(1+D498))^4.5</f>
        <v>23936.5800974311</v>
      </c>
      <c r="J498" s="28" t="n">
        <f aca="false">H498+I498-$B$14-$B$19</f>
        <v>49348.3575623569</v>
      </c>
      <c r="K498" s="46" t="n">
        <f aca="false">J498/$B$15</f>
        <v>146.347442355744</v>
      </c>
    </row>
    <row r="499" customFormat="false" ht="15" hidden="false" customHeight="false" outlineLevel="0" collapsed="false">
      <c r="A499" s="54" t="n">
        <v>459</v>
      </c>
      <c r="B499" s="23" t="n">
        <f aca="true">NORMINV(RAND(),$B$6,$C$6)</f>
        <v>0.106762742639004</v>
      </c>
      <c r="C499" s="23" t="n">
        <f aca="true">MAX(0.15,NORMINV(RAND(),$B$7,$C$7))</f>
        <v>0.357929337706179</v>
      </c>
      <c r="D499" s="35" t="n">
        <f aca="true">MAX(0.06,NORMINV(RAND(),$B$8,$C$8))</f>
        <v>0.101274723830652</v>
      </c>
      <c r="E499" s="55" t="n">
        <f aca="true">MAX(5,NORMINV(RAND(),$B$9,$C$9))</f>
        <v>9.15236558023682</v>
      </c>
      <c r="F499" s="28" t="n">
        <f aca="false">$B$18*(1+(B499+$B$17)/2)^9</f>
        <v>41325.0660366658</v>
      </c>
      <c r="G499" s="28" t="n">
        <f aca="false">F499*C499</f>
        <v>14791.4535171679</v>
      </c>
      <c r="H499" s="28" t="n">
        <f aca="false">E499*G499/(1+D499)^9</f>
        <v>56817.6370928051</v>
      </c>
      <c r="I499" s="28" t="n">
        <f aca="false">$B$13*G499/$B$12*((1+$B$8)/(1+D499))^4.5</f>
        <v>28693.8584417907</v>
      </c>
      <c r="J499" s="28" t="n">
        <f aca="false">H499+I499-$B$14-$B$19</f>
        <v>62849.1386652807</v>
      </c>
      <c r="K499" s="46" t="n">
        <f aca="false">J499/$B$15</f>
        <v>186.385345982446</v>
      </c>
    </row>
    <row r="500" customFormat="false" ht="15" hidden="false" customHeight="false" outlineLevel="0" collapsed="false">
      <c r="A500" s="54" t="n">
        <v>460</v>
      </c>
      <c r="B500" s="23" t="n">
        <f aca="true">NORMINV(RAND(),$B$6,$C$6)</f>
        <v>0.0789612680669617</v>
      </c>
      <c r="C500" s="23" t="n">
        <f aca="true">MAX(0.15,NORMINV(RAND(),$B$7,$C$7))</f>
        <v>0.330519850081772</v>
      </c>
      <c r="D500" s="35" t="n">
        <f aca="true">MAX(0.06,NORMINV(RAND(),$B$8,$C$8))</f>
        <v>0.0816300305845258</v>
      </c>
      <c r="E500" s="55" t="n">
        <f aca="true">MAX(5,NORMINV(RAND(),$B$9,$C$9))</f>
        <v>8.26320956128992</v>
      </c>
      <c r="F500" s="28" t="n">
        <f aca="false">$B$18*(1+(B500+$B$17)/2)^9</f>
        <v>36720.0625832162</v>
      </c>
      <c r="G500" s="28" t="n">
        <f aca="false">F500*C500</f>
        <v>12136.7095799979</v>
      </c>
      <c r="H500" s="28" t="n">
        <f aca="false">E500*G500/(1+D500)^9</f>
        <v>49492.6943698973</v>
      </c>
      <c r="I500" s="28" t="n">
        <f aca="false">$B$13*G500/$B$12*((1+$B$8)/(1+D500))^4.5</f>
        <v>25530.2616252883</v>
      </c>
      <c r="J500" s="28" t="n">
        <f aca="false">H500+I500-$B$14-$B$19</f>
        <v>52360.5991258705</v>
      </c>
      <c r="K500" s="46" t="n">
        <f aca="false">J500/$B$15</f>
        <v>155.280543077908</v>
      </c>
    </row>
    <row r="501" customFormat="false" ht="15" hidden="false" customHeight="false" outlineLevel="0" collapsed="false">
      <c r="A501" s="54" t="n">
        <v>461</v>
      </c>
      <c r="B501" s="23" t="n">
        <f aca="true">NORMINV(RAND(),$B$6,$C$6)</f>
        <v>0.0447671741801164</v>
      </c>
      <c r="C501" s="23" t="n">
        <f aca="true">MAX(0.15,NORMINV(RAND(),$B$7,$C$7))</f>
        <v>0.305648105301429</v>
      </c>
      <c r="D501" s="35" t="n">
        <f aca="true">MAX(0.06,NORMINV(RAND(),$B$8,$C$8))</f>
        <v>0.101397818131157</v>
      </c>
      <c r="E501" s="55" t="n">
        <f aca="true">MAX(5,NORMINV(RAND(),$B$9,$C$9))</f>
        <v>9.68316620292667</v>
      </c>
      <c r="F501" s="28" t="n">
        <f aca="false">$B$18*(1+(B501+$B$17)/2)^9</f>
        <v>31685.2546142897</v>
      </c>
      <c r="G501" s="28" t="n">
        <f aca="false">F501*C501</f>
        <v>9684.53803885101</v>
      </c>
      <c r="H501" s="28" t="n">
        <f aca="false">E501*G501/(1+D501)^9</f>
        <v>39318.6311008404</v>
      </c>
      <c r="I501" s="28" t="n">
        <f aca="false">$B$13*G501/$B$12*((1+$B$8)/(1+D501))^4.5</f>
        <v>18777.5348377419</v>
      </c>
      <c r="J501" s="28" t="n">
        <f aca="false">H501+I501-$B$14-$B$19</f>
        <v>35433.8090692672</v>
      </c>
      <c r="K501" s="46" t="n">
        <f aca="false">J501/$B$15</f>
        <v>105.082470549428</v>
      </c>
    </row>
    <row r="502" customFormat="false" ht="15" hidden="false" customHeight="false" outlineLevel="0" collapsed="false">
      <c r="A502" s="54" t="n">
        <v>462</v>
      </c>
      <c r="B502" s="23" t="n">
        <f aca="true">NORMINV(RAND(),$B$6,$C$6)</f>
        <v>0.0918205770750675</v>
      </c>
      <c r="C502" s="23" t="n">
        <f aca="true">MAX(0.15,NORMINV(RAND(),$B$7,$C$7))</f>
        <v>0.383785867201987</v>
      </c>
      <c r="D502" s="35" t="n">
        <f aca="true">MAX(0.06,NORMINV(RAND(),$B$8,$C$8))</f>
        <v>0.0897712999992191</v>
      </c>
      <c r="E502" s="55" t="n">
        <f aca="true">MAX(5,NORMINV(RAND(),$B$9,$C$9))</f>
        <v>12.4738683853422</v>
      </c>
      <c r="F502" s="28" t="n">
        <f aca="false">$B$18*(1+(B502+$B$17)/2)^9</f>
        <v>38790.0361231013</v>
      </c>
      <c r="G502" s="28" t="n">
        <f aca="false">F502*C502</f>
        <v>14887.0676523008</v>
      </c>
      <c r="H502" s="28" t="n">
        <f aca="false">E502*G502/(1+D502)^9</f>
        <v>85662.7521806333</v>
      </c>
      <c r="I502" s="28" t="n">
        <f aca="false">$B$13*G502/$B$12*((1+$B$8)/(1+D502))^4.5</f>
        <v>30276.706732062</v>
      </c>
      <c r="J502" s="28" t="n">
        <f aca="false">H502+I502-$B$14-$B$19</f>
        <v>93277.1020433802</v>
      </c>
      <c r="K502" s="46" t="n">
        <f aca="false">J502/$B$15</f>
        <v>276.622485300653</v>
      </c>
    </row>
    <row r="503" customFormat="false" ht="15" hidden="false" customHeight="false" outlineLevel="0" collapsed="false">
      <c r="A503" s="54" t="n">
        <v>463</v>
      </c>
      <c r="B503" s="23" t="n">
        <f aca="true">NORMINV(RAND(),$B$6,$C$6)</f>
        <v>0.0243772985627466</v>
      </c>
      <c r="C503" s="23" t="n">
        <f aca="true">MAX(0.15,NORMINV(RAND(),$B$7,$C$7))</f>
        <v>0.322366339500813</v>
      </c>
      <c r="D503" s="35" t="n">
        <f aca="true">MAX(0.06,NORMINV(RAND(),$B$8,$C$8))</f>
        <v>0.0866085495669701</v>
      </c>
      <c r="E503" s="55" t="n">
        <f aca="true">MAX(5,NORMINV(RAND(),$B$9,$C$9))</f>
        <v>10.1535558842812</v>
      </c>
      <c r="F503" s="28" t="n">
        <f aca="false">$B$18*(1+(B503+$B$17)/2)^9</f>
        <v>28984.1812790982</v>
      </c>
      <c r="G503" s="28" t="n">
        <f aca="false">F503*C503</f>
        <v>9343.52442237086</v>
      </c>
      <c r="H503" s="28" t="n">
        <f aca="false">E503*G503/(1+D503)^9</f>
        <v>44923.2148742934</v>
      </c>
      <c r="I503" s="28" t="n">
        <f aca="false">$B$13*G503/$B$12*((1+$B$8)/(1+D503))^4.5</f>
        <v>19252.6411131948</v>
      </c>
      <c r="J503" s="28" t="n">
        <f aca="false">H503+I503-$B$14-$B$19</f>
        <v>41513.4991181732</v>
      </c>
      <c r="K503" s="46" t="n">
        <f aca="false">J503/$B$15</f>
        <v>123.112393588888</v>
      </c>
    </row>
    <row r="504" customFormat="false" ht="15" hidden="false" customHeight="false" outlineLevel="0" collapsed="false">
      <c r="A504" s="54" t="n">
        <v>464</v>
      </c>
      <c r="B504" s="23" t="n">
        <f aca="true">NORMINV(RAND(),$B$6,$C$6)</f>
        <v>0.116754165778727</v>
      </c>
      <c r="C504" s="23" t="n">
        <f aca="true">MAX(0.15,NORMINV(RAND(),$B$7,$C$7))</f>
        <v>0.37602653591718</v>
      </c>
      <c r="D504" s="35" t="n">
        <f aca="true">MAX(0.06,NORMINV(RAND(),$B$8,$C$8))</f>
        <v>0.0922479315058525</v>
      </c>
      <c r="E504" s="55" t="n">
        <f aca="true">MAX(5,NORMINV(RAND(),$B$9,$C$9))</f>
        <v>9.58515910568276</v>
      </c>
      <c r="F504" s="28" t="n">
        <f aca="false">$B$18*(1+(B504+$B$17)/2)^9</f>
        <v>43101.2960838921</v>
      </c>
      <c r="G504" s="28" t="n">
        <f aca="false">F504*C504</f>
        <v>16207.2310599666</v>
      </c>
      <c r="H504" s="28" t="n">
        <f aca="false">E504*G504/(1+D504)^9</f>
        <v>70212.9259678609</v>
      </c>
      <c r="I504" s="28" t="n">
        <f aca="false">$B$13*G504/$B$12*((1+$B$8)/(1+D504))^4.5</f>
        <v>32626.6064804323</v>
      </c>
      <c r="J504" s="28" t="n">
        <f aca="false">H504+I504-$B$14-$B$19</f>
        <v>80177.1755789781</v>
      </c>
      <c r="K504" s="46" t="n">
        <f aca="false">J504/$B$15</f>
        <v>237.773355809544</v>
      </c>
    </row>
    <row r="505" customFormat="false" ht="15" hidden="false" customHeight="false" outlineLevel="0" collapsed="false">
      <c r="A505" s="54" t="n">
        <v>465</v>
      </c>
      <c r="B505" s="23" t="n">
        <f aca="true">NORMINV(RAND(),$B$6,$C$6)</f>
        <v>0.0719094521991126</v>
      </c>
      <c r="C505" s="23" t="n">
        <f aca="true">MAX(0.15,NORMINV(RAND(),$B$7,$C$7))</f>
        <v>0.359712093900057</v>
      </c>
      <c r="D505" s="35" t="n">
        <f aca="true">MAX(0.06,NORMINV(RAND(),$B$8,$C$8))</f>
        <v>0.0917983652025981</v>
      </c>
      <c r="E505" s="55" t="n">
        <f aca="true">MAX(5,NORMINV(RAND(),$B$9,$C$9))</f>
        <v>9.57656985504256</v>
      </c>
      <c r="F505" s="28" t="n">
        <f aca="false">$B$18*(1+(B505+$B$17)/2)^9</f>
        <v>35627.1304130839</v>
      </c>
      <c r="G505" s="28" t="n">
        <f aca="false">F505*C505</f>
        <v>12815.5096805408</v>
      </c>
      <c r="H505" s="28" t="n">
        <f aca="false">E505*G505/(1+D505)^9</f>
        <v>55675.4719042183</v>
      </c>
      <c r="I505" s="28" t="n">
        <f aca="false">$B$13*G505/$B$12*((1+$B$8)/(1+D505))^4.5</f>
        <v>25846.6061239601</v>
      </c>
      <c r="J505" s="28" t="n">
        <f aca="false">H505+I505-$B$14-$B$19</f>
        <v>58859.7211588633</v>
      </c>
      <c r="K505" s="46" t="n">
        <f aca="false">J505/$B$15</f>
        <v>174.554333211338</v>
      </c>
    </row>
    <row r="506" customFormat="false" ht="15" hidden="false" customHeight="false" outlineLevel="0" collapsed="false">
      <c r="A506" s="54" t="n">
        <v>466</v>
      </c>
      <c r="B506" s="23" t="n">
        <f aca="true">NORMINV(RAND(),$B$6,$C$6)</f>
        <v>0.0818225376805417</v>
      </c>
      <c r="C506" s="23" t="n">
        <f aca="true">MAX(0.15,NORMINV(RAND(),$B$7,$C$7))</f>
        <v>0.338061264503185</v>
      </c>
      <c r="D506" s="35" t="n">
        <f aca="true">MAX(0.06,NORMINV(RAND(),$B$8,$C$8))</f>
        <v>0.10305053671746</v>
      </c>
      <c r="E506" s="55" t="n">
        <f aca="true">MAX(5,NORMINV(RAND(),$B$9,$C$9))</f>
        <v>11.2845660919533</v>
      </c>
      <c r="F506" s="28" t="n">
        <f aca="false">$B$18*(1+(B506+$B$17)/2)^9</f>
        <v>37171.9502597474</v>
      </c>
      <c r="G506" s="28" t="n">
        <f aca="false">F506*C506</f>
        <v>12566.3965088597</v>
      </c>
      <c r="H506" s="28" t="n">
        <f aca="false">E506*G506/(1+D506)^9</f>
        <v>58659.3074035329</v>
      </c>
      <c r="I506" s="28" t="n">
        <f aca="false">$B$13*G506/$B$12*((1+$B$8)/(1+D506))^4.5</f>
        <v>24201.3745433877</v>
      </c>
      <c r="J506" s="28" t="n">
        <f aca="false">H506+I506-$B$14-$B$19</f>
        <v>60198.3250776056</v>
      </c>
      <c r="K506" s="46" t="n">
        <f aca="false">J506/$B$15</f>
        <v>178.524095722436</v>
      </c>
    </row>
    <row r="507" customFormat="false" ht="15" hidden="false" customHeight="false" outlineLevel="0" collapsed="false">
      <c r="A507" s="54" t="n">
        <v>467</v>
      </c>
      <c r="B507" s="23" t="n">
        <f aca="true">NORMINV(RAND(),$B$6,$C$6)</f>
        <v>0.0676337741336001</v>
      </c>
      <c r="C507" s="23" t="n">
        <f aca="true">MAX(0.15,NORMINV(RAND(),$B$7,$C$7))</f>
        <v>0.29930574246916</v>
      </c>
      <c r="D507" s="35" t="n">
        <f aca="true">MAX(0.06,NORMINV(RAND(),$B$8,$C$8))</f>
        <v>0.0964981174222723</v>
      </c>
      <c r="E507" s="55" t="n">
        <f aca="true">MAX(5,NORMINV(RAND(),$B$9,$C$9))</f>
        <v>6.34843748215606</v>
      </c>
      <c r="F507" s="28" t="n">
        <f aca="false">$B$18*(1+(B507+$B$17)/2)^9</f>
        <v>34978.6320017285</v>
      </c>
      <c r="G507" s="28" t="n">
        <f aca="false">F507*C507</f>
        <v>10469.3054218329</v>
      </c>
      <c r="H507" s="28" t="n">
        <f aca="false">E507*G507/(1+D507)^9</f>
        <v>29007.7272638297</v>
      </c>
      <c r="I507" s="28" t="n">
        <f aca="false">$B$13*G507/$B$12*((1+$B$8)/(1+D507))^4.5</f>
        <v>20710.5190429918</v>
      </c>
      <c r="J507" s="28" t="n">
        <f aca="false">H507+I507-$B$14-$B$19</f>
        <v>27055.8894375064</v>
      </c>
      <c r="K507" s="46" t="n">
        <f aca="false">J507/$B$15</f>
        <v>80.2369200400547</v>
      </c>
    </row>
    <row r="508" customFormat="false" ht="15" hidden="false" customHeight="false" outlineLevel="0" collapsed="false">
      <c r="A508" s="54" t="n">
        <v>468</v>
      </c>
      <c r="B508" s="23" t="n">
        <f aca="true">NORMINV(RAND(),$B$6,$C$6)</f>
        <v>0.113666675881208</v>
      </c>
      <c r="C508" s="23" t="n">
        <f aca="true">MAX(0.15,NORMINV(RAND(),$B$7,$C$7))</f>
        <v>0.384273290556629</v>
      </c>
      <c r="D508" s="35" t="n">
        <f aca="true">MAX(0.06,NORMINV(RAND(),$B$8,$C$8))</f>
        <v>0.0868061185168028</v>
      </c>
      <c r="E508" s="55" t="n">
        <f aca="true">MAX(5,NORMINV(RAND(),$B$9,$C$9))</f>
        <v>7.84872623886572</v>
      </c>
      <c r="F508" s="28" t="n">
        <f aca="false">$B$18*(1+(B508+$B$17)/2)^9</f>
        <v>42545.3077160666</v>
      </c>
      <c r="G508" s="28" t="n">
        <f aca="false">F508*C508</f>
        <v>16349.0253937972</v>
      </c>
      <c r="H508" s="28" t="n">
        <f aca="false">E508*G508/(1+D508)^9</f>
        <v>60662.7895035756</v>
      </c>
      <c r="I508" s="28" t="n">
        <f aca="false">$B$13*G508/$B$12*((1+$B$8)/(1+D508))^4.5</f>
        <v>33660.1581568077</v>
      </c>
      <c r="J508" s="28" t="n">
        <f aca="false">H508+I508-$B$14-$B$19</f>
        <v>71660.5907910683</v>
      </c>
      <c r="K508" s="46" t="n">
        <f aca="false">J508/$B$15</f>
        <v>212.516580044686</v>
      </c>
    </row>
    <row r="509" customFormat="false" ht="15" hidden="false" customHeight="false" outlineLevel="0" collapsed="false">
      <c r="A509" s="54" t="n">
        <v>469</v>
      </c>
      <c r="B509" s="23" t="n">
        <f aca="true">NORMINV(RAND(),$B$6,$C$6)</f>
        <v>0.0718466490882163</v>
      </c>
      <c r="C509" s="23" t="n">
        <f aca="true">MAX(0.15,NORMINV(RAND(),$B$7,$C$7))</f>
        <v>0.329833583153614</v>
      </c>
      <c r="D509" s="35" t="n">
        <f aca="true">MAX(0.06,NORMINV(RAND(),$B$8,$C$8))</f>
        <v>0.0880622705342121</v>
      </c>
      <c r="E509" s="55" t="n">
        <f aca="true">MAX(5,NORMINV(RAND(),$B$9,$C$9))</f>
        <v>14.2640732792311</v>
      </c>
      <c r="F509" s="28" t="n">
        <f aca="false">$B$18*(1+(B509+$B$17)/2)^9</f>
        <v>35617.5281676196</v>
      </c>
      <c r="G509" s="28" t="n">
        <f aca="false">F509*C509</f>
        <v>11747.8569386008</v>
      </c>
      <c r="H509" s="28" t="n">
        <f aca="false">E509*G509/(1+D509)^9</f>
        <v>78400.4311707607</v>
      </c>
      <c r="I509" s="28" t="n">
        <f aca="false">$B$13*G509/$B$12*((1+$B$8)/(1+D509))^4.5</f>
        <v>24061.6491396961</v>
      </c>
      <c r="J509" s="28" t="n">
        <f aca="false">H509+I509-$B$14-$B$19</f>
        <v>79799.7234411418</v>
      </c>
      <c r="K509" s="46" t="n">
        <f aca="false">J509/$B$15</f>
        <v>236.653984107775</v>
      </c>
    </row>
    <row r="510" customFormat="false" ht="15" hidden="false" customHeight="false" outlineLevel="0" collapsed="false">
      <c r="A510" s="54" t="n">
        <v>470</v>
      </c>
      <c r="B510" s="23" t="n">
        <f aca="true">NORMINV(RAND(),$B$6,$C$6)</f>
        <v>0.107939788986065</v>
      </c>
      <c r="C510" s="23" t="n">
        <f aca="true">MAX(0.15,NORMINV(RAND(),$B$7,$C$7))</f>
        <v>0.34152086628801</v>
      </c>
      <c r="D510" s="35" t="n">
        <f aca="true">MAX(0.06,NORMINV(RAND(),$B$8,$C$8))</f>
        <v>0.0934195482587709</v>
      </c>
      <c r="E510" s="55" t="n">
        <f aca="true">MAX(5,NORMINV(RAND(),$B$9,$C$9))</f>
        <v>9.31585718921733</v>
      </c>
      <c r="F510" s="28" t="n">
        <f aca="false">$B$18*(1+(B510+$B$17)/2)^9</f>
        <v>41530.8777631312</v>
      </c>
      <c r="G510" s="28" t="n">
        <f aca="false">F510*C510</f>
        <v>14183.661351366</v>
      </c>
      <c r="H510" s="28" t="n">
        <f aca="false">E510*G510/(1+D510)^9</f>
        <v>59146.5843837619</v>
      </c>
      <c r="I510" s="28" t="n">
        <f aca="false">$B$13*G510/$B$12*((1+$B$8)/(1+D510))^4.5</f>
        <v>28415.5600971301</v>
      </c>
      <c r="J510" s="28" t="n">
        <f aca="false">H510+I510-$B$14-$B$19</f>
        <v>64899.787611577</v>
      </c>
      <c r="K510" s="46" t="n">
        <f aca="false">J510/$B$15</f>
        <v>192.466748551533</v>
      </c>
    </row>
    <row r="511" customFormat="false" ht="15" hidden="false" customHeight="false" outlineLevel="0" collapsed="false">
      <c r="A511" s="54" t="n">
        <v>471</v>
      </c>
      <c r="B511" s="23" t="n">
        <f aca="true">NORMINV(RAND(),$B$6,$C$6)</f>
        <v>0.120053312874823</v>
      </c>
      <c r="C511" s="23" t="n">
        <f aca="true">MAX(0.15,NORMINV(RAND(),$B$7,$C$7))</f>
        <v>0.319823370534472</v>
      </c>
      <c r="D511" s="35" t="n">
        <f aca="true">MAX(0.06,NORMINV(RAND(),$B$8,$C$8))</f>
        <v>0.0873960107256546</v>
      </c>
      <c r="E511" s="55" t="n">
        <f aca="true">MAX(5,NORMINV(RAND(),$B$9,$C$9))</f>
        <v>10.5344095247275</v>
      </c>
      <c r="F511" s="28" t="n">
        <f aca="false">$B$18*(1+(B511+$B$17)/2)^9</f>
        <v>43702.5282525425</v>
      </c>
      <c r="G511" s="28" t="n">
        <f aca="false">F511*C511</f>
        <v>13977.0898866061</v>
      </c>
      <c r="H511" s="28" t="n">
        <f aca="false">E511*G511/(1+D511)^9</f>
        <v>69268.7478503131</v>
      </c>
      <c r="I511" s="28" t="n">
        <f aca="false">$B$13*G511/$B$12*((1+$B$8)/(1+D511))^4.5</f>
        <v>28706.5214223298</v>
      </c>
      <c r="J511" s="28" t="n">
        <f aca="false">H511+I511-$B$14-$B$19</f>
        <v>75312.9124033278</v>
      </c>
      <c r="K511" s="46" t="n">
        <f aca="false">J511/$B$15</f>
        <v>223.347901551981</v>
      </c>
    </row>
    <row r="512" customFormat="false" ht="15" hidden="false" customHeight="false" outlineLevel="0" collapsed="false">
      <c r="A512" s="54" t="n">
        <v>472</v>
      </c>
      <c r="B512" s="23" t="n">
        <f aca="true">NORMINV(RAND(),$B$6,$C$6)</f>
        <v>0.0849875222205703</v>
      </c>
      <c r="C512" s="23" t="n">
        <f aca="true">MAX(0.15,NORMINV(RAND(),$B$7,$C$7))</f>
        <v>0.310194933113645</v>
      </c>
      <c r="D512" s="35" t="n">
        <f aca="true">MAX(0.06,NORMINV(RAND(),$B$8,$C$8))</f>
        <v>0.0947620026910963</v>
      </c>
      <c r="E512" s="55" t="n">
        <f aca="true">MAX(5,NORMINV(RAND(),$B$9,$C$9))</f>
        <v>8.31458890549382</v>
      </c>
      <c r="F512" s="28" t="n">
        <f aca="false">$B$18*(1+(B512+$B$17)/2)^9</f>
        <v>37677.5565660359</v>
      </c>
      <c r="G512" s="28" t="n">
        <f aca="false">F512*C512</f>
        <v>11687.3871388871</v>
      </c>
      <c r="H512" s="28" t="n">
        <f aca="false">E512*G512/(1+D512)^9</f>
        <v>43021.0269400529</v>
      </c>
      <c r="I512" s="28" t="n">
        <f aca="false">$B$13*G512/$B$12*((1+$B$8)/(1+D512))^4.5</f>
        <v>23285.5945408271</v>
      </c>
      <c r="J512" s="28" t="n">
        <f aca="false">H512+I512-$B$14-$B$19</f>
        <v>43644.264611565</v>
      </c>
      <c r="K512" s="46" t="n">
        <f aca="false">J512/$B$15</f>
        <v>129.431389714012</v>
      </c>
    </row>
    <row r="513" customFormat="false" ht="15" hidden="false" customHeight="false" outlineLevel="0" collapsed="false">
      <c r="A513" s="54" t="n">
        <v>473</v>
      </c>
      <c r="B513" s="23" t="n">
        <f aca="true">NORMINV(RAND(),$B$6,$C$6)</f>
        <v>0.0408039452573309</v>
      </c>
      <c r="C513" s="23" t="n">
        <f aca="true">MAX(0.15,NORMINV(RAND(),$B$7,$C$7))</f>
        <v>0.28671685025326</v>
      </c>
      <c r="D513" s="35" t="n">
        <f aca="true">MAX(0.06,NORMINV(RAND(),$B$8,$C$8))</f>
        <v>0.0916370146335582</v>
      </c>
      <c r="E513" s="55" t="n">
        <f aca="true">MAX(5,NORMINV(RAND(),$B$9,$C$9))</f>
        <v>9.96550258690501</v>
      </c>
      <c r="F513" s="28" t="n">
        <f aca="false">$B$18*(1+(B513+$B$17)/2)^9</f>
        <v>31143.3746132596</v>
      </c>
      <c r="G513" s="28" t="n">
        <f aca="false">F513*C513</f>
        <v>8929.33027537113</v>
      </c>
      <c r="H513" s="28" t="n">
        <f aca="false">E513*G513/(1+D513)^9</f>
        <v>40421.6293471153</v>
      </c>
      <c r="I513" s="28" t="n">
        <f aca="false">$B$13*G513/$B$12*((1+$B$8)/(1+D513))^4.5</f>
        <v>18020.8540033871</v>
      </c>
      <c r="J513" s="28" t="n">
        <f aca="false">H513+I513-$B$14-$B$19</f>
        <v>35780.1264811873</v>
      </c>
      <c r="K513" s="46" t="n">
        <f aca="false">J513/$B$15</f>
        <v>106.109509137566</v>
      </c>
    </row>
    <row r="514" customFormat="false" ht="15" hidden="false" customHeight="false" outlineLevel="0" collapsed="false">
      <c r="A514" s="54" t="n">
        <v>474</v>
      </c>
      <c r="B514" s="23" t="n">
        <f aca="true">NORMINV(RAND(),$B$6,$C$6)</f>
        <v>0.0893042071505004</v>
      </c>
      <c r="C514" s="23" t="n">
        <f aca="true">MAX(0.15,NORMINV(RAND(),$B$7,$C$7))</f>
        <v>0.328329206573402</v>
      </c>
      <c r="D514" s="35" t="n">
        <f aca="true">MAX(0.06,NORMINV(RAND(),$B$8,$C$8))</f>
        <v>0.0866236378531345</v>
      </c>
      <c r="E514" s="55" t="n">
        <f aca="true">MAX(5,NORMINV(RAND(),$B$9,$C$9))</f>
        <v>9.61926550962636</v>
      </c>
      <c r="F514" s="28" t="n">
        <f aca="false">$B$18*(1+(B514+$B$17)/2)^9</f>
        <v>38376.9991962289</v>
      </c>
      <c r="G514" s="28" t="n">
        <f aca="false">F514*C514</f>
        <v>12600.2896967659</v>
      </c>
      <c r="H514" s="28" t="n">
        <f aca="false">E514*G514/(1+D514)^9</f>
        <v>57386.5489596775</v>
      </c>
      <c r="I514" s="28" t="n">
        <f aca="false">$B$13*G514/$B$12*((1+$B$8)/(1+D514))^4.5</f>
        <v>25961.6914110228</v>
      </c>
      <c r="J514" s="28" t="n">
        <f aca="false">H514+I514-$B$14-$B$19</f>
        <v>60685.8835013852</v>
      </c>
      <c r="K514" s="46" t="n">
        <f aca="false">J514/$B$15</f>
        <v>179.969998521308</v>
      </c>
    </row>
    <row r="515" customFormat="false" ht="15" hidden="false" customHeight="false" outlineLevel="0" collapsed="false">
      <c r="A515" s="54" t="n">
        <v>475</v>
      </c>
      <c r="B515" s="23" t="n">
        <f aca="true">NORMINV(RAND(),$B$6,$C$6)</f>
        <v>0.150209761835057</v>
      </c>
      <c r="C515" s="23" t="n">
        <f aca="true">MAX(0.15,NORMINV(RAND(),$B$7,$C$7))</f>
        <v>0.314160500647096</v>
      </c>
      <c r="D515" s="35" t="n">
        <f aca="true">MAX(0.06,NORMINV(RAND(),$B$8,$C$8))</f>
        <v>0.097640493558155</v>
      </c>
      <c r="E515" s="55" t="n">
        <f aca="true">MAX(5,NORMINV(RAND(),$B$9,$C$9))</f>
        <v>8.74956662979453</v>
      </c>
      <c r="F515" s="28" t="n">
        <f aca="false">$B$18*(1+(B515+$B$17)/2)^9</f>
        <v>49553.4663616673</v>
      </c>
      <c r="G515" s="28" t="n">
        <f aca="false">F515*C515</f>
        <v>15567.7418009804</v>
      </c>
      <c r="H515" s="28" t="n">
        <f aca="false">E515*G515/(1+D515)^9</f>
        <v>58894.0036594994</v>
      </c>
      <c r="I515" s="28" t="n">
        <f aca="false">$B$13*G515/$B$12*((1+$B$8)/(1+D515))^4.5</f>
        <v>30652.3445294346</v>
      </c>
      <c r="J515" s="28" t="n">
        <f aca="false">H515+I515-$B$14-$B$19</f>
        <v>66883.991319619</v>
      </c>
      <c r="K515" s="46" t="n">
        <f aca="false">J515/$B$15</f>
        <v>198.35110118511</v>
      </c>
    </row>
    <row r="516" customFormat="false" ht="15" hidden="false" customHeight="false" outlineLevel="0" collapsed="false">
      <c r="A516" s="54" t="n">
        <v>476</v>
      </c>
      <c r="B516" s="23" t="n">
        <f aca="true">NORMINV(RAND(),$B$6,$C$6)</f>
        <v>0.126317327305792</v>
      </c>
      <c r="C516" s="23" t="n">
        <f aca="true">MAX(0.15,NORMINV(RAND(),$B$7,$C$7))</f>
        <v>0.282131900673699</v>
      </c>
      <c r="D516" s="35" t="n">
        <f aca="true">MAX(0.06,NORMINV(RAND(),$B$8,$C$8))</f>
        <v>0.0994091456110654</v>
      </c>
      <c r="E516" s="55" t="n">
        <f aca="true">MAX(5,NORMINV(RAND(),$B$9,$C$9))</f>
        <v>9.18715840710566</v>
      </c>
      <c r="F516" s="28" t="n">
        <f aca="false">$B$18*(1+(B516+$B$17)/2)^9</f>
        <v>44864.6231068391</v>
      </c>
      <c r="G516" s="28" t="n">
        <f aca="false">F516*C516</f>
        <v>12657.7413901417</v>
      </c>
      <c r="H516" s="28" t="n">
        <f aca="false">E516*G516/(1+D516)^9</f>
        <v>49556.8067663752</v>
      </c>
      <c r="I516" s="28" t="n">
        <f aca="false">$B$13*G516/$B$12*((1+$B$8)/(1+D516))^4.5</f>
        <v>24742.7395894414</v>
      </c>
      <c r="J516" s="28" t="n">
        <f aca="false">H516+I516-$B$14-$B$19</f>
        <v>51637.1894865016</v>
      </c>
      <c r="K516" s="46" t="n">
        <f aca="false">J516/$B$15</f>
        <v>153.135200137905</v>
      </c>
    </row>
    <row r="517" customFormat="false" ht="15" hidden="false" customHeight="false" outlineLevel="0" collapsed="false">
      <c r="A517" s="54" t="n">
        <v>477</v>
      </c>
      <c r="B517" s="23" t="n">
        <f aca="true">NORMINV(RAND(),$B$6,$C$6)</f>
        <v>0.0388349612510841</v>
      </c>
      <c r="C517" s="23" t="n">
        <f aca="true">MAX(0.15,NORMINV(RAND(),$B$7,$C$7))</f>
        <v>0.302255071999833</v>
      </c>
      <c r="D517" s="35" t="n">
        <f aca="true">MAX(0.06,NORMINV(RAND(),$B$8,$C$8))</f>
        <v>0.0962086690564919</v>
      </c>
      <c r="E517" s="55" t="n">
        <f aca="true">MAX(5,NORMINV(RAND(),$B$9,$C$9))</f>
        <v>8.46117221659066</v>
      </c>
      <c r="F517" s="28" t="n">
        <f aca="false">$B$18*(1+(B517+$B$17)/2)^9</f>
        <v>30877.237138384</v>
      </c>
      <c r="G517" s="28" t="n">
        <f aca="false">F517*C517</f>
        <v>9332.80153441814</v>
      </c>
      <c r="H517" s="28" t="n">
        <f aca="false">E517*G517/(1+D517)^9</f>
        <v>34546.4539080801</v>
      </c>
      <c r="I517" s="28" t="n">
        <f aca="false">$B$13*G517/$B$12*((1+$B$8)/(1+D517))^4.5</f>
        <v>18484.2190099533</v>
      </c>
      <c r="J517" s="28" t="n">
        <f aca="false">H517+I517-$B$14-$B$19</f>
        <v>30368.3160487184</v>
      </c>
      <c r="K517" s="46" t="n">
        <f aca="false">J517/$B$15</f>
        <v>90.0602492547995</v>
      </c>
    </row>
    <row r="518" customFormat="false" ht="15" hidden="false" customHeight="false" outlineLevel="0" collapsed="false">
      <c r="A518" s="54" t="n">
        <v>478</v>
      </c>
      <c r="B518" s="23" t="n">
        <f aca="true">NORMINV(RAND(),$B$6,$C$6)</f>
        <v>0.120804604511244</v>
      </c>
      <c r="C518" s="23" t="n">
        <f aca="true">MAX(0.15,NORMINV(RAND(),$B$7,$C$7))</f>
        <v>0.327771809492739</v>
      </c>
      <c r="D518" s="35" t="n">
        <f aca="true">MAX(0.06,NORMINV(RAND(),$B$8,$C$8))</f>
        <v>0.0891808434793534</v>
      </c>
      <c r="E518" s="55" t="n">
        <f aca="true">MAX(5,NORMINV(RAND(),$B$9,$C$9))</f>
        <v>8.79416278391163</v>
      </c>
      <c r="F518" s="28" t="n">
        <f aca="false">$B$18*(1+(B518+$B$17)/2)^9</f>
        <v>43840.4802655483</v>
      </c>
      <c r="G518" s="28" t="n">
        <f aca="false">F518*C518</f>
        <v>14369.6735456695</v>
      </c>
      <c r="H518" s="28" t="n">
        <f aca="false">E518*G518/(1+D518)^9</f>
        <v>58578.9324689965</v>
      </c>
      <c r="I518" s="28" t="n">
        <f aca="false">$B$13*G518/$B$12*((1+$B$8)/(1+D518))^4.5</f>
        <v>29295.8125025933</v>
      </c>
      <c r="J518" s="28" t="n">
        <f aca="false">H518+I518-$B$14-$B$19</f>
        <v>65212.3881022748</v>
      </c>
      <c r="K518" s="46" t="n">
        <f aca="false">J518/$B$15</f>
        <v>193.393796270091</v>
      </c>
    </row>
    <row r="519" customFormat="false" ht="15" hidden="false" customHeight="false" outlineLevel="0" collapsed="false">
      <c r="A519" s="54" t="n">
        <v>479</v>
      </c>
      <c r="B519" s="23" t="n">
        <f aca="true">NORMINV(RAND(),$B$6,$C$6)</f>
        <v>0.0321562621368022</v>
      </c>
      <c r="C519" s="23" t="n">
        <f aca="true">MAX(0.15,NORMINV(RAND(),$B$7,$C$7))</f>
        <v>0.2786184971397</v>
      </c>
      <c r="D519" s="35" t="n">
        <f aca="true">MAX(0.06,NORMINV(RAND(),$B$8,$C$8))</f>
        <v>0.0925009412902119</v>
      </c>
      <c r="E519" s="55" t="n">
        <f aca="true">MAX(5,NORMINV(RAND(),$B$9,$C$9))</f>
        <v>9.46839978933562</v>
      </c>
      <c r="F519" s="28" t="n">
        <f aca="false">$B$18*(1+(B519+$B$17)/2)^9</f>
        <v>29989.5042031108</v>
      </c>
      <c r="G519" s="28" t="n">
        <f aca="false">F519*C519</f>
        <v>8355.63059103545</v>
      </c>
      <c r="H519" s="28" t="n">
        <f aca="false">E519*G519/(1+D519)^9</f>
        <v>35682.8422406157</v>
      </c>
      <c r="I519" s="28" t="n">
        <f aca="false">$B$13*G519/$B$12*((1+$B$8)/(1+D519))^4.5</f>
        <v>16803.1096814228</v>
      </c>
      <c r="J519" s="28" t="n">
        <f aca="false">H519+I519-$B$14-$B$19</f>
        <v>29823.5950527234</v>
      </c>
      <c r="K519" s="46" t="n">
        <f aca="false">J519/$B$15</f>
        <v>88.4448251860124</v>
      </c>
    </row>
    <row r="520" customFormat="false" ht="15" hidden="false" customHeight="false" outlineLevel="0" collapsed="false">
      <c r="A520" s="54" t="n">
        <v>480</v>
      </c>
      <c r="B520" s="23" t="n">
        <f aca="true">NORMINV(RAND(),$B$6,$C$6)</f>
        <v>0.0870041469276316</v>
      </c>
      <c r="C520" s="23" t="n">
        <f aca="true">MAX(0.15,NORMINV(RAND(),$B$7,$C$7))</f>
        <v>0.316364739839584</v>
      </c>
      <c r="D520" s="35" t="n">
        <f aca="true">MAX(0.06,NORMINV(RAND(),$B$8,$C$8))</f>
        <v>0.0900330606088201</v>
      </c>
      <c r="E520" s="55" t="n">
        <f aca="true">MAX(5,NORMINV(RAND(),$B$9,$C$9))</f>
        <v>10.7424601458797</v>
      </c>
      <c r="F520" s="28" t="n">
        <f aca="false">$B$18*(1+(B520+$B$17)/2)^9</f>
        <v>38002.8919317888</v>
      </c>
      <c r="G520" s="28" t="n">
        <f aca="false">F520*C520</f>
        <v>12022.7750191522</v>
      </c>
      <c r="H520" s="28" t="n">
        <f aca="false">E520*G520/(1+D520)^9</f>
        <v>59449.9425309389</v>
      </c>
      <c r="I520" s="28" t="n">
        <f aca="false">$B$13*G520/$B$12*((1+$B$8)/(1+D520))^4.5</f>
        <v>24425.0141706519</v>
      </c>
      <c r="J520" s="28" t="n">
        <f aca="false">H520+I520-$B$14-$B$19</f>
        <v>61212.5998322758</v>
      </c>
      <c r="K520" s="46" t="n">
        <f aca="false">J520/$B$15</f>
        <v>181.532027972348</v>
      </c>
    </row>
    <row r="521" customFormat="false" ht="15" hidden="false" customHeight="false" outlineLevel="0" collapsed="false">
      <c r="A521" s="54" t="n">
        <v>481</v>
      </c>
      <c r="B521" s="23" t="n">
        <f aca="true">NORMINV(RAND(),$B$6,$C$6)</f>
        <v>0.0676060831666674</v>
      </c>
      <c r="C521" s="23" t="n">
        <f aca="true">MAX(0.15,NORMINV(RAND(),$B$7,$C$7))</f>
        <v>0.317162988235519</v>
      </c>
      <c r="D521" s="35" t="n">
        <f aca="true">MAX(0.06,NORMINV(RAND(),$B$8,$C$8))</f>
        <v>0.0898852846139149</v>
      </c>
      <c r="E521" s="55" t="n">
        <f aca="true">MAX(5,NORMINV(RAND(),$B$9,$C$9))</f>
        <v>10.3287810713177</v>
      </c>
      <c r="F521" s="28" t="n">
        <f aca="false">$B$18*(1+(B521+$B$17)/2)^9</f>
        <v>34974.4665008226</v>
      </c>
      <c r="G521" s="28" t="n">
        <f aca="false">F521*C521</f>
        <v>11092.6063073439</v>
      </c>
      <c r="H521" s="28" t="n">
        <f aca="false">E521*G521/(1+D521)^9</f>
        <v>52802.6321154731</v>
      </c>
      <c r="I521" s="28" t="n">
        <f aca="false">$B$13*G521/$B$12*((1+$B$8)/(1+D521))^4.5</f>
        <v>22549.0718170221</v>
      </c>
      <c r="J521" s="28" t="n">
        <f aca="false">H521+I521-$B$14-$B$19</f>
        <v>52689.3470631801</v>
      </c>
      <c r="K521" s="46" t="n">
        <f aca="false">J521/$B$15</f>
        <v>156.255477648814</v>
      </c>
    </row>
    <row r="522" customFormat="false" ht="15" hidden="false" customHeight="false" outlineLevel="0" collapsed="false">
      <c r="A522" s="54" t="n">
        <v>482</v>
      </c>
      <c r="B522" s="23" t="n">
        <f aca="true">NORMINV(RAND(),$B$6,$C$6)</f>
        <v>0.0656891029228366</v>
      </c>
      <c r="C522" s="23" t="n">
        <f aca="true">MAX(0.15,NORMINV(RAND(),$B$7,$C$7))</f>
        <v>0.263905405021779</v>
      </c>
      <c r="D522" s="35" t="n">
        <f aca="true">MAX(0.06,NORMINV(RAND(),$B$8,$C$8))</f>
        <v>0.0814560997693318</v>
      </c>
      <c r="E522" s="55" t="n">
        <f aca="true">MAX(5,NORMINV(RAND(),$B$9,$C$9))</f>
        <v>9.6054589308104</v>
      </c>
      <c r="F522" s="28" t="n">
        <f aca="false">$B$18*(1+(B522+$B$17)/2)^9</f>
        <v>34687.1683265494</v>
      </c>
      <c r="G522" s="28" t="n">
        <f aca="false">F522*C522</f>
        <v>9154.13120627667</v>
      </c>
      <c r="H522" s="28" t="n">
        <f aca="false">E522*G522/(1+D522)^9</f>
        <v>43456.5456573195</v>
      </c>
      <c r="I522" s="28" t="n">
        <f aca="false">$B$13*G522/$B$12*((1+$B$8)/(1+D522))^4.5</f>
        <v>19270.1780612578</v>
      </c>
      <c r="J522" s="28" t="n">
        <f aca="false">H522+I522-$B$14-$B$19</f>
        <v>40064.3668492622</v>
      </c>
      <c r="K522" s="46" t="n">
        <f aca="false">J522/$B$15</f>
        <v>118.81484830742</v>
      </c>
    </row>
    <row r="523" customFormat="false" ht="15" hidden="false" customHeight="false" outlineLevel="0" collapsed="false">
      <c r="A523" s="54" t="n">
        <v>483</v>
      </c>
      <c r="B523" s="23" t="n">
        <f aca="true">NORMINV(RAND(),$B$6,$C$6)</f>
        <v>0.145035798228916</v>
      </c>
      <c r="C523" s="23" t="n">
        <f aca="true">MAX(0.15,NORMINV(RAND(),$B$7,$C$7))</f>
        <v>0.300721810929557</v>
      </c>
      <c r="D523" s="35" t="n">
        <f aca="true">MAX(0.06,NORMINV(RAND(),$B$8,$C$8))</f>
        <v>0.0946462407306716</v>
      </c>
      <c r="E523" s="55" t="n">
        <f aca="true">MAX(5,NORMINV(RAND(),$B$9,$C$9))</f>
        <v>12.2102384971263</v>
      </c>
      <c r="F523" s="28" t="n">
        <f aca="false">$B$18*(1+(B523+$B$17)/2)^9</f>
        <v>48502.6907030138</v>
      </c>
      <c r="G523" s="28" t="n">
        <f aca="false">F523*C523</f>
        <v>14585.8169831665</v>
      </c>
      <c r="H523" s="28" t="n">
        <f aca="false">E523*G523/(1+D523)^9</f>
        <v>78920.676154663</v>
      </c>
      <c r="I523" s="28" t="n">
        <f aca="false">$B$13*G523/$B$12*((1+$B$8)/(1+D523))^4.5</f>
        <v>29074.1699970981</v>
      </c>
      <c r="J523" s="28" t="n">
        <f aca="false">H523+I523-$B$14-$B$19</f>
        <v>85332.4892824461</v>
      </c>
      <c r="K523" s="46" t="n">
        <f aca="false">J523/$B$15</f>
        <v>253.061949236198</v>
      </c>
    </row>
    <row r="524" customFormat="false" ht="15" hidden="false" customHeight="false" outlineLevel="0" collapsed="false">
      <c r="A524" s="54" t="n">
        <v>484</v>
      </c>
      <c r="B524" s="23" t="n">
        <f aca="true">NORMINV(RAND(),$B$6,$C$6)</f>
        <v>0.0328009704836467</v>
      </c>
      <c r="C524" s="23" t="n">
        <f aca="true">MAX(0.15,NORMINV(RAND(),$B$7,$C$7))</f>
        <v>0.292460144896487</v>
      </c>
      <c r="D524" s="35" t="n">
        <f aca="true">MAX(0.06,NORMINV(RAND(),$B$8,$C$8))</f>
        <v>0.0846848432517476</v>
      </c>
      <c r="E524" s="55" t="n">
        <f aca="true">MAX(5,NORMINV(RAND(),$B$9,$C$9))</f>
        <v>6.3870703491134</v>
      </c>
      <c r="F524" s="28" t="n">
        <f aca="false">$B$18*(1+(B524+$B$17)/2)^9</f>
        <v>30074.198134134</v>
      </c>
      <c r="G524" s="28" t="n">
        <f aca="false">F524*C524</f>
        <v>8795.5043439545</v>
      </c>
      <c r="H524" s="28" t="n">
        <f aca="false">E524*G524/(1+D524)^9</f>
        <v>27029.020176106</v>
      </c>
      <c r="I524" s="28" t="n">
        <f aca="false">$B$13*G524/$B$12*((1+$B$8)/(1+D524))^4.5</f>
        <v>18268.5170708281</v>
      </c>
      <c r="J524" s="28" t="n">
        <f aca="false">H524+I524-$B$14-$B$19</f>
        <v>22635.180377619</v>
      </c>
      <c r="K524" s="46" t="n">
        <f aca="false">J524/$B$15</f>
        <v>67.1268694472687</v>
      </c>
    </row>
    <row r="525" customFormat="false" ht="15" hidden="false" customHeight="false" outlineLevel="0" collapsed="false">
      <c r="A525" s="54" t="n">
        <v>485</v>
      </c>
      <c r="B525" s="23" t="n">
        <f aca="true">NORMINV(RAND(),$B$6,$C$6)</f>
        <v>0.0772035839716854</v>
      </c>
      <c r="C525" s="23" t="n">
        <f aca="true">MAX(0.15,NORMINV(RAND(),$B$7,$C$7))</f>
        <v>0.3588570229917</v>
      </c>
      <c r="D525" s="35" t="n">
        <f aca="true">MAX(0.06,NORMINV(RAND(),$B$8,$C$8))</f>
        <v>0.0724463918237461</v>
      </c>
      <c r="E525" s="55" t="n">
        <f aca="true">MAX(5,NORMINV(RAND(),$B$9,$C$9))</f>
        <v>8.54935206157412</v>
      </c>
      <c r="F525" s="28" t="n">
        <f aca="false">$B$18*(1+(B525+$B$17)/2)^9</f>
        <v>36444.8944472101</v>
      </c>
      <c r="G525" s="28" t="n">
        <f aca="false">F525*C525</f>
        <v>13078.5063245726</v>
      </c>
      <c r="H525" s="28" t="n">
        <f aca="false">E525*G525/(1+D525)^9</f>
        <v>59581.4429463957</v>
      </c>
      <c r="I525" s="28" t="n">
        <f aca="false">$B$13*G525/$B$12*((1+$B$8)/(1+D525))^4.5</f>
        <v>28587.5278790807</v>
      </c>
      <c r="J525" s="28" t="n">
        <f aca="false">H525+I525-$B$14-$B$19</f>
        <v>65506.6139561613</v>
      </c>
      <c r="K525" s="46" t="n">
        <f aca="false">J525/$B$15</f>
        <v>194.266352183159</v>
      </c>
    </row>
    <row r="526" customFormat="false" ht="15" hidden="false" customHeight="false" outlineLevel="0" collapsed="false">
      <c r="A526" s="54" t="n">
        <v>486</v>
      </c>
      <c r="B526" s="23" t="n">
        <f aca="true">NORMINV(RAND(),$B$6,$C$6)</f>
        <v>0.0650397516884056</v>
      </c>
      <c r="C526" s="23" t="n">
        <f aca="true">MAX(0.15,NORMINV(RAND(),$B$7,$C$7))</f>
        <v>0.331299980358442</v>
      </c>
      <c r="D526" s="35" t="n">
        <f aca="true">MAX(0.06,NORMINV(RAND(),$B$8,$C$8))</f>
        <v>0.0955146472383296</v>
      </c>
      <c r="E526" s="55" t="n">
        <f aca="true">MAX(5,NORMINV(RAND(),$B$9,$C$9))</f>
        <v>11.6355030705833</v>
      </c>
      <c r="F526" s="28" t="n">
        <f aca="false">$B$18*(1+(B526+$B$17)/2)^9</f>
        <v>34590.3267001617</v>
      </c>
      <c r="G526" s="28" t="n">
        <f aca="false">F526*C526</f>
        <v>11459.7745563557</v>
      </c>
      <c r="H526" s="28" t="n">
        <f aca="false">E526*G526/(1+D526)^9</f>
        <v>58667.4946368148</v>
      </c>
      <c r="I526" s="28" t="n">
        <f aca="false">$B$13*G526/$B$12*((1+$B$8)/(1+D526))^4.5</f>
        <v>22761.603082083</v>
      </c>
      <c r="J526" s="28" t="n">
        <f aca="false">H526+I526-$B$14-$B$19</f>
        <v>58766.7408495827</v>
      </c>
      <c r="K526" s="46" t="n">
        <f aca="false">J526/$B$15</f>
        <v>174.278590894374</v>
      </c>
    </row>
    <row r="527" customFormat="false" ht="15" hidden="false" customHeight="false" outlineLevel="0" collapsed="false">
      <c r="A527" s="54" t="n">
        <v>487</v>
      </c>
      <c r="B527" s="23" t="n">
        <f aca="true">NORMINV(RAND(),$B$6,$C$6)</f>
        <v>0.0694243664762261</v>
      </c>
      <c r="C527" s="23" t="n">
        <f aca="true">MAX(0.15,NORMINV(RAND(),$B$7,$C$7))</f>
        <v>0.323714935554991</v>
      </c>
      <c r="D527" s="35" t="n">
        <f aca="true">MAX(0.06,NORMINV(RAND(),$B$8,$C$8))</f>
        <v>0.100574142332962</v>
      </c>
      <c r="E527" s="55" t="n">
        <f aca="true">MAX(5,NORMINV(RAND(),$B$9,$C$9))</f>
        <v>12.4389802470179</v>
      </c>
      <c r="F527" s="28" t="n">
        <f aca="false">$B$18*(1+(B527+$B$17)/2)^9</f>
        <v>35248.9255548286</v>
      </c>
      <c r="G527" s="28" t="n">
        <f aca="false">F527*C527</f>
        <v>11410.603664364</v>
      </c>
      <c r="H527" s="28" t="n">
        <f aca="false">E527*G527/(1+D527)^9</f>
        <v>59912.8051902612</v>
      </c>
      <c r="I527" s="28" t="n">
        <f aca="false">$B$13*G527/$B$12*((1+$B$8)/(1+D527))^4.5</f>
        <v>22198.8444830277</v>
      </c>
      <c r="J527" s="28" t="n">
        <f aca="false">H527+I527-$B$14-$B$19</f>
        <v>59449.2928039738</v>
      </c>
      <c r="K527" s="46" t="n">
        <f aca="false">J527/$B$15</f>
        <v>176.30276632258</v>
      </c>
    </row>
    <row r="528" customFormat="false" ht="15" hidden="false" customHeight="false" outlineLevel="0" collapsed="false">
      <c r="A528" s="54" t="n">
        <v>488</v>
      </c>
      <c r="B528" s="23" t="n">
        <f aca="true">NORMINV(RAND(),$B$6,$C$6)</f>
        <v>0.0672652453924005</v>
      </c>
      <c r="C528" s="23" t="n">
        <f aca="true">MAX(0.15,NORMINV(RAND(),$B$7,$C$7))</f>
        <v>0.316517052999504</v>
      </c>
      <c r="D528" s="35" t="n">
        <f aca="true">MAX(0.06,NORMINV(RAND(),$B$8,$C$8))</f>
        <v>0.0966064394937315</v>
      </c>
      <c r="E528" s="55" t="n">
        <f aca="true">MAX(5,NORMINV(RAND(),$B$9,$C$9))</f>
        <v>9.22875159046875</v>
      </c>
      <c r="F528" s="28" t="n">
        <f aca="false">$B$18*(1+(B528+$B$17)/2)^9</f>
        <v>34923.2310084866</v>
      </c>
      <c r="G528" s="28" t="n">
        <f aca="false">F528*C528</f>
        <v>11053.798160027</v>
      </c>
      <c r="H528" s="28" t="n">
        <f aca="false">E528*G528/(1+D528)^9</f>
        <v>44483.3370914438</v>
      </c>
      <c r="I528" s="28" t="n">
        <f aca="false">$B$13*G528/$B$12*((1+$B$8)/(1+D528))^4.5</f>
        <v>21857.0520871036</v>
      </c>
      <c r="J528" s="28" t="n">
        <f aca="false">H528+I528-$B$14-$B$19</f>
        <v>43678.0323092323</v>
      </c>
      <c r="K528" s="46" t="n">
        <f aca="false">J528/$B$15</f>
        <v>129.531531166169</v>
      </c>
    </row>
    <row r="529" customFormat="false" ht="15" hidden="false" customHeight="false" outlineLevel="0" collapsed="false">
      <c r="A529" s="54" t="n">
        <v>489</v>
      </c>
      <c r="B529" s="23" t="n">
        <f aca="true">NORMINV(RAND(),$B$6,$C$6)</f>
        <v>0.0852102883831235</v>
      </c>
      <c r="C529" s="23" t="n">
        <f aca="true">MAX(0.15,NORMINV(RAND(),$B$7,$C$7))</f>
        <v>0.332038679511591</v>
      </c>
      <c r="D529" s="35" t="n">
        <f aca="true">MAX(0.06,NORMINV(RAND(),$B$8,$C$8))</f>
        <v>0.0845170961879881</v>
      </c>
      <c r="E529" s="55" t="n">
        <f aca="true">MAX(5,NORMINV(RAND(),$B$9,$C$9))</f>
        <v>9.98012566193123</v>
      </c>
      <c r="F529" s="28" t="n">
        <f aca="false">$B$18*(1+(B529+$B$17)/2)^9</f>
        <v>37713.3726408905</v>
      </c>
      <c r="G529" s="28" t="n">
        <f aca="false">F529*C529</f>
        <v>12522.2984516098</v>
      </c>
      <c r="H529" s="28" t="n">
        <f aca="false">E529*G529/(1+D529)^9</f>
        <v>60213.3010338778</v>
      </c>
      <c r="I529" s="28" t="n">
        <f aca="false">$B$13*G529/$B$12*((1+$B$8)/(1+D529))^4.5</f>
        <v>26027.2844847928</v>
      </c>
      <c r="J529" s="28" t="n">
        <f aca="false">H529+I529-$B$14-$B$19</f>
        <v>63578.2286493555</v>
      </c>
      <c r="K529" s="46" t="n">
        <f aca="false">J529/$B$15</f>
        <v>188.547534547318</v>
      </c>
    </row>
    <row r="530" customFormat="false" ht="15" hidden="false" customHeight="false" outlineLevel="0" collapsed="false">
      <c r="A530" s="54" t="n">
        <v>490</v>
      </c>
      <c r="B530" s="23" t="n">
        <f aca="true">NORMINV(RAND(),$B$6,$C$6)</f>
        <v>0.118546560453922</v>
      </c>
      <c r="C530" s="23" t="n">
        <f aca="true">MAX(0.15,NORMINV(RAND(),$B$7,$C$7))</f>
        <v>0.361535282558337</v>
      </c>
      <c r="D530" s="35" t="n">
        <f aca="true">MAX(0.06,NORMINV(RAND(),$B$8,$C$8))</f>
        <v>0.0935483931057241</v>
      </c>
      <c r="E530" s="55" t="n">
        <f aca="true">MAX(5,NORMINV(RAND(),$B$9,$C$9))</f>
        <v>10.3783663395937</v>
      </c>
      <c r="F530" s="28" t="n">
        <f aca="false">$B$18*(1+(B530+$B$17)/2)^9</f>
        <v>43427.0210753631</v>
      </c>
      <c r="G530" s="28" t="n">
        <f aca="false">F530*C530</f>
        <v>15700.4003351483</v>
      </c>
      <c r="H530" s="28" t="n">
        <f aca="false">E530*G530/(1+D530)^9</f>
        <v>72861.4252206052</v>
      </c>
      <c r="I530" s="28" t="n">
        <f aca="false">$B$13*G530/$B$12*((1+$B$8)/(1+D530))^4.5</f>
        <v>31437.5227144388</v>
      </c>
      <c r="J530" s="28" t="n">
        <f aca="false">H530+I530-$B$14-$B$19</f>
        <v>81636.5910657289</v>
      </c>
      <c r="K530" s="46" t="n">
        <f aca="false">J530/$B$15</f>
        <v>242.101396992079</v>
      </c>
    </row>
    <row r="531" customFormat="false" ht="15" hidden="false" customHeight="false" outlineLevel="0" collapsed="false">
      <c r="A531" s="54" t="n">
        <v>491</v>
      </c>
      <c r="B531" s="23" t="n">
        <f aca="true">NORMINV(RAND(),$B$6,$C$6)</f>
        <v>0.0844572242727365</v>
      </c>
      <c r="C531" s="23" t="n">
        <f aca="true">MAX(0.15,NORMINV(RAND(),$B$7,$C$7))</f>
        <v>0.33921435027919</v>
      </c>
      <c r="D531" s="35" t="n">
        <f aca="true">MAX(0.06,NORMINV(RAND(),$B$8,$C$8))</f>
        <v>0.0913854732225257</v>
      </c>
      <c r="E531" s="55" t="n">
        <f aca="true">MAX(5,NORMINV(RAND(),$B$9,$C$9))</f>
        <v>10.9291507156429</v>
      </c>
      <c r="F531" s="28" t="n">
        <f aca="false">$B$18*(1+(B531+$B$17)/2)^9</f>
        <v>37592.4175286905</v>
      </c>
      <c r="G531" s="28" t="n">
        <f aca="false">F531*C531</f>
        <v>12751.8874874188</v>
      </c>
      <c r="H531" s="28" t="n">
        <f aca="false">E531*G531/(1+D531)^9</f>
        <v>63439.1517784699</v>
      </c>
      <c r="I531" s="28" t="n">
        <f aca="false">$B$13*G531/$B$12*((1+$B$8)/(1+D531))^4.5</f>
        <v>25762.1042056084</v>
      </c>
      <c r="J531" s="28" t="n">
        <f aca="false">H531+I531-$B$14-$B$19</f>
        <v>66538.8991147632</v>
      </c>
      <c r="K531" s="46" t="n">
        <f aca="false">J531/$B$15</f>
        <v>197.327696069879</v>
      </c>
    </row>
    <row r="532" customFormat="false" ht="15" hidden="false" customHeight="false" outlineLevel="0" collapsed="false">
      <c r="A532" s="54" t="n">
        <v>492</v>
      </c>
      <c r="B532" s="23" t="n">
        <f aca="true">NORMINV(RAND(),$B$6,$C$6)</f>
        <v>0.138629540179784</v>
      </c>
      <c r="C532" s="23" t="n">
        <f aca="true">MAX(0.15,NORMINV(RAND(),$B$7,$C$7))</f>
        <v>0.318458688299934</v>
      </c>
      <c r="D532" s="35" t="n">
        <f aca="true">MAX(0.06,NORMINV(RAND(),$B$8,$C$8))</f>
        <v>0.101732139781173</v>
      </c>
      <c r="E532" s="55" t="n">
        <f aca="true">MAX(5,NORMINV(RAND(),$B$9,$C$9))</f>
        <v>6.95214722828765</v>
      </c>
      <c r="F532" s="28" t="n">
        <f aca="false">$B$18*(1+(B532+$B$17)/2)^9</f>
        <v>47229.1215219692</v>
      </c>
      <c r="G532" s="28" t="n">
        <f aca="false">F532*C532</f>
        <v>15040.5240894445</v>
      </c>
      <c r="H532" s="28" t="n">
        <f aca="false">E532*G532/(1+D532)^9</f>
        <v>43721.772533348</v>
      </c>
      <c r="I532" s="28" t="n">
        <f aca="false">$B$13*G532/$B$12*((1+$B$8)/(1+D532))^4.5</f>
        <v>29122.557060358</v>
      </c>
      <c r="J532" s="28" t="n">
        <f aca="false">H532+I532-$B$14-$B$19</f>
        <v>50181.972724391</v>
      </c>
      <c r="K532" s="46" t="n">
        <f aca="false">J532/$B$15</f>
        <v>148.819610689178</v>
      </c>
    </row>
    <row r="533" customFormat="false" ht="15" hidden="false" customHeight="false" outlineLevel="0" collapsed="false">
      <c r="A533" s="54" t="n">
        <v>493</v>
      </c>
      <c r="B533" s="23" t="n">
        <f aca="true">NORMINV(RAND(),$B$6,$C$6)</f>
        <v>0.0514093875196285</v>
      </c>
      <c r="C533" s="23" t="n">
        <f aca="true">MAX(0.15,NORMINV(RAND(),$B$7,$C$7))</f>
        <v>0.346189790168241</v>
      </c>
      <c r="D533" s="35" t="n">
        <f aca="true">MAX(0.06,NORMINV(RAND(),$B$8,$C$8))</f>
        <v>0.0856328605207782</v>
      </c>
      <c r="E533" s="55" t="n">
        <f aca="true">MAX(5,NORMINV(RAND(),$B$9,$C$9))</f>
        <v>10.9347577890713</v>
      </c>
      <c r="F533" s="28" t="n">
        <f aca="false">$B$18*(1+(B533+$B$17)/2)^9</f>
        <v>32612.2377912202</v>
      </c>
      <c r="G533" s="28" t="n">
        <f aca="false">F533*C533</f>
        <v>11290.0237578593</v>
      </c>
      <c r="H533" s="28" t="n">
        <f aca="false">E533*G533/(1+D533)^9</f>
        <v>58932.8169588214</v>
      </c>
      <c r="I533" s="28" t="n">
        <f aca="false">$B$13*G533/$B$12*((1+$B$8)/(1+D533))^4.5</f>
        <v>23357.6993799348</v>
      </c>
      <c r="J533" s="28" t="n">
        <f aca="false">H533+I533-$B$14-$B$19</f>
        <v>59628.1594694412</v>
      </c>
      <c r="K533" s="46" t="n">
        <f aca="false">J533/$B$15</f>
        <v>176.833213135947</v>
      </c>
    </row>
    <row r="534" customFormat="false" ht="15" hidden="false" customHeight="false" outlineLevel="0" collapsed="false">
      <c r="A534" s="54" t="n">
        <v>494</v>
      </c>
      <c r="B534" s="23" t="n">
        <f aca="true">NORMINV(RAND(),$B$6,$C$6)</f>
        <v>0.102308420679379</v>
      </c>
      <c r="C534" s="23" t="n">
        <f aca="true">MAX(0.15,NORMINV(RAND(),$B$7,$C$7))</f>
        <v>0.281313860508181</v>
      </c>
      <c r="D534" s="35" t="n">
        <f aca="true">MAX(0.06,NORMINV(RAND(),$B$8,$C$8))</f>
        <v>0.0832301451616406</v>
      </c>
      <c r="E534" s="55" t="n">
        <f aca="true">MAX(5,NORMINV(RAND(),$B$9,$C$9))</f>
        <v>12.2365970929546</v>
      </c>
      <c r="F534" s="28" t="n">
        <f aca="false">$B$18*(1+(B534+$B$17)/2)^9</f>
        <v>40554.3906258933</v>
      </c>
      <c r="G534" s="28" t="n">
        <f aca="false">F534*C534</f>
        <v>11408.5121875268</v>
      </c>
      <c r="H534" s="28" t="n">
        <f aca="false">E534*G534/(1+D534)^9</f>
        <v>67983.423974862</v>
      </c>
      <c r="I534" s="28" t="n">
        <f aca="false">$B$13*G534/$B$12*((1+$B$8)/(1+D534))^4.5</f>
        <v>23839.3446462326</v>
      </c>
      <c r="J534" s="28" t="n">
        <f aca="false">H534+I534-$B$14-$B$19</f>
        <v>69160.4117517795</v>
      </c>
      <c r="K534" s="46" t="n">
        <f aca="false">J534/$B$15</f>
        <v>205.102051458421</v>
      </c>
    </row>
    <row r="535" customFormat="false" ht="15" hidden="false" customHeight="false" outlineLevel="0" collapsed="false">
      <c r="A535" s="54" t="n">
        <v>495</v>
      </c>
      <c r="B535" s="23" t="n">
        <f aca="true">NORMINV(RAND(),$B$6,$C$6)</f>
        <v>0.0847603138451907</v>
      </c>
      <c r="C535" s="23" t="n">
        <f aca="true">MAX(0.15,NORMINV(RAND(),$B$7,$C$7))</f>
        <v>0.341569661061902</v>
      </c>
      <c r="D535" s="35" t="n">
        <f aca="true">MAX(0.06,NORMINV(RAND(),$B$8,$C$8))</f>
        <v>0.0873149753324096</v>
      </c>
      <c r="E535" s="55" t="n">
        <f aca="true">MAX(5,NORMINV(RAND(),$B$9,$C$9))</f>
        <v>10.1352148136845</v>
      </c>
      <c r="F535" s="28" t="n">
        <f aca="false">$B$18*(1+(B535+$B$17)/2)^9</f>
        <v>37641.0574259534</v>
      </c>
      <c r="G535" s="28" t="n">
        <f aca="false">F535*C535</f>
        <v>12857.0432269945</v>
      </c>
      <c r="H535" s="28" t="n">
        <f aca="false">E535*G535/(1+D535)^9</f>
        <v>61344.5148844213</v>
      </c>
      <c r="I535" s="28" t="n">
        <f aca="false">$B$13*G535/$B$12*((1+$B$8)/(1+D535))^4.5</f>
        <v>26414.9967441393</v>
      </c>
      <c r="J535" s="28" t="n">
        <f aca="false">H535+I535-$B$14-$B$19</f>
        <v>65097.1547592455</v>
      </c>
      <c r="K535" s="46" t="n">
        <f aca="false">J535/$B$15</f>
        <v>193.052060377359</v>
      </c>
    </row>
    <row r="536" customFormat="false" ht="15" hidden="false" customHeight="false" outlineLevel="0" collapsed="false">
      <c r="A536" s="54" t="n">
        <v>496</v>
      </c>
      <c r="B536" s="23" t="n">
        <f aca="true">NORMINV(RAND(),$B$6,$C$6)</f>
        <v>0.112248622335931</v>
      </c>
      <c r="C536" s="23" t="n">
        <f aca="true">MAX(0.15,NORMINV(RAND(),$B$7,$C$7))</f>
        <v>0.328087773200198</v>
      </c>
      <c r="D536" s="35" t="n">
        <f aca="true">MAX(0.06,NORMINV(RAND(),$B$8,$C$8))</f>
        <v>0.0993628238909513</v>
      </c>
      <c r="E536" s="55" t="n">
        <f aca="true">MAX(5,NORMINV(RAND(),$B$9,$C$9))</f>
        <v>10.0392384870867</v>
      </c>
      <c r="F536" s="28" t="n">
        <f aca="false">$B$18*(1+(B536+$B$17)/2)^9</f>
        <v>42292.0911490751</v>
      </c>
      <c r="G536" s="28" t="n">
        <f aca="false">F536*C536</f>
        <v>13875.5180090799</v>
      </c>
      <c r="H536" s="28" t="n">
        <f aca="false">E536*G536/(1+D536)^9</f>
        <v>59385.5189378297</v>
      </c>
      <c r="I536" s="28" t="n">
        <f aca="false">$B$13*G536/$B$12*((1+$B$8)/(1+D536))^4.5</f>
        <v>27128.3334686966</v>
      </c>
      <c r="J536" s="28" t="n">
        <f aca="false">H536+I536-$B$14-$B$19</f>
        <v>63851.4955372112</v>
      </c>
      <c r="K536" s="46" t="n">
        <f aca="false">J536/$B$15</f>
        <v>189.357934570614</v>
      </c>
    </row>
    <row r="537" customFormat="false" ht="15" hidden="false" customHeight="false" outlineLevel="0" collapsed="false">
      <c r="A537" s="54" t="n">
        <v>497</v>
      </c>
      <c r="B537" s="23" t="n">
        <f aca="true">NORMINV(RAND(),$B$6,$C$6)</f>
        <v>0.0409313590977873</v>
      </c>
      <c r="C537" s="23" t="n">
        <f aca="true">MAX(0.15,NORMINV(RAND(),$B$7,$C$7))</f>
        <v>0.31186811402526</v>
      </c>
      <c r="D537" s="35" t="n">
        <f aca="true">MAX(0.06,NORMINV(RAND(),$B$8,$C$8))</f>
        <v>0.0965864236292416</v>
      </c>
      <c r="E537" s="55" t="n">
        <f aca="true">MAX(5,NORMINV(RAND(),$B$9,$C$9))</f>
        <v>11.545394247513</v>
      </c>
      <c r="F537" s="28" t="n">
        <f aca="false">$B$18*(1+(B537+$B$17)/2)^9</f>
        <v>31160.6665178309</v>
      </c>
      <c r="G537" s="28" t="n">
        <f aca="false">F537*C537</f>
        <v>9718.01829868597</v>
      </c>
      <c r="H537" s="28" t="n">
        <f aca="false">E537*G537/(1+D537)^9</f>
        <v>48932.8709657013</v>
      </c>
      <c r="I537" s="28" t="n">
        <f aca="false">$B$13*G537/$B$12*((1+$B$8)/(1+D537))^4.5</f>
        <v>19217.347405852</v>
      </c>
      <c r="J537" s="28" t="n">
        <f aca="false">H537+I537-$B$14-$B$19</f>
        <v>45487.8615022382</v>
      </c>
      <c r="K537" s="46" t="n">
        <f aca="false">J537/$B$15</f>
        <v>134.898758903435</v>
      </c>
    </row>
    <row r="538" customFormat="false" ht="15" hidden="false" customHeight="false" outlineLevel="0" collapsed="false">
      <c r="A538" s="54" t="n">
        <v>498</v>
      </c>
      <c r="B538" s="23" t="n">
        <f aca="true">NORMINV(RAND(),$B$6,$C$6)</f>
        <v>0.09947559360852</v>
      </c>
      <c r="C538" s="23" t="n">
        <f aca="true">MAX(0.15,NORMINV(RAND(),$B$7,$C$7))</f>
        <v>0.37504554254103</v>
      </c>
      <c r="D538" s="35" t="n">
        <f aca="true">MAX(0.06,NORMINV(RAND(),$B$8,$C$8))</f>
        <v>0.0896150030379563</v>
      </c>
      <c r="E538" s="55" t="n">
        <f aca="true">MAX(5,NORMINV(RAND(),$B$9,$C$9))</f>
        <v>10.2786356350688</v>
      </c>
      <c r="F538" s="28" t="n">
        <f aca="false">$B$18*(1+(B538+$B$17)/2)^9</f>
        <v>40070.9337818076</v>
      </c>
      <c r="G538" s="28" t="n">
        <f aca="false">F538*C538</f>
        <v>15028.4251003237</v>
      </c>
      <c r="H538" s="28" t="n">
        <f aca="false">E538*G538/(1+D538)^9</f>
        <v>71349.5555526681</v>
      </c>
      <c r="I538" s="28" t="n">
        <f aca="false">$B$13*G538/$B$12*((1+$B$8)/(1+D538))^4.5</f>
        <v>30583.9275589517</v>
      </c>
      <c r="J538" s="28" t="n">
        <f aca="false">H538+I538-$B$14-$B$19</f>
        <v>79271.1262423047</v>
      </c>
      <c r="K538" s="46" t="n">
        <f aca="false">J538/$B$15</f>
        <v>235.086376756538</v>
      </c>
    </row>
    <row r="539" customFormat="false" ht="15" hidden="false" customHeight="false" outlineLevel="0" collapsed="false">
      <c r="A539" s="54" t="n">
        <v>499</v>
      </c>
      <c r="B539" s="23" t="n">
        <f aca="true">NORMINV(RAND(),$B$6,$C$6)</f>
        <v>0.0974321427809251</v>
      </c>
      <c r="C539" s="23" t="n">
        <f aca="true">MAX(0.15,NORMINV(RAND(),$B$7,$C$7))</f>
        <v>0.32975926714888</v>
      </c>
      <c r="D539" s="35" t="n">
        <f aca="true">MAX(0.06,NORMINV(RAND(),$B$8,$C$8))</f>
        <v>0.0887837841473658</v>
      </c>
      <c r="E539" s="55" t="n">
        <f aca="true">MAX(5,NORMINV(RAND(),$B$9,$C$9))</f>
        <v>7.50576720662274</v>
      </c>
      <c r="F539" s="28" t="n">
        <f aca="false">$B$18*(1+(B539+$B$17)/2)^9</f>
        <v>39725.3812891405</v>
      </c>
      <c r="G539" s="28" t="n">
        <f aca="false">F539*C539</f>
        <v>13099.8126211168</v>
      </c>
      <c r="H539" s="28" t="n">
        <f aca="false">E539*G539/(1+D539)^9</f>
        <v>45728.3338285293</v>
      </c>
      <c r="I539" s="28" t="n">
        <f aca="false">$B$13*G539/$B$12*((1+$B$8)/(1+D539))^4.5</f>
        <v>26750.7711195205</v>
      </c>
      <c r="J539" s="28" t="n">
        <f aca="false">H539+I539-$B$14-$B$19</f>
        <v>49816.7480787348</v>
      </c>
      <c r="K539" s="46" t="n">
        <f aca="false">J539/$B$15</f>
        <v>147.736500826616</v>
      </c>
    </row>
    <row r="540" customFormat="false" ht="15" hidden="false" customHeight="false" outlineLevel="0" collapsed="false">
      <c r="A540" s="54" t="n">
        <v>500</v>
      </c>
      <c r="B540" s="23" t="n">
        <f aca="true">NORMINV(RAND(),$B$6,$C$6)</f>
        <v>0.104948376548569</v>
      </c>
      <c r="C540" s="23" t="n">
        <f aca="true">MAX(0.15,NORMINV(RAND(),$B$7,$C$7))</f>
        <v>0.347188738253869</v>
      </c>
      <c r="D540" s="35" t="n">
        <f aca="true">MAX(0.06,NORMINV(RAND(),$B$8,$C$8))</f>
        <v>0.0945428559094287</v>
      </c>
      <c r="E540" s="55" t="n">
        <f aca="true">MAX(5,NORMINV(RAND(),$B$9,$C$9))</f>
        <v>11.6654567079359</v>
      </c>
      <c r="F540" s="28" t="n">
        <f aca="false">$B$18*(1+(B540+$B$17)/2)^9</f>
        <v>41009.5917203548</v>
      </c>
      <c r="G540" s="28" t="n">
        <f aca="false">F540*C540</f>
        <v>14238.0684056963</v>
      </c>
      <c r="H540" s="28" t="n">
        <f aca="false">E540*G540/(1+D540)^9</f>
        <v>73664.4389295553</v>
      </c>
      <c r="I540" s="28" t="n">
        <f aca="false">$B$13*G540/$B$12*((1+$B$8)/(1+D540))^4.5</f>
        <v>28393.0617744968</v>
      </c>
      <c r="J540" s="28" t="n">
        <f aca="false">H540+I540-$B$14-$B$19</f>
        <v>79395.143834737</v>
      </c>
      <c r="K540" s="46" t="n">
        <f aca="false">J540/$B$15</f>
        <v>235.454163210964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46"/>
    <col collapsed="false" customWidth="true" hidden="false" outlineLevel="0" max="3" min="2" style="0" width="10"/>
    <col collapsed="false" customWidth="true" hidden="false" outlineLevel="0" max="5" min="4" style="0" width="9"/>
    <col collapsed="false" customWidth="true" hidden="false" outlineLevel="0" max="6" min="6" style="0" width="10"/>
  </cols>
  <sheetData>
    <row r="1" customFormat="false" ht="17.35" hidden="false" customHeight="false" outlineLevel="0" collapsed="false">
      <c r="A1" s="1" t="s">
        <v>449</v>
      </c>
    </row>
    <row r="2" customFormat="false" ht="15" hidden="false" customHeight="false" outlineLevel="0" collapsed="false">
      <c r="A2" s="10" t="str">
        <f aca="false">CONCATENATE("Current price: $",TEXT(Assumptions!B48,"0.00"),"   ·   Scenario: ",CHOOSE(Assumptions!B4,"BASE","BULL","BEAR"),"   ·   Probability-weighted value: $",TEXT(Monte_Carlo!C35,"0.00"))</f>
        <v>Current price: $155.44   ·   Scenario: BASE   ·   Probability-weighted value: $180.34</v>
      </c>
    </row>
    <row r="4" customFormat="false" ht="15" hidden="false" customHeight="false" outlineLevel="0" collapsed="false">
      <c r="A4" s="11" t="s">
        <v>450</v>
      </c>
      <c r="B4" s="11" t="s">
        <v>336</v>
      </c>
      <c r="C4" s="11" t="s">
        <v>337</v>
      </c>
      <c r="D4" s="11" t="s">
        <v>451</v>
      </c>
      <c r="E4" s="11" t="s">
        <v>452</v>
      </c>
      <c r="F4" s="11" t="s">
        <v>453</v>
      </c>
    </row>
    <row r="5" customFormat="false" ht="15" hidden="false" customHeight="false" outlineLevel="0" collapsed="false">
      <c r="A5" s="3" t="s">
        <v>454</v>
      </c>
      <c r="B5" s="21" t="n">
        <v>132.48</v>
      </c>
      <c r="C5" s="21" t="n">
        <v>218.91</v>
      </c>
      <c r="D5" s="29" t="n">
        <f aca="false">B5</f>
        <v>132.48</v>
      </c>
      <c r="E5" s="29" t="n">
        <f aca="false">C5-B5</f>
        <v>86.43</v>
      </c>
      <c r="F5" s="42" t="n">
        <f aca="false">(B5+C5)/2</f>
        <v>175.695</v>
      </c>
    </row>
    <row r="6" customFormat="false" ht="15" hidden="false" customHeight="false" outlineLevel="0" collapsed="false">
      <c r="A6" s="3" t="s">
        <v>455</v>
      </c>
      <c r="B6" s="21" t="n">
        <v>190</v>
      </c>
      <c r="C6" s="21" t="n">
        <v>255</v>
      </c>
      <c r="D6" s="29" t="n">
        <f aca="false">B6</f>
        <v>190</v>
      </c>
      <c r="E6" s="29" t="n">
        <f aca="false">C6-B6</f>
        <v>65</v>
      </c>
      <c r="F6" s="42" t="n">
        <f aca="false">(B6+C6)/2</f>
        <v>222.5</v>
      </c>
    </row>
    <row r="7" customFormat="false" ht="15" hidden="false" customHeight="false" outlineLevel="0" collapsed="false">
      <c r="A7" s="3" t="s">
        <v>456</v>
      </c>
      <c r="B7" s="51" t="n">
        <f aca="false">(SUMPRODUCT(DCF!$B$10:$J$10,(1+(WACC!$B$20+0.005))^-DCF!$B$11:$J$11)+DCF!$J$10*(1+0.02)/((WACC!$B$20+0.005)-0.02)/(1+(WACC!$B$20+0.005))^9-DCF!$B$31-DCF!$B$32)/DCF!$B$33</f>
        <v>109.237365404618</v>
      </c>
      <c r="C7" s="51" t="n">
        <f aca="false">(SUMPRODUCT(DCF!$B$10:$J$10,(1+(WACC!$B$20-0.005))^-DCF!$B$11:$J$11)+DCF!$J$10*(1+0.03)/((WACC!$B$20-0.005)-0.03)/(1+(WACC!$B$20-0.005))^9-DCF!$B$31-DCF!$B$32)/DCF!$B$33</f>
        <v>162.676880141885</v>
      </c>
      <c r="D7" s="29" t="n">
        <f aca="false">B7</f>
        <v>109.237365404618</v>
      </c>
      <c r="E7" s="29" t="n">
        <f aca="false">C7-B7</f>
        <v>53.4395147372669</v>
      </c>
      <c r="F7" s="42" t="n">
        <f aca="false">(B7+C7)/2</f>
        <v>135.957122773252</v>
      </c>
    </row>
    <row r="8" customFormat="false" ht="15" hidden="false" customHeight="false" outlineLevel="0" collapsed="false">
      <c r="A8" s="3" t="s">
        <v>457</v>
      </c>
      <c r="B8" s="51" t="n">
        <f aca="false">(SUMPRODUCT(DCF!$B$10:$J$10,(1+(WACC!$B$20+0.005))^-DCF!$B$11:$J$11)+9*Model_3S!$L$22/(1+(WACC!$B$20+0.005))^9-DCF!$B$31-DCF!$B$32)/DCF!$B$33</f>
        <v>146.931161470768</v>
      </c>
      <c r="C8" s="51" t="n">
        <f aca="false">(SUMPRODUCT(DCF!$B$10:$J$10,(1+(WACC!$B$20-0.005))^-DCF!$B$11:$J$11)+11*Model_3S!$L$22/(1+(WACC!$B$20-0.005))^9-DCF!$B$31-DCF!$B$32)/DCF!$B$33</f>
        <v>196.64927723361</v>
      </c>
      <c r="D8" s="29" t="n">
        <f aca="false">B8</f>
        <v>146.931161470768</v>
      </c>
      <c r="E8" s="29" t="n">
        <f aca="false">C8-B8</f>
        <v>49.7181157628421</v>
      </c>
      <c r="F8" s="42" t="n">
        <f aca="false">(B8+C8)/2</f>
        <v>171.790219352189</v>
      </c>
    </row>
    <row r="9" customFormat="false" ht="15" hidden="false" customHeight="false" outlineLevel="0" collapsed="false">
      <c r="A9" s="3" t="s">
        <v>458</v>
      </c>
      <c r="B9" s="51" t="n">
        <f aca="false">Comps!E15</f>
        <v>120.997589355531</v>
      </c>
      <c r="C9" s="51" t="n">
        <f aca="false">Comps!F15</f>
        <v>225.555952344855</v>
      </c>
      <c r="D9" s="29" t="n">
        <f aca="false">B9</f>
        <v>120.997589355531</v>
      </c>
      <c r="E9" s="29" t="n">
        <f aca="false">C9-B9</f>
        <v>104.558362989324</v>
      </c>
      <c r="F9" s="42" t="n">
        <f aca="false">(B9+C9)/2</f>
        <v>173.276770850193</v>
      </c>
    </row>
    <row r="10" customFormat="false" ht="15" hidden="false" customHeight="false" outlineLevel="0" collapsed="false">
      <c r="A10" s="3" t="s">
        <v>459</v>
      </c>
      <c r="B10" s="51" t="n">
        <f aca="false">Comps!E16</f>
        <v>139.3</v>
      </c>
      <c r="C10" s="51" t="n">
        <f aca="false">Comps!F16</f>
        <v>199</v>
      </c>
      <c r="D10" s="29" t="n">
        <f aca="false">B10</f>
        <v>139.3</v>
      </c>
      <c r="E10" s="29" t="n">
        <f aca="false">C10-B10</f>
        <v>59.7</v>
      </c>
      <c r="F10" s="42" t="n">
        <f aca="false">(B10+C10)/2</f>
        <v>169.15</v>
      </c>
    </row>
    <row r="11" customFormat="false" ht="15" hidden="false" customHeight="false" outlineLevel="0" collapsed="false">
      <c r="A11" s="3" t="s">
        <v>460</v>
      </c>
      <c r="B11" s="51" t="n">
        <f aca="false">Precedents!B18</f>
        <v>79.1742441598011</v>
      </c>
      <c r="C11" s="51" t="n">
        <f aca="false">Precedents!C18</f>
        <v>120.997589355531</v>
      </c>
      <c r="D11" s="29" t="n">
        <f aca="false">B11</f>
        <v>79.1742441598011</v>
      </c>
      <c r="E11" s="29" t="n">
        <f aca="false">C11-B11</f>
        <v>41.8233451957295</v>
      </c>
      <c r="F11" s="42" t="n">
        <f aca="false">(B11+C11)/2</f>
        <v>100.085916757666</v>
      </c>
    </row>
    <row r="12" customFormat="false" ht="15" hidden="false" customHeight="false" outlineLevel="0" collapsed="false">
      <c r="A12" s="3" t="s">
        <v>461</v>
      </c>
      <c r="B12" s="51" t="n">
        <f aca="false">LBO!D46</f>
        <v>111.048168036933</v>
      </c>
      <c r="C12" s="51" t="n">
        <f aca="false">LBO!D44</f>
        <v>144.927141738047</v>
      </c>
      <c r="D12" s="29" t="n">
        <f aca="false">B12</f>
        <v>111.048168036933</v>
      </c>
      <c r="E12" s="29" t="n">
        <f aca="false">C12-B12</f>
        <v>33.8789737011142</v>
      </c>
      <c r="F12" s="42" t="n">
        <f aca="false">(B12+C12)/2</f>
        <v>127.98765488749</v>
      </c>
    </row>
    <row r="13" customFormat="false" ht="15" hidden="false" customHeight="false" outlineLevel="0" collapsed="false">
      <c r="A13" s="3" t="s">
        <v>462</v>
      </c>
      <c r="B13" s="51" t="n">
        <f aca="false">Monte_Carlo!B25</f>
        <v>135.310425765678</v>
      </c>
      <c r="C13" s="51" t="n">
        <f aca="false">Monte_Carlo!B26</f>
        <v>200.528665090886</v>
      </c>
      <c r="D13" s="29" t="n">
        <f aca="false">B13</f>
        <v>135.310425765678</v>
      </c>
      <c r="E13" s="29" t="n">
        <f aca="false">C13-B13</f>
        <v>65.2182393252074</v>
      </c>
      <c r="F13" s="42" t="n">
        <f aca="false">(B13+C13)/2</f>
        <v>167.919545428282</v>
      </c>
    </row>
    <row r="14" customFormat="false" ht="15" hidden="false" customHeight="false" outlineLevel="0" collapsed="false">
      <c r="A14" s="3" t="s">
        <v>463</v>
      </c>
      <c r="B14" s="51" t="n">
        <f aca="false">Assumptions!B48-1.5</f>
        <v>153.94</v>
      </c>
      <c r="C14" s="51" t="n">
        <f aca="false">Assumptions!B48+1.5</f>
        <v>156.94</v>
      </c>
      <c r="D14" s="29" t="n">
        <f aca="false">B14</f>
        <v>153.94</v>
      </c>
      <c r="E14" s="29" t="n">
        <f aca="false">C14-B14</f>
        <v>3</v>
      </c>
      <c r="F14" s="42" t="n">
        <f aca="false">(B14+C14)/2</f>
        <v>155.44</v>
      </c>
    </row>
    <row r="16" customFormat="false" ht="15" hidden="false" customHeight="false" outlineLevel="0" collapsed="false">
      <c r="A16" s="14" t="s">
        <v>464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2026-07-20T17:24:42Z</dcterms:created>
  <dc:creator>openpyxl</dc:creator>
  <dc:description/>
  <dc:language>en-US</dc:language>
  <cp:lastModifiedBy/>
  <dcterms:modified xsi:type="dcterms:W3CDTF">2026-07-20T17:25:00Z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