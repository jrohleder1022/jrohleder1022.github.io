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Historicals" sheetId="3" state="visible" r:id="rId5"/>
    <sheet name="Model_3S" sheetId="4" state="visible" r:id="rId6"/>
    <sheet name="WACC" sheetId="5" state="visible" r:id="rId7"/>
    <sheet name="DCF" sheetId="6" state="visible" r:id="rId8"/>
    <sheet name="Comps" sheetId="7" state="visible" r:id="rId9"/>
    <sheet name="Precedents" sheetId="8" state="visible" r:id="rId10"/>
    <sheet name="LBO" sheetId="9" state="visible" r:id="rId11"/>
    <sheet name="Monte_Carlo" sheetId="10" state="visible" r:id="rId12"/>
    <sheet name="Football_Fiel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<sst xmlns="http://schemas.openxmlformats.org/spreadsheetml/2006/main" count="513" uniqueCount="464">
  <si>
    <t xml:space="preserve">CADENCE DESIGN SYSTEMS (NASDAQ: CDNS) — DCF VALUATION &amp; 3-STATEMENT OPERATING MODEL</t>
  </si>
  <si>
    <t xml:space="preserve">Prepared July 20, 2026 · $ millions except per-share · Calendar fiscal year</t>
  </si>
  <si>
    <t xml:space="preserve">CONTENTS</t>
  </si>
  <si>
    <t xml:space="preserve">Assumptions</t>
  </si>
  <si>
    <t xml:space="preserve">Scenario switch &amp; levers (edit yellow cells)</t>
  </si>
  <si>
    <t xml:space="preserve">Historicals</t>
  </si>
  <si>
    <t xml:space="preserve">FY2022–FY2025 actuals, Q1-2026, FY2026E guidance build</t>
  </si>
  <si>
    <t xml:space="preserve">Model_3S</t>
  </si>
  <si>
    <t xml:space="preserve">Linked IS/BS/CF FY2026E–FY2035E: working capital, capex, debt schedule, buybacks, Hexagon acquisition</t>
  </si>
  <si>
    <t xml:space="preserve">WACC</t>
  </si>
  <si>
    <t xml:space="preserve">CAPM with current market data (beta 1.13, 10Y 4.55%)</t>
  </si>
  <si>
    <t xml:space="preserve">DCF</t>
  </si>
  <si>
    <t xml:space="preserve">Unlevered FCF, Gordon + exit-multiple terminal values, sensitivities</t>
  </si>
  <si>
    <t xml:space="preserve">Comps</t>
  </si>
  <si>
    <t xml:space="preserve">EDA / design-software peers (SNPS, ADSK, MSFT, ORCL)</t>
  </si>
  <si>
    <t xml:space="preserve">Precedents</t>
  </si>
  <si>
    <t xml:space="preserve">EDA &amp; engineering-software M&amp;A (Synopsys–Ansys, Siemens–Altair, Renesas–Altium…)</t>
  </si>
  <si>
    <t xml:space="preserve">LBO</t>
  </si>
  <si>
    <t xml:space="preserve">Leveraged buyout at 6.5x; max price at 15/20/25/30% IRR</t>
  </si>
  <si>
    <t xml:space="preserve">Monte_Carlo</t>
  </si>
  <si>
    <t xml:space="preserve">500 live trials + scenario probability weights</t>
  </si>
  <si>
    <t xml:space="preserve">Football_Field</t>
  </si>
  <si>
    <t xml:space="preserve">Valuation summary chart vs. current price</t>
  </si>
  <si>
    <t xml:space="preserve">LEGEND</t>
  </si>
  <si>
    <t xml:space="preserve">Blue font / yellow fill</t>
  </si>
  <si>
    <t xml:space="preserve">Hardcoded input or scenario lever — edit these</t>
  </si>
  <si>
    <t xml:space="preserve">Black font</t>
  </si>
  <si>
    <t xml:space="preserve">Formula — do not overwrite</t>
  </si>
  <si>
    <t xml:space="preserve">Green font</t>
  </si>
  <si>
    <t xml:space="preserve">Link to another sheet</t>
  </si>
  <si>
    <t xml:space="preserve">'e'</t>
  </si>
  <si>
    <t xml:space="preserve">Estimated figure — see notes</t>
  </si>
  <si>
    <t xml:space="preserve">KEY MODELING NOTES</t>
  </si>
  <si>
    <t xml:space="preserve">1.</t>
  </si>
  <si>
    <t xml:space="preserve">FY2026E revenue $6,175mm = guidance midpoint ($6,125–6,225mm, ~17% growth incl. ~$160mm Hexagon contribution). Non-GAAP EPS guide $7.85–7.95.</t>
  </si>
  <si>
    <t xml:space="preserve">2.</t>
  </si>
  <si>
    <t xml:space="preserve">The Hexagon acquisition is modeled as a $3.1B(e) FY2026 cash outflow landing in goodwill, funded partly by ~$0.6B(e) new debt — both editable inputs.</t>
  </si>
  <si>
    <t xml:space="preserve">3.</t>
  </si>
  <si>
    <t xml:space="preserve">The model is GAAP-normalized: EBITDA excludes SBC (~8.5% of revenue, shown separately); consensus non-GAAP EPS adds SBC/amortization back, so it runs higher than model EPS.</t>
  </si>
  <si>
    <t xml:space="preserve">4.</t>
  </si>
  <si>
    <t xml:space="preserve">Share price ambiguity at build time: stockanalysis.com stats imply ~$330 (mkt cap $91.05B / 275.8mm shares) while a same-week Zacks note quotes $373. $330.10 used — edit Assumptions!B49.</t>
  </si>
  <si>
    <t xml:space="preserve">KEY SOURCES</t>
  </si>
  <si>
    <t xml:space="preserve">Q1-2026 results &amp; FY26 guidance (8-K, 4/27/2026)</t>
  </si>
  <si>
    <t xml:space="preserve">sec.gov/Archives/edgar/data/0000813672/000081367226000044/cfocommentary04272026ex9902.htm; tradingview 10-Q summary</t>
  </si>
  <si>
    <t xml:space="preserve">FY2025 results</t>
  </si>
  <si>
    <t xml:space="preserve">investor.cadence.com FY2025 press release: revenue $5,296.8mm, op income $1,649.8mm, net income $1,108.9mm</t>
  </si>
  <si>
    <t xml:space="preserve">FY2024 10-K</t>
  </si>
  <si>
    <t xml:space="preserve">sec.gov CDNS 10-K: debt $2.5B ('27 $0.5B / '29 $1B / '34 $1B); TA $8,974mm</t>
  </si>
  <si>
    <t xml:space="preserve">Market data</t>
  </si>
  <si>
    <t xml:space="preserve">stockanalysis.com/stocks/cdns/statistics (mkt cap $91.05B, 275.8mm shares, beta 1.13, cash $1.55B, debt $3.08B); macrotrends 52-wk $262.75–$416.69; 32-analyst avg target $387</t>
  </si>
  <si>
    <t xml:space="preserve">10Y UST 4.55% (7/17/2026)</t>
  </si>
  <si>
    <t xml:space="preserve">tradingeconomics.com / FRED DGS10</t>
  </si>
  <si>
    <t xml:space="preserve">DISCLAIMER</t>
  </si>
  <si>
    <t xml:space="preserve">Educational model, not investment advice. Estimated cells flagged on-sheet; verify against Cadence filings.</t>
  </si>
  <si>
    <t xml:space="preserve">ASSUMPTIONS &amp; SCENARIO LEVERS — CADENCE</t>
  </si>
  <si>
    <t xml:space="preserve">Edit yellow cells. Switch drives Model_3S, DCF, LBO, Monte Carlo.</t>
  </si>
  <si>
    <t xml:space="preserve">SCENARIO SWITCH  (1 = Base, 2 = Bull, 3 = Bear)</t>
  </si>
  <si>
    <t xml:space="preserve">Scenario probability weights</t>
  </si>
  <si>
    <t xml:space="preserve">Base</t>
  </si>
  <si>
    <t xml:space="preserve">Bull</t>
  </si>
  <si>
    <t xml:space="preserve">Bear</t>
  </si>
  <si>
    <t xml:space="preserve">Total</t>
  </si>
  <si>
    <t xml:space="preserve">Probability</t>
  </si>
  <si>
    <t xml:space="preserve">Revenue growth — decays linearly FY2027 → FY2035</t>
  </si>
  <si>
    <t xml:space="preserve">Selected</t>
  </si>
  <si>
    <t xml:space="preserve">FY2027 revenue growth</t>
  </si>
  <si>
    <t xml:space="preserve">FY2035 revenue growth (terminal-year)</t>
  </si>
  <si>
    <t xml:space="preserve">Base ≈ EDA secular growth (design activity, AI compute, backlog $8.0B). Bull +4pp; Bear −6pp. FY2026E = guidance $6,175mm.</t>
  </si>
  <si>
    <t xml:space="preserve">Operating drivers — FY2026 start ramps linearly to FY2035 target</t>
  </si>
  <si>
    <t xml:space="preserve">Driver</t>
  </si>
  <si>
    <t xml:space="preserve">FY26 start</t>
  </si>
  <si>
    <t xml:space="preserve">Base target</t>
  </si>
  <si>
    <t xml:space="preserve">Bull target</t>
  </si>
  <si>
    <t xml:space="preserve">Bear target</t>
  </si>
  <si>
    <t xml:space="preserve">Gross margin (excl. D&amp;A)</t>
  </si>
  <si>
    <t xml:space="preserve">Cash opex — R&amp;D + SG&amp;A (% revenue)</t>
  </si>
  <si>
    <t xml:space="preserve">Stock-based compensation (% revenue)</t>
  </si>
  <si>
    <t xml:space="preserve">D&amp;A incl. acquisition amortization (% revenue)</t>
  </si>
  <si>
    <t xml:space="preserve">Capex incl. emulation hardware (% revenue)</t>
  </si>
  <si>
    <t xml:space="preserve">Cash tax rate</t>
  </si>
  <si>
    <t xml:space="preserve">Other current assets (% revenue)</t>
  </si>
  <si>
    <t xml:space="preserve">Deferred revenue (% revenue)</t>
  </si>
  <si>
    <t xml:space="preserve">Implied Adj. EBITDA margin (pre-SBC): FY26 45.5% (ties to ~43.5% non-GAAP op margin guide + D&amp;A) → Base 50% / Bull 54.5% / Bear 42% by FY2035.</t>
  </si>
  <si>
    <t xml:space="preserve">Working capital (held constant)</t>
  </si>
  <si>
    <t xml:space="preserve">Days sales outstanding (DSO)</t>
  </si>
  <si>
    <t xml:space="preserve">Days inventory — emulation hardware (DIO, on COGS)</t>
  </si>
  <si>
    <t xml:space="preserve">Days payable (DPO, on COGS + cash opex)</t>
  </si>
  <si>
    <t xml:space="preserve">Capital &amp; shareholder returns</t>
  </si>
  <si>
    <t xml:space="preserve">Interest earned on cash</t>
  </si>
  <si>
    <t xml:space="preserve">Revolver interest rate</t>
  </si>
  <si>
    <t xml:space="preserve">Minimum cash balance ($mm)</t>
  </si>
  <si>
    <t xml:space="preserve">Diluted shares outstanding (mm)</t>
  </si>
  <si>
    <t xml:space="preserve">Marginal tax rate (valuation)</t>
  </si>
  <si>
    <t xml:space="preserve">Average rate on debt</t>
  </si>
  <si>
    <t xml:space="preserve">Share buybacks per year ($mm)</t>
  </si>
  <si>
    <t xml:space="preserve">Acquisitions FY2026 — Hexagon, net cash (e, $mm)</t>
  </si>
  <si>
    <t xml:space="preserve">Deal size estimated from disclosed $160mm revenue contribution and $0.28 EPS dilution incl. financing costs; edit when terms are confirmed</t>
  </si>
  <si>
    <t xml:space="preserve">New debt issued FY2026 (Hexagon financing, e, $mm)</t>
  </si>
  <si>
    <t xml:space="preserve">Terminal value &amp; market inputs</t>
  </si>
  <si>
    <t xml:space="preserve">Terminal (perpetuity) growth rate g</t>
  </si>
  <si>
    <t xml:space="preserve">Exit EV / Adj. EBITDA multiple (FY2035)</t>
  </si>
  <si>
    <t xml:space="preserve">Current share price (7/17/2026, see Cover note 4)</t>
  </si>
  <si>
    <t xml:space="preserve">HISTORICAL FINANCIALS  ($mm)</t>
  </si>
  <si>
    <t xml:space="preserve">FY2022A</t>
  </si>
  <si>
    <t xml:space="preserve">FY2023A</t>
  </si>
  <si>
    <t xml:space="preserve">FY2024A</t>
  </si>
  <si>
    <t xml:space="preserve">FY2025A</t>
  </si>
  <si>
    <t xml:space="preserve">Q1-26A</t>
  </si>
  <si>
    <t xml:space="preserve">FY2026E</t>
  </si>
  <si>
    <t xml:space="preserve">Revenue</t>
  </si>
  <si>
    <t xml:space="preserve">FY2026E = guidance midpoint $6,125–6,225mm incl. ~$160mm Hexagon</t>
  </si>
  <si>
    <t xml:space="preserve">Operating income (GAAP)</t>
  </si>
  <si>
    <t xml:space="preserve">Net income (GAAP)</t>
  </si>
  <si>
    <t xml:space="preserve">  % revenue growth y/y</t>
  </si>
  <si>
    <t xml:space="preserve">Q1-26: revenue / GAAP EPS / non-GAAP EPS</t>
  </si>
  <si>
    <t xml:space="preserve">$1,474mm · $1.23 · $1.96 (+19% y/y)</t>
  </si>
  <si>
    <t xml:space="preserve">Backlog (Q1-26, record)</t>
  </si>
  <si>
    <t xml:space="preserve">$8.0B</t>
  </si>
  <si>
    <t xml:space="preserve">FY2026 non-GAAP EPS guidance</t>
  </si>
  <si>
    <t xml:space="preserve">$7.85 – $7.95 (incl. ~$0.28 Hexagon dilution)</t>
  </si>
  <si>
    <t xml:space="preserve">Debt (7/2026)</t>
  </si>
  <si>
    <t xml:space="preserve">$3.08B — '27 notes $0.5B, '29 $1.0B, '34 $1.0B + Hexagon financing (e)</t>
  </si>
  <si>
    <t xml:space="preserve">Cash (7/2026)</t>
  </si>
  <si>
    <t xml:space="preserve">$1.55B (stockanalysis.com)</t>
  </si>
  <si>
    <t xml:space="preserve">Non-GAAP operating margin FY2024</t>
  </si>
  <si>
    <t xml:space="preserve">42.5%</t>
  </si>
  <si>
    <t xml:space="preserve">Opening balance sheet, 12/31/2025 (partly estimated):</t>
  </si>
  <si>
    <t xml:space="preserve">  Cash + short-term investments e</t>
  </si>
  <si>
    <t xml:space="preserve">  Receivables e</t>
  </si>
  <si>
    <t xml:space="preserve">  Inventory e</t>
  </si>
  <si>
    <t xml:space="preserve">  Other current assets e</t>
  </si>
  <si>
    <t xml:space="preserve">  PP&amp;E net e</t>
  </si>
  <si>
    <t xml:space="preserve">  Goodwill + intangibles + other LT e</t>
  </si>
  <si>
    <t xml:space="preserve">  AP + accrued e</t>
  </si>
  <si>
    <t xml:space="preserve">  Deferred revenue e</t>
  </si>
  <si>
    <t xml:space="preserve">  Total debt</t>
  </si>
  <si>
    <t xml:space="preserve">  Other LT liabilities e</t>
  </si>
  <si>
    <t xml:space="preserve">FY2024 10-K anchors: TA $8,974mm, TL $4,301mm, equity $4,674mm, debt $2,476mm carrying. FY2025 items estimated from those + FY25 cash generation. Sources on Cover.</t>
  </si>
  <si>
    <t xml:space="preserve">3-STATEMENT OPERATING MODEL — FY2026E–FY2035E  ($mm)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</si>
  <si>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</si>
  <si>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</si>
  <si>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</si>
  <si>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</si>
  <si>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</si>
  <si>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</si>
  <si>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</si>
  <si>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</si>
  <si>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</si>
  <si>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DRIVERS (linked to Assumptions; linear ramps FY26 → FY35)</t>
  </si>
  <si>
    <t xml:space="preserve">Revenue growth %</t>
  </si>
  <si>
    <t xml:space="preserve">Gross margin %</t>
  </si>
  <si>
    <t xml:space="preserve">Cash opex % rev</t>
  </si>
  <si>
    <t xml:space="preserve">SBC % rev</t>
  </si>
  <si>
    <t xml:space="preserve">D&amp;A % rev</t>
  </si>
  <si>
    <t xml:space="preserve">Capex % rev</t>
  </si>
  <si>
    <t xml:space="preserve">Cash tax rate %</t>
  </si>
  <si>
    <t xml:space="preserve">Other current assets % rev</t>
  </si>
  <si>
    <t xml:space="preserve">Deferred revenue % rev</t>
  </si>
  <si>
    <t xml:space="preserve">INCOME STATEMENT</t>
  </si>
  <si>
    <t xml:space="preserve">Cost of revenue (excl. D&amp;A)</t>
  </si>
  <si>
    <t xml:space="preserve">Gross profit</t>
  </si>
  <si>
    <t xml:space="preserve">Cash opex (R&amp;D + SG&amp;A)</t>
  </si>
  <si>
    <t xml:space="preserve">Adjusted EBITDA (pre-SBC)</t>
  </si>
  <si>
    <t xml:space="preserve">Stock-based compensation</t>
  </si>
  <si>
    <t xml:space="preserve">D&amp;A incl. acquisition amortization</t>
  </si>
  <si>
    <t xml:space="preserve">EBIT</t>
  </si>
  <si>
    <t xml:space="preserve">Interest income (on beginning cash)</t>
  </si>
  <si>
    <t xml:space="preserve">Interest expense (beginning debt)</t>
  </si>
  <si>
    <t xml:space="preserve">Pre-tax income</t>
  </si>
  <si>
    <t xml:space="preserve">Taxes</t>
  </si>
  <si>
    <t xml:space="preserve">Net income (GAAP-normalized)</t>
  </si>
  <si>
    <t xml:space="preserve">  EPS (constant shares; non-GAAP consensus is higher)</t>
  </si>
  <si>
    <t xml:space="preserve">  Adj. EBITDA margin %</t>
  </si>
  <si>
    <t xml:space="preserve">WORKING CAPITAL</t>
  </si>
  <si>
    <t xml:space="preserve">Accounts receivable</t>
  </si>
  <si>
    <t xml:space="preserve">Inventory (emulation hardware)</t>
  </si>
  <si>
    <t xml:space="preserve">Other current assets</t>
  </si>
  <si>
    <t xml:space="preserve">AP + accrued</t>
  </si>
  <si>
    <t xml:space="preserve">Deferred revenue</t>
  </si>
  <si>
    <t xml:space="preserve">Net working capital</t>
  </si>
  <si>
    <t xml:space="preserve">(Increase) / decrease in NWC — cash impact</t>
  </si>
  <si>
    <t xml:space="preserve">CAPEX &amp; PP&amp;E</t>
  </si>
  <si>
    <t xml:space="preserve">Capex</t>
  </si>
  <si>
    <t xml:space="preserve">PP&amp;E, net</t>
  </si>
  <si>
    <t xml:space="preserve">60% of D&amp;A assumed to be acquisition amortization (hits the goodwill/intangibles line), 40% depreciation of PP&amp;E</t>
  </si>
  <si>
    <t xml:space="preserve">DEBT SCHEDULE ('27/'29/'34 notes + Hexagon financing; refinanced at maturity)</t>
  </si>
  <si>
    <t xml:space="preserve">Notes &amp; term debt — beginning</t>
  </si>
  <si>
    <t xml:space="preserve">  Net issuance / (repayment) — input</t>
  </si>
  <si>
    <t xml:space="preserve">Notes &amp; term debt — ending</t>
  </si>
  <si>
    <t xml:space="preserve">Revolver — beginning</t>
  </si>
  <si>
    <t xml:space="preserve">  Draw (if cash &lt; minimum)</t>
  </si>
  <si>
    <t xml:space="preserve">  (Repayment)</t>
  </si>
  <si>
    <t xml:space="preserve">Revolver — ending</t>
  </si>
  <si>
    <t xml:space="preserve">Total debt — ending</t>
  </si>
  <si>
    <t xml:space="preserve">CASH FLOW STATEMENT</t>
  </si>
  <si>
    <t xml:space="preserve">Net income</t>
  </si>
  <si>
    <t xml:space="preserve">+ D&amp;A</t>
  </si>
  <si>
    <t xml:space="preserve">+ Stock-based compensation</t>
  </si>
  <si>
    <t xml:space="preserve">+/- Change in NWC</t>
  </si>
  <si>
    <t xml:space="preserve">Cash from operations</t>
  </si>
  <si>
    <t xml:space="preserve">- Capex</t>
  </si>
  <si>
    <t xml:space="preserve">Free cash flow</t>
  </si>
  <si>
    <t xml:space="preserve">- Acquisitions, net (Hexagon FY26)</t>
  </si>
  <si>
    <t xml:space="preserve">- Share buybacks</t>
  </si>
  <si>
    <t xml:space="preserve">+ Debt draws / (repayments)</t>
  </si>
  <si>
    <t xml:space="preserve">Net change in cash</t>
  </si>
  <si>
    <t xml:space="preserve">Cash — beginning</t>
  </si>
  <si>
    <t xml:space="preserve">Cash — ending</t>
  </si>
  <si>
    <t xml:space="preserve">BALANCE SHEET</t>
  </si>
  <si>
    <t xml:space="preserve">Cash + short-term investments</t>
  </si>
  <si>
    <t xml:space="preserve">Inventory</t>
  </si>
  <si>
    <t xml:space="preserve">Goodwill + intangibles + other LT</t>
  </si>
  <si>
    <t xml:space="preserve">TOTAL ASSETS</t>
  </si>
  <si>
    <t xml:space="preserve">Total debt</t>
  </si>
  <si>
    <t xml:space="preserve">Other LT liabilities</t>
  </si>
  <si>
    <t xml:space="preserve">TOTAL LIABILITIES</t>
  </si>
  <si>
    <t xml:space="preserve">Total equity (opening = plug; rolls with NI + SBC − buybacks)</t>
  </si>
  <si>
    <t xml:space="preserve">TOTAL LIABILITIES + EQUITY</t>
  </si>
  <si>
    <t xml:space="preserve">Balance check (must be 0)</t>
  </si>
  <si>
    <t xml:space="preserve">WEIGHTED AVERAGE COST OF CAPITAL — CURRENT MARKET DATA (JULY 2026)</t>
  </si>
  <si>
    <t xml:space="preserve">COST OF EQUITY (CAPM)</t>
  </si>
  <si>
    <t xml:space="preserve">Risk-free rate — 10Y UST, 7/17/2026</t>
  </si>
  <si>
    <t xml:space="preserve">Levered beta</t>
  </si>
  <si>
    <t xml:space="preserve">stockanalysis.com statistics, July 2026</t>
  </si>
  <si>
    <t xml:space="preserve">Equity risk premium</t>
  </si>
  <si>
    <t xml:space="preserve">Damodaran implied ERP, mid-2026</t>
  </si>
  <si>
    <t xml:space="preserve">Company-specific premium</t>
  </si>
  <si>
    <t xml:space="preserve">Cost of equity</t>
  </si>
  <si>
    <t xml:space="preserve">COST OF DEBT</t>
  </si>
  <si>
    <t xml:space="preserve">Pre-tax cost of debt</t>
  </si>
  <si>
    <t xml:space="preserve">Blended '27/'29/'34 notes + Hexagon financing</t>
  </si>
  <si>
    <t xml:space="preserve">Tax rate</t>
  </si>
  <si>
    <t xml:space="preserve">After-tax cost of debt</t>
  </si>
  <si>
    <t xml:space="preserve">CAPITAL STRUCTURE (market weights)</t>
  </si>
  <si>
    <t xml:space="preserve">Debt / total capitalization</t>
  </si>
  <si>
    <t xml:space="preserve">$3.08B debt vs ~$91B market cap</t>
  </si>
  <si>
    <t xml:space="preserve">Equity / total capitalization</t>
  </si>
  <si>
    <t xml:space="preserve">WACC ≈ 9.7%. Sensitivity range in DCF tables: 8.75% – 10.75%.</t>
  </si>
  <si>
    <t xml:space="preserve">DISCOUNTED CASH FLOW — UNLEVERED FCF  ($mm; valuation as of FY2026 year-end, mid-year convention)</t>
  </si>
  <si>
    <t xml:space="preserve">EBIT (post-SBC)</t>
  </si>
  <si>
    <t xml:space="preserve">Cash taxes on EBIT</t>
  </si>
  <si>
    <t xml:space="preserve">− Capex</t>
  </si>
  <si>
    <t xml:space="preserve">+/− Change in NWC</t>
  </si>
  <si>
    <t xml:space="preserve">Unlevered free cash flow</t>
  </si>
  <si>
    <t xml:space="preserve">Discount period (mid-year)</t>
  </si>
  <si>
    <t xml:space="preserve">Discount factor @ WACC</t>
  </si>
  <si>
    <t xml:space="preserve">PV of FCF</t>
  </si>
  <si>
    <t xml:space="preserve">SBC deducted in EBIT (not added back) with a constant share count — conservative.</t>
  </si>
  <si>
    <t xml:space="preserve">Sum of PV of explicit FCF (FY27–35)</t>
  </si>
  <si>
    <t xml:space="preserve">TERMINAL VALUE — METHOD 1: GORDON GROWTH</t>
  </si>
  <si>
    <t xml:space="preserve">Terminal growth g</t>
  </si>
  <si>
    <t xml:space="preserve">Terminal value</t>
  </si>
  <si>
    <t xml:space="preserve">PV of terminal value (9.0 yrs)</t>
  </si>
  <si>
    <t xml:space="preserve">  Implied exit EV/EBITDA</t>
  </si>
  <si>
    <t xml:space="preserve">TERMINAL VALUE — METHOD 2: EXIT MULTIPLE</t>
  </si>
  <si>
    <t xml:space="preserve">Exit EV/Adj. EBITDA multiple</t>
  </si>
  <si>
    <t xml:space="preserve">PV of terminal value</t>
  </si>
  <si>
    <t xml:space="preserve">  Implied perpetuity growth</t>
  </si>
  <si>
    <t xml:space="preserve">ENTERPRISE → EQUITY VALUE BRIDGE</t>
  </si>
  <si>
    <t xml:space="preserve">Net debt, FY2026E year-end (debt − cash)</t>
  </si>
  <si>
    <t xml:space="preserve">Diluted shares (mm)</t>
  </si>
  <si>
    <t xml:space="preserve">Gordon growth</t>
  </si>
  <si>
    <t xml:space="preserve">Exit multiple</t>
  </si>
  <si>
    <t xml:space="preserve">Average</t>
  </si>
  <si>
    <t xml:space="preserve">Enterprise value</t>
  </si>
  <si>
    <t xml:space="preserve">− Net debt</t>
  </si>
  <si>
    <t xml:space="preserve">Equity value</t>
  </si>
  <si>
    <t xml:space="preserve">Implied value per share</t>
  </si>
  <si>
    <t xml:space="preserve">Upside / (downside) vs current price</t>
  </si>
  <si>
    <t xml:space="preserve">SENSITIVITY — VALUE PER SHARE: WACC × TERMINAL GROWTH (Gordon)</t>
  </si>
  <si>
    <t xml:space="preserve">WACC \ g</t>
  </si>
  <si>
    <t xml:space="preserve">SENSITIVITY — VALUE PER SHARE: WACC × EXIT EV/EBITDA MULTIPLE</t>
  </si>
  <si>
    <t xml:space="preserve">WACC \ x</t>
  </si>
  <si>
    <t xml:space="preserve">SENSITIVITY — VALUE PER SHARE: FY2027 GROWTH × TERMINAL ADJ. EBITDA MARGIN  (compact approximation, exit-multiple TV)</t>
  </si>
  <si>
    <t xml:space="preserve">Rev35 ≈ FY26E rev × (1+avg(g1, FY35 g))^9; interim-FCF PV scaled by terminal-EBITDA ratio. Exact at base point.</t>
  </si>
  <si>
    <t xml:space="preserve">FY27 g \ margin</t>
  </si>
  <si>
    <t xml:space="preserve">TRADING COMPARABLES — EDA / DESIGN SOFTWARE  (July 2026; peer multiples estimated from public data)</t>
  </si>
  <si>
    <t xml:space="preserve">Company</t>
  </si>
  <si>
    <t xml:space="preserve">Ticker</t>
  </si>
  <si>
    <t xml:space="preserve">EV/Revenue</t>
  </si>
  <si>
    <t xml:space="preserve">EV/EBITDA</t>
  </si>
  <si>
    <t xml:space="preserve">Note</t>
  </si>
  <si>
    <t xml:space="preserve">Synopsys (incl. Ansys)</t>
  </si>
  <si>
    <t xml:space="preserve">SNPS</t>
  </si>
  <si>
    <t xml:space="preserve">e — closest comp; post-Ansys integration</t>
  </si>
  <si>
    <t xml:space="preserve">Autodesk</t>
  </si>
  <si>
    <t xml:space="preserve">ADSK</t>
  </si>
  <si>
    <t xml:space="preserve">e — design software, similar margin structure</t>
  </si>
  <si>
    <t xml:space="preserve">Microsoft</t>
  </si>
  <si>
    <t xml:space="preserve">MSFT</t>
  </si>
  <si>
    <t xml:space="preserve">e — mega-cap software quality benchmark</t>
  </si>
  <si>
    <t xml:space="preserve">Oracle</t>
  </si>
  <si>
    <t xml:space="preserve">ORCL</t>
  </si>
  <si>
    <t xml:space="preserve">e — mature enterprise software</t>
  </si>
  <si>
    <t xml:space="preserve">Cadence (self, current)</t>
  </si>
  <si>
    <t xml:space="preserve">CDNS</t>
  </si>
  <si>
    <t xml:space="preserve">computed below</t>
  </si>
  <si>
    <t xml:space="preserve">Peer median (ex-CDNS)</t>
  </si>
  <si>
    <t xml:space="preserve">IMPLIED VALUE PER SHARE</t>
  </si>
  <si>
    <t xml:space="preserve">Method</t>
  </si>
  <si>
    <t xml:space="preserve">Low x</t>
  </si>
  <si>
    <t xml:space="preserve">High x</t>
  </si>
  <si>
    <t xml:space="preserve">Metric</t>
  </si>
  <si>
    <t xml:space="preserve">$/sh low</t>
  </si>
  <si>
    <t xml:space="preserve">$/sh high</t>
  </si>
  <si>
    <t xml:space="preserve">EV/Adj. EBITDA × FY2026E ($mm)</t>
  </si>
  <si>
    <t xml:space="preserve">P/E × FY2026E non-GAAP EPS guide ($7.90)</t>
  </si>
  <si>
    <t xml:space="preserve">CDNS has traded 35-50x forward non-GAAP EPS for most of the AI-design cycle; band reflects that history and SNPS parity.</t>
  </si>
  <si>
    <t xml:space="preserve">PRECEDENT TRANSACTIONS — EDA &amp; ENGINEERING SOFTWARE M&amp;A</t>
  </si>
  <si>
    <t xml:space="preserve">Date</t>
  </si>
  <si>
    <t xml:space="preserve">Acquirer</t>
  </si>
  <si>
    <t xml:space="preserve">Target</t>
  </si>
  <si>
    <t xml:space="preserve">EV ($mm)</t>
  </si>
  <si>
    <t xml:space="preserve">Jan-2024</t>
  </si>
  <si>
    <t xml:space="preserve">Synopsys</t>
  </si>
  <si>
    <t xml:space="preserve">Ansys</t>
  </si>
  <si>
    <t xml:space="preserve">~$2.27B revenue; closed 2025</t>
  </si>
  <si>
    <t xml:space="preserve">Oct-2024</t>
  </si>
  <si>
    <t xml:space="preserve">Siemens</t>
  </si>
  <si>
    <t xml:space="preserve">Altair Engineering</t>
  </si>
  <si>
    <t xml:space="preserve">e — simulation software</t>
  </si>
  <si>
    <t xml:space="preserve">Feb-2024</t>
  </si>
  <si>
    <t xml:space="preserve">Renesas</t>
  </si>
  <si>
    <t xml:space="preserve">Altium</t>
  </si>
  <si>
    <t xml:space="preserve">e — PCB design SaaS</t>
  </si>
  <si>
    <t xml:space="preserve">Mar-2024</t>
  </si>
  <si>
    <t xml:space="preserve">Cadence</t>
  </si>
  <si>
    <t xml:space="preserve">BETA CAE</t>
  </si>
  <si>
    <t xml:space="preserve">e — CAE simulation</t>
  </si>
  <si>
    <t xml:space="preserve">Nov-2016</t>
  </si>
  <si>
    <t xml:space="preserve">Mentor Graphics</t>
  </si>
  <si>
    <t xml:space="preserve">pre-AI-cycle EDA benchmark</t>
  </si>
  <si>
    <t xml:space="preserve">2026</t>
  </si>
  <si>
    <t xml:space="preserve">Hexagon (e)</t>
  </si>
  <si>
    <t xml:space="preserve">e — implied from $160mm revenue contribution</t>
  </si>
  <si>
    <t xml:space="preserve">Median EV/Revenue</t>
  </si>
  <si>
    <t xml:space="preserve">APPLIED RANGE</t>
  </si>
  <si>
    <t xml:space="preserve">Modern EDA/engineering-software control deals cluster at 14–20x revenue — but those are for $1-35B targets. A CDNS takeover (~$100B+) has no real precedent; the band is applied at a size discount.</t>
  </si>
  <si>
    <t xml:space="preserve">Low</t>
  </si>
  <si>
    <t xml:space="preserve">High</t>
  </si>
  <si>
    <t xml:space="preserve">EV/Revenue applied to FY2026E</t>
  </si>
  <si>
    <t xml:space="preserve">Implied EV</t>
  </si>
  <si>
    <t xml:space="preserve">LBO ANALYSIS — 5-YEAR HOLD (ENTRY END-FY2026, EXIT END-FY2031)  ($mm)</t>
  </si>
  <si>
    <t xml:space="preserve">ENTRY &amp; FINANCING</t>
  </si>
  <si>
    <t xml:space="preserve">Entry premium to current price</t>
  </si>
  <si>
    <t xml:space="preserve">Entry price per share</t>
  </si>
  <si>
    <t xml:space="preserve">Equity purchase price</t>
  </si>
  <si>
    <t xml:space="preserve">Plus: net debt assumed/refinanced</t>
  </si>
  <si>
    <t xml:space="preserve">Entry enterprise value</t>
  </si>
  <si>
    <t xml:space="preserve">Transaction fees (% of EV)</t>
  </si>
  <si>
    <t xml:space="preserve">FY2026E Adj. EBITDA (debt sizing basis)</t>
  </si>
  <si>
    <t xml:space="preserve">  Entry EV / EBITDA</t>
  </si>
  <si>
    <t xml:space="preserve">Debt tranche</t>
  </si>
  <si>
    <t xml:space="preserve">Multiple</t>
  </si>
  <si>
    <t xml:space="preserve">Rate</t>
  </si>
  <si>
    <t xml:space="preserve">Amount</t>
  </si>
  <si>
    <t xml:space="preserve">Term Loan B</t>
  </si>
  <si>
    <t xml:space="preserve">Senior notes</t>
  </si>
  <si>
    <t xml:space="preserve">Total new debt</t>
  </si>
  <si>
    <t xml:space="preserve">Sponsor equity = EV×(1+fees) − debt</t>
  </si>
  <si>
    <t xml:space="preserve">DEBT PAYDOWN — 100% FCF SWEEP</t>
  </si>
  <si>
    <t xml:space="preserve">Unlevered FCF (DCF sheet)</t>
  </si>
  <si>
    <t xml:space="preserve">Cash interest — TLB (beginning)</t>
  </si>
  <si>
    <t xml:space="preserve">Cash interest — notes</t>
  </si>
  <si>
    <t xml:space="preserve">Interest tax shield</t>
  </si>
  <si>
    <t xml:space="preserve">Levered FCF for paydown</t>
  </si>
  <si>
    <t xml:space="preserve">TLB — beginning</t>
  </si>
  <si>
    <t xml:space="preserve">TLB — (paydown)</t>
  </si>
  <si>
    <t xml:space="preserve">TLB — ending</t>
  </si>
  <si>
    <t xml:space="preserve">Notes — ending (bullet)</t>
  </si>
  <si>
    <t xml:space="preserve">EXIT &amp; RETURNS</t>
  </si>
  <si>
    <t xml:space="preserve">FY2031E Adj. EBITDA</t>
  </si>
  <si>
    <t xml:space="preserve">Exit EV/EBITDA multiple</t>
  </si>
  <si>
    <t xml:space="preserve">Exit enterprise value</t>
  </si>
  <si>
    <t xml:space="preserve">Less: exit net debt</t>
  </si>
  <si>
    <t xml:space="preserve">Exit equity value</t>
  </si>
  <si>
    <t xml:space="preserve">MOIC</t>
  </si>
  <si>
    <t xml:space="preserve">IRR (5-yr)</t>
  </si>
  <si>
    <t xml:space="preserve">MAXIMUM ENTRY PRICE AT TARGET IRR THRESHOLDS  (exit equity constant — debt sized on EBITDA, not price)</t>
  </si>
  <si>
    <t xml:space="preserve">Target IRR</t>
  </si>
  <si>
    <t xml:space="preserve">Max sponsor equity</t>
  </si>
  <si>
    <t xml:space="preserve">Implied entry EV</t>
  </si>
  <si>
    <t xml:space="preserve">Implied price/share</t>
  </si>
  <si>
    <t xml:space="preserve">Prem/(disc) to market</t>
  </si>
  <si>
    <t xml:space="preserve">A CDNS LBO would be the largest tech buyout ever attempted (~$110B at a 20% premium, ~40x EBITDA entry) — the table is the theoretical LBO floor, far below market, as expected for a premier compounder.</t>
  </si>
  <si>
    <t xml:space="preserve">MONTE CARLO SIMULATION — 500 LIVE TRIALS  (press F9 / recalc to refresh draws)</t>
  </si>
  <si>
    <t xml:space="preserve">Compact DCF per trial calibrated to the DCF sheet at base inputs; equity = PV(TV) + PV(FCF) − net debt.</t>
  </si>
  <si>
    <t xml:space="preserve">Distribution parameters — Normal(mean, σ)</t>
  </si>
  <si>
    <t xml:space="preserve">Variable</t>
  </si>
  <si>
    <t xml:space="preserve">Mean (linked)</t>
  </si>
  <si>
    <t xml:space="preserve">σ (input)</t>
  </si>
  <si>
    <t xml:space="preserve">Terminal Adj. EBITDA margin (FY35)</t>
  </si>
  <si>
    <t xml:space="preserve">Calibration statics (linked)</t>
  </si>
  <si>
    <t xml:space="preserve">Base FY2035 Adj. EBITDA</t>
  </si>
  <si>
    <t xml:space="preserve">Base PV of explicit FCF (DCF)</t>
  </si>
  <si>
    <t xml:space="preserve">Net debt FY2026E</t>
  </si>
  <si>
    <t xml:space="preserve">Current share price</t>
  </si>
  <si>
    <t xml:space="preserve">FY2035 growth (selected)</t>
  </si>
  <si>
    <t xml:space="preserve">FY2026E revenue</t>
  </si>
  <si>
    <t xml:space="preserve">Simulation results ($/share)</t>
  </si>
  <si>
    <t xml:space="preserve">Mean</t>
  </si>
  <si>
    <t xml:space="preserve">Median</t>
  </si>
  <si>
    <t xml:space="preserve">Standard deviation</t>
  </si>
  <si>
    <t xml:space="preserve">5th percentile</t>
  </si>
  <si>
    <t xml:space="preserve">25th percentile</t>
  </si>
  <si>
    <t xml:space="preserve">75th percentile</t>
  </si>
  <si>
    <t xml:space="preserve">95th percentile</t>
  </si>
  <si>
    <t xml:space="preserve">P(value &gt; current price)</t>
  </si>
  <si>
    <t xml:space="preserve">Scenario probability-weighted value (compact DCF per scenario)</t>
  </si>
  <si>
    <t xml:space="preserve">Scenario</t>
  </si>
  <si>
    <t xml:space="preserve">Value / share</t>
  </si>
  <si>
    <t xml:space="preserve">Probability-weighted value</t>
  </si>
  <si>
    <t xml:space="preserve">TRIALS</t>
  </si>
  <si>
    <t xml:space="preserve">#</t>
  </si>
  <si>
    <t xml:space="preserve">g FY27</t>
  </si>
  <si>
    <t xml:space="preserve">Term margin</t>
  </si>
  <si>
    <t xml:space="preserve">Exit x</t>
  </si>
  <si>
    <t xml:space="preserve">Rev FY35</t>
  </si>
  <si>
    <t xml:space="preserve">EBITDA FY35</t>
  </si>
  <si>
    <t xml:space="preserve">PV(TV)</t>
  </si>
  <si>
    <t xml:space="preserve">PV(FCF)</t>
  </si>
  <si>
    <t xml:space="preserve">Equity</t>
  </si>
  <si>
    <t xml:space="preserve">$ / share</t>
  </si>
  <si>
    <t xml:space="preserve">Bin ($/sh)</t>
  </si>
  <si>
    <t xml:space="preserve">low</t>
  </si>
  <si>
    <t xml:space="preserve">high</t>
  </si>
  <si>
    <t xml:space="preserve">Count</t>
  </si>
  <si>
    <t xml:space="preserve">&lt;125</t>
  </si>
  <si>
    <t xml:space="preserve">125-150</t>
  </si>
  <si>
    <t xml:space="preserve">150-175</t>
  </si>
  <si>
    <t xml:space="preserve">175-200</t>
  </si>
  <si>
    <t xml:space="preserve">200-225</t>
  </si>
  <si>
    <t xml:space="preserve">225-250</t>
  </si>
  <si>
    <t xml:space="preserve">250-275</t>
  </si>
  <si>
    <t xml:space="preserve">275-300</t>
  </si>
  <si>
    <t xml:space="preserve">300-325</t>
  </si>
  <si>
    <t xml:space="preserve">325-350</t>
  </si>
  <si>
    <t xml:space="preserve">350-375</t>
  </si>
  <si>
    <t xml:space="preserve">375-400</t>
  </si>
  <si>
    <t xml:space="preserve">400-425</t>
  </si>
  <si>
    <t xml:space="preserve">425-450</t>
  </si>
  <si>
    <t xml:space="preserve">450-475</t>
  </si>
  <si>
    <t xml:space="preserve">475-500</t>
  </si>
  <si>
    <t xml:space="preserve">500-525</t>
  </si>
  <si>
    <t xml:space="preserve">525-550</t>
  </si>
  <si>
    <t xml:space="preserve">550-575</t>
  </si>
  <si>
    <t xml:space="preserve">575-600</t>
  </si>
  <si>
    <t xml:space="preserve">600+</t>
  </si>
  <si>
    <t xml:space="preserve">FOOTBALL FIELD — VALUATION SUMMARY  ($ per share)</t>
  </si>
  <si>
    <t xml:space="preserve">Methodology</t>
  </si>
  <si>
    <t xml:space="preserve">(base)</t>
  </si>
  <si>
    <t xml:space="preserve">(span)</t>
  </si>
  <si>
    <t xml:space="preserve">Midpoint</t>
  </si>
  <si>
    <t xml:space="preserve">52-week trading range</t>
  </si>
  <si>
    <t xml:space="preserve">Analyst targets (avg $387, n=32; low e)</t>
  </si>
  <si>
    <t xml:space="preserve">DCF — Gordon growth (WACC ±0.5%, g 3.0–4.0%)</t>
  </si>
  <si>
    <t xml:space="preserve">DCF — exit multiple (17.5–22.5x, WACC ±0.5%)</t>
  </si>
  <si>
    <t xml:space="preserve">Trading comps — EV/EBITDA (25–35x FY26E)</t>
  </si>
  <si>
    <t xml:space="preserve">Trading comps — P/E (35–45x FY26E non-GAAP EPS)</t>
  </si>
  <si>
    <t xml:space="preserve">Precedent transactions (10–15x FY26E revenue)</t>
  </si>
  <si>
    <t xml:space="preserve">LBO capacity (25% → 15% IRR)</t>
  </si>
  <si>
    <t xml:space="preserve">Monte Carlo P25–P75 (live)</t>
  </si>
  <si>
    <t xml:space="preserve">Current price (marker)</t>
  </si>
  <si>
    <t xml:space="preserve">52-wk range: macrotrends. Analyst target: 32-analyst avg $387, high $432 (Stifel); low end of band estimated. All other rows are live model outputs.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</si>
</sst>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0.0\x"/>
    <numFmt numFmtId="169" formatCode="\$#,##0.00"/>
    <numFmt numFmtId="170" formatCode="0.00%;\(0.00%\);\-"/>
    <numFmt numFmtId="171" formatCode="0.00"/>
    <numFmt numFmtId="172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simulated value per share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"Trials"</c:f>
              <c:strCache>
                <c:ptCount val="1"/>
                <c:pt idx="0">
                  <c:v>Trials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Monte_Carlo!$N$41:$N$61</c:f>
              <c:strCache>
                <c:ptCount val="21"/>
                <c:pt idx="0">
                  <c:v>&lt;125</c:v>
                </c:pt>
                <c:pt idx="1">
                  <c:v>125-150</c:v>
                </c:pt>
                <c:pt idx="2">
                  <c:v>150-175</c:v>
                </c:pt>
                <c:pt idx="3">
                  <c:v>175-200</c:v>
                </c:pt>
                <c:pt idx="4">
                  <c:v>200-225</c:v>
                </c:pt>
                <c:pt idx="5">
                  <c:v>225-250</c:v>
                </c:pt>
                <c:pt idx="6">
                  <c:v>250-275</c:v>
                </c:pt>
                <c:pt idx="7">
                  <c:v>275-300</c:v>
                </c:pt>
                <c:pt idx="8">
                  <c:v>300-325</c:v>
                </c:pt>
                <c:pt idx="9">
                  <c:v>325-350</c:v>
                </c:pt>
                <c:pt idx="10">
                  <c:v>350-375</c:v>
                </c:pt>
                <c:pt idx="11">
                  <c:v>375-400</c:v>
                </c:pt>
                <c:pt idx="12">
                  <c:v>400-425</c:v>
                </c:pt>
                <c:pt idx="13">
                  <c:v>425-450</c:v>
                </c:pt>
                <c:pt idx="14">
                  <c:v>450-475</c:v>
                </c:pt>
                <c:pt idx="15">
                  <c:v>475-500</c:v>
                </c:pt>
                <c:pt idx="16">
                  <c:v>500-525</c:v>
                </c:pt>
                <c:pt idx="17">
                  <c:v>525-550</c:v>
                </c:pt>
                <c:pt idx="18">
                  <c:v>550-575</c:v>
                </c:pt>
                <c:pt idx="19">
                  <c:v>575-600</c:v>
                </c:pt>
                <c:pt idx="20">
                  <c:v>600+</c:v>
                </c:pt>
              </c:strCache>
            </c:strRef>
          </c:cat>
          <c:val>
            <c:numRef>
              <c:f>Monte_Carlo!$Q$41:$Q$61</c:f>
              <c:numCache>
                <c:formatCode>#,##0;\(#,##0\);\-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13</c:v>
                </c:pt>
                <c:pt idx="4">
                  <c:v>38</c:v>
                </c:pt>
                <c:pt idx="5">
                  <c:v>68</c:v>
                </c:pt>
                <c:pt idx="6">
                  <c:v>76</c:v>
                </c:pt>
                <c:pt idx="7">
                  <c:v>92</c:v>
                </c:pt>
                <c:pt idx="8">
                  <c:v>76</c:v>
                </c:pt>
                <c:pt idx="9">
                  <c:v>45</c:v>
                </c:pt>
                <c:pt idx="10">
                  <c:v>38</c:v>
                </c:pt>
                <c:pt idx="11">
                  <c:v>23</c:v>
                </c:pt>
                <c:pt idx="12">
                  <c:v>15</c:v>
                </c:pt>
                <c:pt idx="13">
                  <c:v>6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</c:numCache>
            </c:numRef>
          </c:val>
        </c:ser>
        <c:gapWidth val="20"/>
        <c:overlap val="0"/>
        <c:axId val="61295807"/>
        <c:axId val="57585857"/>
      </c:barChart>
      <c:catAx>
        <c:axId val="612958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85857"/>
        <c:crosses val="autoZero"/>
        <c:auto val="1"/>
        <c:lblAlgn val="ctr"/>
        <c:lblOffset val="100"/>
        <c:noMultiLvlLbl val="0"/>
      </c:catAx>
      <c:valAx>
        <c:axId val="57585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Trials (of 500)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958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CDNS valuation ranges ($/share) — red = current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Football_Field!$A$5:$A$14</c:f>
              <c:strCache>
                <c:ptCount val="10"/>
                <c:pt idx="0">
                  <c:v>52-week trading range</c:v>
                </c:pt>
                <c:pt idx="1">
                  <c:v>Analyst targets (avg $387, n=32; low e)</c:v>
                </c:pt>
                <c:pt idx="2">
                  <c:v>DCF — Gordon growth (WACC ±0.5%, g 3.0–4.0%)</c:v>
                </c:pt>
                <c:pt idx="3">
                  <c:v>DCF — exit multiple (17.5–22.5x, WACC ±0.5%)</c:v>
                </c:pt>
                <c:pt idx="4">
                  <c:v>Trading comps — EV/EBITDA (25–35x FY26E)</c:v>
                </c:pt>
                <c:pt idx="5">
                  <c:v>Trading comps — P/E (35–45x FY26E non-GAAP EPS)</c:v>
                </c:pt>
                <c:pt idx="6">
                  <c:v>Precedent transactions (10–15x FY26E revenue)</c:v>
                </c:pt>
                <c:pt idx="7">
                  <c:v>LBO capacity (25% → 15% IRR)</c:v>
                </c:pt>
                <c:pt idx="8">
                  <c:v>Monte Carlo P25–P75 (live)</c:v>
                </c:pt>
                <c:pt idx="9">
                  <c:v>Current price (marker)</c:v>
                </c:pt>
              </c:strCache>
            </c:strRef>
          </c:cat>
          <c:val>
            <c:numRef>
              <c:f>Football_Field!$D$5:$D$14</c:f>
              <c:numCache>
                <c:formatCode>\$#,##0.00</c:formatCode>
                <c:ptCount val="10"/>
                <c:pt idx="0">
                  <c:v>262.75</c:v>
                </c:pt>
                <c:pt idx="1">
                  <c:v>340</c:v>
                </c:pt>
                <c:pt idx="2">
                  <c:v>158.813768900141</c:v>
                </c:pt>
                <c:pt idx="3">
                  <c:v>257.884443047909</c:v>
                </c:pt>
                <c:pt idx="4">
                  <c:v>248.486813652935</c:v>
                </c:pt>
                <c:pt idx="5">
                  <c:v>276.5</c:v>
                </c:pt>
                <c:pt idx="6">
                  <c:v>217.701371303406</c:v>
                </c:pt>
                <c:pt idx="7">
                  <c:v>166.174454597727</c:v>
                </c:pt>
                <c:pt idx="8">
                  <c:v>251.320339805243</c:v>
                </c:pt>
                <c:pt idx="9">
                  <c:v>327.1</c:v>
                </c:pt>
              </c:numCache>
            </c:numRef>
          </c:val>
        </c:ser>
        <c:ser>
          <c:idx val="1"/>
          <c:order val="1"/>
          <c:tx>
            <c:strRef>
              <c:f>"range"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9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Football_Field!$A$5:$A$14</c:f>
              <c:strCache>
                <c:ptCount val="10"/>
                <c:pt idx="0">
                  <c:v>52-week trading range</c:v>
                </c:pt>
                <c:pt idx="1">
                  <c:v>Analyst targets (avg $387, n=32; low e)</c:v>
                </c:pt>
                <c:pt idx="2">
                  <c:v>DCF — Gordon growth (WACC ±0.5%, g 3.0–4.0%)</c:v>
                </c:pt>
                <c:pt idx="3">
                  <c:v>DCF — exit multiple (17.5–22.5x, WACC ±0.5%)</c:v>
                </c:pt>
                <c:pt idx="4">
                  <c:v>Trading comps — EV/EBITDA (25–35x FY26E)</c:v>
                </c:pt>
                <c:pt idx="5">
                  <c:v>Trading comps — P/E (35–45x FY26E non-GAAP EPS)</c:v>
                </c:pt>
                <c:pt idx="6">
                  <c:v>Precedent transactions (10–15x FY26E revenue)</c:v>
                </c:pt>
                <c:pt idx="7">
                  <c:v>LBO capacity (25% → 15% IRR)</c:v>
                </c:pt>
                <c:pt idx="8">
                  <c:v>Monte Carlo P25–P75 (live)</c:v>
                </c:pt>
                <c:pt idx="9">
                  <c:v>Current price (marker)</c:v>
                </c:pt>
              </c:strCache>
            </c:strRef>
          </c:cat>
          <c:val>
            <c:numRef>
              <c:f>Football_Field!$E$5:$E$14</c:f>
              <c:numCache>
                <c:formatCode>\$#,##0.00</c:formatCode>
                <c:ptCount val="10"/>
                <c:pt idx="0">
                  <c:v>153.94</c:v>
                </c:pt>
                <c:pt idx="1">
                  <c:v>92</c:v>
                </c:pt>
                <c:pt idx="2">
                  <c:v>54.768126046827</c:v>
                </c:pt>
                <c:pt idx="3">
                  <c:v>81.9115947659192</c:v>
                </c:pt>
                <c:pt idx="4">
                  <c:v>101.871827411168</c:v>
                </c:pt>
                <c:pt idx="5">
                  <c:v>79</c:v>
                </c:pt>
                <c:pt idx="6">
                  <c:v>111.947063089195</c:v>
                </c:pt>
                <c:pt idx="7">
                  <c:v>55.5793327073388</c:v>
                </c:pt>
                <c:pt idx="8">
                  <c:v>77.3102322039431</c:v>
                </c:pt>
                <c:pt idx="9">
                  <c:v>6</c:v>
                </c:pt>
              </c:numCache>
            </c:numRef>
          </c:val>
        </c:ser>
        <c:gapWidth val="60"/>
        <c:overlap val="100"/>
        <c:axId val="43854774"/>
        <c:axId val="57109383"/>
      </c:barChart>
      <c:catAx>
        <c:axId val="438547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09383"/>
        <c:crosses val="autoZero"/>
        <c:auto val="1"/>
        <c:lblAlgn val="ctr"/>
        <c:lblOffset val="100"/>
        <c:noMultiLvlLbl val="0"/>
      </c:catAx>
      <c:valAx>
        <c:axId val="57109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547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21</xdr:col>
      <xdr:colOff>240120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1409400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160560</xdr:rowOff>
    </xdr:from>
    <xdr:to>
      <xdr:col>6</xdr:col>
      <xdr:colOff>105120</xdr:colOff>
      <xdr:row>41</xdr:row>
      <xdr:rowOff>77760</xdr:rowOff>
    </xdr:to>
    <xdr:graphicFrame>
      <xdr:nvGraphicFramePr>
        <xdr:cNvPr id="1" name="Chart 1"/>
        <xdr:cNvGraphicFramePr/>
      </xdr:nvGraphicFramePr>
      <xdr:xfrm>
        <a:off x="0" y="323856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C3" s="4"/>
    </row>
    <row r="4" customFormat="false" ht="15" hidden="false" customHeight="false" outlineLevel="0" collapsed="false">
      <c r="A4" s="5" t="s">
        <v>2</v>
      </c>
      <c r="C4" s="4"/>
    </row>
    <row r="5" customFormat="false" ht="15" hidden="false" customHeight="false" outlineLevel="0" collapsed="false">
      <c r="A5" s="3" t="s">
        <v>3</v>
      </c>
      <c r="C5" s="4" t="s">
        <v>4</v>
      </c>
    </row>
    <row r="6" customFormat="false" ht="15" hidden="false" customHeight="false" outlineLevel="0" collapsed="false">
      <c r="A6" s="3" t="s">
        <v>5</v>
      </c>
      <c r="C6" s="4" t="s">
        <v>6</v>
      </c>
    </row>
    <row r="7" customFormat="false" ht="15" hidden="false" customHeight="false" outlineLevel="0" collapsed="false">
      <c r="A7" s="3" t="s">
        <v>7</v>
      </c>
      <c r="C7" s="4" t="s">
        <v>8</v>
      </c>
    </row>
    <row r="8" customFormat="false" ht="15" hidden="false" customHeight="false" outlineLevel="0" collapsed="false">
      <c r="A8" s="3" t="s">
        <v>9</v>
      </c>
      <c r="C8" s="4" t="s">
        <v>10</v>
      </c>
    </row>
    <row r="9" customFormat="false" ht="15" hidden="false" customHeight="false" outlineLevel="0" collapsed="false">
      <c r="A9" s="3" t="s">
        <v>11</v>
      </c>
      <c r="C9" s="4" t="s">
        <v>12</v>
      </c>
    </row>
    <row r="10" customFormat="false" ht="15" hidden="false" customHeight="false" outlineLevel="0" collapsed="false">
      <c r="A10" s="3" t="s">
        <v>13</v>
      </c>
      <c r="C10" s="4" t="s">
        <v>14</v>
      </c>
    </row>
    <row r="11" customFormat="false" ht="15" hidden="false" customHeight="false" outlineLevel="0" collapsed="false">
      <c r="A11" s="3" t="s">
        <v>15</v>
      </c>
      <c r="C11" s="4" t="s">
        <v>16</v>
      </c>
    </row>
    <row r="12" customFormat="false" ht="15" hidden="false" customHeight="false" outlineLevel="0" collapsed="false">
      <c r="A12" s="3" t="s">
        <v>17</v>
      </c>
      <c r="C12" s="4" t="s">
        <v>18</v>
      </c>
    </row>
    <row r="13" customFormat="false" ht="15" hidden="false" customHeight="false" outlineLevel="0" collapsed="false">
      <c r="A13" s="3" t="s">
        <v>19</v>
      </c>
      <c r="C13" s="4" t="s">
        <v>20</v>
      </c>
    </row>
    <row r="14" customFormat="false" ht="15" hidden="false" customHeight="false" outlineLevel="0" collapsed="false">
      <c r="A14" s="3" t="s">
        <v>21</v>
      </c>
      <c r="C14" s="4" t="s">
        <v>22</v>
      </c>
    </row>
    <row r="15" customFormat="false" ht="15" hidden="false" customHeight="false" outlineLevel="0" collapsed="false">
      <c r="A15" s="3"/>
      <c r="C15" s="4"/>
    </row>
    <row r="16" customFormat="false" ht="15" hidden="false" customHeight="false" outlineLevel="0" collapsed="false">
      <c r="A16" s="5" t="s">
        <v>23</v>
      </c>
      <c r="C16" s="4"/>
    </row>
    <row r="17" customFormat="false" ht="15" hidden="false" customHeight="false" outlineLevel="0" collapsed="false">
      <c r="A17" s="6" t="s">
        <v>24</v>
      </c>
      <c r="C17" s="4" t="s">
        <v>25</v>
      </c>
    </row>
    <row r="18" customFormat="false" ht="15" hidden="false" customHeight="false" outlineLevel="0" collapsed="false">
      <c r="A18" s="3" t="s">
        <v>26</v>
      </c>
      <c r="C18" s="4" t="s">
        <v>27</v>
      </c>
    </row>
    <row r="19" customFormat="false" ht="15" hidden="false" customHeight="false" outlineLevel="0" collapsed="false">
      <c r="A19" s="3" t="s">
        <v>28</v>
      </c>
      <c r="C19" s="4" t="s">
        <v>29</v>
      </c>
    </row>
    <row r="20" customFormat="false" ht="15" hidden="false" customHeight="false" outlineLevel="0" collapsed="false">
      <c r="A20" s="3" t="s">
        <v>30</v>
      </c>
      <c r="C20" s="4" t="s">
        <v>31</v>
      </c>
    </row>
    <row r="21" customFormat="false" ht="15" hidden="false" customHeight="false" outlineLevel="0" collapsed="false">
      <c r="A21" s="3"/>
      <c r="C21" s="4"/>
    </row>
    <row r="22" customFormat="false" ht="15" hidden="false" customHeight="false" outlineLevel="0" collapsed="false">
      <c r="A22" s="5" t="s">
        <v>32</v>
      </c>
      <c r="C22" s="4"/>
    </row>
    <row r="23" customFormat="false" ht="15" hidden="false" customHeight="false" outlineLevel="0" collapsed="false">
      <c r="A23" s="3" t="s">
        <v>33</v>
      </c>
      <c r="C23" s="4" t="s">
        <v>34</v>
      </c>
    </row>
    <row r="24" customFormat="false" ht="15" hidden="false" customHeight="false" outlineLevel="0" collapsed="false">
      <c r="A24" s="3" t="s">
        <v>35</v>
      </c>
      <c r="C24" s="4" t="s">
        <v>36</v>
      </c>
    </row>
    <row r="25" customFormat="false" ht="15" hidden="false" customHeight="false" outlineLevel="0" collapsed="false">
      <c r="A25" s="3" t="s">
        <v>37</v>
      </c>
      <c r="C25" s="4" t="s">
        <v>38</v>
      </c>
    </row>
    <row r="26" customFormat="false" ht="15" hidden="false" customHeight="false" outlineLevel="0" collapsed="false">
      <c r="A26" s="3" t="s">
        <v>39</v>
      </c>
      <c r="C26" s="4" t="s">
        <v>40</v>
      </c>
    </row>
    <row r="27" customFormat="false" ht="15" hidden="false" customHeight="false" outlineLevel="0" collapsed="false">
      <c r="A27" s="3"/>
      <c r="C27" s="4"/>
    </row>
    <row r="28" customFormat="false" ht="15" hidden="false" customHeight="false" outlineLevel="0" collapsed="false">
      <c r="A28" s="5" t="s">
        <v>41</v>
      </c>
      <c r="C28" s="4"/>
    </row>
    <row r="29" customFormat="false" ht="15" hidden="false" customHeight="false" outlineLevel="0" collapsed="false">
      <c r="A29" s="3" t="s">
        <v>42</v>
      </c>
      <c r="C29" s="4" t="s">
        <v>43</v>
      </c>
    </row>
    <row r="30" customFormat="false" ht="15" hidden="false" customHeight="false" outlineLevel="0" collapsed="false">
      <c r="A30" s="3" t="s">
        <v>44</v>
      </c>
      <c r="C30" s="4" t="s">
        <v>45</v>
      </c>
    </row>
    <row r="31" customFormat="false" ht="15" hidden="false" customHeight="false" outlineLevel="0" collapsed="false">
      <c r="A31" s="3" t="s">
        <v>46</v>
      </c>
      <c r="C31" s="4" t="s">
        <v>47</v>
      </c>
    </row>
    <row r="32" customFormat="false" ht="15" hidden="false" customHeight="false" outlineLevel="0" collapsed="false">
      <c r="A32" s="3" t="s">
        <v>48</v>
      </c>
      <c r="C32" s="4" t="s">
        <v>49</v>
      </c>
    </row>
    <row r="33" customFormat="false" ht="15" hidden="false" customHeight="false" outlineLevel="0" collapsed="false">
      <c r="A33" s="3" t="s">
        <v>50</v>
      </c>
      <c r="C33" s="4" t="s">
        <v>51</v>
      </c>
    </row>
    <row r="34" customFormat="false" ht="15" hidden="false" customHeight="false" outlineLevel="0" collapsed="false">
      <c r="A34" s="3"/>
      <c r="C34" s="4"/>
    </row>
    <row r="35" customFormat="false" ht="15" hidden="false" customHeight="false" outlineLevel="0" collapsed="false">
      <c r="A35" s="5" t="s">
        <v>52</v>
      </c>
      <c r="C35" s="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7" t="s">
        <v>56</v>
      </c>
      <c r="B4" s="8" t="n">
        <v>1</v>
      </c>
      <c r="C4" s="9" t="str">
        <f aca="false">CHOOSE($B$4,"BASE — durable low-teens EDA growth","BULL — AI/agentic design supercycle","BEAR — semis downcycle + China restrictions")</f>
        <v>BASE — durable low-teens EDA growth</v>
      </c>
    </row>
    <row r="6" customFormat="false" ht="15" hidden="false" customHeight="false" outlineLevel="0" collapsed="false">
      <c r="A6" s="5" t="s">
        <v>57</v>
      </c>
    </row>
    <row r="7" customFormat="false" ht="15" hidden="false" customHeight="false" outlineLevel="0" collapsed="false">
      <c r="A7" s="10"/>
      <c r="B7" s="10" t="s">
        <v>58</v>
      </c>
      <c r="C7" s="10" t="s">
        <v>59</v>
      </c>
      <c r="D7" s="10" t="s">
        <v>60</v>
      </c>
      <c r="E7" s="10" t="s">
        <v>61</v>
      </c>
    </row>
    <row r="8" customFormat="false" ht="15" hidden="false" customHeight="false" outlineLevel="0" collapsed="false">
      <c r="A8" s="3" t="s">
        <v>62</v>
      </c>
      <c r="B8" s="11" t="n">
        <v>0.5</v>
      </c>
      <c r="C8" s="11" t="n">
        <v>0.3</v>
      </c>
      <c r="D8" s="11" t="n">
        <v>0.2</v>
      </c>
      <c r="E8" s="12" t="n">
        <f aca="false">SUM(B8:D8)</f>
        <v>1</v>
      </c>
    </row>
    <row r="10" customFormat="false" ht="15" hidden="false" customHeight="false" outlineLevel="0" collapsed="false">
      <c r="A10" s="5" t="s">
        <v>63</v>
      </c>
    </row>
    <row r="11" customFormat="false" ht="15" hidden="false" customHeight="false" outlineLevel="0" collapsed="false">
      <c r="A11" s="10"/>
      <c r="B11" s="10" t="s">
        <v>58</v>
      </c>
      <c r="C11" s="10" t="s">
        <v>59</v>
      </c>
      <c r="D11" s="10" t="s">
        <v>60</v>
      </c>
      <c r="E11" s="10" t="s">
        <v>64</v>
      </c>
    </row>
    <row r="12" customFormat="false" ht="15" hidden="false" customHeight="false" outlineLevel="0" collapsed="false">
      <c r="A12" s="3" t="s">
        <v>65</v>
      </c>
      <c r="B12" s="11" t="n">
        <v>0.13</v>
      </c>
      <c r="C12" s="11" t="n">
        <v>0.17</v>
      </c>
      <c r="D12" s="11" t="n">
        <v>0.07</v>
      </c>
      <c r="E12" s="12" t="n">
        <f aca="false">CHOOSE($B$4,B12,C12,D12)</f>
        <v>0.13</v>
      </c>
    </row>
    <row r="13" customFormat="false" ht="15" hidden="false" customHeight="false" outlineLevel="0" collapsed="false">
      <c r="A13" s="3" t="s">
        <v>66</v>
      </c>
      <c r="B13" s="11" t="n">
        <v>0.08</v>
      </c>
      <c r="C13" s="11" t="n">
        <v>0.11</v>
      </c>
      <c r="D13" s="11" t="n">
        <v>0.03</v>
      </c>
      <c r="E13" s="12" t="n">
        <f aca="false">CHOOSE($B$4,B13,C13,D13)</f>
        <v>0.08</v>
      </c>
    </row>
    <row r="14" customFormat="false" ht="15" hidden="false" customHeight="false" outlineLevel="0" collapsed="false">
      <c r="A14" s="13" t="s">
        <v>67</v>
      </c>
    </row>
    <row r="15" customFormat="false" ht="15" hidden="false" customHeight="false" outlineLevel="0" collapsed="false">
      <c r="A15" s="5" t="s">
        <v>68</v>
      </c>
    </row>
    <row r="16" customFormat="false" ht="15" hidden="false" customHeight="false" outlineLevel="0" collapsed="false">
      <c r="A16" s="10" t="s">
        <v>69</v>
      </c>
      <c r="B16" s="10" t="s">
        <v>70</v>
      </c>
      <c r="C16" s="10" t="s">
        <v>71</v>
      </c>
      <c r="D16" s="10" t="s">
        <v>72</v>
      </c>
      <c r="E16" s="10" t="s">
        <v>73</v>
      </c>
      <c r="F16" s="10" t="s">
        <v>64</v>
      </c>
    </row>
    <row r="17" customFormat="false" ht="15" hidden="false" customHeight="false" outlineLevel="0" collapsed="false">
      <c r="A17" s="3" t="s">
        <v>74</v>
      </c>
      <c r="B17" s="11" t="n">
        <v>0.88</v>
      </c>
      <c r="C17" s="11" t="n">
        <v>0.89</v>
      </c>
      <c r="D17" s="11" t="n">
        <v>0.9</v>
      </c>
      <c r="E17" s="11" t="n">
        <v>0.87</v>
      </c>
      <c r="F17" s="12" t="n">
        <f aca="false">CHOOSE($B$4,C17,D17,E17)</f>
        <v>0.89</v>
      </c>
    </row>
    <row r="18" customFormat="false" ht="15" hidden="false" customHeight="false" outlineLevel="0" collapsed="false">
      <c r="A18" s="3" t="s">
        <v>75</v>
      </c>
      <c r="B18" s="11" t="n">
        <v>0.425</v>
      </c>
      <c r="C18" s="11" t="n">
        <v>0.39</v>
      </c>
      <c r="D18" s="11" t="n">
        <v>0.355</v>
      </c>
      <c r="E18" s="11" t="n">
        <v>0.45</v>
      </c>
      <c r="F18" s="12" t="n">
        <f aca="false">CHOOSE($B$4,C18,D18,E18)</f>
        <v>0.39</v>
      </c>
    </row>
    <row r="19" customFormat="false" ht="15" hidden="false" customHeight="false" outlineLevel="0" collapsed="false">
      <c r="A19" s="3" t="s">
        <v>76</v>
      </c>
      <c r="B19" s="11" t="n">
        <v>0.085</v>
      </c>
      <c r="C19" s="11" t="n">
        <v>0.07</v>
      </c>
      <c r="D19" s="11" t="n">
        <v>0.07</v>
      </c>
      <c r="E19" s="11" t="n">
        <v>0.08</v>
      </c>
      <c r="F19" s="12" t="n">
        <f aca="false">CHOOSE($B$4,C19,D19,E19)</f>
        <v>0.07</v>
      </c>
    </row>
    <row r="20" customFormat="false" ht="15" hidden="false" customHeight="false" outlineLevel="0" collapsed="false">
      <c r="A20" s="3" t="s">
        <v>77</v>
      </c>
      <c r="B20" s="11" t="n">
        <v>0.03</v>
      </c>
      <c r="C20" s="11" t="n">
        <v>0.03</v>
      </c>
      <c r="D20" s="11" t="n">
        <v>0.03</v>
      </c>
      <c r="E20" s="11" t="n">
        <v>0.03</v>
      </c>
      <c r="F20" s="12" t="n">
        <f aca="false">CHOOSE($B$4,C20,D20,E20)</f>
        <v>0.03</v>
      </c>
    </row>
    <row r="21" customFormat="false" ht="15" hidden="false" customHeight="false" outlineLevel="0" collapsed="false">
      <c r="A21" s="3" t="s">
        <v>78</v>
      </c>
      <c r="B21" s="11" t="n">
        <v>0.03</v>
      </c>
      <c r="C21" s="11" t="n">
        <v>0.025</v>
      </c>
      <c r="D21" s="11" t="n">
        <v>0.03</v>
      </c>
      <c r="E21" s="11" t="n">
        <v>0.02</v>
      </c>
      <c r="F21" s="12" t="n">
        <f aca="false">CHOOSE($B$4,C21,D21,E21)</f>
        <v>0.025</v>
      </c>
    </row>
    <row r="22" customFormat="false" ht="15" hidden="false" customHeight="false" outlineLevel="0" collapsed="false">
      <c r="A22" s="3" t="s">
        <v>79</v>
      </c>
      <c r="B22" s="11" t="n">
        <v>0.2</v>
      </c>
      <c r="C22" s="11" t="n">
        <v>0.22</v>
      </c>
      <c r="D22" s="11" t="n">
        <v>0.22</v>
      </c>
      <c r="E22" s="11" t="n">
        <v>0.2</v>
      </c>
      <c r="F22" s="12" t="n">
        <f aca="false">CHOOSE($B$4,C22,D22,E22)</f>
        <v>0.22</v>
      </c>
    </row>
    <row r="23" customFormat="false" ht="15" hidden="false" customHeight="false" outlineLevel="0" collapsed="false">
      <c r="A23" s="3" t="s">
        <v>80</v>
      </c>
      <c r="B23" s="11" t="n">
        <v>0.11</v>
      </c>
      <c r="C23" s="11" t="n">
        <v>0.11</v>
      </c>
      <c r="D23" s="11" t="n">
        <v>0.11</v>
      </c>
      <c r="E23" s="11" t="n">
        <v>0.11</v>
      </c>
      <c r="F23" s="12" t="n">
        <f aca="false">CHOOSE($B$4,C23,D23,E23)</f>
        <v>0.11</v>
      </c>
    </row>
    <row r="24" customFormat="false" ht="15" hidden="false" customHeight="false" outlineLevel="0" collapsed="false">
      <c r="A24" s="3" t="s">
        <v>81</v>
      </c>
      <c r="B24" s="11" t="n">
        <v>0.155</v>
      </c>
      <c r="C24" s="11" t="n">
        <v>0.16</v>
      </c>
      <c r="D24" s="11" t="n">
        <v>0.16</v>
      </c>
      <c r="E24" s="11" t="n">
        <v>0.15</v>
      </c>
      <c r="F24" s="12" t="n">
        <f aca="false">CHOOSE($B$4,C24,D24,E24)</f>
        <v>0.16</v>
      </c>
    </row>
    <row r="25" customFormat="false" ht="15" hidden="false" customHeight="false" outlineLevel="0" collapsed="false">
      <c r="A25" s="13" t="s">
        <v>82</v>
      </c>
    </row>
    <row r="26" customFormat="false" ht="15" hidden="false" customHeight="false" outlineLevel="0" collapsed="false">
      <c r="A26" s="5" t="s">
        <v>83</v>
      </c>
    </row>
    <row r="27" customFormat="false" ht="15" hidden="false" customHeight="false" outlineLevel="0" collapsed="false">
      <c r="A27" s="3" t="s">
        <v>84</v>
      </c>
      <c r="B27" s="14" t="n">
        <v>60</v>
      </c>
    </row>
    <row r="28" customFormat="false" ht="15" hidden="false" customHeight="false" outlineLevel="0" collapsed="false">
      <c r="A28" s="3" t="s">
        <v>85</v>
      </c>
      <c r="B28" s="14" t="n">
        <v>150</v>
      </c>
    </row>
    <row r="29" customFormat="false" ht="15" hidden="false" customHeight="false" outlineLevel="0" collapsed="false">
      <c r="A29" s="3" t="s">
        <v>86</v>
      </c>
      <c r="B29" s="14" t="n">
        <v>45</v>
      </c>
    </row>
    <row r="33" customFormat="false" ht="15" hidden="false" customHeight="false" outlineLevel="0" collapsed="false">
      <c r="A33" s="5" t="s">
        <v>87</v>
      </c>
    </row>
    <row r="34" customFormat="false" ht="15" hidden="false" customHeight="false" outlineLevel="0" collapsed="false">
      <c r="A34" s="3" t="s">
        <v>88</v>
      </c>
      <c r="B34" s="11" t="n">
        <v>0.04</v>
      </c>
    </row>
    <row r="35" customFormat="false" ht="15" hidden="false" customHeight="false" outlineLevel="0" collapsed="false">
      <c r="A35" s="3" t="s">
        <v>89</v>
      </c>
      <c r="B35" s="11" t="n">
        <v>0.06</v>
      </c>
    </row>
    <row r="36" customFormat="false" ht="15" hidden="false" customHeight="false" outlineLevel="0" collapsed="false">
      <c r="A36" s="3" t="s">
        <v>90</v>
      </c>
      <c r="B36" s="15" t="n">
        <v>500</v>
      </c>
    </row>
    <row r="37" customFormat="false" ht="15" hidden="false" customHeight="false" outlineLevel="0" collapsed="false">
      <c r="A37" s="3" t="s">
        <v>91</v>
      </c>
      <c r="B37" s="14" t="n">
        <v>275.8</v>
      </c>
    </row>
    <row r="38" customFormat="false" ht="15" hidden="false" customHeight="false" outlineLevel="0" collapsed="false">
      <c r="A38" s="3" t="s">
        <v>92</v>
      </c>
      <c r="B38" s="11" t="n">
        <v>0.22</v>
      </c>
    </row>
    <row r="39" customFormat="false" ht="15" hidden="false" customHeight="false" outlineLevel="0" collapsed="false">
      <c r="A39" s="3" t="s">
        <v>93</v>
      </c>
      <c r="B39" s="11" t="n">
        <v>0.048</v>
      </c>
    </row>
    <row r="40" customFormat="false" ht="15" hidden="false" customHeight="false" outlineLevel="0" collapsed="false">
      <c r="A40" s="3" t="s">
        <v>94</v>
      </c>
      <c r="B40" s="15" t="n">
        <v>1300</v>
      </c>
    </row>
    <row r="41" customFormat="false" ht="15" hidden="false" customHeight="false" outlineLevel="0" collapsed="false">
      <c r="A41" s="3" t="s">
        <v>95</v>
      </c>
      <c r="B41" s="15" t="n">
        <v>3100</v>
      </c>
      <c r="C41" s="13" t="s">
        <v>96</v>
      </c>
    </row>
    <row r="42" customFormat="false" ht="15" hidden="false" customHeight="false" outlineLevel="0" collapsed="false">
      <c r="A42" s="3" t="s">
        <v>97</v>
      </c>
      <c r="B42" s="15" t="n">
        <v>600</v>
      </c>
    </row>
    <row r="46" customFormat="false" ht="15" hidden="false" customHeight="false" outlineLevel="0" collapsed="false">
      <c r="A46" s="5" t="s">
        <v>98</v>
      </c>
    </row>
    <row r="47" customFormat="false" ht="15" hidden="false" customHeight="false" outlineLevel="0" collapsed="false">
      <c r="A47" s="3" t="s">
        <v>99</v>
      </c>
      <c r="B47" s="11" t="n">
        <v>0.035</v>
      </c>
    </row>
    <row r="48" customFormat="false" ht="15" hidden="false" customHeight="false" outlineLevel="0" collapsed="false">
      <c r="A48" s="3" t="s">
        <v>100</v>
      </c>
      <c r="B48" s="16" t="n">
        <v>20</v>
      </c>
    </row>
    <row r="49" customFormat="false" ht="15" hidden="false" customHeight="false" outlineLevel="0" collapsed="false">
      <c r="A49" s="3" t="s">
        <v>101</v>
      </c>
      <c r="B49" s="17" t="n">
        <v>330.1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1"/>
    <col collapsed="false" customWidth="true" hidden="false" outlineLevel="0" max="9" min="9" style="0" width="55"/>
  </cols>
  <sheetData>
    <row r="1" customFormat="false" ht="17.35" hidden="false" customHeight="false" outlineLevel="0" collapsed="false">
      <c r="A1" s="1" t="s">
        <v>102</v>
      </c>
    </row>
    <row r="4" customFormat="false" ht="15" hidden="false" customHeight="false" outlineLevel="0" collapsed="false">
      <c r="A4" s="10"/>
      <c r="B4" s="10" t="s">
        <v>103</v>
      </c>
      <c r="C4" s="10" t="s">
        <v>104</v>
      </c>
      <c r="D4" s="10" t="s">
        <v>105</v>
      </c>
      <c r="E4" s="10" t="s">
        <v>106</v>
      </c>
      <c r="F4" s="10"/>
      <c r="G4" s="10" t="s">
        <v>107</v>
      </c>
      <c r="H4" s="10" t="s">
        <v>108</v>
      </c>
    </row>
    <row r="5" customFormat="false" ht="15" hidden="false" customHeight="false" outlineLevel="0" collapsed="false">
      <c r="A5" s="7" t="s">
        <v>109</v>
      </c>
      <c r="B5" s="18" t="n">
        <v>3562</v>
      </c>
      <c r="C5" s="18" t="n">
        <v>4090</v>
      </c>
      <c r="D5" s="18" t="n">
        <v>4641</v>
      </c>
      <c r="E5" s="18" t="n">
        <v>5297</v>
      </c>
      <c r="G5" s="18" t="n">
        <v>1474</v>
      </c>
      <c r="H5" s="15" t="n">
        <v>6175</v>
      </c>
      <c r="I5" s="13" t="s">
        <v>110</v>
      </c>
    </row>
    <row r="6" customFormat="false" ht="15" hidden="false" customHeight="false" outlineLevel="0" collapsed="false">
      <c r="A6" s="3" t="s">
        <v>111</v>
      </c>
      <c r="D6" s="18" t="n">
        <v>1383</v>
      </c>
      <c r="E6" s="18" t="n">
        <v>1650</v>
      </c>
    </row>
    <row r="7" customFormat="false" ht="15" hidden="false" customHeight="false" outlineLevel="0" collapsed="false">
      <c r="A7" s="3" t="s">
        <v>112</v>
      </c>
      <c r="D7" s="18" t="n">
        <v>1055</v>
      </c>
      <c r="E7" s="18" t="n">
        <v>1109</v>
      </c>
    </row>
    <row r="8" customFormat="false" ht="15" hidden="false" customHeight="false" outlineLevel="0" collapsed="false">
      <c r="A8" s="3" t="s">
        <v>113</v>
      </c>
      <c r="C8" s="19" t="n">
        <f aca="false">C5/B5-1</f>
        <v>0.148231330713082</v>
      </c>
      <c r="D8" s="19" t="n">
        <f aca="false">D5/C5-1</f>
        <v>0.134718826405868</v>
      </c>
      <c r="E8" s="19" t="n">
        <f aca="false">E5/D5-1</f>
        <v>0.1413488472312</v>
      </c>
      <c r="H8" s="19" t="n">
        <f aca="false">H5/E5-1</f>
        <v>0.165754200490844</v>
      </c>
    </row>
    <row r="10" customFormat="false" ht="15" hidden="false" customHeight="false" outlineLevel="0" collapsed="false">
      <c r="A10" s="3" t="s">
        <v>114</v>
      </c>
      <c r="B10" s="4" t="s">
        <v>115</v>
      </c>
    </row>
    <row r="11" customFormat="false" ht="15" hidden="false" customHeight="false" outlineLevel="0" collapsed="false">
      <c r="A11" s="3" t="s">
        <v>116</v>
      </c>
      <c r="B11" s="4" t="s">
        <v>117</v>
      </c>
    </row>
    <row r="12" customFormat="false" ht="15" hidden="false" customHeight="false" outlineLevel="0" collapsed="false">
      <c r="A12" s="3" t="s">
        <v>118</v>
      </c>
      <c r="B12" s="4" t="s">
        <v>119</v>
      </c>
    </row>
    <row r="13" customFormat="false" ht="15" hidden="false" customHeight="false" outlineLevel="0" collapsed="false">
      <c r="A13" s="3" t="s">
        <v>120</v>
      </c>
      <c r="B13" s="4" t="s">
        <v>121</v>
      </c>
    </row>
    <row r="14" customFormat="false" ht="15" hidden="false" customHeight="false" outlineLevel="0" collapsed="false">
      <c r="A14" s="3" t="s">
        <v>122</v>
      </c>
      <c r="B14" s="4" t="s">
        <v>123</v>
      </c>
    </row>
    <row r="15" customFormat="false" ht="15" hidden="false" customHeight="false" outlineLevel="0" collapsed="false">
      <c r="A15" s="3" t="s">
        <v>124</v>
      </c>
      <c r="B15" s="4" t="s">
        <v>125</v>
      </c>
    </row>
    <row r="17" customFormat="false" ht="15" hidden="false" customHeight="false" outlineLevel="0" collapsed="false">
      <c r="A17" s="7" t="s">
        <v>126</v>
      </c>
    </row>
    <row r="18" customFormat="false" ht="15" hidden="false" customHeight="false" outlineLevel="0" collapsed="false">
      <c r="A18" s="3" t="s">
        <v>127</v>
      </c>
      <c r="B18" s="18" t="n">
        <v>2800</v>
      </c>
    </row>
    <row r="19" customFormat="false" ht="15" hidden="false" customHeight="false" outlineLevel="0" collapsed="false">
      <c r="A19" s="3" t="s">
        <v>128</v>
      </c>
      <c r="B19" s="18" t="n">
        <v>1650</v>
      </c>
    </row>
    <row r="20" customFormat="false" ht="15" hidden="false" customHeight="false" outlineLevel="0" collapsed="false">
      <c r="A20" s="3" t="s">
        <v>129</v>
      </c>
      <c r="B20" s="18" t="n">
        <v>300</v>
      </c>
    </row>
    <row r="21" customFormat="false" ht="15" hidden="false" customHeight="false" outlineLevel="0" collapsed="false">
      <c r="A21" s="3" t="s">
        <v>130</v>
      </c>
      <c r="B21" s="18" t="n">
        <v>700</v>
      </c>
    </row>
    <row r="22" customFormat="false" ht="15" hidden="false" customHeight="false" outlineLevel="0" collapsed="false">
      <c r="A22" s="3" t="s">
        <v>131</v>
      </c>
      <c r="B22" s="18" t="n">
        <v>480</v>
      </c>
    </row>
    <row r="23" customFormat="false" ht="15" hidden="false" customHeight="false" outlineLevel="0" collapsed="false">
      <c r="A23" s="3" t="s">
        <v>132</v>
      </c>
      <c r="B23" s="18" t="n">
        <v>4970</v>
      </c>
    </row>
    <row r="24" customFormat="false" ht="15" hidden="false" customHeight="false" outlineLevel="0" collapsed="false">
      <c r="A24" s="3" t="s">
        <v>133</v>
      </c>
      <c r="B24" s="18" t="n">
        <v>900</v>
      </c>
    </row>
    <row r="25" customFormat="false" ht="15" hidden="false" customHeight="false" outlineLevel="0" collapsed="false">
      <c r="A25" s="3" t="s">
        <v>134</v>
      </c>
      <c r="B25" s="18" t="n">
        <v>950</v>
      </c>
    </row>
    <row r="26" customFormat="false" ht="15" hidden="false" customHeight="false" outlineLevel="0" collapsed="false">
      <c r="A26" s="3" t="s">
        <v>135</v>
      </c>
      <c r="B26" s="18" t="n">
        <v>2480</v>
      </c>
    </row>
    <row r="27" customFormat="false" ht="15" hidden="false" customHeight="false" outlineLevel="0" collapsed="false">
      <c r="A27" s="3" t="s">
        <v>136</v>
      </c>
      <c r="B27" s="18" t="n">
        <v>1070</v>
      </c>
    </row>
    <row r="29" customFormat="false" ht="15" hidden="false" customHeight="false" outlineLevel="0" collapsed="false">
      <c r="A29" s="13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2" min="2" style="0" width="11"/>
    <col collapsed="false" customWidth="true" hidden="false" outlineLevel="0" max="13" min="13" style="0" width="45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9" t="str">
        <f aca="false">CONCATENATE("Active scenario: ",CHOOSE(Assumptions!$B$4,"BASE","BULL","BEAR"))</f>
        <v>Active scenario: BASE</v>
      </c>
    </row>
    <row r="4" customFormat="false" ht="15" hidden="false" customHeight="false" outlineLevel="0" collapsed="false">
      <c r="A4" s="10"/>
      <c r="B4" s="10" t="s">
        <v>106</v>
      </c>
      <c r="C4" s="10" t="s">
        <v>108</v>
      </c>
      <c r="D4" s="10" t="s">
        <v>139</v>
      </c>
      <c r="E4" s="10" t="s">
        <v>140</v>
      </c>
      <c r="F4" s="10" t="s">
        <v>141</v>
      </c>
      <c r="G4" s="10" t="s">
        <v>142</v>
      </c>
      <c r="H4" s="10" t="s">
        <v>143</v>
      </c>
      <c r="I4" s="10" t="s">
        <v>144</v>
      </c>
      <c r="J4" s="10" t="s">
        <v>145</v>
      </c>
      <c r="K4" s="10" t="s">
        <v>146</v>
      </c>
      <c r="L4" s="10" t="s">
        <v>147</v>
      </c>
    </row>
    <row r="6" customFormat="false" ht="15" hidden="false" customHeight="false" outlineLevel="0" collapsed="false">
      <c r="A6" s="5" t="s">
        <v>148</v>
      </c>
    </row>
    <row r="7" customFormat="false" ht="15" hidden="false" customHeight="false" outlineLevel="0" collapsed="false">
      <c r="A7" s="3" t="s">
        <v>149</v>
      </c>
      <c r="C7" s="19" t="n">
        <f aca="false">C18/B18-1</f>
        <v>0.165754200490844</v>
      </c>
      <c r="D7" s="20" t="n">
        <f aca="false">Assumptions!$E$12+(Assumptions!$E$13-Assumptions!$E$12)*0/8</f>
        <v>0.13</v>
      </c>
      <c r="E7" s="20" t="n">
        <f aca="false">Assumptions!$E$12+(Assumptions!$E$13-Assumptions!$E$12)*1/8</f>
        <v>0.12375</v>
      </c>
      <c r="F7" s="20" t="n">
        <f aca="false">Assumptions!$E$12+(Assumptions!$E$13-Assumptions!$E$12)*2/8</f>
        <v>0.1175</v>
      </c>
      <c r="G7" s="20" t="n">
        <f aca="false">Assumptions!$E$12+(Assumptions!$E$13-Assumptions!$E$12)*3/8</f>
        <v>0.11125</v>
      </c>
      <c r="H7" s="20" t="n">
        <f aca="false">Assumptions!$E$12+(Assumptions!$E$13-Assumptions!$E$12)*4/8</f>
        <v>0.105</v>
      </c>
      <c r="I7" s="20" t="n">
        <f aca="false">Assumptions!$E$12+(Assumptions!$E$13-Assumptions!$E$12)*5/8</f>
        <v>0.09875</v>
      </c>
      <c r="J7" s="20" t="n">
        <f aca="false">Assumptions!$E$12+(Assumptions!$E$13-Assumptions!$E$12)*6/8</f>
        <v>0.0925</v>
      </c>
      <c r="K7" s="20" t="n">
        <f aca="false">Assumptions!$E$12+(Assumptions!$E$13-Assumptions!$E$12)*7/8</f>
        <v>0.08625</v>
      </c>
      <c r="L7" s="20" t="n">
        <f aca="false">Assumptions!$E$12+(Assumptions!$E$13-Assumptions!$E$12)*8/8</f>
        <v>0.08</v>
      </c>
    </row>
    <row r="8" customFormat="false" ht="15" hidden="false" customHeight="false" outlineLevel="0" collapsed="false">
      <c r="A8" s="3" t="s">
        <v>150</v>
      </c>
      <c r="C8" s="20" t="n">
        <f aca="false">Assumptions!$B$17</f>
        <v>0.88</v>
      </c>
      <c r="D8" s="20" t="n">
        <f aca="false">Assumptions!$B$17+(Assumptions!$F$17-Assumptions!$B$17)*1/9</f>
        <v>0.881111111111111</v>
      </c>
      <c r="E8" s="20" t="n">
        <f aca="false">Assumptions!$B$17+(Assumptions!$F$17-Assumptions!$B$17)*2/9</f>
        <v>0.882222222222222</v>
      </c>
      <c r="F8" s="20" t="n">
        <f aca="false">Assumptions!$B$17+(Assumptions!$F$17-Assumptions!$B$17)*3/9</f>
        <v>0.883333333333333</v>
      </c>
      <c r="G8" s="20" t="n">
        <f aca="false">Assumptions!$B$17+(Assumptions!$F$17-Assumptions!$B$17)*4/9</f>
        <v>0.884444444444445</v>
      </c>
      <c r="H8" s="20" t="n">
        <f aca="false">Assumptions!$B$17+(Assumptions!$F$17-Assumptions!$B$17)*5/9</f>
        <v>0.885555555555556</v>
      </c>
      <c r="I8" s="20" t="n">
        <f aca="false">Assumptions!$B$17+(Assumptions!$F$17-Assumptions!$B$17)*6/9</f>
        <v>0.886666666666667</v>
      </c>
      <c r="J8" s="20" t="n">
        <f aca="false">Assumptions!$B$17+(Assumptions!$F$17-Assumptions!$B$17)*7/9</f>
        <v>0.887777777777778</v>
      </c>
      <c r="K8" s="20" t="n">
        <f aca="false">Assumptions!$B$17+(Assumptions!$F$17-Assumptions!$B$17)*8/9</f>
        <v>0.888888888888889</v>
      </c>
      <c r="L8" s="20" t="n">
        <f aca="false">Assumptions!$B$17+(Assumptions!$F$17-Assumptions!$B$17)*9/9</f>
        <v>0.89</v>
      </c>
    </row>
    <row r="9" customFormat="false" ht="15" hidden="false" customHeight="false" outlineLevel="0" collapsed="false">
      <c r="A9" s="3" t="s">
        <v>151</v>
      </c>
      <c r="C9" s="20" t="n">
        <f aca="false">Assumptions!$B$18</f>
        <v>0.425</v>
      </c>
      <c r="D9" s="20" t="n">
        <f aca="false">Assumptions!$B$18+(Assumptions!$F$18-Assumptions!$B$18)*1/9</f>
        <v>0.421111111111111</v>
      </c>
      <c r="E9" s="20" t="n">
        <f aca="false">Assumptions!$B$18+(Assumptions!$F$18-Assumptions!$B$18)*2/9</f>
        <v>0.417222222222222</v>
      </c>
      <c r="F9" s="20" t="n">
        <f aca="false">Assumptions!$B$18+(Assumptions!$F$18-Assumptions!$B$18)*3/9</f>
        <v>0.413333333333333</v>
      </c>
      <c r="G9" s="20" t="n">
        <f aca="false">Assumptions!$B$18+(Assumptions!$F$18-Assumptions!$B$18)*4/9</f>
        <v>0.409444444444444</v>
      </c>
      <c r="H9" s="20" t="n">
        <f aca="false">Assumptions!$B$18+(Assumptions!$F$18-Assumptions!$B$18)*5/9</f>
        <v>0.405555555555556</v>
      </c>
      <c r="I9" s="20" t="n">
        <f aca="false">Assumptions!$B$18+(Assumptions!$F$18-Assumptions!$B$18)*6/9</f>
        <v>0.401666666666667</v>
      </c>
      <c r="J9" s="20" t="n">
        <f aca="false">Assumptions!$B$18+(Assumptions!$F$18-Assumptions!$B$18)*7/9</f>
        <v>0.397777777777778</v>
      </c>
      <c r="K9" s="20" t="n">
        <f aca="false">Assumptions!$B$18+(Assumptions!$F$18-Assumptions!$B$18)*8/9</f>
        <v>0.393888888888889</v>
      </c>
      <c r="L9" s="20" t="n">
        <f aca="false">Assumptions!$B$18+(Assumptions!$F$18-Assumptions!$B$18)*9/9</f>
        <v>0.39</v>
      </c>
    </row>
    <row r="10" customFormat="false" ht="15" hidden="false" customHeight="false" outlineLevel="0" collapsed="false">
      <c r="A10" s="3" t="s">
        <v>152</v>
      </c>
      <c r="C10" s="20" t="n">
        <f aca="false">Assumptions!$B$19</f>
        <v>0.085</v>
      </c>
      <c r="D10" s="20" t="n">
        <f aca="false">Assumptions!$B$19+(Assumptions!$F$19-Assumptions!$B$19)*1/9</f>
        <v>0.0833333333333333</v>
      </c>
      <c r="E10" s="20" t="n">
        <f aca="false">Assumptions!$B$19+(Assumptions!$F$19-Assumptions!$B$19)*2/9</f>
        <v>0.0816666666666667</v>
      </c>
      <c r="F10" s="20" t="n">
        <f aca="false">Assumptions!$B$19+(Assumptions!$F$19-Assumptions!$B$19)*3/9</f>
        <v>0.08</v>
      </c>
      <c r="G10" s="20" t="n">
        <f aca="false">Assumptions!$B$19+(Assumptions!$F$19-Assumptions!$B$19)*4/9</f>
        <v>0.0783333333333333</v>
      </c>
      <c r="H10" s="20" t="n">
        <f aca="false">Assumptions!$B$19+(Assumptions!$F$19-Assumptions!$B$19)*5/9</f>
        <v>0.0766666666666667</v>
      </c>
      <c r="I10" s="20" t="n">
        <f aca="false">Assumptions!$B$19+(Assumptions!$F$19-Assumptions!$B$19)*6/9</f>
        <v>0.075</v>
      </c>
      <c r="J10" s="20" t="n">
        <f aca="false">Assumptions!$B$19+(Assumptions!$F$19-Assumptions!$B$19)*7/9</f>
        <v>0.0733333333333333</v>
      </c>
      <c r="K10" s="20" t="n">
        <f aca="false">Assumptions!$B$19+(Assumptions!$F$19-Assumptions!$B$19)*8/9</f>
        <v>0.0716666666666667</v>
      </c>
      <c r="L10" s="20" t="n">
        <f aca="false">Assumptions!$B$19+(Assumptions!$F$19-Assumptions!$B$19)*9/9</f>
        <v>0.07</v>
      </c>
    </row>
    <row r="11" customFormat="false" ht="15" hidden="false" customHeight="false" outlineLevel="0" collapsed="false">
      <c r="A11" s="3" t="s">
        <v>153</v>
      </c>
      <c r="C11" s="20" t="n">
        <f aca="false">Assumptions!$B$20</f>
        <v>0.03</v>
      </c>
      <c r="D11" s="20" t="n">
        <f aca="false">Assumptions!$B$20+(Assumptions!$F$20-Assumptions!$B$20)*1/9</f>
        <v>0.03</v>
      </c>
      <c r="E11" s="20" t="n">
        <f aca="false">Assumptions!$B$20+(Assumptions!$F$20-Assumptions!$B$20)*2/9</f>
        <v>0.03</v>
      </c>
      <c r="F11" s="20" t="n">
        <f aca="false">Assumptions!$B$20+(Assumptions!$F$20-Assumptions!$B$20)*3/9</f>
        <v>0.03</v>
      </c>
      <c r="G11" s="20" t="n">
        <f aca="false">Assumptions!$B$20+(Assumptions!$F$20-Assumptions!$B$20)*4/9</f>
        <v>0.03</v>
      </c>
      <c r="H11" s="20" t="n">
        <f aca="false">Assumptions!$B$20+(Assumptions!$F$20-Assumptions!$B$20)*5/9</f>
        <v>0.03</v>
      </c>
      <c r="I11" s="20" t="n">
        <f aca="false">Assumptions!$B$20+(Assumptions!$F$20-Assumptions!$B$20)*6/9</f>
        <v>0.03</v>
      </c>
      <c r="J11" s="20" t="n">
        <f aca="false">Assumptions!$B$20+(Assumptions!$F$20-Assumptions!$B$20)*7/9</f>
        <v>0.03</v>
      </c>
      <c r="K11" s="20" t="n">
        <f aca="false">Assumptions!$B$20+(Assumptions!$F$20-Assumptions!$B$20)*8/9</f>
        <v>0.03</v>
      </c>
      <c r="L11" s="20" t="n">
        <f aca="false">Assumptions!$B$20+(Assumptions!$F$20-Assumptions!$B$20)*9/9</f>
        <v>0.03</v>
      </c>
    </row>
    <row r="12" customFormat="false" ht="15" hidden="false" customHeight="false" outlineLevel="0" collapsed="false">
      <c r="A12" s="3" t="s">
        <v>154</v>
      </c>
      <c r="C12" s="20" t="n">
        <f aca="false">Assumptions!$B$21</f>
        <v>0.03</v>
      </c>
      <c r="D12" s="20" t="n">
        <f aca="false">Assumptions!$B$21+(Assumptions!$F$21-Assumptions!$B$21)*1/9</f>
        <v>0.0294444444444444</v>
      </c>
      <c r="E12" s="20" t="n">
        <f aca="false">Assumptions!$B$21+(Assumptions!$F$21-Assumptions!$B$21)*2/9</f>
        <v>0.0288888888888889</v>
      </c>
      <c r="F12" s="20" t="n">
        <f aca="false">Assumptions!$B$21+(Assumptions!$F$21-Assumptions!$B$21)*3/9</f>
        <v>0.0283333333333333</v>
      </c>
      <c r="G12" s="20" t="n">
        <f aca="false">Assumptions!$B$21+(Assumptions!$F$21-Assumptions!$B$21)*4/9</f>
        <v>0.0277777777777778</v>
      </c>
      <c r="H12" s="20" t="n">
        <f aca="false">Assumptions!$B$21+(Assumptions!$F$21-Assumptions!$B$21)*5/9</f>
        <v>0.0272222222222222</v>
      </c>
      <c r="I12" s="20" t="n">
        <f aca="false">Assumptions!$B$21+(Assumptions!$F$21-Assumptions!$B$21)*6/9</f>
        <v>0.0266666666666667</v>
      </c>
      <c r="J12" s="20" t="n">
        <f aca="false">Assumptions!$B$21+(Assumptions!$F$21-Assumptions!$B$21)*7/9</f>
        <v>0.0261111111111111</v>
      </c>
      <c r="K12" s="20" t="n">
        <f aca="false">Assumptions!$B$21+(Assumptions!$F$21-Assumptions!$B$21)*8/9</f>
        <v>0.0255555555555556</v>
      </c>
      <c r="L12" s="20" t="n">
        <f aca="false">Assumptions!$B$21+(Assumptions!$F$21-Assumptions!$B$21)*9/9</f>
        <v>0.025</v>
      </c>
    </row>
    <row r="13" customFormat="false" ht="15" hidden="false" customHeight="false" outlineLevel="0" collapsed="false">
      <c r="A13" s="3" t="s">
        <v>155</v>
      </c>
      <c r="C13" s="20" t="n">
        <f aca="false">Assumptions!$B$22</f>
        <v>0.2</v>
      </c>
      <c r="D13" s="20" t="n">
        <f aca="false">Assumptions!$B$22+(Assumptions!$F$22-Assumptions!$B$22)*1/9</f>
        <v>0.202222222222222</v>
      </c>
      <c r="E13" s="20" t="n">
        <f aca="false">Assumptions!$B$22+(Assumptions!$F$22-Assumptions!$B$22)*2/9</f>
        <v>0.204444444444444</v>
      </c>
      <c r="F13" s="20" t="n">
        <f aca="false">Assumptions!$B$22+(Assumptions!$F$22-Assumptions!$B$22)*3/9</f>
        <v>0.206666666666667</v>
      </c>
      <c r="G13" s="20" t="n">
        <f aca="false">Assumptions!$B$22+(Assumptions!$F$22-Assumptions!$B$22)*4/9</f>
        <v>0.208888888888889</v>
      </c>
      <c r="H13" s="20" t="n">
        <f aca="false">Assumptions!$B$22+(Assumptions!$F$22-Assumptions!$B$22)*5/9</f>
        <v>0.211111111111111</v>
      </c>
      <c r="I13" s="20" t="n">
        <f aca="false">Assumptions!$B$22+(Assumptions!$F$22-Assumptions!$B$22)*6/9</f>
        <v>0.213333333333333</v>
      </c>
      <c r="J13" s="20" t="n">
        <f aca="false">Assumptions!$B$22+(Assumptions!$F$22-Assumptions!$B$22)*7/9</f>
        <v>0.215555555555556</v>
      </c>
      <c r="K13" s="20" t="n">
        <f aca="false">Assumptions!$B$22+(Assumptions!$F$22-Assumptions!$B$22)*8/9</f>
        <v>0.217777777777778</v>
      </c>
      <c r="L13" s="20" t="n">
        <f aca="false">Assumptions!$B$22+(Assumptions!$F$22-Assumptions!$B$22)*9/9</f>
        <v>0.22</v>
      </c>
    </row>
    <row r="14" customFormat="false" ht="15" hidden="false" customHeight="false" outlineLevel="0" collapsed="false">
      <c r="A14" s="3" t="s">
        <v>156</v>
      </c>
      <c r="C14" s="20" t="n">
        <f aca="false">Assumptions!$B$23</f>
        <v>0.11</v>
      </c>
      <c r="D14" s="20" t="n">
        <f aca="false">Assumptions!$B$23+(Assumptions!$F$23-Assumptions!$B$23)*1/9</f>
        <v>0.11</v>
      </c>
      <c r="E14" s="20" t="n">
        <f aca="false">Assumptions!$B$23+(Assumptions!$F$23-Assumptions!$B$23)*2/9</f>
        <v>0.11</v>
      </c>
      <c r="F14" s="20" t="n">
        <f aca="false">Assumptions!$B$23+(Assumptions!$F$23-Assumptions!$B$23)*3/9</f>
        <v>0.11</v>
      </c>
      <c r="G14" s="20" t="n">
        <f aca="false">Assumptions!$B$23+(Assumptions!$F$23-Assumptions!$B$23)*4/9</f>
        <v>0.11</v>
      </c>
      <c r="H14" s="20" t="n">
        <f aca="false">Assumptions!$B$23+(Assumptions!$F$23-Assumptions!$B$23)*5/9</f>
        <v>0.11</v>
      </c>
      <c r="I14" s="20" t="n">
        <f aca="false">Assumptions!$B$23+(Assumptions!$F$23-Assumptions!$B$23)*6/9</f>
        <v>0.11</v>
      </c>
      <c r="J14" s="20" t="n">
        <f aca="false">Assumptions!$B$23+(Assumptions!$F$23-Assumptions!$B$23)*7/9</f>
        <v>0.11</v>
      </c>
      <c r="K14" s="20" t="n">
        <f aca="false">Assumptions!$B$23+(Assumptions!$F$23-Assumptions!$B$23)*8/9</f>
        <v>0.11</v>
      </c>
      <c r="L14" s="20" t="n">
        <f aca="false">Assumptions!$B$23+(Assumptions!$F$23-Assumptions!$B$23)*9/9</f>
        <v>0.11</v>
      </c>
    </row>
    <row r="15" customFormat="false" ht="15" hidden="false" customHeight="false" outlineLevel="0" collapsed="false">
      <c r="A15" s="3" t="s">
        <v>157</v>
      </c>
      <c r="C15" s="20" t="n">
        <f aca="false">Assumptions!$B$24</f>
        <v>0.155</v>
      </c>
      <c r="D15" s="20" t="n">
        <f aca="false">Assumptions!$B$24+(Assumptions!$F$24-Assumptions!$B$24)*1/9</f>
        <v>0.155555555555556</v>
      </c>
      <c r="E15" s="20" t="n">
        <f aca="false">Assumptions!$B$24+(Assumptions!$F$24-Assumptions!$B$24)*2/9</f>
        <v>0.156111111111111</v>
      </c>
      <c r="F15" s="20" t="n">
        <f aca="false">Assumptions!$B$24+(Assumptions!$F$24-Assumptions!$B$24)*3/9</f>
        <v>0.156666666666667</v>
      </c>
      <c r="G15" s="20" t="n">
        <f aca="false">Assumptions!$B$24+(Assumptions!$F$24-Assumptions!$B$24)*4/9</f>
        <v>0.157222222222222</v>
      </c>
      <c r="H15" s="20" t="n">
        <f aca="false">Assumptions!$B$24+(Assumptions!$F$24-Assumptions!$B$24)*5/9</f>
        <v>0.157777777777778</v>
      </c>
      <c r="I15" s="20" t="n">
        <f aca="false">Assumptions!$B$24+(Assumptions!$F$24-Assumptions!$B$24)*6/9</f>
        <v>0.158333333333333</v>
      </c>
      <c r="J15" s="20" t="n">
        <f aca="false">Assumptions!$B$24+(Assumptions!$F$24-Assumptions!$B$24)*7/9</f>
        <v>0.158888888888889</v>
      </c>
      <c r="K15" s="20" t="n">
        <f aca="false">Assumptions!$B$24+(Assumptions!$F$24-Assumptions!$B$24)*8/9</f>
        <v>0.159444444444444</v>
      </c>
      <c r="L15" s="20" t="n">
        <f aca="false">Assumptions!$B$24+(Assumptions!$F$24-Assumptions!$B$24)*9/9</f>
        <v>0.16</v>
      </c>
    </row>
    <row r="17" customFormat="false" ht="15" hidden="false" customHeight="false" outlineLevel="0" collapsed="false">
      <c r="A17" s="5" t="s">
        <v>158</v>
      </c>
    </row>
    <row r="18" customFormat="false" ht="15" hidden="false" customHeight="false" outlineLevel="0" collapsed="false">
      <c r="A18" s="7" t="s">
        <v>109</v>
      </c>
      <c r="B18" s="21" t="n">
        <f aca="false">Historicals!E5</f>
        <v>5297</v>
      </c>
      <c r="C18" s="22" t="n">
        <f aca="false">Historicals!H5</f>
        <v>6175</v>
      </c>
      <c r="D18" s="23" t="n">
        <f aca="false">C18*(1+D7)</f>
        <v>6977.75</v>
      </c>
      <c r="E18" s="23" t="n">
        <f aca="false">D18*(1+E7)</f>
        <v>7841.2465625</v>
      </c>
      <c r="F18" s="23" t="n">
        <f aca="false">E18*(1+F7)</f>
        <v>8762.59303359375</v>
      </c>
      <c r="G18" s="23" t="n">
        <f aca="false">F18*(1+G7)</f>
        <v>9737.43150858105</v>
      </c>
      <c r="H18" s="23" t="n">
        <f aca="false">G18*(1+H7)</f>
        <v>10759.8618169821</v>
      </c>
      <c r="I18" s="23" t="n">
        <f aca="false">H18*(1+I7)</f>
        <v>11822.398171409</v>
      </c>
      <c r="J18" s="23" t="n">
        <f aca="false">I18*(1+J7)</f>
        <v>12915.9700022644</v>
      </c>
      <c r="K18" s="23" t="n">
        <f aca="false">J18*(1+K7)</f>
        <v>14029.9724149597</v>
      </c>
      <c r="L18" s="23" t="n">
        <f aca="false">K18*(1+L7)</f>
        <v>15152.3702081565</v>
      </c>
    </row>
    <row r="19" customFormat="false" ht="15" hidden="false" customHeight="false" outlineLevel="0" collapsed="false">
      <c r="A19" s="3" t="s">
        <v>159</v>
      </c>
      <c r="C19" s="24" t="n">
        <f aca="false">-C18*(1-C8)</f>
        <v>-741</v>
      </c>
      <c r="D19" s="24" t="n">
        <f aca="false">-D18*(1-D8)</f>
        <v>-829.576944444445</v>
      </c>
      <c r="E19" s="24" t="n">
        <f aca="false">-E18*(1-E8)</f>
        <v>-923.524595138889</v>
      </c>
      <c r="F19" s="24" t="n">
        <f aca="false">-F18*(1-F8)</f>
        <v>-1022.30252058594</v>
      </c>
      <c r="G19" s="24" t="n">
        <f aca="false">-G18*(1-G8)</f>
        <v>-1125.21430765825</v>
      </c>
      <c r="H19" s="24" t="n">
        <f aca="false">-H18*(1-H8)</f>
        <v>-1231.4064079435</v>
      </c>
      <c r="I19" s="24" t="n">
        <f aca="false">-I18*(1-I8)</f>
        <v>-1339.87179275969</v>
      </c>
      <c r="J19" s="24" t="n">
        <f aca="false">-J18*(1-J8)</f>
        <v>-1449.45885580967</v>
      </c>
      <c r="K19" s="24" t="n">
        <f aca="false">-K18*(1-K8)</f>
        <v>-1558.88582388441</v>
      </c>
      <c r="L19" s="24" t="n">
        <f aca="false">-L18*(1-L8)</f>
        <v>-1666.76072289721</v>
      </c>
    </row>
    <row r="20" customFormat="false" ht="15" hidden="false" customHeight="false" outlineLevel="0" collapsed="false">
      <c r="A20" s="7" t="s">
        <v>160</v>
      </c>
      <c r="C20" s="23" t="n">
        <f aca="false">C18+C19</f>
        <v>5434</v>
      </c>
      <c r="D20" s="23" t="n">
        <f aca="false">D18+D19</f>
        <v>6148.17305555555</v>
      </c>
      <c r="E20" s="23" t="n">
        <f aca="false">E18+E19</f>
        <v>6917.72196736111</v>
      </c>
      <c r="F20" s="23" t="n">
        <f aca="false">F18+F19</f>
        <v>7740.29051300781</v>
      </c>
      <c r="G20" s="23" t="n">
        <f aca="false">G18+G19</f>
        <v>8612.2172009228</v>
      </c>
      <c r="H20" s="23" t="n">
        <f aca="false">H18+H19</f>
        <v>9528.45540903856</v>
      </c>
      <c r="I20" s="23" t="n">
        <f aca="false">I18+I19</f>
        <v>10482.5263786494</v>
      </c>
      <c r="J20" s="23" t="n">
        <f aca="false">J18+J19</f>
        <v>11466.5111464547</v>
      </c>
      <c r="K20" s="23" t="n">
        <f aca="false">K18+K19</f>
        <v>12471.0865910753</v>
      </c>
      <c r="L20" s="23" t="n">
        <f aca="false">L18+L19</f>
        <v>13485.6094852592</v>
      </c>
    </row>
    <row r="21" customFormat="false" ht="15" hidden="false" customHeight="false" outlineLevel="0" collapsed="false">
      <c r="A21" s="3" t="s">
        <v>161</v>
      </c>
      <c r="C21" s="24" t="n">
        <f aca="false">-C18*C9</f>
        <v>-2624.375</v>
      </c>
      <c r="D21" s="24" t="n">
        <f aca="false">-D18*D9</f>
        <v>-2938.40805555556</v>
      </c>
      <c r="E21" s="24" t="n">
        <f aca="false">-E18*E9</f>
        <v>-3271.54231579861</v>
      </c>
      <c r="F21" s="24" t="n">
        <f aca="false">-F18*F9</f>
        <v>-3621.87178721875</v>
      </c>
      <c r="G21" s="24" t="n">
        <f aca="false">-G18*G9</f>
        <v>-3986.9372343468</v>
      </c>
      <c r="H21" s="24" t="n">
        <f aca="false">-H18*H9</f>
        <v>-4363.72173688717</v>
      </c>
      <c r="I21" s="24" t="n">
        <f aca="false">-I18*I9</f>
        <v>-4748.66326551597</v>
      </c>
      <c r="J21" s="24" t="n">
        <f aca="false">-J18*J9</f>
        <v>-5137.68584534516</v>
      </c>
      <c r="K21" s="24" t="n">
        <f aca="false">-K18*K9</f>
        <v>-5526.25024567023</v>
      </c>
      <c r="L21" s="24" t="n">
        <f aca="false">-L18*L9</f>
        <v>-5909.42438118102</v>
      </c>
    </row>
    <row r="22" customFormat="false" ht="15" hidden="false" customHeight="false" outlineLevel="0" collapsed="false">
      <c r="A22" s="7" t="s">
        <v>162</v>
      </c>
      <c r="C22" s="23" t="n">
        <f aca="false">C20+C21</f>
        <v>2809.625</v>
      </c>
      <c r="D22" s="23" t="n">
        <f aca="false">D20+D21</f>
        <v>3209.765</v>
      </c>
      <c r="E22" s="23" t="n">
        <f aca="false">E20+E21</f>
        <v>3646.1796515625</v>
      </c>
      <c r="F22" s="23" t="n">
        <f aca="false">F20+F21</f>
        <v>4118.41872578906</v>
      </c>
      <c r="G22" s="23" t="n">
        <f aca="false">G20+G21</f>
        <v>4625.279966576</v>
      </c>
      <c r="H22" s="23" t="n">
        <f aca="false">H20+H21</f>
        <v>5164.73367215139</v>
      </c>
      <c r="I22" s="23" t="n">
        <f aca="false">I20+I21</f>
        <v>5733.86311313339</v>
      </c>
      <c r="J22" s="23" t="n">
        <f aca="false">J20+J21</f>
        <v>6328.82530110955</v>
      </c>
      <c r="K22" s="23" t="n">
        <f aca="false">K20+K21</f>
        <v>6944.83634540504</v>
      </c>
      <c r="L22" s="23" t="n">
        <f aca="false">L20+L21</f>
        <v>7576.18510407823</v>
      </c>
    </row>
    <row r="23" customFormat="false" ht="15" hidden="false" customHeight="false" outlineLevel="0" collapsed="false">
      <c r="A23" s="3" t="s">
        <v>163</v>
      </c>
      <c r="C23" s="24" t="n">
        <f aca="false">-C18*C10</f>
        <v>-524.875</v>
      </c>
      <c r="D23" s="24" t="n">
        <f aca="false">-D18*D10</f>
        <v>-581.479166666667</v>
      </c>
      <c r="E23" s="24" t="n">
        <f aca="false">-E18*E10</f>
        <v>-640.368469270833</v>
      </c>
      <c r="F23" s="24" t="n">
        <f aca="false">-F18*F10</f>
        <v>-701.0074426875</v>
      </c>
      <c r="G23" s="24" t="n">
        <f aca="false">-G18*G10</f>
        <v>-762.765468172183</v>
      </c>
      <c r="H23" s="24" t="n">
        <f aca="false">-H18*H10</f>
        <v>-824.922739301958</v>
      </c>
      <c r="I23" s="24" t="n">
        <f aca="false">-I18*I10</f>
        <v>-886.679862855678</v>
      </c>
      <c r="J23" s="24" t="n">
        <f aca="false">-J18*J10</f>
        <v>-947.171133499388</v>
      </c>
      <c r="K23" s="24" t="n">
        <f aca="false">-K18*K10</f>
        <v>-1005.48135640544</v>
      </c>
      <c r="L23" s="24" t="n">
        <f aca="false">-L18*L10</f>
        <v>-1060.66591457095</v>
      </c>
    </row>
    <row r="24" customFormat="false" ht="15" hidden="false" customHeight="false" outlineLevel="0" collapsed="false">
      <c r="A24" s="3" t="s">
        <v>164</v>
      </c>
      <c r="C24" s="24" t="n">
        <f aca="false">-C18*C11</f>
        <v>-185.25</v>
      </c>
      <c r="D24" s="24" t="n">
        <f aca="false">-D18*D11</f>
        <v>-209.3325</v>
      </c>
      <c r="E24" s="24" t="n">
        <f aca="false">-E18*E11</f>
        <v>-235.237396875</v>
      </c>
      <c r="F24" s="24" t="n">
        <f aca="false">-F18*F11</f>
        <v>-262.877791007812</v>
      </c>
      <c r="G24" s="24" t="n">
        <f aca="false">-G18*G11</f>
        <v>-292.122945257432</v>
      </c>
      <c r="H24" s="24" t="n">
        <f aca="false">-H18*H11</f>
        <v>-322.795854509462</v>
      </c>
      <c r="I24" s="24" t="n">
        <f aca="false">-I18*I11</f>
        <v>-354.671945142271</v>
      </c>
      <c r="J24" s="24" t="n">
        <f aca="false">-J18*J11</f>
        <v>-387.479100067931</v>
      </c>
      <c r="K24" s="24" t="n">
        <f aca="false">-K18*K11</f>
        <v>-420.89917244879</v>
      </c>
      <c r="L24" s="24" t="n">
        <f aca="false">-L18*L11</f>
        <v>-454.571106244694</v>
      </c>
    </row>
    <row r="25" customFormat="false" ht="15" hidden="false" customHeight="false" outlineLevel="0" collapsed="false">
      <c r="A25" s="7" t="s">
        <v>165</v>
      </c>
      <c r="C25" s="23" t="n">
        <f aca="false">C22+C23+C24</f>
        <v>2099.5</v>
      </c>
      <c r="D25" s="23" t="n">
        <f aca="false">D22+D23+D24</f>
        <v>2418.95333333333</v>
      </c>
      <c r="E25" s="23" t="n">
        <f aca="false">E22+E23+E24</f>
        <v>2770.57378541667</v>
      </c>
      <c r="F25" s="23" t="n">
        <f aca="false">F22+F23+F24</f>
        <v>3154.53349209375</v>
      </c>
      <c r="G25" s="23" t="n">
        <f aca="false">G22+G23+G24</f>
        <v>3570.39155314639</v>
      </c>
      <c r="H25" s="23" t="n">
        <f aca="false">H22+H23+H24</f>
        <v>4017.01507833997</v>
      </c>
      <c r="I25" s="23" t="n">
        <f aca="false">I22+I23+I24</f>
        <v>4492.51130513544</v>
      </c>
      <c r="J25" s="23" t="n">
        <f aca="false">J22+J23+J24</f>
        <v>4994.17506754223</v>
      </c>
      <c r="K25" s="23" t="n">
        <f aca="false">K22+K23+K24</f>
        <v>5518.45581655081</v>
      </c>
      <c r="L25" s="23" t="n">
        <f aca="false">L22+L23+L24</f>
        <v>6060.94808326258</v>
      </c>
    </row>
    <row r="26" customFormat="false" ht="15" hidden="false" customHeight="false" outlineLevel="0" collapsed="false">
      <c r="A26" s="3" t="s">
        <v>166</v>
      </c>
      <c r="C26" s="24" t="n">
        <f aca="false">B70*Assumptions!$B$34</f>
        <v>112</v>
      </c>
      <c r="D26" s="24" t="n">
        <f aca="false">C70*Assumptions!$B$34</f>
        <v>54.8815282191781</v>
      </c>
      <c r="E26" s="24" t="n">
        <f aca="false">D70*Assumptions!$B$34</f>
        <v>97.3719060264312</v>
      </c>
      <c r="F26" s="24" t="n">
        <f aca="false">E70*Assumptions!$B$34</f>
        <v>154.526711783778</v>
      </c>
      <c r="G26" s="24" t="n">
        <f aca="false">F70*Assumptions!$B$34</f>
        <v>227.894194406547</v>
      </c>
      <c r="H26" s="24" t="n">
        <f aca="false">G70*Assumptions!$B$34</f>
        <v>319.029011614801</v>
      </c>
      <c r="I26" s="24" t="n">
        <f aca="false">H70*Assumptions!$B$34</f>
        <v>429.466282950376</v>
      </c>
      <c r="J26" s="24" t="n">
        <f aca="false">I70*Assumptions!$B$34</f>
        <v>560.693044851529</v>
      </c>
      <c r="K26" s="24" t="n">
        <f aca="false">J70*Assumptions!$B$34</f>
        <v>714.117684455021</v>
      </c>
      <c r="L26" s="24" t="n">
        <f aca="false">K70*Assumptions!$B$34</f>
        <v>891.038078230566</v>
      </c>
    </row>
    <row r="27" customFormat="false" ht="15" hidden="false" customHeight="false" outlineLevel="0" collapsed="false">
      <c r="A27" s="3" t="s">
        <v>167</v>
      </c>
      <c r="C27" s="24" t="n">
        <f aca="false">-(B50*Assumptions!$B$39+B54*Assumptions!$B$35)</f>
        <v>-119.04</v>
      </c>
      <c r="D27" s="24" t="n">
        <f aca="false">-(C50*Assumptions!$B$39+C54*Assumptions!$B$35)</f>
        <v>-147.84</v>
      </c>
      <c r="E27" s="24" t="n">
        <f aca="false">-(D50*Assumptions!$B$39+D54*Assumptions!$B$35)</f>
        <v>-147.84</v>
      </c>
      <c r="F27" s="24" t="n">
        <f aca="false">-(E50*Assumptions!$B$39+E54*Assumptions!$B$35)</f>
        <v>-147.84</v>
      </c>
      <c r="G27" s="24" t="n">
        <f aca="false">-(F50*Assumptions!$B$39+F54*Assumptions!$B$35)</f>
        <v>-147.84</v>
      </c>
      <c r="H27" s="24" t="n">
        <f aca="false">-(G50*Assumptions!$B$39+G54*Assumptions!$B$35)</f>
        <v>-147.84</v>
      </c>
      <c r="I27" s="24" t="n">
        <f aca="false">-(H50*Assumptions!$B$39+H54*Assumptions!$B$35)</f>
        <v>-147.84</v>
      </c>
      <c r="J27" s="24" t="n">
        <f aca="false">-(I50*Assumptions!$B$39+I54*Assumptions!$B$35)</f>
        <v>-147.84</v>
      </c>
      <c r="K27" s="24" t="n">
        <f aca="false">-(J50*Assumptions!$B$39+J54*Assumptions!$B$35)</f>
        <v>-147.84</v>
      </c>
      <c r="L27" s="24" t="n">
        <f aca="false">-(K50*Assumptions!$B$39+K54*Assumptions!$B$35)</f>
        <v>-147.84</v>
      </c>
    </row>
    <row r="28" customFormat="false" ht="15" hidden="false" customHeight="false" outlineLevel="0" collapsed="false">
      <c r="A28" s="3" t="s">
        <v>168</v>
      </c>
      <c r="C28" s="24" t="n">
        <f aca="false">C25+C26+C27</f>
        <v>2092.46</v>
      </c>
      <c r="D28" s="24" t="n">
        <f aca="false">D25+D26+D27</f>
        <v>2325.99486155251</v>
      </c>
      <c r="E28" s="24" t="n">
        <f aca="false">E25+E26+E27</f>
        <v>2720.1056914431</v>
      </c>
      <c r="F28" s="24" t="n">
        <f aca="false">F25+F26+F27</f>
        <v>3161.22020387753</v>
      </c>
      <c r="G28" s="24" t="n">
        <f aca="false">G25+G26+G27</f>
        <v>3650.44574755293</v>
      </c>
      <c r="H28" s="24" t="n">
        <f aca="false">H25+H26+H27</f>
        <v>4188.20408995477</v>
      </c>
      <c r="I28" s="24" t="n">
        <f aca="false">I25+I26+I27</f>
        <v>4774.13758808581</v>
      </c>
      <c r="J28" s="24" t="n">
        <f aca="false">J25+J26+J27</f>
        <v>5407.02811239376</v>
      </c>
      <c r="K28" s="24" t="n">
        <f aca="false">K25+K26+K27</f>
        <v>6084.73350100583</v>
      </c>
      <c r="L28" s="24" t="n">
        <f aca="false">L25+L26+L27</f>
        <v>6804.14616149315</v>
      </c>
    </row>
    <row r="29" customFormat="false" ht="15" hidden="false" customHeight="false" outlineLevel="0" collapsed="false">
      <c r="A29" s="3" t="s">
        <v>169</v>
      </c>
      <c r="C29" s="24" t="n">
        <f aca="false">-MAX(0,C28)*C13</f>
        <v>-418.492</v>
      </c>
      <c r="D29" s="24" t="n">
        <f aca="false">-MAX(0,D28)*D13</f>
        <v>-470.367849780619</v>
      </c>
      <c r="E29" s="24" t="n">
        <f aca="false">-MAX(0,E28)*E13</f>
        <v>-556.110496917256</v>
      </c>
      <c r="F29" s="24" t="n">
        <f aca="false">-MAX(0,F28)*F13</f>
        <v>-653.318842134689</v>
      </c>
      <c r="G29" s="24" t="n">
        <f aca="false">-MAX(0,G28)*G13</f>
        <v>-762.537556155502</v>
      </c>
      <c r="H29" s="24" t="n">
        <f aca="false">-MAX(0,H28)*H13</f>
        <v>-884.176418990452</v>
      </c>
      <c r="I29" s="24" t="n">
        <f aca="false">-MAX(0,I28)*I13</f>
        <v>-1018.48268545831</v>
      </c>
      <c r="J29" s="24" t="n">
        <f aca="false">-MAX(0,J28)*J13</f>
        <v>-1165.51494867154</v>
      </c>
      <c r="K29" s="24" t="n">
        <f aca="false">-MAX(0,K28)*K13</f>
        <v>-1325.11974021905</v>
      </c>
      <c r="L29" s="24" t="n">
        <f aca="false">-MAX(0,L28)*L13</f>
        <v>-1496.91215552849</v>
      </c>
    </row>
    <row r="30" customFormat="false" ht="15" hidden="false" customHeight="false" outlineLevel="0" collapsed="false">
      <c r="A30" s="7" t="s">
        <v>170</v>
      </c>
      <c r="C30" s="23" t="n">
        <f aca="false">C28+C29</f>
        <v>1673.968</v>
      </c>
      <c r="D30" s="23" t="n">
        <f aca="false">D28+D29</f>
        <v>1855.62701177189</v>
      </c>
      <c r="E30" s="23" t="n">
        <f aca="false">E28+E29</f>
        <v>2163.99519452584</v>
      </c>
      <c r="F30" s="23" t="n">
        <f aca="false">F28+F29</f>
        <v>2507.90136174284</v>
      </c>
      <c r="G30" s="23" t="n">
        <f aca="false">G28+G29</f>
        <v>2887.90819139743</v>
      </c>
      <c r="H30" s="23" t="n">
        <f aca="false">H28+H29</f>
        <v>3304.02767096432</v>
      </c>
      <c r="I30" s="23" t="n">
        <f aca="false">I28+I29</f>
        <v>3755.65490262751</v>
      </c>
      <c r="J30" s="23" t="n">
        <f aca="false">J28+J29</f>
        <v>4241.51316372221</v>
      </c>
      <c r="K30" s="23" t="n">
        <f aca="false">K28+K29</f>
        <v>4759.61376078678</v>
      </c>
      <c r="L30" s="23" t="n">
        <f aca="false">L28+L29</f>
        <v>5307.23400596466</v>
      </c>
    </row>
    <row r="31" customFormat="false" ht="15" hidden="false" customHeight="false" outlineLevel="0" collapsed="false">
      <c r="A31" s="25" t="s">
        <v>171</v>
      </c>
      <c r="C31" s="26" t="n">
        <f aca="false">C30/Assumptions!$B$37</f>
        <v>6.06949963741842</v>
      </c>
      <c r="D31" s="26" t="n">
        <f aca="false">D30/Assumptions!$B$37</f>
        <v>6.72816175406777</v>
      </c>
      <c r="E31" s="26" t="n">
        <f aca="false">E30/Assumptions!$B$37</f>
        <v>7.84624798595302</v>
      </c>
      <c r="F31" s="26" t="n">
        <f aca="false">F30/Assumptions!$B$37</f>
        <v>9.09318840370862</v>
      </c>
      <c r="G31" s="26" t="n">
        <f aca="false">G30/Assumptions!$B$37</f>
        <v>10.4710231740298</v>
      </c>
      <c r="H31" s="26" t="n">
        <f aca="false">H30/Assumptions!$B$37</f>
        <v>11.9797957612919</v>
      </c>
      <c r="I31" s="26" t="n">
        <f aca="false">I30/Assumptions!$B$37</f>
        <v>13.6173129174311</v>
      </c>
      <c r="J31" s="26" t="n">
        <f aca="false">J30/Assumptions!$B$37</f>
        <v>15.3789454812263</v>
      </c>
      <c r="K31" s="26" t="n">
        <f aca="false">K30/Assumptions!$B$37</f>
        <v>17.2574828164858</v>
      </c>
      <c r="L31" s="26" t="n">
        <f aca="false">L30/Assumptions!$B$37</f>
        <v>19.2430529585375</v>
      </c>
    </row>
    <row r="32" customFormat="false" ht="15" hidden="false" customHeight="false" outlineLevel="0" collapsed="false">
      <c r="A32" s="25" t="s">
        <v>172</v>
      </c>
      <c r="C32" s="27" t="n">
        <f aca="false">C22/C18</f>
        <v>0.455</v>
      </c>
      <c r="D32" s="27" t="n">
        <f aca="false">D22/D18</f>
        <v>0.46</v>
      </c>
      <c r="E32" s="27" t="n">
        <f aca="false">E22/E18</f>
        <v>0.465</v>
      </c>
      <c r="F32" s="27" t="n">
        <f aca="false">F22/F18</f>
        <v>0.47</v>
      </c>
      <c r="G32" s="27" t="n">
        <f aca="false">G22/G18</f>
        <v>0.475</v>
      </c>
      <c r="H32" s="27" t="n">
        <f aca="false">H22/H18</f>
        <v>0.48</v>
      </c>
      <c r="I32" s="27" t="n">
        <f aca="false">I22/I18</f>
        <v>0.485</v>
      </c>
      <c r="J32" s="27" t="n">
        <f aca="false">J22/J18</f>
        <v>0.49</v>
      </c>
      <c r="K32" s="27" t="n">
        <f aca="false">K22/K18</f>
        <v>0.495</v>
      </c>
      <c r="L32" s="27" t="n">
        <f aca="false">L22/L18</f>
        <v>0.5</v>
      </c>
    </row>
    <row r="34" customFormat="false" ht="15" hidden="false" customHeight="false" outlineLevel="0" collapsed="false">
      <c r="A34" s="5" t="s">
        <v>173</v>
      </c>
    </row>
    <row r="35" customFormat="false" ht="15" hidden="false" customHeight="false" outlineLevel="0" collapsed="false">
      <c r="A35" s="3" t="s">
        <v>174</v>
      </c>
      <c r="B35" s="18" t="n">
        <v>1650</v>
      </c>
      <c r="C35" s="24" t="n">
        <f aca="false">C18*Assumptions!$B$27/365</f>
        <v>1015.06849315069</v>
      </c>
      <c r="D35" s="24" t="n">
        <f aca="false">D18*Assumptions!$B$27/365</f>
        <v>1147.02739726027</v>
      </c>
      <c r="E35" s="24" t="n">
        <f aca="false">E18*Assumptions!$B$27/365</f>
        <v>1288.97203767123</v>
      </c>
      <c r="F35" s="24" t="n">
        <f aca="false">F18*Assumptions!$B$27/365</f>
        <v>1440.4262520976</v>
      </c>
      <c r="G35" s="24" t="n">
        <f aca="false">G18*Assumptions!$B$27/365</f>
        <v>1600.67367264346</v>
      </c>
      <c r="H35" s="24" t="n">
        <f aca="false">H18*Assumptions!$B$27/365</f>
        <v>1768.74440827102</v>
      </c>
      <c r="I35" s="24" t="n">
        <f aca="false">I18*Assumptions!$B$27/365</f>
        <v>1943.40791858779</v>
      </c>
      <c r="J35" s="24" t="n">
        <f aca="false">J18*Assumptions!$B$27/365</f>
        <v>2123.17315105716</v>
      </c>
      <c r="K35" s="24" t="n">
        <f aca="false">K18*Assumptions!$B$27/365</f>
        <v>2306.29683533584</v>
      </c>
      <c r="L35" s="24" t="n">
        <f aca="false">L18*Assumptions!$B$27/365</f>
        <v>2490.80058216271</v>
      </c>
    </row>
    <row r="36" customFormat="false" ht="15" hidden="false" customHeight="false" outlineLevel="0" collapsed="false">
      <c r="A36" s="3" t="s">
        <v>175</v>
      </c>
      <c r="B36" s="18" t="n">
        <v>300</v>
      </c>
      <c r="C36" s="24" t="n">
        <f aca="false">-C19*Assumptions!$B$28/365</f>
        <v>304.520547945205</v>
      </c>
      <c r="D36" s="24" t="n">
        <f aca="false">-D19*Assumptions!$B$28/365</f>
        <v>340.92203196347</v>
      </c>
      <c r="E36" s="24" t="n">
        <f aca="false">-E19*Assumptions!$B$28/365</f>
        <v>379.53065553653</v>
      </c>
      <c r="F36" s="24" t="n">
        <f aca="false">-F19*Assumptions!$B$28/365</f>
        <v>420.124323528467</v>
      </c>
      <c r="G36" s="24" t="n">
        <f aca="false">-G19*Assumptions!$B$28/365</f>
        <v>462.416838763666</v>
      </c>
      <c r="H36" s="24" t="n">
        <f aca="false">-H19*Assumptions!$B$28/365</f>
        <v>506.057427921988</v>
      </c>
      <c r="I36" s="24" t="n">
        <f aca="false">-I19*Assumptions!$B$28/365</f>
        <v>550.632243599873</v>
      </c>
      <c r="J36" s="24" t="n">
        <f aca="false">-J19*Assumptions!$B$28/365</f>
        <v>595.668022935481</v>
      </c>
      <c r="K36" s="24" t="n">
        <f aca="false">-K19*Assumptions!$B$28/365</f>
        <v>640.63800981551</v>
      </c>
      <c r="L36" s="24" t="n">
        <f aca="false">-L19*Assumptions!$B$28/365</f>
        <v>684.970160094744</v>
      </c>
    </row>
    <row r="37" customFormat="false" ht="15" hidden="false" customHeight="false" outlineLevel="0" collapsed="false">
      <c r="A37" s="3" t="s">
        <v>176</v>
      </c>
      <c r="B37" s="18" t="n">
        <v>700</v>
      </c>
      <c r="C37" s="24" t="n">
        <f aca="false">C18*C14</f>
        <v>679.25</v>
      </c>
      <c r="D37" s="24" t="n">
        <f aca="false">D18*D14</f>
        <v>767.5525</v>
      </c>
      <c r="E37" s="24" t="n">
        <f aca="false">E18*E14</f>
        <v>862.537121875</v>
      </c>
      <c r="F37" s="24" t="n">
        <f aca="false">F18*F14</f>
        <v>963.885233695312</v>
      </c>
      <c r="G37" s="24" t="n">
        <f aca="false">G18*G14</f>
        <v>1071.11746594392</v>
      </c>
      <c r="H37" s="24" t="n">
        <f aca="false">H18*H14</f>
        <v>1183.58479986803</v>
      </c>
      <c r="I37" s="24" t="n">
        <f aca="false">I18*I14</f>
        <v>1300.46379885499</v>
      </c>
      <c r="J37" s="24" t="n">
        <f aca="false">J18*J14</f>
        <v>1420.75670024908</v>
      </c>
      <c r="K37" s="24" t="n">
        <f aca="false">K18*K14</f>
        <v>1543.29696564556</v>
      </c>
      <c r="L37" s="24" t="n">
        <f aca="false">L18*L14</f>
        <v>1666.76072289721</v>
      </c>
    </row>
    <row r="38" customFormat="false" ht="15" hidden="false" customHeight="false" outlineLevel="0" collapsed="false">
      <c r="A38" s="3" t="s">
        <v>177</v>
      </c>
      <c r="B38" s="18" t="n">
        <v>-900</v>
      </c>
      <c r="C38" s="24" t="n">
        <f aca="false">(C19+C21)*Assumptions!$B$29/365</f>
        <v>-414.909246575343</v>
      </c>
      <c r="D38" s="24" t="n">
        <f aca="false">(D19+D21)*Assumptions!$B$29/365</f>
        <v>-464.546095890411</v>
      </c>
      <c r="E38" s="24" t="n">
        <f aca="false">(E19+E21)*Assumptions!$B$29/365</f>
        <v>-517.200030115582</v>
      </c>
      <c r="F38" s="24" t="n">
        <f aca="false">(F19+F21)*Assumptions!$B$29/365</f>
        <v>-572.569435208797</v>
      </c>
      <c r="G38" s="24" t="n">
        <f aca="false">(G19+G21)*Assumptions!$B$29/365</f>
        <v>-630.265258603363</v>
      </c>
      <c r="H38" s="24" t="n">
        <f aca="false">(H19+H21)*Assumptions!$B$29/365</f>
        <v>-689.8103192257</v>
      </c>
      <c r="I38" s="24" t="n">
        <f aca="false">(I19+I21)*Assumptions!$B$29/365</f>
        <v>-750.641308554533</v>
      </c>
      <c r="J38" s="24" t="n">
        <f aca="false">(J19+J21)*Assumptions!$B$29/365</f>
        <v>-812.113730279363</v>
      </c>
      <c r="K38" s="24" t="n">
        <f aca="false">(K19+K21)*Assumptions!$B$29/365</f>
        <v>-873.509926383449</v>
      </c>
      <c r="L38" s="24" t="n">
        <f aca="false">(L19+L21)*Assumptions!$B$29/365</f>
        <v>-934.050218311014</v>
      </c>
    </row>
    <row r="39" customFormat="false" ht="15" hidden="false" customHeight="false" outlineLevel="0" collapsed="false">
      <c r="A39" s="3" t="s">
        <v>178</v>
      </c>
      <c r="B39" s="18" t="n">
        <v>-950</v>
      </c>
      <c r="C39" s="24" t="n">
        <f aca="false">-C18*C15</f>
        <v>-957.125</v>
      </c>
      <c r="D39" s="24" t="n">
        <f aca="false">-D18*D15</f>
        <v>-1085.42777777778</v>
      </c>
      <c r="E39" s="24" t="n">
        <f aca="false">-E18*E15</f>
        <v>-1224.10571336806</v>
      </c>
      <c r="F39" s="24" t="n">
        <f aca="false">-F18*F15</f>
        <v>-1372.80624192969</v>
      </c>
      <c r="G39" s="24" t="n">
        <f aca="false">-G18*G15</f>
        <v>-1530.9406205158</v>
      </c>
      <c r="H39" s="24" t="n">
        <f aca="false">-H18*H15</f>
        <v>-1697.66708667939</v>
      </c>
      <c r="I39" s="24" t="n">
        <f aca="false">-I18*I15</f>
        <v>-1871.8797104731</v>
      </c>
      <c r="J39" s="24" t="n">
        <f aca="false">-J18*J15</f>
        <v>-2052.20412258201</v>
      </c>
      <c r="K39" s="24" t="n">
        <f aca="false">-K18*K15</f>
        <v>-2237.00115727413</v>
      </c>
      <c r="L39" s="24" t="n">
        <f aca="false">-L18*L15</f>
        <v>-2424.37923330503</v>
      </c>
    </row>
    <row r="40" customFormat="false" ht="15" hidden="false" customHeight="false" outlineLevel="0" collapsed="false">
      <c r="A40" s="7" t="s">
        <v>179</v>
      </c>
      <c r="B40" s="23" t="n">
        <f aca="false">SUM(B35:B39)</f>
        <v>800</v>
      </c>
      <c r="C40" s="23" t="n">
        <f aca="false">SUM(C35:C39)</f>
        <v>626.804794520548</v>
      </c>
      <c r="D40" s="23" t="n">
        <f aca="false">SUM(D35:D39)</f>
        <v>705.528055555556</v>
      </c>
      <c r="E40" s="23" t="n">
        <f aca="false">SUM(E35:E39)</f>
        <v>789.734071599125</v>
      </c>
      <c r="F40" s="23" t="n">
        <f aca="false">SUM(F35:F39)</f>
        <v>879.060132182898</v>
      </c>
      <c r="G40" s="23" t="n">
        <f aca="false">SUM(G35:G39)</f>
        <v>973.002098231881</v>
      </c>
      <c r="H40" s="23" t="n">
        <f aca="false">SUM(H35:H39)</f>
        <v>1070.90923015595</v>
      </c>
      <c r="I40" s="23" t="n">
        <f aca="false">SUM(I35:I39)</f>
        <v>1171.98294201502</v>
      </c>
      <c r="J40" s="23" t="n">
        <f aca="false">SUM(J35:J39)</f>
        <v>1275.28002138035</v>
      </c>
      <c r="K40" s="23" t="n">
        <f aca="false">SUM(K35:K39)</f>
        <v>1379.72072713934</v>
      </c>
      <c r="L40" s="23" t="n">
        <f aca="false">SUM(L35:L39)</f>
        <v>1484.10201353861</v>
      </c>
    </row>
    <row r="41" customFormat="false" ht="15" hidden="false" customHeight="false" outlineLevel="0" collapsed="false">
      <c r="A41" s="3" t="s">
        <v>180</v>
      </c>
      <c r="C41" s="24" t="n">
        <f aca="false">-(C40-B40)</f>
        <v>173.195205479452</v>
      </c>
      <c r="D41" s="24" t="n">
        <f aca="false">-(D40-C40)</f>
        <v>-78.7232610350075</v>
      </c>
      <c r="E41" s="24" t="n">
        <f aca="false">-(E40-D40)</f>
        <v>-84.206016043569</v>
      </c>
      <c r="F41" s="24" t="n">
        <f aca="false">-(F40-E40)</f>
        <v>-89.3260605837734</v>
      </c>
      <c r="G41" s="24" t="n">
        <f aca="false">-(G40-F40)</f>
        <v>-93.9419660489834</v>
      </c>
      <c r="H41" s="24" t="n">
        <f aca="false">-(H40-G40)</f>
        <v>-97.9071319240657</v>
      </c>
      <c r="I41" s="24" t="n">
        <f aca="false">-(I40-H40)</f>
        <v>-101.073711859077</v>
      </c>
      <c r="J41" s="24" t="n">
        <f aca="false">-(J40-I40)</f>
        <v>-103.297079365327</v>
      </c>
      <c r="K41" s="24" t="n">
        <f aca="false">-(K40-J40)</f>
        <v>-104.440705758987</v>
      </c>
      <c r="L41" s="24" t="n">
        <f aca="false">-(L40-K40)</f>
        <v>-104.381286399274</v>
      </c>
    </row>
    <row r="43" customFormat="false" ht="15" hidden="false" customHeight="false" outlineLevel="0" collapsed="false">
      <c r="A43" s="5" t="s">
        <v>181</v>
      </c>
    </row>
    <row r="44" customFormat="false" ht="15" hidden="false" customHeight="false" outlineLevel="0" collapsed="false">
      <c r="A44" s="3" t="s">
        <v>182</v>
      </c>
      <c r="C44" s="24" t="n">
        <f aca="false">C18*C12</f>
        <v>185.25</v>
      </c>
      <c r="D44" s="24" t="n">
        <f aca="false">D18*D12</f>
        <v>205.455972222222</v>
      </c>
      <c r="E44" s="24" t="n">
        <f aca="false">E18*E12</f>
        <v>226.524900694444</v>
      </c>
      <c r="F44" s="24" t="n">
        <f aca="false">F18*F12</f>
        <v>248.273469285156</v>
      </c>
      <c r="G44" s="24" t="n">
        <f aca="false">G18*G12</f>
        <v>270.484208571696</v>
      </c>
      <c r="H44" s="24" t="n">
        <f aca="false">H18*H12</f>
        <v>292.90734946229</v>
      </c>
      <c r="I44" s="24" t="n">
        <f aca="false">I18*I12</f>
        <v>315.263951237575</v>
      </c>
      <c r="J44" s="24" t="n">
        <f aca="false">J18*J12</f>
        <v>337.250327836903</v>
      </c>
      <c r="K44" s="24" t="n">
        <f aca="false">K18*K12</f>
        <v>358.543739493414</v>
      </c>
      <c r="L44" s="24" t="n">
        <f aca="false">L18*L12</f>
        <v>378.809255203911</v>
      </c>
    </row>
    <row r="45" customFormat="false" ht="15" hidden="false" customHeight="false" outlineLevel="0" collapsed="false">
      <c r="A45" s="3" t="s">
        <v>183</v>
      </c>
      <c r="B45" s="18" t="n">
        <v>480</v>
      </c>
      <c r="C45" s="24" t="n">
        <f aca="false">B45+C44+C24*0.4</f>
        <v>591.15</v>
      </c>
      <c r="D45" s="24" t="n">
        <f aca="false">C45+D44+D24*0.4</f>
        <v>712.872972222222</v>
      </c>
      <c r="E45" s="24" t="n">
        <f aca="false">D45+E44+E24*0.4</f>
        <v>845.302914166667</v>
      </c>
      <c r="F45" s="24" t="n">
        <f aca="false">E45+F44+F24*0.4</f>
        <v>988.425267048698</v>
      </c>
      <c r="G45" s="24" t="n">
        <f aca="false">F45+G44+G24*0.4</f>
        <v>1142.06029751742</v>
      </c>
      <c r="H45" s="24" t="n">
        <f aca="false">G45+H44+H24*0.4</f>
        <v>1305.84930517593</v>
      </c>
      <c r="I45" s="24" t="n">
        <f aca="false">H45+I44+I24*0.4</f>
        <v>1479.24447835659</v>
      </c>
      <c r="J45" s="24" t="n">
        <f aca="false">I45+J44+J24*0.4</f>
        <v>1661.50316616632</v>
      </c>
      <c r="K45" s="24" t="n">
        <f aca="false">J45+K44+K24*0.4</f>
        <v>1851.68723668022</v>
      </c>
      <c r="L45" s="24" t="n">
        <f aca="false">K45+L44+L24*0.4</f>
        <v>2048.66804938625</v>
      </c>
      <c r="M45" s="13" t="s">
        <v>184</v>
      </c>
    </row>
    <row r="47" customFormat="false" ht="15" hidden="false" customHeight="false" outlineLevel="0" collapsed="false">
      <c r="A47" s="5" t="s">
        <v>185</v>
      </c>
    </row>
    <row r="48" customFormat="false" ht="15" hidden="false" customHeight="false" outlineLevel="0" collapsed="false">
      <c r="A48" s="3" t="s">
        <v>186</v>
      </c>
      <c r="C48" s="24" t="n">
        <f aca="false">B50</f>
        <v>2480</v>
      </c>
      <c r="D48" s="24" t="n">
        <f aca="false">C50</f>
        <v>3080</v>
      </c>
      <c r="E48" s="24" t="n">
        <f aca="false">D50</f>
        <v>3080</v>
      </c>
      <c r="F48" s="24" t="n">
        <f aca="false">E50</f>
        <v>3080</v>
      </c>
      <c r="G48" s="24" t="n">
        <f aca="false">F50</f>
        <v>3080</v>
      </c>
      <c r="H48" s="24" t="n">
        <f aca="false">G50</f>
        <v>3080</v>
      </c>
      <c r="I48" s="24" t="n">
        <f aca="false">H50</f>
        <v>3080</v>
      </c>
      <c r="J48" s="24" t="n">
        <f aca="false">I50</f>
        <v>3080</v>
      </c>
      <c r="K48" s="24" t="n">
        <f aca="false">J50</f>
        <v>3080</v>
      </c>
      <c r="L48" s="24" t="n">
        <f aca="false">K50</f>
        <v>3080</v>
      </c>
    </row>
    <row r="49" customFormat="false" ht="15" hidden="false" customHeight="false" outlineLevel="0" collapsed="false">
      <c r="A49" s="3" t="s">
        <v>187</v>
      </c>
      <c r="C49" s="21" t="n">
        <f aca="false">Assumptions!$B$42</f>
        <v>600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</row>
    <row r="50" customFormat="false" ht="15" hidden="false" customHeight="false" outlineLevel="0" collapsed="false">
      <c r="A50" s="3" t="s">
        <v>188</v>
      </c>
      <c r="B50" s="18" t="n">
        <v>2480</v>
      </c>
      <c r="C50" s="24" t="n">
        <f aca="false">C48+C49</f>
        <v>3080</v>
      </c>
      <c r="D50" s="24" t="n">
        <f aca="false">D48+D49</f>
        <v>3080</v>
      </c>
      <c r="E50" s="24" t="n">
        <f aca="false">E48+E49</f>
        <v>3080</v>
      </c>
      <c r="F50" s="24" t="n">
        <f aca="false">F48+F49</f>
        <v>3080</v>
      </c>
      <c r="G50" s="24" t="n">
        <f aca="false">G48+G49</f>
        <v>3080</v>
      </c>
      <c r="H50" s="24" t="n">
        <f aca="false">H48+H49</f>
        <v>3080</v>
      </c>
      <c r="I50" s="24" t="n">
        <f aca="false">I48+I49</f>
        <v>3080</v>
      </c>
      <c r="J50" s="24" t="n">
        <f aca="false">J48+J49</f>
        <v>3080</v>
      </c>
      <c r="K50" s="24" t="n">
        <f aca="false">K48+K49</f>
        <v>3080</v>
      </c>
      <c r="L50" s="24" t="n">
        <f aca="false">L48+L49</f>
        <v>3080</v>
      </c>
    </row>
    <row r="51" customFormat="false" ht="15" hidden="false" customHeight="false" outlineLevel="0" collapsed="false">
      <c r="A51" s="3" t="s">
        <v>189</v>
      </c>
      <c r="C51" s="24" t="n">
        <f aca="false">B54</f>
        <v>0</v>
      </c>
      <c r="D51" s="24" t="n">
        <f aca="false">C54</f>
        <v>0</v>
      </c>
      <c r="E51" s="24" t="n">
        <f aca="false">D54</f>
        <v>0</v>
      </c>
      <c r="F51" s="24" t="n">
        <f aca="false">E54</f>
        <v>0</v>
      </c>
      <c r="G51" s="24" t="n">
        <f aca="false">F54</f>
        <v>0</v>
      </c>
      <c r="H51" s="24" t="n">
        <f aca="false">G54</f>
        <v>0</v>
      </c>
      <c r="I51" s="24" t="n">
        <f aca="false">H54</f>
        <v>0</v>
      </c>
      <c r="J51" s="24" t="n">
        <f aca="false">I54</f>
        <v>0</v>
      </c>
      <c r="K51" s="24" t="n">
        <f aca="false">J54</f>
        <v>0</v>
      </c>
      <c r="L51" s="24" t="n">
        <f aca="false">K54</f>
        <v>0</v>
      </c>
    </row>
    <row r="52" customFormat="false" ht="15" hidden="false" customHeight="false" outlineLevel="0" collapsed="false">
      <c r="A52" s="3" t="s">
        <v>190</v>
      </c>
      <c r="C52" s="24" t="n">
        <f aca="false">MAX(0,Assumptions!$B$36-(B70+C30-C23-C24+C41-C44+C65+C66+C49))</f>
        <v>0</v>
      </c>
      <c r="D52" s="24" t="n">
        <f aca="false">MAX(0,Assumptions!$B$36-(C70+D30-D23-D24+D41-D44+D65+D66+D49))</f>
        <v>0</v>
      </c>
      <c r="E52" s="24" t="n">
        <f aca="false">MAX(0,Assumptions!$B$36-(D70+E30-E23-E24+E41-E44+E65+E66+E49))</f>
        <v>0</v>
      </c>
      <c r="F52" s="24" t="n">
        <f aca="false">MAX(0,Assumptions!$B$36-(E70+F30-F23-F24+F41-F44+F65+F66+F49))</f>
        <v>0</v>
      </c>
      <c r="G52" s="24" t="n">
        <f aca="false">MAX(0,Assumptions!$B$36-(F70+G30-G23-G24+G41-G44+G65+G66+G49))</f>
        <v>0</v>
      </c>
      <c r="H52" s="24" t="n">
        <f aca="false">MAX(0,Assumptions!$B$36-(G70+H30-H23-H24+H41-H44+H65+H66+H49))</f>
        <v>0</v>
      </c>
      <c r="I52" s="24" t="n">
        <f aca="false">MAX(0,Assumptions!$B$36-(H70+I30-I23-I24+I41-I44+I65+I66+I49))</f>
        <v>0</v>
      </c>
      <c r="J52" s="24" t="n">
        <f aca="false">MAX(0,Assumptions!$B$36-(I70+J30-J23-J24+J41-J44+J65+J66+J49))</f>
        <v>0</v>
      </c>
      <c r="K52" s="24" t="n">
        <f aca="false">MAX(0,Assumptions!$B$36-(J70+K30-K23-K24+K41-K44+K65+K66+K49))</f>
        <v>0</v>
      </c>
      <c r="L52" s="24" t="n">
        <f aca="false">MAX(0,Assumptions!$B$36-(K70+L30-L23-L24+L41-L44+L65+L66+L49))</f>
        <v>0</v>
      </c>
    </row>
    <row r="53" customFormat="false" ht="15" hidden="false" customHeight="false" outlineLevel="0" collapsed="false">
      <c r="A53" s="3" t="s">
        <v>191</v>
      </c>
      <c r="C53" s="24" t="n">
        <f aca="false">-MIN(C51,MAX(0,(B70+C30-C23-C24+C41-C44+C65+C66+C49)-Assumptions!$B$36))</f>
        <v>-0</v>
      </c>
      <c r="D53" s="24" t="n">
        <f aca="false">-MIN(D51,MAX(0,(C70+D30-D23-D24+D41-D44+D65+D66+D49)-Assumptions!$B$36))</f>
        <v>-0</v>
      </c>
      <c r="E53" s="24" t="n">
        <f aca="false">-MIN(E51,MAX(0,(D70+E30-E23-E24+E41-E44+E65+E66+E49)-Assumptions!$B$36))</f>
        <v>-0</v>
      </c>
      <c r="F53" s="24" t="n">
        <f aca="false">-MIN(F51,MAX(0,(E70+F30-F23-F24+F41-F44+F65+F66+F49)-Assumptions!$B$36))</f>
        <v>-0</v>
      </c>
      <c r="G53" s="24" t="n">
        <f aca="false">-MIN(G51,MAX(0,(F70+G30-G23-G24+G41-G44+G65+G66+G49)-Assumptions!$B$36))</f>
        <v>-0</v>
      </c>
      <c r="H53" s="24" t="n">
        <f aca="false">-MIN(H51,MAX(0,(G70+H30-H23-H24+H41-H44+H65+H66+H49)-Assumptions!$B$36))</f>
        <v>-0</v>
      </c>
      <c r="I53" s="24" t="n">
        <f aca="false">-MIN(I51,MAX(0,(H70+I30-I23-I24+I41-I44+I65+I66+I49)-Assumptions!$B$36))</f>
        <v>-0</v>
      </c>
      <c r="J53" s="24" t="n">
        <f aca="false">-MIN(J51,MAX(0,(I70+J30-J23-J24+J41-J44+J65+J66+J49)-Assumptions!$B$36))</f>
        <v>-0</v>
      </c>
      <c r="K53" s="24" t="n">
        <f aca="false">-MIN(K51,MAX(0,(J70+K30-K23-K24+K41-K44+K65+K66+K49)-Assumptions!$B$36))</f>
        <v>-0</v>
      </c>
      <c r="L53" s="24" t="n">
        <f aca="false">-MIN(L51,MAX(0,(K70+L30-L23-L24+L41-L44+L65+L66+L49)-Assumptions!$B$36))</f>
        <v>-0</v>
      </c>
    </row>
    <row r="54" customFormat="false" ht="15" hidden="false" customHeight="false" outlineLevel="0" collapsed="false">
      <c r="A54" s="3" t="s">
        <v>192</v>
      </c>
      <c r="B54" s="24" t="n">
        <v>0</v>
      </c>
      <c r="C54" s="24" t="n">
        <f aca="false">C51+C52+C53</f>
        <v>0</v>
      </c>
      <c r="D54" s="24" t="n">
        <f aca="false">D51+D52+D53</f>
        <v>0</v>
      </c>
      <c r="E54" s="24" t="n">
        <f aca="false">E51+E52+E53</f>
        <v>0</v>
      </c>
      <c r="F54" s="24" t="n">
        <f aca="false">F51+F52+F53</f>
        <v>0</v>
      </c>
      <c r="G54" s="24" t="n">
        <f aca="false">G51+G52+G53</f>
        <v>0</v>
      </c>
      <c r="H54" s="24" t="n">
        <f aca="false">H51+H52+H53</f>
        <v>0</v>
      </c>
      <c r="I54" s="24" t="n">
        <f aca="false">I51+I52+I53</f>
        <v>0</v>
      </c>
      <c r="J54" s="24" t="n">
        <f aca="false">J51+J52+J53</f>
        <v>0</v>
      </c>
      <c r="K54" s="24" t="n">
        <f aca="false">K51+K52+K53</f>
        <v>0</v>
      </c>
      <c r="L54" s="24" t="n">
        <f aca="false">L51+L52+L53</f>
        <v>0</v>
      </c>
    </row>
    <row r="55" customFormat="false" ht="15" hidden="false" customHeight="false" outlineLevel="0" collapsed="false">
      <c r="A55" s="7" t="s">
        <v>193</v>
      </c>
      <c r="B55" s="24" t="n">
        <f aca="false">B50+B54</f>
        <v>2480</v>
      </c>
      <c r="C55" s="23" t="n">
        <f aca="false">C50+C54</f>
        <v>3080</v>
      </c>
      <c r="D55" s="23" t="n">
        <f aca="false">D50+D54</f>
        <v>3080</v>
      </c>
      <c r="E55" s="23" t="n">
        <f aca="false">E50+E54</f>
        <v>3080</v>
      </c>
      <c r="F55" s="23" t="n">
        <f aca="false">F50+F54</f>
        <v>3080</v>
      </c>
      <c r="G55" s="23" t="n">
        <f aca="false">G50+G54</f>
        <v>3080</v>
      </c>
      <c r="H55" s="23" t="n">
        <f aca="false">H50+H54</f>
        <v>3080</v>
      </c>
      <c r="I55" s="23" t="n">
        <f aca="false">I50+I54</f>
        <v>3080</v>
      </c>
      <c r="J55" s="23" t="n">
        <f aca="false">J50+J54</f>
        <v>3080</v>
      </c>
      <c r="K55" s="23" t="n">
        <f aca="false">K50+K54</f>
        <v>3080</v>
      </c>
      <c r="L55" s="23" t="n">
        <f aca="false">L50+L54</f>
        <v>3080</v>
      </c>
    </row>
    <row r="57" customFormat="false" ht="15" hidden="false" customHeight="false" outlineLevel="0" collapsed="false">
      <c r="A57" s="5" t="s">
        <v>194</v>
      </c>
    </row>
    <row r="58" customFormat="false" ht="15" hidden="false" customHeight="false" outlineLevel="0" collapsed="false">
      <c r="A58" s="3" t="s">
        <v>195</v>
      </c>
      <c r="C58" s="24" t="n">
        <f aca="false">C30</f>
        <v>1673.968</v>
      </c>
      <c r="D58" s="24" t="n">
        <f aca="false">D30</f>
        <v>1855.62701177189</v>
      </c>
      <c r="E58" s="24" t="n">
        <f aca="false">E30</f>
        <v>2163.99519452584</v>
      </c>
      <c r="F58" s="24" t="n">
        <f aca="false">F30</f>
        <v>2507.90136174284</v>
      </c>
      <c r="G58" s="24" t="n">
        <f aca="false">G30</f>
        <v>2887.90819139743</v>
      </c>
      <c r="H58" s="24" t="n">
        <f aca="false">H30</f>
        <v>3304.02767096432</v>
      </c>
      <c r="I58" s="24" t="n">
        <f aca="false">I30</f>
        <v>3755.65490262751</v>
      </c>
      <c r="J58" s="24" t="n">
        <f aca="false">J30</f>
        <v>4241.51316372221</v>
      </c>
      <c r="K58" s="24" t="n">
        <f aca="false">K30</f>
        <v>4759.61376078678</v>
      </c>
      <c r="L58" s="24" t="n">
        <f aca="false">L30</f>
        <v>5307.23400596466</v>
      </c>
    </row>
    <row r="59" customFormat="false" ht="15" hidden="false" customHeight="false" outlineLevel="0" collapsed="false">
      <c r="A59" s="3" t="s">
        <v>196</v>
      </c>
      <c r="C59" s="24" t="n">
        <f aca="false">-C24</f>
        <v>185.25</v>
      </c>
      <c r="D59" s="24" t="n">
        <f aca="false">-D24</f>
        <v>209.3325</v>
      </c>
      <c r="E59" s="24" t="n">
        <f aca="false">-E24</f>
        <v>235.237396875</v>
      </c>
      <c r="F59" s="24" t="n">
        <f aca="false">-F24</f>
        <v>262.877791007812</v>
      </c>
      <c r="G59" s="24" t="n">
        <f aca="false">-G24</f>
        <v>292.122945257432</v>
      </c>
      <c r="H59" s="24" t="n">
        <f aca="false">-H24</f>
        <v>322.795854509462</v>
      </c>
      <c r="I59" s="24" t="n">
        <f aca="false">-I24</f>
        <v>354.671945142271</v>
      </c>
      <c r="J59" s="24" t="n">
        <f aca="false">-J24</f>
        <v>387.479100067931</v>
      </c>
      <c r="K59" s="24" t="n">
        <f aca="false">-K24</f>
        <v>420.89917244879</v>
      </c>
      <c r="L59" s="24" t="n">
        <f aca="false">-L24</f>
        <v>454.571106244694</v>
      </c>
    </row>
    <row r="60" customFormat="false" ht="15" hidden="false" customHeight="false" outlineLevel="0" collapsed="false">
      <c r="A60" s="3" t="s">
        <v>197</v>
      </c>
      <c r="C60" s="24" t="n">
        <f aca="false">-C23</f>
        <v>524.875</v>
      </c>
      <c r="D60" s="24" t="n">
        <f aca="false">-D23</f>
        <v>581.479166666667</v>
      </c>
      <c r="E60" s="24" t="n">
        <f aca="false">-E23</f>
        <v>640.368469270833</v>
      </c>
      <c r="F60" s="24" t="n">
        <f aca="false">-F23</f>
        <v>701.0074426875</v>
      </c>
      <c r="G60" s="24" t="n">
        <f aca="false">-G23</f>
        <v>762.765468172183</v>
      </c>
      <c r="H60" s="24" t="n">
        <f aca="false">-H23</f>
        <v>824.922739301958</v>
      </c>
      <c r="I60" s="24" t="n">
        <f aca="false">-I23</f>
        <v>886.679862855678</v>
      </c>
      <c r="J60" s="24" t="n">
        <f aca="false">-J23</f>
        <v>947.171133499388</v>
      </c>
      <c r="K60" s="24" t="n">
        <f aca="false">-K23</f>
        <v>1005.48135640544</v>
      </c>
      <c r="L60" s="24" t="n">
        <f aca="false">-L23</f>
        <v>1060.66591457095</v>
      </c>
    </row>
    <row r="61" customFormat="false" ht="15" hidden="false" customHeight="false" outlineLevel="0" collapsed="false">
      <c r="A61" s="3" t="s">
        <v>198</v>
      </c>
      <c r="C61" s="24" t="n">
        <f aca="false">C41</f>
        <v>173.195205479452</v>
      </c>
      <c r="D61" s="24" t="n">
        <f aca="false">D41</f>
        <v>-78.7232610350075</v>
      </c>
      <c r="E61" s="24" t="n">
        <f aca="false">E41</f>
        <v>-84.206016043569</v>
      </c>
      <c r="F61" s="24" t="n">
        <f aca="false">F41</f>
        <v>-89.3260605837734</v>
      </c>
      <c r="G61" s="24" t="n">
        <f aca="false">G41</f>
        <v>-93.9419660489834</v>
      </c>
      <c r="H61" s="24" t="n">
        <f aca="false">H41</f>
        <v>-97.9071319240657</v>
      </c>
      <c r="I61" s="24" t="n">
        <f aca="false">I41</f>
        <v>-101.073711859077</v>
      </c>
      <c r="J61" s="24" t="n">
        <f aca="false">J41</f>
        <v>-103.297079365327</v>
      </c>
      <c r="K61" s="24" t="n">
        <f aca="false">K41</f>
        <v>-104.440705758987</v>
      </c>
      <c r="L61" s="24" t="n">
        <f aca="false">L41</f>
        <v>-104.381286399274</v>
      </c>
    </row>
    <row r="62" customFormat="false" ht="15" hidden="false" customHeight="false" outlineLevel="0" collapsed="false">
      <c r="A62" s="7" t="s">
        <v>199</v>
      </c>
      <c r="C62" s="23" t="n">
        <f aca="false">SUM(C58:C61)</f>
        <v>2557.28820547945</v>
      </c>
      <c r="D62" s="23" t="n">
        <f aca="false">SUM(D58:D61)</f>
        <v>2567.71541740355</v>
      </c>
      <c r="E62" s="23" t="n">
        <f aca="false">SUM(E58:E61)</f>
        <v>2955.39504462811</v>
      </c>
      <c r="F62" s="23" t="n">
        <f aca="false">SUM(F58:F61)</f>
        <v>3382.46053485438</v>
      </c>
      <c r="G62" s="23" t="n">
        <f aca="false">SUM(G58:G61)</f>
        <v>3848.85463877806</v>
      </c>
      <c r="H62" s="23" t="n">
        <f aca="false">SUM(H58:H61)</f>
        <v>4353.83913285167</v>
      </c>
      <c r="I62" s="23" t="n">
        <f aca="false">SUM(I58:I61)</f>
        <v>4895.93299876638</v>
      </c>
      <c r="J62" s="23" t="n">
        <f aca="false">SUM(J58:J61)</f>
        <v>5472.86631792421</v>
      </c>
      <c r="K62" s="23" t="n">
        <f aca="false">SUM(K58:K61)</f>
        <v>6081.55358388203</v>
      </c>
      <c r="L62" s="23" t="n">
        <f aca="false">SUM(L58:L61)</f>
        <v>6718.08974038103</v>
      </c>
    </row>
    <row r="63" customFormat="false" ht="15" hidden="false" customHeight="false" outlineLevel="0" collapsed="false">
      <c r="A63" s="3" t="s">
        <v>200</v>
      </c>
      <c r="C63" s="24" t="n">
        <f aca="false">-C44</f>
        <v>-185.25</v>
      </c>
      <c r="D63" s="24" t="n">
        <f aca="false">-D44</f>
        <v>-205.455972222222</v>
      </c>
      <c r="E63" s="24" t="n">
        <f aca="false">-E44</f>
        <v>-226.524900694444</v>
      </c>
      <c r="F63" s="24" t="n">
        <f aca="false">-F44</f>
        <v>-248.273469285156</v>
      </c>
      <c r="G63" s="24" t="n">
        <f aca="false">-G44</f>
        <v>-270.484208571696</v>
      </c>
      <c r="H63" s="24" t="n">
        <f aca="false">-H44</f>
        <v>-292.90734946229</v>
      </c>
      <c r="I63" s="24" t="n">
        <f aca="false">-I44</f>
        <v>-315.263951237575</v>
      </c>
      <c r="J63" s="24" t="n">
        <f aca="false">-J44</f>
        <v>-337.250327836903</v>
      </c>
      <c r="K63" s="24" t="n">
        <f aca="false">-K44</f>
        <v>-358.543739493414</v>
      </c>
      <c r="L63" s="24" t="n">
        <f aca="false">-L44</f>
        <v>-378.809255203911</v>
      </c>
    </row>
    <row r="64" customFormat="false" ht="15" hidden="false" customHeight="false" outlineLevel="0" collapsed="false">
      <c r="A64" s="7" t="s">
        <v>201</v>
      </c>
      <c r="C64" s="23" t="n">
        <f aca="false">C62+C63</f>
        <v>2372.03820547945</v>
      </c>
      <c r="D64" s="23" t="n">
        <f aca="false">D62+D63</f>
        <v>2362.25944518133</v>
      </c>
      <c r="E64" s="23" t="n">
        <f aca="false">E62+E63</f>
        <v>2728.87014393366</v>
      </c>
      <c r="F64" s="23" t="n">
        <f aca="false">F62+F63</f>
        <v>3134.18706556922</v>
      </c>
      <c r="G64" s="23" t="n">
        <f aca="false">G62+G63</f>
        <v>3578.37043020637</v>
      </c>
      <c r="H64" s="23" t="n">
        <f aca="false">H62+H63</f>
        <v>4060.93178338938</v>
      </c>
      <c r="I64" s="23" t="n">
        <f aca="false">I62+I63</f>
        <v>4580.66904752881</v>
      </c>
      <c r="J64" s="23" t="n">
        <f aca="false">J62+J63</f>
        <v>5135.6159900873</v>
      </c>
      <c r="K64" s="23" t="n">
        <f aca="false">K62+K63</f>
        <v>5723.00984438862</v>
      </c>
      <c r="L64" s="23" t="n">
        <f aca="false">L62+L63</f>
        <v>6339.28048517712</v>
      </c>
    </row>
    <row r="65" customFormat="false" ht="15" hidden="false" customHeight="false" outlineLevel="0" collapsed="false">
      <c r="A65" s="3" t="s">
        <v>202</v>
      </c>
      <c r="C65" s="21" t="n">
        <f aca="false">-Assumptions!$B$41</f>
        <v>-3100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</row>
    <row r="66" customFormat="false" ht="15" hidden="false" customHeight="false" outlineLevel="0" collapsed="false">
      <c r="A66" s="3" t="s">
        <v>203</v>
      </c>
      <c r="C66" s="21" t="n">
        <f aca="false">-Assumptions!$B$40</f>
        <v>-1300</v>
      </c>
      <c r="D66" s="21" t="n">
        <f aca="false">-Assumptions!$B$40</f>
        <v>-1300</v>
      </c>
      <c r="E66" s="21" t="n">
        <f aca="false">-Assumptions!$B$40</f>
        <v>-1300</v>
      </c>
      <c r="F66" s="21" t="n">
        <f aca="false">-Assumptions!$B$40</f>
        <v>-1300</v>
      </c>
      <c r="G66" s="21" t="n">
        <f aca="false">-Assumptions!$B$40</f>
        <v>-1300</v>
      </c>
      <c r="H66" s="21" t="n">
        <f aca="false">-Assumptions!$B$40</f>
        <v>-1300</v>
      </c>
      <c r="I66" s="21" t="n">
        <f aca="false">-Assumptions!$B$40</f>
        <v>-1300</v>
      </c>
      <c r="J66" s="21" t="n">
        <f aca="false">-Assumptions!$B$40</f>
        <v>-1300</v>
      </c>
      <c r="K66" s="21" t="n">
        <f aca="false">-Assumptions!$B$40</f>
        <v>-1300</v>
      </c>
      <c r="L66" s="21" t="n">
        <f aca="false">-Assumptions!$B$40</f>
        <v>-1300</v>
      </c>
    </row>
    <row r="67" customFormat="false" ht="15" hidden="false" customHeight="false" outlineLevel="0" collapsed="false">
      <c r="A67" s="3" t="s">
        <v>204</v>
      </c>
      <c r="C67" s="24" t="n">
        <f aca="false">C49+C52+C53</f>
        <v>600</v>
      </c>
      <c r="D67" s="24" t="n">
        <f aca="false">D49+D52+D53</f>
        <v>0</v>
      </c>
      <c r="E67" s="24" t="n">
        <f aca="false">E49+E52+E53</f>
        <v>0</v>
      </c>
      <c r="F67" s="24" t="n">
        <f aca="false">F49+F52+F53</f>
        <v>0</v>
      </c>
      <c r="G67" s="24" t="n">
        <f aca="false">G49+G52+G53</f>
        <v>0</v>
      </c>
      <c r="H67" s="24" t="n">
        <f aca="false">H49+H52+H53</f>
        <v>0</v>
      </c>
      <c r="I67" s="24" t="n">
        <f aca="false">I49+I52+I53</f>
        <v>0</v>
      </c>
      <c r="J67" s="24" t="n">
        <f aca="false">J49+J52+J53</f>
        <v>0</v>
      </c>
      <c r="K67" s="24" t="n">
        <f aca="false">K49+K52+K53</f>
        <v>0</v>
      </c>
      <c r="L67" s="24" t="n">
        <f aca="false">L49+L52+L53</f>
        <v>0</v>
      </c>
    </row>
    <row r="68" customFormat="false" ht="15" hidden="false" customHeight="false" outlineLevel="0" collapsed="false">
      <c r="A68" s="7" t="s">
        <v>205</v>
      </c>
      <c r="C68" s="23" t="n">
        <f aca="false">C64+C65+C66+C67</f>
        <v>-1427.96179452055</v>
      </c>
      <c r="D68" s="23" t="n">
        <f aca="false">D64+D65+D66+D67</f>
        <v>1062.25944518133</v>
      </c>
      <c r="E68" s="23" t="n">
        <f aca="false">E64+E65+E66+E67</f>
        <v>1428.87014393366</v>
      </c>
      <c r="F68" s="23" t="n">
        <f aca="false">F64+F65+F66+F67</f>
        <v>1834.18706556922</v>
      </c>
      <c r="G68" s="23" t="n">
        <f aca="false">G64+G65+G66+G67</f>
        <v>2278.37043020637</v>
      </c>
      <c r="H68" s="23" t="n">
        <f aca="false">H64+H65+H66+H67</f>
        <v>2760.93178338938</v>
      </c>
      <c r="I68" s="23" t="n">
        <f aca="false">I64+I65+I66+I67</f>
        <v>3280.66904752881</v>
      </c>
      <c r="J68" s="23" t="n">
        <f aca="false">J64+J65+J66+J67</f>
        <v>3835.6159900873</v>
      </c>
      <c r="K68" s="23" t="n">
        <f aca="false">K64+K65+K66+K67</f>
        <v>4423.00984438862</v>
      </c>
      <c r="L68" s="23" t="n">
        <f aca="false">L64+L65+L66+L67</f>
        <v>5039.28048517712</v>
      </c>
    </row>
    <row r="69" customFormat="false" ht="15" hidden="false" customHeight="false" outlineLevel="0" collapsed="false">
      <c r="A69" s="3" t="s">
        <v>206</v>
      </c>
      <c r="C69" s="24" t="n">
        <f aca="false">B70</f>
        <v>2800</v>
      </c>
      <c r="D69" s="24" t="n">
        <f aca="false">C70</f>
        <v>1372.03820547945</v>
      </c>
      <c r="E69" s="24" t="n">
        <f aca="false">D70</f>
        <v>2434.29765066078</v>
      </c>
      <c r="F69" s="24" t="n">
        <f aca="false">E70</f>
        <v>3863.16779459444</v>
      </c>
      <c r="G69" s="24" t="n">
        <f aca="false">F70</f>
        <v>5697.35486016366</v>
      </c>
      <c r="H69" s="24" t="n">
        <f aca="false">G70</f>
        <v>7975.72529037003</v>
      </c>
      <c r="I69" s="24" t="n">
        <f aca="false">H70</f>
        <v>10736.6570737594</v>
      </c>
      <c r="J69" s="24" t="n">
        <f aca="false">I70</f>
        <v>14017.3261212882</v>
      </c>
      <c r="K69" s="24" t="n">
        <f aca="false">J70</f>
        <v>17852.9421113755</v>
      </c>
      <c r="L69" s="24" t="n">
        <f aca="false">K70</f>
        <v>22275.9519557641</v>
      </c>
    </row>
    <row r="70" customFormat="false" ht="15" hidden="false" customHeight="false" outlineLevel="0" collapsed="false">
      <c r="A70" s="7" t="s">
        <v>207</v>
      </c>
      <c r="B70" s="18" t="n">
        <v>2800</v>
      </c>
      <c r="C70" s="23" t="n">
        <f aca="false">C69+C68</f>
        <v>1372.03820547945</v>
      </c>
      <c r="D70" s="23" t="n">
        <f aca="false">D69+D68</f>
        <v>2434.29765066078</v>
      </c>
      <c r="E70" s="23" t="n">
        <f aca="false">E69+E68</f>
        <v>3863.16779459444</v>
      </c>
      <c r="F70" s="23" t="n">
        <f aca="false">F69+F68</f>
        <v>5697.35486016366</v>
      </c>
      <c r="G70" s="23" t="n">
        <f aca="false">G69+G68</f>
        <v>7975.72529037003</v>
      </c>
      <c r="H70" s="23" t="n">
        <f aca="false">H69+H68</f>
        <v>10736.6570737594</v>
      </c>
      <c r="I70" s="23" t="n">
        <f aca="false">I69+I68</f>
        <v>14017.3261212882</v>
      </c>
      <c r="J70" s="23" t="n">
        <f aca="false">J69+J68</f>
        <v>17852.9421113755</v>
      </c>
      <c r="K70" s="23" t="n">
        <f aca="false">K69+K68</f>
        <v>22275.9519557641</v>
      </c>
      <c r="L70" s="23" t="n">
        <f aca="false">L69+L68</f>
        <v>27315.2324409413</v>
      </c>
    </row>
    <row r="72" customFormat="false" ht="15" hidden="false" customHeight="false" outlineLevel="0" collapsed="false">
      <c r="A72" s="5" t="s">
        <v>208</v>
      </c>
    </row>
    <row r="73" customFormat="false" ht="15" hidden="false" customHeight="false" outlineLevel="0" collapsed="false">
      <c r="A73" s="3" t="s">
        <v>209</v>
      </c>
      <c r="B73" s="24" t="n">
        <f aca="false">B70</f>
        <v>2800</v>
      </c>
      <c r="C73" s="24" t="n">
        <f aca="false">C70</f>
        <v>1372.03820547945</v>
      </c>
      <c r="D73" s="24" t="n">
        <f aca="false">D70</f>
        <v>2434.29765066078</v>
      </c>
      <c r="E73" s="24" t="n">
        <f aca="false">E70</f>
        <v>3863.16779459444</v>
      </c>
      <c r="F73" s="24" t="n">
        <f aca="false">F70</f>
        <v>5697.35486016366</v>
      </c>
      <c r="G73" s="24" t="n">
        <f aca="false">G70</f>
        <v>7975.72529037003</v>
      </c>
      <c r="H73" s="24" t="n">
        <f aca="false">H70</f>
        <v>10736.6570737594</v>
      </c>
      <c r="I73" s="24" t="n">
        <f aca="false">I70</f>
        <v>14017.3261212882</v>
      </c>
      <c r="J73" s="24" t="n">
        <f aca="false">J70</f>
        <v>17852.9421113755</v>
      </c>
      <c r="K73" s="24" t="n">
        <f aca="false">K70</f>
        <v>22275.9519557641</v>
      </c>
      <c r="L73" s="24" t="n">
        <f aca="false">L70</f>
        <v>27315.2324409413</v>
      </c>
    </row>
    <row r="74" customFormat="false" ht="15" hidden="false" customHeight="false" outlineLevel="0" collapsed="false">
      <c r="A74" s="3" t="s">
        <v>174</v>
      </c>
      <c r="B74" s="24" t="n">
        <f aca="false">B35</f>
        <v>1650</v>
      </c>
      <c r="C74" s="24" t="n">
        <f aca="false">C35</f>
        <v>1015.06849315069</v>
      </c>
      <c r="D74" s="24" t="n">
        <f aca="false">D35</f>
        <v>1147.02739726027</v>
      </c>
      <c r="E74" s="24" t="n">
        <f aca="false">E35</f>
        <v>1288.97203767123</v>
      </c>
      <c r="F74" s="24" t="n">
        <f aca="false">F35</f>
        <v>1440.4262520976</v>
      </c>
      <c r="G74" s="24" t="n">
        <f aca="false">G35</f>
        <v>1600.67367264346</v>
      </c>
      <c r="H74" s="24" t="n">
        <f aca="false">H35</f>
        <v>1768.74440827102</v>
      </c>
      <c r="I74" s="24" t="n">
        <f aca="false">I35</f>
        <v>1943.40791858779</v>
      </c>
      <c r="J74" s="24" t="n">
        <f aca="false">J35</f>
        <v>2123.17315105716</v>
      </c>
      <c r="K74" s="24" t="n">
        <f aca="false">K35</f>
        <v>2306.29683533584</v>
      </c>
      <c r="L74" s="24" t="n">
        <f aca="false">L35</f>
        <v>2490.80058216271</v>
      </c>
    </row>
    <row r="75" customFormat="false" ht="15" hidden="false" customHeight="false" outlineLevel="0" collapsed="false">
      <c r="A75" s="3" t="s">
        <v>210</v>
      </c>
      <c r="B75" s="24" t="n">
        <f aca="false">B36</f>
        <v>300</v>
      </c>
      <c r="C75" s="24" t="n">
        <f aca="false">C36</f>
        <v>304.520547945205</v>
      </c>
      <c r="D75" s="24" t="n">
        <f aca="false">D36</f>
        <v>340.92203196347</v>
      </c>
      <c r="E75" s="24" t="n">
        <f aca="false">E36</f>
        <v>379.53065553653</v>
      </c>
      <c r="F75" s="24" t="n">
        <f aca="false">F36</f>
        <v>420.124323528467</v>
      </c>
      <c r="G75" s="24" t="n">
        <f aca="false">G36</f>
        <v>462.416838763666</v>
      </c>
      <c r="H75" s="24" t="n">
        <f aca="false">H36</f>
        <v>506.057427921988</v>
      </c>
      <c r="I75" s="24" t="n">
        <f aca="false">I36</f>
        <v>550.632243599873</v>
      </c>
      <c r="J75" s="24" t="n">
        <f aca="false">J36</f>
        <v>595.668022935481</v>
      </c>
      <c r="K75" s="24" t="n">
        <f aca="false">K36</f>
        <v>640.63800981551</v>
      </c>
      <c r="L75" s="24" t="n">
        <f aca="false">L36</f>
        <v>684.970160094744</v>
      </c>
    </row>
    <row r="76" customFormat="false" ht="15" hidden="false" customHeight="false" outlineLevel="0" collapsed="false">
      <c r="A76" s="3" t="s">
        <v>176</v>
      </c>
      <c r="B76" s="24" t="n">
        <f aca="false">B37</f>
        <v>700</v>
      </c>
      <c r="C76" s="24" t="n">
        <f aca="false">C37</f>
        <v>679.25</v>
      </c>
      <c r="D76" s="24" t="n">
        <f aca="false">D37</f>
        <v>767.5525</v>
      </c>
      <c r="E76" s="24" t="n">
        <f aca="false">E37</f>
        <v>862.537121875</v>
      </c>
      <c r="F76" s="24" t="n">
        <f aca="false">F37</f>
        <v>963.885233695312</v>
      </c>
      <c r="G76" s="24" t="n">
        <f aca="false">G37</f>
        <v>1071.11746594392</v>
      </c>
      <c r="H76" s="24" t="n">
        <f aca="false">H37</f>
        <v>1183.58479986803</v>
      </c>
      <c r="I76" s="24" t="n">
        <f aca="false">I37</f>
        <v>1300.46379885499</v>
      </c>
      <c r="J76" s="24" t="n">
        <f aca="false">J37</f>
        <v>1420.75670024908</v>
      </c>
      <c r="K76" s="24" t="n">
        <f aca="false">K37</f>
        <v>1543.29696564556</v>
      </c>
      <c r="L76" s="24" t="n">
        <f aca="false">L37</f>
        <v>1666.76072289721</v>
      </c>
    </row>
    <row r="77" customFormat="false" ht="15" hidden="false" customHeight="false" outlineLevel="0" collapsed="false">
      <c r="A77" s="3" t="s">
        <v>183</v>
      </c>
      <c r="B77" s="24" t="n">
        <f aca="false">B45</f>
        <v>480</v>
      </c>
      <c r="C77" s="24" t="n">
        <f aca="false">C45</f>
        <v>591.15</v>
      </c>
      <c r="D77" s="24" t="n">
        <f aca="false">D45</f>
        <v>712.872972222222</v>
      </c>
      <c r="E77" s="24" t="n">
        <f aca="false">E45</f>
        <v>845.302914166667</v>
      </c>
      <c r="F77" s="24" t="n">
        <f aca="false">F45</f>
        <v>988.425267048698</v>
      </c>
      <c r="G77" s="24" t="n">
        <f aca="false">G45</f>
        <v>1142.06029751742</v>
      </c>
      <c r="H77" s="24" t="n">
        <f aca="false">H45</f>
        <v>1305.84930517593</v>
      </c>
      <c r="I77" s="24" t="n">
        <f aca="false">I45</f>
        <v>1479.24447835659</v>
      </c>
      <c r="J77" s="24" t="n">
        <f aca="false">J45</f>
        <v>1661.50316616632</v>
      </c>
      <c r="K77" s="24" t="n">
        <f aca="false">K45</f>
        <v>1851.68723668022</v>
      </c>
      <c r="L77" s="24" t="n">
        <f aca="false">L45</f>
        <v>2048.66804938625</v>
      </c>
    </row>
    <row r="78" customFormat="false" ht="15" hidden="false" customHeight="false" outlineLevel="0" collapsed="false">
      <c r="A78" s="3" t="s">
        <v>211</v>
      </c>
      <c r="B78" s="18" t="n">
        <v>4970</v>
      </c>
      <c r="C78" s="24" t="n">
        <f aca="false">B78+-C65+C24*0.6</f>
        <v>7958.85</v>
      </c>
      <c r="D78" s="24" t="n">
        <f aca="false">C78+-D65+D24*0.6</f>
        <v>7833.2505</v>
      </c>
      <c r="E78" s="24" t="n">
        <f aca="false">D78+-E65+E24*0.6</f>
        <v>7692.108061875</v>
      </c>
      <c r="F78" s="24" t="n">
        <f aca="false">E78+-F65+F24*0.6</f>
        <v>7534.38138727031</v>
      </c>
      <c r="G78" s="24" t="n">
        <f aca="false">F78+-G65+G24*0.6</f>
        <v>7359.10762011585</v>
      </c>
      <c r="H78" s="24" t="n">
        <f aca="false">G78+-H65+H24*0.6</f>
        <v>7165.43010741018</v>
      </c>
      <c r="I78" s="24" t="n">
        <f aca="false">H78+-I65+I24*0.6</f>
        <v>6952.62694032481</v>
      </c>
      <c r="J78" s="24" t="n">
        <f aca="false">I78+-J65+J24*0.6</f>
        <v>6720.13948028406</v>
      </c>
      <c r="K78" s="24" t="n">
        <f aca="false">J78+-K65+K24*0.6</f>
        <v>6467.59997681478</v>
      </c>
      <c r="L78" s="24" t="n">
        <f aca="false">K78+-L65+L24*0.6</f>
        <v>6194.85731306797</v>
      </c>
    </row>
    <row r="79" customFormat="false" ht="15" hidden="false" customHeight="false" outlineLevel="0" collapsed="false">
      <c r="A79" s="7" t="s">
        <v>212</v>
      </c>
      <c r="B79" s="23" t="n">
        <f aca="false">SUM(B73:B78)</f>
        <v>10900</v>
      </c>
      <c r="C79" s="23" t="n">
        <f aca="false">SUM(C73:C78)</f>
        <v>11920.8772465753</v>
      </c>
      <c r="D79" s="23" t="n">
        <f aca="false">SUM(D73:D78)</f>
        <v>13235.9230521067</v>
      </c>
      <c r="E79" s="23" t="n">
        <f aca="false">SUM(E73:E78)</f>
        <v>14931.6185857189</v>
      </c>
      <c r="F79" s="23" t="n">
        <f aca="false">SUM(F73:F78)</f>
        <v>17044.5973238041</v>
      </c>
      <c r="G79" s="23" t="n">
        <f aca="false">SUM(G73:G78)</f>
        <v>19611.1011853543</v>
      </c>
      <c r="H79" s="23" t="n">
        <f aca="false">SUM(H73:H78)</f>
        <v>22666.3231224066</v>
      </c>
      <c r="I79" s="23" t="n">
        <f aca="false">SUM(I73:I78)</f>
        <v>26243.7015010123</v>
      </c>
      <c r="J79" s="23" t="n">
        <f aca="false">SUM(J73:J78)</f>
        <v>30374.1826320676</v>
      </c>
      <c r="K79" s="23" t="n">
        <f aca="false">SUM(K73:K78)</f>
        <v>35085.4709800561</v>
      </c>
      <c r="L79" s="23" t="n">
        <f aca="false">SUM(L73:L78)</f>
        <v>40401.2892685501</v>
      </c>
    </row>
    <row r="80" customFormat="false" ht="15" hidden="false" customHeight="false" outlineLevel="0" collapsed="false">
      <c r="A80" s="3" t="s">
        <v>177</v>
      </c>
      <c r="B80" s="24" t="n">
        <f aca="false">-B38</f>
        <v>900</v>
      </c>
      <c r="C80" s="24" t="n">
        <f aca="false">-C38</f>
        <v>414.909246575343</v>
      </c>
      <c r="D80" s="24" t="n">
        <f aca="false">-D38</f>
        <v>464.546095890411</v>
      </c>
      <c r="E80" s="24" t="n">
        <f aca="false">-E38</f>
        <v>517.200030115582</v>
      </c>
      <c r="F80" s="24" t="n">
        <f aca="false">-F38</f>
        <v>572.569435208797</v>
      </c>
      <c r="G80" s="24" t="n">
        <f aca="false">-G38</f>
        <v>630.265258603363</v>
      </c>
      <c r="H80" s="24" t="n">
        <f aca="false">-H38</f>
        <v>689.8103192257</v>
      </c>
      <c r="I80" s="24" t="n">
        <f aca="false">-I38</f>
        <v>750.641308554533</v>
      </c>
      <c r="J80" s="24" t="n">
        <f aca="false">-J38</f>
        <v>812.113730279363</v>
      </c>
      <c r="K80" s="24" t="n">
        <f aca="false">-K38</f>
        <v>873.509926383449</v>
      </c>
      <c r="L80" s="24" t="n">
        <f aca="false">-L38</f>
        <v>934.050218311014</v>
      </c>
    </row>
    <row r="81" customFormat="false" ht="15" hidden="false" customHeight="false" outlineLevel="0" collapsed="false">
      <c r="A81" s="3" t="s">
        <v>178</v>
      </c>
      <c r="B81" s="24" t="n">
        <f aca="false">-B39</f>
        <v>950</v>
      </c>
      <c r="C81" s="24" t="n">
        <f aca="false">-C39</f>
        <v>957.125</v>
      </c>
      <c r="D81" s="24" t="n">
        <f aca="false">-D39</f>
        <v>1085.42777777778</v>
      </c>
      <c r="E81" s="24" t="n">
        <f aca="false">-E39</f>
        <v>1224.10571336806</v>
      </c>
      <c r="F81" s="24" t="n">
        <f aca="false">-F39</f>
        <v>1372.80624192969</v>
      </c>
      <c r="G81" s="24" t="n">
        <f aca="false">-G39</f>
        <v>1530.9406205158</v>
      </c>
      <c r="H81" s="24" t="n">
        <f aca="false">-H39</f>
        <v>1697.66708667939</v>
      </c>
      <c r="I81" s="24" t="n">
        <f aca="false">-I39</f>
        <v>1871.8797104731</v>
      </c>
      <c r="J81" s="24" t="n">
        <f aca="false">-J39</f>
        <v>2052.20412258201</v>
      </c>
      <c r="K81" s="24" t="n">
        <f aca="false">-K39</f>
        <v>2237.00115727413</v>
      </c>
      <c r="L81" s="24" t="n">
        <f aca="false">-L39</f>
        <v>2424.37923330503</v>
      </c>
    </row>
    <row r="82" customFormat="false" ht="15" hidden="false" customHeight="false" outlineLevel="0" collapsed="false">
      <c r="A82" s="3" t="s">
        <v>213</v>
      </c>
      <c r="B82" s="24" t="n">
        <f aca="false">B55</f>
        <v>2480</v>
      </c>
      <c r="C82" s="24" t="n">
        <f aca="false">C55</f>
        <v>3080</v>
      </c>
      <c r="D82" s="24" t="n">
        <f aca="false">D55</f>
        <v>3080</v>
      </c>
      <c r="E82" s="24" t="n">
        <f aca="false">E55</f>
        <v>3080</v>
      </c>
      <c r="F82" s="24" t="n">
        <f aca="false">F55</f>
        <v>3080</v>
      </c>
      <c r="G82" s="24" t="n">
        <f aca="false">G55</f>
        <v>3080</v>
      </c>
      <c r="H82" s="24" t="n">
        <f aca="false">H55</f>
        <v>3080</v>
      </c>
      <c r="I82" s="24" t="n">
        <f aca="false">I55</f>
        <v>3080</v>
      </c>
      <c r="J82" s="24" t="n">
        <f aca="false">J55</f>
        <v>3080</v>
      </c>
      <c r="K82" s="24" t="n">
        <f aca="false">K55</f>
        <v>3080</v>
      </c>
      <c r="L82" s="24" t="n">
        <f aca="false">L55</f>
        <v>3080</v>
      </c>
    </row>
    <row r="83" customFormat="false" ht="15" hidden="false" customHeight="false" outlineLevel="0" collapsed="false">
      <c r="A83" s="3" t="s">
        <v>214</v>
      </c>
      <c r="B83" s="18" t="n">
        <v>1070</v>
      </c>
      <c r="C83" s="24" t="n">
        <f aca="false">B83</f>
        <v>1070</v>
      </c>
      <c r="D83" s="24" t="n">
        <f aca="false">B83</f>
        <v>1070</v>
      </c>
      <c r="E83" s="24" t="n">
        <f aca="false">B83</f>
        <v>1070</v>
      </c>
      <c r="F83" s="24" t="n">
        <f aca="false">B83</f>
        <v>1070</v>
      </c>
      <c r="G83" s="24" t="n">
        <f aca="false">B83</f>
        <v>1070</v>
      </c>
      <c r="H83" s="24" t="n">
        <f aca="false">B83</f>
        <v>1070</v>
      </c>
      <c r="I83" s="24" t="n">
        <f aca="false">B83</f>
        <v>1070</v>
      </c>
      <c r="J83" s="24" t="n">
        <f aca="false">B83</f>
        <v>1070</v>
      </c>
      <c r="K83" s="24" t="n">
        <f aca="false">B83</f>
        <v>1070</v>
      </c>
      <c r="L83" s="24" t="n">
        <f aca="false">B83</f>
        <v>1070</v>
      </c>
    </row>
    <row r="84" customFormat="false" ht="15" hidden="false" customHeight="false" outlineLevel="0" collapsed="false">
      <c r="A84" s="7" t="s">
        <v>215</v>
      </c>
      <c r="B84" s="23" t="n">
        <f aca="false">SUM(B80:B83)</f>
        <v>5400</v>
      </c>
      <c r="C84" s="23" t="n">
        <f aca="false">SUM(C80:C83)</f>
        <v>5522.03424657534</v>
      </c>
      <c r="D84" s="23" t="n">
        <f aca="false">SUM(D80:D83)</f>
        <v>5699.97387366819</v>
      </c>
      <c r="E84" s="23" t="n">
        <f aca="false">SUM(E80:E83)</f>
        <v>5891.30574348364</v>
      </c>
      <c r="F84" s="23" t="n">
        <f aca="false">SUM(F80:F83)</f>
        <v>6095.37567713848</v>
      </c>
      <c r="G84" s="23" t="n">
        <f aca="false">SUM(G80:G83)</f>
        <v>6311.20587911916</v>
      </c>
      <c r="H84" s="23" t="n">
        <f aca="false">SUM(H80:H83)</f>
        <v>6537.47740590509</v>
      </c>
      <c r="I84" s="23" t="n">
        <f aca="false">SUM(I80:I83)</f>
        <v>6772.52101902763</v>
      </c>
      <c r="J84" s="23" t="n">
        <f aca="false">SUM(J80:J83)</f>
        <v>7014.31785286137</v>
      </c>
      <c r="K84" s="23" t="n">
        <f aca="false">SUM(K80:K83)</f>
        <v>7260.51108365758</v>
      </c>
      <c r="L84" s="23" t="n">
        <f aca="false">SUM(L80:L83)</f>
        <v>7508.42945161605</v>
      </c>
    </row>
    <row r="85" customFormat="false" ht="15" hidden="false" customHeight="false" outlineLevel="0" collapsed="false">
      <c r="A85" s="7" t="s">
        <v>216</v>
      </c>
      <c r="B85" s="23" t="n">
        <f aca="false">B79-B84</f>
        <v>5500</v>
      </c>
      <c r="C85" s="23" t="n">
        <f aca="false">B85+C30-C23+C66</f>
        <v>6398.843</v>
      </c>
      <c r="D85" s="23" t="n">
        <f aca="false">C85+D30-D23+D66</f>
        <v>7535.94917843856</v>
      </c>
      <c r="E85" s="23" t="n">
        <f aca="false">D85+E30-E23+E66</f>
        <v>9040.31284223523</v>
      </c>
      <c r="F85" s="23" t="n">
        <f aca="false">E85+F30-F23+F66</f>
        <v>10949.2216466656</v>
      </c>
      <c r="G85" s="23" t="n">
        <f aca="false">F85+G30-G23+G66</f>
        <v>13299.8953062352</v>
      </c>
      <c r="H85" s="23" t="n">
        <f aca="false">G85+H30-H23+H66</f>
        <v>16128.8457165015</v>
      </c>
      <c r="I85" s="23" t="n">
        <f aca="false">H85+I30-I23+I66</f>
        <v>19471.1804819846</v>
      </c>
      <c r="J85" s="23" t="n">
        <f aca="false">I85+J30-J23+J66</f>
        <v>23359.8647792062</v>
      </c>
      <c r="K85" s="23" t="n">
        <f aca="false">J85+K30-K23+K66</f>
        <v>27824.9598963985</v>
      </c>
      <c r="L85" s="23" t="n">
        <f aca="false">K85+L30-L23+L66</f>
        <v>32892.8598169341</v>
      </c>
    </row>
    <row r="86" customFormat="false" ht="15" hidden="false" customHeight="false" outlineLevel="0" collapsed="false">
      <c r="A86" s="7" t="s">
        <v>217</v>
      </c>
      <c r="B86" s="23" t="n">
        <f aca="false">B84+B85</f>
        <v>10900</v>
      </c>
      <c r="C86" s="23" t="n">
        <f aca="false">C84+C85</f>
        <v>11920.8772465753</v>
      </c>
      <c r="D86" s="23" t="n">
        <f aca="false">D84+D85</f>
        <v>13235.9230521067</v>
      </c>
      <c r="E86" s="23" t="n">
        <f aca="false">E84+E85</f>
        <v>14931.6185857189</v>
      </c>
      <c r="F86" s="23" t="n">
        <f aca="false">F84+F85</f>
        <v>17044.5973238041</v>
      </c>
      <c r="G86" s="23" t="n">
        <f aca="false">G84+G85</f>
        <v>19611.1011853543</v>
      </c>
      <c r="H86" s="23" t="n">
        <f aca="false">H84+H85</f>
        <v>22666.3231224066</v>
      </c>
      <c r="I86" s="23" t="n">
        <f aca="false">I84+I85</f>
        <v>26243.7015010123</v>
      </c>
      <c r="J86" s="23" t="n">
        <f aca="false">J84+J85</f>
        <v>30374.1826320676</v>
      </c>
      <c r="K86" s="23" t="n">
        <f aca="false">K84+K85</f>
        <v>35085.470980056</v>
      </c>
      <c r="L86" s="23" t="n">
        <f aca="false">L84+L85</f>
        <v>40401.2892685501</v>
      </c>
    </row>
    <row r="87" customFormat="false" ht="15" hidden="false" customHeight="false" outlineLevel="0" collapsed="false">
      <c r="A87" s="25" t="s">
        <v>218</v>
      </c>
      <c r="B87" s="28" t="n">
        <f aca="false">B79-B86</f>
        <v>0</v>
      </c>
      <c r="C87" s="28" t="n">
        <f aca="false">C79-C86</f>
        <v>0</v>
      </c>
      <c r="D87" s="28" t="n">
        <f aca="false">D79-D86</f>
        <v>0</v>
      </c>
      <c r="E87" s="28" t="n">
        <f aca="false">E79-E86</f>
        <v>0</v>
      </c>
      <c r="F87" s="28" t="n">
        <f aca="false">F79-F86</f>
        <v>0</v>
      </c>
      <c r="G87" s="28" t="n">
        <f aca="false">G79-G86</f>
        <v>0</v>
      </c>
      <c r="H87" s="28" t="n">
        <f aca="false">H79-H86</f>
        <v>0</v>
      </c>
      <c r="I87" s="28" t="n">
        <f aca="false">I79-I86</f>
        <v>0</v>
      </c>
      <c r="J87" s="28" t="n">
        <f aca="false">J79-J86</f>
        <v>0</v>
      </c>
      <c r="K87" s="28" t="n">
        <f aca="false">K79-K86</f>
        <v>0</v>
      </c>
      <c r="L87" s="28" t="n">
        <f aca="false">L79-L86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219</v>
      </c>
    </row>
    <row r="4" customFormat="false" ht="15" hidden="false" customHeight="false" outlineLevel="0" collapsed="false">
      <c r="A4" s="5" t="s">
        <v>220</v>
      </c>
    </row>
    <row r="5" customFormat="false" ht="15" hidden="false" customHeight="false" outlineLevel="0" collapsed="false">
      <c r="A5" s="3" t="s">
        <v>221</v>
      </c>
      <c r="B5" s="29" t="n">
        <v>0.0455</v>
      </c>
      <c r="C5" s="13" t="s">
        <v>51</v>
      </c>
    </row>
    <row r="6" customFormat="false" ht="15" hidden="false" customHeight="false" outlineLevel="0" collapsed="false">
      <c r="A6" s="3" t="s">
        <v>222</v>
      </c>
      <c r="B6" s="30" t="n">
        <v>1.13</v>
      </c>
      <c r="C6" s="13" t="s">
        <v>223</v>
      </c>
    </row>
    <row r="7" customFormat="false" ht="15" hidden="false" customHeight="false" outlineLevel="0" collapsed="false">
      <c r="A7" s="3" t="s">
        <v>224</v>
      </c>
      <c r="B7" s="29" t="n">
        <v>0.0475</v>
      </c>
      <c r="C7" s="13" t="s">
        <v>225</v>
      </c>
    </row>
    <row r="8" customFormat="false" ht="15" hidden="false" customHeight="false" outlineLevel="0" collapsed="false">
      <c r="A8" s="3" t="s">
        <v>226</v>
      </c>
      <c r="B8" s="29" t="n">
        <v>0</v>
      </c>
    </row>
    <row r="9" customFormat="false" ht="15" hidden="false" customHeight="false" outlineLevel="0" collapsed="false">
      <c r="A9" s="7" t="s">
        <v>227</v>
      </c>
      <c r="B9" s="31" t="n">
        <f aca="false">B5+B6*B7+B8</f>
        <v>0.099175</v>
      </c>
    </row>
    <row r="11" customFormat="false" ht="15" hidden="false" customHeight="false" outlineLevel="0" collapsed="false">
      <c r="A11" s="5" t="s">
        <v>228</v>
      </c>
    </row>
    <row r="12" customFormat="false" ht="15" hidden="false" customHeight="false" outlineLevel="0" collapsed="false">
      <c r="A12" s="3" t="s">
        <v>229</v>
      </c>
      <c r="B12" s="29" t="n">
        <v>0.048</v>
      </c>
      <c r="C12" s="13" t="s">
        <v>230</v>
      </c>
    </row>
    <row r="13" customFormat="false" ht="15" hidden="false" customHeight="false" outlineLevel="0" collapsed="false">
      <c r="A13" s="3" t="s">
        <v>231</v>
      </c>
      <c r="B13" s="20" t="n">
        <f aca="false">Assumptions!B38</f>
        <v>0.22</v>
      </c>
    </row>
    <row r="14" customFormat="false" ht="15" hidden="false" customHeight="false" outlineLevel="0" collapsed="false">
      <c r="A14" s="3" t="s">
        <v>232</v>
      </c>
      <c r="B14" s="32" t="n">
        <f aca="false">B12*(1-B13)</f>
        <v>0.03744</v>
      </c>
    </row>
    <row r="16" customFormat="false" ht="15" hidden="false" customHeight="false" outlineLevel="0" collapsed="false">
      <c r="A16" s="5" t="s">
        <v>233</v>
      </c>
    </row>
    <row r="17" customFormat="false" ht="15" hidden="false" customHeight="false" outlineLevel="0" collapsed="false">
      <c r="A17" s="3" t="s">
        <v>234</v>
      </c>
      <c r="B17" s="11" t="n">
        <v>0.03</v>
      </c>
      <c r="C17" s="13" t="s">
        <v>235</v>
      </c>
    </row>
    <row r="18" customFormat="false" ht="15" hidden="false" customHeight="false" outlineLevel="0" collapsed="false">
      <c r="A18" s="3" t="s">
        <v>236</v>
      </c>
      <c r="B18" s="19" t="n">
        <f aca="false">1-B17</f>
        <v>0.97</v>
      </c>
    </row>
    <row r="20" customFormat="false" ht="15" hidden="false" customHeight="false" outlineLevel="0" collapsed="false">
      <c r="A20" s="7" t="s">
        <v>9</v>
      </c>
      <c r="B20" s="31" t="n">
        <f aca="false">B18*B9+B17*B14</f>
        <v>0.09732295</v>
      </c>
    </row>
    <row r="22" customFormat="false" ht="15" hidden="false" customHeight="false" outlineLevel="0" collapsed="false">
      <c r="A22" s="13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0" min="2" style="0" width="11"/>
  </cols>
  <sheetData>
    <row r="1" customFormat="false" ht="17.35" hidden="false" customHeight="false" outlineLevel="0" collapsed="false">
      <c r="A1" s="1" t="s">
        <v>238</v>
      </c>
    </row>
    <row r="4" customFormat="false" ht="15" hidden="false" customHeight="false" outlineLevel="0" collapsed="false">
      <c r="A4" s="10"/>
      <c r="B4" s="10" t="s">
        <v>139</v>
      </c>
      <c r="C4" s="10" t="s">
        <v>140</v>
      </c>
      <c r="D4" s="10" t="s">
        <v>141</v>
      </c>
      <c r="E4" s="10" t="s">
        <v>142</v>
      </c>
      <c r="F4" s="10" t="s">
        <v>143</v>
      </c>
      <c r="G4" s="10" t="s">
        <v>144</v>
      </c>
      <c r="H4" s="10" t="s">
        <v>145</v>
      </c>
      <c r="I4" s="10" t="s">
        <v>146</v>
      </c>
      <c r="J4" s="10" t="s">
        <v>147</v>
      </c>
    </row>
    <row r="5" customFormat="false" ht="15" hidden="false" customHeight="false" outlineLevel="0" collapsed="false">
      <c r="A5" s="3" t="s">
        <v>239</v>
      </c>
      <c r="B5" s="21" t="n">
        <f aca="false">Model_3S!D25</f>
        <v>2418.95333333333</v>
      </c>
      <c r="C5" s="21" t="n">
        <f aca="false">Model_3S!E25</f>
        <v>2770.57378541667</v>
      </c>
      <c r="D5" s="21" t="n">
        <f aca="false">Model_3S!F25</f>
        <v>3154.53349209375</v>
      </c>
      <c r="E5" s="21" t="n">
        <f aca="false">Model_3S!G25</f>
        <v>3570.39155314639</v>
      </c>
      <c r="F5" s="21" t="n">
        <f aca="false">Model_3S!H25</f>
        <v>4017.01507833997</v>
      </c>
      <c r="G5" s="21" t="n">
        <f aca="false">Model_3S!I25</f>
        <v>4492.51130513544</v>
      </c>
      <c r="H5" s="21" t="n">
        <f aca="false">Model_3S!J25</f>
        <v>4994.17506754223</v>
      </c>
      <c r="I5" s="21" t="n">
        <f aca="false">Model_3S!K25</f>
        <v>5518.45581655081</v>
      </c>
      <c r="J5" s="21" t="n">
        <f aca="false">Model_3S!L25</f>
        <v>6060.94808326258</v>
      </c>
    </row>
    <row r="6" customFormat="false" ht="15" hidden="false" customHeight="false" outlineLevel="0" collapsed="false">
      <c r="A6" s="3" t="s">
        <v>240</v>
      </c>
      <c r="B6" s="21" t="n">
        <f aca="false">-MAX(0,B5)*Model_3S!D13</f>
        <v>-489.166118518518</v>
      </c>
      <c r="C6" s="21" t="n">
        <f aca="false">-MAX(0,C5)*Model_3S!E13</f>
        <v>-566.428418351852</v>
      </c>
      <c r="D6" s="21" t="n">
        <f aca="false">-MAX(0,D5)*Model_3S!F13</f>
        <v>-651.936921699375</v>
      </c>
      <c r="E6" s="21" t="n">
        <f aca="false">-MAX(0,E5)*Model_3S!G13</f>
        <v>-745.815124435023</v>
      </c>
      <c r="F6" s="21" t="n">
        <f aca="false">-MAX(0,F5)*Model_3S!H13</f>
        <v>-848.036516538438</v>
      </c>
      <c r="G6" s="21" t="n">
        <f aca="false">-MAX(0,G5)*Model_3S!I13</f>
        <v>-958.402411762227</v>
      </c>
      <c r="H6" s="21" t="n">
        <f aca="false">-MAX(0,H5)*Model_3S!J13</f>
        <v>-1076.52218122577</v>
      </c>
      <c r="I6" s="21" t="n">
        <f aca="false">-MAX(0,I5)*Model_3S!K13</f>
        <v>-1201.79704449329</v>
      </c>
      <c r="J6" s="21" t="n">
        <f aca="false">-MAX(0,J5)*Model_3S!L13</f>
        <v>-1333.40857831777</v>
      </c>
    </row>
    <row r="7" customFormat="false" ht="15" hidden="false" customHeight="false" outlineLevel="0" collapsed="false">
      <c r="A7" s="3" t="s">
        <v>196</v>
      </c>
      <c r="B7" s="21" t="n">
        <f aca="false">-Model_3S!D24</f>
        <v>209.3325</v>
      </c>
      <c r="C7" s="21" t="n">
        <f aca="false">-Model_3S!E24</f>
        <v>235.237396875</v>
      </c>
      <c r="D7" s="21" t="n">
        <f aca="false">-Model_3S!F24</f>
        <v>262.877791007812</v>
      </c>
      <c r="E7" s="21" t="n">
        <f aca="false">-Model_3S!G24</f>
        <v>292.122945257432</v>
      </c>
      <c r="F7" s="21" t="n">
        <f aca="false">-Model_3S!H24</f>
        <v>322.795854509462</v>
      </c>
      <c r="G7" s="21" t="n">
        <f aca="false">-Model_3S!I24</f>
        <v>354.671945142271</v>
      </c>
      <c r="H7" s="21" t="n">
        <f aca="false">-Model_3S!J24</f>
        <v>387.479100067931</v>
      </c>
      <c r="I7" s="21" t="n">
        <f aca="false">-Model_3S!K24</f>
        <v>420.89917244879</v>
      </c>
      <c r="J7" s="21" t="n">
        <f aca="false">-Model_3S!L24</f>
        <v>454.571106244694</v>
      </c>
    </row>
    <row r="8" customFormat="false" ht="15" hidden="false" customHeight="false" outlineLevel="0" collapsed="false">
      <c r="A8" s="3" t="s">
        <v>241</v>
      </c>
      <c r="B8" s="21" t="n">
        <f aca="false">-Model_3S!D44</f>
        <v>-205.455972222222</v>
      </c>
      <c r="C8" s="21" t="n">
        <f aca="false">-Model_3S!E44</f>
        <v>-226.524900694444</v>
      </c>
      <c r="D8" s="21" t="n">
        <f aca="false">-Model_3S!F44</f>
        <v>-248.273469285156</v>
      </c>
      <c r="E8" s="21" t="n">
        <f aca="false">-Model_3S!G44</f>
        <v>-270.484208571696</v>
      </c>
      <c r="F8" s="21" t="n">
        <f aca="false">-Model_3S!H44</f>
        <v>-292.90734946229</v>
      </c>
      <c r="G8" s="21" t="n">
        <f aca="false">-Model_3S!I44</f>
        <v>-315.263951237575</v>
      </c>
      <c r="H8" s="21" t="n">
        <f aca="false">-Model_3S!J44</f>
        <v>-337.250327836903</v>
      </c>
      <c r="I8" s="21" t="n">
        <f aca="false">-Model_3S!K44</f>
        <v>-358.543739493414</v>
      </c>
      <c r="J8" s="21" t="n">
        <f aca="false">-Model_3S!L44</f>
        <v>-378.809255203911</v>
      </c>
    </row>
    <row r="9" customFormat="false" ht="15" hidden="false" customHeight="false" outlineLevel="0" collapsed="false">
      <c r="A9" s="3" t="s">
        <v>242</v>
      </c>
      <c r="B9" s="21" t="n">
        <f aca="false">Model_3S!D41</f>
        <v>-78.7232610350075</v>
      </c>
      <c r="C9" s="21" t="n">
        <f aca="false">Model_3S!E41</f>
        <v>-84.206016043569</v>
      </c>
      <c r="D9" s="21" t="n">
        <f aca="false">Model_3S!F41</f>
        <v>-89.3260605837734</v>
      </c>
      <c r="E9" s="21" t="n">
        <f aca="false">Model_3S!G41</f>
        <v>-93.9419660489834</v>
      </c>
      <c r="F9" s="21" t="n">
        <f aca="false">Model_3S!H41</f>
        <v>-97.9071319240657</v>
      </c>
      <c r="G9" s="21" t="n">
        <f aca="false">Model_3S!I41</f>
        <v>-101.073711859077</v>
      </c>
      <c r="H9" s="21" t="n">
        <f aca="false">Model_3S!J41</f>
        <v>-103.297079365327</v>
      </c>
      <c r="I9" s="21" t="n">
        <f aca="false">Model_3S!K41</f>
        <v>-104.440705758987</v>
      </c>
      <c r="J9" s="21" t="n">
        <f aca="false">Model_3S!L41</f>
        <v>-104.381286399274</v>
      </c>
    </row>
    <row r="10" customFormat="false" ht="15" hidden="false" customHeight="false" outlineLevel="0" collapsed="false">
      <c r="A10" s="7" t="s">
        <v>243</v>
      </c>
      <c r="B10" s="23" t="n">
        <f aca="false">SUM(B5:B9)</f>
        <v>1854.94048155758</v>
      </c>
      <c r="C10" s="23" t="n">
        <f aca="false">SUM(C5:C9)</f>
        <v>2128.6518472018</v>
      </c>
      <c r="D10" s="23" t="n">
        <f aca="false">SUM(D5:D9)</f>
        <v>2427.87483153326</v>
      </c>
      <c r="E10" s="23" t="n">
        <f aca="false">SUM(E5:E9)</f>
        <v>2752.27319934812</v>
      </c>
      <c r="F10" s="23" t="n">
        <f aca="false">SUM(F5:F9)</f>
        <v>3100.95993492464</v>
      </c>
      <c r="G10" s="23" t="n">
        <f aca="false">SUM(G5:G9)</f>
        <v>3472.44317541883</v>
      </c>
      <c r="H10" s="23" t="n">
        <f aca="false">SUM(H5:H9)</f>
        <v>3864.58457918216</v>
      </c>
      <c r="I10" s="23" t="n">
        <f aca="false">SUM(I5:I9)</f>
        <v>4274.57349925391</v>
      </c>
      <c r="J10" s="23" t="n">
        <f aca="false">SUM(J5:J9)</f>
        <v>4698.92006958632</v>
      </c>
    </row>
    <row r="11" customFormat="false" ht="15" hidden="false" customHeight="false" outlineLevel="0" collapsed="false">
      <c r="A11" s="3" t="s">
        <v>244</v>
      </c>
      <c r="B11" s="33" t="n">
        <v>0.5</v>
      </c>
      <c r="C11" s="33" t="n">
        <v>1.5</v>
      </c>
      <c r="D11" s="33" t="n">
        <v>2.5</v>
      </c>
      <c r="E11" s="33" t="n">
        <v>3.5</v>
      </c>
      <c r="F11" s="33" t="n">
        <v>4.5</v>
      </c>
      <c r="G11" s="33" t="n">
        <v>5.5</v>
      </c>
      <c r="H11" s="33" t="n">
        <v>6.5</v>
      </c>
      <c r="I11" s="33" t="n">
        <v>7.5</v>
      </c>
      <c r="J11" s="33" t="n">
        <v>8.5</v>
      </c>
    </row>
    <row r="12" customFormat="false" ht="15" hidden="false" customHeight="false" outlineLevel="0" collapsed="false">
      <c r="A12" s="3" t="s">
        <v>245</v>
      </c>
      <c r="B12" s="34" t="n">
        <f aca="false">(1+$B$16)^-B11</f>
        <v>0.954624923524116</v>
      </c>
      <c r="C12" s="34" t="n">
        <f aca="false">(1+$B$16)^-C11</f>
        <v>0.869958040633449</v>
      </c>
      <c r="D12" s="34" t="n">
        <f aca="false">(1+$B$16)^-D11</f>
        <v>0.792800369876024</v>
      </c>
      <c r="E12" s="34" t="n">
        <f aca="false">(1+$B$16)^-E11</f>
        <v>0.722485909800778</v>
      </c>
      <c r="F12" s="34" t="n">
        <f aca="false">(1+$B$16)^-F11</f>
        <v>0.658407727461435</v>
      </c>
      <c r="G12" s="34" t="n">
        <f aca="false">(1+$B$16)^-G11</f>
        <v>0.600012719556659</v>
      </c>
      <c r="H12" s="34" t="n">
        <f aca="false">(1+$B$16)^-H11</f>
        <v>0.546796838211266</v>
      </c>
      <c r="I12" s="34" t="n">
        <f aca="false">(1+$B$16)^-I11</f>
        <v>0.498300740188898</v>
      </c>
      <c r="J12" s="34" t="n">
        <f aca="false">(1+$B$16)^-J11</f>
        <v>0.454105821981485</v>
      </c>
    </row>
    <row r="13" customFormat="false" ht="15" hidden="false" customHeight="false" outlineLevel="0" collapsed="false">
      <c r="A13" s="3" t="s">
        <v>246</v>
      </c>
      <c r="B13" s="24" t="n">
        <f aca="false">B10*B12</f>
        <v>1770.7724153487</v>
      </c>
      <c r="C13" s="24" t="n">
        <f aca="false">C10*C12</f>
        <v>1851.83779018245</v>
      </c>
      <c r="D13" s="24" t="n">
        <f aca="false">D10*D12</f>
        <v>1924.82006445225</v>
      </c>
      <c r="E13" s="24" t="n">
        <f aca="false">E10*E12</f>
        <v>1988.47860645132</v>
      </c>
      <c r="F13" s="24" t="n">
        <f aca="false">F10*F12</f>
        <v>2041.69598370269</v>
      </c>
      <c r="G13" s="24" t="n">
        <f aca="false">G10*G12</f>
        <v>2083.51007318901</v>
      </c>
      <c r="H13" s="24" t="n">
        <f aca="false">H10*H12</f>
        <v>2113.14262889682</v>
      </c>
      <c r="I13" s="24" t="n">
        <f aca="false">I10*I12</f>
        <v>2130.02313867007</v>
      </c>
      <c r="J13" s="24" t="n">
        <f aca="false">J10*J12</f>
        <v>2133.8069606248</v>
      </c>
    </row>
    <row r="14" customFormat="false" ht="15" hidden="false" customHeight="false" outlineLevel="0" collapsed="false">
      <c r="A14" s="13" t="s">
        <v>247</v>
      </c>
    </row>
    <row r="15" customFormat="false" ht="15" hidden="false" customHeight="false" outlineLevel="0" collapsed="false">
      <c r="A15" s="7" t="s">
        <v>248</v>
      </c>
      <c r="B15" s="23" t="n">
        <f aca="false">SUM(B13:J13)</f>
        <v>18038.0876615181</v>
      </c>
    </row>
    <row r="16" customFormat="false" ht="15" hidden="false" customHeight="false" outlineLevel="0" collapsed="false">
      <c r="A16" s="7" t="s">
        <v>9</v>
      </c>
      <c r="B16" s="35" t="n">
        <f aca="false">WACC!B20</f>
        <v>0.09732295</v>
      </c>
    </row>
    <row r="18" customFormat="false" ht="15" hidden="false" customHeight="false" outlineLevel="0" collapsed="false">
      <c r="A18" s="5" t="s">
        <v>249</v>
      </c>
    </row>
    <row r="19" customFormat="false" ht="15" hidden="false" customHeight="false" outlineLevel="0" collapsed="false">
      <c r="A19" s="3" t="s">
        <v>250</v>
      </c>
      <c r="B19" s="20" t="n">
        <f aca="false">Assumptions!B47</f>
        <v>0.035</v>
      </c>
    </row>
    <row r="20" customFormat="false" ht="15" hidden="false" customHeight="false" outlineLevel="0" collapsed="false">
      <c r="A20" s="3" t="s">
        <v>251</v>
      </c>
      <c r="B20" s="24" t="n">
        <f aca="false">J10*(1+B19)/(B16-B19)</f>
        <v>78035.1743943739</v>
      </c>
    </row>
    <row r="21" customFormat="false" ht="15" hidden="false" customHeight="false" outlineLevel="0" collapsed="false">
      <c r="A21" s="3" t="s">
        <v>252</v>
      </c>
      <c r="B21" s="24" t="n">
        <f aca="false">B20/(1+B16)^9</f>
        <v>33828.3055011474</v>
      </c>
    </row>
    <row r="22" customFormat="false" ht="15" hidden="false" customHeight="false" outlineLevel="0" collapsed="false">
      <c r="A22" s="25" t="s">
        <v>253</v>
      </c>
      <c r="B22" s="36" t="n">
        <f aca="false">B20/Model_3S!L22</f>
        <v>10.3000617490679</v>
      </c>
    </row>
    <row r="24" customFormat="false" ht="15" hidden="false" customHeight="false" outlineLevel="0" collapsed="false">
      <c r="A24" s="5" t="s">
        <v>254</v>
      </c>
    </row>
    <row r="25" customFormat="false" ht="15" hidden="false" customHeight="false" outlineLevel="0" collapsed="false">
      <c r="A25" s="3" t="s">
        <v>255</v>
      </c>
      <c r="B25" s="37" t="n">
        <f aca="false">Assumptions!B48</f>
        <v>20</v>
      </c>
    </row>
    <row r="26" customFormat="false" ht="15" hidden="false" customHeight="false" outlineLevel="0" collapsed="false">
      <c r="A26" s="3" t="s">
        <v>251</v>
      </c>
      <c r="B26" s="24" t="n">
        <f aca="false">B25*Model_3S!L22</f>
        <v>151523.702081565</v>
      </c>
    </row>
    <row r="27" customFormat="false" ht="15" hidden="false" customHeight="false" outlineLevel="0" collapsed="false">
      <c r="A27" s="3" t="s">
        <v>256</v>
      </c>
      <c r="B27" s="24" t="n">
        <f aca="false">B26/(1+B16)^9</f>
        <v>65685.6363103042</v>
      </c>
    </row>
    <row r="28" customFormat="false" ht="15" hidden="false" customHeight="false" outlineLevel="0" collapsed="false">
      <c r="A28" s="25" t="s">
        <v>257</v>
      </c>
      <c r="B28" s="27" t="n">
        <f aca="false">(B16*B26-J10)/(B26+J10)</f>
        <v>0.0643172766757881</v>
      </c>
    </row>
    <row r="30" customFormat="false" ht="15" hidden="false" customHeight="false" outlineLevel="0" collapsed="false">
      <c r="A30" s="5" t="s">
        <v>258</v>
      </c>
    </row>
    <row r="31" customFormat="false" ht="15" hidden="false" customHeight="false" outlineLevel="0" collapsed="false">
      <c r="A31" s="3" t="s">
        <v>259</v>
      </c>
      <c r="B31" s="21" t="n">
        <f aca="false">Model_3S!C55-Model_3S!C70</f>
        <v>1707.96179452055</v>
      </c>
    </row>
    <row r="32" customFormat="false" ht="15" hidden="false" customHeight="false" outlineLevel="0" collapsed="false">
      <c r="A32" s="3" t="s">
        <v>260</v>
      </c>
      <c r="B32" s="38" t="n">
        <f aca="false">Assumptions!B37</f>
        <v>275.8</v>
      </c>
    </row>
    <row r="33" customFormat="false" ht="15" hidden="false" customHeight="false" outlineLevel="0" collapsed="false">
      <c r="A33" s="10"/>
      <c r="B33" s="10" t="s">
        <v>261</v>
      </c>
      <c r="C33" s="10" t="s">
        <v>262</v>
      </c>
      <c r="D33" s="10" t="s">
        <v>263</v>
      </c>
    </row>
    <row r="34" customFormat="false" ht="15" hidden="false" customHeight="false" outlineLevel="0" collapsed="false">
      <c r="A34" s="3" t="s">
        <v>264</v>
      </c>
      <c r="B34" s="24" t="n">
        <f aca="false">B15+B21</f>
        <v>51866.3931626655</v>
      </c>
      <c r="C34" s="24" t="n">
        <f aca="false">B15+B27</f>
        <v>83723.7239718223</v>
      </c>
      <c r="D34" s="24" t="n">
        <f aca="false">AVERAGE(B34:C34)</f>
        <v>67795.0585672439</v>
      </c>
    </row>
    <row r="35" customFormat="false" ht="15" hidden="false" customHeight="false" outlineLevel="0" collapsed="false">
      <c r="A35" s="3" t="s">
        <v>265</v>
      </c>
      <c r="B35" s="24" t="n">
        <f aca="false">-$B$31</f>
        <v>-1707.96179452055</v>
      </c>
      <c r="C35" s="24" t="n">
        <f aca="false">-$B$31</f>
        <v>-1707.96179452055</v>
      </c>
      <c r="D35" s="24" t="n">
        <f aca="false">-$B$31</f>
        <v>-1707.96179452055</v>
      </c>
    </row>
    <row r="36" customFormat="false" ht="15" hidden="false" customHeight="false" outlineLevel="0" collapsed="false">
      <c r="A36" s="7" t="s">
        <v>266</v>
      </c>
      <c r="B36" s="23" t="n">
        <f aca="false">B34+B35</f>
        <v>50158.4313681449</v>
      </c>
      <c r="C36" s="23" t="n">
        <f aca="false">C34+C35</f>
        <v>82015.7621773017</v>
      </c>
      <c r="D36" s="23" t="n">
        <f aca="false">D34+D35</f>
        <v>66087.0967727233</v>
      </c>
    </row>
    <row r="37" customFormat="false" ht="15" hidden="false" customHeight="false" outlineLevel="0" collapsed="false">
      <c r="A37" s="7" t="s">
        <v>267</v>
      </c>
      <c r="B37" s="39" t="n">
        <f aca="false">B36/$B$32</f>
        <v>181.865233387037</v>
      </c>
      <c r="C37" s="39" t="n">
        <f aca="false">C36/$B$32</f>
        <v>297.374047053306</v>
      </c>
      <c r="D37" s="39" t="n">
        <f aca="false">D36/$B$32</f>
        <v>239.619640220172</v>
      </c>
    </row>
    <row r="38" customFormat="false" ht="15" hidden="false" customHeight="false" outlineLevel="0" collapsed="false">
      <c r="A38" s="25" t="s">
        <v>268</v>
      </c>
      <c r="B38" s="27" t="n">
        <f aca="false">B37/Assumptions!$B$49-1</f>
        <v>-0.449060183620002</v>
      </c>
      <c r="C38" s="27" t="n">
        <f aca="false">C37/Assumptions!$B$49-1</f>
        <v>-0.0991395121075259</v>
      </c>
      <c r="D38" s="27" t="n">
        <f aca="false">D37/Assumptions!$B$49-1</f>
        <v>-0.274099847863764</v>
      </c>
    </row>
    <row r="42" customFormat="false" ht="15" hidden="false" customHeight="false" outlineLevel="0" collapsed="false">
      <c r="A42" s="5" t="s">
        <v>269</v>
      </c>
    </row>
    <row r="43" customFormat="false" ht="15" hidden="false" customHeight="false" outlineLevel="0" collapsed="false">
      <c r="B43" s="40" t="s">
        <v>270</v>
      </c>
      <c r="C43" s="41" t="n">
        <v>0.025</v>
      </c>
      <c r="D43" s="41" t="n">
        <v>0.03</v>
      </c>
      <c r="E43" s="41" t="n">
        <v>0.035</v>
      </c>
      <c r="F43" s="41" t="n">
        <v>0.04</v>
      </c>
      <c r="G43" s="41" t="n">
        <v>0.045</v>
      </c>
    </row>
    <row r="44" customFormat="false" ht="15" hidden="false" customHeight="false" outlineLevel="0" collapsed="false">
      <c r="B44" s="42" t="n">
        <v>0.0875</v>
      </c>
      <c r="C44" s="43" t="n">
        <f aca="false">(SUMPRODUCT($B$10:$J$10,(1+$B$44)^-($B$11:$J$11))+$J$10*(1+C$43)/($B$44-C$43)/(1+$B$44)^9-$B$31)/$B$32</f>
        <v>193.358671014545</v>
      </c>
      <c r="D44" s="43" t="n">
        <f aca="false">(SUMPRODUCT($B$10:$J$10,(1+$B$44)^-($B$11:$J$11))+$J$10*(1+D$43)/($B$44-D$43)/(1+$B$44)^9-$B$31)/$B$32</f>
        <v>205.47557908666</v>
      </c>
      <c r="E44" s="43" t="n">
        <f aca="false">(SUMPRODUCT($B$10:$J$10,(1+$B$44)^-($B$11:$J$11))+$J$10*(1+E$43)/($B$44-E$43)/(1+$B$44)^9-$B$31)/$B$32</f>
        <v>219.900469648702</v>
      </c>
      <c r="F44" s="43" t="n">
        <f aca="false">(SUMPRODUCT($B$10:$J$10,(1+$B$44)^-($B$11:$J$11))+$J$10*(1+F$43)/($B$44-F$43)/(1+$B$44)^9-$B$31)/$B$32</f>
        <v>237.362179276437</v>
      </c>
      <c r="G44" s="43" t="n">
        <f aca="false">(SUMPRODUCT($B$10:$J$10,(1+$B$44)^-($B$11:$J$11))+$J$10*(1+G$43)/($B$44-G$43)/(1+$B$44)^9-$B$31)/$B$32</f>
        <v>258.932526463639</v>
      </c>
    </row>
    <row r="45" customFormat="false" ht="15" hidden="false" customHeight="false" outlineLevel="0" collapsed="false">
      <c r="B45" s="42" t="n">
        <v>0.0925</v>
      </c>
      <c r="C45" s="43" t="n">
        <f aca="false">(SUMPRODUCT($B$10:$J$10,(1+$B$45)^-($B$11:$J$11))+$J$10*(1+C$43)/($B$45-C$43)/(1+$B$45)^9-$B$31)/$B$32</f>
        <v>177.257824348447</v>
      </c>
      <c r="D45" s="43" t="n">
        <f aca="false">(SUMPRODUCT($B$10:$J$10,(1+$B$45)^-($B$11:$J$11))+$J$10*(1+D$43)/($B$45-D$43)/(1+$B$45)^9-$B$31)/$B$32</f>
        <v>187.20771813508</v>
      </c>
      <c r="E45" s="43" t="n">
        <f aca="false">(SUMPRODUCT($B$10:$J$10,(1+$B$45)^-($B$11:$J$11))+$J$10*(1+E$43)/($B$45-E$43)/(1+$B$45)^9-$B$31)/$B$32</f>
        <v>198.888028232433</v>
      </c>
      <c r="F45" s="43" t="n">
        <f aca="false">(SUMPRODUCT($B$10:$J$10,(1+$B$45)^-($B$11:$J$11))+$J$10*(1+F$43)/($B$45-F$43)/(1+$B$45)^9-$B$31)/$B$32</f>
        <v>212.793159300709</v>
      </c>
      <c r="G45" s="43" t="n">
        <f aca="false">(SUMPRODUCT($B$10:$J$10,(1+$B$45)^-($B$11:$J$11))+$J$10*(1+G$43)/($B$45-G$43)/(1+$B$45)^9-$B$31)/$B$32</f>
        <v>229.625686383359</v>
      </c>
    </row>
    <row r="46" customFormat="false" ht="15" hidden="false" customHeight="false" outlineLevel="0" collapsed="false">
      <c r="B46" s="42" t="n">
        <v>0.097</v>
      </c>
      <c r="C46" s="43" t="n">
        <f aca="false">(SUMPRODUCT($B$10:$J$10,(1+$B$46)^-($B$11:$J$11))+$J$10*(1+C$43)/($B$46-C$43)/(1+$B$46)^9-$B$31)/$B$32</f>
        <v>164.722718804388</v>
      </c>
      <c r="D46" s="43" t="n">
        <f aca="false">(SUMPRODUCT($B$10:$J$10,(1+$B$46)^-($B$11:$J$11))+$J$10*(1+D$43)/($B$46-D$43)/(1+$B$46)^9-$B$31)/$B$32</f>
        <v>173.14274573091</v>
      </c>
      <c r="E46" s="43" t="n">
        <f aca="false">(SUMPRODUCT($B$10:$J$10,(1+$B$46)^-($B$11:$J$11))+$J$10*(1+E$43)/($B$46-E$43)/(1+$B$46)^9-$B$31)/$B$32</f>
        <v>182.920841516547</v>
      </c>
      <c r="F46" s="43" t="n">
        <f aca="false">(SUMPRODUCT($B$10:$J$10,(1+$B$46)^-($B$11:$J$11))+$J$10*(1+F$43)/($B$46-F$43)/(1+$B$46)^9-$B$31)/$B$32</f>
        <v>194.414392703174</v>
      </c>
      <c r="G46" s="43" t="n">
        <f aca="false">(SUMPRODUCT($B$10:$J$10,(1+$B$46)^-($B$11:$J$11))+$J$10*(1+G$43)/($B$46-G$43)/(1+$B$46)^9-$B$31)/$B$32</f>
        <v>208.118242194921</v>
      </c>
    </row>
    <row r="47" customFormat="false" ht="15" hidden="false" customHeight="false" outlineLevel="0" collapsed="false">
      <c r="B47" s="42" t="n">
        <v>0.1025</v>
      </c>
      <c r="C47" s="43" t="n">
        <f aca="false">(SUMPRODUCT($B$10:$J$10,(1+$B$47)^-($B$11:$J$11))+$J$10*(1+C$43)/($B$47-C$43)/(1+$B$47)^9-$B$31)/$B$32</f>
        <v>151.428663786306</v>
      </c>
      <c r="D47" s="43" t="n">
        <f aca="false">(SUMPRODUCT($B$10:$J$10,(1+$B$47)^-($B$11:$J$11))+$J$10*(1+D$43)/($B$47-D$43)/(1+$B$47)^9-$B$31)/$B$32</f>
        <v>158.374192416681</v>
      </c>
      <c r="E47" s="43" t="n">
        <f aca="false">(SUMPRODUCT($B$10:$J$10,(1+$B$47)^-($B$11:$J$11))+$J$10*(1+E$43)/($B$47-E$43)/(1+$B$47)^9-$B$31)/$B$32</f>
        <v>166.348688251555</v>
      </c>
      <c r="F47" s="43" t="n">
        <f aca="false">(SUMPRODUCT($B$10:$J$10,(1+$B$47)^-($B$11:$J$11))+$J$10*(1+F$43)/($B$47-F$43)/(1+$B$47)^9-$B$31)/$B$32</f>
        <v>175.59910342001</v>
      </c>
      <c r="G47" s="43" t="n">
        <f aca="false">(SUMPRODUCT($B$10:$J$10,(1+$B$47)^-($B$11:$J$11))+$J$10*(1+G$43)/($B$47-G$43)/(1+$B$47)^9-$B$31)/$B$32</f>
        <v>186.458286443847</v>
      </c>
    </row>
    <row r="48" customFormat="false" ht="15" hidden="false" customHeight="false" outlineLevel="0" collapsed="false">
      <c r="B48" s="42" t="n">
        <v>0.1075</v>
      </c>
      <c r="C48" s="43" t="n">
        <f aca="false">(SUMPRODUCT($B$10:$J$10,(1+$B$48)^-($B$11:$J$11))+$J$10*(1+C$43)/($B$48-C$43)/(1+$B$48)^9-$B$31)/$B$32</f>
        <v>140.923868979972</v>
      </c>
      <c r="D48" s="43" t="n">
        <f aca="false">(SUMPRODUCT($B$10:$J$10,(1+$B$48)^-($B$11:$J$11))+$J$10*(1+D$43)/($B$48-D$43)/(1+$B$48)^9-$B$31)/$B$32</f>
        <v>146.810519724522</v>
      </c>
      <c r="E48" s="43" t="n">
        <f aca="false">(SUMPRODUCT($B$10:$J$10,(1+$B$48)^-($B$11:$J$11))+$J$10*(1+E$43)/($B$48-E$43)/(1+$B$48)^9-$B$31)/$B$32</f>
        <v>153.509122295908</v>
      </c>
      <c r="F48" s="43" t="n">
        <f aca="false">(SUMPRODUCT($B$10:$J$10,(1+$B$48)^-($B$11:$J$11))+$J$10*(1+F$43)/($B$48-F$43)/(1+$B$48)^9-$B$31)/$B$32</f>
        <v>161.200110433424</v>
      </c>
      <c r="G48" s="43" t="n">
        <f aca="false">(SUMPRODUCT($B$10:$J$10,(1+$B$48)^-($B$11:$J$11))+$J$10*(1+G$43)/($B$48-G$43)/(1+$B$48)^9-$B$31)/$B$32</f>
        <v>170.121656672944</v>
      </c>
    </row>
    <row r="50" customFormat="false" ht="15" hidden="false" customHeight="false" outlineLevel="0" collapsed="false">
      <c r="A50" s="5" t="s">
        <v>271</v>
      </c>
    </row>
    <row r="51" customFormat="false" ht="15" hidden="false" customHeight="false" outlineLevel="0" collapsed="false">
      <c r="B51" s="40" t="s">
        <v>272</v>
      </c>
      <c r="C51" s="44" t="n">
        <v>15</v>
      </c>
      <c r="D51" s="44" t="n">
        <v>17.5</v>
      </c>
      <c r="E51" s="44" t="n">
        <v>20</v>
      </c>
      <c r="F51" s="44" t="n">
        <v>22.5</v>
      </c>
      <c r="G51" s="44" t="n">
        <v>25</v>
      </c>
    </row>
    <row r="52" customFormat="false" ht="15" hidden="false" customHeight="false" outlineLevel="0" collapsed="false">
      <c r="B52" s="42" t="n">
        <v>0.0875</v>
      </c>
      <c r="C52" s="43" t="n">
        <f aca="false">(SUMPRODUCT($B$10:$J$10,(1+$B$52)^-($B$11:$J$11))+C$51*Model_3S!$L$22/(1+$B$52)^9-$B$31)/$B$32</f>
        <v>255.702265087585</v>
      </c>
      <c r="D52" s="43" t="n">
        <f aca="false">(SUMPRODUCT($B$10:$J$10,(1+$B$52)^-($B$11:$J$11))+D$51*Model_3S!$L$22/(1+$B$52)^9-$B$31)/$B$32</f>
        <v>287.982221019308</v>
      </c>
      <c r="E52" s="43" t="n">
        <f aca="false">(SUMPRODUCT($B$10:$J$10,(1+$B$52)^-($B$11:$J$11))+E$51*Model_3S!$L$22/(1+$B$52)^9-$B$31)/$B$32</f>
        <v>320.26217695103</v>
      </c>
      <c r="F52" s="43" t="n">
        <f aca="false">(SUMPRODUCT($B$10:$J$10,(1+$B$52)^-($B$11:$J$11))+F$51*Model_3S!$L$22/(1+$B$52)^9-$B$31)/$B$32</f>
        <v>352.542132882752</v>
      </c>
      <c r="G52" s="43" t="n">
        <f aca="false">(SUMPRODUCT($B$10:$J$10,(1+$B$52)^-($B$11:$J$11))+G$51*Model_3S!$L$22/(1+$B$52)^9-$B$31)/$B$32</f>
        <v>384.822088814475</v>
      </c>
    </row>
    <row r="53" customFormat="false" ht="15" hidden="false" customHeight="false" outlineLevel="0" collapsed="false">
      <c r="B53" s="42" t="n">
        <v>0.0925</v>
      </c>
      <c r="C53" s="43" t="n">
        <f aca="false">(SUMPRODUCT($B$10:$J$10,(1+$B$53)^-($B$11:$J$11))+C$51*Model_3S!$L$22/(1+$B$53)^9-$B$31)/$B$32</f>
        <v>246.415142230757</v>
      </c>
      <c r="D53" s="43" t="n">
        <f aca="false">(SUMPRODUCT($B$10:$J$10,(1+$B$53)^-($B$11:$J$11))+D$51*Model_3S!$L$22/(1+$B$53)^9-$B$31)/$B$32</f>
        <v>277.38957151034</v>
      </c>
      <c r="E53" s="43" t="n">
        <f aca="false">(SUMPRODUCT($B$10:$J$10,(1+$B$53)^-($B$11:$J$11))+E$51*Model_3S!$L$22/(1+$B$53)^9-$B$31)/$B$32</f>
        <v>308.364000789923</v>
      </c>
      <c r="F53" s="43" t="n">
        <f aca="false">(SUMPRODUCT($B$10:$J$10,(1+$B$53)^-($B$11:$J$11))+F$51*Model_3S!$L$22/(1+$B$53)^9-$B$31)/$B$32</f>
        <v>339.338430069505</v>
      </c>
      <c r="G53" s="43" t="n">
        <f aca="false">(SUMPRODUCT($B$10:$J$10,(1+$B$53)^-($B$11:$J$11))+G$51*Model_3S!$L$22/(1+$B$53)^9-$B$31)/$B$32</f>
        <v>370.312859349088</v>
      </c>
    </row>
    <row r="54" customFormat="false" ht="15" hidden="false" customHeight="false" outlineLevel="0" collapsed="false">
      <c r="B54" s="42" t="n">
        <v>0.097</v>
      </c>
      <c r="C54" s="43" t="n">
        <f aca="false">(SUMPRODUCT($B$10:$J$10,(1+$B$54)^-($B$11:$J$11))+C$51*Model_3S!$L$22/(1+$B$54)^9-$B$31)/$B$32</f>
        <v>238.396524565379</v>
      </c>
      <c r="D54" s="43" t="n">
        <f aca="false">(SUMPRODUCT($B$10:$J$10,(1+$B$54)^-($B$11:$J$11))+D$51*Model_3S!$L$22/(1+$B$54)^9-$B$31)/$B$32</f>
        <v>268.24599809251</v>
      </c>
      <c r="E54" s="43" t="n">
        <f aca="false">(SUMPRODUCT($B$10:$J$10,(1+$B$54)^-($B$11:$J$11))+E$51*Model_3S!$L$22/(1+$B$54)^9-$B$31)/$B$32</f>
        <v>298.095471619641</v>
      </c>
      <c r="F54" s="43" t="n">
        <f aca="false">(SUMPRODUCT($B$10:$J$10,(1+$B$54)^-($B$11:$J$11))+F$51*Model_3S!$L$22/(1+$B$54)^9-$B$31)/$B$32</f>
        <v>327.944945146771</v>
      </c>
      <c r="G54" s="43" t="n">
        <f aca="false">(SUMPRODUCT($B$10:$J$10,(1+$B$54)^-($B$11:$J$11))+G$51*Model_3S!$L$22/(1+$B$54)^9-$B$31)/$B$32</f>
        <v>357.794418673902</v>
      </c>
    </row>
    <row r="55" customFormat="false" ht="15" hidden="false" customHeight="false" outlineLevel="0" collapsed="false">
      <c r="B55" s="42" t="n">
        <v>0.1025</v>
      </c>
      <c r="C55" s="43" t="n">
        <f aca="false">(SUMPRODUCT($B$10:$J$10,(1+$B$55)^-($B$11:$J$11))+C$51*Model_3S!$L$22/(1+$B$55)^9-$B$31)/$B$32</f>
        <v>229.012259639866</v>
      </c>
      <c r="D55" s="43" t="n">
        <f aca="false">(SUMPRODUCT($B$10:$J$10,(1+$B$55)^-($B$11:$J$11))+D$51*Model_3S!$L$22/(1+$B$55)^9-$B$31)/$B$32</f>
        <v>257.547986578262</v>
      </c>
      <c r="E55" s="43" t="n">
        <f aca="false">(SUMPRODUCT($B$10:$J$10,(1+$B$55)^-($B$11:$J$11))+E$51*Model_3S!$L$22/(1+$B$55)^9-$B$31)/$B$32</f>
        <v>286.083713516658</v>
      </c>
      <c r="F55" s="43" t="n">
        <f aca="false">(SUMPRODUCT($B$10:$J$10,(1+$B$55)^-($B$11:$J$11))+F$51*Model_3S!$L$22/(1+$B$55)^9-$B$31)/$B$32</f>
        <v>314.619440455054</v>
      </c>
      <c r="G55" s="43" t="n">
        <f aca="false">(SUMPRODUCT($B$10:$J$10,(1+$B$55)^-($B$11:$J$11))+G$51*Model_3S!$L$22/(1+$B$55)^9-$B$31)/$B$32</f>
        <v>343.15516739345</v>
      </c>
    </row>
    <row r="56" customFormat="false" ht="15" hidden="false" customHeight="false" outlineLevel="0" collapsed="false">
      <c r="B56" s="42" t="n">
        <v>0.1075</v>
      </c>
      <c r="C56" s="43" t="n">
        <f aca="false">(SUMPRODUCT($B$10:$J$10,(1+$B$56)^-($B$11:$J$11))+C$51*Model_3S!$L$22/(1+$B$56)^9-$B$31)/$B$32</f>
        <v>220.859557958675</v>
      </c>
      <c r="D56" s="43" t="n">
        <f aca="false">(SUMPRODUCT($B$10:$J$10,(1+$B$56)^-($B$11:$J$11))+D$51*Model_3S!$L$22/(1+$B$56)^9-$B$31)/$B$32</f>
        <v>248.256539034366</v>
      </c>
      <c r="E56" s="43" t="n">
        <f aca="false">(SUMPRODUCT($B$10:$J$10,(1+$B$56)^-($B$11:$J$11))+E$51*Model_3S!$L$22/(1+$B$56)^9-$B$31)/$B$32</f>
        <v>275.653520110057</v>
      </c>
      <c r="F56" s="43" t="n">
        <f aca="false">(SUMPRODUCT($B$10:$J$10,(1+$B$56)^-($B$11:$J$11))+F$51*Model_3S!$L$22/(1+$B$56)^9-$B$31)/$B$32</f>
        <v>303.050501185747</v>
      </c>
      <c r="G56" s="43" t="n">
        <f aca="false">(SUMPRODUCT($B$10:$J$10,(1+$B$56)^-($B$11:$J$11))+G$51*Model_3S!$L$22/(1+$B$56)^9-$B$31)/$B$32</f>
        <v>330.447482261438</v>
      </c>
    </row>
    <row r="58" customFormat="false" ht="15" hidden="false" customHeight="false" outlineLevel="0" collapsed="false">
      <c r="A58" s="5" t="s">
        <v>273</v>
      </c>
    </row>
    <row r="59" customFormat="false" ht="15" hidden="false" customHeight="false" outlineLevel="0" collapsed="false">
      <c r="A59" s="13" t="s">
        <v>274</v>
      </c>
    </row>
    <row r="60" customFormat="false" ht="15" hidden="false" customHeight="false" outlineLevel="0" collapsed="false">
      <c r="B60" s="40" t="s">
        <v>275</v>
      </c>
      <c r="C60" s="41" t="n">
        <v>0.42</v>
      </c>
      <c r="D60" s="41" t="n">
        <v>0.46</v>
      </c>
      <c r="E60" s="41" t="n">
        <v>0.5</v>
      </c>
      <c r="F60" s="41" t="n">
        <v>0.525</v>
      </c>
      <c r="G60" s="41" t="n">
        <v>0.545</v>
      </c>
    </row>
    <row r="61" customFormat="false" ht="15" hidden="false" customHeight="false" outlineLevel="0" collapsed="false">
      <c r="B61" s="41" t="n">
        <v>0.07</v>
      </c>
      <c r="C61" s="43" t="n">
        <f aca="false">($B$15*(Model_3S!$C$18*(1+($B$61+Assumptions!$E$13)/2)^9*C$60)/Model_3S!$L$22+$B$25*(Model_3S!$C$18*(1+($B$61+Assumptions!$E$13)/2)^9*C$60)/(1+$B$16)^9-$B$31)/$B$32</f>
        <v>193.042472140801</v>
      </c>
      <c r="D61" s="43" t="n">
        <f aca="false">($B$15*(Model_3S!$C$18*(1+($B$61+Assumptions!$E$13)/2)^9*D$60)/Model_3S!$L$22+$B$25*(Model_3S!$C$18*(1+($B$61+Assumptions!$E$13)/2)^9*D$60)/(1+$B$16)^9-$B$31)/$B$32</f>
        <v>212.017255666114</v>
      </c>
      <c r="E61" s="43" t="n">
        <f aca="false">($B$15*(Model_3S!$C$18*(1+($B$61+Assumptions!$E$13)/2)^9*E$60)/Model_3S!$L$22+$B$25*(Model_3S!$C$18*(1+($B$61+Assumptions!$E$13)/2)^9*E$60)/(1+$B$16)^9-$B$31)/$B$32</f>
        <v>230.992039191427</v>
      </c>
      <c r="F61" s="43" t="n">
        <f aca="false">($B$15*(Model_3S!$C$18*(1+($B$61+Assumptions!$E$13)/2)^9*F$60)/Model_3S!$L$22+$B$25*(Model_3S!$C$18*(1+($B$61+Assumptions!$E$13)/2)^9*F$60)/(1+$B$16)^9-$B$31)/$B$32</f>
        <v>242.851278894748</v>
      </c>
      <c r="G61" s="43" t="n">
        <f aca="false">($B$15*(Model_3S!$C$18*(1+($B$61+Assumptions!$E$13)/2)^9*G$60)/Model_3S!$L$22+$B$25*(Model_3S!$C$18*(1+($B$61+Assumptions!$E$13)/2)^9*G$60)/(1+$B$16)^9-$B$31)/$B$32</f>
        <v>252.338670657404</v>
      </c>
    </row>
    <row r="62" customFormat="false" ht="15" hidden="false" customHeight="false" outlineLevel="0" collapsed="false">
      <c r="B62" s="41" t="n">
        <v>0.1</v>
      </c>
      <c r="C62" s="43" t="n">
        <f aca="false">($B$15*(Model_3S!$C$18*(1+($B$62+Assumptions!$E$13)/2)^9*C$60)/Model_3S!$L$22+$B$25*(Model_3S!$C$18*(1+($B$62+Assumptions!$E$13)/2)^9*C$60)/(1+$B$16)^9-$B$31)/$B$32</f>
        <v>219.505620112033</v>
      </c>
      <c r="D62" s="43" t="n">
        <f aca="false">($B$15*(Model_3S!$C$18*(1+($B$62+Assumptions!$E$13)/2)^9*D$60)/Model_3S!$L$22+$B$25*(Model_3S!$C$18*(1+($B$62+Assumptions!$E$13)/2)^9*D$60)/(1+$B$16)^9-$B$31)/$B$32</f>
        <v>241.00070344413</v>
      </c>
      <c r="E62" s="43" t="n">
        <f aca="false">($B$15*(Model_3S!$C$18*(1+($B$62+Assumptions!$E$13)/2)^9*E$60)/Model_3S!$L$22+$B$25*(Model_3S!$C$18*(1+($B$62+Assumptions!$E$13)/2)^9*E$60)/(1+$B$16)^9-$B$31)/$B$32</f>
        <v>262.495786776227</v>
      </c>
      <c r="F62" s="43" t="n">
        <f aca="false">($B$15*(Model_3S!$C$18*(1+($B$62+Assumptions!$E$13)/2)^9*F$60)/Model_3S!$L$22+$B$25*(Model_3S!$C$18*(1+($B$62+Assumptions!$E$13)/2)^9*F$60)/(1+$B$16)^9-$B$31)/$B$32</f>
        <v>275.930213858787</v>
      </c>
      <c r="G62" s="43" t="n">
        <f aca="false">($B$15*(Model_3S!$C$18*(1+($B$62+Assumptions!$E$13)/2)^9*G$60)/Model_3S!$L$22+$B$25*(Model_3S!$C$18*(1+($B$62+Assumptions!$E$13)/2)^9*G$60)/(1+$B$16)^9-$B$31)/$B$32</f>
        <v>286.677755524836</v>
      </c>
    </row>
    <row r="63" customFormat="false" ht="15" hidden="false" customHeight="false" outlineLevel="0" collapsed="false">
      <c r="B63" s="41" t="n">
        <v>0.13</v>
      </c>
      <c r="C63" s="43" t="n">
        <f aca="false">($B$15*(Model_3S!$C$18*(1+($B$63+Assumptions!$E$13)/2)^9*C$60)/Model_3S!$L$22+$B$25*(Model_3S!$C$18*(1+($B$63+Assumptions!$E$13)/2)^9*C$60)/(1+$B$16)^9-$B$31)/$B$32</f>
        <v>249.048254211995</v>
      </c>
      <c r="D63" s="43" t="n">
        <f aca="false">($B$15*(Model_3S!$C$18*(1+($B$63+Assumptions!$E$13)/2)^9*D$60)/Model_3S!$L$22+$B$25*(Model_3S!$C$18*(1+($B$63+Assumptions!$E$13)/2)^9*D$60)/(1+$B$16)^9-$B$31)/$B$32</f>
        <v>273.356921744089</v>
      </c>
      <c r="E63" s="43" t="n">
        <f aca="false">($B$15*(Model_3S!$C$18*(1+($B$63+Assumptions!$E$13)/2)^9*E$60)/Model_3S!$L$22+$B$25*(Model_3S!$C$18*(1+($B$63+Assumptions!$E$13)/2)^9*E$60)/(1+$B$16)^9-$B$31)/$B$32</f>
        <v>297.665589276182</v>
      </c>
      <c r="F63" s="43" t="n">
        <f aca="false">($B$15*(Model_3S!$C$18*(1+($B$63+Assumptions!$E$13)/2)^9*F$60)/Model_3S!$L$22+$B$25*(Model_3S!$C$18*(1+($B$63+Assumptions!$E$13)/2)^9*F$60)/(1+$B$16)^9-$B$31)/$B$32</f>
        <v>312.85850648374</v>
      </c>
      <c r="G63" s="43" t="n">
        <f aca="false">($B$15*(Model_3S!$C$18*(1+($B$63+Assumptions!$E$13)/2)^9*G$60)/Model_3S!$L$22+$B$25*(Model_3S!$C$18*(1+($B$63+Assumptions!$E$13)/2)^9*G$60)/(1+$B$16)^9-$B$31)/$B$32</f>
        <v>325.012840249787</v>
      </c>
    </row>
    <row r="64" customFormat="false" ht="15" hidden="false" customHeight="false" outlineLevel="0" collapsed="false">
      <c r="B64" s="41" t="n">
        <v>0.15</v>
      </c>
      <c r="C64" s="43" t="n">
        <f aca="false">($B$15*(Model_3S!$C$18*(1+($B$64+Assumptions!$E$13)/2)^9*C$60)/Model_3S!$L$22+$B$25*(Model_3S!$C$18*(1+($B$64+Assumptions!$E$13)/2)^9*C$60)/(1+$B$16)^9-$B$31)/$B$32</f>
        <v>270.60576098636</v>
      </c>
      <c r="D64" s="43" t="n">
        <f aca="false">($B$15*(Model_3S!$C$18*(1+($B$64+Assumptions!$E$13)/2)^9*D$60)/Model_3S!$L$22+$B$25*(Model_3S!$C$18*(1+($B$64+Assumptions!$E$13)/2)^9*D$60)/(1+$B$16)^9-$B$31)/$B$32</f>
        <v>296.967524401727</v>
      </c>
      <c r="E64" s="43" t="n">
        <f aca="false">($B$15*(Model_3S!$C$18*(1+($B$64+Assumptions!$E$13)/2)^9*E$60)/Model_3S!$L$22+$B$25*(Model_3S!$C$18*(1+($B$64+Assumptions!$E$13)/2)^9*E$60)/(1+$B$16)^9-$B$31)/$B$32</f>
        <v>323.329287817093</v>
      </c>
      <c r="F64" s="43" t="n">
        <f aca="false">($B$15*(Model_3S!$C$18*(1+($B$64+Assumptions!$E$13)/2)^9*F$60)/Model_3S!$L$22+$B$25*(Model_3S!$C$18*(1+($B$64+Assumptions!$E$13)/2)^9*F$60)/(1+$B$16)^9-$B$31)/$B$32</f>
        <v>339.805389951697</v>
      </c>
      <c r="G64" s="43" t="n">
        <f aca="false">($B$15*(Model_3S!$C$18*(1+($B$64+Assumptions!$E$13)/2)^9*G$60)/Model_3S!$L$22+$B$25*(Model_3S!$C$18*(1+($B$64+Assumptions!$E$13)/2)^9*G$60)/(1+$B$16)^9-$B$31)/$B$32</f>
        <v>352.98627165938</v>
      </c>
    </row>
    <row r="65" customFormat="false" ht="15" hidden="false" customHeight="false" outlineLevel="0" collapsed="false">
      <c r="B65" s="41" t="n">
        <v>0.17</v>
      </c>
      <c r="C65" s="43" t="n">
        <f aca="false">($B$15*(Model_3S!$C$18*(1+($B$65+Assumptions!$E$13)/2)^9*C$60)/Model_3S!$L$22+$B$25*(Model_3S!$C$18*(1+($B$65+Assumptions!$E$13)/2)^9*C$60)/(1+$B$16)^9-$B$31)/$B$32</f>
        <v>293.766767055767</v>
      </c>
      <c r="D65" s="43" t="n">
        <f aca="false">($B$15*(Model_3S!$C$18*(1+($B$65+Assumptions!$E$13)/2)^9*D$60)/Model_3S!$L$22+$B$25*(Model_3S!$C$18*(1+($B$65+Assumptions!$E$13)/2)^9*D$60)/(1+$B$16)^9-$B$31)/$B$32</f>
        <v>322.334340572982</v>
      </c>
      <c r="E65" s="43" t="n">
        <f aca="false">($B$15*(Model_3S!$C$18*(1+($B$65+Assumptions!$E$13)/2)^9*E$60)/Model_3S!$L$22+$B$25*(Model_3S!$C$18*(1+($B$65+Assumptions!$E$13)/2)^9*E$60)/(1+$B$16)^9-$B$31)/$B$32</f>
        <v>350.901914090196</v>
      </c>
      <c r="F65" s="43" t="n">
        <f aca="false">($B$15*(Model_3S!$C$18*(1+($B$65+Assumptions!$E$13)/2)^9*F$60)/Model_3S!$L$22+$B$25*(Model_3S!$C$18*(1+($B$65+Assumptions!$E$13)/2)^9*F$60)/(1+$B$16)^9-$B$31)/$B$32</f>
        <v>368.756647538455</v>
      </c>
      <c r="G65" s="43" t="n">
        <f aca="false">($B$15*(Model_3S!$C$18*(1+($B$65+Assumptions!$E$13)/2)^9*G$60)/Model_3S!$L$22+$B$25*(Model_3S!$C$18*(1+($B$65+Assumptions!$E$13)/2)^9*G$60)/(1+$B$16)^9-$B$31)/$B$32</f>
        <v>383.040434297062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45"/>
  </cols>
  <sheetData>
    <row r="1" customFormat="false" ht="17.35" hidden="false" customHeight="false" outlineLevel="0" collapsed="false">
      <c r="A1" s="1" t="s">
        <v>276</v>
      </c>
    </row>
    <row r="4" customFormat="false" ht="15" hidden="false" customHeight="false" outlineLevel="0" collapsed="false">
      <c r="A4" s="10" t="s">
        <v>277</v>
      </c>
      <c r="B4" s="10" t="s">
        <v>278</v>
      </c>
      <c r="C4" s="10" t="s">
        <v>279</v>
      </c>
      <c r="D4" s="10" t="s">
        <v>280</v>
      </c>
      <c r="E4" s="10" t="s">
        <v>281</v>
      </c>
    </row>
    <row r="5" customFormat="false" ht="15" hidden="false" customHeight="false" outlineLevel="0" collapsed="false">
      <c r="A5" s="3" t="s">
        <v>282</v>
      </c>
      <c r="B5" s="3" t="s">
        <v>283</v>
      </c>
      <c r="C5" s="45" t="n">
        <v>11</v>
      </c>
      <c r="D5" s="45" t="n">
        <v>28</v>
      </c>
      <c r="E5" s="13" t="s">
        <v>284</v>
      </c>
    </row>
    <row r="6" customFormat="false" ht="15" hidden="false" customHeight="false" outlineLevel="0" collapsed="false">
      <c r="A6" s="3" t="s">
        <v>285</v>
      </c>
      <c r="B6" s="3" t="s">
        <v>286</v>
      </c>
      <c r="C6" s="45" t="n">
        <v>7</v>
      </c>
      <c r="D6" s="45" t="n">
        <v>25</v>
      </c>
      <c r="E6" s="13" t="s">
        <v>287</v>
      </c>
    </row>
    <row r="7" customFormat="false" ht="15" hidden="false" customHeight="false" outlineLevel="0" collapsed="false">
      <c r="A7" s="3" t="s">
        <v>288</v>
      </c>
      <c r="B7" s="3" t="s">
        <v>289</v>
      </c>
      <c r="C7" s="45" t="n">
        <v>11.5</v>
      </c>
      <c r="D7" s="45" t="n">
        <v>22</v>
      </c>
      <c r="E7" s="13" t="s">
        <v>290</v>
      </c>
    </row>
    <row r="8" customFormat="false" ht="15" hidden="false" customHeight="false" outlineLevel="0" collapsed="false">
      <c r="A8" s="3" t="s">
        <v>291</v>
      </c>
      <c r="B8" s="3" t="s">
        <v>292</v>
      </c>
      <c r="C8" s="45" t="n">
        <v>9</v>
      </c>
      <c r="D8" s="45" t="n">
        <v>18</v>
      </c>
      <c r="E8" s="13" t="s">
        <v>293</v>
      </c>
    </row>
    <row r="9" customFormat="false" ht="15" hidden="false" customHeight="false" outlineLevel="0" collapsed="false">
      <c r="A9" s="3" t="s">
        <v>294</v>
      </c>
      <c r="B9" s="3" t="s">
        <v>295</v>
      </c>
      <c r="C9" s="46" t="n">
        <f aca="false">(Assumptions!B49*Assumptions!B37+DCF!B31)/Model_3S!C18</f>
        <v>15.0201687116633</v>
      </c>
      <c r="D9" s="46" t="n">
        <f aca="false">(Assumptions!B49*Assumptions!B37+DCF!B31)/Model_3S!C22</f>
        <v>33.0113598058533</v>
      </c>
      <c r="E9" s="13" t="s">
        <v>296</v>
      </c>
    </row>
    <row r="10" customFormat="false" ht="15" hidden="false" customHeight="false" outlineLevel="0" collapsed="false">
      <c r="A10" s="7" t="s">
        <v>297</v>
      </c>
      <c r="C10" s="46" t="n">
        <f aca="false">MEDIAN(C5:C8)</f>
        <v>10</v>
      </c>
      <c r="D10" s="46" t="n">
        <f aca="false">MEDIAN(D5:D8)</f>
        <v>23.5</v>
      </c>
    </row>
    <row r="12" customFormat="false" ht="15" hidden="false" customHeight="false" outlineLevel="0" collapsed="false">
      <c r="A12" s="5" t="s">
        <v>298</v>
      </c>
    </row>
    <row r="13" customFormat="false" ht="15" hidden="false" customHeight="false" outlineLevel="0" collapsed="false">
      <c r="A13" s="10" t="s">
        <v>299</v>
      </c>
      <c r="B13" s="10" t="s">
        <v>300</v>
      </c>
      <c r="C13" s="10" t="s">
        <v>301</v>
      </c>
      <c r="D13" s="10" t="s">
        <v>302</v>
      </c>
      <c r="E13" s="10" t="s">
        <v>303</v>
      </c>
      <c r="F13" s="10" t="s">
        <v>304</v>
      </c>
    </row>
    <row r="14" customFormat="false" ht="15" hidden="false" customHeight="false" outlineLevel="0" collapsed="false">
      <c r="A14" s="3" t="s">
        <v>305</v>
      </c>
      <c r="B14" s="16" t="n">
        <v>25</v>
      </c>
      <c r="C14" s="16" t="n">
        <v>35</v>
      </c>
      <c r="D14" s="21" t="n">
        <f aca="false">Model_3S!C22</f>
        <v>2809.625</v>
      </c>
      <c r="E14" s="39" t="n">
        <f aca="false">(B14*D14-DCF!$B$31)/Assumptions!$B$37</f>
        <v>248.486813652935</v>
      </c>
      <c r="F14" s="39" t="n">
        <f aca="false">(C14*D14-DCF!$B$31)/Assumptions!$B$37</f>
        <v>350.358641064102</v>
      </c>
    </row>
    <row r="15" customFormat="false" ht="15" hidden="false" customHeight="false" outlineLevel="0" collapsed="false">
      <c r="A15" s="3" t="s">
        <v>306</v>
      </c>
      <c r="B15" s="16" t="n">
        <v>35</v>
      </c>
      <c r="C15" s="16" t="n">
        <v>45</v>
      </c>
      <c r="D15" s="17" t="n">
        <v>7.9</v>
      </c>
      <c r="E15" s="39" t="n">
        <f aca="false">B15*D15</f>
        <v>276.5</v>
      </c>
      <c r="F15" s="39" t="n">
        <f aca="false">C15*D15</f>
        <v>355.5</v>
      </c>
    </row>
    <row r="17" customFormat="false" ht="15" hidden="false" customHeight="false" outlineLevel="0" collapsed="false">
      <c r="A17" s="13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308</v>
      </c>
    </row>
    <row r="4" customFormat="false" ht="15" hidden="false" customHeight="false" outlineLevel="0" collapsed="false">
      <c r="A4" s="10" t="s">
        <v>309</v>
      </c>
      <c r="B4" s="10" t="s">
        <v>310</v>
      </c>
      <c r="C4" s="10" t="s">
        <v>311</v>
      </c>
      <c r="D4" s="10" t="s">
        <v>312</v>
      </c>
      <c r="E4" s="10" t="s">
        <v>279</v>
      </c>
      <c r="F4" s="10" t="s">
        <v>281</v>
      </c>
    </row>
    <row r="5" customFormat="false" ht="15" hidden="false" customHeight="false" outlineLevel="0" collapsed="false">
      <c r="A5" s="3" t="s">
        <v>313</v>
      </c>
      <c r="B5" s="3" t="s">
        <v>314</v>
      </c>
      <c r="C5" s="3" t="s">
        <v>315</v>
      </c>
      <c r="D5" s="18" t="n">
        <v>35000</v>
      </c>
      <c r="E5" s="45" t="n">
        <v>15.4</v>
      </c>
      <c r="F5" s="13" t="s">
        <v>316</v>
      </c>
    </row>
    <row r="6" customFormat="false" ht="15" hidden="false" customHeight="false" outlineLevel="0" collapsed="false">
      <c r="A6" s="3" t="s">
        <v>317</v>
      </c>
      <c r="B6" s="3" t="s">
        <v>318</v>
      </c>
      <c r="C6" s="3" t="s">
        <v>319</v>
      </c>
      <c r="D6" s="18" t="n">
        <v>10600</v>
      </c>
      <c r="E6" s="45" t="n">
        <v>15</v>
      </c>
      <c r="F6" s="13" t="s">
        <v>320</v>
      </c>
    </row>
    <row r="7" customFormat="false" ht="15" hidden="false" customHeight="false" outlineLevel="0" collapsed="false">
      <c r="A7" s="3" t="s">
        <v>321</v>
      </c>
      <c r="B7" s="3" t="s">
        <v>322</v>
      </c>
      <c r="C7" s="3" t="s">
        <v>323</v>
      </c>
      <c r="D7" s="18" t="n">
        <v>5900</v>
      </c>
      <c r="E7" s="45" t="n">
        <v>20</v>
      </c>
      <c r="F7" s="13" t="s">
        <v>324</v>
      </c>
    </row>
    <row r="8" customFormat="false" ht="15" hidden="false" customHeight="false" outlineLevel="0" collapsed="false">
      <c r="A8" s="3" t="s">
        <v>325</v>
      </c>
      <c r="B8" s="3" t="s">
        <v>326</v>
      </c>
      <c r="C8" s="3" t="s">
        <v>327</v>
      </c>
      <c r="D8" s="18" t="n">
        <v>1240</v>
      </c>
      <c r="E8" s="45" t="n">
        <v>14</v>
      </c>
      <c r="F8" s="13" t="s">
        <v>328</v>
      </c>
    </row>
    <row r="9" customFormat="false" ht="15" hidden="false" customHeight="false" outlineLevel="0" collapsed="false">
      <c r="A9" s="3" t="s">
        <v>329</v>
      </c>
      <c r="B9" s="3" t="s">
        <v>318</v>
      </c>
      <c r="C9" s="3" t="s">
        <v>330</v>
      </c>
      <c r="D9" s="18" t="n">
        <v>4500</v>
      </c>
      <c r="E9" s="45" t="n">
        <v>3.7</v>
      </c>
      <c r="F9" s="13" t="s">
        <v>331</v>
      </c>
    </row>
    <row r="10" customFormat="false" ht="15" hidden="false" customHeight="false" outlineLevel="0" collapsed="false">
      <c r="A10" s="3" t="s">
        <v>332</v>
      </c>
      <c r="B10" s="3" t="s">
        <v>326</v>
      </c>
      <c r="C10" s="3" t="s">
        <v>333</v>
      </c>
      <c r="D10" s="18" t="n">
        <v>3100</v>
      </c>
      <c r="E10" s="45" t="n">
        <v>19.4</v>
      </c>
      <c r="F10" s="13" t="s">
        <v>334</v>
      </c>
    </row>
    <row r="11" customFormat="false" ht="15" hidden="false" customHeight="false" outlineLevel="0" collapsed="false">
      <c r="A11" s="7" t="s">
        <v>335</v>
      </c>
      <c r="E11" s="46" t="n">
        <f aca="false">MEDIAN(E5:E10)</f>
        <v>15.2</v>
      </c>
    </row>
    <row r="13" customFormat="false" ht="15" hidden="false" customHeight="false" outlineLevel="0" collapsed="false">
      <c r="A13" s="5" t="s">
        <v>336</v>
      </c>
    </row>
    <row r="14" customFormat="false" ht="15" hidden="false" customHeight="false" outlineLevel="0" collapsed="false">
      <c r="A14" s="13" t="s">
        <v>337</v>
      </c>
    </row>
    <row r="15" customFormat="false" ht="15" hidden="false" customHeight="false" outlineLevel="0" collapsed="false">
      <c r="A15" s="10"/>
      <c r="B15" s="10" t="s">
        <v>338</v>
      </c>
      <c r="C15" s="10" t="s">
        <v>339</v>
      </c>
    </row>
    <row r="16" customFormat="false" ht="15" hidden="false" customHeight="false" outlineLevel="0" collapsed="false">
      <c r="A16" s="3" t="s">
        <v>340</v>
      </c>
      <c r="B16" s="16" t="n">
        <v>10</v>
      </c>
      <c r="C16" s="16" t="n">
        <v>15</v>
      </c>
    </row>
    <row r="17" customFormat="false" ht="15" hidden="false" customHeight="false" outlineLevel="0" collapsed="false">
      <c r="A17" s="3" t="s">
        <v>341</v>
      </c>
      <c r="B17" s="24" t="n">
        <f aca="false">B16*Model_3S!C18</f>
        <v>61750</v>
      </c>
      <c r="C17" s="24" t="n">
        <f aca="false">C16*Model_3S!C18</f>
        <v>92625</v>
      </c>
    </row>
    <row r="18" customFormat="false" ht="15" hidden="false" customHeight="false" outlineLevel="0" collapsed="false">
      <c r="A18" s="7" t="s">
        <v>267</v>
      </c>
      <c r="B18" s="39" t="n">
        <f aca="false">(B17-DCF!$B$31)/Assumptions!$B$37</f>
        <v>217.701371303406</v>
      </c>
      <c r="C18" s="39" t="n">
        <f aca="false">(C17-DCF!$B$31)/Assumptions!$B$37</f>
        <v>329.648434392601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342</v>
      </c>
    </row>
    <row r="4" customFormat="false" ht="15" hidden="false" customHeight="false" outlineLevel="0" collapsed="false">
      <c r="A4" s="5" t="s">
        <v>343</v>
      </c>
    </row>
    <row r="5" customFormat="false" ht="15" hidden="false" customHeight="false" outlineLevel="0" collapsed="false">
      <c r="A5" s="3" t="s">
        <v>344</v>
      </c>
      <c r="B5" s="11" t="n">
        <v>0.2</v>
      </c>
    </row>
    <row r="6" customFormat="false" ht="15" hidden="false" customHeight="false" outlineLevel="0" collapsed="false">
      <c r="A6" s="3" t="s">
        <v>345</v>
      </c>
      <c r="B6" s="39" t="n">
        <f aca="false">Assumptions!B49*(1+B5)</f>
        <v>396.12</v>
      </c>
    </row>
    <row r="7" customFormat="false" ht="15" hidden="false" customHeight="false" outlineLevel="0" collapsed="false">
      <c r="A7" s="3" t="s">
        <v>260</v>
      </c>
      <c r="B7" s="38" t="n">
        <f aca="false">Assumptions!B37</f>
        <v>275.8</v>
      </c>
    </row>
    <row r="8" customFormat="false" ht="15" hidden="false" customHeight="false" outlineLevel="0" collapsed="false">
      <c r="A8" s="3" t="s">
        <v>346</v>
      </c>
      <c r="B8" s="24" t="n">
        <f aca="false">B6*B7</f>
        <v>109249.896</v>
      </c>
    </row>
    <row r="9" customFormat="false" ht="15" hidden="false" customHeight="false" outlineLevel="0" collapsed="false">
      <c r="A9" s="3" t="s">
        <v>347</v>
      </c>
      <c r="B9" s="21" t="n">
        <f aca="false">DCF!B31</f>
        <v>1707.96179452055</v>
      </c>
    </row>
    <row r="10" customFormat="false" ht="15" hidden="false" customHeight="false" outlineLevel="0" collapsed="false">
      <c r="A10" s="3" t="s">
        <v>348</v>
      </c>
      <c r="B10" s="23" t="n">
        <f aca="false">B8+B9</f>
        <v>110957.857794521</v>
      </c>
    </row>
    <row r="11" customFormat="false" ht="15" hidden="false" customHeight="false" outlineLevel="0" collapsed="false">
      <c r="A11" s="3" t="s">
        <v>349</v>
      </c>
      <c r="B11" s="11" t="n">
        <v>0.02</v>
      </c>
    </row>
    <row r="12" customFormat="false" ht="15" hidden="false" customHeight="false" outlineLevel="0" collapsed="false">
      <c r="A12" s="3" t="s">
        <v>350</v>
      </c>
      <c r="B12" s="21" t="n">
        <f aca="false">Model_3S!C22</f>
        <v>2809.625</v>
      </c>
    </row>
    <row r="13" customFormat="false" ht="15" hidden="false" customHeight="false" outlineLevel="0" collapsed="false">
      <c r="A13" s="25" t="s">
        <v>351</v>
      </c>
      <c r="B13" s="36" t="n">
        <f aca="false">B10/B12</f>
        <v>39.4920524249751</v>
      </c>
    </row>
    <row r="14" customFormat="false" ht="15" hidden="false" customHeight="false" outlineLevel="0" collapsed="false">
      <c r="A14" s="10" t="s">
        <v>352</v>
      </c>
      <c r="B14" s="10" t="s">
        <v>353</v>
      </c>
      <c r="C14" s="10" t="s">
        <v>354</v>
      </c>
      <c r="D14" s="10" t="s">
        <v>355</v>
      </c>
    </row>
    <row r="15" customFormat="false" ht="15" hidden="false" customHeight="false" outlineLevel="0" collapsed="false">
      <c r="A15" s="3" t="s">
        <v>356</v>
      </c>
      <c r="B15" s="16" t="n">
        <v>4.5</v>
      </c>
      <c r="C15" s="11" t="n">
        <v>0.075</v>
      </c>
      <c r="D15" s="24" t="n">
        <f aca="false">B15*$B$12</f>
        <v>12643.3125</v>
      </c>
    </row>
    <row r="16" customFormat="false" ht="15" hidden="false" customHeight="false" outlineLevel="0" collapsed="false">
      <c r="A16" s="3" t="s">
        <v>357</v>
      </c>
      <c r="B16" s="16" t="n">
        <v>2</v>
      </c>
      <c r="C16" s="11" t="n">
        <v>0.09</v>
      </c>
      <c r="D16" s="24" t="n">
        <f aca="false">B16*$B$12</f>
        <v>5619.25</v>
      </c>
    </row>
    <row r="17" customFormat="false" ht="15" hidden="false" customHeight="false" outlineLevel="0" collapsed="false">
      <c r="A17" s="7" t="s">
        <v>358</v>
      </c>
      <c r="B17" s="46" t="n">
        <f aca="false">B15+B16</f>
        <v>6.5</v>
      </c>
      <c r="D17" s="23" t="n">
        <f aca="false">D15+D16</f>
        <v>18262.5625</v>
      </c>
    </row>
    <row r="18" customFormat="false" ht="15" hidden="false" customHeight="false" outlineLevel="0" collapsed="false">
      <c r="A18" s="7" t="s">
        <v>359</v>
      </c>
      <c r="B18" s="23" t="n">
        <f aca="false">B10*(1+B11)-D17</f>
        <v>94914.452450411</v>
      </c>
    </row>
    <row r="20" customFormat="false" ht="15" hidden="false" customHeight="false" outlineLevel="0" collapsed="false">
      <c r="A20" s="5" t="s">
        <v>360</v>
      </c>
    </row>
    <row r="21" customFormat="false" ht="15" hidden="false" customHeight="false" outlineLevel="0" collapsed="false">
      <c r="A21" s="10"/>
      <c r="B21" s="10" t="s">
        <v>139</v>
      </c>
      <c r="C21" s="10" t="s">
        <v>140</v>
      </c>
      <c r="D21" s="10" t="s">
        <v>141</v>
      </c>
      <c r="E21" s="10" t="s">
        <v>142</v>
      </c>
      <c r="F21" s="10" t="s">
        <v>143</v>
      </c>
    </row>
    <row r="22" customFormat="false" ht="15" hidden="false" customHeight="false" outlineLevel="0" collapsed="false">
      <c r="A22" s="3" t="s">
        <v>361</v>
      </c>
      <c r="B22" s="21" t="n">
        <f aca="false">DCF!B10</f>
        <v>1854.94048155758</v>
      </c>
      <c r="C22" s="21" t="n">
        <f aca="false">DCF!C10</f>
        <v>2128.6518472018</v>
      </c>
      <c r="D22" s="21" t="n">
        <f aca="false">DCF!D10</f>
        <v>2427.87483153326</v>
      </c>
      <c r="E22" s="21" t="n">
        <f aca="false">DCF!E10</f>
        <v>2752.27319934812</v>
      </c>
      <c r="F22" s="21" t="n">
        <f aca="false">DCF!F10</f>
        <v>3100.95993492464</v>
      </c>
    </row>
    <row r="23" customFormat="false" ht="15" hidden="false" customHeight="false" outlineLevel="0" collapsed="false">
      <c r="A23" s="3" t="s">
        <v>362</v>
      </c>
      <c r="B23" s="24" t="n">
        <f aca="false">-$D$15*$C$15</f>
        <v>-948.2484375</v>
      </c>
      <c r="C23" s="24" t="n">
        <f aca="false">-B29*$C$15</f>
        <v>-894.185786226931</v>
      </c>
      <c r="D23" s="24" t="n">
        <f aca="false">-C29*$C$15</f>
        <v>-816.432117431071</v>
      </c>
      <c r="E23" s="24" t="n">
        <f aca="false">-D29*$C$15</f>
        <v>-711.688135185795</v>
      </c>
      <c r="F23" s="24" t="n">
        <f aca="false">-E29*$C$15</f>
        <v>-576.486752393055</v>
      </c>
    </row>
    <row r="24" customFormat="false" ht="15" hidden="false" customHeight="false" outlineLevel="0" collapsed="false">
      <c r="A24" s="3" t="s">
        <v>363</v>
      </c>
      <c r="B24" s="24" t="n">
        <f aca="false">-$D$16*$C$16</f>
        <v>-505.7325</v>
      </c>
      <c r="C24" s="24" t="n">
        <f aca="false">-$D$16*$C$16</f>
        <v>-505.7325</v>
      </c>
      <c r="D24" s="24" t="n">
        <f aca="false">-$D$16*$C$16</f>
        <v>-505.7325</v>
      </c>
      <c r="E24" s="24" t="n">
        <f aca="false">-$D$16*$C$16</f>
        <v>-505.7325</v>
      </c>
      <c r="F24" s="24" t="n">
        <f aca="false">-$D$16*$C$16</f>
        <v>-505.7325</v>
      </c>
    </row>
    <row r="25" customFormat="false" ht="15" hidden="false" customHeight="false" outlineLevel="0" collapsed="false">
      <c r="A25" s="3" t="s">
        <v>364</v>
      </c>
      <c r="B25" s="24" t="n">
        <f aca="false">-(B23+B24)*Assumptions!$B$38</f>
        <v>319.87580625</v>
      </c>
      <c r="C25" s="24" t="n">
        <f aca="false">-(C23+C24)*Assumptions!$B$38</f>
        <v>307.982022969925</v>
      </c>
      <c r="D25" s="24" t="n">
        <f aca="false">-(D23+D24)*Assumptions!$B$38</f>
        <v>290.876215834836</v>
      </c>
      <c r="E25" s="24" t="n">
        <f aca="false">-(E23+E24)*Assumptions!$B$38</f>
        <v>267.832539740875</v>
      </c>
      <c r="F25" s="24" t="n">
        <f aca="false">-(F23+F24)*Assumptions!$B$38</f>
        <v>238.088235526472</v>
      </c>
    </row>
    <row r="26" customFormat="false" ht="15" hidden="false" customHeight="false" outlineLevel="0" collapsed="false">
      <c r="A26" s="3" t="s">
        <v>365</v>
      </c>
      <c r="B26" s="24" t="n">
        <f aca="false">MAX(0,B22+B23+B24+B25)</f>
        <v>720.835350307585</v>
      </c>
      <c r="C26" s="24" t="n">
        <f aca="false">MAX(0,C22+C23+C24+C25)</f>
        <v>1036.71558394479</v>
      </c>
      <c r="D26" s="24" t="n">
        <f aca="false">MAX(0,D22+D23+D24+D25)</f>
        <v>1396.58642993702</v>
      </c>
      <c r="E26" s="24" t="n">
        <f aca="false">MAX(0,E22+E23+E24+E25)</f>
        <v>1802.6851039032</v>
      </c>
      <c r="F26" s="24" t="n">
        <f aca="false">MAX(0,F22+F23+F24+F25)</f>
        <v>2256.82891805806</v>
      </c>
    </row>
    <row r="27" customFormat="false" ht="15" hidden="false" customHeight="false" outlineLevel="0" collapsed="false">
      <c r="A27" s="3" t="s">
        <v>366</v>
      </c>
      <c r="B27" s="24" t="n">
        <f aca="false">$D$15</f>
        <v>12643.3125</v>
      </c>
      <c r="C27" s="24" t="n">
        <f aca="false">B29</f>
        <v>11922.4771496924</v>
      </c>
      <c r="D27" s="24" t="n">
        <f aca="false">C29</f>
        <v>10885.7615657476</v>
      </c>
      <c r="E27" s="24" t="n">
        <f aca="false">D29</f>
        <v>9489.1751358106</v>
      </c>
      <c r="F27" s="24" t="n">
        <f aca="false">E29</f>
        <v>7686.4900319074</v>
      </c>
    </row>
    <row r="28" customFormat="false" ht="15" hidden="false" customHeight="false" outlineLevel="0" collapsed="false">
      <c r="A28" s="3" t="s">
        <v>367</v>
      </c>
      <c r="B28" s="24" t="n">
        <f aca="false">-MIN(B27,B26)</f>
        <v>-720.835350307585</v>
      </c>
      <c r="C28" s="24" t="n">
        <f aca="false">-MIN(C27,C26)</f>
        <v>-1036.71558394479</v>
      </c>
      <c r="D28" s="24" t="n">
        <f aca="false">-MIN(D27,D26)</f>
        <v>-1396.58642993702</v>
      </c>
      <c r="E28" s="24" t="n">
        <f aca="false">-MIN(E27,E26)</f>
        <v>-1802.6851039032</v>
      </c>
      <c r="F28" s="24" t="n">
        <f aca="false">-MIN(F27,F26)</f>
        <v>-2256.82891805806</v>
      </c>
    </row>
    <row r="29" customFormat="false" ht="15" hidden="false" customHeight="false" outlineLevel="0" collapsed="false">
      <c r="A29" s="3" t="s">
        <v>368</v>
      </c>
      <c r="B29" s="24" t="n">
        <f aca="false">B27+B28</f>
        <v>11922.4771496924</v>
      </c>
      <c r="C29" s="24" t="n">
        <f aca="false">C27+C28</f>
        <v>10885.7615657476</v>
      </c>
      <c r="D29" s="24" t="n">
        <f aca="false">D27+D28</f>
        <v>9489.1751358106</v>
      </c>
      <c r="E29" s="24" t="n">
        <f aca="false">E27+E28</f>
        <v>7686.4900319074</v>
      </c>
      <c r="F29" s="24" t="n">
        <f aca="false">F27+F28</f>
        <v>5429.66111384935</v>
      </c>
    </row>
    <row r="30" customFormat="false" ht="15" hidden="false" customHeight="false" outlineLevel="0" collapsed="false">
      <c r="A30" s="3" t="s">
        <v>369</v>
      </c>
      <c r="B30" s="24" t="n">
        <f aca="false">$D$16</f>
        <v>5619.25</v>
      </c>
      <c r="C30" s="24" t="n">
        <f aca="false">$D$16</f>
        <v>5619.25</v>
      </c>
      <c r="D30" s="24" t="n">
        <f aca="false">$D$16</f>
        <v>5619.25</v>
      </c>
      <c r="E30" s="24" t="n">
        <f aca="false">$D$16</f>
        <v>5619.25</v>
      </c>
      <c r="F30" s="24" t="n">
        <f aca="false">$D$16</f>
        <v>5619.25</v>
      </c>
    </row>
    <row r="31" customFormat="false" ht="15" hidden="false" customHeight="false" outlineLevel="0" collapsed="false">
      <c r="A31" s="7" t="s">
        <v>193</v>
      </c>
      <c r="B31" s="23" t="n">
        <f aca="false">B29+B30</f>
        <v>17541.7271496924</v>
      </c>
      <c r="C31" s="23" t="n">
        <f aca="false">C29+C30</f>
        <v>16505.0115657476</v>
      </c>
      <c r="D31" s="23" t="n">
        <f aca="false">D29+D30</f>
        <v>15108.4251358106</v>
      </c>
      <c r="E31" s="23" t="n">
        <f aca="false">E29+E30</f>
        <v>13305.7400319074</v>
      </c>
      <c r="F31" s="23" t="n">
        <f aca="false">F29+F30</f>
        <v>11048.9111138493</v>
      </c>
    </row>
    <row r="33" customFormat="false" ht="15" hidden="false" customHeight="false" outlineLevel="0" collapsed="false">
      <c r="A33" s="5" t="s">
        <v>370</v>
      </c>
    </row>
    <row r="34" customFormat="false" ht="15" hidden="false" customHeight="false" outlineLevel="0" collapsed="false">
      <c r="A34" s="3" t="s">
        <v>371</v>
      </c>
      <c r="B34" s="21" t="n">
        <f aca="false">Model_3S!H22</f>
        <v>5164.73367215139</v>
      </c>
    </row>
    <row r="35" customFormat="false" ht="15" hidden="false" customHeight="false" outlineLevel="0" collapsed="false">
      <c r="A35" s="3" t="s">
        <v>372</v>
      </c>
      <c r="B35" s="16" t="n">
        <v>20</v>
      </c>
    </row>
    <row r="36" customFormat="false" ht="15" hidden="false" customHeight="false" outlineLevel="0" collapsed="false">
      <c r="A36" s="3" t="s">
        <v>373</v>
      </c>
      <c r="B36" s="24" t="n">
        <f aca="false">B34*B35</f>
        <v>103294.673443028</v>
      </c>
    </row>
    <row r="37" customFormat="false" ht="15" hidden="false" customHeight="false" outlineLevel="0" collapsed="false">
      <c r="A37" s="3" t="s">
        <v>374</v>
      </c>
      <c r="B37" s="24" t="n">
        <f aca="false">-F31</f>
        <v>-11048.9111138493</v>
      </c>
    </row>
    <row r="38" customFormat="false" ht="15" hidden="false" customHeight="false" outlineLevel="0" collapsed="false">
      <c r="A38" s="7" t="s">
        <v>375</v>
      </c>
      <c r="B38" s="23" t="n">
        <f aca="false">B36+B37</f>
        <v>92245.7623291785</v>
      </c>
    </row>
    <row r="39" customFormat="false" ht="15" hidden="false" customHeight="false" outlineLevel="0" collapsed="false">
      <c r="A39" s="7" t="s">
        <v>376</v>
      </c>
      <c r="B39" s="46" t="n">
        <f aca="false">B38/B18</f>
        <v>0.971883205851851</v>
      </c>
    </row>
    <row r="40" customFormat="false" ht="15" hidden="false" customHeight="false" outlineLevel="0" collapsed="false">
      <c r="A40" s="7" t="s">
        <v>377</v>
      </c>
      <c r="B40" s="12" t="n">
        <f aca="false">(B38/B18)^(1/5)-1</f>
        <v>-0.00568769155360005</v>
      </c>
    </row>
    <row r="42" customFormat="false" ht="15" hidden="false" customHeight="false" outlineLevel="0" collapsed="false">
      <c r="A42" s="5" t="s">
        <v>378</v>
      </c>
    </row>
    <row r="43" customFormat="false" ht="15" hidden="false" customHeight="false" outlineLevel="0" collapsed="false">
      <c r="A43" s="10" t="s">
        <v>379</v>
      </c>
      <c r="B43" s="10" t="s">
        <v>380</v>
      </c>
      <c r="C43" s="10" t="s">
        <v>381</v>
      </c>
      <c r="D43" s="10" t="s">
        <v>382</v>
      </c>
      <c r="E43" s="10" t="s">
        <v>383</v>
      </c>
    </row>
    <row r="44" customFormat="false" ht="15" hidden="false" customHeight="false" outlineLevel="0" collapsed="false">
      <c r="A44" s="11" t="n">
        <v>0.15</v>
      </c>
      <c r="B44" s="24" t="n">
        <f aca="false">$B$38/(1+A44)^5</f>
        <v>45862.4469599229</v>
      </c>
      <c r="C44" s="24" t="n">
        <f aca="false">(B44+$D$17)/(1+$B$11)</f>
        <v>62867.6563332578</v>
      </c>
      <c r="D44" s="39" t="n">
        <f aca="false">(C44-$B$9)/$B$7</f>
        <v>221.753787305066</v>
      </c>
      <c r="E44" s="27" t="n">
        <f aca="false">D44/Assumptions!$B$49-1</f>
        <v>-0.3282223953194</v>
      </c>
    </row>
    <row r="45" customFormat="false" ht="15" hidden="false" customHeight="false" outlineLevel="0" collapsed="false">
      <c r="A45" s="11" t="n">
        <v>0.2</v>
      </c>
      <c r="B45" s="24" t="n">
        <f aca="false">$B$38/(1+A45)^5</f>
        <v>37071.5029936578</v>
      </c>
      <c r="C45" s="24" t="n">
        <f aca="false">(B45+$D$17)/(1+$B$11)</f>
        <v>54249.0838173115</v>
      </c>
      <c r="D45" s="39" t="n">
        <f aca="false">(C45-$B$9)/$B$7</f>
        <v>190.504430829554</v>
      </c>
      <c r="E45" s="27" t="n">
        <f aca="false">D45/Assumptions!$B$49-1</f>
        <v>-0.422888728174632</v>
      </c>
    </row>
    <row r="46" customFormat="false" ht="15" hidden="false" customHeight="false" outlineLevel="0" collapsed="false">
      <c r="A46" s="11" t="n">
        <v>0.25</v>
      </c>
      <c r="B46" s="24" t="n">
        <f aca="false">$B$38/(1+A46)^5</f>
        <v>30227.0914000252</v>
      </c>
      <c r="C46" s="24" t="n">
        <f aca="false">(B46+$D$17)/(1+$B$11)</f>
        <v>47538.8763725737</v>
      </c>
      <c r="D46" s="39" t="n">
        <f aca="false">(C46-$B$9)/$B$7</f>
        <v>166.174454597727</v>
      </c>
      <c r="E46" s="27" t="n">
        <f aca="false">D46/Assumptions!$B$49-1</f>
        <v>-0.496593594069291</v>
      </c>
    </row>
    <row r="47" customFormat="false" ht="15" hidden="false" customHeight="false" outlineLevel="0" collapsed="false">
      <c r="A47" s="11" t="n">
        <v>0.3</v>
      </c>
      <c r="B47" s="24" t="n">
        <f aca="false">$B$38/(1+A47)^5</f>
        <v>24844.4657801732</v>
      </c>
      <c r="C47" s="24" t="n">
        <f aca="false">(B47+$D$17)/(1+$B$11)</f>
        <v>42261.7924315423</v>
      </c>
      <c r="D47" s="39" t="n">
        <f aca="false">(C47-$B$9)/$B$7</f>
        <v>147.040720221254</v>
      </c>
      <c r="E47" s="27" t="n">
        <f aca="false">D47/Assumptions!$B$49-1</f>
        <v>-0.554557042649943</v>
      </c>
    </row>
    <row r="49" customFormat="false" ht="15" hidden="false" customHeight="false" outlineLevel="0" collapsed="false">
      <c r="A49" s="13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11" min="3" style="0" width="11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385</v>
      </c>
    </row>
    <row r="2" customFormat="false" ht="15" hidden="false" customHeight="false" outlineLevel="0" collapsed="false">
      <c r="A2" s="47" t="s">
        <v>386</v>
      </c>
    </row>
    <row r="4" customFormat="false" ht="15" hidden="false" customHeight="false" outlineLevel="0" collapsed="false">
      <c r="A4" s="5" t="s">
        <v>387</v>
      </c>
    </row>
    <row r="5" customFormat="false" ht="15" hidden="false" customHeight="false" outlineLevel="0" collapsed="false">
      <c r="A5" s="10" t="s">
        <v>388</v>
      </c>
      <c r="B5" s="10" t="s">
        <v>389</v>
      </c>
      <c r="C5" s="10" t="s">
        <v>390</v>
      </c>
    </row>
    <row r="6" customFormat="false" ht="15" hidden="false" customHeight="false" outlineLevel="0" collapsed="false">
      <c r="A6" s="3" t="s">
        <v>65</v>
      </c>
      <c r="B6" s="20" t="n">
        <f aca="false">Assumptions!E12</f>
        <v>0.13</v>
      </c>
      <c r="C6" s="11" t="n">
        <v>0.03</v>
      </c>
    </row>
    <row r="7" customFormat="false" ht="15" hidden="false" customHeight="false" outlineLevel="0" collapsed="false">
      <c r="A7" s="3" t="s">
        <v>391</v>
      </c>
      <c r="B7" s="20" t="n">
        <f aca="false">Assumptions!F17-Assumptions!F18</f>
        <v>0.5</v>
      </c>
      <c r="C7" s="11" t="n">
        <v>0.03</v>
      </c>
    </row>
    <row r="8" customFormat="false" ht="15" hidden="false" customHeight="false" outlineLevel="0" collapsed="false">
      <c r="A8" s="3" t="s">
        <v>9</v>
      </c>
      <c r="B8" s="48" t="n">
        <f aca="false">WACC!B20</f>
        <v>0.09732295</v>
      </c>
      <c r="C8" s="29" t="n">
        <v>0.0075</v>
      </c>
    </row>
    <row r="9" customFormat="false" ht="15" hidden="false" customHeight="false" outlineLevel="0" collapsed="false">
      <c r="A9" s="3" t="s">
        <v>372</v>
      </c>
      <c r="B9" s="37" t="n">
        <f aca="false">Assumptions!B48</f>
        <v>20</v>
      </c>
      <c r="C9" s="16" t="n">
        <v>3</v>
      </c>
    </row>
    <row r="11" customFormat="false" ht="15" hidden="false" customHeight="false" outlineLevel="0" collapsed="false">
      <c r="A11" s="5" t="s">
        <v>392</v>
      </c>
    </row>
    <row r="12" customFormat="false" ht="15" hidden="false" customHeight="false" outlineLevel="0" collapsed="false">
      <c r="A12" s="3" t="s">
        <v>393</v>
      </c>
      <c r="B12" s="21" t="n">
        <f aca="false">Model_3S!L22</f>
        <v>7576.18510407823</v>
      </c>
    </row>
    <row r="13" customFormat="false" ht="15" hidden="false" customHeight="false" outlineLevel="0" collapsed="false">
      <c r="A13" s="3" t="s">
        <v>394</v>
      </c>
      <c r="B13" s="21" t="n">
        <f aca="false">DCF!B15</f>
        <v>18038.0876615181</v>
      </c>
    </row>
    <row r="14" customFormat="false" ht="15" hidden="false" customHeight="false" outlineLevel="0" collapsed="false">
      <c r="A14" s="3" t="s">
        <v>395</v>
      </c>
      <c r="B14" s="21" t="n">
        <f aca="false">DCF!B31</f>
        <v>1707.96179452055</v>
      </c>
    </row>
    <row r="15" customFormat="false" ht="15" hidden="false" customHeight="false" outlineLevel="0" collapsed="false">
      <c r="A15" s="3" t="s">
        <v>260</v>
      </c>
      <c r="B15" s="38" t="n">
        <f aca="false">Assumptions!B37</f>
        <v>275.8</v>
      </c>
    </row>
    <row r="16" customFormat="false" ht="15" hidden="false" customHeight="false" outlineLevel="0" collapsed="false">
      <c r="A16" s="3" t="s">
        <v>396</v>
      </c>
      <c r="B16" s="49" t="n">
        <f aca="false">Assumptions!B49</f>
        <v>330.1</v>
      </c>
    </row>
    <row r="17" customFormat="false" ht="15" hidden="false" customHeight="false" outlineLevel="0" collapsed="false">
      <c r="A17" s="3" t="s">
        <v>397</v>
      </c>
      <c r="B17" s="20" t="n">
        <f aca="false">Assumptions!E13</f>
        <v>0.08</v>
      </c>
    </row>
    <row r="18" customFormat="false" ht="15" hidden="false" customHeight="false" outlineLevel="0" collapsed="false">
      <c r="A18" s="3" t="s">
        <v>398</v>
      </c>
      <c r="B18" s="21" t="n">
        <f aca="false">Model_3S!C18</f>
        <v>6175</v>
      </c>
    </row>
    <row r="20" customFormat="false" ht="15" hidden="false" customHeight="false" outlineLevel="0" collapsed="false">
      <c r="A20" s="5" t="s">
        <v>399</v>
      </c>
    </row>
    <row r="21" customFormat="false" ht="15" hidden="false" customHeight="false" outlineLevel="0" collapsed="false">
      <c r="A21" s="7" t="s">
        <v>400</v>
      </c>
      <c r="B21" s="39" t="n">
        <f aca="false">AVERAGE($K$41:$K$540)</f>
        <v>295.07707400916</v>
      </c>
    </row>
    <row r="22" customFormat="false" ht="15" hidden="false" customHeight="false" outlineLevel="0" collapsed="false">
      <c r="A22" s="3" t="s">
        <v>401</v>
      </c>
      <c r="B22" s="43" t="n">
        <f aca="false">MEDIAN($K$41:$K$540)</f>
        <v>289.984051335585</v>
      </c>
    </row>
    <row r="23" customFormat="false" ht="15" hidden="false" customHeight="false" outlineLevel="0" collapsed="false">
      <c r="A23" s="3" t="s">
        <v>402</v>
      </c>
      <c r="B23" s="43" t="n">
        <f aca="false">STDEV($K$41:$K$540)</f>
        <v>61.182127564938</v>
      </c>
    </row>
    <row r="24" customFormat="false" ht="15" hidden="false" customHeight="false" outlineLevel="0" collapsed="false">
      <c r="A24" s="3" t="s">
        <v>403</v>
      </c>
      <c r="B24" s="43" t="n">
        <f aca="false">PERCENTILE($K$41:$K$540,0.05)</f>
        <v>209.858218717818</v>
      </c>
    </row>
    <row r="25" customFormat="false" ht="15" hidden="false" customHeight="false" outlineLevel="0" collapsed="false">
      <c r="A25" s="3" t="s">
        <v>404</v>
      </c>
      <c r="B25" s="43" t="n">
        <f aca="false">PERCENTILE($K$41:$K$540,0.25)</f>
        <v>251.320339805243</v>
      </c>
    </row>
    <row r="26" customFormat="false" ht="15" hidden="false" customHeight="false" outlineLevel="0" collapsed="false">
      <c r="A26" s="3" t="s">
        <v>405</v>
      </c>
      <c r="B26" s="43" t="n">
        <f aca="false">PERCENTILE($K$41:$K$540,0.75)</f>
        <v>328.630572009186</v>
      </c>
    </row>
    <row r="27" customFormat="false" ht="15" hidden="false" customHeight="false" outlineLevel="0" collapsed="false">
      <c r="A27" s="3" t="s">
        <v>406</v>
      </c>
      <c r="B27" s="43" t="n">
        <f aca="false">PERCENTILE($K$41:$K$540,0.95)</f>
        <v>403.971599383945</v>
      </c>
    </row>
    <row r="28" customFormat="false" ht="15" hidden="false" customHeight="false" outlineLevel="0" collapsed="false">
      <c r="A28" s="7" t="s">
        <v>407</v>
      </c>
      <c r="B28" s="12" t="n">
        <f aca="false">COUNTIF($K$41:$K$540,"&gt;"&amp;B16)/500</f>
        <v>0.244</v>
      </c>
    </row>
    <row r="30" customFormat="false" ht="15" hidden="false" customHeight="false" outlineLevel="0" collapsed="false">
      <c r="A30" s="5" t="s">
        <v>408</v>
      </c>
    </row>
    <row r="31" customFormat="false" ht="15" hidden="false" customHeight="false" outlineLevel="0" collapsed="false">
      <c r="A31" s="10" t="s">
        <v>409</v>
      </c>
      <c r="B31" s="10" t="s">
        <v>62</v>
      </c>
      <c r="C31" s="10" t="s">
        <v>410</v>
      </c>
    </row>
    <row r="32" customFormat="false" ht="15" hidden="false" customHeight="false" outlineLevel="0" collapsed="false">
      <c r="A32" s="3" t="s">
        <v>58</v>
      </c>
      <c r="B32" s="20" t="n">
        <f aca="false">Assumptions!B8</f>
        <v>0.5</v>
      </c>
      <c r="C32" s="39" t="n">
        <f aca="false">($B$13*($B$18*(1+(Assumptions!B12+Assumptions!B13)/2)^9*(Assumptions!C17-Assumptions!C18))/$B$12+Assumptions!$B$48*($B$18*(1+(Assumptions!B12+Assumptions!B13)/2)^9*(Assumptions!C17-Assumptions!C18))/(1+$B$8)^9-$B$14)/$B$15</f>
        <v>297.665589276182</v>
      </c>
    </row>
    <row r="33" customFormat="false" ht="15" hidden="false" customHeight="false" outlineLevel="0" collapsed="false">
      <c r="A33" s="3" t="s">
        <v>59</v>
      </c>
      <c r="B33" s="20" t="n">
        <f aca="false">Assumptions!C8</f>
        <v>0.3</v>
      </c>
      <c r="C33" s="39" t="n">
        <f aca="false">($B$13*($B$18*(1+(Assumptions!C12+Assumptions!C13)/2)^9*(Assumptions!D17-Assumptions!D18))/$B$12+Assumptions!$B$48*($B$18*(1+(Assumptions!C12+Assumptions!C13)/2)^9*(Assumptions!D17-Assumptions!D18))/(1+$B$8)^9-$B$14)/$B$15</f>
        <v>432.318580925842</v>
      </c>
    </row>
    <row r="34" customFormat="false" ht="15" hidden="false" customHeight="false" outlineLevel="0" collapsed="false">
      <c r="A34" s="3" t="s">
        <v>60</v>
      </c>
      <c r="B34" s="20" t="n">
        <f aca="false">Assumptions!D8</f>
        <v>0.2</v>
      </c>
      <c r="C34" s="39" t="n">
        <f aca="false">($B$13*($B$18*(1+(Assumptions!D12+Assumptions!D13)/2)^9*(Assumptions!E17-Assumptions!E18))/$B$12+Assumptions!$B$48*($B$18*(1+(Assumptions!D12+Assumptions!D13)/2)^9*(Assumptions!E17-Assumptions!E18))/(1+$B$8)^9-$B$14)/$B$15</f>
        <v>155.017862944951</v>
      </c>
    </row>
    <row r="35" customFormat="false" ht="15" hidden="false" customHeight="false" outlineLevel="0" collapsed="false">
      <c r="A35" s="7" t="s">
        <v>411</v>
      </c>
      <c r="C35" s="39" t="n">
        <f aca="false">SUMPRODUCT(B32:B34,C32:C34)</f>
        <v>309.531941504834</v>
      </c>
    </row>
    <row r="39" customFormat="false" ht="15" hidden="false" customHeight="false" outlineLevel="0" collapsed="false">
      <c r="A39" s="5" t="s">
        <v>412</v>
      </c>
    </row>
    <row r="40" customFormat="false" ht="15" hidden="false" customHeight="false" outlineLevel="0" collapsed="false">
      <c r="A40" s="10" t="s">
        <v>413</v>
      </c>
      <c r="B40" s="10" t="s">
        <v>414</v>
      </c>
      <c r="C40" s="10" t="s">
        <v>415</v>
      </c>
      <c r="D40" s="10" t="s">
        <v>9</v>
      </c>
      <c r="E40" s="10" t="s">
        <v>416</v>
      </c>
      <c r="F40" s="10" t="s">
        <v>417</v>
      </c>
      <c r="G40" s="10" t="s">
        <v>418</v>
      </c>
      <c r="H40" s="10" t="s">
        <v>419</v>
      </c>
      <c r="I40" s="10" t="s">
        <v>420</v>
      </c>
      <c r="J40" s="10" t="s">
        <v>421</v>
      </c>
      <c r="K40" s="10" t="s">
        <v>422</v>
      </c>
      <c r="N40" s="40" t="s">
        <v>423</v>
      </c>
      <c r="O40" s="40" t="s">
        <v>424</v>
      </c>
      <c r="P40" s="40" t="s">
        <v>425</v>
      </c>
      <c r="Q40" s="40" t="s">
        <v>426</v>
      </c>
    </row>
    <row r="41" customFormat="false" ht="15" hidden="false" customHeight="false" outlineLevel="0" collapsed="false">
      <c r="A41" s="50" t="n">
        <v>1</v>
      </c>
      <c r="B41" s="19" t="n">
        <f aca="true">NORMINV(RAND(),$B$6,$C$6)</f>
        <v>0.124235421523477</v>
      </c>
      <c r="C41" s="19" t="n">
        <f aca="true">MAX(0.25,NORMINV(RAND(),$B$7,$C$7))</f>
        <v>0.48994198099104</v>
      </c>
      <c r="D41" s="32" t="n">
        <f aca="true">MAX(0.07,NORMINV(RAND(),$B$8,$C$8))</f>
        <v>0.10432477542143</v>
      </c>
      <c r="E41" s="51" t="n">
        <f aca="true">MAX(8,NORMINV(RAND(),$B$9,$C$9))</f>
        <v>18.7514671905601</v>
      </c>
      <c r="F41" s="24" t="n">
        <f aca="false">$B$18*(1+(B41+$B$17)/2)^9</f>
        <v>14814.5612881973</v>
      </c>
      <c r="G41" s="24" t="n">
        <f aca="false">F41*C41</f>
        <v>7258.27550505256</v>
      </c>
      <c r="H41" s="24" t="n">
        <f aca="false">E41*G41/(1+D41)^9</f>
        <v>55718.2365144157</v>
      </c>
      <c r="I41" s="24" t="n">
        <f aca="false">$B$13*G41/$B$12*((1+$B$8)/(1+D41))^4.5</f>
        <v>16793.5601972882</v>
      </c>
      <c r="J41" s="24" t="n">
        <f aca="false">H41+I41-$B$14</f>
        <v>70803.8349171833</v>
      </c>
      <c r="K41" s="43" t="n">
        <f aca="false">J41/$B$15</f>
        <v>256.721663949178</v>
      </c>
      <c r="N41" s="3" t="s">
        <v>427</v>
      </c>
      <c r="O41" s="50" t="n">
        <v>100</v>
      </c>
      <c r="P41" s="50" t="n">
        <v>125</v>
      </c>
      <c r="Q41" s="50" t="n">
        <f aca="false">COUNTIF($K$41:$K$540,"&lt;"&amp;P41)</f>
        <v>0</v>
      </c>
    </row>
    <row r="42" customFormat="false" ht="15" hidden="false" customHeight="false" outlineLevel="0" collapsed="false">
      <c r="A42" s="50" t="n">
        <v>2</v>
      </c>
      <c r="B42" s="19" t="n">
        <f aca="true">NORMINV(RAND(),$B$6,$C$6)</f>
        <v>0.143334747445242</v>
      </c>
      <c r="C42" s="19" t="n">
        <f aca="true">MAX(0.25,NORMINV(RAND(),$B$7,$C$7))</f>
        <v>0.522877312413935</v>
      </c>
      <c r="D42" s="32" t="n">
        <f aca="true">MAX(0.07,NORMINV(RAND(),$B$8,$C$8))</f>
        <v>0.0932042419866708</v>
      </c>
      <c r="E42" s="51" t="n">
        <f aca="true">MAX(8,NORMINV(RAND(),$B$9,$C$9))</f>
        <v>18.7674008575063</v>
      </c>
      <c r="F42" s="24" t="n">
        <f aca="false">$B$18*(1+(B42+$B$17)/2)^9</f>
        <v>16010.7139993212</v>
      </c>
      <c r="G42" s="24" t="n">
        <f aca="false">F42*C42</f>
        <v>8371.63910579324</v>
      </c>
      <c r="H42" s="24" t="n">
        <f aca="false">E42*G42/(1+D42)^9</f>
        <v>70453.5456386961</v>
      </c>
      <c r="I42" s="24" t="n">
        <f aca="false">$B$13*G42/$B$12*((1+$B$8)/(1+D42))^4.5</f>
        <v>20272.1405148237</v>
      </c>
      <c r="J42" s="24" t="n">
        <f aca="false">H42+I42-$B$14</f>
        <v>89017.7243589992</v>
      </c>
      <c r="K42" s="43" t="n">
        <f aca="false">J42/$B$15</f>
        <v>322.761872222622</v>
      </c>
      <c r="N42" s="3" t="s">
        <v>428</v>
      </c>
      <c r="O42" s="50" t="n">
        <v>125</v>
      </c>
      <c r="P42" s="50" t="n">
        <v>150</v>
      </c>
      <c r="Q42" s="50" t="n">
        <f aca="false">COUNTIFS($K$41:$K$540,"&gt;="&amp;O42,$K$41:$K$540,"&lt;"&amp;P42)</f>
        <v>1</v>
      </c>
    </row>
    <row r="43" customFormat="false" ht="15" hidden="false" customHeight="false" outlineLevel="0" collapsed="false">
      <c r="A43" s="50" t="n">
        <v>3</v>
      </c>
      <c r="B43" s="19" t="n">
        <f aca="true">NORMINV(RAND(),$B$6,$C$6)</f>
        <v>0.118875063335471</v>
      </c>
      <c r="C43" s="19" t="n">
        <f aca="true">MAX(0.25,NORMINV(RAND(),$B$7,$C$7))</f>
        <v>0.512685712591737</v>
      </c>
      <c r="D43" s="32" t="n">
        <f aca="true">MAX(0.07,NORMINV(RAND(),$B$8,$C$8))</f>
        <v>0.096340537299386</v>
      </c>
      <c r="E43" s="51" t="n">
        <f aca="true">MAX(8,NORMINV(RAND(),$B$9,$C$9))</f>
        <v>17.8837269729967</v>
      </c>
      <c r="F43" s="24" t="n">
        <f aca="false">$B$18*(1+(B43+$B$17)/2)^9</f>
        <v>14493.4570569875</v>
      </c>
      <c r="G43" s="24" t="n">
        <f aca="false">F43*C43</f>
        <v>7430.5883591794</v>
      </c>
      <c r="H43" s="24" t="n">
        <f aca="false">E43*G43/(1+D43)^9</f>
        <v>58072.695065637</v>
      </c>
      <c r="I43" s="24" t="n">
        <f aca="false">$B$13*G43/$B$12*((1+$B$8)/(1+D43))^4.5</f>
        <v>17762.8878387118</v>
      </c>
      <c r="J43" s="24" t="n">
        <f aca="false">H43+I43-$B$14</f>
        <v>74127.6211098282</v>
      </c>
      <c r="K43" s="43" t="n">
        <f aca="false">J43/$B$15</f>
        <v>268.773100470733</v>
      </c>
      <c r="N43" s="3" t="s">
        <v>429</v>
      </c>
      <c r="O43" s="50" t="n">
        <v>150</v>
      </c>
      <c r="P43" s="50" t="n">
        <v>175</v>
      </c>
      <c r="Q43" s="50" t="n">
        <f aca="false">COUNTIFS($K$41:$K$540,"&gt;="&amp;O43,$K$41:$K$540,"&lt;"&amp;P43)</f>
        <v>2</v>
      </c>
    </row>
    <row r="44" customFormat="false" ht="15" hidden="false" customHeight="false" outlineLevel="0" collapsed="false">
      <c r="A44" s="50" t="n">
        <v>4</v>
      </c>
      <c r="B44" s="19" t="n">
        <f aca="true">NORMINV(RAND(),$B$6,$C$6)</f>
        <v>0.131438656338922</v>
      </c>
      <c r="C44" s="19" t="n">
        <f aca="true">MAX(0.25,NORMINV(RAND(),$B$7,$C$7))</f>
        <v>0.494179515096614</v>
      </c>
      <c r="D44" s="32" t="n">
        <f aca="true">MAX(0.07,NORMINV(RAND(),$B$8,$C$8))</f>
        <v>0.112729744758837</v>
      </c>
      <c r="E44" s="51" t="n">
        <f aca="true">MAX(8,NORMINV(RAND(),$B$9,$C$9))</f>
        <v>22.4718052740332</v>
      </c>
      <c r="F44" s="24" t="n">
        <f aca="false">$B$18*(1+(B44+$B$17)/2)^9</f>
        <v>15256.0137956873</v>
      </c>
      <c r="G44" s="24" t="n">
        <f aca="false">F44*C44</f>
        <v>7539.20949985997</v>
      </c>
      <c r="H44" s="24" t="n">
        <f aca="false">E44*G44/(1+D44)^9</f>
        <v>64782.320039014</v>
      </c>
      <c r="I44" s="24" t="n">
        <f aca="false">$B$13*G44/$B$12*((1+$B$8)/(1+D44))^4.5</f>
        <v>16858.4316646424</v>
      </c>
      <c r="J44" s="24" t="n">
        <f aca="false">H44+I44-$B$14</f>
        <v>79932.7899091358</v>
      </c>
      <c r="K44" s="43" t="n">
        <f aca="false">J44/$B$15</f>
        <v>289.821573274604</v>
      </c>
      <c r="N44" s="3" t="s">
        <v>430</v>
      </c>
      <c r="O44" s="50" t="n">
        <v>175</v>
      </c>
      <c r="P44" s="50" t="n">
        <v>200</v>
      </c>
      <c r="Q44" s="50" t="n">
        <f aca="false">COUNTIFS($K$41:$K$540,"&gt;="&amp;O44,$K$41:$K$540,"&lt;"&amp;P44)</f>
        <v>13</v>
      </c>
    </row>
    <row r="45" customFormat="false" ht="15" hidden="false" customHeight="false" outlineLevel="0" collapsed="false">
      <c r="A45" s="50" t="n">
        <v>5</v>
      </c>
      <c r="B45" s="19" t="n">
        <f aca="true">NORMINV(RAND(),$B$6,$C$6)</f>
        <v>0.111590895398159</v>
      </c>
      <c r="C45" s="19" t="n">
        <f aca="true">MAX(0.25,NORMINV(RAND(),$B$7,$C$7))</f>
        <v>0.512548778187841</v>
      </c>
      <c r="D45" s="32" t="n">
        <f aca="true">MAX(0.07,NORMINV(RAND(),$B$8,$C$8))</f>
        <v>0.0972473301670318</v>
      </c>
      <c r="E45" s="51" t="n">
        <f aca="true">MAX(8,NORMINV(RAND(),$B$9,$C$9))</f>
        <v>15.2279094597004</v>
      </c>
      <c r="F45" s="24" t="n">
        <f aca="false">$B$18*(1+(B45+$B$17)/2)^9</f>
        <v>14067.0292017794</v>
      </c>
      <c r="G45" s="24" t="n">
        <f aca="false">F45*C45</f>
        <v>7210.0386301047</v>
      </c>
      <c r="H45" s="24" t="n">
        <f aca="false">E45*G45/(1+D45)^9</f>
        <v>47625.2296068088</v>
      </c>
      <c r="I45" s="24" t="n">
        <f aca="false">$B$13*G45/$B$12*((1+$B$8)/(1+D45))^4.5</f>
        <v>17171.6564439055</v>
      </c>
      <c r="J45" s="24" t="n">
        <f aca="false">H45+I45-$B$14</f>
        <v>63088.9242561937</v>
      </c>
      <c r="K45" s="43" t="n">
        <f aca="false">J45/$B$15</f>
        <v>228.748818912958</v>
      </c>
      <c r="N45" s="3" t="s">
        <v>431</v>
      </c>
      <c r="O45" s="50" t="n">
        <v>200</v>
      </c>
      <c r="P45" s="50" t="n">
        <v>225</v>
      </c>
      <c r="Q45" s="50" t="n">
        <f aca="false">COUNTIFS($K$41:$K$540,"&gt;="&amp;O45,$K$41:$K$540,"&lt;"&amp;P45)</f>
        <v>38</v>
      </c>
    </row>
    <row r="46" customFormat="false" ht="15" hidden="false" customHeight="false" outlineLevel="0" collapsed="false">
      <c r="A46" s="50" t="n">
        <v>6</v>
      </c>
      <c r="B46" s="19" t="n">
        <f aca="true">NORMINV(RAND(),$B$6,$C$6)</f>
        <v>0.0981066288463485</v>
      </c>
      <c r="C46" s="19" t="n">
        <f aca="true">MAX(0.25,NORMINV(RAND(),$B$7,$C$7))</f>
        <v>0.468089526835266</v>
      </c>
      <c r="D46" s="32" t="n">
        <f aca="true">MAX(0.07,NORMINV(RAND(),$B$8,$C$8))</f>
        <v>0.0886619268519713</v>
      </c>
      <c r="E46" s="51" t="n">
        <f aca="true">MAX(8,NORMINV(RAND(),$B$9,$C$9))</f>
        <v>22.1496811175169</v>
      </c>
      <c r="F46" s="24" t="n">
        <f aca="false">$B$18*(1+(B46+$B$17)/2)^9</f>
        <v>13306.9716533538</v>
      </c>
      <c r="G46" s="24" t="n">
        <f aca="false">F46*C46</f>
        <v>6228.85406482866</v>
      </c>
      <c r="H46" s="24" t="n">
        <f aca="false">E46*G46/(1+D46)^9</f>
        <v>64230.0589277335</v>
      </c>
      <c r="I46" s="24" t="n">
        <f aca="false">$B$13*G46/$B$12*((1+$B$8)/(1+D46))^4.5</f>
        <v>15368.6066752983</v>
      </c>
      <c r="J46" s="24" t="n">
        <f aca="false">H46+I46-$B$14</f>
        <v>77890.7038085113</v>
      </c>
      <c r="K46" s="43" t="n">
        <f aca="false">J46/$B$15</f>
        <v>282.417345208525</v>
      </c>
      <c r="N46" s="3" t="s">
        <v>432</v>
      </c>
      <c r="O46" s="50" t="n">
        <v>225</v>
      </c>
      <c r="P46" s="50" t="n">
        <v>250</v>
      </c>
      <c r="Q46" s="50" t="n">
        <f aca="false">COUNTIFS($K$41:$K$540,"&gt;="&amp;O46,$K$41:$K$540,"&lt;"&amp;P46)</f>
        <v>68</v>
      </c>
    </row>
    <row r="47" customFormat="false" ht="15" hidden="false" customHeight="false" outlineLevel="0" collapsed="false">
      <c r="A47" s="50" t="n">
        <v>7</v>
      </c>
      <c r="B47" s="19" t="n">
        <f aca="true">NORMINV(RAND(),$B$6,$C$6)</f>
        <v>0.121553368372701</v>
      </c>
      <c r="C47" s="19" t="n">
        <f aca="true">MAX(0.25,NORMINV(RAND(),$B$7,$C$7))</f>
        <v>0.536131454242331</v>
      </c>
      <c r="D47" s="32" t="n">
        <f aca="true">MAX(0.07,NORMINV(RAND(),$B$8,$C$8))</f>
        <v>0.108142942867424</v>
      </c>
      <c r="E47" s="51" t="n">
        <f aca="true">MAX(8,NORMINV(RAND(),$B$9,$C$9))</f>
        <v>14.9525997434465</v>
      </c>
      <c r="F47" s="24" t="n">
        <f aca="false">$B$18*(1+(B47+$B$17)/2)^9</f>
        <v>14653.1150924646</v>
      </c>
      <c r="G47" s="24" t="n">
        <f aca="false">F47*C47</f>
        <v>7855.99590370328</v>
      </c>
      <c r="H47" s="24" t="n">
        <f aca="false">E47*G47/(1+D47)^9</f>
        <v>46618.2419143167</v>
      </c>
      <c r="I47" s="24" t="n">
        <f aca="false">$B$13*G47/$B$12*((1+$B$8)/(1+D47))^4.5</f>
        <v>17896.3808177224</v>
      </c>
      <c r="J47" s="24" t="n">
        <f aca="false">H47+I47-$B$14</f>
        <v>62806.6609375186</v>
      </c>
      <c r="K47" s="43" t="n">
        <f aca="false">J47/$B$15</f>
        <v>227.72538410993</v>
      </c>
      <c r="N47" s="3" t="s">
        <v>433</v>
      </c>
      <c r="O47" s="50" t="n">
        <v>250</v>
      </c>
      <c r="P47" s="50" t="n">
        <v>275</v>
      </c>
      <c r="Q47" s="50" t="n">
        <f aca="false">COUNTIFS($K$41:$K$540,"&gt;="&amp;O47,$K$41:$K$540,"&lt;"&amp;P47)</f>
        <v>76</v>
      </c>
    </row>
    <row r="48" customFormat="false" ht="15" hidden="false" customHeight="false" outlineLevel="0" collapsed="false">
      <c r="A48" s="50" t="n">
        <v>8</v>
      </c>
      <c r="B48" s="19" t="n">
        <f aca="true">NORMINV(RAND(),$B$6,$C$6)</f>
        <v>0.15120065057149</v>
      </c>
      <c r="C48" s="19" t="n">
        <f aca="true">MAX(0.25,NORMINV(RAND(),$B$7,$C$7))</f>
        <v>0.453903095106121</v>
      </c>
      <c r="D48" s="32" t="n">
        <f aca="true">MAX(0.07,NORMINV(RAND(),$B$8,$C$8))</f>
        <v>0.0925601410466889</v>
      </c>
      <c r="E48" s="51" t="n">
        <f aca="true">MAX(8,NORMINV(RAND(),$B$9,$C$9))</f>
        <v>21.8175156740181</v>
      </c>
      <c r="F48" s="24" t="n">
        <f aca="false">$B$18*(1+(B48+$B$17)/2)^9</f>
        <v>16527.7848942706</v>
      </c>
      <c r="G48" s="24" t="n">
        <f aca="false">F48*C48</f>
        <v>7502.01271875761</v>
      </c>
      <c r="H48" s="24" t="n">
        <f aca="false">E48*G48/(1+D48)^9</f>
        <v>73786.1619182202</v>
      </c>
      <c r="I48" s="24" t="n">
        <f aca="false">$B$13*G48/$B$12*((1+$B$8)/(1+D48))^4.5</f>
        <v>18214.560930361</v>
      </c>
      <c r="J48" s="24" t="n">
        <f aca="false">H48+I48-$B$14</f>
        <v>90292.7610540606</v>
      </c>
      <c r="K48" s="43" t="n">
        <f aca="false">J48/$B$15</f>
        <v>327.384920428066</v>
      </c>
      <c r="N48" s="3" t="s">
        <v>434</v>
      </c>
      <c r="O48" s="50" t="n">
        <v>275</v>
      </c>
      <c r="P48" s="50" t="n">
        <v>300</v>
      </c>
      <c r="Q48" s="50" t="n">
        <f aca="false">COUNTIFS($K$41:$K$540,"&gt;="&amp;O48,$K$41:$K$540,"&lt;"&amp;P48)</f>
        <v>92</v>
      </c>
    </row>
    <row r="49" customFormat="false" ht="15" hidden="false" customHeight="false" outlineLevel="0" collapsed="false">
      <c r="A49" s="50" t="n">
        <v>9</v>
      </c>
      <c r="B49" s="19" t="n">
        <f aca="true">NORMINV(RAND(),$B$6,$C$6)</f>
        <v>0.211530680996997</v>
      </c>
      <c r="C49" s="19" t="n">
        <f aca="true">MAX(0.25,NORMINV(RAND(),$B$7,$C$7))</f>
        <v>0.488981655344167</v>
      </c>
      <c r="D49" s="32" t="n">
        <f aca="true">MAX(0.07,NORMINV(RAND(),$B$8,$C$8))</f>
        <v>0.0996581962324344</v>
      </c>
      <c r="E49" s="51" t="n">
        <f aca="true">MAX(8,NORMINV(RAND(),$B$9,$C$9))</f>
        <v>21.830589357989</v>
      </c>
      <c r="F49" s="24" t="n">
        <f aca="false">$B$18*(1+(B49+$B$17)/2)^9</f>
        <v>21013.4851740473</v>
      </c>
      <c r="G49" s="24" t="n">
        <f aca="false">F49*C49</f>
        <v>10275.2087649558</v>
      </c>
      <c r="H49" s="24" t="n">
        <f aca="false">E49*G49/(1+D49)^9</f>
        <v>95397.4299506068</v>
      </c>
      <c r="I49" s="24" t="n">
        <f aca="false">$B$13*G49/$B$12*((1+$B$8)/(1+D49))^4.5</f>
        <v>24231.2562948528</v>
      </c>
      <c r="J49" s="24" t="n">
        <f aca="false">H49+I49-$B$14</f>
        <v>117920.724450939</v>
      </c>
      <c r="K49" s="43" t="n">
        <f aca="false">J49/$B$15</f>
        <v>427.5588268707</v>
      </c>
      <c r="N49" s="3" t="s">
        <v>435</v>
      </c>
      <c r="O49" s="50" t="n">
        <v>300</v>
      </c>
      <c r="P49" s="50" t="n">
        <v>325</v>
      </c>
      <c r="Q49" s="50" t="n">
        <f aca="false">COUNTIFS($K$41:$K$540,"&gt;="&amp;O49,$K$41:$K$540,"&lt;"&amp;P49)</f>
        <v>76</v>
      </c>
    </row>
    <row r="50" customFormat="false" ht="15" hidden="false" customHeight="false" outlineLevel="0" collapsed="false">
      <c r="A50" s="50" t="n">
        <v>10</v>
      </c>
      <c r="B50" s="19" t="n">
        <f aca="true">NORMINV(RAND(),$B$6,$C$6)</f>
        <v>0.136978645009653</v>
      </c>
      <c r="C50" s="19" t="n">
        <f aca="true">MAX(0.25,NORMINV(RAND(),$B$7,$C$7))</f>
        <v>0.499399557053711</v>
      </c>
      <c r="D50" s="32" t="n">
        <f aca="true">MAX(0.07,NORMINV(RAND(),$B$8,$C$8))</f>
        <v>0.0989236222410194</v>
      </c>
      <c r="E50" s="51" t="n">
        <f aca="true">MAX(8,NORMINV(RAND(),$B$9,$C$9))</f>
        <v>25.9662990316092</v>
      </c>
      <c r="F50" s="24" t="n">
        <f aca="false">$B$18*(1+(B50+$B$17)/2)^9</f>
        <v>15603.4484034248</v>
      </c>
      <c r="G50" s="24" t="n">
        <f aca="false">F50*C50</f>
        <v>7792.35522118079</v>
      </c>
      <c r="H50" s="24" t="n">
        <f aca="false">E50*G50/(1+D50)^9</f>
        <v>86570.7570276475</v>
      </c>
      <c r="I50" s="24" t="n">
        <f aca="false">$B$13*G50/$B$12*((1+$B$8)/(1+D50))^4.5</f>
        <v>18431.4689254102</v>
      </c>
      <c r="J50" s="24" t="n">
        <f aca="false">H50+I50-$B$14</f>
        <v>103294.264158537</v>
      </c>
      <c r="K50" s="43" t="n">
        <f aca="false">J50/$B$15</f>
        <v>374.525975919279</v>
      </c>
      <c r="N50" s="3" t="s">
        <v>436</v>
      </c>
      <c r="O50" s="50" t="n">
        <v>325</v>
      </c>
      <c r="P50" s="50" t="n">
        <v>350</v>
      </c>
      <c r="Q50" s="50" t="n">
        <f aca="false">COUNTIFS($K$41:$K$540,"&gt;="&amp;O50,$K$41:$K$540,"&lt;"&amp;P50)</f>
        <v>45</v>
      </c>
    </row>
    <row r="51" customFormat="false" ht="15" hidden="false" customHeight="false" outlineLevel="0" collapsed="false">
      <c r="A51" s="50" t="n">
        <v>11</v>
      </c>
      <c r="B51" s="19" t="n">
        <f aca="true">NORMINV(RAND(),$B$6,$C$6)</f>
        <v>0.134283423655505</v>
      </c>
      <c r="C51" s="19" t="n">
        <f aca="true">MAX(0.25,NORMINV(RAND(),$B$7,$C$7))</f>
        <v>0.541613578018196</v>
      </c>
      <c r="D51" s="32" t="n">
        <f aca="true">MAX(0.07,NORMINV(RAND(),$B$8,$C$8))</f>
        <v>0.105989512628394</v>
      </c>
      <c r="E51" s="51" t="n">
        <f aca="true">MAX(8,NORMINV(RAND(),$B$9,$C$9))</f>
        <v>18.5116580772523</v>
      </c>
      <c r="F51" s="24" t="n">
        <f aca="false">$B$18*(1+(B51+$B$17)/2)^9</f>
        <v>15433.5516944936</v>
      </c>
      <c r="G51" s="24" t="n">
        <f aca="false">F51*C51</f>
        <v>8359.02115478344</v>
      </c>
      <c r="H51" s="24" t="n">
        <f aca="false">E51*G51/(1+D51)^9</f>
        <v>62494.4808362089</v>
      </c>
      <c r="I51" s="24" t="n">
        <f aca="false">$B$13*G51/$B$12*((1+$B$8)/(1+D51))^4.5</f>
        <v>19209.7132175316</v>
      </c>
      <c r="J51" s="24" t="n">
        <f aca="false">H51+I51-$B$14</f>
        <v>79996.23225922</v>
      </c>
      <c r="K51" s="43" t="n">
        <f aca="false">J51/$B$15</f>
        <v>290.051603550471</v>
      </c>
      <c r="N51" s="3" t="s">
        <v>437</v>
      </c>
      <c r="O51" s="50" t="n">
        <v>350</v>
      </c>
      <c r="P51" s="50" t="n">
        <v>375</v>
      </c>
      <c r="Q51" s="50" t="n">
        <f aca="false">COUNTIFS($K$41:$K$540,"&gt;="&amp;O51,$K$41:$K$540,"&lt;"&amp;P51)</f>
        <v>38</v>
      </c>
    </row>
    <row r="52" customFormat="false" ht="15" hidden="false" customHeight="false" outlineLevel="0" collapsed="false">
      <c r="A52" s="50" t="n">
        <v>12</v>
      </c>
      <c r="B52" s="19" t="n">
        <f aca="true">NORMINV(RAND(),$B$6,$C$6)</f>
        <v>0.116237029939765</v>
      </c>
      <c r="C52" s="19" t="n">
        <f aca="true">MAX(0.25,NORMINV(RAND(),$B$7,$C$7))</f>
        <v>0.493833628300488</v>
      </c>
      <c r="D52" s="32" t="n">
        <f aca="true">MAX(0.07,NORMINV(RAND(),$B$8,$C$8))</f>
        <v>0.099792006593423</v>
      </c>
      <c r="E52" s="51" t="n">
        <f aca="true">MAX(8,NORMINV(RAND(),$B$9,$C$9))</f>
        <v>21.6218071367294</v>
      </c>
      <c r="F52" s="24" t="n">
        <f aca="false">$B$18*(1+(B52+$B$17)/2)^9</f>
        <v>14337.713194487</v>
      </c>
      <c r="G52" s="24" t="n">
        <f aca="false">F52*C52</f>
        <v>7080.44492836528</v>
      </c>
      <c r="H52" s="24" t="n">
        <f aca="false">E52*G52/(1+D52)^9</f>
        <v>65036.5520249073</v>
      </c>
      <c r="I52" s="24" t="n">
        <f aca="false">$B$13*G52/$B$12*((1+$B$8)/(1+D52))^4.5</f>
        <v>16688.1437158446</v>
      </c>
      <c r="J52" s="24" t="n">
        <f aca="false">H52+I52-$B$14</f>
        <v>80016.7339462314</v>
      </c>
      <c r="K52" s="43" t="n">
        <f aca="false">J52/$B$15</f>
        <v>290.125938891339</v>
      </c>
      <c r="N52" s="3" t="s">
        <v>438</v>
      </c>
      <c r="O52" s="50" t="n">
        <v>375</v>
      </c>
      <c r="P52" s="50" t="n">
        <v>400</v>
      </c>
      <c r="Q52" s="50" t="n">
        <f aca="false">COUNTIFS($K$41:$K$540,"&gt;="&amp;O52,$K$41:$K$540,"&lt;"&amp;P52)</f>
        <v>23</v>
      </c>
    </row>
    <row r="53" customFormat="false" ht="15" hidden="false" customHeight="false" outlineLevel="0" collapsed="false">
      <c r="A53" s="50" t="n">
        <v>13</v>
      </c>
      <c r="B53" s="19" t="n">
        <f aca="true">NORMINV(RAND(),$B$6,$C$6)</f>
        <v>0.147712942620185</v>
      </c>
      <c r="C53" s="19" t="n">
        <f aca="true">MAX(0.25,NORMINV(RAND(),$B$7,$C$7))</f>
        <v>0.534446559329004</v>
      </c>
      <c r="D53" s="32" t="n">
        <f aca="true">MAX(0.07,NORMINV(RAND(),$B$8,$C$8))</f>
        <v>0.0830392622568825</v>
      </c>
      <c r="E53" s="51" t="n">
        <f aca="true">MAX(8,NORMINV(RAND(),$B$9,$C$9))</f>
        <v>19.9552118378569</v>
      </c>
      <c r="F53" s="24" t="n">
        <f aca="false">$B$18*(1+(B53+$B$17)/2)^9</f>
        <v>16296.7143494544</v>
      </c>
      <c r="G53" s="24" t="n">
        <f aca="false">F53*C53</f>
        <v>8709.7229124335</v>
      </c>
      <c r="H53" s="24" t="n">
        <f aca="false">E53*G53/(1+D53)^9</f>
        <v>84774.0385375404</v>
      </c>
      <c r="I53" s="24" t="n">
        <f aca="false">$B$13*G53/$B$12*((1+$B$8)/(1+D53))^4.5</f>
        <v>21996.340377742</v>
      </c>
      <c r="J53" s="24" t="n">
        <f aca="false">H53+I53-$B$14</f>
        <v>105062.417120762</v>
      </c>
      <c r="K53" s="43" t="n">
        <f aca="false">J53/$B$15</f>
        <v>380.93697288166</v>
      </c>
      <c r="N53" s="3" t="s">
        <v>439</v>
      </c>
      <c r="O53" s="50" t="n">
        <v>400</v>
      </c>
      <c r="P53" s="50" t="n">
        <v>425</v>
      </c>
      <c r="Q53" s="50" t="n">
        <f aca="false">COUNTIFS($K$41:$K$540,"&gt;="&amp;O53,$K$41:$K$540,"&lt;"&amp;P53)</f>
        <v>15</v>
      </c>
    </row>
    <row r="54" customFormat="false" ht="15" hidden="false" customHeight="false" outlineLevel="0" collapsed="false">
      <c r="A54" s="50" t="n">
        <v>14</v>
      </c>
      <c r="B54" s="19" t="n">
        <f aca="true">NORMINV(RAND(),$B$6,$C$6)</f>
        <v>0.112660091814345</v>
      </c>
      <c r="C54" s="19" t="n">
        <f aca="true">MAX(0.25,NORMINV(RAND(),$B$7,$C$7))</f>
        <v>0.498696708391904</v>
      </c>
      <c r="D54" s="32" t="n">
        <f aca="true">MAX(0.07,NORMINV(RAND(),$B$8,$C$8))</f>
        <v>0.0910533412427119</v>
      </c>
      <c r="E54" s="51" t="n">
        <f aca="true">MAX(8,NORMINV(RAND(),$B$9,$C$9))</f>
        <v>21.3246991074959</v>
      </c>
      <c r="F54" s="24" t="n">
        <f aca="false">$B$18*(1+(B54+$B$17)/2)^9</f>
        <v>14128.9149360342</v>
      </c>
      <c r="G54" s="24" t="n">
        <f aca="false">F54*C54</f>
        <v>7046.04337174944</v>
      </c>
      <c r="H54" s="24" t="n">
        <f aca="false">E54*G54/(1+D54)^9</f>
        <v>68582.6672874685</v>
      </c>
      <c r="I54" s="24" t="n">
        <f aca="false">$B$13*G54/$B$12*((1+$B$8)/(1+D54))^4.5</f>
        <v>17214.0627867881</v>
      </c>
      <c r="J54" s="24" t="n">
        <f aca="false">H54+I54-$B$14</f>
        <v>84088.768279736</v>
      </c>
      <c r="K54" s="43" t="n">
        <f aca="false">J54/$B$15</f>
        <v>304.890385350747</v>
      </c>
      <c r="N54" s="3" t="s">
        <v>440</v>
      </c>
      <c r="O54" s="50" t="n">
        <v>425</v>
      </c>
      <c r="P54" s="50" t="n">
        <v>450</v>
      </c>
      <c r="Q54" s="50" t="n">
        <f aca="false">COUNTIFS($K$41:$K$540,"&gt;="&amp;O54,$K$41:$K$540,"&lt;"&amp;P54)</f>
        <v>6</v>
      </c>
    </row>
    <row r="55" customFormat="false" ht="15" hidden="false" customHeight="false" outlineLevel="0" collapsed="false">
      <c r="A55" s="50" t="n">
        <v>15</v>
      </c>
      <c r="B55" s="19" t="n">
        <f aca="true">NORMINV(RAND(),$B$6,$C$6)</f>
        <v>0.126628719297379</v>
      </c>
      <c r="C55" s="19" t="n">
        <f aca="true">MAX(0.25,NORMINV(RAND(),$B$7,$C$7))</f>
        <v>0.46339141469679</v>
      </c>
      <c r="D55" s="32" t="n">
        <f aca="true">MAX(0.07,NORMINV(RAND(),$B$8,$C$8))</f>
        <v>0.106179088511776</v>
      </c>
      <c r="E55" s="51" t="n">
        <f aca="true">MAX(8,NORMINV(RAND(),$B$9,$C$9))</f>
        <v>19.5337570353595</v>
      </c>
      <c r="F55" s="24" t="n">
        <f aca="false">$B$18*(1+(B55+$B$17)/2)^9</f>
        <v>14959.9587835723</v>
      </c>
      <c r="G55" s="24" t="n">
        <f aca="false">F55*C55</f>
        <v>6932.31646452525</v>
      </c>
      <c r="H55" s="24" t="n">
        <f aca="false">E55*G55/(1+D55)^9</f>
        <v>54605.3460999394</v>
      </c>
      <c r="I55" s="24" t="n">
        <f aca="false">$B$13*G55/$B$12*((1+$B$8)/(1+D55))^4.5</f>
        <v>15918.7469192292</v>
      </c>
      <c r="J55" s="24" t="n">
        <f aca="false">H55+I55-$B$14</f>
        <v>68816.1312246481</v>
      </c>
      <c r="K55" s="43" t="n">
        <f aca="false">J55/$B$15</f>
        <v>249.514616478057</v>
      </c>
      <c r="N55" s="3" t="s">
        <v>441</v>
      </c>
      <c r="O55" s="50" t="n">
        <v>450</v>
      </c>
      <c r="P55" s="50" t="n">
        <v>475</v>
      </c>
      <c r="Q55" s="50" t="n">
        <f aca="false">COUNTIFS($K$41:$K$540,"&gt;="&amp;O55,$K$41:$K$540,"&lt;"&amp;P55)</f>
        <v>3</v>
      </c>
    </row>
    <row r="56" customFormat="false" ht="15" hidden="false" customHeight="false" outlineLevel="0" collapsed="false">
      <c r="A56" s="50" t="n">
        <v>16</v>
      </c>
      <c r="B56" s="19" t="n">
        <f aca="true">NORMINV(RAND(),$B$6,$C$6)</f>
        <v>0.11369439216248</v>
      </c>
      <c r="C56" s="19" t="n">
        <f aca="true">MAX(0.25,NORMINV(RAND(),$B$7,$C$7))</f>
        <v>0.512677614418657</v>
      </c>
      <c r="D56" s="32" t="n">
        <f aca="true">MAX(0.07,NORMINV(RAND(),$B$8,$C$8))</f>
        <v>0.103372476557025</v>
      </c>
      <c r="E56" s="51" t="n">
        <f aca="true">MAX(8,NORMINV(RAND(),$B$9,$C$9))</f>
        <v>24.1872434608894</v>
      </c>
      <c r="F56" s="24" t="n">
        <f aca="false">$B$18*(1+(B56+$B$17)/2)^9</f>
        <v>14189.0110309332</v>
      </c>
      <c r="G56" s="24" t="n">
        <f aca="false">F56*C56</f>
        <v>7274.38832629884</v>
      </c>
      <c r="H56" s="24" t="n">
        <f aca="false">E56*G56/(1+D56)^9</f>
        <v>72591.1271739418</v>
      </c>
      <c r="I56" s="24" t="n">
        <f aca="false">$B$13*G56/$B$12*((1+$B$8)/(1+D56))^4.5</f>
        <v>16896.3080694984</v>
      </c>
      <c r="J56" s="24" t="n">
        <f aca="false">H56+I56-$B$14</f>
        <v>87779.4734489197</v>
      </c>
      <c r="K56" s="43" t="n">
        <f aca="false">J56/$B$15</f>
        <v>318.272202497896</v>
      </c>
      <c r="N56" s="3" t="s">
        <v>442</v>
      </c>
      <c r="O56" s="50" t="n">
        <v>475</v>
      </c>
      <c r="P56" s="50" t="n">
        <v>500</v>
      </c>
      <c r="Q56" s="50" t="n">
        <f aca="false">COUNTIFS($K$41:$K$540,"&gt;="&amp;O56,$K$41:$K$540,"&lt;"&amp;P56)</f>
        <v>1</v>
      </c>
    </row>
    <row r="57" customFormat="false" ht="15" hidden="false" customHeight="false" outlineLevel="0" collapsed="false">
      <c r="A57" s="50" t="n">
        <v>17</v>
      </c>
      <c r="B57" s="19" t="n">
        <f aca="true">NORMINV(RAND(),$B$6,$C$6)</f>
        <v>0.0761722654944629</v>
      </c>
      <c r="C57" s="19" t="n">
        <f aca="true">MAX(0.25,NORMINV(RAND(),$B$7,$C$7))</f>
        <v>0.50441266110993</v>
      </c>
      <c r="D57" s="32" t="n">
        <f aca="true">MAX(0.07,NORMINV(RAND(),$B$8,$C$8))</f>
        <v>0.0954224603628147</v>
      </c>
      <c r="E57" s="51" t="n">
        <f aca="true">MAX(8,NORMINV(RAND(),$B$9,$C$9))</f>
        <v>19.9824533693749</v>
      </c>
      <c r="F57" s="24" t="n">
        <f aca="false">$B$18*(1+(B57+$B$17)/2)^9</f>
        <v>12148.3725065607</v>
      </c>
      <c r="G57" s="24" t="n">
        <f aca="false">F57*C57</f>
        <v>6127.79290418898</v>
      </c>
      <c r="H57" s="24" t="n">
        <f aca="false">E57*G57/(1+D57)^9</f>
        <v>53916.0559216545</v>
      </c>
      <c r="I57" s="24" t="n">
        <f aca="false">$B$13*G57/$B$12*((1+$B$8)/(1+D57))^4.5</f>
        <v>14703.8712061372</v>
      </c>
      <c r="J57" s="24" t="n">
        <f aca="false">H57+I57-$B$14</f>
        <v>66911.9653332712</v>
      </c>
      <c r="K57" s="43" t="n">
        <f aca="false">J57/$B$15</f>
        <v>242.610461686988</v>
      </c>
      <c r="N57" s="3" t="s">
        <v>443</v>
      </c>
      <c r="O57" s="50" t="n">
        <v>500</v>
      </c>
      <c r="P57" s="50" t="n">
        <v>525</v>
      </c>
      <c r="Q57" s="50" t="n">
        <f aca="false">COUNTIFS($K$41:$K$540,"&gt;="&amp;O57,$K$41:$K$540,"&lt;"&amp;P57)</f>
        <v>1</v>
      </c>
    </row>
    <row r="58" customFormat="false" ht="15" hidden="false" customHeight="false" outlineLevel="0" collapsed="false">
      <c r="A58" s="50" t="n">
        <v>18</v>
      </c>
      <c r="B58" s="19" t="n">
        <f aca="true">NORMINV(RAND(),$B$6,$C$6)</f>
        <v>0.158855470694405</v>
      </c>
      <c r="C58" s="19" t="n">
        <f aca="true">MAX(0.25,NORMINV(RAND(),$B$7,$C$7))</f>
        <v>0.480448394816903</v>
      </c>
      <c r="D58" s="32" t="n">
        <f aca="true">MAX(0.07,NORMINV(RAND(),$B$8,$C$8))</f>
        <v>0.0882004790289629</v>
      </c>
      <c r="E58" s="51" t="n">
        <f aca="true">MAX(8,NORMINV(RAND(),$B$9,$C$9))</f>
        <v>16.611814808043</v>
      </c>
      <c r="F58" s="24" t="n">
        <f aca="false">$B$18*(1+(B58+$B$17)/2)^9</f>
        <v>17045.1775113712</v>
      </c>
      <c r="G58" s="24" t="n">
        <f aca="false">F58*C58</f>
        <v>8189.32817470747</v>
      </c>
      <c r="H58" s="24" t="n">
        <f aca="false">E58*G58/(1+D58)^9</f>
        <v>63574.8202998799</v>
      </c>
      <c r="I58" s="24" t="n">
        <f aca="false">$B$13*G58/$B$12*((1+$B$8)/(1+D58))^4.5</f>
        <v>20244.3186521085</v>
      </c>
      <c r="J58" s="24" t="n">
        <f aca="false">H58+I58-$B$14</f>
        <v>82111.1771574679</v>
      </c>
      <c r="K58" s="43" t="n">
        <f aca="false">J58/$B$15</f>
        <v>297.720004196765</v>
      </c>
      <c r="N58" s="3" t="s">
        <v>444</v>
      </c>
      <c r="O58" s="50" t="n">
        <v>525</v>
      </c>
      <c r="P58" s="50" t="n">
        <v>550</v>
      </c>
      <c r="Q58" s="50" t="n">
        <f aca="false">COUNTIFS($K$41:$K$540,"&gt;="&amp;O58,$K$41:$K$540,"&lt;"&amp;P58)</f>
        <v>1</v>
      </c>
    </row>
    <row r="59" customFormat="false" ht="15" hidden="false" customHeight="false" outlineLevel="0" collapsed="false">
      <c r="A59" s="50" t="n">
        <v>19</v>
      </c>
      <c r="B59" s="19" t="n">
        <f aca="true">NORMINV(RAND(),$B$6,$C$6)</f>
        <v>0.178564029076342</v>
      </c>
      <c r="C59" s="19" t="n">
        <f aca="true">MAX(0.25,NORMINV(RAND(),$B$7,$C$7))</f>
        <v>0.512322941070362</v>
      </c>
      <c r="D59" s="32" t="n">
        <f aca="true">MAX(0.07,NORMINV(RAND(),$B$8,$C$8))</f>
        <v>0.0864296874002639</v>
      </c>
      <c r="E59" s="51" t="n">
        <f aca="true">MAX(8,NORMINV(RAND(),$B$9,$C$9))</f>
        <v>25.905387434082</v>
      </c>
      <c r="F59" s="24" t="n">
        <f aca="false">$B$18*(1+(B59+$B$17)/2)^9</f>
        <v>18444.1508157721</v>
      </c>
      <c r="G59" s="24" t="n">
        <f aca="false">F59*C59</f>
        <v>9449.36159148169</v>
      </c>
      <c r="H59" s="24" t="n">
        <f aca="false">E59*G59/(1+D59)^9</f>
        <v>116085.49021104</v>
      </c>
      <c r="I59" s="24" t="n">
        <f aca="false">$B$13*G59/$B$12*((1+$B$8)/(1+D59))^4.5</f>
        <v>23530.9875909493</v>
      </c>
      <c r="J59" s="24" t="n">
        <f aca="false">H59+I59-$B$14</f>
        <v>137908.516007469</v>
      </c>
      <c r="K59" s="43" t="n">
        <f aca="false">J59/$B$15</f>
        <v>500.030877474508</v>
      </c>
      <c r="N59" s="3" t="s">
        <v>445</v>
      </c>
      <c r="O59" s="50" t="n">
        <v>550</v>
      </c>
      <c r="P59" s="50" t="n">
        <v>575</v>
      </c>
      <c r="Q59" s="50" t="n">
        <f aca="false">COUNTIFS($K$41:$K$540,"&gt;="&amp;O59,$K$41:$K$540,"&lt;"&amp;P59)</f>
        <v>0</v>
      </c>
    </row>
    <row r="60" customFormat="false" ht="15" hidden="false" customHeight="false" outlineLevel="0" collapsed="false">
      <c r="A60" s="50" t="n">
        <v>20</v>
      </c>
      <c r="B60" s="19" t="n">
        <f aca="true">NORMINV(RAND(),$B$6,$C$6)</f>
        <v>0.160882316825675</v>
      </c>
      <c r="C60" s="19" t="n">
        <f aca="true">MAX(0.25,NORMINV(RAND(),$B$7,$C$7))</f>
        <v>0.53624226984284</v>
      </c>
      <c r="D60" s="32" t="n">
        <f aca="true">MAX(0.07,NORMINV(RAND(),$B$8,$C$8))</f>
        <v>0.104076506771545</v>
      </c>
      <c r="E60" s="51" t="n">
        <f aca="true">MAX(8,NORMINV(RAND(),$B$9,$C$9))</f>
        <v>17.5138685938658</v>
      </c>
      <c r="F60" s="24" t="n">
        <f aca="false">$B$18*(1+(B60+$B$17)/2)^9</f>
        <v>17184.5611856267</v>
      </c>
      <c r="G60" s="24" t="n">
        <f aca="false">F60*C60</f>
        <v>9215.08809643364</v>
      </c>
      <c r="H60" s="24" t="n">
        <f aca="false">E60*G60/(1+D60)^9</f>
        <v>66204.7361707852</v>
      </c>
      <c r="I60" s="24" t="n">
        <f aca="false">$B$13*G60/$B$12*((1+$B$8)/(1+D60))^4.5</f>
        <v>21342.6444137784</v>
      </c>
      <c r="J60" s="24" t="n">
        <f aca="false">H60+I60-$B$14</f>
        <v>85839.4187900431</v>
      </c>
      <c r="K60" s="43" t="n">
        <f aca="false">J60/$B$15</f>
        <v>311.237921646277</v>
      </c>
      <c r="N60" s="3" t="s">
        <v>446</v>
      </c>
      <c r="O60" s="50" t="n">
        <v>575</v>
      </c>
      <c r="P60" s="50" t="n">
        <v>600</v>
      </c>
      <c r="Q60" s="50" t="n">
        <f aca="false">COUNTIFS($K$41:$K$540,"&gt;="&amp;O60,$K$41:$K$540,"&lt;"&amp;P60)</f>
        <v>0</v>
      </c>
    </row>
    <row r="61" customFormat="false" ht="15" hidden="false" customHeight="false" outlineLevel="0" collapsed="false">
      <c r="A61" s="50" t="n">
        <v>21</v>
      </c>
      <c r="B61" s="19" t="n">
        <f aca="true">NORMINV(RAND(),$B$6,$C$6)</f>
        <v>0.146530077697586</v>
      </c>
      <c r="C61" s="19" t="n">
        <f aca="true">MAX(0.25,NORMINV(RAND(),$B$7,$C$7))</f>
        <v>0.527571268996372</v>
      </c>
      <c r="D61" s="32" t="n">
        <f aca="true">MAX(0.07,NORMINV(RAND(),$B$8,$C$8))</f>
        <v>0.0921560635882904</v>
      </c>
      <c r="E61" s="51" t="n">
        <f aca="true">MAX(8,NORMINV(RAND(),$B$9,$C$9))</f>
        <v>20.0812748006161</v>
      </c>
      <c r="F61" s="24" t="n">
        <f aca="false">$B$18*(1+(B61+$B$17)/2)^9</f>
        <v>16219.0008887503</v>
      </c>
      <c r="G61" s="24" t="n">
        <f aca="false">F61*C61</f>
        <v>8556.67888073129</v>
      </c>
      <c r="H61" s="24" t="n">
        <f aca="false">E61*G61/(1+D61)^9</f>
        <v>77720.2522535308</v>
      </c>
      <c r="I61" s="24" t="n">
        <f aca="false">$B$13*G61/$B$12*((1+$B$8)/(1+D61))^4.5</f>
        <v>20809.8559959823</v>
      </c>
      <c r="J61" s="24" t="n">
        <f aca="false">H61+I61-$B$14</f>
        <v>96822.1464549926</v>
      </c>
      <c r="K61" s="43" t="n">
        <f aca="false">J61/$B$15</f>
        <v>351.059269234926</v>
      </c>
      <c r="N61" s="3" t="s">
        <v>447</v>
      </c>
      <c r="O61" s="50" t="n">
        <v>600</v>
      </c>
      <c r="P61" s="50" t="n">
        <v>625</v>
      </c>
      <c r="Q61" s="50" t="n">
        <f aca="false">COUNTIF($K$41:$K$540,"&gt;="&amp;O61)</f>
        <v>1</v>
      </c>
    </row>
    <row r="62" customFormat="false" ht="15" hidden="false" customHeight="false" outlineLevel="0" collapsed="false">
      <c r="A62" s="50" t="n">
        <v>22</v>
      </c>
      <c r="B62" s="19" t="n">
        <f aca="true">NORMINV(RAND(),$B$6,$C$6)</f>
        <v>0.184178223832637</v>
      </c>
      <c r="C62" s="19" t="n">
        <f aca="true">MAX(0.25,NORMINV(RAND(),$B$7,$C$7))</f>
        <v>0.495833413437016</v>
      </c>
      <c r="D62" s="32" t="n">
        <f aca="true">MAX(0.07,NORMINV(RAND(),$B$8,$C$8))</f>
        <v>0.0987464291138742</v>
      </c>
      <c r="E62" s="51" t="n">
        <f aca="true">MAX(8,NORMINV(RAND(),$B$9,$C$9))</f>
        <v>22.4847624853542</v>
      </c>
      <c r="F62" s="24" t="n">
        <f aca="false">$B$18*(1+(B62+$B$17)/2)^9</f>
        <v>18860.9030840618</v>
      </c>
      <c r="G62" s="24" t="n">
        <f aca="false">F62*C62</f>
        <v>9351.86595667508</v>
      </c>
      <c r="H62" s="24" t="n">
        <f aca="false">E62*G62/(1+D62)^9</f>
        <v>90096.7837328283</v>
      </c>
      <c r="I62" s="24" t="n">
        <f aca="false">$B$13*G62/$B$12*((1+$B$8)/(1+D62))^4.5</f>
        <v>22136.2792734072</v>
      </c>
      <c r="J62" s="24" t="n">
        <f aca="false">H62+I62-$B$14</f>
        <v>110525.101211715</v>
      </c>
      <c r="K62" s="43" t="n">
        <f aca="false">J62/$B$15</f>
        <v>400.74365921579</v>
      </c>
    </row>
    <row r="63" customFormat="false" ht="15" hidden="false" customHeight="false" outlineLevel="0" collapsed="false">
      <c r="A63" s="50" t="n">
        <v>23</v>
      </c>
      <c r="B63" s="19" t="n">
        <f aca="true">NORMINV(RAND(),$B$6,$C$6)</f>
        <v>0.14103774783696</v>
      </c>
      <c r="C63" s="19" t="n">
        <f aca="true">MAX(0.25,NORMINV(RAND(),$B$7,$C$7))</f>
        <v>0.560105757126829</v>
      </c>
      <c r="D63" s="32" t="n">
        <f aca="true">MAX(0.07,NORMINV(RAND(),$B$8,$C$8))</f>
        <v>0.104356521600173</v>
      </c>
      <c r="E63" s="51" t="n">
        <f aca="true">MAX(8,NORMINV(RAND(),$B$9,$C$9))</f>
        <v>12.6289358993563</v>
      </c>
      <c r="F63" s="24" t="n">
        <f aca="false">$B$18*(1+(B63+$B$17)/2)^9</f>
        <v>15862.4570160787</v>
      </c>
      <c r="G63" s="24" t="n">
        <f aca="false">F63*C63</f>
        <v>8884.65349688253</v>
      </c>
      <c r="H63" s="24" t="n">
        <f aca="false">E63*G63/(1+D63)^9</f>
        <v>45922.291628858</v>
      </c>
      <c r="I63" s="24" t="n">
        <f aca="false">$B$13*G63/$B$12*((1+$B$8)/(1+D63))^4.5</f>
        <v>20553.8716851017</v>
      </c>
      <c r="J63" s="24" t="n">
        <f aca="false">H63+I63-$B$14</f>
        <v>64768.2015194391</v>
      </c>
      <c r="K63" s="43" t="n">
        <f aca="false">J63/$B$15</f>
        <v>234.837568960983</v>
      </c>
    </row>
    <row r="64" customFormat="false" ht="15" hidden="false" customHeight="false" outlineLevel="0" collapsed="false">
      <c r="A64" s="50" t="n">
        <v>24</v>
      </c>
      <c r="B64" s="19" t="n">
        <f aca="true">NORMINV(RAND(),$B$6,$C$6)</f>
        <v>0.142037908957316</v>
      </c>
      <c r="C64" s="19" t="n">
        <f aca="true">MAX(0.25,NORMINV(RAND(),$B$7,$C$7))</f>
        <v>0.513683088791499</v>
      </c>
      <c r="D64" s="32" t="n">
        <f aca="true">MAX(0.07,NORMINV(RAND(),$B$8,$C$8))</f>
        <v>0.100625388963057</v>
      </c>
      <c r="E64" s="51" t="n">
        <f aca="true">MAX(8,NORMINV(RAND(),$B$9,$C$9))</f>
        <v>21.5762051664023</v>
      </c>
      <c r="F64" s="24" t="n">
        <f aca="false">$B$18*(1+(B64+$B$17)/2)^9</f>
        <v>15926.8605037238</v>
      </c>
      <c r="G64" s="24" t="n">
        <f aca="false">F64*C64</f>
        <v>8181.35889830419</v>
      </c>
      <c r="H64" s="24" t="n">
        <f aca="false">E64*G64/(1+D64)^9</f>
        <v>74480.8744082137</v>
      </c>
      <c r="I64" s="24" t="n">
        <f aca="false">$B$13*G64/$B$12*((1+$B$8)/(1+D64))^4.5</f>
        <v>19217.308892954</v>
      </c>
      <c r="J64" s="24" t="n">
        <f aca="false">H64+I64-$B$14</f>
        <v>91990.2215066472</v>
      </c>
      <c r="K64" s="43" t="n">
        <f aca="false">J64/$B$15</f>
        <v>333.539599371455</v>
      </c>
    </row>
    <row r="65" customFormat="false" ht="15" hidden="false" customHeight="false" outlineLevel="0" collapsed="false">
      <c r="A65" s="50" t="n">
        <v>25</v>
      </c>
      <c r="B65" s="19" t="n">
        <f aca="true">NORMINV(RAND(),$B$6,$C$6)</f>
        <v>0.0667626936923148</v>
      </c>
      <c r="C65" s="19" t="n">
        <f aca="true">MAX(0.25,NORMINV(RAND(),$B$7,$C$7))</f>
        <v>0.464983144273132</v>
      </c>
      <c r="D65" s="32" t="n">
        <f aca="true">MAX(0.07,NORMINV(RAND(),$B$8,$C$8))</f>
        <v>0.0931744900290739</v>
      </c>
      <c r="E65" s="51" t="n">
        <f aca="true">MAX(8,NORMINV(RAND(),$B$9,$C$9))</f>
        <v>25.7106661587478</v>
      </c>
      <c r="F65" s="24" t="n">
        <f aca="false">$B$18*(1+(B65+$B$17)/2)^9</f>
        <v>11679.475952135</v>
      </c>
      <c r="G65" s="24" t="n">
        <f aca="false">F65*C65</f>
        <v>5430.75945168617</v>
      </c>
      <c r="H65" s="24" t="n">
        <f aca="false">E65*G65/(1+D65)^9</f>
        <v>62627.9936351362</v>
      </c>
      <c r="I65" s="24" t="n">
        <f aca="false">$B$13*G65/$B$12*((1+$B$8)/(1+D65))^4.5</f>
        <v>13152.3350847651</v>
      </c>
      <c r="J65" s="24" t="n">
        <f aca="false">H65+I65-$B$14</f>
        <v>74072.3669253807</v>
      </c>
      <c r="K65" s="43" t="n">
        <f aca="false">J65/$B$15</f>
        <v>268.572758975274</v>
      </c>
    </row>
    <row r="66" customFormat="false" ht="15" hidden="false" customHeight="false" outlineLevel="0" collapsed="false">
      <c r="A66" s="50" t="n">
        <v>26</v>
      </c>
      <c r="B66" s="19" t="n">
        <f aca="true">NORMINV(RAND(),$B$6,$C$6)</f>
        <v>0.110292194069441</v>
      </c>
      <c r="C66" s="19" t="n">
        <f aca="true">MAX(0.25,NORMINV(RAND(),$B$7,$C$7))</f>
        <v>0.480924618090334</v>
      </c>
      <c r="D66" s="32" t="n">
        <f aca="true">MAX(0.07,NORMINV(RAND(),$B$8,$C$8))</f>
        <v>0.0953776478696834</v>
      </c>
      <c r="E66" s="51" t="n">
        <f aca="true">MAX(8,NORMINV(RAND(),$B$9,$C$9))</f>
        <v>23.6486117375688</v>
      </c>
      <c r="F66" s="24" t="n">
        <f aca="false">$B$18*(1+(B66+$B$17)/2)^9</f>
        <v>13992.1837393975</v>
      </c>
      <c r="G66" s="24" t="n">
        <f aca="false">F66*C66</f>
        <v>6729.18562111954</v>
      </c>
      <c r="H66" s="24" t="n">
        <f aca="false">E66*G66/(1+D66)^9</f>
        <v>70096.0085180956</v>
      </c>
      <c r="I66" s="24" t="n">
        <f aca="false">$B$13*G66/$B$12*((1+$B$8)/(1+D66))^4.5</f>
        <v>16149.9086346687</v>
      </c>
      <c r="J66" s="24" t="n">
        <f aca="false">H66+I66-$B$14</f>
        <v>84537.9553582437</v>
      </c>
      <c r="K66" s="43" t="n">
        <f aca="false">J66/$B$15</f>
        <v>306.519054961</v>
      </c>
    </row>
    <row r="67" customFormat="false" ht="15" hidden="false" customHeight="false" outlineLevel="0" collapsed="false">
      <c r="A67" s="50" t="n">
        <v>27</v>
      </c>
      <c r="B67" s="19" t="n">
        <f aca="true">NORMINV(RAND(),$B$6,$C$6)</f>
        <v>0.0986730856937826</v>
      </c>
      <c r="C67" s="19" t="n">
        <f aca="true">MAX(0.25,NORMINV(RAND(),$B$7,$C$7))</f>
        <v>0.484901392671568</v>
      </c>
      <c r="D67" s="32" t="n">
        <f aca="true">MAX(0.07,NORMINV(RAND(),$B$8,$C$8))</f>
        <v>0.110156745247227</v>
      </c>
      <c r="E67" s="51" t="n">
        <f aca="true">MAX(8,NORMINV(RAND(),$B$9,$C$9))</f>
        <v>22.0157412225596</v>
      </c>
      <c r="F67" s="24" t="n">
        <f aca="false">$B$18*(1+(B67+$B$17)/2)^9</f>
        <v>13338.1505871444</v>
      </c>
      <c r="G67" s="24" t="n">
        <f aca="false">F67*C67</f>
        <v>6467.6877953694</v>
      </c>
      <c r="H67" s="24" t="n">
        <f aca="false">E67*G67/(1+D67)^9</f>
        <v>55593.4519396876</v>
      </c>
      <c r="I67" s="24" t="n">
        <f aca="false">$B$13*G67/$B$12*((1+$B$8)/(1+D67))^4.5</f>
        <v>14613.8513506613</v>
      </c>
      <c r="J67" s="24" t="n">
        <f aca="false">H67+I67-$B$14</f>
        <v>68499.3414958284</v>
      </c>
      <c r="K67" s="43" t="n">
        <f aca="false">J67/$B$15</f>
        <v>248.365995271314</v>
      </c>
    </row>
    <row r="68" customFormat="false" ht="15" hidden="false" customHeight="false" outlineLevel="0" collapsed="false">
      <c r="A68" s="50" t="n">
        <v>28</v>
      </c>
      <c r="B68" s="19" t="n">
        <f aca="true">NORMINV(RAND(),$B$6,$C$6)</f>
        <v>0.155919673629613</v>
      </c>
      <c r="C68" s="19" t="n">
        <f aca="true">MAX(0.25,NORMINV(RAND(),$B$7,$C$7))</f>
        <v>0.509603134714344</v>
      </c>
      <c r="D68" s="32" t="n">
        <f aca="true">MAX(0.07,NORMINV(RAND(),$B$8,$C$8))</f>
        <v>0.0974844398677772</v>
      </c>
      <c r="E68" s="51" t="n">
        <f aca="true">MAX(8,NORMINV(RAND(),$B$9,$C$9))</f>
        <v>20.9675047866863</v>
      </c>
      <c r="F68" s="24" t="n">
        <f aca="false">$B$18*(1+(B68+$B$17)/2)^9</f>
        <v>16845.0683101659</v>
      </c>
      <c r="G68" s="24" t="n">
        <f aca="false">F68*C68</f>
        <v>8584.29961533778</v>
      </c>
      <c r="H68" s="24" t="n">
        <f aca="false">E68*G68/(1+D68)^9</f>
        <v>77923.1094483755</v>
      </c>
      <c r="I68" s="24" t="n">
        <f aca="false">$B$13*G68/$B$12*((1+$B$8)/(1+D68))^4.5</f>
        <v>20424.7708239055</v>
      </c>
      <c r="J68" s="24" t="n">
        <f aca="false">H68+I68-$B$14</f>
        <v>96639.9184777604</v>
      </c>
      <c r="K68" s="43" t="n">
        <f aca="false">J68/$B$15</f>
        <v>350.398544154316</v>
      </c>
    </row>
    <row r="69" customFormat="false" ht="15" hidden="false" customHeight="false" outlineLevel="0" collapsed="false">
      <c r="A69" s="50" t="n">
        <v>29</v>
      </c>
      <c r="B69" s="19" t="n">
        <f aca="true">NORMINV(RAND(),$B$6,$C$6)</f>
        <v>0.104136097461058</v>
      </c>
      <c r="C69" s="19" t="n">
        <f aca="true">MAX(0.25,NORMINV(RAND(),$B$7,$C$7))</f>
        <v>0.529482379271989</v>
      </c>
      <c r="D69" s="32" t="n">
        <f aca="true">MAX(0.07,NORMINV(RAND(),$B$8,$C$8))</f>
        <v>0.106694703391944</v>
      </c>
      <c r="E69" s="51" t="n">
        <f aca="true">MAX(8,NORMINV(RAND(),$B$9,$C$9))</f>
        <v>22.5781576349835</v>
      </c>
      <c r="F69" s="24" t="n">
        <f aca="false">$B$18*(1+(B69+$B$17)/2)^9</f>
        <v>13642.1955307922</v>
      </c>
      <c r="G69" s="24" t="n">
        <f aca="false">F69*C69</f>
        <v>7223.30214813753</v>
      </c>
      <c r="H69" s="24" t="n">
        <f aca="false">E69*G69/(1+D69)^9</f>
        <v>65489.8204265608</v>
      </c>
      <c r="I69" s="24" t="n">
        <f aca="false">$B$13*G69/$B$12*((1+$B$8)/(1+D69))^4.5</f>
        <v>16552.1928258525</v>
      </c>
      <c r="J69" s="24" t="n">
        <f aca="false">H69+I69-$B$14</f>
        <v>80334.0514578927</v>
      </c>
      <c r="K69" s="43" t="n">
        <f aca="false">J69/$B$15</f>
        <v>291.276473741453</v>
      </c>
    </row>
    <row r="70" customFormat="false" ht="15" hidden="false" customHeight="false" outlineLevel="0" collapsed="false">
      <c r="A70" s="50" t="n">
        <v>30</v>
      </c>
      <c r="B70" s="19" t="n">
        <f aca="true">NORMINV(RAND(),$B$6,$C$6)</f>
        <v>0.0989339276077128</v>
      </c>
      <c r="C70" s="19" t="n">
        <f aca="true">MAX(0.25,NORMINV(RAND(),$B$7,$C$7))</f>
        <v>0.463056969186182</v>
      </c>
      <c r="D70" s="32" t="n">
        <f aca="true">MAX(0.07,NORMINV(RAND(),$B$8,$C$8))</f>
        <v>0.113072398449411</v>
      </c>
      <c r="E70" s="51" t="n">
        <f aca="true">MAX(8,NORMINV(RAND(),$B$9,$C$9))</f>
        <v>20.9016064465204</v>
      </c>
      <c r="F70" s="24" t="n">
        <f aca="false">$B$18*(1+(B70+$B$17)/2)^9</f>
        <v>13352.5296779944</v>
      </c>
      <c r="G70" s="24" t="n">
        <f aca="false">F70*C70</f>
        <v>6182.98192366064</v>
      </c>
      <c r="H70" s="24" t="n">
        <f aca="false">E70*G70/(1+D70)^9</f>
        <v>49279.571436989</v>
      </c>
      <c r="I70" s="24" t="n">
        <f aca="false">$B$13*G70/$B$12*((1+$B$8)/(1+D70))^4.5</f>
        <v>13806.6276737966</v>
      </c>
      <c r="J70" s="24" t="n">
        <f aca="false">H70+I70-$B$14</f>
        <v>61378.237316265</v>
      </c>
      <c r="K70" s="43" t="n">
        <f aca="false">J70/$B$15</f>
        <v>222.546183162672</v>
      </c>
    </row>
    <row r="71" customFormat="false" ht="15" hidden="false" customHeight="false" outlineLevel="0" collapsed="false">
      <c r="A71" s="50" t="n">
        <v>31</v>
      </c>
      <c r="B71" s="19" t="n">
        <f aca="true">NORMINV(RAND(),$B$6,$C$6)</f>
        <v>0.155673859414193</v>
      </c>
      <c r="C71" s="19" t="n">
        <f aca="true">MAX(0.25,NORMINV(RAND(),$B$7,$C$7))</f>
        <v>0.471357360006279</v>
      </c>
      <c r="D71" s="32" t="n">
        <f aca="true">MAX(0.07,NORMINV(RAND(),$B$8,$C$8))</f>
        <v>0.0867900148789354</v>
      </c>
      <c r="E71" s="51" t="n">
        <f aca="true">MAX(8,NORMINV(RAND(),$B$9,$C$9))</f>
        <v>17.3596145356991</v>
      </c>
      <c r="F71" s="24" t="n">
        <f aca="false">$B$18*(1+(B71+$B$17)/2)^9</f>
        <v>16828.4083059504</v>
      </c>
      <c r="G71" s="24" t="n">
        <f aca="false">F71*C71</f>
        <v>7932.19411220051</v>
      </c>
      <c r="H71" s="24" t="n">
        <f aca="false">E71*G71/(1+D71)^9</f>
        <v>65106.245991064</v>
      </c>
      <c r="I71" s="24" t="n">
        <f aca="false">$B$13*G71/$B$12*((1+$B$8)/(1+D71))^4.5</f>
        <v>19723.4531200033</v>
      </c>
      <c r="J71" s="24" t="n">
        <f aca="false">H71+I71-$B$14</f>
        <v>83121.7373165467</v>
      </c>
      <c r="K71" s="43" t="n">
        <f aca="false">J71/$B$15</f>
        <v>301.384109197051</v>
      </c>
    </row>
    <row r="72" customFormat="false" ht="15" hidden="false" customHeight="false" outlineLevel="0" collapsed="false">
      <c r="A72" s="50" t="n">
        <v>32</v>
      </c>
      <c r="B72" s="19" t="n">
        <f aca="true">NORMINV(RAND(),$B$6,$C$6)</f>
        <v>0.10308549582401</v>
      </c>
      <c r="C72" s="19" t="n">
        <f aca="true">MAX(0.25,NORMINV(RAND(),$B$7,$C$7))</f>
        <v>0.506471511907182</v>
      </c>
      <c r="D72" s="32" t="n">
        <f aca="true">MAX(0.07,NORMINV(RAND(),$B$8,$C$8))</f>
        <v>0.0912209020231656</v>
      </c>
      <c r="E72" s="51" t="n">
        <f aca="true">MAX(8,NORMINV(RAND(),$B$9,$C$9))</f>
        <v>17.2000355140765</v>
      </c>
      <c r="F72" s="24" t="n">
        <f aca="false">$B$18*(1+(B72+$B$17)/2)^9</f>
        <v>13583.2501629958</v>
      </c>
      <c r="G72" s="24" t="n">
        <f aca="false">F72*C72</f>
        <v>6879.52924666598</v>
      </c>
      <c r="H72" s="24" t="n">
        <f aca="false">E72*G72/(1+D72)^9</f>
        <v>53935.4093619988</v>
      </c>
      <c r="I72" s="24" t="n">
        <f aca="false">$B$13*G72/$B$12*((1+$B$8)/(1+D72))^4.5</f>
        <v>16795.6445633178</v>
      </c>
      <c r="J72" s="24" t="n">
        <f aca="false">H72+I72-$B$14</f>
        <v>69023.092130796</v>
      </c>
      <c r="K72" s="43" t="n">
        <f aca="false">J72/$B$15</f>
        <v>250.265018603321</v>
      </c>
    </row>
    <row r="73" customFormat="false" ht="15" hidden="false" customHeight="false" outlineLevel="0" collapsed="false">
      <c r="A73" s="50" t="n">
        <v>33</v>
      </c>
      <c r="B73" s="19" t="n">
        <f aca="true">NORMINV(RAND(),$B$6,$C$6)</f>
        <v>0.14870372772075</v>
      </c>
      <c r="C73" s="19" t="n">
        <f aca="true">MAX(0.25,NORMINV(RAND(),$B$7,$C$7))</f>
        <v>0.476423930868663</v>
      </c>
      <c r="D73" s="32" t="n">
        <f aca="true">MAX(0.07,NORMINV(RAND(),$B$8,$C$8))</f>
        <v>0.100349372660169</v>
      </c>
      <c r="E73" s="51" t="n">
        <f aca="true">MAX(8,NORMINV(RAND(),$B$9,$C$9))</f>
        <v>17.0677969845968</v>
      </c>
      <c r="F73" s="24" t="n">
        <f aca="false">$B$18*(1+(B73+$B$17)/2)^9</f>
        <v>16362.0628359674</v>
      </c>
      <c r="G73" s="24" t="n">
        <f aca="false">F73*C73</f>
        <v>7795.27829343164</v>
      </c>
      <c r="H73" s="24" t="n">
        <f aca="false">E73*G73/(1+D73)^9</f>
        <v>56264.3998796</v>
      </c>
      <c r="I73" s="24" t="n">
        <f aca="false">$B$13*G73/$B$12*((1+$B$8)/(1+D73))^4.5</f>
        <v>18331.1166158766</v>
      </c>
      <c r="J73" s="24" t="n">
        <f aca="false">H73+I73-$B$14</f>
        <v>72887.5547009561</v>
      </c>
      <c r="K73" s="43" t="n">
        <f aca="false">J73/$B$15</f>
        <v>264.276848081784</v>
      </c>
    </row>
    <row r="74" customFormat="false" ht="15" hidden="false" customHeight="false" outlineLevel="0" collapsed="false">
      <c r="A74" s="50" t="n">
        <v>34</v>
      </c>
      <c r="B74" s="19" t="n">
        <f aca="true">NORMINV(RAND(),$B$6,$C$6)</f>
        <v>0.102393259612516</v>
      </c>
      <c r="C74" s="19" t="n">
        <f aca="true">MAX(0.25,NORMINV(RAND(),$B$7,$C$7))</f>
        <v>0.473719122627979</v>
      </c>
      <c r="D74" s="32" t="n">
        <f aca="true">MAX(0.07,NORMINV(RAND(),$B$8,$C$8))</f>
        <v>0.10094086215266</v>
      </c>
      <c r="E74" s="51" t="n">
        <f aca="true">MAX(8,NORMINV(RAND(),$B$9,$C$9))</f>
        <v>16.0744671927681</v>
      </c>
      <c r="F74" s="24" t="n">
        <f aca="false">$B$18*(1+(B74+$B$17)/2)^9</f>
        <v>13544.5351870777</v>
      </c>
      <c r="G74" s="24" t="n">
        <f aca="false">F74*C74</f>
        <v>6416.30532522623</v>
      </c>
      <c r="H74" s="24" t="n">
        <f aca="false">E74*G74/(1+D74)^9</f>
        <v>43405.5924449086</v>
      </c>
      <c r="I74" s="24" t="n">
        <f aca="false">$B$13*G74/$B$12*((1+$B$8)/(1+D74))^4.5</f>
        <v>15051.9254514584</v>
      </c>
      <c r="J74" s="24" t="n">
        <f aca="false">H74+I74-$B$14</f>
        <v>56749.5561018465</v>
      </c>
      <c r="K74" s="43" t="n">
        <f aca="false">J74/$B$15</f>
        <v>205.763437642663</v>
      </c>
    </row>
    <row r="75" customFormat="false" ht="15" hidden="false" customHeight="false" outlineLevel="0" collapsed="false">
      <c r="A75" s="50" t="n">
        <v>35</v>
      </c>
      <c r="B75" s="19" t="n">
        <f aca="true">NORMINV(RAND(),$B$6,$C$6)</f>
        <v>0.155620655722853</v>
      </c>
      <c r="C75" s="19" t="n">
        <f aca="true">MAX(0.25,NORMINV(RAND(),$B$7,$C$7))</f>
        <v>0.470002222237796</v>
      </c>
      <c r="D75" s="32" t="n">
        <f aca="true">MAX(0.07,NORMINV(RAND(),$B$8,$C$8))</f>
        <v>0.106922987141564</v>
      </c>
      <c r="E75" s="51" t="n">
        <f aca="true">MAX(8,NORMINV(RAND(),$B$9,$C$9))</f>
        <v>20.69244934729</v>
      </c>
      <c r="F75" s="24" t="n">
        <f aca="false">$B$18*(1+(B75+$B$17)/2)^9</f>
        <v>16824.804366165</v>
      </c>
      <c r="G75" s="24" t="n">
        <f aca="false">F75*C75</f>
        <v>7907.6954408137</v>
      </c>
      <c r="H75" s="24" t="n">
        <f aca="false">E75*G75/(1+D75)^9</f>
        <v>65585.0988657217</v>
      </c>
      <c r="I75" s="24" t="n">
        <f aca="false">$B$13*G75/$B$12*((1+$B$8)/(1+D75))^4.5</f>
        <v>18103.6690788559</v>
      </c>
      <c r="J75" s="24" t="n">
        <f aca="false">H75+I75-$B$14</f>
        <v>81980.8061500571</v>
      </c>
      <c r="K75" s="43" t="n">
        <f aca="false">J75/$B$15</f>
        <v>297.247302937118</v>
      </c>
    </row>
    <row r="76" customFormat="false" ht="15" hidden="false" customHeight="false" outlineLevel="0" collapsed="false">
      <c r="A76" s="50" t="n">
        <v>36</v>
      </c>
      <c r="B76" s="19" t="n">
        <f aca="true">NORMINV(RAND(),$B$6,$C$6)</f>
        <v>0.13174349238008</v>
      </c>
      <c r="C76" s="19" t="n">
        <f aca="true">MAX(0.25,NORMINV(RAND(),$B$7,$C$7))</f>
        <v>0.506930927811007</v>
      </c>
      <c r="D76" s="32" t="n">
        <f aca="true">MAX(0.07,NORMINV(RAND(),$B$8,$C$8))</f>
        <v>0.104996199060579</v>
      </c>
      <c r="E76" s="51" t="n">
        <f aca="true">MAX(8,NORMINV(RAND(),$B$9,$C$9))</f>
        <v>18.9016729809273</v>
      </c>
      <c r="F76" s="24" t="n">
        <f aca="false">$B$18*(1+(B76+$B$17)/2)^9</f>
        <v>15274.9509392136</v>
      </c>
      <c r="G76" s="24" t="n">
        <f aca="false">F76*C76</f>
        <v>7743.34505188316</v>
      </c>
      <c r="H76" s="24" t="n">
        <f aca="false">E76*G76/(1+D76)^9</f>
        <v>59591.1546024695</v>
      </c>
      <c r="I76" s="24" t="n">
        <f aca="false">$B$13*G76/$B$12*((1+$B$8)/(1+D76))^4.5</f>
        <v>17866.9359489164</v>
      </c>
      <c r="J76" s="24" t="n">
        <f aca="false">H76+I76-$B$14</f>
        <v>75750.1287568653</v>
      </c>
      <c r="K76" s="43" t="n">
        <f aca="false">J76/$B$15</f>
        <v>274.656014346865</v>
      </c>
    </row>
    <row r="77" customFormat="false" ht="15" hidden="false" customHeight="false" outlineLevel="0" collapsed="false">
      <c r="A77" s="50" t="n">
        <v>37</v>
      </c>
      <c r="B77" s="19" t="n">
        <f aca="true">NORMINV(RAND(),$B$6,$C$6)</f>
        <v>0.116151397494776</v>
      </c>
      <c r="C77" s="19" t="n">
        <f aca="true">MAX(0.25,NORMINV(RAND(),$B$7,$C$7))</f>
        <v>0.48465066626183</v>
      </c>
      <c r="D77" s="32" t="n">
        <f aca="true">MAX(0.07,NORMINV(RAND(),$B$8,$C$8))</f>
        <v>0.101753689259926</v>
      </c>
      <c r="E77" s="51" t="n">
        <f aca="true">MAX(8,NORMINV(RAND(),$B$9,$C$9))</f>
        <v>18.2215699765403</v>
      </c>
      <c r="F77" s="24" t="n">
        <f aca="false">$B$18*(1+(B77+$B$17)/2)^9</f>
        <v>14332.68266383</v>
      </c>
      <c r="G77" s="24" t="n">
        <f aca="false">F77*C77</f>
        <v>6946.34420234461</v>
      </c>
      <c r="H77" s="24" t="n">
        <f aca="false">E77*G77/(1+D77)^9</f>
        <v>52915.3254782519</v>
      </c>
      <c r="I77" s="24" t="n">
        <f aca="false">$B$13*G77/$B$12*((1+$B$8)/(1+D77))^4.5</f>
        <v>16241.3073825984</v>
      </c>
      <c r="J77" s="24" t="n">
        <f aca="false">H77+I77-$B$14</f>
        <v>67448.6710663297</v>
      </c>
      <c r="K77" s="43" t="n">
        <f aca="false">J77/$B$15</f>
        <v>244.556457818454</v>
      </c>
    </row>
    <row r="78" customFormat="false" ht="15" hidden="false" customHeight="false" outlineLevel="0" collapsed="false">
      <c r="A78" s="50" t="n">
        <v>38</v>
      </c>
      <c r="B78" s="19" t="n">
        <f aca="true">NORMINV(RAND(),$B$6,$C$6)</f>
        <v>0.153955548292138</v>
      </c>
      <c r="C78" s="19" t="n">
        <f aca="true">MAX(0.25,NORMINV(RAND(),$B$7,$C$7))</f>
        <v>0.489785669582087</v>
      </c>
      <c r="D78" s="32" t="n">
        <f aca="true">MAX(0.07,NORMINV(RAND(),$B$8,$C$8))</f>
        <v>0.10307686639914</v>
      </c>
      <c r="E78" s="51" t="n">
        <f aca="true">MAX(8,NORMINV(RAND(),$B$9,$C$9))</f>
        <v>19.9134090564959</v>
      </c>
      <c r="F78" s="24" t="n">
        <f aca="false">$B$18*(1+(B78+$B$17)/2)^9</f>
        <v>16712.3585927361</v>
      </c>
      <c r="G78" s="24" t="n">
        <f aca="false">F78*C78</f>
        <v>8185.47374363918</v>
      </c>
      <c r="H78" s="24" t="n">
        <f aca="false">E78*G78/(1+D78)^9</f>
        <v>67412.0360532439</v>
      </c>
      <c r="I78" s="24" t="n">
        <f aca="false">$B$13*G78/$B$12*((1+$B$8)/(1+D78))^4.5</f>
        <v>19035.4356838288</v>
      </c>
      <c r="J78" s="24" t="n">
        <f aca="false">H78+I78-$B$14</f>
        <v>84739.5099425522</v>
      </c>
      <c r="K78" s="43" t="n">
        <f aca="false">J78/$B$15</f>
        <v>307.249854759072</v>
      </c>
    </row>
    <row r="79" customFormat="false" ht="15" hidden="false" customHeight="false" outlineLevel="0" collapsed="false">
      <c r="A79" s="50" t="n">
        <v>39</v>
      </c>
      <c r="B79" s="19" t="n">
        <f aca="true">NORMINV(RAND(),$B$6,$C$6)</f>
        <v>0.123236148428952</v>
      </c>
      <c r="C79" s="19" t="n">
        <f aca="true">MAX(0.25,NORMINV(RAND(),$B$7,$C$7))</f>
        <v>0.482087623151121</v>
      </c>
      <c r="D79" s="32" t="n">
        <f aca="true">MAX(0.07,NORMINV(RAND(),$B$8,$C$8))</f>
        <v>0.0965700375194084</v>
      </c>
      <c r="E79" s="51" t="n">
        <f aca="true">MAX(8,NORMINV(RAND(),$B$9,$C$9))</f>
        <v>22.9539829859149</v>
      </c>
      <c r="F79" s="24" t="n">
        <f aca="false">$B$18*(1+(B79+$B$17)/2)^9</f>
        <v>14754.2261788167</v>
      </c>
      <c r="G79" s="24" t="n">
        <f aca="false">F79*C79</f>
        <v>7112.8298299798</v>
      </c>
      <c r="H79" s="24" t="n">
        <f aca="false">E79*G79/(1+D79)^9</f>
        <v>71215.2655201487</v>
      </c>
      <c r="I79" s="24" t="n">
        <f aca="false">$B$13*G79/$B$12*((1+$B$8)/(1+D79))^4.5</f>
        <v>16987.2753879488</v>
      </c>
      <c r="J79" s="24" t="n">
        <f aca="false">H79+I79-$B$14</f>
        <v>86494.5791135769</v>
      </c>
      <c r="K79" s="43" t="n">
        <f aca="false">J79/$B$15</f>
        <v>313.613412304485</v>
      </c>
    </row>
    <row r="80" customFormat="false" ht="15" hidden="false" customHeight="false" outlineLevel="0" collapsed="false">
      <c r="A80" s="50" t="n">
        <v>40</v>
      </c>
      <c r="B80" s="19" t="n">
        <f aca="true">NORMINV(RAND(),$B$6,$C$6)</f>
        <v>0.107782281226853</v>
      </c>
      <c r="C80" s="19" t="n">
        <f aca="true">MAX(0.25,NORMINV(RAND(),$B$7,$C$7))</f>
        <v>0.45486971814708</v>
      </c>
      <c r="D80" s="32" t="n">
        <f aca="true">MAX(0.07,NORMINV(RAND(),$B$8,$C$8))</f>
        <v>0.105463388848048</v>
      </c>
      <c r="E80" s="51" t="n">
        <f aca="true">MAX(8,NORMINV(RAND(),$B$9,$C$9))</f>
        <v>22.8334752489241</v>
      </c>
      <c r="F80" s="24" t="n">
        <f aca="false">$B$18*(1+(B80+$B$17)/2)^9</f>
        <v>13848.5373618277</v>
      </c>
      <c r="G80" s="24" t="n">
        <f aca="false">F80*C80</f>
        <v>6299.28028652388</v>
      </c>
      <c r="H80" s="24" t="n">
        <f aca="false">E80*G80/(1+D80)^9</f>
        <v>58339.6302812324</v>
      </c>
      <c r="I80" s="24" t="n">
        <f aca="false">$B$13*G80/$B$12*((1+$B$8)/(1+D80))^4.5</f>
        <v>14507.2899595281</v>
      </c>
      <c r="J80" s="24" t="n">
        <f aca="false">H80+I80-$B$14</f>
        <v>71138.9584462399</v>
      </c>
      <c r="K80" s="43" t="n">
        <f aca="false">J80/$B$15</f>
        <v>257.936760138651</v>
      </c>
    </row>
    <row r="81" customFormat="false" ht="15" hidden="false" customHeight="false" outlineLevel="0" collapsed="false">
      <c r="A81" s="50" t="n">
        <v>41</v>
      </c>
      <c r="B81" s="19" t="n">
        <f aca="true">NORMINV(RAND(),$B$6,$C$6)</f>
        <v>0.101367071813882</v>
      </c>
      <c r="C81" s="19" t="n">
        <f aca="true">MAX(0.25,NORMINV(RAND(),$B$7,$C$7))</f>
        <v>0.466939329847128</v>
      </c>
      <c r="D81" s="32" t="n">
        <f aca="true">MAX(0.07,NORMINV(RAND(),$B$8,$C$8))</f>
        <v>0.0951328542521557</v>
      </c>
      <c r="E81" s="51" t="n">
        <f aca="true">MAX(8,NORMINV(RAND(),$B$9,$C$9))</f>
        <v>16.6526696085995</v>
      </c>
      <c r="F81" s="24" t="n">
        <f aca="false">$B$18*(1+(B81+$B$17)/2)^9</f>
        <v>13487.3236341641</v>
      </c>
      <c r="G81" s="24" t="n">
        <f aca="false">F81*C81</f>
        <v>6297.76185916792</v>
      </c>
      <c r="H81" s="24" t="n">
        <f aca="false">E81*G81/(1+D81)^9</f>
        <v>46288.0437923667</v>
      </c>
      <c r="I81" s="24" t="n">
        <f aca="false">$B$13*G81/$B$12*((1+$B$8)/(1+D81))^4.5</f>
        <v>15129.7096888689</v>
      </c>
      <c r="J81" s="24" t="n">
        <f aca="false">H81+I81-$B$14</f>
        <v>59709.791686715</v>
      </c>
      <c r="K81" s="43" t="n">
        <f aca="false">J81/$B$15</f>
        <v>216.496706623332</v>
      </c>
    </row>
    <row r="82" customFormat="false" ht="15" hidden="false" customHeight="false" outlineLevel="0" collapsed="false">
      <c r="A82" s="50" t="n">
        <v>42</v>
      </c>
      <c r="B82" s="19" t="n">
        <f aca="true">NORMINV(RAND(),$B$6,$C$6)</f>
        <v>0.138858758744548</v>
      </c>
      <c r="C82" s="19" t="n">
        <f aca="true">MAX(0.25,NORMINV(RAND(),$B$7,$C$7))</f>
        <v>0.41958786512172</v>
      </c>
      <c r="D82" s="32" t="n">
        <f aca="true">MAX(0.07,NORMINV(RAND(),$B$8,$C$8))</f>
        <v>0.0848600394687067</v>
      </c>
      <c r="E82" s="51" t="n">
        <f aca="true">MAX(8,NORMINV(RAND(),$B$9,$C$9))</f>
        <v>15.7032221235071</v>
      </c>
      <c r="F82" s="24" t="n">
        <f aca="false">$B$18*(1+(B82+$B$17)/2)^9</f>
        <v>15722.946047876</v>
      </c>
      <c r="G82" s="24" t="n">
        <f aca="false">F82*C82</f>
        <v>6597.15736565225</v>
      </c>
      <c r="H82" s="24" t="n">
        <f aca="false">E82*G82/(1+D82)^9</f>
        <v>49771.6692237007</v>
      </c>
      <c r="I82" s="24" t="n">
        <f aca="false">$B$13*G82/$B$12*((1+$B$8)/(1+D82))^4.5</f>
        <v>16535.6067309528</v>
      </c>
      <c r="J82" s="24" t="n">
        <f aca="false">H82+I82-$B$14</f>
        <v>64599.314160133</v>
      </c>
      <c r="K82" s="43" t="n">
        <f aca="false">J82/$B$15</f>
        <v>234.225214503745</v>
      </c>
    </row>
    <row r="83" customFormat="false" ht="15" hidden="false" customHeight="false" outlineLevel="0" collapsed="false">
      <c r="A83" s="50" t="n">
        <v>43</v>
      </c>
      <c r="B83" s="19" t="n">
        <f aca="true">NORMINV(RAND(),$B$6,$C$6)</f>
        <v>0.0982855372342046</v>
      </c>
      <c r="C83" s="19" t="n">
        <f aca="true">MAX(0.25,NORMINV(RAND(),$B$7,$C$7))</f>
        <v>0.505537593424915</v>
      </c>
      <c r="D83" s="32" t="n">
        <f aca="true">MAX(0.07,NORMINV(RAND(),$B$8,$C$8))</f>
        <v>0.106271084603297</v>
      </c>
      <c r="E83" s="51" t="n">
        <f aca="true">MAX(8,NORMINV(RAND(),$B$9,$C$9))</f>
        <v>20.873998360802</v>
      </c>
      <c r="F83" s="24" t="n">
        <f aca="false">$B$18*(1+(B83+$B$17)/2)^9</f>
        <v>13316.8121269729</v>
      </c>
      <c r="G83" s="24" t="n">
        <f aca="false">F83*C83</f>
        <v>6732.1491547616</v>
      </c>
      <c r="H83" s="24" t="n">
        <f aca="false">E83*G83/(1+D83)^9</f>
        <v>56624.6231648903</v>
      </c>
      <c r="I83" s="24" t="n">
        <f aca="false">$B$13*G83/$B$12*((1+$B$8)/(1+D83))^4.5</f>
        <v>15453.3165703239</v>
      </c>
      <c r="J83" s="24" t="n">
        <f aca="false">H83+I83-$B$14</f>
        <v>70369.9779406937</v>
      </c>
      <c r="K83" s="43" t="n">
        <f aca="false">J83/$B$15</f>
        <v>255.148578465169</v>
      </c>
    </row>
    <row r="84" customFormat="false" ht="15" hidden="false" customHeight="false" outlineLevel="0" collapsed="false">
      <c r="A84" s="50" t="n">
        <v>44</v>
      </c>
      <c r="B84" s="19" t="n">
        <f aca="true">NORMINV(RAND(),$B$6,$C$6)</f>
        <v>0.103235777821733</v>
      </c>
      <c r="C84" s="19" t="n">
        <f aca="true">MAX(0.25,NORMINV(RAND(),$B$7,$C$7))</f>
        <v>0.518277114292951</v>
      </c>
      <c r="D84" s="32" t="n">
        <f aca="true">MAX(0.07,NORMINV(RAND(),$B$8,$C$8))</f>
        <v>0.0909024022593148</v>
      </c>
      <c r="E84" s="51" t="n">
        <f aca="true">MAX(8,NORMINV(RAND(),$B$9,$C$9))</f>
        <v>20.5618784419282</v>
      </c>
      <c r="F84" s="24" t="n">
        <f aca="false">$B$18*(1+(B84+$B$17)/2)^9</f>
        <v>13591.668029085</v>
      </c>
      <c r="G84" s="24" t="n">
        <f aca="false">F84*C84</f>
        <v>7044.25048454194</v>
      </c>
      <c r="H84" s="24" t="n">
        <f aca="false">E84*G84/(1+D84)^9</f>
        <v>66194.8945873187</v>
      </c>
      <c r="I84" s="24" t="n">
        <f aca="false">$B$13*G84/$B$12*((1+$B$8)/(1+D84))^4.5</f>
        <v>17220.4004260514</v>
      </c>
      <c r="J84" s="24" t="n">
        <f aca="false">H84+I84-$B$14</f>
        <v>81707.3332188495</v>
      </c>
      <c r="K84" s="43" t="n">
        <f aca="false">J84/$B$15</f>
        <v>296.255740459933</v>
      </c>
    </row>
    <row r="85" customFormat="false" ht="15" hidden="false" customHeight="false" outlineLevel="0" collapsed="false">
      <c r="A85" s="50" t="n">
        <v>45</v>
      </c>
      <c r="B85" s="19" t="n">
        <f aca="true">NORMINV(RAND(),$B$6,$C$6)</f>
        <v>0.158456585447412</v>
      </c>
      <c r="C85" s="19" t="n">
        <f aca="true">MAX(0.25,NORMINV(RAND(),$B$7,$C$7))</f>
        <v>0.417138989514643</v>
      </c>
      <c r="D85" s="32" t="n">
        <f aca="true">MAX(0.07,NORMINV(RAND(),$B$8,$C$8))</f>
        <v>0.109651521346686</v>
      </c>
      <c r="E85" s="51" t="n">
        <f aca="true">MAX(8,NORMINV(RAND(),$B$9,$C$9))</f>
        <v>24.2478479080296</v>
      </c>
      <c r="F85" s="24" t="n">
        <f aca="false">$B$18*(1+(B85+$B$17)/2)^9</f>
        <v>17017.865324979</v>
      </c>
      <c r="G85" s="24" t="n">
        <f aca="false">F85*C85</f>
        <v>7098.81514535803</v>
      </c>
      <c r="H85" s="24" t="n">
        <f aca="false">E85*G85/(1+D85)^9</f>
        <v>67480.6955325948</v>
      </c>
      <c r="I85" s="24" t="n">
        <f aca="false">$B$13*G85/$B$12*((1+$B$8)/(1+D85))^4.5</f>
        <v>16072.783911561</v>
      </c>
      <c r="J85" s="24" t="n">
        <f aca="false">H85+I85-$B$14</f>
        <v>81845.5176496352</v>
      </c>
      <c r="K85" s="43" t="n">
        <f aca="false">J85/$B$15</f>
        <v>296.756771753572</v>
      </c>
    </row>
    <row r="86" customFormat="false" ht="15" hidden="false" customHeight="false" outlineLevel="0" collapsed="false">
      <c r="A86" s="50" t="n">
        <v>46</v>
      </c>
      <c r="B86" s="19" t="n">
        <f aca="true">NORMINV(RAND(),$B$6,$C$6)</f>
        <v>0.108536701467569</v>
      </c>
      <c r="C86" s="19" t="n">
        <f aca="true">MAX(0.25,NORMINV(RAND(),$B$7,$C$7))</f>
        <v>0.520311773118831</v>
      </c>
      <c r="D86" s="32" t="n">
        <f aca="true">MAX(0.07,NORMINV(RAND(),$B$8,$C$8))</f>
        <v>0.0946285325162224</v>
      </c>
      <c r="E86" s="51" t="n">
        <f aca="true">MAX(8,NORMINV(RAND(),$B$9,$C$9))</f>
        <v>21.1287720251309</v>
      </c>
      <c r="F86" s="24" t="n">
        <f aca="false">$B$18*(1+(B86+$B$17)/2)^9</f>
        <v>13891.5756266228</v>
      </c>
      <c r="G86" s="24" t="n">
        <f aca="false">F86*C86</f>
        <v>7227.95034570243</v>
      </c>
      <c r="H86" s="24" t="n">
        <f aca="false">E86*G86/(1+D86)^9</f>
        <v>67684.3931416087</v>
      </c>
      <c r="I86" s="24" t="n">
        <f aca="false">$B$13*G86/$B$12*((1+$B$8)/(1+D86))^4.5</f>
        <v>17400.4194796535</v>
      </c>
      <c r="J86" s="24" t="n">
        <f aca="false">H86+I86-$B$14</f>
        <v>83376.8508267417</v>
      </c>
      <c r="K86" s="43" t="n">
        <f aca="false">J86/$B$15</f>
        <v>302.309103795292</v>
      </c>
    </row>
    <row r="87" customFormat="false" ht="15" hidden="false" customHeight="false" outlineLevel="0" collapsed="false">
      <c r="A87" s="50" t="n">
        <v>47</v>
      </c>
      <c r="B87" s="19" t="n">
        <f aca="true">NORMINV(RAND(),$B$6,$C$6)</f>
        <v>0.131966102792264</v>
      </c>
      <c r="C87" s="19" t="n">
        <f aca="true">MAX(0.25,NORMINV(RAND(),$B$7,$C$7))</f>
        <v>0.469932090853142</v>
      </c>
      <c r="D87" s="32" t="n">
        <f aca="true">MAX(0.07,NORMINV(RAND(),$B$8,$C$8))</f>
        <v>0.0857818269321438</v>
      </c>
      <c r="E87" s="51" t="n">
        <f aca="true">MAX(8,NORMINV(RAND(),$B$9,$C$9))</f>
        <v>17.2079511424956</v>
      </c>
      <c r="F87" s="24" t="n">
        <f aca="false">$B$18*(1+(B87+$B$17)/2)^9</f>
        <v>15288.7932278471</v>
      </c>
      <c r="G87" s="24" t="n">
        <f aca="false">F87*C87</f>
        <v>7184.69456818357</v>
      </c>
      <c r="H87" s="24" t="n">
        <f aca="false">E87*G87/(1+D87)^9</f>
        <v>58946.0025509016</v>
      </c>
      <c r="I87" s="24" t="n">
        <f aca="false">$B$13*G87/$B$12*((1+$B$8)/(1+D87))^4.5</f>
        <v>17939.5584372939</v>
      </c>
      <c r="J87" s="24" t="n">
        <f aca="false">H87+I87-$B$14</f>
        <v>75177.599193675</v>
      </c>
      <c r="K87" s="43" t="n">
        <f aca="false">J87/$B$15</f>
        <v>272.580127605783</v>
      </c>
    </row>
    <row r="88" customFormat="false" ht="15" hidden="false" customHeight="false" outlineLevel="0" collapsed="false">
      <c r="A88" s="50" t="n">
        <v>48</v>
      </c>
      <c r="B88" s="19" t="n">
        <f aca="true">NORMINV(RAND(),$B$6,$C$6)</f>
        <v>0.134219237450833</v>
      </c>
      <c r="C88" s="19" t="n">
        <f aca="true">MAX(0.25,NORMINV(RAND(),$B$7,$C$7))</f>
        <v>0.507105537944077</v>
      </c>
      <c r="D88" s="32" t="n">
        <f aca="true">MAX(0.07,NORMINV(RAND(),$B$8,$C$8))</f>
        <v>0.0956858907636363</v>
      </c>
      <c r="E88" s="51" t="n">
        <f aca="true">MAX(8,NORMINV(RAND(),$B$9,$C$9))</f>
        <v>21.6808931932793</v>
      </c>
      <c r="F88" s="24" t="n">
        <f aca="false">$B$18*(1+(B88+$B$17)/2)^9</f>
        <v>15429.5257616846</v>
      </c>
      <c r="G88" s="24" t="n">
        <f aca="false">F88*C88</f>
        <v>7824.39796160106</v>
      </c>
      <c r="H88" s="24" t="n">
        <f aca="false">E88*G88/(1+D88)^9</f>
        <v>74533.8367955469</v>
      </c>
      <c r="I88" s="24" t="n">
        <f aca="false">$B$13*G88/$B$12*((1+$B$8)/(1+D88))^4.5</f>
        <v>18754.6350060217</v>
      </c>
      <c r="J88" s="24" t="n">
        <f aca="false">H88+I88-$B$14</f>
        <v>91580.5100070481</v>
      </c>
      <c r="K88" s="43" t="n">
        <f aca="false">J88/$B$15</f>
        <v>332.054060939261</v>
      </c>
    </row>
    <row r="89" customFormat="false" ht="15" hidden="false" customHeight="false" outlineLevel="0" collapsed="false">
      <c r="A89" s="50" t="n">
        <v>49</v>
      </c>
      <c r="B89" s="19" t="n">
        <f aca="true">NORMINV(RAND(),$B$6,$C$6)</f>
        <v>0.123447474500215</v>
      </c>
      <c r="C89" s="19" t="n">
        <f aca="true">MAX(0.25,NORMINV(RAND(),$B$7,$C$7))</f>
        <v>0.484397664082832</v>
      </c>
      <c r="D89" s="32" t="n">
        <f aca="true">MAX(0.07,NORMINV(RAND(),$B$8,$C$8))</f>
        <v>0.102380635596318</v>
      </c>
      <c r="E89" s="51" t="n">
        <f aca="true">MAX(8,NORMINV(RAND(),$B$9,$C$9))</f>
        <v>21.4278548214397</v>
      </c>
      <c r="F89" s="24" t="n">
        <f aca="false">$B$18*(1+(B89+$B$17)/2)^9</f>
        <v>14766.9675921898</v>
      </c>
      <c r="G89" s="24" t="n">
        <f aca="false">F89*C89</f>
        <v>7153.08460724363</v>
      </c>
      <c r="H89" s="24" t="n">
        <f aca="false">E89*G89/(1+D89)^9</f>
        <v>63751.128196836</v>
      </c>
      <c r="I89" s="24" t="n">
        <f aca="false">$B$13*G89/$B$12*((1+$B$8)/(1+D89))^4.5</f>
        <v>16681.928967007</v>
      </c>
      <c r="J89" s="24" t="n">
        <f aca="false">H89+I89-$B$14</f>
        <v>78725.0953693224</v>
      </c>
      <c r="K89" s="43" t="n">
        <f aca="false">J89/$B$15</f>
        <v>285.442695320241</v>
      </c>
    </row>
    <row r="90" customFormat="false" ht="15" hidden="false" customHeight="false" outlineLevel="0" collapsed="false">
      <c r="A90" s="50" t="n">
        <v>50</v>
      </c>
      <c r="B90" s="19" t="n">
        <f aca="true">NORMINV(RAND(),$B$6,$C$6)</f>
        <v>0.19338601964333</v>
      </c>
      <c r="C90" s="19" t="n">
        <f aca="true">MAX(0.25,NORMINV(RAND(),$B$7,$C$7))</f>
        <v>0.522469076907676</v>
      </c>
      <c r="D90" s="32" t="n">
        <f aca="true">MAX(0.07,NORMINV(RAND(),$B$8,$C$8))</f>
        <v>0.104107908730258</v>
      </c>
      <c r="E90" s="51" t="n">
        <f aca="true">MAX(8,NORMINV(RAND(),$B$9,$C$9))</f>
        <v>19.8968292005931</v>
      </c>
      <c r="F90" s="24" t="n">
        <f aca="false">$B$18*(1+(B90+$B$17)/2)^9</f>
        <v>19562.5590320494</v>
      </c>
      <c r="G90" s="24" t="n">
        <f aca="false">F90*C90</f>
        <v>10220.8321594268</v>
      </c>
      <c r="H90" s="24" t="n">
        <f aca="false">E90*G90/(1+D90)^9</f>
        <v>83400.0751132559</v>
      </c>
      <c r="I90" s="24" t="n">
        <f aca="false">$B$13*G90/$B$12*((1+$B$8)/(1+D90))^4.5</f>
        <v>23668.9727748521</v>
      </c>
      <c r="J90" s="24" t="n">
        <f aca="false">H90+I90-$B$14</f>
        <v>105361.086093587</v>
      </c>
      <c r="K90" s="43" t="n">
        <f aca="false">J90/$B$15</f>
        <v>382.019891564857</v>
      </c>
    </row>
    <row r="91" customFormat="false" ht="15" hidden="false" customHeight="false" outlineLevel="0" collapsed="false">
      <c r="A91" s="50" t="n">
        <v>51</v>
      </c>
      <c r="B91" s="19" t="n">
        <f aca="true">NORMINV(RAND(),$B$6,$C$6)</f>
        <v>0.154881350184659</v>
      </c>
      <c r="C91" s="19" t="n">
        <f aca="true">MAX(0.25,NORMINV(RAND(),$B$7,$C$7))</f>
        <v>0.502460097086024</v>
      </c>
      <c r="D91" s="32" t="n">
        <f aca="true">MAX(0.07,NORMINV(RAND(),$B$8,$C$8))</f>
        <v>0.0737757901698019</v>
      </c>
      <c r="E91" s="51" t="n">
        <f aca="true">MAX(8,NORMINV(RAND(),$B$9,$C$9))</f>
        <v>17.8003416787223</v>
      </c>
      <c r="F91" s="24" t="n">
        <f aca="false">$B$18*(1+(B91+$B$17)/2)^9</f>
        <v>16774.7958500409</v>
      </c>
      <c r="G91" s="24" t="n">
        <f aca="false">F91*C91</f>
        <v>8428.6655514098</v>
      </c>
      <c r="H91" s="24" t="n">
        <f aca="false">E91*G91/(1+D91)^9</f>
        <v>79061.4342620217</v>
      </c>
      <c r="I91" s="24" t="n">
        <f aca="false">$B$13*G91/$B$12*((1+$B$8)/(1+D91))^4.5</f>
        <v>22125.4739520074</v>
      </c>
      <c r="J91" s="24" t="n">
        <f aca="false">H91+I91-$B$14</f>
        <v>99478.9464195086</v>
      </c>
      <c r="K91" s="43" t="n">
        <f aca="false">J91/$B$15</f>
        <v>360.692336546441</v>
      </c>
    </row>
    <row r="92" customFormat="false" ht="15" hidden="false" customHeight="false" outlineLevel="0" collapsed="false">
      <c r="A92" s="50" t="n">
        <v>52</v>
      </c>
      <c r="B92" s="19" t="n">
        <f aca="true">NORMINV(RAND(),$B$6,$C$6)</f>
        <v>0.169930189717815</v>
      </c>
      <c r="C92" s="19" t="n">
        <f aca="true">MAX(0.25,NORMINV(RAND(),$B$7,$C$7))</f>
        <v>0.475016481627864</v>
      </c>
      <c r="D92" s="32" t="n">
        <f aca="true">MAX(0.07,NORMINV(RAND(),$B$8,$C$8))</f>
        <v>0.110095848817677</v>
      </c>
      <c r="E92" s="51" t="n">
        <f aca="true">MAX(8,NORMINV(RAND(),$B$9,$C$9))</f>
        <v>22.8236405413497</v>
      </c>
      <c r="F92" s="24" t="n">
        <f aca="false">$B$18*(1+(B92+$B$17)/2)^9</f>
        <v>17819.2076676744</v>
      </c>
      <c r="G92" s="24" t="n">
        <f aca="false">F92*C92</f>
        <v>8464.41733169497</v>
      </c>
      <c r="H92" s="24" t="n">
        <f aca="false">E92*G92/(1+D92)^9</f>
        <v>75463.6277309959</v>
      </c>
      <c r="I92" s="24" t="n">
        <f aca="false">$B$13*G92/$B$12*((1+$B$8)/(1+D92))^4.5</f>
        <v>19130.2176361146</v>
      </c>
      <c r="J92" s="24" t="n">
        <f aca="false">H92+I92-$B$14</f>
        <v>92885.8835725899</v>
      </c>
      <c r="K92" s="43" t="n">
        <f aca="false">J92/$B$15</f>
        <v>336.787105049275</v>
      </c>
    </row>
    <row r="93" customFormat="false" ht="15" hidden="false" customHeight="false" outlineLevel="0" collapsed="false">
      <c r="A93" s="50" t="n">
        <v>53</v>
      </c>
      <c r="B93" s="19" t="n">
        <f aca="true">NORMINV(RAND(),$B$6,$C$6)</f>
        <v>0.162773812026774</v>
      </c>
      <c r="C93" s="19" t="n">
        <f aca="true">MAX(0.25,NORMINV(RAND(),$B$7,$C$7))</f>
        <v>0.498079302811692</v>
      </c>
      <c r="D93" s="32" t="n">
        <f aca="true">MAX(0.07,NORMINV(RAND(),$B$8,$C$8))</f>
        <v>0.0872724688029606</v>
      </c>
      <c r="E93" s="51" t="n">
        <f aca="true">MAX(8,NORMINV(RAND(),$B$9,$C$9))</f>
        <v>14.0689408550408</v>
      </c>
      <c r="F93" s="24" t="n">
        <f aca="false">$B$18*(1+(B93+$B$17)/2)^9</f>
        <v>17315.5499026224</v>
      </c>
      <c r="G93" s="24" t="n">
        <f aca="false">F93*C93</f>
        <v>8624.51702329925</v>
      </c>
      <c r="H93" s="24" t="n">
        <f aca="false">E93*G93/(1+D93)^9</f>
        <v>57141.3723309661</v>
      </c>
      <c r="I93" s="24" t="n">
        <f aca="false">$B$13*G93/$B$12*((1+$B$8)/(1+D93))^4.5</f>
        <v>21402.1310965662</v>
      </c>
      <c r="J93" s="24" t="n">
        <f aca="false">H93+I93-$B$14</f>
        <v>76835.5416330118</v>
      </c>
      <c r="K93" s="43" t="n">
        <f aca="false">J93/$B$15</f>
        <v>278.591521512008</v>
      </c>
    </row>
    <row r="94" customFormat="false" ht="15" hidden="false" customHeight="false" outlineLevel="0" collapsed="false">
      <c r="A94" s="50" t="n">
        <v>54</v>
      </c>
      <c r="B94" s="19" t="n">
        <f aca="true">NORMINV(RAND(),$B$6,$C$6)</f>
        <v>0.0836353708106891</v>
      </c>
      <c r="C94" s="19" t="n">
        <f aca="true">MAX(0.25,NORMINV(RAND(),$B$7,$C$7))</f>
        <v>0.438437906526926</v>
      </c>
      <c r="D94" s="32" t="n">
        <f aca="true">MAX(0.07,NORMINV(RAND(),$B$8,$C$8))</f>
        <v>0.0910480548125245</v>
      </c>
      <c r="E94" s="51" t="n">
        <f aca="true">MAX(8,NORMINV(RAND(),$B$9,$C$9))</f>
        <v>18.7367917850914</v>
      </c>
      <c r="F94" s="24" t="n">
        <f aca="false">$B$18*(1+(B94+$B$17)/2)^9</f>
        <v>12532.0943095961</v>
      </c>
      <c r="G94" s="24" t="n">
        <f aca="false">F94*C94</f>
        <v>5494.5451934973</v>
      </c>
      <c r="H94" s="24" t="n">
        <f aca="false">E94*G94/(1+D94)^9</f>
        <v>46992.8804784486</v>
      </c>
      <c r="I94" s="24" t="n">
        <f aca="false">$B$13*G94/$B$12*((1+$B$8)/(1+D94))^4.5</f>
        <v>13423.9179701846</v>
      </c>
      <c r="J94" s="24" t="n">
        <f aca="false">H94+I94-$B$14</f>
        <v>58708.8366541126</v>
      </c>
      <c r="K94" s="43" t="n">
        <f aca="false">J94/$B$15</f>
        <v>212.867428042468</v>
      </c>
    </row>
    <row r="95" customFormat="false" ht="15" hidden="false" customHeight="false" outlineLevel="0" collapsed="false">
      <c r="A95" s="50" t="n">
        <v>55</v>
      </c>
      <c r="B95" s="19" t="n">
        <f aca="true">NORMINV(RAND(),$B$6,$C$6)</f>
        <v>0.134855051507077</v>
      </c>
      <c r="C95" s="19" t="n">
        <f aca="true">MAX(0.25,NORMINV(RAND(),$B$7,$C$7))</f>
        <v>0.49145008366485</v>
      </c>
      <c r="D95" s="32" t="n">
        <f aca="true">MAX(0.07,NORMINV(RAND(),$B$8,$C$8))</f>
        <v>0.0989557144470788</v>
      </c>
      <c r="E95" s="51" t="n">
        <f aca="true">MAX(8,NORMINV(RAND(),$B$9,$C$9))</f>
        <v>20.917940587753</v>
      </c>
      <c r="F95" s="24" t="n">
        <f aca="false">$B$18*(1+(B95+$B$17)/2)^9</f>
        <v>15469.4469510496</v>
      </c>
      <c r="G95" s="24" t="n">
        <f aca="false">F95*C95</f>
        <v>7602.46099834229</v>
      </c>
      <c r="H95" s="24" t="n">
        <f aca="false">E95*G95/(1+D95)^9</f>
        <v>68022.3139099067</v>
      </c>
      <c r="I95" s="24" t="n">
        <f aca="false">$B$13*G95/$B$12*((1+$B$8)/(1+D95))^4.5</f>
        <v>17979.9440221373</v>
      </c>
      <c r="J95" s="24" t="n">
        <f aca="false">H95+I95-$B$14</f>
        <v>84294.2961375234</v>
      </c>
      <c r="K95" s="43" t="n">
        <f aca="false">J95/$B$15</f>
        <v>305.635591506611</v>
      </c>
    </row>
    <row r="96" customFormat="false" ht="15" hidden="false" customHeight="false" outlineLevel="0" collapsed="false">
      <c r="A96" s="50" t="n">
        <v>56</v>
      </c>
      <c r="B96" s="19" t="n">
        <f aca="true">NORMINV(RAND(),$B$6,$C$6)</f>
        <v>0.0779208508519778</v>
      </c>
      <c r="C96" s="19" t="n">
        <f aca="true">MAX(0.25,NORMINV(RAND(),$B$7,$C$7))</f>
        <v>0.514890713403421</v>
      </c>
      <c r="D96" s="32" t="n">
        <f aca="true">MAX(0.07,NORMINV(RAND(),$B$8,$C$8))</f>
        <v>0.105395118427208</v>
      </c>
      <c r="E96" s="51" t="n">
        <f aca="true">MAX(8,NORMINV(RAND(),$B$9,$C$9))</f>
        <v>15.3984185504627</v>
      </c>
      <c r="F96" s="24" t="n">
        <f aca="false">$B$18*(1+(B96+$B$17)/2)^9</f>
        <v>12237.3280805923</v>
      </c>
      <c r="G96" s="24" t="n">
        <f aca="false">F96*C96</f>
        <v>6300.88658556788</v>
      </c>
      <c r="H96" s="24" t="n">
        <f aca="false">E96*G96/(1+D96)^9</f>
        <v>39374.9396854218</v>
      </c>
      <c r="I96" s="24" t="n">
        <f aca="false">$B$13*G96/$B$12*((1+$B$8)/(1+D96))^4.5</f>
        <v>14515.0226803525</v>
      </c>
      <c r="J96" s="24" t="n">
        <f aca="false">H96+I96-$B$14</f>
        <v>52182.0005712538</v>
      </c>
      <c r="K96" s="43" t="n">
        <f aca="false">J96/$B$15</f>
        <v>189.202322593378</v>
      </c>
    </row>
    <row r="97" customFormat="false" ht="15" hidden="false" customHeight="false" outlineLevel="0" collapsed="false">
      <c r="A97" s="50" t="n">
        <v>57</v>
      </c>
      <c r="B97" s="19" t="n">
        <f aca="true">NORMINV(RAND(),$B$6,$C$6)</f>
        <v>0.119545820248525</v>
      </c>
      <c r="C97" s="19" t="n">
        <f aca="true">MAX(0.25,NORMINV(RAND(),$B$7,$C$7))</f>
        <v>0.469911760978484</v>
      </c>
      <c r="D97" s="32" t="n">
        <f aca="true">MAX(0.07,NORMINV(RAND(),$B$8,$C$8))</f>
        <v>0.0900314979622499</v>
      </c>
      <c r="E97" s="51" t="n">
        <f aca="true">MAX(8,NORMINV(RAND(),$B$9,$C$9))</f>
        <v>23.381659836131</v>
      </c>
      <c r="F97" s="24" t="n">
        <f aca="false">$B$18*(1+(B97+$B$17)/2)^9</f>
        <v>14533.2961160855</v>
      </c>
      <c r="G97" s="24" t="n">
        <f aca="false">F97*C97</f>
        <v>6829.36677073148</v>
      </c>
      <c r="H97" s="24" t="n">
        <f aca="false">E97*G97/(1+D97)^9</f>
        <v>73502.8783298183</v>
      </c>
      <c r="I97" s="24" t="n">
        <f aca="false">$B$13*G97/$B$12*((1+$B$8)/(1+D97))^4.5</f>
        <v>16755.2039846902</v>
      </c>
      <c r="J97" s="24" t="n">
        <f aca="false">H97+I97-$B$14</f>
        <v>88550.1205199879</v>
      </c>
      <c r="K97" s="43" t="n">
        <f aca="false">J97/$B$15</f>
        <v>321.066426830993</v>
      </c>
    </row>
    <row r="98" customFormat="false" ht="15" hidden="false" customHeight="false" outlineLevel="0" collapsed="false">
      <c r="A98" s="50" t="n">
        <v>58</v>
      </c>
      <c r="B98" s="19" t="n">
        <f aca="true">NORMINV(RAND(),$B$6,$C$6)</f>
        <v>0.103416276030404</v>
      </c>
      <c r="C98" s="19" t="n">
        <f aca="true">MAX(0.25,NORMINV(RAND(),$B$7,$C$7))</f>
        <v>0.480421450888749</v>
      </c>
      <c r="D98" s="32" t="n">
        <f aca="true">MAX(0.07,NORMINV(RAND(),$B$8,$C$8))</f>
        <v>0.0903462791202111</v>
      </c>
      <c r="E98" s="51" t="n">
        <f aca="true">MAX(8,NORMINV(RAND(),$B$9,$C$9))</f>
        <v>16.4080340752051</v>
      </c>
      <c r="F98" s="24" t="n">
        <f aca="false">$B$18*(1+(B98+$B$17)/2)^9</f>
        <v>13601.7845491887</v>
      </c>
      <c r="G98" s="24" t="n">
        <f aca="false">F98*C98</f>
        <v>6534.58906779743</v>
      </c>
      <c r="H98" s="24" t="n">
        <f aca="false">E98*G98/(1+D98)^9</f>
        <v>49226.0307252795</v>
      </c>
      <c r="I98" s="24" t="n">
        <f aca="false">$B$13*G98/$B$12*((1+$B$8)/(1+D98))^4.5</f>
        <v>16011.1775079004</v>
      </c>
      <c r="J98" s="24" t="n">
        <f aca="false">H98+I98-$B$14</f>
        <v>63529.2464386593</v>
      </c>
      <c r="K98" s="43" t="n">
        <f aca="false">J98/$B$15</f>
        <v>230.345346043</v>
      </c>
    </row>
    <row r="99" customFormat="false" ht="15" hidden="false" customHeight="false" outlineLevel="0" collapsed="false">
      <c r="A99" s="50" t="n">
        <v>59</v>
      </c>
      <c r="B99" s="19" t="n">
        <f aca="true">NORMINV(RAND(),$B$6,$C$6)</f>
        <v>0.160953146519787</v>
      </c>
      <c r="C99" s="19" t="n">
        <f aca="true">MAX(0.25,NORMINV(RAND(),$B$7,$C$7))</f>
        <v>0.462788071750502</v>
      </c>
      <c r="D99" s="32" t="n">
        <f aca="true">MAX(0.07,NORMINV(RAND(),$B$8,$C$8))</f>
        <v>0.0826948370198774</v>
      </c>
      <c r="E99" s="51" t="n">
        <f aca="true">MAX(8,NORMINV(RAND(),$B$9,$C$9))</f>
        <v>16.869984236505</v>
      </c>
      <c r="F99" s="24" t="n">
        <f aca="false">$B$18*(1+(B99+$B$17)/2)^9</f>
        <v>17189.4503223471</v>
      </c>
      <c r="G99" s="24" t="n">
        <f aca="false">F99*C99</f>
        <v>7955.07256913007</v>
      </c>
      <c r="H99" s="24" t="n">
        <f aca="false">E99*G99/(1+D99)^9</f>
        <v>65645.3896432949</v>
      </c>
      <c r="I99" s="24" t="n">
        <f aca="false">$B$13*G99/$B$12*((1+$B$8)/(1+D99))^4.5</f>
        <v>20119.2527522899</v>
      </c>
      <c r="J99" s="24" t="n">
        <f aca="false">H99+I99-$B$14</f>
        <v>84056.6806010642</v>
      </c>
      <c r="K99" s="43" t="n">
        <f aca="false">J99/$B$15</f>
        <v>304.774041338159</v>
      </c>
    </row>
    <row r="100" customFormat="false" ht="15" hidden="false" customHeight="false" outlineLevel="0" collapsed="false">
      <c r="A100" s="50" t="n">
        <v>60</v>
      </c>
      <c r="B100" s="19" t="n">
        <f aca="true">NORMINV(RAND(),$B$6,$C$6)</f>
        <v>0.123090618219962</v>
      </c>
      <c r="C100" s="19" t="n">
        <f aca="true">MAX(0.25,NORMINV(RAND(),$B$7,$C$7))</f>
        <v>0.510843664333967</v>
      </c>
      <c r="D100" s="32" t="n">
        <f aca="true">MAX(0.07,NORMINV(RAND(),$B$8,$C$8))</f>
        <v>0.0919505295689689</v>
      </c>
      <c r="E100" s="51" t="n">
        <f aca="true">MAX(8,NORMINV(RAND(),$B$9,$C$9))</f>
        <v>17.5607784134344</v>
      </c>
      <c r="F100" s="24" t="n">
        <f aca="false">$B$18*(1+(B100+$B$17)/2)^9</f>
        <v>14745.4574566943</v>
      </c>
      <c r="G100" s="24" t="n">
        <f aca="false">F100*C100</f>
        <v>7532.62351945832</v>
      </c>
      <c r="H100" s="24" t="n">
        <f aca="false">E100*G100/(1+D100)^9</f>
        <v>59932.6326803494</v>
      </c>
      <c r="I100" s="24" t="n">
        <f aca="false">$B$13*G100/$B$12*((1+$B$8)/(1+D100))^4.5</f>
        <v>18334.8737616501</v>
      </c>
      <c r="J100" s="24" t="n">
        <f aca="false">H100+I100-$B$14</f>
        <v>76559.544647479</v>
      </c>
      <c r="K100" s="43" t="n">
        <f aca="false">J100/$B$15</f>
        <v>277.590807278749</v>
      </c>
    </row>
    <row r="101" customFormat="false" ht="15" hidden="false" customHeight="false" outlineLevel="0" collapsed="false">
      <c r="A101" s="50" t="n">
        <v>61</v>
      </c>
      <c r="B101" s="19" t="n">
        <f aca="true">NORMINV(RAND(),$B$6,$C$6)</f>
        <v>0.165079031994383</v>
      </c>
      <c r="C101" s="19" t="n">
        <f aca="true">MAX(0.25,NORMINV(RAND(),$B$7,$C$7))</f>
        <v>0.473037380590637</v>
      </c>
      <c r="D101" s="32" t="n">
        <f aca="true">MAX(0.07,NORMINV(RAND(),$B$8,$C$8))</f>
        <v>0.0947982499831874</v>
      </c>
      <c r="E101" s="51" t="n">
        <f aca="true">MAX(8,NORMINV(RAND(),$B$9,$C$9))</f>
        <v>13.9901899490894</v>
      </c>
      <c r="F101" s="24" t="n">
        <f aca="false">$B$18*(1+(B101+$B$17)/2)^9</f>
        <v>17476.3890830987</v>
      </c>
      <c r="G101" s="24" t="n">
        <f aca="false">F101*C101</f>
        <v>8266.98531405182</v>
      </c>
      <c r="H101" s="24" t="n">
        <f aca="false">E101*G101/(1+D101)^9</f>
        <v>51187.5008679519</v>
      </c>
      <c r="I101" s="24" t="n">
        <f aca="false">$B$13*G101/$B$12*((1+$B$8)/(1+D101))^4.5</f>
        <v>19887.8912996729</v>
      </c>
      <c r="J101" s="24" t="n">
        <f aca="false">H101+I101-$B$14</f>
        <v>69367.4303731043</v>
      </c>
      <c r="K101" s="43" t="n">
        <f aca="false">J101/$B$15</f>
        <v>251.513525645773</v>
      </c>
    </row>
    <row r="102" customFormat="false" ht="15" hidden="false" customHeight="false" outlineLevel="0" collapsed="false">
      <c r="A102" s="50" t="n">
        <v>62</v>
      </c>
      <c r="B102" s="19" t="n">
        <f aca="true">NORMINV(RAND(),$B$6,$C$6)</f>
        <v>0.134567766643285</v>
      </c>
      <c r="C102" s="19" t="n">
        <f aca="true">MAX(0.25,NORMINV(RAND(),$B$7,$C$7))</f>
        <v>0.501352870466329</v>
      </c>
      <c r="D102" s="32" t="n">
        <f aca="true">MAX(0.07,NORMINV(RAND(),$B$8,$C$8))</f>
        <v>0.098932252063974</v>
      </c>
      <c r="E102" s="51" t="n">
        <f aca="true">MAX(8,NORMINV(RAND(),$B$9,$C$9))</f>
        <v>23.792994196305</v>
      </c>
      <c r="F102" s="24" t="n">
        <f aca="false">$B$18*(1+(B102+$B$17)/2)^9</f>
        <v>15451.3976904384</v>
      </c>
      <c r="G102" s="24" t="n">
        <f aca="false">F102*C102</f>
        <v>7746.60258481808</v>
      </c>
      <c r="H102" s="24" t="n">
        <f aca="false">E102*G102/(1+D102)^9</f>
        <v>78853.7042632757</v>
      </c>
      <c r="I102" s="24" t="n">
        <f aca="false">$B$13*G102/$B$12*((1+$B$8)/(1+D102))^4.5</f>
        <v>18322.6014746998</v>
      </c>
      <c r="J102" s="24" t="n">
        <f aca="false">H102+I102-$B$14</f>
        <v>95468.3439434549</v>
      </c>
      <c r="K102" s="43" t="n">
        <f aca="false">J102/$B$15</f>
        <v>346.150630686929</v>
      </c>
    </row>
    <row r="103" customFormat="false" ht="15" hidden="false" customHeight="false" outlineLevel="0" collapsed="false">
      <c r="A103" s="50" t="n">
        <v>63</v>
      </c>
      <c r="B103" s="19" t="n">
        <f aca="true">NORMINV(RAND(),$B$6,$C$6)</f>
        <v>0.0977031824951163</v>
      </c>
      <c r="C103" s="19" t="n">
        <f aca="true">MAX(0.25,NORMINV(RAND(),$B$7,$C$7))</f>
        <v>0.494864907585394</v>
      </c>
      <c r="D103" s="32" t="n">
        <f aca="true">MAX(0.07,NORMINV(RAND(),$B$8,$C$8))</f>
        <v>0.110379764891778</v>
      </c>
      <c r="E103" s="51" t="n">
        <f aca="true">MAX(8,NORMINV(RAND(),$B$9,$C$9))</f>
        <v>23.2447868759585</v>
      </c>
      <c r="F103" s="24" t="n">
        <f aca="false">$B$18*(1+(B103+$B$17)/2)^9</f>
        <v>13284.8046675904</v>
      </c>
      <c r="G103" s="24" t="n">
        <f aca="false">F103*C103</f>
        <v>6574.18363411712</v>
      </c>
      <c r="H103" s="24" t="n">
        <f aca="false">E103*G103/(1+D103)^9</f>
        <v>59555.7297507911</v>
      </c>
      <c r="I103" s="24" t="n">
        <f aca="false">$B$13*G103/$B$12*((1+$B$8)/(1+D103))^4.5</f>
        <v>14841.0593976125</v>
      </c>
      <c r="J103" s="24" t="n">
        <f aca="false">H103+I103-$B$14</f>
        <v>72688.8273538831</v>
      </c>
      <c r="K103" s="43" t="n">
        <f aca="false">J103/$B$15</f>
        <v>263.556299325174</v>
      </c>
    </row>
    <row r="104" customFormat="false" ht="15" hidden="false" customHeight="false" outlineLevel="0" collapsed="false">
      <c r="A104" s="50" t="n">
        <v>64</v>
      </c>
      <c r="B104" s="19" t="n">
        <f aca="true">NORMINV(RAND(),$B$6,$C$6)</f>
        <v>0.155787713405472</v>
      </c>
      <c r="C104" s="19" t="n">
        <f aca="true">MAX(0.25,NORMINV(RAND(),$B$7,$C$7))</f>
        <v>0.512435530474775</v>
      </c>
      <c r="D104" s="32" t="n">
        <f aca="true">MAX(0.07,NORMINV(RAND(),$B$8,$C$8))</f>
        <v>0.0936981965990951</v>
      </c>
      <c r="E104" s="51" t="n">
        <f aca="true">MAX(8,NORMINV(RAND(),$B$9,$C$9))</f>
        <v>16.9090380675482</v>
      </c>
      <c r="F104" s="24" t="n">
        <f aca="false">$B$18*(1+(B104+$B$17)/2)^9</f>
        <v>16836.1229133638</v>
      </c>
      <c r="G104" s="24" t="n">
        <f aca="false">F104*C104</f>
        <v>8627.42757624808</v>
      </c>
      <c r="H104" s="24" t="n">
        <f aca="false">E104*G104/(1+D104)^9</f>
        <v>65151.2511268964</v>
      </c>
      <c r="I104" s="24" t="n">
        <f aca="false">$B$13*G104/$B$12*((1+$B$8)/(1+D104))^4.5</f>
        <v>20849.1131870003</v>
      </c>
      <c r="J104" s="24" t="n">
        <f aca="false">H104+I104-$B$14</f>
        <v>84292.4025193762</v>
      </c>
      <c r="K104" s="43" t="n">
        <f aca="false">J104/$B$15</f>
        <v>305.628725595998</v>
      </c>
    </row>
    <row r="105" customFormat="false" ht="15" hidden="false" customHeight="false" outlineLevel="0" collapsed="false">
      <c r="A105" s="50" t="n">
        <v>65</v>
      </c>
      <c r="B105" s="19" t="n">
        <f aca="true">NORMINV(RAND(),$B$6,$C$6)</f>
        <v>0.137825671101079</v>
      </c>
      <c r="C105" s="19" t="n">
        <f aca="true">MAX(0.25,NORMINV(RAND(),$B$7,$C$7))</f>
        <v>0.502427543197075</v>
      </c>
      <c r="D105" s="32" t="n">
        <f aca="true">MAX(0.07,NORMINV(RAND(),$B$8,$C$8))</f>
        <v>0.0964964916582098</v>
      </c>
      <c r="E105" s="51" t="n">
        <f aca="true">MAX(8,NORMINV(RAND(),$B$9,$C$9))</f>
        <v>17.5497681697304</v>
      </c>
      <c r="F105" s="24" t="n">
        <f aca="false">$B$18*(1+(B105+$B$17)/2)^9</f>
        <v>15657.1840122158</v>
      </c>
      <c r="G105" s="24" t="n">
        <f aca="false">F105*C105</f>
        <v>7866.6004966421</v>
      </c>
      <c r="H105" s="24" t="n">
        <f aca="false">E105*G105/(1+D105)^9</f>
        <v>60255.023615773</v>
      </c>
      <c r="I105" s="24" t="n">
        <f aca="false">$B$13*G105/$B$12*((1+$B$8)/(1+D105))^4.5</f>
        <v>18793.1457964053</v>
      </c>
      <c r="J105" s="24" t="n">
        <f aca="false">H105+I105-$B$14</f>
        <v>77340.2076176577</v>
      </c>
      <c r="K105" s="43" t="n">
        <f aca="false">J105/$B$15</f>
        <v>280.421347417178</v>
      </c>
    </row>
    <row r="106" customFormat="false" ht="15" hidden="false" customHeight="false" outlineLevel="0" collapsed="false">
      <c r="A106" s="50" t="n">
        <v>66</v>
      </c>
      <c r="B106" s="19" t="n">
        <f aca="true">NORMINV(RAND(),$B$6,$C$6)</f>
        <v>0.127517344583065</v>
      </c>
      <c r="C106" s="19" t="n">
        <f aca="true">MAX(0.25,NORMINV(RAND(),$B$7,$C$7))</f>
        <v>0.497232333941081</v>
      </c>
      <c r="D106" s="32" t="n">
        <f aca="true">MAX(0.07,NORMINV(RAND(),$B$8,$C$8))</f>
        <v>0.0861423806716902</v>
      </c>
      <c r="E106" s="51" t="n">
        <f aca="true">MAX(8,NORMINV(RAND(),$B$9,$C$9))</f>
        <v>26.1304409096787</v>
      </c>
      <c r="F106" s="24" t="n">
        <f aca="false">$B$18*(1+(B106+$B$17)/2)^9</f>
        <v>15014.2665541908</v>
      </c>
      <c r="G106" s="24" t="n">
        <f aca="false">F106*C106</f>
        <v>7465.5788011538</v>
      </c>
      <c r="H106" s="24" t="n">
        <f aca="false">E106*G106/(1+D106)^9</f>
        <v>92731.9478138224</v>
      </c>
      <c r="I106" s="24" t="n">
        <f aca="false">$B$13*G106/$B$12*((1+$B$8)/(1+D106))^4.5</f>
        <v>18613.072156645</v>
      </c>
      <c r="J106" s="24" t="n">
        <f aca="false">H106+I106-$B$14</f>
        <v>109637.058175947</v>
      </c>
      <c r="K106" s="43" t="n">
        <f aca="false">J106/$B$15</f>
        <v>397.523778738023</v>
      </c>
    </row>
    <row r="107" customFormat="false" ht="15" hidden="false" customHeight="false" outlineLevel="0" collapsed="false">
      <c r="A107" s="50" t="n">
        <v>67</v>
      </c>
      <c r="B107" s="19" t="n">
        <f aca="true">NORMINV(RAND(),$B$6,$C$6)</f>
        <v>0.0627564874457179</v>
      </c>
      <c r="C107" s="19" t="n">
        <f aca="true">MAX(0.25,NORMINV(RAND(),$B$7,$C$7))</f>
        <v>0.478448552134504</v>
      </c>
      <c r="D107" s="32" t="n">
        <f aca="true">MAX(0.07,NORMINV(RAND(),$B$8,$C$8))</f>
        <v>0.0801537708796538</v>
      </c>
      <c r="E107" s="51" t="n">
        <f aca="true">MAX(8,NORMINV(RAND(),$B$9,$C$9))</f>
        <v>24.2752076045561</v>
      </c>
      <c r="F107" s="24" t="n">
        <f aca="false">$B$18*(1+(B107+$B$17)/2)^9</f>
        <v>11484.7717619926</v>
      </c>
      <c r="G107" s="24" t="n">
        <f aca="false">F107*C107</f>
        <v>5494.87242112059</v>
      </c>
      <c r="H107" s="24" t="n">
        <f aca="false">E107*G107/(1+D107)^9</f>
        <v>66642.3481545248</v>
      </c>
      <c r="I107" s="24" t="n">
        <f aca="false">$B$13*G107/$B$12*((1+$B$8)/(1+D107))^4.5</f>
        <v>14044.8618854573</v>
      </c>
      <c r="J107" s="24" t="n">
        <f aca="false">H107+I107-$B$14</f>
        <v>78979.2482454616</v>
      </c>
      <c r="K107" s="43" t="n">
        <f aca="false">J107/$B$15</f>
        <v>286.364206836337</v>
      </c>
    </row>
    <row r="108" customFormat="false" ht="15" hidden="false" customHeight="false" outlineLevel="0" collapsed="false">
      <c r="A108" s="50" t="n">
        <v>68</v>
      </c>
      <c r="B108" s="19" t="n">
        <f aca="true">NORMINV(RAND(),$B$6,$C$6)</f>
        <v>0.118905218167018</v>
      </c>
      <c r="C108" s="19" t="n">
        <f aca="true">MAX(0.25,NORMINV(RAND(),$B$7,$C$7))</f>
        <v>0.459411691379075</v>
      </c>
      <c r="D108" s="32" t="n">
        <f aca="true">MAX(0.07,NORMINV(RAND(),$B$8,$C$8))</f>
        <v>0.115233621191288</v>
      </c>
      <c r="E108" s="51" t="n">
        <f aca="true">MAX(8,NORMINV(RAND(),$B$9,$C$9))</f>
        <v>21.3997983705026</v>
      </c>
      <c r="F108" s="24" t="n">
        <f aca="false">$B$18*(1+(B108+$B$17)/2)^9</f>
        <v>14495.2459924508</v>
      </c>
      <c r="G108" s="24" t="n">
        <f aca="false">F108*C108</f>
        <v>6659.28547834758</v>
      </c>
      <c r="H108" s="24" t="n">
        <f aca="false">E108*G108/(1+D108)^9</f>
        <v>53400.4148700018</v>
      </c>
      <c r="I108" s="24" t="n">
        <f aca="false">$B$13*G108/$B$12*((1+$B$8)/(1+D108))^4.5</f>
        <v>14740.9776679651</v>
      </c>
      <c r="J108" s="24" t="n">
        <f aca="false">H108+I108-$B$14</f>
        <v>66433.4307434463</v>
      </c>
      <c r="K108" s="43" t="n">
        <f aca="false">J108/$B$15</f>
        <v>240.875383406259</v>
      </c>
    </row>
    <row r="109" customFormat="false" ht="15" hidden="false" customHeight="false" outlineLevel="0" collapsed="false">
      <c r="A109" s="50" t="n">
        <v>69</v>
      </c>
      <c r="B109" s="19" t="n">
        <f aca="true">NORMINV(RAND(),$B$6,$C$6)</f>
        <v>0.137099203730766</v>
      </c>
      <c r="C109" s="19" t="n">
        <f aca="true">MAX(0.25,NORMINV(RAND(),$B$7,$C$7))</f>
        <v>0.498336735491345</v>
      </c>
      <c r="D109" s="32" t="n">
        <f aca="true">MAX(0.07,NORMINV(RAND(),$B$8,$C$8))</f>
        <v>0.114606891398394</v>
      </c>
      <c r="E109" s="51" t="n">
        <f aca="true">MAX(8,NORMINV(RAND(),$B$9,$C$9))</f>
        <v>21.9813355766272</v>
      </c>
      <c r="F109" s="24" t="n">
        <f aca="false">$B$18*(1+(B109+$B$17)/2)^9</f>
        <v>15611.0866678719</v>
      </c>
      <c r="G109" s="24" t="n">
        <f aca="false">F109*C109</f>
        <v>7779.57796753973</v>
      </c>
      <c r="H109" s="24" t="n">
        <f aca="false">E109*G109/(1+D109)^9</f>
        <v>64404.2606762692</v>
      </c>
      <c r="I109" s="24" t="n">
        <f aca="false">$B$13*G109/$B$12*((1+$B$8)/(1+D109))^4.5</f>
        <v>17264.4710539263</v>
      </c>
      <c r="J109" s="24" t="n">
        <f aca="false">H109+I109-$B$14</f>
        <v>79960.7699356749</v>
      </c>
      <c r="K109" s="43" t="n">
        <f aca="false">J109/$B$15</f>
        <v>289.923023697153</v>
      </c>
    </row>
    <row r="110" customFormat="false" ht="15" hidden="false" customHeight="false" outlineLevel="0" collapsed="false">
      <c r="A110" s="50" t="n">
        <v>70</v>
      </c>
      <c r="B110" s="19" t="n">
        <f aca="true">NORMINV(RAND(),$B$6,$C$6)</f>
        <v>0.15385839427072</v>
      </c>
      <c r="C110" s="19" t="n">
        <f aca="true">MAX(0.25,NORMINV(RAND(),$B$7,$C$7))</f>
        <v>0.486603630291503</v>
      </c>
      <c r="D110" s="32" t="n">
        <f aca="true">MAX(0.07,NORMINV(RAND(),$B$8,$C$8))</f>
        <v>0.0939451357626746</v>
      </c>
      <c r="E110" s="51" t="n">
        <f aca="true">MAX(8,NORMINV(RAND(),$B$9,$C$9))</f>
        <v>23.1710589959586</v>
      </c>
      <c r="F110" s="24" t="n">
        <f aca="false">$B$18*(1+(B110+$B$17)/2)^9</f>
        <v>16705.8183937593</v>
      </c>
      <c r="G110" s="24" t="n">
        <f aca="false">F110*C110</f>
        <v>8129.11187739382</v>
      </c>
      <c r="H110" s="24" t="n">
        <f aca="false">E110*G110/(1+D110)^9</f>
        <v>83951.6255584758</v>
      </c>
      <c r="I110" s="24" t="n">
        <f aca="false">$B$13*G110/$B$12*((1+$B$8)/(1+D110))^4.5</f>
        <v>19624.9319985351</v>
      </c>
      <c r="J110" s="24" t="n">
        <f aca="false">H110+I110-$B$14</f>
        <v>101868.59576249</v>
      </c>
      <c r="K110" s="43" t="n">
        <f aca="false">J110/$B$15</f>
        <v>369.356764911133</v>
      </c>
    </row>
    <row r="111" customFormat="false" ht="15" hidden="false" customHeight="false" outlineLevel="0" collapsed="false">
      <c r="A111" s="50" t="n">
        <v>71</v>
      </c>
      <c r="B111" s="19" t="n">
        <f aca="true">NORMINV(RAND(),$B$6,$C$6)</f>
        <v>0.0553364656825393</v>
      </c>
      <c r="C111" s="19" t="n">
        <f aca="true">MAX(0.25,NORMINV(RAND(),$B$7,$C$7))</f>
        <v>0.508171954758355</v>
      </c>
      <c r="D111" s="32" t="n">
        <f aca="true">MAX(0.07,NORMINV(RAND(),$B$8,$C$8))</f>
        <v>0.0960545032168569</v>
      </c>
      <c r="E111" s="51" t="n">
        <f aca="true">MAX(8,NORMINV(RAND(),$B$9,$C$9))</f>
        <v>17.4172247351266</v>
      </c>
      <c r="F111" s="24" t="n">
        <f aca="false">$B$18*(1+(B111+$B$17)/2)^9</f>
        <v>11131.7604273778</v>
      </c>
      <c r="G111" s="24" t="n">
        <f aca="false">F111*C111</f>
        <v>5656.84845628229</v>
      </c>
      <c r="H111" s="24" t="n">
        <f aca="false">E111*G111/(1+D111)^9</f>
        <v>43158.2815005599</v>
      </c>
      <c r="I111" s="24" t="n">
        <f aca="false">$B$13*G111/$B$12*((1+$B$8)/(1+D111))^4.5</f>
        <v>13538.634472227</v>
      </c>
      <c r="J111" s="24" t="n">
        <f aca="false">H111+I111-$B$14</f>
        <v>54988.9541782664</v>
      </c>
      <c r="K111" s="43" t="n">
        <f aca="false">J111/$B$15</f>
        <v>199.379819355571</v>
      </c>
    </row>
    <row r="112" customFormat="false" ht="15" hidden="false" customHeight="false" outlineLevel="0" collapsed="false">
      <c r="A112" s="50" t="n">
        <v>72</v>
      </c>
      <c r="B112" s="19" t="n">
        <f aca="true">NORMINV(RAND(),$B$6,$C$6)</f>
        <v>0.118517879385755</v>
      </c>
      <c r="C112" s="19" t="n">
        <f aca="true">MAX(0.25,NORMINV(RAND(),$B$7,$C$7))</f>
        <v>0.502535934457572</v>
      </c>
      <c r="D112" s="32" t="n">
        <f aca="true">MAX(0.07,NORMINV(RAND(),$B$8,$C$8))</f>
        <v>0.101322741679926</v>
      </c>
      <c r="E112" s="51" t="n">
        <f aca="true">MAX(8,NORMINV(RAND(),$B$9,$C$9))</f>
        <v>21.8153739577858</v>
      </c>
      <c r="F112" s="24" t="n">
        <f aca="false">$B$18*(1+(B112+$B$17)/2)^9</f>
        <v>14472.2820429022</v>
      </c>
      <c r="G112" s="24" t="n">
        <f aca="false">F112*C112</f>
        <v>7272.84178016339</v>
      </c>
      <c r="H112" s="24" t="n">
        <f aca="false">E112*G112/(1+D112)^9</f>
        <v>66563.3753591887</v>
      </c>
      <c r="I112" s="24" t="n">
        <f aca="false">$B$13*G112/$B$12*((1+$B$8)/(1+D112))^4.5</f>
        <v>17034.6574154699</v>
      </c>
      <c r="J112" s="24" t="n">
        <f aca="false">H112+I112-$B$14</f>
        <v>81890.070980138</v>
      </c>
      <c r="K112" s="43" t="n">
        <f aca="false">J112/$B$15</f>
        <v>296.918313923633</v>
      </c>
    </row>
    <row r="113" customFormat="false" ht="15" hidden="false" customHeight="false" outlineLevel="0" collapsed="false">
      <c r="A113" s="50" t="n">
        <v>73</v>
      </c>
      <c r="B113" s="19" t="n">
        <f aca="true">NORMINV(RAND(),$B$6,$C$6)</f>
        <v>0.123132709923058</v>
      </c>
      <c r="C113" s="19" t="n">
        <f aca="true">MAX(0.25,NORMINV(RAND(),$B$7,$C$7))</f>
        <v>0.476039408352951</v>
      </c>
      <c r="D113" s="32" t="n">
        <f aca="true">MAX(0.07,NORMINV(RAND(),$B$8,$C$8))</f>
        <v>0.0863599477153794</v>
      </c>
      <c r="E113" s="51" t="n">
        <f aca="true">MAX(8,NORMINV(RAND(),$B$9,$C$9))</f>
        <v>18.7864884173277</v>
      </c>
      <c r="F113" s="24" t="n">
        <f aca="false">$B$18*(1+(B113+$B$17)/2)^9</f>
        <v>14747.9931579603</v>
      </c>
      <c r="G113" s="24" t="n">
        <f aca="false">F113*C113</f>
        <v>7020.62593730878</v>
      </c>
      <c r="H113" s="24" t="n">
        <f aca="false">E113*G113/(1+D113)^9</f>
        <v>62583.195381126</v>
      </c>
      <c r="I113" s="24" t="n">
        <f aca="false">$B$13*G113/$B$12*((1+$B$8)/(1+D113))^4.5</f>
        <v>17487.9529524528</v>
      </c>
      <c r="J113" s="24" t="n">
        <f aca="false">H113+I113-$B$14</f>
        <v>78363.1865390583</v>
      </c>
      <c r="K113" s="43" t="n">
        <f aca="false">J113/$B$15</f>
        <v>284.130480562213</v>
      </c>
    </row>
    <row r="114" customFormat="false" ht="15" hidden="false" customHeight="false" outlineLevel="0" collapsed="false">
      <c r="A114" s="50" t="n">
        <v>74</v>
      </c>
      <c r="B114" s="19" t="n">
        <f aca="true">NORMINV(RAND(),$B$6,$C$6)</f>
        <v>0.083451801135025</v>
      </c>
      <c r="C114" s="19" t="n">
        <f aca="true">MAX(0.25,NORMINV(RAND(),$B$7,$C$7))</f>
        <v>0.498979325290452</v>
      </c>
      <c r="D114" s="32" t="n">
        <f aca="true">MAX(0.07,NORMINV(RAND(),$B$8,$C$8))</f>
        <v>0.0900469590748704</v>
      </c>
      <c r="E114" s="51" t="n">
        <f aca="true">MAX(8,NORMINV(RAND(),$B$9,$C$9))</f>
        <v>22.8285552718692</v>
      </c>
      <c r="F114" s="24" t="n">
        <f aca="false">$B$18*(1+(B114+$B$17)/2)^9</f>
        <v>12522.5281934747</v>
      </c>
      <c r="G114" s="24" t="n">
        <f aca="false">F114*C114</f>
        <v>6248.48266891064</v>
      </c>
      <c r="H114" s="24" t="n">
        <f aca="false">E114*G114/(1+D114)^9</f>
        <v>65651.722927366</v>
      </c>
      <c r="I114" s="24" t="n">
        <f aca="false">$B$13*G114/$B$12*((1+$B$8)/(1+D114))^4.5</f>
        <v>15329.0814499699</v>
      </c>
      <c r="J114" s="24" t="n">
        <f aca="false">H114+I114-$B$14</f>
        <v>79272.8425828153</v>
      </c>
      <c r="K114" s="43" t="n">
        <f aca="false">J114/$B$15</f>
        <v>287.428725826016</v>
      </c>
    </row>
    <row r="115" customFormat="false" ht="15" hidden="false" customHeight="false" outlineLevel="0" collapsed="false">
      <c r="A115" s="50" t="n">
        <v>75</v>
      </c>
      <c r="B115" s="19" t="n">
        <f aca="true">NORMINV(RAND(),$B$6,$C$6)</f>
        <v>0.0727068793429421</v>
      </c>
      <c r="C115" s="19" t="n">
        <f aca="true">MAX(0.25,NORMINV(RAND(),$B$7,$C$7))</f>
        <v>0.52285578180181</v>
      </c>
      <c r="D115" s="32" t="n">
        <f aca="true">MAX(0.07,NORMINV(RAND(),$B$8,$C$8))</f>
        <v>0.102413203355218</v>
      </c>
      <c r="E115" s="51" t="n">
        <f aca="true">MAX(8,NORMINV(RAND(),$B$9,$C$9))</f>
        <v>19.8619274679839</v>
      </c>
      <c r="F115" s="24" t="n">
        <f aca="false">$B$18*(1+(B115+$B$17)/2)^9</f>
        <v>11973.7748911638</v>
      </c>
      <c r="G115" s="24" t="n">
        <f aca="false">F115*C115</f>
        <v>6260.55743183831</v>
      </c>
      <c r="H115" s="24" t="n">
        <f aca="false">E115*G115/(1+D115)^9</f>
        <v>51705.2617669466</v>
      </c>
      <c r="I115" s="24" t="n">
        <f aca="false">$B$13*G115/$B$12*((1+$B$8)/(1+D115))^4.5</f>
        <v>14598.4979631145</v>
      </c>
      <c r="J115" s="24" t="n">
        <f aca="false">H115+I115-$B$14</f>
        <v>64595.7979355405</v>
      </c>
      <c r="K115" s="43" t="n">
        <f aca="false">J115/$B$15</f>
        <v>234.212465321032</v>
      </c>
    </row>
    <row r="116" customFormat="false" ht="15" hidden="false" customHeight="false" outlineLevel="0" collapsed="false">
      <c r="A116" s="50" t="n">
        <v>76</v>
      </c>
      <c r="B116" s="19" t="n">
        <f aca="true">NORMINV(RAND(),$B$6,$C$6)</f>
        <v>0.126561339680019</v>
      </c>
      <c r="C116" s="19" t="n">
        <f aca="true">MAX(0.25,NORMINV(RAND(),$B$7,$C$7))</f>
        <v>0.476519982640178</v>
      </c>
      <c r="D116" s="32" t="n">
        <f aca="true">MAX(0.07,NORMINV(RAND(),$B$8,$C$8))</f>
        <v>0.0919488225581295</v>
      </c>
      <c r="E116" s="51" t="n">
        <f aca="true">MAX(8,NORMINV(RAND(),$B$9,$C$9))</f>
        <v>17.9885309265474</v>
      </c>
      <c r="F116" s="24" t="n">
        <f aca="false">$B$18*(1+(B116+$B$17)/2)^9</f>
        <v>14955.8480518334</v>
      </c>
      <c r="G116" s="24" t="n">
        <f aca="false">F116*C116</f>
        <v>7126.7604540288</v>
      </c>
      <c r="H116" s="24" t="n">
        <f aca="false">E116*G116/(1+D116)^9</f>
        <v>58085.4421498842</v>
      </c>
      <c r="I116" s="24" t="n">
        <f aca="false">$B$13*G116/$B$12*((1+$B$8)/(1+D116))^4.5</f>
        <v>17347.0998693922</v>
      </c>
      <c r="J116" s="24" t="n">
        <f aca="false">H116+I116-$B$14</f>
        <v>73724.5802247558</v>
      </c>
      <c r="K116" s="43" t="n">
        <f aca="false">J116/$B$15</f>
        <v>267.311748458143</v>
      </c>
    </row>
    <row r="117" customFormat="false" ht="15" hidden="false" customHeight="false" outlineLevel="0" collapsed="false">
      <c r="A117" s="50" t="n">
        <v>77</v>
      </c>
      <c r="B117" s="19" t="n">
        <f aca="true">NORMINV(RAND(),$B$6,$C$6)</f>
        <v>0.0873659973772738</v>
      </c>
      <c r="C117" s="19" t="n">
        <f aca="true">MAX(0.25,NORMINV(RAND(),$B$7,$C$7))</f>
        <v>0.496625246902422</v>
      </c>
      <c r="D117" s="32" t="n">
        <f aca="true">MAX(0.07,NORMINV(RAND(),$B$8,$C$8))</f>
        <v>0.102768903296462</v>
      </c>
      <c r="E117" s="51" t="n">
        <f aca="true">MAX(8,NORMINV(RAND(),$B$9,$C$9))</f>
        <v>15.4441399103872</v>
      </c>
      <c r="F117" s="24" t="n">
        <f aca="false">$B$18*(1+(B117+$B$17)/2)^9</f>
        <v>12727.9160466101</v>
      </c>
      <c r="G117" s="24" t="n">
        <f aca="false">F117*C117</f>
        <v>6321.00444920104</v>
      </c>
      <c r="H117" s="24" t="n">
        <f aca="false">E117*G117/(1+D117)^9</f>
        <v>40475.2205499056</v>
      </c>
      <c r="I117" s="24" t="n">
        <f aca="false">$B$13*G117/$B$12*((1+$B$8)/(1+D117))^4.5</f>
        <v>14718.0675949931</v>
      </c>
      <c r="J117" s="24" t="n">
        <f aca="false">H117+I117-$B$14</f>
        <v>53485.3263503781</v>
      </c>
      <c r="K117" s="43" t="n">
        <f aca="false">J117/$B$15</f>
        <v>193.927941807027</v>
      </c>
    </row>
    <row r="118" customFormat="false" ht="15" hidden="false" customHeight="false" outlineLevel="0" collapsed="false">
      <c r="A118" s="50" t="n">
        <v>78</v>
      </c>
      <c r="B118" s="19" t="n">
        <f aca="true">NORMINV(RAND(),$B$6,$C$6)</f>
        <v>0.0739834865003131</v>
      </c>
      <c r="C118" s="19" t="n">
        <f aca="true">MAX(0.25,NORMINV(RAND(),$B$7,$C$7))</f>
        <v>0.527043094764819</v>
      </c>
      <c r="D118" s="32" t="n">
        <f aca="true">MAX(0.07,NORMINV(RAND(),$B$8,$C$8))</f>
        <v>0.0994163962239429</v>
      </c>
      <c r="E118" s="51" t="n">
        <f aca="true">MAX(8,NORMINV(RAND(),$B$9,$C$9))</f>
        <v>19.231467657235</v>
      </c>
      <c r="F118" s="24" t="n">
        <f aca="false">$B$18*(1+(B118+$B$17)/2)^9</f>
        <v>12037.8333324277</v>
      </c>
      <c r="G118" s="24" t="n">
        <f aca="false">F118*C118</f>
        <v>6344.45693378581</v>
      </c>
      <c r="H118" s="24" t="n">
        <f aca="false">E118*G118/(1+D118)^9</f>
        <v>51993.2537534084</v>
      </c>
      <c r="I118" s="24" t="n">
        <f aca="false">$B$13*G118/$B$12*((1+$B$8)/(1+D118))^4.5</f>
        <v>14976.4716098102</v>
      </c>
      <c r="J118" s="24" t="n">
        <f aca="false">H118+I118-$B$14</f>
        <v>65261.7635686981</v>
      </c>
      <c r="K118" s="43" t="n">
        <f aca="false">J118/$B$15</f>
        <v>236.62713404169</v>
      </c>
    </row>
    <row r="119" customFormat="false" ht="15" hidden="false" customHeight="false" outlineLevel="0" collapsed="false">
      <c r="A119" s="50" t="n">
        <v>79</v>
      </c>
      <c r="B119" s="19" t="n">
        <f aca="true">NORMINV(RAND(),$B$6,$C$6)</f>
        <v>0.128389592695514</v>
      </c>
      <c r="C119" s="19" t="n">
        <f aca="true">MAX(0.25,NORMINV(RAND(),$B$7,$C$7))</f>
        <v>0.481456596895729</v>
      </c>
      <c r="D119" s="32" t="n">
        <f aca="true">MAX(0.07,NORMINV(RAND(),$B$8,$C$8))</f>
        <v>0.10559449247542</v>
      </c>
      <c r="E119" s="51" t="n">
        <f aca="true">MAX(8,NORMINV(RAND(),$B$9,$C$9))</f>
        <v>21.1027762108966</v>
      </c>
      <c r="F119" s="24" t="n">
        <f aca="false">$B$18*(1+(B119+$B$17)/2)^9</f>
        <v>15067.7438009754</v>
      </c>
      <c r="G119" s="24" t="n">
        <f aca="false">F119*C119</f>
        <v>7254.46465331433</v>
      </c>
      <c r="H119" s="24" t="n">
        <f aca="false">E119*G119/(1+D119)^9</f>
        <v>62027.1980163195</v>
      </c>
      <c r="I119" s="24" t="n">
        <f aca="false">$B$13*G119/$B$12*((1+$B$8)/(1+D119))^4.5</f>
        <v>16698.1733822584</v>
      </c>
      <c r="J119" s="24" t="n">
        <f aca="false">H119+I119-$B$14</f>
        <v>77017.4096040574</v>
      </c>
      <c r="K119" s="43" t="n">
        <f aca="false">J119/$B$15</f>
        <v>279.250941276495</v>
      </c>
    </row>
    <row r="120" customFormat="false" ht="15" hidden="false" customHeight="false" outlineLevel="0" collapsed="false">
      <c r="A120" s="50" t="n">
        <v>80</v>
      </c>
      <c r="B120" s="19" t="n">
        <f aca="true">NORMINV(RAND(),$B$6,$C$6)</f>
        <v>0.108321464795943</v>
      </c>
      <c r="C120" s="19" t="n">
        <f aca="true">MAX(0.25,NORMINV(RAND(),$B$7,$C$7))</f>
        <v>0.496711577125432</v>
      </c>
      <c r="D120" s="32" t="n">
        <f aca="true">MAX(0.07,NORMINV(RAND(),$B$8,$C$8))</f>
        <v>0.0942618427959196</v>
      </c>
      <c r="E120" s="51" t="n">
        <f aca="true">MAX(8,NORMINV(RAND(),$B$9,$C$9))</f>
        <v>17.4073855769832</v>
      </c>
      <c r="F120" s="24" t="n">
        <f aca="false">$B$18*(1+(B120+$B$17)/2)^9</f>
        <v>13879.284672167</v>
      </c>
      <c r="G120" s="24" t="n">
        <f aca="false">F120*C120</f>
        <v>6894.00137888492</v>
      </c>
      <c r="H120" s="24" t="n">
        <f aca="false">E120*G120/(1+D120)^9</f>
        <v>53347.4438991131</v>
      </c>
      <c r="I120" s="24" t="n">
        <f aca="false">$B$13*G120/$B$12*((1+$B$8)/(1+D120))^4.5</f>
        <v>16621.5190981371</v>
      </c>
      <c r="J120" s="24" t="n">
        <f aca="false">H120+I120-$B$14</f>
        <v>68261.0012027297</v>
      </c>
      <c r="K120" s="43" t="n">
        <f aca="false">J120/$B$15</f>
        <v>247.50181726878</v>
      </c>
    </row>
    <row r="121" customFormat="false" ht="15" hidden="false" customHeight="false" outlineLevel="0" collapsed="false">
      <c r="A121" s="50" t="n">
        <v>81</v>
      </c>
      <c r="B121" s="19" t="n">
        <f aca="true">NORMINV(RAND(),$B$6,$C$6)</f>
        <v>0.153961046806112</v>
      </c>
      <c r="C121" s="19" t="n">
        <f aca="true">MAX(0.25,NORMINV(RAND(),$B$7,$C$7))</f>
        <v>0.517897677292458</v>
      </c>
      <c r="D121" s="32" t="n">
        <f aca="true">MAX(0.07,NORMINV(RAND(),$B$8,$C$8))</f>
        <v>0.0965636843854625</v>
      </c>
      <c r="E121" s="51" t="n">
        <f aca="true">MAX(8,NORMINV(RAND(),$B$9,$C$9))</f>
        <v>16.6411684267682</v>
      </c>
      <c r="F121" s="24" t="n">
        <f aca="false">$B$18*(1+(B121+$B$17)/2)^9</f>
        <v>16712.7288088662</v>
      </c>
      <c r="G121" s="24" t="n">
        <f aca="false">F121*C121</f>
        <v>8655.48343133053</v>
      </c>
      <c r="H121" s="24" t="n">
        <f aca="false">E121*G121/(1+D121)^9</f>
        <v>62830.4853829359</v>
      </c>
      <c r="I121" s="24" t="n">
        <f aca="false">$B$13*G121/$B$12*((1+$B$8)/(1+D121))^4.5</f>
        <v>20672.0697100954</v>
      </c>
      <c r="J121" s="24" t="n">
        <f aca="false">H121+I121-$B$14</f>
        <v>81794.5932985107</v>
      </c>
      <c r="K121" s="43" t="n">
        <f aca="false">J121/$B$15</f>
        <v>296.572129436224</v>
      </c>
    </row>
    <row r="122" customFormat="false" ht="15" hidden="false" customHeight="false" outlineLevel="0" collapsed="false">
      <c r="A122" s="50" t="n">
        <v>82</v>
      </c>
      <c r="B122" s="19" t="n">
        <f aca="true">NORMINV(RAND(),$B$6,$C$6)</f>
        <v>0.142825700542964</v>
      </c>
      <c r="C122" s="19" t="n">
        <f aca="true">MAX(0.25,NORMINV(RAND(),$B$7,$C$7))</f>
        <v>0.49267546817858</v>
      </c>
      <c r="D122" s="32" t="n">
        <f aca="true">MAX(0.07,NORMINV(RAND(),$B$8,$C$8))</f>
        <v>0.10189934916578</v>
      </c>
      <c r="E122" s="51" t="n">
        <f aca="true">MAX(8,NORMINV(RAND(),$B$9,$C$9))</f>
        <v>19.6623204951241</v>
      </c>
      <c r="F122" s="24" t="n">
        <f aca="false">$B$18*(1+(B122+$B$17)/2)^9</f>
        <v>15977.7523871639</v>
      </c>
      <c r="G122" s="24" t="n">
        <f aca="false">F122*C122</f>
        <v>7871.8466377874</v>
      </c>
      <c r="H122" s="24" t="n">
        <f aca="false">E122*G122/(1+D122)^9</f>
        <v>64629.9851713952</v>
      </c>
      <c r="I122" s="24" t="n">
        <f aca="false">$B$13*G122/$B$12*((1+$B$8)/(1+D122))^4.5</f>
        <v>18394.2867219802</v>
      </c>
      <c r="J122" s="24" t="n">
        <f aca="false">H122+I122-$B$14</f>
        <v>81316.3100988548</v>
      </c>
      <c r="K122" s="43" t="n">
        <f aca="false">J122/$B$15</f>
        <v>294.837962649945</v>
      </c>
    </row>
    <row r="123" customFormat="false" ht="15" hidden="false" customHeight="false" outlineLevel="0" collapsed="false">
      <c r="A123" s="50" t="n">
        <v>83</v>
      </c>
      <c r="B123" s="19" t="n">
        <f aca="true">NORMINV(RAND(),$B$6,$C$6)</f>
        <v>0.146574219292759</v>
      </c>
      <c r="C123" s="19" t="n">
        <f aca="true">MAX(0.25,NORMINV(RAND(),$B$7,$C$7))</f>
        <v>0.5415889558808</v>
      </c>
      <c r="D123" s="32" t="n">
        <f aca="true">MAX(0.07,NORMINV(RAND(),$B$8,$C$8))</f>
        <v>0.109571150654863</v>
      </c>
      <c r="E123" s="51" t="n">
        <f aca="true">MAX(8,NORMINV(RAND(),$B$9,$C$9))</f>
        <v>17.9892312564292</v>
      </c>
      <c r="F123" s="24" t="n">
        <f aca="false">$B$18*(1+(B123+$B$17)/2)^9</f>
        <v>16221.8950352065</v>
      </c>
      <c r="G123" s="24" t="n">
        <f aca="false">F123*C123</f>
        <v>8785.59919452544</v>
      </c>
      <c r="H123" s="24" t="n">
        <f aca="false">E123*G123/(1+D123)^9</f>
        <v>61999.4139141665</v>
      </c>
      <c r="I123" s="24" t="n">
        <f aca="false">$B$13*G123/$B$12*((1+$B$8)/(1+D123))^4.5</f>
        <v>19898.4010496945</v>
      </c>
      <c r="J123" s="24" t="n">
        <f aca="false">H123+I123-$B$14</f>
        <v>80189.8531693404</v>
      </c>
      <c r="K123" s="43" t="n">
        <f aca="false">J123/$B$15</f>
        <v>290.753637307253</v>
      </c>
    </row>
    <row r="124" customFormat="false" ht="15" hidden="false" customHeight="false" outlineLevel="0" collapsed="false">
      <c r="A124" s="50" t="n">
        <v>84</v>
      </c>
      <c r="B124" s="19" t="n">
        <f aca="true">NORMINV(RAND(),$B$6,$C$6)</f>
        <v>0.0959005597360471</v>
      </c>
      <c r="C124" s="19" t="n">
        <f aca="true">MAX(0.25,NORMINV(RAND(),$B$7,$C$7))</f>
        <v>0.504897972721134</v>
      </c>
      <c r="D124" s="32" t="n">
        <f aca="true">MAX(0.07,NORMINV(RAND(),$B$8,$C$8))</f>
        <v>0.0995027181693957</v>
      </c>
      <c r="E124" s="51" t="n">
        <f aca="true">MAX(8,NORMINV(RAND(),$B$9,$C$9))</f>
        <v>23.5436276684604</v>
      </c>
      <c r="F124" s="24" t="n">
        <f aca="false">$B$18*(1+(B124+$B$17)/2)^9</f>
        <v>13186.1616675792</v>
      </c>
      <c r="G124" s="24" t="n">
        <f aca="false">F124*C124</f>
        <v>6657.66629393388</v>
      </c>
      <c r="H124" s="24" t="n">
        <f aca="false">E124*G124/(1+D124)^9</f>
        <v>66746.5215680268</v>
      </c>
      <c r="I124" s="24" t="n">
        <f aca="false">$B$13*G124/$B$12*((1+$B$8)/(1+D124))^4.5</f>
        <v>15710.269556899</v>
      </c>
      <c r="J124" s="24" t="n">
        <f aca="false">H124+I124-$B$14</f>
        <v>80748.8293304053</v>
      </c>
      <c r="K124" s="43" t="n">
        <f aca="false">J124/$B$15</f>
        <v>292.780381908649</v>
      </c>
    </row>
    <row r="125" customFormat="false" ht="15" hidden="false" customHeight="false" outlineLevel="0" collapsed="false">
      <c r="A125" s="50" t="n">
        <v>85</v>
      </c>
      <c r="B125" s="19" t="n">
        <f aca="true">NORMINV(RAND(),$B$6,$C$6)</f>
        <v>0.153131170606493</v>
      </c>
      <c r="C125" s="19" t="n">
        <f aca="true">MAX(0.25,NORMINV(RAND(),$B$7,$C$7))</f>
        <v>0.511418899689598</v>
      </c>
      <c r="D125" s="32" t="n">
        <f aca="true">MAX(0.07,NORMINV(RAND(),$B$8,$C$8))</f>
        <v>0.0968474418859235</v>
      </c>
      <c r="E125" s="51" t="n">
        <f aca="true">MAX(8,NORMINV(RAND(),$B$9,$C$9))</f>
        <v>18.9406410107859</v>
      </c>
      <c r="F125" s="24" t="n">
        <f aca="false">$B$18*(1+(B125+$B$17)/2)^9</f>
        <v>16656.9354717079</v>
      </c>
      <c r="G125" s="24" t="n">
        <f aca="false">F125*C125</f>
        <v>8518.67161114148</v>
      </c>
      <c r="H125" s="24" t="n">
        <f aca="false">E125*G125/(1+D125)^9</f>
        <v>70218.3320758844</v>
      </c>
      <c r="I125" s="24" t="n">
        <f aca="false">$B$13*G125/$B$12*((1+$B$8)/(1+D125))^4.5</f>
        <v>20321.644677753</v>
      </c>
      <c r="J125" s="24" t="n">
        <f aca="false">H125+I125-$B$14</f>
        <v>88832.0149591168</v>
      </c>
      <c r="K125" s="43" t="n">
        <f aca="false">J125/$B$15</f>
        <v>322.088524144731</v>
      </c>
    </row>
    <row r="126" customFormat="false" ht="15" hidden="false" customHeight="false" outlineLevel="0" collapsed="false">
      <c r="A126" s="50" t="n">
        <v>86</v>
      </c>
      <c r="B126" s="19" t="n">
        <f aca="true">NORMINV(RAND(),$B$6,$C$6)</f>
        <v>0.190390523234648</v>
      </c>
      <c r="C126" s="19" t="n">
        <f aca="true">MAX(0.25,NORMINV(RAND(),$B$7,$C$7))</f>
        <v>0.551422097603864</v>
      </c>
      <c r="D126" s="32" t="n">
        <f aca="true">MAX(0.07,NORMINV(RAND(),$B$8,$C$8))</f>
        <v>0.101717682097789</v>
      </c>
      <c r="E126" s="51" t="n">
        <f aca="true">MAX(8,NORMINV(RAND(),$B$9,$C$9))</f>
        <v>14.6756915419443</v>
      </c>
      <c r="F126" s="24" t="n">
        <f aca="false">$B$18*(1+(B126+$B$17)/2)^9</f>
        <v>19331.7909017186</v>
      </c>
      <c r="G126" s="24" t="n">
        <f aca="false">F126*C126</f>
        <v>10659.976689465</v>
      </c>
      <c r="H126" s="24" t="n">
        <f aca="false">E126*G126/(1+D126)^9</f>
        <v>65421.7191768037</v>
      </c>
      <c r="I126" s="24" t="n">
        <f aca="false">$B$13*G126/$B$12*((1+$B$8)/(1+D126))^4.5</f>
        <v>24927.8494477894</v>
      </c>
      <c r="J126" s="24" t="n">
        <f aca="false">H126+I126-$B$14</f>
        <v>88641.6068300726</v>
      </c>
      <c r="K126" s="43" t="n">
        <f aca="false">J126/$B$15</f>
        <v>321.398139340365</v>
      </c>
    </row>
    <row r="127" customFormat="false" ht="15" hidden="false" customHeight="false" outlineLevel="0" collapsed="false">
      <c r="A127" s="50" t="n">
        <v>87</v>
      </c>
      <c r="B127" s="19" t="n">
        <f aca="true">NORMINV(RAND(),$B$6,$C$6)</f>
        <v>0.0801725331041684</v>
      </c>
      <c r="C127" s="19" t="n">
        <f aca="true">MAX(0.25,NORMINV(RAND(),$B$7,$C$7))</f>
        <v>0.547735850142048</v>
      </c>
      <c r="D127" s="32" t="n">
        <f aca="true">MAX(0.07,NORMINV(RAND(),$B$8,$C$8))</f>
        <v>0.10073828500183</v>
      </c>
      <c r="E127" s="51" t="n">
        <f aca="true">MAX(8,NORMINV(RAND(),$B$9,$C$9))</f>
        <v>23.5631237419658</v>
      </c>
      <c r="F127" s="24" t="n">
        <f aca="false">$B$18*(1+(B127+$B$17)/2)^9</f>
        <v>12352.7302555363</v>
      </c>
      <c r="G127" s="24" t="n">
        <f aca="false">F127*C127</f>
        <v>6766.03320809157</v>
      </c>
      <c r="H127" s="24" t="n">
        <f aca="false">E127*G127/(1+D127)^9</f>
        <v>67206.3548580929</v>
      </c>
      <c r="I127" s="24" t="n">
        <f aca="false">$B$13*G127/$B$12*((1+$B$8)/(1+D127))^4.5</f>
        <v>15885.4966655572</v>
      </c>
      <c r="J127" s="24" t="n">
        <f aca="false">H127+I127-$B$14</f>
        <v>81383.8897291295</v>
      </c>
      <c r="K127" s="43" t="n">
        <f aca="false">J127/$B$15</f>
        <v>295.082993941731</v>
      </c>
    </row>
    <row r="128" customFormat="false" ht="15" hidden="false" customHeight="false" outlineLevel="0" collapsed="false">
      <c r="A128" s="50" t="n">
        <v>88</v>
      </c>
      <c r="B128" s="19" t="n">
        <f aca="true">NORMINV(RAND(),$B$6,$C$6)</f>
        <v>0.148013345307878</v>
      </c>
      <c r="C128" s="19" t="n">
        <f aca="true">MAX(0.25,NORMINV(RAND(),$B$7,$C$7))</f>
        <v>0.484791535265433</v>
      </c>
      <c r="D128" s="32" t="n">
        <f aca="true">MAX(0.07,NORMINV(RAND(),$B$8,$C$8))</f>
        <v>0.0998682495272875</v>
      </c>
      <c r="E128" s="51" t="n">
        <f aca="true">MAX(8,NORMINV(RAND(),$B$9,$C$9))</f>
        <v>20.7751696145722</v>
      </c>
      <c r="F128" s="24" t="n">
        <f aca="false">$B$18*(1+(B128+$B$17)/2)^9</f>
        <v>16316.503238532</v>
      </c>
      <c r="G128" s="24" t="n">
        <f aca="false">F128*C128</f>
        <v>7910.10265517135</v>
      </c>
      <c r="H128" s="24" t="n">
        <f aca="false">E128*G128/(1+D128)^9</f>
        <v>69768.7128561491</v>
      </c>
      <c r="I128" s="24" t="n">
        <f aca="false">$B$13*G128/$B$12*((1+$B$8)/(1+D128))^4.5</f>
        <v>18637.777511548</v>
      </c>
      <c r="J128" s="24" t="n">
        <f aca="false">H128+I128-$B$14</f>
        <v>86698.5285731766</v>
      </c>
      <c r="K128" s="43" t="n">
        <f aca="false">J128/$B$15</f>
        <v>314.352895479248</v>
      </c>
    </row>
    <row r="129" customFormat="false" ht="15" hidden="false" customHeight="false" outlineLevel="0" collapsed="false">
      <c r="A129" s="50" t="n">
        <v>89</v>
      </c>
      <c r="B129" s="19" t="n">
        <f aca="true">NORMINV(RAND(),$B$6,$C$6)</f>
        <v>0.112440394878164</v>
      </c>
      <c r="C129" s="19" t="n">
        <f aca="true">MAX(0.25,NORMINV(RAND(),$B$7,$C$7))</f>
        <v>0.465578631150396</v>
      </c>
      <c r="D129" s="32" t="n">
        <f aca="true">MAX(0.07,NORMINV(RAND(),$B$8,$C$8))</f>
        <v>0.0866514962954477</v>
      </c>
      <c r="E129" s="51" t="n">
        <f aca="true">MAX(8,NORMINV(RAND(),$B$9,$C$9))</f>
        <v>17.5221446014683</v>
      </c>
      <c r="F129" s="24" t="n">
        <f aca="false">$B$18*(1+(B129+$B$17)/2)^9</f>
        <v>14116.1790268154</v>
      </c>
      <c r="G129" s="24" t="n">
        <f aca="false">F129*C129</f>
        <v>6572.19130837862</v>
      </c>
      <c r="H129" s="24" t="n">
        <f aca="false">E129*G129/(1+D129)^9</f>
        <v>54511.0961921999</v>
      </c>
      <c r="I129" s="24" t="n">
        <f aca="false">$B$13*G129/$B$12*((1+$B$8)/(1+D129))^4.5</f>
        <v>16351.1733561514</v>
      </c>
      <c r="J129" s="24" t="n">
        <f aca="false">H129+I129-$B$14</f>
        <v>69154.3077538308</v>
      </c>
      <c r="K129" s="43" t="n">
        <f aca="false">J129/$B$15</f>
        <v>250.740782283651</v>
      </c>
    </row>
    <row r="130" customFormat="false" ht="15" hidden="false" customHeight="false" outlineLevel="0" collapsed="false">
      <c r="A130" s="50" t="n">
        <v>90</v>
      </c>
      <c r="B130" s="19" t="n">
        <f aca="true">NORMINV(RAND(),$B$6,$C$6)</f>
        <v>0.16804709260887</v>
      </c>
      <c r="C130" s="19" t="n">
        <f aca="true">MAX(0.25,NORMINV(RAND(),$B$7,$C$7))</f>
        <v>0.52081324970422</v>
      </c>
      <c r="D130" s="32" t="n">
        <f aca="true">MAX(0.07,NORMINV(RAND(),$B$8,$C$8))</f>
        <v>0.0983525808904168</v>
      </c>
      <c r="E130" s="51" t="n">
        <f aca="true">MAX(8,NORMINV(RAND(),$B$9,$C$9))</f>
        <v>17.4969668218542</v>
      </c>
      <c r="F130" s="24" t="n">
        <f aca="false">$B$18*(1+(B130+$B$17)/2)^9</f>
        <v>17685.4307968172</v>
      </c>
      <c r="G130" s="24" t="n">
        <f aca="false">F130*C130</f>
        <v>9210.80668570944</v>
      </c>
      <c r="H130" s="24" t="n">
        <f aca="false">E130*G130/(1+D130)^9</f>
        <v>69276.2645555276</v>
      </c>
      <c r="I130" s="24" t="n">
        <f aca="false">$B$13*G130/$B$12*((1+$B$8)/(1+D130))^4.5</f>
        <v>21837.5884722684</v>
      </c>
      <c r="J130" s="24" t="n">
        <f aca="false">H130+I130-$B$14</f>
        <v>89405.8912332754</v>
      </c>
      <c r="K130" s="43" t="n">
        <f aca="false">J130/$B$15</f>
        <v>324.169293811731</v>
      </c>
    </row>
    <row r="131" customFormat="false" ht="15" hidden="false" customHeight="false" outlineLevel="0" collapsed="false">
      <c r="A131" s="50" t="n">
        <v>91</v>
      </c>
      <c r="B131" s="19" t="n">
        <f aca="true">NORMINV(RAND(),$B$6,$C$6)</f>
        <v>0.0886870354768964</v>
      </c>
      <c r="C131" s="19" t="n">
        <f aca="true">MAX(0.25,NORMINV(RAND(),$B$7,$C$7))</f>
        <v>0.468227385642199</v>
      </c>
      <c r="D131" s="32" t="n">
        <f aca="true">MAX(0.07,NORMINV(RAND(),$B$8,$C$8))</f>
        <v>0.0913793083706171</v>
      </c>
      <c r="E131" s="51" t="n">
        <f aca="true">MAX(8,NORMINV(RAND(),$B$9,$C$9))</f>
        <v>20.9700929832669</v>
      </c>
      <c r="F131" s="24" t="n">
        <f aca="false">$B$18*(1+(B131+$B$17)/2)^9</f>
        <v>12797.9070060164</v>
      </c>
      <c r="G131" s="24" t="n">
        <f aca="false">F131*C131</f>
        <v>5992.33053911906</v>
      </c>
      <c r="H131" s="24" t="n">
        <f aca="false">E131*G131/(1+D131)^9</f>
        <v>57202.4560818459</v>
      </c>
      <c r="I131" s="24" t="n">
        <f aca="false">$B$13*G131/$B$12*((1+$B$8)/(1+D131))^4.5</f>
        <v>14620.0897111517</v>
      </c>
      <c r="J131" s="24" t="n">
        <f aca="false">H131+I131-$B$14</f>
        <v>70114.583998477</v>
      </c>
      <c r="K131" s="43" t="n">
        <f aca="false">J131/$B$15</f>
        <v>254.22256707207</v>
      </c>
    </row>
    <row r="132" customFormat="false" ht="15" hidden="false" customHeight="false" outlineLevel="0" collapsed="false">
      <c r="A132" s="50" t="n">
        <v>92</v>
      </c>
      <c r="B132" s="19" t="n">
        <f aca="true">NORMINV(RAND(),$B$6,$C$6)</f>
        <v>0.125384256491883</v>
      </c>
      <c r="C132" s="19" t="n">
        <f aca="true">MAX(0.25,NORMINV(RAND(),$B$7,$C$7))</f>
        <v>0.445117998483756</v>
      </c>
      <c r="D132" s="32" t="n">
        <f aca="true">MAX(0.07,NORMINV(RAND(),$B$8,$C$8))</f>
        <v>0.0956059238789774</v>
      </c>
      <c r="E132" s="51" t="n">
        <f aca="true">MAX(8,NORMINV(RAND(),$B$9,$C$9))</f>
        <v>17.1114967812838</v>
      </c>
      <c r="F132" s="24" t="n">
        <f aca="false">$B$18*(1+(B132+$B$17)/2)^9</f>
        <v>14884.19772455</v>
      </c>
      <c r="G132" s="24" t="n">
        <f aca="false">F132*C132</f>
        <v>6625.22430018819</v>
      </c>
      <c r="H132" s="24" t="n">
        <f aca="false">E132*G132/(1+D132)^9</f>
        <v>49842.4337047637</v>
      </c>
      <c r="I132" s="24" t="n">
        <f aca="false">$B$13*G132/$B$12*((1+$B$8)/(1+D132))^4.5</f>
        <v>15885.5007673394</v>
      </c>
      <c r="J132" s="24" t="n">
        <f aca="false">H132+I132-$B$14</f>
        <v>64019.9726775826</v>
      </c>
      <c r="K132" s="43" t="n">
        <f aca="false">J132/$B$15</f>
        <v>232.124628997761</v>
      </c>
    </row>
    <row r="133" customFormat="false" ht="15" hidden="false" customHeight="false" outlineLevel="0" collapsed="false">
      <c r="A133" s="50" t="n">
        <v>93</v>
      </c>
      <c r="B133" s="19" t="n">
        <f aca="true">NORMINV(RAND(),$B$6,$C$6)</f>
        <v>0.0718667491079837</v>
      </c>
      <c r="C133" s="19" t="n">
        <f aca="true">MAX(0.25,NORMINV(RAND(),$B$7,$C$7))</f>
        <v>0.455654847766594</v>
      </c>
      <c r="D133" s="32" t="n">
        <f aca="true">MAX(0.07,NORMINV(RAND(),$B$8,$C$8))</f>
        <v>0.091680753353306</v>
      </c>
      <c r="E133" s="51" t="n">
        <f aca="true">MAX(8,NORMINV(RAND(),$B$9,$C$9))</f>
        <v>18.5357567393464</v>
      </c>
      <c r="F133" s="24" t="n">
        <f aca="false">$B$18*(1+(B133+$B$17)/2)^9</f>
        <v>11931.7837729833</v>
      </c>
      <c r="G133" s="24" t="n">
        <f aca="false">F133*C133</f>
        <v>5436.77511866261</v>
      </c>
      <c r="H133" s="24" t="n">
        <f aca="false">E133*G133/(1+D133)^9</f>
        <v>45760.5049536379</v>
      </c>
      <c r="I133" s="24" t="n">
        <f aca="false">$B$13*G133/$B$12*((1+$B$8)/(1+D133))^4.5</f>
        <v>13248.171000734</v>
      </c>
      <c r="J133" s="24" t="n">
        <f aca="false">H133+I133-$B$14</f>
        <v>57300.7141598513</v>
      </c>
      <c r="K133" s="43" t="n">
        <f aca="false">J133/$B$15</f>
        <v>207.76183524239</v>
      </c>
    </row>
    <row r="134" customFormat="false" ht="15" hidden="false" customHeight="false" outlineLevel="0" collapsed="false">
      <c r="A134" s="50" t="n">
        <v>94</v>
      </c>
      <c r="B134" s="19" t="n">
        <f aca="true">NORMINV(RAND(),$B$6,$C$6)</f>
        <v>0.145411409946741</v>
      </c>
      <c r="C134" s="19" t="n">
        <f aca="true">MAX(0.25,NORMINV(RAND(),$B$7,$C$7))</f>
        <v>0.474081623086338</v>
      </c>
      <c r="D134" s="32" t="n">
        <f aca="true">MAX(0.07,NORMINV(RAND(),$B$8,$C$8))</f>
        <v>0.0998460314675102</v>
      </c>
      <c r="E134" s="51" t="n">
        <f aca="true">MAX(8,NORMINV(RAND(),$B$9,$C$9))</f>
        <v>19.2719064527764</v>
      </c>
      <c r="F134" s="24" t="n">
        <f aca="false">$B$18*(1+(B134+$B$17)/2)^9</f>
        <v>16145.8084022792</v>
      </c>
      <c r="G134" s="24" t="n">
        <f aca="false">F134*C134</f>
        <v>7654.43105339356</v>
      </c>
      <c r="H134" s="24" t="n">
        <f aca="false">E134*G134/(1+D134)^9</f>
        <v>62639.8292975305</v>
      </c>
      <c r="I134" s="24" t="n">
        <f aca="false">$B$13*G134/$B$12*((1+$B$8)/(1+D134))^4.5</f>
        <v>18037.0038480616</v>
      </c>
      <c r="J134" s="24" t="n">
        <f aca="false">H134+I134-$B$14</f>
        <v>78968.8713510716</v>
      </c>
      <c r="K134" s="43" t="n">
        <f aca="false">J134/$B$15</f>
        <v>286.326582128613</v>
      </c>
    </row>
    <row r="135" customFormat="false" ht="15" hidden="false" customHeight="false" outlineLevel="0" collapsed="false">
      <c r="A135" s="50" t="n">
        <v>95</v>
      </c>
      <c r="B135" s="19" t="n">
        <f aca="true">NORMINV(RAND(),$B$6,$C$6)</f>
        <v>0.160410996487562</v>
      </c>
      <c r="C135" s="19" t="n">
        <f aca="true">MAX(0.25,NORMINV(RAND(),$B$7,$C$7))</f>
        <v>0.533388080407542</v>
      </c>
      <c r="D135" s="32" t="n">
        <f aca="true">MAX(0.07,NORMINV(RAND(),$B$8,$C$8))</f>
        <v>0.0968684044263656</v>
      </c>
      <c r="E135" s="51" t="n">
        <f aca="true">MAX(8,NORMINV(RAND(),$B$9,$C$9))</f>
        <v>22.9349409229958</v>
      </c>
      <c r="F135" s="24" t="n">
        <f aca="false">$B$18*(1+(B135+$B$17)/2)^9</f>
        <v>17152.0589873285</v>
      </c>
      <c r="G135" s="24" t="n">
        <f aca="false">F135*C135</f>
        <v>9148.70381828809</v>
      </c>
      <c r="H135" s="24" t="n">
        <f aca="false">E135*G135/(1+D135)^9</f>
        <v>91299.0909569379</v>
      </c>
      <c r="I135" s="24" t="n">
        <f aca="false">$B$13*G135/$B$12*((1+$B$8)/(1+D135))^4.5</f>
        <v>21822.7357872269</v>
      </c>
      <c r="J135" s="24" t="n">
        <f aca="false">H135+I135-$B$14</f>
        <v>111413.864949644</v>
      </c>
      <c r="K135" s="43" t="n">
        <f aca="false">J135/$B$15</f>
        <v>403.966152826846</v>
      </c>
    </row>
    <row r="136" customFormat="false" ht="15" hidden="false" customHeight="false" outlineLevel="0" collapsed="false">
      <c r="A136" s="50" t="n">
        <v>96</v>
      </c>
      <c r="B136" s="19" t="n">
        <f aca="true">NORMINV(RAND(),$B$6,$C$6)</f>
        <v>0.166622594730937</v>
      </c>
      <c r="C136" s="19" t="n">
        <f aca="true">MAX(0.25,NORMINV(RAND(),$B$7,$C$7))</f>
        <v>0.543183485538324</v>
      </c>
      <c r="D136" s="32" t="n">
        <f aca="true">MAX(0.07,NORMINV(RAND(),$B$8,$C$8))</f>
        <v>0.10740675879905</v>
      </c>
      <c r="E136" s="51" t="n">
        <f aca="true">MAX(8,NORMINV(RAND(),$B$9,$C$9))</f>
        <v>17.1443644691105</v>
      </c>
      <c r="F136" s="24" t="n">
        <f aca="false">$B$18*(1+(B136+$B$17)/2)^9</f>
        <v>17584.8270844579</v>
      </c>
      <c r="G136" s="24" t="n">
        <f aca="false">F136*C136</f>
        <v>9551.78766832457</v>
      </c>
      <c r="H136" s="24" t="n">
        <f aca="false">E136*G136/(1+D136)^9</f>
        <v>65379.4890621788</v>
      </c>
      <c r="I136" s="24" t="n">
        <f aca="false">$B$13*G136/$B$12*((1+$B$8)/(1+D136))^4.5</f>
        <v>21824.6552661415</v>
      </c>
      <c r="J136" s="24" t="n">
        <f aca="false">H136+I136-$B$14</f>
        <v>85496.1825337998</v>
      </c>
      <c r="K136" s="43" t="n">
        <f aca="false">J136/$B$15</f>
        <v>309.99341020232</v>
      </c>
    </row>
    <row r="137" customFormat="false" ht="15" hidden="false" customHeight="false" outlineLevel="0" collapsed="false">
      <c r="A137" s="50" t="n">
        <v>97</v>
      </c>
      <c r="B137" s="19" t="n">
        <f aca="true">NORMINV(RAND(),$B$6,$C$6)</f>
        <v>0.0909467891118044</v>
      </c>
      <c r="C137" s="19" t="n">
        <f aca="true">MAX(0.25,NORMINV(RAND(),$B$7,$C$7))</f>
        <v>0.506664239750547</v>
      </c>
      <c r="D137" s="32" t="n">
        <f aca="true">MAX(0.07,NORMINV(RAND(),$B$8,$C$8))</f>
        <v>0.104884905184414</v>
      </c>
      <c r="E137" s="51" t="n">
        <f aca="true">MAX(8,NORMINV(RAND(),$B$9,$C$9))</f>
        <v>19.1279203612833</v>
      </c>
      <c r="F137" s="24" t="n">
        <f aca="false">$B$18*(1+(B137+$B$17)/2)^9</f>
        <v>12918.4262565992</v>
      </c>
      <c r="G137" s="24" t="n">
        <f aca="false">F137*C137</f>
        <v>6545.30461807335</v>
      </c>
      <c r="H137" s="24" t="n">
        <f aca="false">E137*G137/(1+D137)^9</f>
        <v>51020.4465436671</v>
      </c>
      <c r="I137" s="24" t="n">
        <f aca="false">$B$13*G137/$B$12*((1+$B$8)/(1+D137))^4.5</f>
        <v>15109.4334013461</v>
      </c>
      <c r="J137" s="24" t="n">
        <f aca="false">H137+I137-$B$14</f>
        <v>64421.9181504927</v>
      </c>
      <c r="K137" s="43" t="n">
        <f aca="false">J137/$B$15</f>
        <v>233.582009247617</v>
      </c>
    </row>
    <row r="138" customFormat="false" ht="15" hidden="false" customHeight="false" outlineLevel="0" collapsed="false">
      <c r="A138" s="50" t="n">
        <v>98</v>
      </c>
      <c r="B138" s="19" t="n">
        <f aca="true">NORMINV(RAND(),$B$6,$C$6)</f>
        <v>0.0832957418750405</v>
      </c>
      <c r="C138" s="19" t="n">
        <f aca="true">MAX(0.25,NORMINV(RAND(),$B$7,$C$7))</f>
        <v>0.501567863529272</v>
      </c>
      <c r="D138" s="32" t="n">
        <f aca="true">MAX(0.07,NORMINV(RAND(),$B$8,$C$8))</f>
        <v>0.084831660829543</v>
      </c>
      <c r="E138" s="51" t="n">
        <f aca="true">MAX(8,NORMINV(RAND(),$B$9,$C$9))</f>
        <v>20.5307822685235</v>
      </c>
      <c r="F138" s="24" t="n">
        <f aca="false">$B$18*(1+(B138+$B$17)/2)^9</f>
        <v>12514.4007952563</v>
      </c>
      <c r="G138" s="24" t="n">
        <f aca="false">F138*C138</f>
        <v>6276.82127022571</v>
      </c>
      <c r="H138" s="24" t="n">
        <f aca="false">E138*G138/(1+D138)^9</f>
        <v>61927.5780512702</v>
      </c>
      <c r="I138" s="24" t="n">
        <f aca="false">$B$13*G138/$B$12*((1+$B$8)/(1+D138))^4.5</f>
        <v>15734.5445762825</v>
      </c>
      <c r="J138" s="24" t="n">
        <f aca="false">H138+I138-$B$14</f>
        <v>75954.1608330322</v>
      </c>
      <c r="K138" s="43" t="n">
        <f aca="false">J138/$B$15</f>
        <v>275.395797074083</v>
      </c>
    </row>
    <row r="139" customFormat="false" ht="15" hidden="false" customHeight="false" outlineLevel="0" collapsed="false">
      <c r="A139" s="50" t="n">
        <v>99</v>
      </c>
      <c r="B139" s="19" t="n">
        <f aca="true">NORMINV(RAND(),$B$6,$C$6)</f>
        <v>0.161894701282289</v>
      </c>
      <c r="C139" s="19" t="n">
        <f aca="true">MAX(0.25,NORMINV(RAND(),$B$7,$C$7))</f>
        <v>0.552734027852208</v>
      </c>
      <c r="D139" s="32" t="n">
        <f aca="true">MAX(0.07,NORMINV(RAND(),$B$8,$C$8))</f>
        <v>0.101302578109392</v>
      </c>
      <c r="E139" s="51" t="n">
        <f aca="true">MAX(8,NORMINV(RAND(),$B$9,$C$9))</f>
        <v>19.0267230606064</v>
      </c>
      <c r="F139" s="24" t="n">
        <f aca="false">$B$18*(1+(B139+$B$17)/2)^9</f>
        <v>17254.560262814</v>
      </c>
      <c r="G139" s="24" t="n">
        <f aca="false">F139*C139</f>
        <v>9537.18259288384</v>
      </c>
      <c r="H139" s="24" t="n">
        <f aca="false">E139*G139/(1+D139)^9</f>
        <v>76141.9844380351</v>
      </c>
      <c r="I139" s="24" t="n">
        <f aca="false">$B$13*G139/$B$12*((1+$B$8)/(1+D139))^4.5</f>
        <v>22340.1015418996</v>
      </c>
      <c r="J139" s="24" t="n">
        <f aca="false">H139+I139-$B$14</f>
        <v>96774.1241854142</v>
      </c>
      <c r="K139" s="43" t="n">
        <f aca="false">J139/$B$15</f>
        <v>350.885149330726</v>
      </c>
    </row>
    <row r="140" customFormat="false" ht="15" hidden="false" customHeight="false" outlineLevel="0" collapsed="false">
      <c r="A140" s="50" t="n">
        <v>100</v>
      </c>
      <c r="B140" s="19" t="n">
        <f aca="true">NORMINV(RAND(),$B$6,$C$6)</f>
        <v>0.102036274462235</v>
      </c>
      <c r="C140" s="19" t="n">
        <f aca="true">MAX(0.25,NORMINV(RAND(),$B$7,$C$7))</f>
        <v>0.536575046875474</v>
      </c>
      <c r="D140" s="32" t="n">
        <f aca="true">MAX(0.07,NORMINV(RAND(),$B$8,$C$8))</f>
        <v>0.0952691697987046</v>
      </c>
      <c r="E140" s="51" t="n">
        <f aca="true">MAX(8,NORMINV(RAND(),$B$9,$C$9))</f>
        <v>22.1168242110212</v>
      </c>
      <c r="F140" s="24" t="n">
        <f aca="false">$B$18*(1+(B140+$B$17)/2)^9</f>
        <v>13524.6082930623</v>
      </c>
      <c r="G140" s="24" t="n">
        <f aca="false">F140*C140</f>
        <v>7256.96732882235</v>
      </c>
      <c r="H140" s="24" t="n">
        <f aca="false">E140*G140/(1+D140)^9</f>
        <v>70760.3815626516</v>
      </c>
      <c r="I140" s="24" t="n">
        <f aca="false">$B$13*G140/$B$12*((1+$B$8)/(1+D140))^4.5</f>
        <v>17424.3377504606</v>
      </c>
      <c r="J140" s="24" t="n">
        <f aca="false">H140+I140-$B$14</f>
        <v>86476.7575185916</v>
      </c>
      <c r="K140" s="43" t="n">
        <f aca="false">J140/$B$15</f>
        <v>313.548794483653</v>
      </c>
    </row>
    <row r="141" customFormat="false" ht="15" hidden="false" customHeight="false" outlineLevel="0" collapsed="false">
      <c r="A141" s="50" t="n">
        <v>101</v>
      </c>
      <c r="B141" s="19" t="n">
        <f aca="true">NORMINV(RAND(),$B$6,$C$6)</f>
        <v>0.175347657339228</v>
      </c>
      <c r="C141" s="19" t="n">
        <f aca="true">MAX(0.25,NORMINV(RAND(),$B$7,$C$7))</f>
        <v>0.479355969614449</v>
      </c>
      <c r="D141" s="32" t="n">
        <f aca="true">MAX(0.07,NORMINV(RAND(),$B$8,$C$8))</f>
        <v>0.104806184083787</v>
      </c>
      <c r="E141" s="51" t="n">
        <f aca="true">MAX(8,NORMINV(RAND(),$B$9,$C$9))</f>
        <v>20.5154894371837</v>
      </c>
      <c r="F141" s="24" t="n">
        <f aca="false">$B$18*(1+(B141+$B$17)/2)^9</f>
        <v>18209.0997070926</v>
      </c>
      <c r="G141" s="24" t="n">
        <f aca="false">F141*C141</f>
        <v>8728.64064589954</v>
      </c>
      <c r="H141" s="24" t="n">
        <f aca="false">E141*G141/(1+D141)^9</f>
        <v>73021.983898277</v>
      </c>
      <c r="I141" s="24" t="n">
        <f aca="false">$B$13*G141/$B$12*((1+$B$8)/(1+D141))^4.5</f>
        <v>20155.9919712901</v>
      </c>
      <c r="J141" s="24" t="n">
        <f aca="false">H141+I141-$B$14</f>
        <v>91470.0140750465</v>
      </c>
      <c r="K141" s="43" t="n">
        <f aca="false">J141/$B$15</f>
        <v>331.653423042228</v>
      </c>
    </row>
    <row r="142" customFormat="false" ht="15" hidden="false" customHeight="false" outlineLevel="0" collapsed="false">
      <c r="A142" s="50" t="n">
        <v>102</v>
      </c>
      <c r="B142" s="19" t="n">
        <f aca="true">NORMINV(RAND(),$B$6,$C$6)</f>
        <v>0.140828702594684</v>
      </c>
      <c r="C142" s="19" t="n">
        <f aca="true">MAX(0.25,NORMINV(RAND(),$B$7,$C$7))</f>
        <v>0.500954767151433</v>
      </c>
      <c r="D142" s="32" t="n">
        <f aca="true">MAX(0.07,NORMINV(RAND(),$B$8,$C$8))</f>
        <v>0.0937106347348255</v>
      </c>
      <c r="E142" s="51" t="n">
        <f aca="true">MAX(8,NORMINV(RAND(),$B$9,$C$9))</f>
        <v>20.6516547036562</v>
      </c>
      <c r="F142" s="24" t="n">
        <f aca="false">$B$18*(1+(B142+$B$17)/2)^9</f>
        <v>15849.0252284415</v>
      </c>
      <c r="G142" s="24" t="n">
        <f aca="false">F142*C142</f>
        <v>7939.6447428911</v>
      </c>
      <c r="H142" s="24" t="n">
        <f aca="false">E142*G142/(1+D142)^9</f>
        <v>73220.7225751204</v>
      </c>
      <c r="I142" s="24" t="n">
        <f aca="false">$B$13*G142/$B$12*((1+$B$8)/(1+D142))^4.5</f>
        <v>19186.0295826818</v>
      </c>
      <c r="J142" s="24" t="n">
        <f aca="false">H142+I142-$B$14</f>
        <v>90698.7903632816</v>
      </c>
      <c r="K142" s="43" t="n">
        <f aca="false">J142/$B$15</f>
        <v>328.857107916177</v>
      </c>
    </row>
    <row r="143" customFormat="false" ht="15" hidden="false" customHeight="false" outlineLevel="0" collapsed="false">
      <c r="A143" s="50" t="n">
        <v>103</v>
      </c>
      <c r="B143" s="19" t="n">
        <f aca="true">NORMINV(RAND(),$B$6,$C$6)</f>
        <v>0.150450110153954</v>
      </c>
      <c r="C143" s="19" t="n">
        <f aca="true">MAX(0.25,NORMINV(RAND(),$B$7,$C$7))</f>
        <v>0.516411592064476</v>
      </c>
      <c r="D143" s="32" t="n">
        <f aca="true">MAX(0.07,NORMINV(RAND(),$B$8,$C$8))</f>
        <v>0.109016955255749</v>
      </c>
      <c r="E143" s="51" t="n">
        <f aca="true">MAX(8,NORMINV(RAND(),$B$9,$C$9))</f>
        <v>16.7262116537731</v>
      </c>
      <c r="F143" s="24" t="n">
        <f aca="false">$B$18*(1+(B143+$B$17)/2)^9</f>
        <v>16477.8150121956</v>
      </c>
      <c r="G143" s="24" t="n">
        <f aca="false">F143*C143</f>
        <v>8509.33468419186</v>
      </c>
      <c r="H143" s="24" t="n">
        <f aca="false">E143*G143/(1+D143)^9</f>
        <v>56085.3610621315</v>
      </c>
      <c r="I143" s="24" t="n">
        <f aca="false">$B$13*G143/$B$12*((1+$B$8)/(1+D143))^4.5</f>
        <v>19316.0697769743</v>
      </c>
      <c r="J143" s="24" t="n">
        <f aca="false">H143+I143-$B$14</f>
        <v>73693.4690445853</v>
      </c>
      <c r="K143" s="43" t="n">
        <f aca="false">J143/$B$15</f>
        <v>267.198945049258</v>
      </c>
    </row>
    <row r="144" customFormat="false" ht="15" hidden="false" customHeight="false" outlineLevel="0" collapsed="false">
      <c r="A144" s="50" t="n">
        <v>104</v>
      </c>
      <c r="B144" s="19" t="n">
        <f aca="true">NORMINV(RAND(),$B$6,$C$6)</f>
        <v>0.127880223070955</v>
      </c>
      <c r="C144" s="19" t="n">
        <f aca="true">MAX(0.25,NORMINV(RAND(),$B$7,$C$7))</f>
        <v>0.51350423928353</v>
      </c>
      <c r="D144" s="32" t="n">
        <f aca="true">MAX(0.07,NORMINV(RAND(),$B$8,$C$8))</f>
        <v>0.10732473785687</v>
      </c>
      <c r="E144" s="51" t="n">
        <f aca="true">MAX(8,NORMINV(RAND(),$B$9,$C$9))</f>
        <v>16.6941820525174</v>
      </c>
      <c r="F144" s="24" t="n">
        <f aca="false">$B$18*(1+(B144+$B$17)/2)^9</f>
        <v>15036.4939871061</v>
      </c>
      <c r="G144" s="24" t="n">
        <f aca="false">F144*C144</f>
        <v>7721.3034063403</v>
      </c>
      <c r="H144" s="24" t="n">
        <f aca="false">E144*G144/(1+D144)^9</f>
        <v>51496.8593281094</v>
      </c>
      <c r="I144" s="24" t="n">
        <f aca="false">$B$13*G144/$B$12*((1+$B$8)/(1+D144))^4.5</f>
        <v>17648.1060558546</v>
      </c>
      <c r="J144" s="24" t="n">
        <f aca="false">H144+I144-$B$14</f>
        <v>67437.0035894434</v>
      </c>
      <c r="K144" s="43" t="n">
        <f aca="false">J144/$B$15</f>
        <v>244.514153696314</v>
      </c>
    </row>
    <row r="145" customFormat="false" ht="15" hidden="false" customHeight="false" outlineLevel="0" collapsed="false">
      <c r="A145" s="50" t="n">
        <v>105</v>
      </c>
      <c r="B145" s="19" t="n">
        <f aca="true">NORMINV(RAND(),$B$6,$C$6)</f>
        <v>0.11561729100408</v>
      </c>
      <c r="C145" s="19" t="n">
        <f aca="true">MAX(0.25,NORMINV(RAND(),$B$7,$C$7))</f>
        <v>0.414652763225101</v>
      </c>
      <c r="D145" s="32" t="n">
        <f aca="true">MAX(0.07,NORMINV(RAND(),$B$8,$C$8))</f>
        <v>0.105350709082111</v>
      </c>
      <c r="E145" s="51" t="n">
        <f aca="true">MAX(8,NORMINV(RAND(),$B$9,$C$9))</f>
        <v>20.7504927987587</v>
      </c>
      <c r="F145" s="24" t="n">
        <f aca="false">$B$18*(1+(B145+$B$17)/2)^9</f>
        <v>14301.3416439327</v>
      </c>
      <c r="G145" s="24" t="n">
        <f aca="false">F145*C145</f>
        <v>5930.09083048292</v>
      </c>
      <c r="H145" s="24" t="n">
        <f aca="false">E145*G145/(1+D145)^9</f>
        <v>49956.1444803423</v>
      </c>
      <c r="I145" s="24" t="n">
        <f aca="false">$B$13*G145/$B$12*((1+$B$8)/(1+D145))^4.5</f>
        <v>13663.3098916924</v>
      </c>
      <c r="J145" s="24" t="n">
        <f aca="false">H145+I145-$B$14</f>
        <v>61911.4925775142</v>
      </c>
      <c r="K145" s="43" t="n">
        <f aca="false">J145/$B$15</f>
        <v>224.479668518906</v>
      </c>
    </row>
    <row r="146" customFormat="false" ht="15" hidden="false" customHeight="false" outlineLevel="0" collapsed="false">
      <c r="A146" s="50" t="n">
        <v>106</v>
      </c>
      <c r="B146" s="19" t="n">
        <f aca="true">NORMINV(RAND(),$B$6,$C$6)</f>
        <v>0.131699440417372</v>
      </c>
      <c r="C146" s="19" t="n">
        <f aca="true">MAX(0.25,NORMINV(RAND(),$B$7,$C$7))</f>
        <v>0.459325225634701</v>
      </c>
      <c r="D146" s="32" t="n">
        <f aca="true">MAX(0.07,NORMINV(RAND(),$B$8,$C$8))</f>
        <v>0.110486395777383</v>
      </c>
      <c r="E146" s="51" t="n">
        <f aca="true">MAX(8,NORMINV(RAND(),$B$9,$C$9))</f>
        <v>23.0849472049938</v>
      </c>
      <c r="F146" s="24" t="n">
        <f aca="false">$B$18*(1+(B146+$B$17)/2)^9</f>
        <v>15272.2130350729</v>
      </c>
      <c r="G146" s="24" t="n">
        <f aca="false">F146*C146</f>
        <v>7014.91269827607</v>
      </c>
      <c r="H146" s="24" t="n">
        <f aca="false">E146*G146/(1+D146)^9</f>
        <v>63056.8067018902</v>
      </c>
      <c r="I146" s="24" t="n">
        <f aca="false">$B$13*G146/$B$12*((1+$B$8)/(1+D146))^4.5</f>
        <v>15829.1529708566</v>
      </c>
      <c r="J146" s="24" t="n">
        <f aca="false">H146+I146-$B$14</f>
        <v>77177.9978782263</v>
      </c>
      <c r="K146" s="43" t="n">
        <f aca="false">J146/$B$15</f>
        <v>279.833204779646</v>
      </c>
    </row>
    <row r="147" customFormat="false" ht="15" hidden="false" customHeight="false" outlineLevel="0" collapsed="false">
      <c r="A147" s="50" t="n">
        <v>107</v>
      </c>
      <c r="B147" s="19" t="n">
        <f aca="true">NORMINV(RAND(),$B$6,$C$6)</f>
        <v>0.148440056329445</v>
      </c>
      <c r="C147" s="19" t="n">
        <f aca="true">MAX(0.25,NORMINV(RAND(),$B$7,$C$7))</f>
        <v>0.48265642885691</v>
      </c>
      <c r="D147" s="32" t="n">
        <f aca="true">MAX(0.07,NORMINV(RAND(),$B$8,$C$8))</f>
        <v>0.0856616826793612</v>
      </c>
      <c r="E147" s="51" t="n">
        <f aca="true">MAX(8,NORMINV(RAND(),$B$9,$C$9))</f>
        <v>20.9919384274785</v>
      </c>
      <c r="F147" s="24" t="n">
        <f aca="false">$B$18*(1+(B147+$B$17)/2)^9</f>
        <v>16344.6493498245</v>
      </c>
      <c r="G147" s="24" t="n">
        <f aca="false">F147*C147</f>
        <v>7888.85008610471</v>
      </c>
      <c r="H147" s="24" t="n">
        <f aca="false">E147*G147/(1+D147)^9</f>
        <v>79034.3081480815</v>
      </c>
      <c r="I147" s="24" t="n">
        <f aca="false">$B$13*G147/$B$12*((1+$B$8)/(1+D147))^4.5</f>
        <v>19707.584821378</v>
      </c>
      <c r="J147" s="24" t="n">
        <f aca="false">H147+I147-$B$14</f>
        <v>97033.931174939</v>
      </c>
      <c r="K147" s="43" t="n">
        <f aca="false">J147/$B$15</f>
        <v>351.827161620519</v>
      </c>
    </row>
    <row r="148" customFormat="false" ht="15" hidden="false" customHeight="false" outlineLevel="0" collapsed="false">
      <c r="A148" s="50" t="n">
        <v>108</v>
      </c>
      <c r="B148" s="19" t="n">
        <f aca="true">NORMINV(RAND(),$B$6,$C$6)</f>
        <v>0.171510092404961</v>
      </c>
      <c r="C148" s="19" t="n">
        <f aca="true">MAX(0.25,NORMINV(RAND(),$B$7,$C$7))</f>
        <v>0.475283436062664</v>
      </c>
      <c r="D148" s="32" t="n">
        <f aca="true">MAX(0.07,NORMINV(RAND(),$B$8,$C$8))</f>
        <v>0.0847972326094045</v>
      </c>
      <c r="E148" s="51" t="n">
        <f aca="true">MAX(8,NORMINV(RAND(),$B$9,$C$9))</f>
        <v>19.3554787509549</v>
      </c>
      <c r="F148" s="24" t="n">
        <f aca="false">$B$18*(1+(B148+$B$17)/2)^9</f>
        <v>17932.1384472486</v>
      </c>
      <c r="G148" s="24" t="n">
        <f aca="false">F148*C148</f>
        <v>8522.8483771597</v>
      </c>
      <c r="H148" s="24" t="n">
        <f aca="false">E148*G148/(1+D148)^9</f>
        <v>79296.051562561</v>
      </c>
      <c r="I148" s="24" t="n">
        <f aca="false">$B$13*G148/$B$12*((1+$B$8)/(1+D148))^4.5</f>
        <v>21367.868407182</v>
      </c>
      <c r="J148" s="24" t="n">
        <f aca="false">H148+I148-$B$14</f>
        <v>98955.9581752225</v>
      </c>
      <c r="K148" s="43" t="n">
        <f aca="false">J148/$B$15</f>
        <v>358.79607750262</v>
      </c>
    </row>
    <row r="149" customFormat="false" ht="15" hidden="false" customHeight="false" outlineLevel="0" collapsed="false">
      <c r="A149" s="50" t="n">
        <v>109</v>
      </c>
      <c r="B149" s="19" t="n">
        <f aca="true">NORMINV(RAND(),$B$6,$C$6)</f>
        <v>0.148613467573415</v>
      </c>
      <c r="C149" s="19" t="n">
        <f aca="true">MAX(0.25,NORMINV(RAND(),$B$7,$C$7))</f>
        <v>0.468093753549816</v>
      </c>
      <c r="D149" s="32" t="n">
        <f aca="true">MAX(0.07,NORMINV(RAND(),$B$8,$C$8))</f>
        <v>0.0948116702680643</v>
      </c>
      <c r="E149" s="51" t="n">
        <f aca="true">MAX(8,NORMINV(RAND(),$B$9,$C$9))</f>
        <v>15.2794741483753</v>
      </c>
      <c r="F149" s="24" t="n">
        <f aca="false">$B$18*(1+(B149+$B$17)/2)^9</f>
        <v>16356.0999855989</v>
      </c>
      <c r="G149" s="24" t="n">
        <f aca="false">F149*C149</f>
        <v>7656.18823569508</v>
      </c>
      <c r="H149" s="24" t="n">
        <f aca="false">E149*G149/(1+D149)^9</f>
        <v>51768.5793323726</v>
      </c>
      <c r="I149" s="24" t="n">
        <f aca="false">$B$13*G149/$B$12*((1+$B$8)/(1+D149))^4.5</f>
        <v>18417.4804516224</v>
      </c>
      <c r="J149" s="24" t="n">
        <f aca="false">H149+I149-$B$14</f>
        <v>68478.0979894744</v>
      </c>
      <c r="K149" s="43" t="n">
        <f aca="false">J149/$B$15</f>
        <v>248.288970230146</v>
      </c>
    </row>
    <row r="150" customFormat="false" ht="15" hidden="false" customHeight="false" outlineLevel="0" collapsed="false">
      <c r="A150" s="50" t="n">
        <v>110</v>
      </c>
      <c r="B150" s="19" t="n">
        <f aca="true">NORMINV(RAND(),$B$6,$C$6)</f>
        <v>0.0746084138462224</v>
      </c>
      <c r="C150" s="19" t="n">
        <f aca="true">MAX(0.25,NORMINV(RAND(),$B$7,$C$7))</f>
        <v>0.503230241422286</v>
      </c>
      <c r="D150" s="32" t="n">
        <f aca="true">MAX(0.07,NORMINV(RAND(),$B$8,$C$8))</f>
        <v>0.100687338752025</v>
      </c>
      <c r="E150" s="51" t="n">
        <f aca="true">MAX(8,NORMINV(RAND(),$B$9,$C$9))</f>
        <v>20.128207638225</v>
      </c>
      <c r="F150" s="24" t="n">
        <f aca="false">$B$18*(1+(B150+$B$17)/2)^9</f>
        <v>12069.3022674032</v>
      </c>
      <c r="G150" s="24" t="n">
        <f aca="false">F150*C150</f>
        <v>6073.63789382384</v>
      </c>
      <c r="H150" s="24" t="n">
        <f aca="false">E150*G150/(1+D150)^9</f>
        <v>51555.886948604</v>
      </c>
      <c r="I150" s="24" t="n">
        <f aca="false">$B$13*G150/$B$12*((1+$B$8)/(1+D150))^4.5</f>
        <v>14262.8404574242</v>
      </c>
      <c r="J150" s="24" t="n">
        <f aca="false">H150+I150-$B$14</f>
        <v>64110.7656115076</v>
      </c>
      <c r="K150" s="43" t="n">
        <f aca="false">J150/$B$15</f>
        <v>232.453827452892</v>
      </c>
    </row>
    <row r="151" customFormat="false" ht="15" hidden="false" customHeight="false" outlineLevel="0" collapsed="false">
      <c r="A151" s="50" t="n">
        <v>111</v>
      </c>
      <c r="B151" s="19" t="n">
        <f aca="true">NORMINV(RAND(),$B$6,$C$6)</f>
        <v>0.086683890003095</v>
      </c>
      <c r="C151" s="19" t="n">
        <f aca="true">MAX(0.25,NORMINV(RAND(),$B$7,$C$7))</f>
        <v>0.485639802435776</v>
      </c>
      <c r="D151" s="32" t="n">
        <f aca="true">MAX(0.07,NORMINV(RAND(),$B$8,$C$8))</f>
        <v>0.0948746240954871</v>
      </c>
      <c r="E151" s="51" t="n">
        <f aca="true">MAX(8,NORMINV(RAND(),$B$9,$C$9))</f>
        <v>17.322494499987</v>
      </c>
      <c r="F151" s="24" t="n">
        <f aca="false">$B$18*(1+(B151+$B$17)/2)^9</f>
        <v>12691.9101493391</v>
      </c>
      <c r="G151" s="24" t="n">
        <f aca="false">F151*C151</f>
        <v>6163.69673745767</v>
      </c>
      <c r="H151" s="24" t="n">
        <f aca="false">E151*G151/(1+D151)^9</f>
        <v>47225.0234876903</v>
      </c>
      <c r="I151" s="24" t="n">
        <f aca="false">$B$13*G151/$B$12*((1+$B$8)/(1+D151))^4.5</f>
        <v>14823.3547918755</v>
      </c>
      <c r="J151" s="24" t="n">
        <f aca="false">H151+I151-$B$14</f>
        <v>60340.4164850452</v>
      </c>
      <c r="K151" s="43" t="n">
        <f aca="false">J151/$B$15</f>
        <v>218.783235986386</v>
      </c>
    </row>
    <row r="152" customFormat="false" ht="15" hidden="false" customHeight="false" outlineLevel="0" collapsed="false">
      <c r="A152" s="50" t="n">
        <v>112</v>
      </c>
      <c r="B152" s="19" t="n">
        <f aca="true">NORMINV(RAND(),$B$6,$C$6)</f>
        <v>0.121046677425111</v>
      </c>
      <c r="C152" s="19" t="n">
        <f aca="true">MAX(0.25,NORMINV(RAND(),$B$7,$C$7))</f>
        <v>0.541497808804587</v>
      </c>
      <c r="D152" s="32" t="n">
        <f aca="true">MAX(0.07,NORMINV(RAND(),$B$8,$C$8))</f>
        <v>0.10896447416516</v>
      </c>
      <c r="E152" s="51" t="n">
        <f aca="true">MAX(8,NORMINV(RAND(),$B$9,$C$9))</f>
        <v>20.6395627549729</v>
      </c>
      <c r="F152" s="24" t="n">
        <f aca="false">$B$18*(1+(B152+$B$17)/2)^9</f>
        <v>14622.7910836441</v>
      </c>
      <c r="G152" s="24" t="n">
        <f aca="false">F152*C152</f>
        <v>7918.20933040054</v>
      </c>
      <c r="H152" s="24" t="n">
        <f aca="false">E152*G152/(1+D152)^9</f>
        <v>64427.1274429817</v>
      </c>
      <c r="I152" s="24" t="n">
        <f aca="false">$B$13*G152/$B$12*((1+$B$8)/(1+D152))^4.5</f>
        <v>17978.0516619325</v>
      </c>
      <c r="J152" s="24" t="n">
        <f aca="false">H152+I152-$B$14</f>
        <v>80697.2173103936</v>
      </c>
      <c r="K152" s="43" t="n">
        <f aca="false">J152/$B$15</f>
        <v>292.593246230579</v>
      </c>
    </row>
    <row r="153" customFormat="false" ht="15" hidden="false" customHeight="false" outlineLevel="0" collapsed="false">
      <c r="A153" s="50" t="n">
        <v>113</v>
      </c>
      <c r="B153" s="19" t="n">
        <f aca="true">NORMINV(RAND(),$B$6,$C$6)</f>
        <v>0.158257967561788</v>
      </c>
      <c r="C153" s="19" t="n">
        <f aca="true">MAX(0.25,NORMINV(RAND(),$B$7,$C$7))</f>
        <v>0.50646239811331</v>
      </c>
      <c r="D153" s="32" t="n">
        <f aca="true">MAX(0.07,NORMINV(RAND(),$B$8,$C$8))</f>
        <v>0.0930394931418399</v>
      </c>
      <c r="E153" s="51" t="n">
        <f aca="true">MAX(8,NORMINV(RAND(),$B$9,$C$9))</f>
        <v>18.2110621810652</v>
      </c>
      <c r="F153" s="24" t="n">
        <f aca="false">$B$18*(1+(B153+$B$17)/2)^9</f>
        <v>17004.2802157224</v>
      </c>
      <c r="G153" s="24" t="n">
        <f aca="false">F153*C153</f>
        <v>8612.02853624549</v>
      </c>
      <c r="H153" s="24" t="n">
        <f aca="false">E153*G153/(1+D153)^9</f>
        <v>70423.5724194882</v>
      </c>
      <c r="I153" s="24" t="n">
        <f aca="false">$B$13*G153/$B$12*((1+$B$8)/(1+D153))^4.5</f>
        <v>20868.3981621949</v>
      </c>
      <c r="J153" s="24" t="n">
        <f aca="false">H153+I153-$B$14</f>
        <v>89584.0087871625</v>
      </c>
      <c r="K153" s="43" t="n">
        <f aca="false">J153/$B$15</f>
        <v>324.815115254396</v>
      </c>
    </row>
    <row r="154" customFormat="false" ht="15" hidden="false" customHeight="false" outlineLevel="0" collapsed="false">
      <c r="A154" s="50" t="n">
        <v>114</v>
      </c>
      <c r="B154" s="19" t="n">
        <f aca="true">NORMINV(RAND(),$B$6,$C$6)</f>
        <v>0.141351783796784</v>
      </c>
      <c r="C154" s="19" t="n">
        <f aca="true">MAX(0.25,NORMINV(RAND(),$B$7,$C$7))</f>
        <v>0.491923634532741</v>
      </c>
      <c r="D154" s="32" t="n">
        <f aca="true">MAX(0.07,NORMINV(RAND(),$B$8,$C$8))</f>
        <v>0.0927165813029449</v>
      </c>
      <c r="E154" s="51" t="n">
        <f aca="true">MAX(8,NORMINV(RAND(),$B$9,$C$9))</f>
        <v>22.8247257290067</v>
      </c>
      <c r="F154" s="24" t="n">
        <f aca="false">$B$18*(1+(B154+$B$17)/2)^9</f>
        <v>15882.6537918196</v>
      </c>
      <c r="G154" s="24" t="n">
        <f aca="false">F154*C154</f>
        <v>7813.05277929711</v>
      </c>
      <c r="H154" s="24" t="n">
        <f aca="false">E154*G154/(1+D154)^9</f>
        <v>80289.4579968542</v>
      </c>
      <c r="I154" s="24" t="n">
        <f aca="false">$B$13*G154/$B$12*((1+$B$8)/(1+D154))^4.5</f>
        <v>18957.5345076511</v>
      </c>
      <c r="J154" s="24" t="n">
        <f aca="false">H154+I154-$B$14</f>
        <v>97539.0307099848</v>
      </c>
      <c r="K154" s="43" t="n">
        <f aca="false">J154/$B$15</f>
        <v>353.658559499582</v>
      </c>
    </row>
    <row r="155" customFormat="false" ht="15" hidden="false" customHeight="false" outlineLevel="0" collapsed="false">
      <c r="A155" s="50" t="n">
        <v>115</v>
      </c>
      <c r="B155" s="19" t="n">
        <f aca="true">NORMINV(RAND(),$B$6,$C$6)</f>
        <v>0.164007788183419</v>
      </c>
      <c r="C155" s="19" t="n">
        <f aca="true">MAX(0.25,NORMINV(RAND(),$B$7,$C$7))</f>
        <v>0.513683658351523</v>
      </c>
      <c r="D155" s="32" t="n">
        <f aca="true">MAX(0.07,NORMINV(RAND(),$B$8,$C$8))</f>
        <v>0.0819138979947132</v>
      </c>
      <c r="E155" s="51" t="n">
        <f aca="true">MAX(8,NORMINV(RAND(),$B$9,$C$9))</f>
        <v>13.0056177058585</v>
      </c>
      <c r="F155" s="24" t="n">
        <f aca="false">$B$18*(1+(B155+$B$17)/2)^9</f>
        <v>17401.4821285416</v>
      </c>
      <c r="G155" s="24" t="n">
        <f aca="false">F155*C155</f>
        <v>8938.85700052789</v>
      </c>
      <c r="H155" s="24" t="n">
        <f aca="false">E155*G155/(1+D155)^9</f>
        <v>57237.2390656598</v>
      </c>
      <c r="I155" s="24" t="n">
        <f aca="false">$B$13*G155/$B$12*((1+$B$8)/(1+D155))^4.5</f>
        <v>22680.8767212558</v>
      </c>
      <c r="J155" s="24" t="n">
        <f aca="false">H155+I155-$B$14</f>
        <v>78210.1539923951</v>
      </c>
      <c r="K155" s="43" t="n">
        <f aca="false">J155/$B$15</f>
        <v>283.575612735298</v>
      </c>
    </row>
    <row r="156" customFormat="false" ht="15" hidden="false" customHeight="false" outlineLevel="0" collapsed="false">
      <c r="A156" s="50" t="n">
        <v>116</v>
      </c>
      <c r="B156" s="19" t="n">
        <f aca="true">NORMINV(RAND(),$B$6,$C$6)</f>
        <v>0.0975013417458441</v>
      </c>
      <c r="C156" s="19" t="n">
        <f aca="true">MAX(0.25,NORMINV(RAND(),$B$7,$C$7))</f>
        <v>0.523049602037514</v>
      </c>
      <c r="D156" s="32" t="n">
        <f aca="true">MAX(0.07,NORMINV(RAND(),$B$8,$C$8))</f>
        <v>0.089683233840043</v>
      </c>
      <c r="E156" s="51" t="n">
        <f aca="true">MAX(8,NORMINV(RAND(),$B$9,$C$9))</f>
        <v>19.1071484870532</v>
      </c>
      <c r="F156" s="24" t="n">
        <f aca="false">$B$18*(1+(B156+$B$17)/2)^9</f>
        <v>13273.7270379591</v>
      </c>
      <c r="G156" s="24" t="n">
        <f aca="false">F156*C156</f>
        <v>6942.8176447591</v>
      </c>
      <c r="H156" s="24" t="n">
        <f aca="false">E156*G156/(1+D156)^9</f>
        <v>61239.1590423898</v>
      </c>
      <c r="I156" s="24" t="n">
        <f aca="false">$B$13*G156/$B$12*((1+$B$8)/(1+D156))^4.5</f>
        <v>17058.0563949319</v>
      </c>
      <c r="J156" s="24" t="n">
        <f aca="false">H156+I156-$B$14</f>
        <v>76589.2536428011</v>
      </c>
      <c r="K156" s="43" t="n">
        <f aca="false">J156/$B$15</f>
        <v>277.698526623644</v>
      </c>
    </row>
    <row r="157" customFormat="false" ht="15" hidden="false" customHeight="false" outlineLevel="0" collapsed="false">
      <c r="A157" s="50" t="n">
        <v>117</v>
      </c>
      <c r="B157" s="19" t="n">
        <f aca="true">NORMINV(RAND(),$B$6,$C$6)</f>
        <v>0.144208584636974</v>
      </c>
      <c r="C157" s="19" t="n">
        <f aca="true">MAX(0.25,NORMINV(RAND(),$B$7,$C$7))</f>
        <v>0.478518662821166</v>
      </c>
      <c r="D157" s="32" t="n">
        <f aca="true">MAX(0.07,NORMINV(RAND(),$B$8,$C$8))</f>
        <v>0.0950750608356469</v>
      </c>
      <c r="E157" s="51" t="n">
        <f aca="true">MAX(8,NORMINV(RAND(),$B$9,$C$9))</f>
        <v>23.6629811493245</v>
      </c>
      <c r="F157" s="24" t="n">
        <f aca="false">$B$18*(1+(B157+$B$17)/2)^9</f>
        <v>16067.4373309525</v>
      </c>
      <c r="G157" s="24" t="n">
        <f aca="false">F157*C157</f>
        <v>7688.56862657026</v>
      </c>
      <c r="H157" s="24" t="n">
        <f aca="false">E157*G157/(1+D157)^9</f>
        <v>80337.8040477587</v>
      </c>
      <c r="I157" s="24" t="n">
        <f aca="false">$B$13*G157/$B$12*((1+$B$8)/(1+D157))^4.5</f>
        <v>18475.3635846236</v>
      </c>
      <c r="J157" s="24" t="n">
        <f aca="false">H157+I157-$B$14</f>
        <v>97105.2058378617</v>
      </c>
      <c r="K157" s="43" t="n">
        <f aca="false">J157/$B$15</f>
        <v>352.085590420093</v>
      </c>
    </row>
    <row r="158" customFormat="false" ht="15" hidden="false" customHeight="false" outlineLevel="0" collapsed="false">
      <c r="A158" s="50" t="n">
        <v>118</v>
      </c>
      <c r="B158" s="19" t="n">
        <f aca="true">NORMINV(RAND(),$B$6,$C$6)</f>
        <v>0.142493547766535</v>
      </c>
      <c r="C158" s="19" t="n">
        <f aca="true">MAX(0.25,NORMINV(RAND(),$B$7,$C$7))</f>
        <v>0.536546347763664</v>
      </c>
      <c r="D158" s="32" t="n">
        <f aca="true">MAX(0.07,NORMINV(RAND(),$B$8,$C$8))</f>
        <v>0.0899481482379123</v>
      </c>
      <c r="E158" s="51" t="n">
        <f aca="true">MAX(8,NORMINV(RAND(),$B$9,$C$9))</f>
        <v>22.1258483096478</v>
      </c>
      <c r="F158" s="24" t="n">
        <f aca="false">$B$18*(1+(B158+$B$17)/2)^9</f>
        <v>15956.2774894951</v>
      </c>
      <c r="G158" s="24" t="n">
        <f aca="false">F158*C158</f>
        <v>8561.28241089217</v>
      </c>
      <c r="H158" s="24" t="n">
        <f aca="false">E158*G158/(1+D158)^9</f>
        <v>87254.1743033678</v>
      </c>
      <c r="I158" s="24" t="n">
        <f aca="false">$B$13*G158/$B$12*((1+$B$8)/(1+D158))^4.5</f>
        <v>21011.5238122769</v>
      </c>
      <c r="J158" s="24" t="n">
        <f aca="false">H158+I158-$B$14</f>
        <v>106557.736321124</v>
      </c>
      <c r="K158" s="43" t="n">
        <f aca="false">J158/$B$15</f>
        <v>386.358724877172</v>
      </c>
    </row>
    <row r="159" customFormat="false" ht="15" hidden="false" customHeight="false" outlineLevel="0" collapsed="false">
      <c r="A159" s="50" t="n">
        <v>119</v>
      </c>
      <c r="B159" s="19" t="n">
        <f aca="true">NORMINV(RAND(),$B$6,$C$6)</f>
        <v>0.153106800107666</v>
      </c>
      <c r="C159" s="19" t="n">
        <f aca="true">MAX(0.25,NORMINV(RAND(),$B$7,$C$7))</f>
        <v>0.463931837037286</v>
      </c>
      <c r="D159" s="32" t="n">
        <f aca="true">MAX(0.07,NORMINV(RAND(),$B$8,$C$8))</f>
        <v>0.0961970808234974</v>
      </c>
      <c r="E159" s="51" t="n">
        <f aca="true">MAX(8,NORMINV(RAND(),$B$9,$C$9))</f>
        <v>19.4102694801095</v>
      </c>
      <c r="F159" s="24" t="n">
        <f aca="false">$B$18*(1+(B159+$B$17)/2)^9</f>
        <v>16655.2995261766</v>
      </c>
      <c r="G159" s="24" t="n">
        <f aca="false">F159*C159</f>
        <v>7726.92370558537</v>
      </c>
      <c r="H159" s="24" t="n">
        <f aca="false">E159*G159/(1+D159)^9</f>
        <v>65620.6334074003</v>
      </c>
      <c r="I159" s="24" t="n">
        <f aca="false">$B$13*G159/$B$12*((1+$B$8)/(1+D159))^4.5</f>
        <v>18482.1604213778</v>
      </c>
      <c r="J159" s="24" t="n">
        <f aca="false">H159+I159-$B$14</f>
        <v>82394.8320342576</v>
      </c>
      <c r="K159" s="43" t="n">
        <f aca="false">J159/$B$15</f>
        <v>298.748484533204</v>
      </c>
    </row>
    <row r="160" customFormat="false" ht="15" hidden="false" customHeight="false" outlineLevel="0" collapsed="false">
      <c r="A160" s="50" t="n">
        <v>120</v>
      </c>
      <c r="B160" s="19" t="n">
        <f aca="true">NORMINV(RAND(),$B$6,$C$6)</f>
        <v>0.182873349417348</v>
      </c>
      <c r="C160" s="19" t="n">
        <f aca="true">MAX(0.25,NORMINV(RAND(),$B$7,$C$7))</f>
        <v>0.497220117452092</v>
      </c>
      <c r="D160" s="32" t="n">
        <f aca="true">MAX(0.07,NORMINV(RAND(),$B$8,$C$8))</f>
        <v>0.105930203963615</v>
      </c>
      <c r="E160" s="51" t="n">
        <f aca="true">MAX(8,NORMINV(RAND(),$B$9,$C$9))</f>
        <v>14.3692148653716</v>
      </c>
      <c r="F160" s="24" t="n">
        <f aca="false">$B$18*(1+(B160+$B$17)/2)^9</f>
        <v>18763.3003159843</v>
      </c>
      <c r="G160" s="24" t="n">
        <f aca="false">F160*C160</f>
        <v>9329.49038690257</v>
      </c>
      <c r="H160" s="24" t="n">
        <f aca="false">E160*G160/(1+D160)^9</f>
        <v>54167.8362146299</v>
      </c>
      <c r="I160" s="24" t="n">
        <f aca="false">$B$13*G160/$B$12*((1+$B$8)/(1+D160))^4.5</f>
        <v>21445.1052465259</v>
      </c>
      <c r="J160" s="24" t="n">
        <f aca="false">H160+I160-$B$14</f>
        <v>73904.9796666353</v>
      </c>
      <c r="K160" s="43" t="n">
        <f aca="false">J160/$B$15</f>
        <v>267.965843606364</v>
      </c>
    </row>
    <row r="161" customFormat="false" ht="15" hidden="false" customHeight="false" outlineLevel="0" collapsed="false">
      <c r="A161" s="50" t="n">
        <v>121</v>
      </c>
      <c r="B161" s="19" t="n">
        <f aca="true">NORMINV(RAND(),$B$6,$C$6)</f>
        <v>0.0877347727361957</v>
      </c>
      <c r="C161" s="19" t="n">
        <f aca="true">MAX(0.25,NORMINV(RAND(),$B$7,$C$7))</f>
        <v>0.465107679903112</v>
      </c>
      <c r="D161" s="32" t="n">
        <f aca="true">MAX(0.07,NORMINV(RAND(),$B$8,$C$8))</f>
        <v>0.0865540776224601</v>
      </c>
      <c r="E161" s="51" t="n">
        <f aca="true">MAX(8,NORMINV(RAND(),$B$9,$C$9))</f>
        <v>16.9581476468521</v>
      </c>
      <c r="F161" s="24" t="n">
        <f aca="false">$B$18*(1+(B161+$B$17)/2)^9</f>
        <v>12747.4201075934</v>
      </c>
      <c r="G161" s="24" t="n">
        <f aca="false">F161*C161</f>
        <v>5928.92299099306</v>
      </c>
      <c r="H161" s="24" t="n">
        <f aca="false">E161*G161/(1+D161)^9</f>
        <v>47631.2641467095</v>
      </c>
      <c r="I161" s="24" t="n">
        <f aca="false">$B$13*G161/$B$12*((1+$B$8)/(1+D161))^4.5</f>
        <v>14756.7170303782</v>
      </c>
      <c r="J161" s="24" t="n">
        <f aca="false">H161+I161-$B$14</f>
        <v>60680.0193825671</v>
      </c>
      <c r="K161" s="43" t="n">
        <f aca="false">J161/$B$15</f>
        <v>220.014573540853</v>
      </c>
    </row>
    <row r="162" customFormat="false" ht="15" hidden="false" customHeight="false" outlineLevel="0" collapsed="false">
      <c r="A162" s="50" t="n">
        <v>122</v>
      </c>
      <c r="B162" s="19" t="n">
        <f aca="true">NORMINV(RAND(),$B$6,$C$6)</f>
        <v>0.151210299105366</v>
      </c>
      <c r="C162" s="19" t="n">
        <f aca="true">MAX(0.25,NORMINV(RAND(),$B$7,$C$7))</f>
        <v>0.547109853110044</v>
      </c>
      <c r="D162" s="32" t="n">
        <f aca="true">MAX(0.07,NORMINV(RAND(),$B$8,$C$8))</f>
        <v>0.104048210223555</v>
      </c>
      <c r="E162" s="51" t="n">
        <f aca="true">MAX(8,NORMINV(RAND(),$B$9,$C$9))</f>
        <v>11.935307982589</v>
      </c>
      <c r="F162" s="24" t="n">
        <f aca="false">$B$18*(1+(B162+$B$17)/2)^9</f>
        <v>16528.4281554931</v>
      </c>
      <c r="G162" s="24" t="n">
        <f aca="false">F162*C162</f>
        <v>9042.86590029172</v>
      </c>
      <c r="H162" s="24" t="n">
        <f aca="false">E162*G162/(1+D162)^9</f>
        <v>44284.0546794615</v>
      </c>
      <c r="I162" s="24" t="n">
        <f aca="false">$B$13*G162/$B$12*((1+$B$8)/(1+D162))^4.5</f>
        <v>20946.1840959435</v>
      </c>
      <c r="J162" s="24" t="n">
        <f aca="false">H162+I162-$B$14</f>
        <v>63522.2769808845</v>
      </c>
      <c r="K162" s="43" t="n">
        <f aca="false">J162/$B$15</f>
        <v>230.320076072823</v>
      </c>
    </row>
    <row r="163" customFormat="false" ht="15" hidden="false" customHeight="false" outlineLevel="0" collapsed="false">
      <c r="A163" s="50" t="n">
        <v>123</v>
      </c>
      <c r="B163" s="19" t="n">
        <f aca="true">NORMINV(RAND(),$B$6,$C$6)</f>
        <v>0.0691693457277431</v>
      </c>
      <c r="C163" s="19" t="n">
        <f aca="true">MAX(0.25,NORMINV(RAND(),$B$7,$C$7))</f>
        <v>0.555095016407137</v>
      </c>
      <c r="D163" s="32" t="n">
        <f aca="true">MAX(0.07,NORMINV(RAND(),$B$8,$C$8))</f>
        <v>0.115814872322071</v>
      </c>
      <c r="E163" s="51" t="n">
        <f aca="true">MAX(8,NORMINV(RAND(),$B$9,$C$9))</f>
        <v>20.8554449277146</v>
      </c>
      <c r="F163" s="24" t="n">
        <f aca="false">$B$18*(1+(B163+$B$17)/2)^9</f>
        <v>11797.8464129447</v>
      </c>
      <c r="G163" s="24" t="n">
        <f aca="false">F163*C163</f>
        <v>6548.9257481624</v>
      </c>
      <c r="H163" s="24" t="n">
        <f aca="false">E163*G163/(1+D163)^9</f>
        <v>50940.1494506071</v>
      </c>
      <c r="I163" s="24" t="n">
        <f aca="false">$B$13*G163/$B$12*((1+$B$8)/(1+D163))^4.5</f>
        <v>14462.7343004132</v>
      </c>
      <c r="J163" s="24" t="n">
        <f aca="false">H163+I163-$B$14</f>
        <v>63694.9219564998</v>
      </c>
      <c r="K163" s="43" t="n">
        <f aca="false">J163/$B$15</f>
        <v>230.946054954677</v>
      </c>
    </row>
    <row r="164" customFormat="false" ht="15" hidden="false" customHeight="false" outlineLevel="0" collapsed="false">
      <c r="A164" s="50" t="n">
        <v>124</v>
      </c>
      <c r="B164" s="19" t="n">
        <f aca="true">NORMINV(RAND(),$B$6,$C$6)</f>
        <v>0.140582712295239</v>
      </c>
      <c r="C164" s="19" t="n">
        <f aca="true">MAX(0.25,NORMINV(RAND(),$B$7,$C$7))</f>
        <v>0.485307512117429</v>
      </c>
      <c r="D164" s="32" t="n">
        <f aca="true">MAX(0.07,NORMINV(RAND(),$B$8,$C$8))</f>
        <v>0.0924249378986859</v>
      </c>
      <c r="E164" s="51" t="n">
        <f aca="true">MAX(8,NORMINV(RAND(),$B$9,$C$9))</f>
        <v>19.6134347990599</v>
      </c>
      <c r="F164" s="24" t="n">
        <f aca="false">$B$18*(1+(B164+$B$17)/2)^9</f>
        <v>15833.2325579524</v>
      </c>
      <c r="G164" s="24" t="n">
        <f aca="false">F164*C164</f>
        <v>7683.98670147654</v>
      </c>
      <c r="H164" s="24" t="n">
        <f aca="false">E164*G164/(1+D164)^9</f>
        <v>68016.7395339463</v>
      </c>
      <c r="I164" s="24" t="n">
        <f aca="false">$B$13*G164/$B$12*((1+$B$8)/(1+D164))^4.5</f>
        <v>18666.7785754134</v>
      </c>
      <c r="J164" s="24" t="n">
        <f aca="false">H164+I164-$B$14</f>
        <v>84975.5563148391</v>
      </c>
      <c r="K164" s="43" t="n">
        <f aca="false">J164/$B$15</f>
        <v>308.105715427263</v>
      </c>
    </row>
    <row r="165" customFormat="false" ht="15" hidden="false" customHeight="false" outlineLevel="0" collapsed="false">
      <c r="A165" s="50" t="n">
        <v>125</v>
      </c>
      <c r="B165" s="19" t="n">
        <f aca="true">NORMINV(RAND(),$B$6,$C$6)</f>
        <v>0.137595728437854</v>
      </c>
      <c r="C165" s="19" t="n">
        <f aca="true">MAX(0.25,NORMINV(RAND(),$B$7,$C$7))</f>
        <v>0.477655212773449</v>
      </c>
      <c r="D165" s="32" t="n">
        <f aca="true">MAX(0.07,NORMINV(RAND(),$B$8,$C$8))</f>
        <v>0.10326871733015</v>
      </c>
      <c r="E165" s="51" t="n">
        <f aca="true">MAX(8,NORMINV(RAND(),$B$9,$C$9))</f>
        <v>20.7299862850651</v>
      </c>
      <c r="F165" s="24" t="n">
        <f aca="false">$B$18*(1+(B165+$B$17)/2)^9</f>
        <v>15642.5801336535</v>
      </c>
      <c r="G165" s="24" t="n">
        <f aca="false">F165*C165</f>
        <v>7471.75994206596</v>
      </c>
      <c r="H165" s="24" t="n">
        <f aca="false">E165*G165/(1+D165)^9</f>
        <v>63957.3097552505</v>
      </c>
      <c r="I165" s="24" t="n">
        <f aca="false">$B$13*G165/$B$12*((1+$B$8)/(1+D165))^4.5</f>
        <v>17362.0914079009</v>
      </c>
      <c r="J165" s="24" t="n">
        <f aca="false">H165+I165-$B$14</f>
        <v>79611.4393686308</v>
      </c>
      <c r="K165" s="43" t="n">
        <f aca="false">J165/$B$15</f>
        <v>288.656415404753</v>
      </c>
    </row>
    <row r="166" customFormat="false" ht="15" hidden="false" customHeight="false" outlineLevel="0" collapsed="false">
      <c r="A166" s="50" t="n">
        <v>126</v>
      </c>
      <c r="B166" s="19" t="n">
        <f aca="true">NORMINV(RAND(),$B$6,$C$6)</f>
        <v>0.136186649139065</v>
      </c>
      <c r="C166" s="19" t="n">
        <f aca="true">MAX(0.25,NORMINV(RAND(),$B$7,$C$7))</f>
        <v>0.47654100938526</v>
      </c>
      <c r="D166" s="32" t="n">
        <f aca="true">MAX(0.07,NORMINV(RAND(),$B$8,$C$8))</f>
        <v>0.121833028263394</v>
      </c>
      <c r="E166" s="51" t="n">
        <f aca="true">MAX(8,NORMINV(RAND(),$B$9,$C$9))</f>
        <v>23.0263450796738</v>
      </c>
      <c r="F166" s="24" t="n">
        <f aca="false">$B$18*(1+(B166+$B$17)/2)^9</f>
        <v>15553.3522951834</v>
      </c>
      <c r="G166" s="24" t="n">
        <f aca="false">F166*C166</f>
        <v>7411.81020207126</v>
      </c>
      <c r="H166" s="24" t="n">
        <f aca="false">E166*G166/(1+D166)^9</f>
        <v>60645.0418084658</v>
      </c>
      <c r="I166" s="24" t="n">
        <f aca="false">$B$13*G166/$B$12*((1+$B$8)/(1+D166))^4.5</f>
        <v>15976.8915453453</v>
      </c>
      <c r="J166" s="24" t="n">
        <f aca="false">H166+I166-$B$14</f>
        <v>74913.9715592906</v>
      </c>
      <c r="K166" s="43" t="n">
        <f aca="false">J166/$B$15</f>
        <v>271.62426236146</v>
      </c>
    </row>
    <row r="167" customFormat="false" ht="15" hidden="false" customHeight="false" outlineLevel="0" collapsed="false">
      <c r="A167" s="50" t="n">
        <v>127</v>
      </c>
      <c r="B167" s="19" t="n">
        <f aca="true">NORMINV(RAND(),$B$6,$C$6)</f>
        <v>0.0953924675933311</v>
      </c>
      <c r="C167" s="19" t="n">
        <f aca="true">MAX(0.25,NORMINV(RAND(),$B$7,$C$7))</f>
        <v>0.504447553538365</v>
      </c>
      <c r="D167" s="32" t="n">
        <f aca="true">MAX(0.07,NORMINV(RAND(),$B$8,$C$8))</f>
        <v>0.110070728169278</v>
      </c>
      <c r="E167" s="51" t="n">
        <f aca="true">MAX(8,NORMINV(RAND(),$B$9,$C$9))</f>
        <v>16.3039275254815</v>
      </c>
      <c r="F167" s="24" t="n">
        <f aca="false">$B$18*(1+(B167+$B$17)/2)^9</f>
        <v>13158.4757625001</v>
      </c>
      <c r="G167" s="24" t="n">
        <f aca="false">F167*C167</f>
        <v>6637.76090668702</v>
      </c>
      <c r="H167" s="24" t="n">
        <f aca="false">E167*G167/(1+D167)^9</f>
        <v>42282.239747174</v>
      </c>
      <c r="I167" s="24" t="n">
        <f aca="false">$B$13*G167/$B$12*((1+$B$8)/(1+D167))^4.5</f>
        <v>15003.3649523493</v>
      </c>
      <c r="J167" s="24" t="n">
        <f aca="false">H167+I167-$B$14</f>
        <v>55577.6429050027</v>
      </c>
      <c r="K167" s="43" t="n">
        <f aca="false">J167/$B$15</f>
        <v>201.514296247291</v>
      </c>
    </row>
    <row r="168" customFormat="false" ht="15" hidden="false" customHeight="false" outlineLevel="0" collapsed="false">
      <c r="A168" s="50" t="n">
        <v>128</v>
      </c>
      <c r="B168" s="19" t="n">
        <f aca="true">NORMINV(RAND(),$B$6,$C$6)</f>
        <v>0.0988962999874343</v>
      </c>
      <c r="C168" s="19" t="n">
        <f aca="true">MAX(0.25,NORMINV(RAND(),$B$7,$C$7))</f>
        <v>0.484062468637493</v>
      </c>
      <c r="D168" s="32" t="n">
        <f aca="true">MAX(0.07,NORMINV(RAND(),$B$8,$C$8))</f>
        <v>0.0928049403424706</v>
      </c>
      <c r="E168" s="51" t="n">
        <f aca="true">MAX(8,NORMINV(RAND(),$B$9,$C$9))</f>
        <v>19.3682508435038</v>
      </c>
      <c r="F168" s="24" t="n">
        <f aca="false">$B$18*(1+(B168+$B$17)/2)^9</f>
        <v>13350.4545793152</v>
      </c>
      <c r="G168" s="24" t="n">
        <f aca="false">F168*C168</f>
        <v>6462.45400109606</v>
      </c>
      <c r="H168" s="24" t="n">
        <f aca="false">E168*G168/(1+D168)^9</f>
        <v>56312.3976181236</v>
      </c>
      <c r="I168" s="24" t="n">
        <f aca="false">$B$13*G168/$B$12*((1+$B$8)/(1+D168))^4.5</f>
        <v>15674.7469383774</v>
      </c>
      <c r="J168" s="24" t="n">
        <f aca="false">H168+I168-$B$14</f>
        <v>70279.1827619805</v>
      </c>
      <c r="K168" s="43" t="n">
        <f aca="false">J168/$B$15</f>
        <v>254.81937187085</v>
      </c>
    </row>
    <row r="169" customFormat="false" ht="15" hidden="false" customHeight="false" outlineLevel="0" collapsed="false">
      <c r="A169" s="50" t="n">
        <v>129</v>
      </c>
      <c r="B169" s="19" t="n">
        <f aca="true">NORMINV(RAND(),$B$6,$C$6)</f>
        <v>0.0698099751587128</v>
      </c>
      <c r="C169" s="19" t="n">
        <f aca="true">MAX(0.25,NORMINV(RAND(),$B$7,$C$7))</f>
        <v>0.514837594592611</v>
      </c>
      <c r="D169" s="32" t="n">
        <f aca="true">MAX(0.07,NORMINV(RAND(),$B$8,$C$8))</f>
        <v>0.0950894761791127</v>
      </c>
      <c r="E169" s="51" t="n">
        <f aca="true">MAX(8,NORMINV(RAND(),$B$9,$C$9))</f>
        <v>17.8175974480509</v>
      </c>
      <c r="F169" s="24" t="n">
        <f aca="false">$B$18*(1+(B169+$B$17)/2)^9</f>
        <v>11829.5347442613</v>
      </c>
      <c r="G169" s="24" t="n">
        <f aca="false">F169*C169</f>
        <v>6090.28921288521</v>
      </c>
      <c r="H169" s="24" t="n">
        <f aca="false">E169*G169/(1+D169)^9</f>
        <v>47911.5929903835</v>
      </c>
      <c r="I169" s="24" t="n">
        <f aca="false">$B$13*G169/$B$12*((1+$B$8)/(1+D169))^4.5</f>
        <v>14633.8867317786</v>
      </c>
      <c r="J169" s="24" t="n">
        <f aca="false">H169+I169-$B$14</f>
        <v>60837.5179276416</v>
      </c>
      <c r="K169" s="43" t="n">
        <f aca="false">J169/$B$15</f>
        <v>220.585634255408</v>
      </c>
    </row>
    <row r="170" customFormat="false" ht="15" hidden="false" customHeight="false" outlineLevel="0" collapsed="false">
      <c r="A170" s="50" t="n">
        <v>130</v>
      </c>
      <c r="B170" s="19" t="n">
        <f aca="true">NORMINV(RAND(),$B$6,$C$6)</f>
        <v>0.118197693491381</v>
      </c>
      <c r="C170" s="19" t="n">
        <f aca="true">MAX(0.25,NORMINV(RAND(),$B$7,$C$7))</f>
        <v>0.480031927292767</v>
      </c>
      <c r="D170" s="32" t="n">
        <f aca="true">MAX(0.07,NORMINV(RAND(),$B$8,$C$8))</f>
        <v>0.106089157943553</v>
      </c>
      <c r="E170" s="51" t="n">
        <f aca="true">MAX(8,NORMINV(RAND(),$B$9,$C$9))</f>
        <v>15.1521249111358</v>
      </c>
      <c r="F170" s="24" t="n">
        <f aca="false">$B$18*(1+(B170+$B$17)/2)^9</f>
        <v>14453.3237715421</v>
      </c>
      <c r="G170" s="24" t="n">
        <f aca="false">F170*C170</f>
        <v>6938.05686583971</v>
      </c>
      <c r="H170" s="24" t="n">
        <f aca="false">E170*G170/(1+D170)^9</f>
        <v>42422.8829851682</v>
      </c>
      <c r="I170" s="24" t="n">
        <f aca="false">$B$13*G170/$B$12*((1+$B$8)/(1+D170))^4.5</f>
        <v>15937.7585428973</v>
      </c>
      <c r="J170" s="24" t="n">
        <f aca="false">H170+I170-$B$14</f>
        <v>56652.6797335449</v>
      </c>
      <c r="K170" s="43" t="n">
        <f aca="false">J170/$B$15</f>
        <v>205.412181775</v>
      </c>
    </row>
    <row r="171" customFormat="false" ht="15" hidden="false" customHeight="false" outlineLevel="0" collapsed="false">
      <c r="A171" s="50" t="n">
        <v>131</v>
      </c>
      <c r="B171" s="19" t="n">
        <f aca="true">NORMINV(RAND(),$B$6,$C$6)</f>
        <v>0.0659083921502299</v>
      </c>
      <c r="C171" s="19" t="n">
        <f aca="true">MAX(0.25,NORMINV(RAND(),$B$7,$C$7))</f>
        <v>0.487662145667683</v>
      </c>
      <c r="D171" s="32" t="n">
        <f aca="true">MAX(0.07,NORMINV(RAND(),$B$8,$C$8))</f>
        <v>0.102654721799796</v>
      </c>
      <c r="E171" s="51" t="n">
        <f aca="true">MAX(8,NORMINV(RAND(),$B$9,$C$9))</f>
        <v>16.1255922039129</v>
      </c>
      <c r="F171" s="24" t="n">
        <f aca="false">$B$18*(1+(B171+$B$17)/2)^9</f>
        <v>11637.7119796503</v>
      </c>
      <c r="G171" s="24" t="n">
        <f aca="false">F171*C171</f>
        <v>5675.27159465877</v>
      </c>
      <c r="H171" s="24" t="n">
        <f aca="false">E171*G171/(1+D171)^9</f>
        <v>37979.2556458698</v>
      </c>
      <c r="I171" s="24" t="n">
        <f aca="false">$B$13*G171/$B$12*((1+$B$8)/(1+D171))^4.5</f>
        <v>13220.6774511013</v>
      </c>
      <c r="J171" s="24" t="n">
        <f aca="false">H171+I171-$B$14</f>
        <v>49491.9713024505</v>
      </c>
      <c r="K171" s="43" t="n">
        <f aca="false">J171/$B$15</f>
        <v>179.448771945071</v>
      </c>
    </row>
    <row r="172" customFormat="false" ht="15" hidden="false" customHeight="false" outlineLevel="0" collapsed="false">
      <c r="A172" s="50" t="n">
        <v>132</v>
      </c>
      <c r="B172" s="19" t="n">
        <f aca="true">NORMINV(RAND(),$B$6,$C$6)</f>
        <v>0.114285753707929</v>
      </c>
      <c r="C172" s="19" t="n">
        <f aca="true">MAX(0.25,NORMINV(RAND(),$B$7,$C$7))</f>
        <v>0.425854003854822</v>
      </c>
      <c r="D172" s="32" t="n">
        <f aca="true">MAX(0.07,NORMINV(RAND(),$B$8,$C$8))</f>
        <v>0.096435194548577</v>
      </c>
      <c r="E172" s="51" t="n">
        <f aca="true">MAX(8,NORMINV(RAND(),$B$9,$C$9))</f>
        <v>26.3201792976852</v>
      </c>
      <c r="F172" s="24" t="n">
        <f aca="false">$B$18*(1+(B172+$B$17)/2)^9</f>
        <v>14223.4729874292</v>
      </c>
      <c r="G172" s="24" t="n">
        <f aca="false">F172*C172</f>
        <v>6057.12292041762</v>
      </c>
      <c r="H172" s="24" t="n">
        <f aca="false">E172*G172/(1+D172)^9</f>
        <v>69615.9129202838</v>
      </c>
      <c r="I172" s="24" t="n">
        <f aca="false">$B$13*G172/$B$12*((1+$B$8)/(1+D172))^4.5</f>
        <v>14473.9820613916</v>
      </c>
      <c r="J172" s="24" t="n">
        <f aca="false">H172+I172-$B$14</f>
        <v>82381.9331871549</v>
      </c>
      <c r="K172" s="43" t="n">
        <f aca="false">J172/$B$15</f>
        <v>298.701715689467</v>
      </c>
    </row>
    <row r="173" customFormat="false" ht="15" hidden="false" customHeight="false" outlineLevel="0" collapsed="false">
      <c r="A173" s="50" t="n">
        <v>133</v>
      </c>
      <c r="B173" s="19" t="n">
        <f aca="true">NORMINV(RAND(),$B$6,$C$6)</f>
        <v>0.133967116447601</v>
      </c>
      <c r="C173" s="19" t="n">
        <f aca="true">MAX(0.25,NORMINV(RAND(),$B$7,$C$7))</f>
        <v>0.452203618208376</v>
      </c>
      <c r="D173" s="32" t="n">
        <f aca="true">MAX(0.07,NORMINV(RAND(),$B$8,$C$8))</f>
        <v>0.10337903741244</v>
      </c>
      <c r="E173" s="51" t="n">
        <f aca="true">MAX(8,NORMINV(RAND(),$B$9,$C$9))</f>
        <v>16.3507349932156</v>
      </c>
      <c r="F173" s="24" t="n">
        <f aca="false">$B$18*(1+(B173+$B$17)/2)^9</f>
        <v>15413.7210819825</v>
      </c>
      <c r="G173" s="24" t="n">
        <f aca="false">F173*C173</f>
        <v>6970.14044332721</v>
      </c>
      <c r="H173" s="24" t="n">
        <f aca="false">E173*G173/(1+D173)^9</f>
        <v>47017.1445478095</v>
      </c>
      <c r="I173" s="24" t="n">
        <f aca="false">$B$13*G173/$B$12*((1+$B$8)/(1+D173))^4.5</f>
        <v>16189.1947099236</v>
      </c>
      <c r="J173" s="24" t="n">
        <f aca="false">H173+I173-$B$14</f>
        <v>61498.3774632126</v>
      </c>
      <c r="K173" s="43" t="n">
        <f aca="false">J173/$B$15</f>
        <v>222.981789206717</v>
      </c>
    </row>
    <row r="174" customFormat="false" ht="15" hidden="false" customHeight="false" outlineLevel="0" collapsed="false">
      <c r="A174" s="50" t="n">
        <v>134</v>
      </c>
      <c r="B174" s="19" t="n">
        <f aca="true">NORMINV(RAND(),$B$6,$C$6)</f>
        <v>0.139630039288917</v>
      </c>
      <c r="C174" s="19" t="n">
        <f aca="true">MAX(0.25,NORMINV(RAND(),$B$7,$C$7))</f>
        <v>0.440240932922036</v>
      </c>
      <c r="D174" s="32" t="n">
        <f aca="true">MAX(0.07,NORMINV(RAND(),$B$8,$C$8))</f>
        <v>0.096918227670827</v>
      </c>
      <c r="E174" s="51" t="n">
        <f aca="true">MAX(8,NORMINV(RAND(),$B$9,$C$9))</f>
        <v>15.3443763887408</v>
      </c>
      <c r="F174" s="24" t="n">
        <f aca="false">$B$18*(1+(B174+$B$17)/2)^9</f>
        <v>15772.2024934166</v>
      </c>
      <c r="G174" s="24" t="n">
        <f aca="false">F174*C174</f>
        <v>6943.56913993697</v>
      </c>
      <c r="H174" s="24" t="n">
        <f aca="false">E174*G174/(1+D174)^9</f>
        <v>46340.8214224846</v>
      </c>
      <c r="I174" s="24" t="n">
        <f aca="false">$B$13*G174/$B$12*((1+$B$8)/(1+D174))^4.5</f>
        <v>16559.3628051603</v>
      </c>
      <c r="J174" s="24" t="n">
        <f aca="false">H174+I174-$B$14</f>
        <v>61192.2224331244</v>
      </c>
      <c r="K174" s="43" t="n">
        <f aca="false">J174/$B$15</f>
        <v>221.871727458754</v>
      </c>
    </row>
    <row r="175" customFormat="false" ht="15" hidden="false" customHeight="false" outlineLevel="0" collapsed="false">
      <c r="A175" s="50" t="n">
        <v>135</v>
      </c>
      <c r="B175" s="19" t="n">
        <f aca="true">NORMINV(RAND(),$B$6,$C$6)</f>
        <v>0.160044508561022</v>
      </c>
      <c r="C175" s="19" t="n">
        <f aca="true">MAX(0.25,NORMINV(RAND(),$B$7,$C$7))</f>
        <v>0.488391965826189</v>
      </c>
      <c r="D175" s="32" t="n">
        <f aca="true">MAX(0.07,NORMINV(RAND(),$B$8,$C$8))</f>
        <v>0.100139582343838</v>
      </c>
      <c r="E175" s="51" t="n">
        <f aca="true">MAX(8,NORMINV(RAND(),$B$9,$C$9))</f>
        <v>19.6673627726227</v>
      </c>
      <c r="F175" s="24" t="n">
        <f aca="false">$B$18*(1+(B175+$B$17)/2)^9</f>
        <v>17126.8237964469</v>
      </c>
      <c r="G175" s="24" t="n">
        <f aca="false">F175*C175</f>
        <v>8364.60314230545</v>
      </c>
      <c r="H175" s="24" t="n">
        <f aca="false">E175*G175/(1+D175)^9</f>
        <v>69688.5380519289</v>
      </c>
      <c r="I175" s="24" t="n">
        <f aca="false">$B$13*G175/$B$12*((1+$B$8)/(1+D175))^4.5</f>
        <v>19686.8068249495</v>
      </c>
      <c r="J175" s="24" t="n">
        <f aca="false">H175+I175-$B$14</f>
        <v>87667.3830823579</v>
      </c>
      <c r="K175" s="43" t="n">
        <f aca="false">J175/$B$15</f>
        <v>317.865783474829</v>
      </c>
    </row>
    <row r="176" customFormat="false" ht="15" hidden="false" customHeight="false" outlineLevel="0" collapsed="false">
      <c r="A176" s="50" t="n">
        <v>136</v>
      </c>
      <c r="B176" s="19" t="n">
        <f aca="true">NORMINV(RAND(),$B$6,$C$6)</f>
        <v>0.116250303062173</v>
      </c>
      <c r="C176" s="19" t="n">
        <f aca="true">MAX(0.25,NORMINV(RAND(),$B$7,$C$7))</f>
        <v>0.477995126272561</v>
      </c>
      <c r="D176" s="32" t="n">
        <f aca="true">MAX(0.07,NORMINV(RAND(),$B$8,$C$8))</f>
        <v>0.105823370028845</v>
      </c>
      <c r="E176" s="51" t="n">
        <f aca="true">MAX(8,NORMINV(RAND(),$B$9,$C$9))</f>
        <v>18.0176332705107</v>
      </c>
      <c r="F176" s="24" t="n">
        <f aca="false">$B$18*(1+(B176+$B$17)/2)^9</f>
        <v>14338.4930726979</v>
      </c>
      <c r="G176" s="24" t="n">
        <f aca="false">F176*C176</f>
        <v>6853.72980684248</v>
      </c>
      <c r="H176" s="24" t="n">
        <f aca="false">E176*G176/(1+D176)^9</f>
        <v>49940.4955269284</v>
      </c>
      <c r="I176" s="24" t="n">
        <f aca="false">$B$13*G176/$B$12*((1+$B$8)/(1+D176))^4.5</f>
        <v>15761.0823651125</v>
      </c>
      <c r="J176" s="24" t="n">
        <f aca="false">H176+I176-$B$14</f>
        <v>63993.6160975204</v>
      </c>
      <c r="K176" s="43" t="n">
        <f aca="false">J176/$B$15</f>
        <v>232.029064893112</v>
      </c>
    </row>
    <row r="177" customFormat="false" ht="15" hidden="false" customHeight="false" outlineLevel="0" collapsed="false">
      <c r="A177" s="50" t="n">
        <v>137</v>
      </c>
      <c r="B177" s="19" t="n">
        <f aca="true">NORMINV(RAND(),$B$6,$C$6)</f>
        <v>0.0729420704050804</v>
      </c>
      <c r="C177" s="19" t="n">
        <f aca="true">MAX(0.25,NORMINV(RAND(),$B$7,$C$7))</f>
        <v>0.500705879346369</v>
      </c>
      <c r="D177" s="32" t="n">
        <f aca="true">MAX(0.07,NORMINV(RAND(),$B$8,$C$8))</f>
        <v>0.0988193936293215</v>
      </c>
      <c r="E177" s="51" t="n">
        <f aca="true">MAX(8,NORMINV(RAND(),$B$9,$C$9))</f>
        <v>11.2473697499796</v>
      </c>
      <c r="F177" s="24" t="n">
        <f aca="false">$B$18*(1+(B177+$B$17)/2)^9</f>
        <v>11985.5536441215</v>
      </c>
      <c r="G177" s="24" t="n">
        <f aca="false">F177*C177</f>
        <v>6001.23717683292</v>
      </c>
      <c r="H177" s="24" t="n">
        <f aca="false">E177*G177/(1+D177)^9</f>
        <v>28903.7984644394</v>
      </c>
      <c r="I177" s="24" t="n">
        <f aca="false">$B$13*G177/$B$12*((1+$B$8)/(1+D177))^4.5</f>
        <v>14200.9489521846</v>
      </c>
      <c r="J177" s="24" t="n">
        <f aca="false">H177+I177-$B$14</f>
        <v>41396.7856221034</v>
      </c>
      <c r="K177" s="43" t="n">
        <f aca="false">J177/$B$15</f>
        <v>150.097119732065</v>
      </c>
    </row>
    <row r="178" customFormat="false" ht="15" hidden="false" customHeight="false" outlineLevel="0" collapsed="false">
      <c r="A178" s="50" t="n">
        <v>138</v>
      </c>
      <c r="B178" s="19" t="n">
        <f aca="true">NORMINV(RAND(),$B$6,$C$6)</f>
        <v>0.169389411182399</v>
      </c>
      <c r="C178" s="19" t="n">
        <f aca="true">MAX(0.25,NORMINV(RAND(),$B$7,$C$7))</f>
        <v>0.485848955314329</v>
      </c>
      <c r="D178" s="32" t="n">
        <f aca="true">MAX(0.07,NORMINV(RAND(),$B$8,$C$8))</f>
        <v>0.110190608509553</v>
      </c>
      <c r="E178" s="51" t="n">
        <f aca="true">MAX(8,NORMINV(RAND(),$B$9,$C$9))</f>
        <v>29.0978545265379</v>
      </c>
      <c r="F178" s="24" t="n">
        <f aca="false">$B$18*(1+(B178+$B$17)/2)^9</f>
        <v>17780.6985296642</v>
      </c>
      <c r="G178" s="24" t="n">
        <f aca="false">F178*C178</f>
        <v>8638.73380539636</v>
      </c>
      <c r="H178" s="24" t="n">
        <f aca="false">E178*G178/(1+D178)^9</f>
        <v>98114.4825332041</v>
      </c>
      <c r="I178" s="24" t="n">
        <f aca="false">$B$13*G178/$B$12*((1+$B$8)/(1+D178))^4.5</f>
        <v>19516.6879116254</v>
      </c>
      <c r="J178" s="24" t="n">
        <f aca="false">H178+I178-$B$14</f>
        <v>115923.208650309</v>
      </c>
      <c r="K178" s="43" t="n">
        <f aca="false">J178/$B$15</f>
        <v>420.316202502933</v>
      </c>
    </row>
    <row r="179" customFormat="false" ht="15" hidden="false" customHeight="false" outlineLevel="0" collapsed="false">
      <c r="A179" s="50" t="n">
        <v>139</v>
      </c>
      <c r="B179" s="19" t="n">
        <f aca="true">NORMINV(RAND(),$B$6,$C$6)</f>
        <v>0.140002175682306</v>
      </c>
      <c r="C179" s="19" t="n">
        <f aca="true">MAX(0.25,NORMINV(RAND(),$B$7,$C$7))</f>
        <v>0.504553415644076</v>
      </c>
      <c r="D179" s="32" t="n">
        <f aca="true">MAX(0.07,NORMINV(RAND(),$B$8,$C$8))</f>
        <v>0.0924950511391701</v>
      </c>
      <c r="E179" s="51" t="n">
        <f aca="true">MAX(8,NORMINV(RAND(),$B$9,$C$9))</f>
        <v>17.6643795648661</v>
      </c>
      <c r="F179" s="24" t="n">
        <f aca="false">$B$18*(1+(B179+$B$17)/2)^9</f>
        <v>15796.0173335475</v>
      </c>
      <c r="G179" s="24" t="n">
        <f aca="false">F179*C179</f>
        <v>7969.93449921442</v>
      </c>
      <c r="H179" s="24" t="n">
        <f aca="false">E179*G179/(1+D179)^9</f>
        <v>63500.6009169905</v>
      </c>
      <c r="I179" s="24" t="n">
        <f aca="false">$B$13*G179/$B$12*((1+$B$8)/(1+D179))^4.5</f>
        <v>19355.8432522812</v>
      </c>
      <c r="J179" s="24" t="n">
        <f aca="false">H179+I179-$B$14</f>
        <v>81148.4823747511</v>
      </c>
      <c r="K179" s="43" t="n">
        <f aca="false">J179/$B$15</f>
        <v>294.229450234776</v>
      </c>
    </row>
    <row r="180" customFormat="false" ht="15" hidden="false" customHeight="false" outlineLevel="0" collapsed="false">
      <c r="A180" s="50" t="n">
        <v>140</v>
      </c>
      <c r="B180" s="19" t="n">
        <f aca="true">NORMINV(RAND(),$B$6,$C$6)</f>
        <v>0.111397024088624</v>
      </c>
      <c r="C180" s="19" t="n">
        <f aca="true">MAX(0.25,NORMINV(RAND(),$B$7,$C$7))</f>
        <v>0.542295758693308</v>
      </c>
      <c r="D180" s="32" t="n">
        <f aca="true">MAX(0.07,NORMINV(RAND(),$B$8,$C$8))</f>
        <v>0.105333666731826</v>
      </c>
      <c r="E180" s="51" t="n">
        <f aca="true">MAX(8,NORMINV(RAND(),$B$9,$C$9))</f>
        <v>19.3461342622326</v>
      </c>
      <c r="F180" s="24" t="n">
        <f aca="false">$B$18*(1+(B180+$B$17)/2)^9</f>
        <v>14055.8336555923</v>
      </c>
      <c r="G180" s="24" t="n">
        <f aca="false">F180*C180</f>
        <v>7622.41897632634</v>
      </c>
      <c r="H180" s="24" t="n">
        <f aca="false">E180*G180/(1+D180)^9</f>
        <v>59875.124674947</v>
      </c>
      <c r="I180" s="24" t="n">
        <f aca="false">$B$13*G180/$B$12*((1+$B$8)/(1+D180))^4.5</f>
        <v>17563.7611227039</v>
      </c>
      <c r="J180" s="24" t="n">
        <f aca="false">H180+I180-$B$14</f>
        <v>75730.9240031304</v>
      </c>
      <c r="K180" s="43" t="n">
        <f aca="false">J180/$B$15</f>
        <v>274.586381447173</v>
      </c>
    </row>
    <row r="181" customFormat="false" ht="15" hidden="false" customHeight="false" outlineLevel="0" collapsed="false">
      <c r="A181" s="50" t="n">
        <v>141</v>
      </c>
      <c r="B181" s="19" t="n">
        <f aca="true">NORMINV(RAND(),$B$6,$C$6)</f>
        <v>0.164326573344893</v>
      </c>
      <c r="C181" s="19" t="n">
        <f aca="true">MAX(0.25,NORMINV(RAND(),$B$7,$C$7))</f>
        <v>0.473222236067679</v>
      </c>
      <c r="D181" s="32" t="n">
        <f aca="true">MAX(0.07,NORMINV(RAND(),$B$8,$C$8))</f>
        <v>0.0973304793655021</v>
      </c>
      <c r="E181" s="51" t="n">
        <f aca="true">MAX(8,NORMINV(RAND(),$B$9,$C$9))</f>
        <v>20.0710238437285</v>
      </c>
      <c r="F181" s="24" t="n">
        <f aca="false">$B$18*(1+(B181+$B$17)/2)^9</f>
        <v>17423.7433650499</v>
      </c>
      <c r="G181" s="24" t="n">
        <f aca="false">F181*C181</f>
        <v>8245.30279587831</v>
      </c>
      <c r="H181" s="24" t="n">
        <f aca="false">E181*G181/(1+D181)^9</f>
        <v>71736.3301099256</v>
      </c>
      <c r="I181" s="24" t="n">
        <f aca="false">$B$13*G181/$B$12*((1+$B$8)/(1+D181))^4.5</f>
        <v>19630.5792871537</v>
      </c>
      <c r="J181" s="24" t="n">
        <f aca="false">H181+I181-$B$14</f>
        <v>89658.9476025587</v>
      </c>
      <c r="K181" s="43" t="n">
        <f aca="false">J181/$B$15</f>
        <v>325.086829595934</v>
      </c>
    </row>
    <row r="182" customFormat="false" ht="15" hidden="false" customHeight="false" outlineLevel="0" collapsed="false">
      <c r="A182" s="50" t="n">
        <v>142</v>
      </c>
      <c r="B182" s="19" t="n">
        <f aca="true">NORMINV(RAND(),$B$6,$C$6)</f>
        <v>0.14293526802246</v>
      </c>
      <c r="C182" s="19" t="n">
        <f aca="true">MAX(0.25,NORMINV(RAND(),$B$7,$C$7))</f>
        <v>0.474632356797845</v>
      </c>
      <c r="D182" s="32" t="n">
        <f aca="true">MAX(0.07,NORMINV(RAND(),$B$8,$C$8))</f>
        <v>0.0947500732317178</v>
      </c>
      <c r="E182" s="51" t="n">
        <f aca="true">MAX(8,NORMINV(RAND(),$B$9,$C$9))</f>
        <v>19.470951440118</v>
      </c>
      <c r="F182" s="24" t="n">
        <f aca="false">$B$18*(1+(B182+$B$17)/2)^9</f>
        <v>15984.8419603145</v>
      </c>
      <c r="G182" s="24" t="n">
        <f aca="false">F182*C182</f>
        <v>7586.92321266513</v>
      </c>
      <c r="H182" s="24" t="n">
        <f aca="false">E182*G182/(1+D182)^9</f>
        <v>65406.0641539265</v>
      </c>
      <c r="I182" s="24" t="n">
        <f aca="false">$B$13*G182/$B$12*((1+$B$8)/(1+D182))^4.5</f>
        <v>18255.4802423438</v>
      </c>
      <c r="J182" s="24" t="n">
        <f aca="false">H182+I182-$B$14</f>
        <v>81953.5826017497</v>
      </c>
      <c r="K182" s="43" t="n">
        <f aca="false">J182/$B$15</f>
        <v>297.1485953653</v>
      </c>
    </row>
    <row r="183" customFormat="false" ht="15" hidden="false" customHeight="false" outlineLevel="0" collapsed="false">
      <c r="A183" s="50" t="n">
        <v>143</v>
      </c>
      <c r="B183" s="19" t="n">
        <f aca="true">NORMINV(RAND(),$B$6,$C$6)</f>
        <v>0.168307417930939</v>
      </c>
      <c r="C183" s="19" t="n">
        <f aca="true">MAX(0.25,NORMINV(RAND(),$B$7,$C$7))</f>
        <v>0.460359626143238</v>
      </c>
      <c r="D183" s="32" t="n">
        <f aca="true">MAX(0.07,NORMINV(RAND(),$B$8,$C$8))</f>
        <v>0.0940177623244352</v>
      </c>
      <c r="E183" s="51" t="n">
        <f aca="true">MAX(8,NORMINV(RAND(),$B$9,$C$9))</f>
        <v>20.5961510211753</v>
      </c>
      <c r="F183" s="24" t="n">
        <f aca="false">$B$18*(1+(B183+$B$17)/2)^9</f>
        <v>17703.8711967785</v>
      </c>
      <c r="G183" s="24" t="n">
        <f aca="false">F183*C183</f>
        <v>8150.14752543697</v>
      </c>
      <c r="H183" s="24" t="n">
        <f aca="false">E183*G183/(1+D183)^9</f>
        <v>74770.8260707289</v>
      </c>
      <c r="I183" s="24" t="n">
        <f aca="false">$B$13*G183/$B$12*((1+$B$8)/(1+D183))^4.5</f>
        <v>19669.8381944631</v>
      </c>
      <c r="J183" s="24" t="n">
        <f aca="false">H183+I183-$B$14</f>
        <v>92732.7024706714</v>
      </c>
      <c r="K183" s="43" t="n">
        <f aca="false">J183/$B$15</f>
        <v>336.231698588366</v>
      </c>
    </row>
    <row r="184" customFormat="false" ht="15" hidden="false" customHeight="false" outlineLevel="0" collapsed="false">
      <c r="A184" s="50" t="n">
        <v>144</v>
      </c>
      <c r="B184" s="19" t="n">
        <f aca="true">NORMINV(RAND(),$B$6,$C$6)</f>
        <v>0.129229615146683</v>
      </c>
      <c r="C184" s="19" t="n">
        <f aca="true">MAX(0.25,NORMINV(RAND(),$B$7,$C$7))</f>
        <v>0.451073123379763</v>
      </c>
      <c r="D184" s="32" t="n">
        <f aca="true">MAX(0.07,NORMINV(RAND(),$B$8,$C$8))</f>
        <v>0.0995335149928409</v>
      </c>
      <c r="E184" s="51" t="n">
        <f aca="true">MAX(8,NORMINV(RAND(),$B$9,$C$9))</f>
        <v>17.255424159407</v>
      </c>
      <c r="F184" s="24" t="n">
        <f aca="false">$B$18*(1+(B184+$B$17)/2)^9</f>
        <v>15119.4052765046</v>
      </c>
      <c r="G184" s="24" t="n">
        <f aca="false">F184*C184</f>
        <v>6819.95736171739</v>
      </c>
      <c r="H184" s="24" t="n">
        <f aca="false">E184*G184/(1+D184)^9</f>
        <v>50099.2303026391</v>
      </c>
      <c r="I184" s="24" t="n">
        <f aca="false">$B$13*G184/$B$12*((1+$B$8)/(1+D184))^4.5</f>
        <v>16091.203742015</v>
      </c>
      <c r="J184" s="24" t="n">
        <f aca="false">H184+I184-$B$14</f>
        <v>64482.4722501335</v>
      </c>
      <c r="K184" s="43" t="n">
        <f aca="false">J184/$B$15</f>
        <v>233.801567259367</v>
      </c>
    </row>
    <row r="185" customFormat="false" ht="15" hidden="false" customHeight="false" outlineLevel="0" collapsed="false">
      <c r="A185" s="50" t="n">
        <v>145</v>
      </c>
      <c r="B185" s="19" t="n">
        <f aca="true">NORMINV(RAND(),$B$6,$C$6)</f>
        <v>0.131620860247821</v>
      </c>
      <c r="C185" s="19" t="n">
        <f aca="true">MAX(0.25,NORMINV(RAND(),$B$7,$C$7))</f>
        <v>0.469428242360763</v>
      </c>
      <c r="D185" s="32" t="n">
        <f aca="true">MAX(0.07,NORMINV(RAND(),$B$8,$C$8))</f>
        <v>0.100534598679941</v>
      </c>
      <c r="E185" s="51" t="n">
        <f aca="true">MAX(8,NORMINV(RAND(),$B$9,$C$9))</f>
        <v>14.6501428939946</v>
      </c>
      <c r="F185" s="24" t="n">
        <f aca="false">$B$18*(1+(B185+$B$17)/2)^9</f>
        <v>15267.3302274219</v>
      </c>
      <c r="G185" s="24" t="n">
        <f aca="false">F185*C185</f>
        <v>7166.91599420003</v>
      </c>
      <c r="H185" s="24" t="n">
        <f aca="false">E185*G185/(1+D185)^9</f>
        <v>44334.4035777866</v>
      </c>
      <c r="I185" s="24" t="n">
        <f aca="false">$B$13*G185/$B$12*((1+$B$8)/(1+D185))^4.5</f>
        <v>16840.7201351699</v>
      </c>
      <c r="J185" s="24" t="n">
        <f aca="false">H185+I185-$B$14</f>
        <v>59467.161918436</v>
      </c>
      <c r="K185" s="43" t="n">
        <f aca="false">J185/$B$15</f>
        <v>215.61697577388</v>
      </c>
    </row>
    <row r="186" customFormat="false" ht="15" hidden="false" customHeight="false" outlineLevel="0" collapsed="false">
      <c r="A186" s="50" t="n">
        <v>146</v>
      </c>
      <c r="B186" s="19" t="n">
        <f aca="true">NORMINV(RAND(),$B$6,$C$6)</f>
        <v>0.118246118315055</v>
      </c>
      <c r="C186" s="19" t="n">
        <f aca="true">MAX(0.25,NORMINV(RAND(),$B$7,$C$7))</f>
        <v>0.539043649908805</v>
      </c>
      <c r="D186" s="32" t="n">
        <f aca="true">MAX(0.07,NORMINV(RAND(),$B$8,$C$8))</f>
        <v>0.0996683311171781</v>
      </c>
      <c r="E186" s="51" t="n">
        <f aca="true">MAX(8,NORMINV(RAND(),$B$9,$C$9))</f>
        <v>21.2565566143218</v>
      </c>
      <c r="F186" s="24" t="n">
        <f aca="false">$B$18*(1+(B186+$B$17)/2)^9</f>
        <v>14456.189597488</v>
      </c>
      <c r="G186" s="24" t="n">
        <f aca="false">F186*C186</f>
        <v>7792.51720440363</v>
      </c>
      <c r="H186" s="24" t="n">
        <f aca="false">E186*G186/(1+D186)^9</f>
        <v>70439.3305855506</v>
      </c>
      <c r="I186" s="24" t="n">
        <f aca="false">$B$13*G186/$B$12*((1+$B$8)/(1+D186))^4.5</f>
        <v>18375.7483568088</v>
      </c>
      <c r="J186" s="24" t="n">
        <f aca="false">H186+I186-$B$14</f>
        <v>87107.1171478389</v>
      </c>
      <c r="K186" s="43" t="n">
        <f aca="false">J186/$B$15</f>
        <v>315.834362392454</v>
      </c>
    </row>
    <row r="187" customFormat="false" ht="15" hidden="false" customHeight="false" outlineLevel="0" collapsed="false">
      <c r="A187" s="50" t="n">
        <v>147</v>
      </c>
      <c r="B187" s="19" t="n">
        <f aca="true">NORMINV(RAND(),$B$6,$C$6)</f>
        <v>0.160631558877675</v>
      </c>
      <c r="C187" s="19" t="n">
        <f aca="true">MAX(0.25,NORMINV(RAND(),$B$7,$C$7))</f>
        <v>0.488564071488618</v>
      </c>
      <c r="D187" s="32" t="n">
        <f aca="true">MAX(0.07,NORMINV(RAND(),$B$8,$C$8))</f>
        <v>0.092912657748106</v>
      </c>
      <c r="E187" s="51" t="n">
        <f aca="true">MAX(8,NORMINV(RAND(),$B$9,$C$9))</f>
        <v>20.3609287151506</v>
      </c>
      <c r="F187" s="24" t="n">
        <f aca="false">$B$18*(1+(B187+$B$17)/2)^9</f>
        <v>17167.2621366413</v>
      </c>
      <c r="G187" s="24" t="n">
        <f aca="false">F187*C187</f>
        <v>8387.30748578987</v>
      </c>
      <c r="H187" s="24" t="n">
        <f aca="false">E187*G187/(1+D187)^9</f>
        <v>76762.8420781377</v>
      </c>
      <c r="I187" s="24" t="n">
        <f aca="false">$B$13*G187/$B$12*((1+$B$8)/(1+D187))^4.5</f>
        <v>20334.4771672475</v>
      </c>
      <c r="J187" s="24" t="n">
        <f aca="false">H187+I187-$B$14</f>
        <v>95389.3574508647</v>
      </c>
      <c r="K187" s="43" t="n">
        <f aca="false">J187/$B$15</f>
        <v>345.864240213432</v>
      </c>
    </row>
    <row r="188" customFormat="false" ht="15" hidden="false" customHeight="false" outlineLevel="0" collapsed="false">
      <c r="A188" s="50" t="n">
        <v>148</v>
      </c>
      <c r="B188" s="19" t="n">
        <f aca="true">NORMINV(RAND(),$B$6,$C$6)</f>
        <v>0.125390729244475</v>
      </c>
      <c r="C188" s="19" t="n">
        <f aca="true">MAX(0.25,NORMINV(RAND(),$B$7,$C$7))</f>
        <v>0.486539964214125</v>
      </c>
      <c r="D188" s="32" t="n">
        <f aca="true">MAX(0.07,NORMINV(RAND(),$B$8,$C$8))</f>
        <v>0.0847560026915132</v>
      </c>
      <c r="E188" s="51" t="n">
        <f aca="true">MAX(8,NORMINV(RAND(),$B$9,$C$9))</f>
        <v>16.8785326078346</v>
      </c>
      <c r="F188" s="24" t="n">
        <f aca="false">$B$18*(1+(B188+$B$17)/2)^9</f>
        <v>14884.5908921994</v>
      </c>
      <c r="G188" s="24" t="n">
        <f aca="false">F188*C188</f>
        <v>7241.9483200326</v>
      </c>
      <c r="H188" s="24" t="n">
        <f aca="false">E188*G188/(1+D188)^9</f>
        <v>58776.206122632</v>
      </c>
      <c r="I188" s="24" t="n">
        <f aca="false">$B$13*G188/$B$12*((1+$B$8)/(1+D188))^4.5</f>
        <v>18159.5941778657</v>
      </c>
      <c r="J188" s="24" t="n">
        <f aca="false">H188+I188-$B$14</f>
        <v>75227.8385059772</v>
      </c>
      <c r="K188" s="43" t="n">
        <f aca="false">J188/$B$15</f>
        <v>272.762286098539</v>
      </c>
    </row>
    <row r="189" customFormat="false" ht="15" hidden="false" customHeight="false" outlineLevel="0" collapsed="false">
      <c r="A189" s="50" t="n">
        <v>149</v>
      </c>
      <c r="B189" s="19" t="n">
        <f aca="true">NORMINV(RAND(),$B$6,$C$6)</f>
        <v>0.148951201525925</v>
      </c>
      <c r="C189" s="19" t="n">
        <f aca="true">MAX(0.25,NORMINV(RAND(),$B$7,$C$7))</f>
        <v>0.491162834824976</v>
      </c>
      <c r="D189" s="32" t="n">
        <f aca="true">MAX(0.07,NORMINV(RAND(),$B$8,$C$8))</f>
        <v>0.087249543397972</v>
      </c>
      <c r="E189" s="51" t="n">
        <f aca="true">MAX(8,NORMINV(RAND(),$B$9,$C$9))</f>
        <v>17.288055910487</v>
      </c>
      <c r="F189" s="24" t="n">
        <f aca="false">$B$18*(1+(B189+$B$17)/2)^9</f>
        <v>16378.4215953495</v>
      </c>
      <c r="G189" s="24" t="n">
        <f aca="false">F189*C189</f>
        <v>8044.47198073047</v>
      </c>
      <c r="H189" s="24" t="n">
        <f aca="false">E189*G189/(1+D189)^9</f>
        <v>65505.9268964268</v>
      </c>
      <c r="I189" s="24" t="n">
        <f aca="false">$B$13*G189/$B$12*((1+$B$8)/(1+D189))^4.5</f>
        <v>19964.6171971739</v>
      </c>
      <c r="J189" s="24" t="n">
        <f aca="false">H189+I189-$B$14</f>
        <v>83762.5822990801</v>
      </c>
      <c r="K189" s="43" t="n">
        <f aca="false">J189/$B$15</f>
        <v>303.707695065555</v>
      </c>
    </row>
    <row r="190" customFormat="false" ht="15" hidden="false" customHeight="false" outlineLevel="0" collapsed="false">
      <c r="A190" s="50" t="n">
        <v>150</v>
      </c>
      <c r="B190" s="19" t="n">
        <f aca="true">NORMINV(RAND(),$B$6,$C$6)</f>
        <v>0.204167239080511</v>
      </c>
      <c r="C190" s="19" t="n">
        <f aca="true">MAX(0.25,NORMINV(RAND(),$B$7,$C$7))</f>
        <v>0.526510343753984</v>
      </c>
      <c r="D190" s="32" t="n">
        <f aca="true">MAX(0.07,NORMINV(RAND(),$B$8,$C$8))</f>
        <v>0.083088006379316</v>
      </c>
      <c r="E190" s="51" t="n">
        <f aca="true">MAX(8,NORMINV(RAND(),$B$9,$C$9))</f>
        <v>27.5411075884331</v>
      </c>
      <c r="F190" s="24" t="n">
        <f aca="false">$B$18*(1+(B190+$B$17)/2)^9</f>
        <v>20413.5288021371</v>
      </c>
      <c r="G190" s="24" t="n">
        <f aca="false">F190*C190</f>
        <v>10747.9340668451</v>
      </c>
      <c r="H190" s="24" t="n">
        <f aca="false">E190*G190/(1+D190)^9</f>
        <v>144322.045388296</v>
      </c>
      <c r="I190" s="24" t="n">
        <f aca="false">$B$13*G190/$B$12*((1+$B$8)/(1+D190))^4.5</f>
        <v>27138.3307008961</v>
      </c>
      <c r="J190" s="24" t="n">
        <f aca="false">H190+I190-$B$14</f>
        <v>169752.414294672</v>
      </c>
      <c r="K190" s="43" t="n">
        <f aca="false">J190/$B$15</f>
        <v>615.490987290325</v>
      </c>
    </row>
    <row r="191" customFormat="false" ht="15" hidden="false" customHeight="false" outlineLevel="0" collapsed="false">
      <c r="A191" s="50" t="n">
        <v>151</v>
      </c>
      <c r="B191" s="19" t="n">
        <f aca="true">NORMINV(RAND(),$B$6,$C$6)</f>
        <v>0.117713527521473</v>
      </c>
      <c r="C191" s="19" t="n">
        <f aca="true">MAX(0.25,NORMINV(RAND(),$B$7,$C$7))</f>
        <v>0.49070152851148</v>
      </c>
      <c r="D191" s="32" t="n">
        <f aca="true">MAX(0.07,NORMINV(RAND(),$B$8,$C$8))</f>
        <v>0.0886985803240675</v>
      </c>
      <c r="E191" s="51" t="n">
        <f aca="true">MAX(8,NORMINV(RAND(),$B$9,$C$9))</f>
        <v>19.4808143150466</v>
      </c>
      <c r="F191" s="24" t="n">
        <f aca="false">$B$18*(1+(B191+$B$17)/2)^9</f>
        <v>14424.6981345959</v>
      </c>
      <c r="G191" s="24" t="n">
        <f aca="false">F191*C191</f>
        <v>7078.22142296289</v>
      </c>
      <c r="H191" s="24" t="n">
        <f aca="false">E191*G191/(1+D191)^9</f>
        <v>64174.4775444337</v>
      </c>
      <c r="I191" s="24" t="n">
        <f aca="false">$B$13*G191/$B$12*((1+$B$8)/(1+D191))^4.5</f>
        <v>17461.6261733983</v>
      </c>
      <c r="J191" s="24" t="n">
        <f aca="false">H191+I191-$B$14</f>
        <v>79928.1419233114</v>
      </c>
      <c r="K191" s="43" t="n">
        <f aca="false">J191/$B$15</f>
        <v>289.804720534124</v>
      </c>
    </row>
    <row r="192" customFormat="false" ht="15" hidden="false" customHeight="false" outlineLevel="0" collapsed="false">
      <c r="A192" s="50" t="n">
        <v>152</v>
      </c>
      <c r="B192" s="19" t="n">
        <f aca="true">NORMINV(RAND(),$B$6,$C$6)</f>
        <v>0.101941102000712</v>
      </c>
      <c r="C192" s="19" t="n">
        <f aca="true">MAX(0.25,NORMINV(RAND(),$B$7,$C$7))</f>
        <v>0.49169635081921</v>
      </c>
      <c r="D192" s="32" t="n">
        <f aca="true">MAX(0.07,NORMINV(RAND(),$B$8,$C$8))</f>
        <v>0.0989982217037017</v>
      </c>
      <c r="E192" s="51" t="n">
        <f aca="true">MAX(8,NORMINV(RAND(),$B$9,$C$9))</f>
        <v>22.8412186620594</v>
      </c>
      <c r="F192" s="24" t="n">
        <f aca="false">$B$18*(1+(B192+$B$17)/2)^9</f>
        <v>13519.3001725684</v>
      </c>
      <c r="G192" s="24" t="n">
        <f aca="false">F192*C192</f>
        <v>6647.39056048139</v>
      </c>
      <c r="H192" s="24" t="n">
        <f aca="false">E192*G192/(1+D192)^9</f>
        <v>64922.8475896427</v>
      </c>
      <c r="I192" s="24" t="n">
        <f aca="false">$B$13*G192/$B$12*((1+$B$8)/(1+D192))^4.5</f>
        <v>15718.4507727425</v>
      </c>
      <c r="J192" s="24" t="n">
        <f aca="false">H192+I192-$B$14</f>
        <v>78933.3365678646</v>
      </c>
      <c r="K192" s="43" t="n">
        <f aca="false">J192/$B$15</f>
        <v>286.197739549908</v>
      </c>
    </row>
    <row r="193" customFormat="false" ht="15" hidden="false" customHeight="false" outlineLevel="0" collapsed="false">
      <c r="A193" s="50" t="n">
        <v>153</v>
      </c>
      <c r="B193" s="19" t="n">
        <f aca="true">NORMINV(RAND(),$B$6,$C$6)</f>
        <v>0.106277439489704</v>
      </c>
      <c r="C193" s="19" t="n">
        <f aca="true">MAX(0.25,NORMINV(RAND(),$B$7,$C$7))</f>
        <v>0.511984527148698</v>
      </c>
      <c r="D193" s="32" t="n">
        <f aca="true">MAX(0.07,NORMINV(RAND(),$B$8,$C$8))</f>
        <v>0.0946597937416083</v>
      </c>
      <c r="E193" s="51" t="n">
        <f aca="true">MAX(8,NORMINV(RAND(),$B$9,$C$9))</f>
        <v>19.96822500759</v>
      </c>
      <c r="F193" s="24" t="n">
        <f aca="false">$B$18*(1+(B193+$B$17)/2)^9</f>
        <v>13763.0427943607</v>
      </c>
      <c r="G193" s="24" t="n">
        <f aca="false">F193*C193</f>
        <v>7046.46495719805</v>
      </c>
      <c r="H193" s="24" t="n">
        <f aca="false">E193*G193/(1+D193)^9</f>
        <v>62344.5156758179</v>
      </c>
      <c r="I193" s="24" t="n">
        <f aca="false">$B$13*G193/$B$12*((1+$B$8)/(1+D193))^4.5</f>
        <v>16961.3353915057</v>
      </c>
      <c r="J193" s="24" t="n">
        <f aca="false">H193+I193-$B$14</f>
        <v>77597.8892728031</v>
      </c>
      <c r="K193" s="43" t="n">
        <f aca="false">J193/$B$15</f>
        <v>281.355653635979</v>
      </c>
    </row>
    <row r="194" customFormat="false" ht="15" hidden="false" customHeight="false" outlineLevel="0" collapsed="false">
      <c r="A194" s="50" t="n">
        <v>154</v>
      </c>
      <c r="B194" s="19" t="n">
        <f aca="true">NORMINV(RAND(),$B$6,$C$6)</f>
        <v>0.101632385140878</v>
      </c>
      <c r="C194" s="19" t="n">
        <f aca="true">MAX(0.25,NORMINV(RAND(),$B$7,$C$7))</f>
        <v>0.54427264584901</v>
      </c>
      <c r="D194" s="32" t="n">
        <f aca="true">MAX(0.07,NORMINV(RAND(),$B$8,$C$8))</f>
        <v>0.106592280403494</v>
      </c>
      <c r="E194" s="51" t="n">
        <f aca="true">MAX(8,NORMINV(RAND(),$B$9,$C$9))</f>
        <v>20.3215325143908</v>
      </c>
      <c r="F194" s="24" t="n">
        <f aca="false">$B$18*(1+(B194+$B$17)/2)^9</f>
        <v>13502.0946341312</v>
      </c>
      <c r="G194" s="24" t="n">
        <f aca="false">F194*C194</f>
        <v>7348.82077102232</v>
      </c>
      <c r="H194" s="24" t="n">
        <f aca="false">E194*G194/(1+D194)^9</f>
        <v>60018.5343547736</v>
      </c>
      <c r="I194" s="24" t="n">
        <f aca="false">$B$13*G194/$B$12*((1+$B$8)/(1+D194))^4.5</f>
        <v>16846.8337186587</v>
      </c>
      <c r="J194" s="24" t="n">
        <f aca="false">H194+I194-$B$14</f>
        <v>75157.4062789118</v>
      </c>
      <c r="K194" s="43" t="n">
        <f aca="false">J194/$B$15</f>
        <v>272.506911816214</v>
      </c>
    </row>
    <row r="195" customFormat="false" ht="15" hidden="false" customHeight="false" outlineLevel="0" collapsed="false">
      <c r="A195" s="50" t="n">
        <v>155</v>
      </c>
      <c r="B195" s="19" t="n">
        <f aca="true">NORMINV(RAND(),$B$6,$C$6)</f>
        <v>0.12858241982653</v>
      </c>
      <c r="C195" s="19" t="n">
        <f aca="true">MAX(0.25,NORMINV(RAND(),$B$7,$C$7))</f>
        <v>0.489268144719433</v>
      </c>
      <c r="D195" s="32" t="n">
        <f aca="true">MAX(0.07,NORMINV(RAND(),$B$8,$C$8))</f>
        <v>0.107231945778068</v>
      </c>
      <c r="E195" s="51" t="n">
        <f aca="true">MAX(8,NORMINV(RAND(),$B$9,$C$9))</f>
        <v>17.3086848888349</v>
      </c>
      <c r="F195" s="24" t="n">
        <f aca="false">$B$18*(1+(B195+$B$17)/2)^9</f>
        <v>15079.5887957058</v>
      </c>
      <c r="G195" s="24" t="n">
        <f aca="false">F195*C195</f>
        <v>7377.96243320693</v>
      </c>
      <c r="H195" s="24" t="n">
        <f aca="false">E195*G195/(1+D195)^9</f>
        <v>51056.7355222411</v>
      </c>
      <c r="I195" s="24" t="n">
        <f aca="false">$B$13*G195/$B$12*((1+$B$8)/(1+D195))^4.5</f>
        <v>16869.7133275912</v>
      </c>
      <c r="J195" s="24" t="n">
        <f aca="false">H195+I195-$B$14</f>
        <v>66218.4870553117</v>
      </c>
      <c r="K195" s="43" t="n">
        <f aca="false">J195/$B$15</f>
        <v>240.096037183871</v>
      </c>
    </row>
    <row r="196" customFormat="false" ht="15" hidden="false" customHeight="false" outlineLevel="0" collapsed="false">
      <c r="A196" s="50" t="n">
        <v>156</v>
      </c>
      <c r="B196" s="19" t="n">
        <f aca="true">NORMINV(RAND(),$B$6,$C$6)</f>
        <v>0.18864464931492</v>
      </c>
      <c r="C196" s="19" t="n">
        <f aca="true">MAX(0.25,NORMINV(RAND(),$B$7,$C$7))</f>
        <v>0.528878824572104</v>
      </c>
      <c r="D196" s="32" t="n">
        <f aca="true">MAX(0.07,NORMINV(RAND(),$B$8,$C$8))</f>
        <v>0.0915464748429161</v>
      </c>
      <c r="E196" s="51" t="n">
        <f aca="true">MAX(8,NORMINV(RAND(),$B$9,$C$9))</f>
        <v>20.0407118210999</v>
      </c>
      <c r="F196" s="24" t="n">
        <f aca="false">$B$18*(1+(B196+$B$17)/2)^9</f>
        <v>19198.4106886975</v>
      </c>
      <c r="G196" s="24" t="n">
        <f aca="false">F196*C196</f>
        <v>10153.6328786909</v>
      </c>
      <c r="H196" s="24" t="n">
        <f aca="false">E196*G196/(1+D196)^9</f>
        <v>92502.7229459839</v>
      </c>
      <c r="I196" s="24" t="n">
        <f aca="false">$B$13*G196/$B$12*((1+$B$8)/(1+D196))^4.5</f>
        <v>24755.7684639989</v>
      </c>
      <c r="J196" s="24" t="n">
        <f aca="false">H196+I196-$B$14</f>
        <v>115550.529615462</v>
      </c>
      <c r="K196" s="43" t="n">
        <f aca="false">J196/$B$15</f>
        <v>418.964936966868</v>
      </c>
    </row>
    <row r="197" customFormat="false" ht="15" hidden="false" customHeight="false" outlineLevel="0" collapsed="false">
      <c r="A197" s="50" t="n">
        <v>157</v>
      </c>
      <c r="B197" s="19" t="n">
        <f aca="true">NORMINV(RAND(),$B$6,$C$6)</f>
        <v>0.160243075829137</v>
      </c>
      <c r="C197" s="19" t="n">
        <f aca="true">MAX(0.25,NORMINV(RAND(),$B$7,$C$7))</f>
        <v>0.498487258099936</v>
      </c>
      <c r="D197" s="32" t="n">
        <f aca="true">MAX(0.07,NORMINV(RAND(),$B$8,$C$8))</f>
        <v>0.099608563192489</v>
      </c>
      <c r="E197" s="51" t="n">
        <f aca="true">MAX(8,NORMINV(RAND(),$B$9,$C$9))</f>
        <v>22.6533987306062</v>
      </c>
      <c r="F197" s="24" t="n">
        <f aca="false">$B$18*(1+(B197+$B$17)/2)^9</f>
        <v>17140.4924063106</v>
      </c>
      <c r="G197" s="24" t="n">
        <f aca="false">F197*C197</f>
        <v>8544.31706210454</v>
      </c>
      <c r="H197" s="24" t="n">
        <f aca="false">E197*G197/(1+D197)^9</f>
        <v>82350.7778619747</v>
      </c>
      <c r="I197" s="24" t="n">
        <f aca="false">$B$13*G197/$B$12*((1+$B$8)/(1+D197))^4.5</f>
        <v>20153.516858704</v>
      </c>
      <c r="J197" s="24" t="n">
        <f aca="false">H197+I197-$B$14</f>
        <v>100796.332926158</v>
      </c>
      <c r="K197" s="43" t="n">
        <f aca="false">J197/$B$15</f>
        <v>365.468937368231</v>
      </c>
    </row>
    <row r="198" customFormat="false" ht="15" hidden="false" customHeight="false" outlineLevel="0" collapsed="false">
      <c r="A198" s="50" t="n">
        <v>158</v>
      </c>
      <c r="B198" s="19" t="n">
        <f aca="true">NORMINV(RAND(),$B$6,$C$6)</f>
        <v>0.145953458941916</v>
      </c>
      <c r="C198" s="19" t="n">
        <f aca="true">MAX(0.25,NORMINV(RAND(),$B$7,$C$7))</f>
        <v>0.53345898713405</v>
      </c>
      <c r="D198" s="32" t="n">
        <f aca="true">MAX(0.07,NORMINV(RAND(),$B$8,$C$8))</f>
        <v>0.101278960095341</v>
      </c>
      <c r="E198" s="51" t="n">
        <f aca="true">MAX(8,NORMINV(RAND(),$B$9,$C$9))</f>
        <v>18.9721416515127</v>
      </c>
      <c r="F198" s="24" t="n">
        <f aca="false">$B$18*(1+(B198+$B$17)/2)^9</f>
        <v>16181.2369785645</v>
      </c>
      <c r="G198" s="24" t="n">
        <f aca="false">F198*C198</f>
        <v>8632.02628916103</v>
      </c>
      <c r="H198" s="24" t="n">
        <f aca="false">E198*G198/(1+D198)^9</f>
        <v>68731.0587328004</v>
      </c>
      <c r="I198" s="24" t="n">
        <f aca="false">$B$13*G198/$B$12*((1+$B$8)/(1+D198))^4.5</f>
        <v>20221.7953849588</v>
      </c>
      <c r="J198" s="24" t="n">
        <f aca="false">H198+I198-$B$14</f>
        <v>87244.8923232387</v>
      </c>
      <c r="K198" s="43" t="n">
        <f aca="false">J198/$B$15</f>
        <v>316.333909801445</v>
      </c>
    </row>
    <row r="199" customFormat="false" ht="15" hidden="false" customHeight="false" outlineLevel="0" collapsed="false">
      <c r="A199" s="50" t="n">
        <v>159</v>
      </c>
      <c r="B199" s="19" t="n">
        <f aca="true">NORMINV(RAND(),$B$6,$C$6)</f>
        <v>0.0989614682019319</v>
      </c>
      <c r="C199" s="19" t="n">
        <f aca="true">MAX(0.25,NORMINV(RAND(),$B$7,$C$7))</f>
        <v>0.517290525200213</v>
      </c>
      <c r="D199" s="32" t="n">
        <f aca="true">MAX(0.07,NORMINV(RAND(),$B$8,$C$8))</f>
        <v>0.0868079018610052</v>
      </c>
      <c r="E199" s="51" t="n">
        <f aca="true">MAX(8,NORMINV(RAND(),$B$9,$C$9))</f>
        <v>17.6523161232796</v>
      </c>
      <c r="F199" s="24" t="n">
        <f aca="false">$B$18*(1+(B199+$B$17)/2)^9</f>
        <v>13354.04867621</v>
      </c>
      <c r="G199" s="24" t="n">
        <f aca="false">F199*C199</f>
        <v>6907.92285326588</v>
      </c>
      <c r="H199" s="24" t="n">
        <f aca="false">E199*G199/(1+D199)^9</f>
        <v>57646.6518964563</v>
      </c>
      <c r="I199" s="24" t="n">
        <f aca="false">$B$13*G199/$B$12*((1+$B$8)/(1+D199))^4.5</f>
        <v>17175.3237601926</v>
      </c>
      <c r="J199" s="24" t="n">
        <f aca="false">H199+I199-$B$14</f>
        <v>73114.0138621284</v>
      </c>
      <c r="K199" s="43" t="n">
        <f aca="false">J199/$B$15</f>
        <v>265.097947288355</v>
      </c>
    </row>
    <row r="200" customFormat="false" ht="15" hidden="false" customHeight="false" outlineLevel="0" collapsed="false">
      <c r="A200" s="50" t="n">
        <v>160</v>
      </c>
      <c r="B200" s="19" t="n">
        <f aca="true">NORMINV(RAND(),$B$6,$C$6)</f>
        <v>0.138821004381592</v>
      </c>
      <c r="C200" s="19" t="n">
        <f aca="true">MAX(0.25,NORMINV(RAND(),$B$7,$C$7))</f>
        <v>0.531314634564731</v>
      </c>
      <c r="D200" s="32" t="n">
        <f aca="true">MAX(0.07,NORMINV(RAND(),$B$8,$C$8))</f>
        <v>0.0921765366062014</v>
      </c>
      <c r="E200" s="51" t="n">
        <f aca="true">MAX(8,NORMINV(RAND(),$B$9,$C$9))</f>
        <v>18.7185257452077</v>
      </c>
      <c r="F200" s="24" t="n">
        <f aca="false">$B$18*(1+(B200+$B$17)/2)^9</f>
        <v>15720.5384477142</v>
      </c>
      <c r="G200" s="24" t="n">
        <f aca="false">F200*C200</f>
        <v>8352.55214050807</v>
      </c>
      <c r="H200" s="24" t="n">
        <f aca="false">E200*G200/(1+D200)^9</f>
        <v>70705.8350773529</v>
      </c>
      <c r="I200" s="24" t="n">
        <f aca="false">$B$13*G200/$B$12*((1+$B$8)/(1+D200))^4.5</f>
        <v>20311.7060090066</v>
      </c>
      <c r="J200" s="24" t="n">
        <f aca="false">H200+I200-$B$14</f>
        <v>89309.579291839</v>
      </c>
      <c r="K200" s="43" t="n">
        <f aca="false">J200/$B$15</f>
        <v>323.820084451918</v>
      </c>
    </row>
    <row r="201" customFormat="false" ht="15" hidden="false" customHeight="false" outlineLevel="0" collapsed="false">
      <c r="A201" s="50" t="n">
        <v>161</v>
      </c>
      <c r="B201" s="19" t="n">
        <f aca="true">NORMINV(RAND(),$B$6,$C$6)</f>
        <v>0.11885842129963</v>
      </c>
      <c r="C201" s="19" t="n">
        <f aca="true">MAX(0.25,NORMINV(RAND(),$B$7,$C$7))</f>
        <v>0.467475771811492</v>
      </c>
      <c r="D201" s="32" t="n">
        <f aca="true">MAX(0.07,NORMINV(RAND(),$B$8,$C$8))</f>
        <v>0.102071993447494</v>
      </c>
      <c r="E201" s="51" t="n">
        <f aca="true">MAX(8,NORMINV(RAND(),$B$9,$C$9))</f>
        <v>24.8456458748719</v>
      </c>
      <c r="F201" s="24" t="n">
        <f aca="false">$B$18*(1+(B201+$B$17)/2)^9</f>
        <v>14492.4698522094</v>
      </c>
      <c r="G201" s="24" t="n">
        <f aca="false">F201*C201</f>
        <v>6774.87852961637</v>
      </c>
      <c r="H201" s="24" t="n">
        <f aca="false">E201*G201/(1+D201)^9</f>
        <v>70187.8776203007</v>
      </c>
      <c r="I201" s="24" t="n">
        <f aca="false">$B$13*G201/$B$12*((1+$B$8)/(1+D201))^4.5</f>
        <v>15819.8245605724</v>
      </c>
      <c r="J201" s="24" t="n">
        <f aca="false">H201+I201-$B$14</f>
        <v>84299.7403863525</v>
      </c>
      <c r="K201" s="43" t="n">
        <f aca="false">J201/$B$15</f>
        <v>305.655331350082</v>
      </c>
    </row>
    <row r="202" customFormat="false" ht="15" hidden="false" customHeight="false" outlineLevel="0" collapsed="false">
      <c r="A202" s="50" t="n">
        <v>162</v>
      </c>
      <c r="B202" s="19" t="n">
        <f aca="true">NORMINV(RAND(),$B$6,$C$6)</f>
        <v>0.155569192930645</v>
      </c>
      <c r="C202" s="19" t="n">
        <f aca="true">MAX(0.25,NORMINV(RAND(),$B$7,$C$7))</f>
        <v>0.541224761519801</v>
      </c>
      <c r="D202" s="32" t="n">
        <f aca="true">MAX(0.07,NORMINV(RAND(),$B$8,$C$8))</f>
        <v>0.0999049352211297</v>
      </c>
      <c r="E202" s="51" t="n">
        <f aca="true">MAX(8,NORMINV(RAND(),$B$9,$C$9))</f>
        <v>17.2782709286694</v>
      </c>
      <c r="F202" s="24" t="n">
        <f aca="false">$B$18*(1+(B202+$B$17)/2)^9</f>
        <v>16821.3190050926</v>
      </c>
      <c r="G202" s="24" t="n">
        <f aca="false">F202*C202</f>
        <v>9104.11436697972</v>
      </c>
      <c r="H202" s="24" t="n">
        <f aca="false">E202*G202/(1+D202)^9</f>
        <v>66763.8892350859</v>
      </c>
      <c r="I202" s="24" t="n">
        <f aca="false">$B$13*G202/$B$12*((1+$B$8)/(1+D202))^4.5</f>
        <v>21447.8875201037</v>
      </c>
      <c r="J202" s="24" t="n">
        <f aca="false">H202+I202-$B$14</f>
        <v>86503.814960669</v>
      </c>
      <c r="K202" s="43" t="n">
        <f aca="false">J202/$B$15</f>
        <v>313.646899784877</v>
      </c>
    </row>
    <row r="203" customFormat="false" ht="15" hidden="false" customHeight="false" outlineLevel="0" collapsed="false">
      <c r="A203" s="50" t="n">
        <v>163</v>
      </c>
      <c r="B203" s="19" t="n">
        <f aca="true">NORMINV(RAND(),$B$6,$C$6)</f>
        <v>0.13258047845044</v>
      </c>
      <c r="C203" s="19" t="n">
        <f aca="true">MAX(0.25,NORMINV(RAND(),$B$7,$C$7))</f>
        <v>0.500058846253232</v>
      </c>
      <c r="D203" s="32" t="n">
        <f aca="true">MAX(0.07,NORMINV(RAND(),$B$8,$C$8))</f>
        <v>0.110831101548853</v>
      </c>
      <c r="E203" s="51" t="n">
        <f aca="true">MAX(8,NORMINV(RAND(),$B$9,$C$9))</f>
        <v>20.8908448877347</v>
      </c>
      <c r="F203" s="24" t="n">
        <f aca="false">$B$18*(1+(B203+$B$17)/2)^9</f>
        <v>15327.0540058736</v>
      </c>
      <c r="G203" s="24" t="n">
        <f aca="false">F203*C203</f>
        <v>7664.42894263815</v>
      </c>
      <c r="H203" s="24" t="n">
        <f aca="false">E203*G203/(1+D203)^9</f>
        <v>62173.2441805299</v>
      </c>
      <c r="I203" s="24" t="n">
        <f aca="false">$B$13*G203/$B$12*((1+$B$8)/(1+D203))^4.5</f>
        <v>17270.6490984262</v>
      </c>
      <c r="J203" s="24" t="n">
        <f aca="false">H203+I203-$B$14</f>
        <v>77735.9314844356</v>
      </c>
      <c r="K203" s="43" t="n">
        <f aca="false">J203/$B$15</f>
        <v>281.856169269164</v>
      </c>
    </row>
    <row r="204" customFormat="false" ht="15" hidden="false" customHeight="false" outlineLevel="0" collapsed="false">
      <c r="A204" s="50" t="n">
        <v>164</v>
      </c>
      <c r="B204" s="19" t="n">
        <f aca="true">NORMINV(RAND(),$B$6,$C$6)</f>
        <v>0.149858821153279</v>
      </c>
      <c r="C204" s="19" t="n">
        <f aca="true">MAX(0.25,NORMINV(RAND(),$B$7,$C$7))</f>
        <v>0.480787956681983</v>
      </c>
      <c r="D204" s="32" t="n">
        <f aca="true">MAX(0.07,NORMINV(RAND(),$B$8,$C$8))</f>
        <v>0.092580196222557</v>
      </c>
      <c r="E204" s="51" t="n">
        <f aca="true">MAX(8,NORMINV(RAND(),$B$9,$C$9))</f>
        <v>24.0641140396824</v>
      </c>
      <c r="F204" s="24" t="n">
        <f aca="false">$B$18*(1+(B204+$B$17)/2)^9</f>
        <v>16438.5424771003</v>
      </c>
      <c r="G204" s="24" t="n">
        <f aca="false">F204*C204</f>
        <v>7903.45324839501</v>
      </c>
      <c r="H204" s="24" t="n">
        <f aca="false">E204*G204/(1+D204)^9</f>
        <v>85724.8722197138</v>
      </c>
      <c r="I204" s="24" t="n">
        <f aca="false">$B$13*G204/$B$12*((1+$B$8)/(1+D204))^4.5</f>
        <v>19187.6560934552</v>
      </c>
      <c r="J204" s="24" t="n">
        <f aca="false">H204+I204-$B$14</f>
        <v>103204.566518648</v>
      </c>
      <c r="K204" s="43" t="n">
        <f aca="false">J204/$B$15</f>
        <v>374.20074879858</v>
      </c>
    </row>
    <row r="205" customFormat="false" ht="15" hidden="false" customHeight="false" outlineLevel="0" collapsed="false">
      <c r="A205" s="50" t="n">
        <v>165</v>
      </c>
      <c r="B205" s="19" t="n">
        <f aca="true">NORMINV(RAND(),$B$6,$C$6)</f>
        <v>0.125454605394918</v>
      </c>
      <c r="C205" s="19" t="n">
        <f aca="true">MAX(0.25,NORMINV(RAND(),$B$7,$C$7))</f>
        <v>0.460761789090184</v>
      </c>
      <c r="D205" s="32" t="n">
        <f aca="true">MAX(0.07,NORMINV(RAND(),$B$8,$C$8))</f>
        <v>0.0947927502792006</v>
      </c>
      <c r="E205" s="51" t="n">
        <f aca="true">MAX(8,NORMINV(RAND(),$B$9,$C$9))</f>
        <v>22.2071076342147</v>
      </c>
      <c r="F205" s="24" t="n">
        <f aca="false">$B$18*(1+(B205+$B$17)/2)^9</f>
        <v>14888.4713495793</v>
      </c>
      <c r="G205" s="24" t="n">
        <f aca="false">F205*C205</f>
        <v>6860.03869585013</v>
      </c>
      <c r="H205" s="24" t="n">
        <f aca="false">E205*G205/(1+D205)^9</f>
        <v>67426.6134321465</v>
      </c>
      <c r="I205" s="24" t="n">
        <f aca="false">$B$13*G205/$B$12*((1+$B$8)/(1+D205))^4.5</f>
        <v>16503.5720866571</v>
      </c>
      <c r="J205" s="24" t="n">
        <f aca="false">H205+I205-$B$14</f>
        <v>82222.223724283</v>
      </c>
      <c r="K205" s="43" t="n">
        <f aca="false">J205/$B$15</f>
        <v>298.12263859421</v>
      </c>
    </row>
    <row r="206" customFormat="false" ht="15" hidden="false" customHeight="false" outlineLevel="0" collapsed="false">
      <c r="A206" s="50" t="n">
        <v>166</v>
      </c>
      <c r="B206" s="19" t="n">
        <f aca="true">NORMINV(RAND(),$B$6,$C$6)</f>
        <v>0.102831817957837</v>
      </c>
      <c r="C206" s="19" t="n">
        <f aca="true">MAX(0.25,NORMINV(RAND(),$B$7,$C$7))</f>
        <v>0.447851417333521</v>
      </c>
      <c r="D206" s="32" t="n">
        <f aca="true">MAX(0.07,NORMINV(RAND(),$B$8,$C$8))</f>
        <v>0.0901941319130814</v>
      </c>
      <c r="E206" s="51" t="n">
        <f aca="true">MAX(8,NORMINV(RAND(),$B$9,$C$9))</f>
        <v>25.0208637186073</v>
      </c>
      <c r="F206" s="24" t="n">
        <f aca="false">$B$18*(1+(B206+$B$17)/2)^9</f>
        <v>13569.0512144497</v>
      </c>
      <c r="G206" s="24" t="n">
        <f aca="false">F206*C206</f>
        <v>6076.91881826245</v>
      </c>
      <c r="H206" s="24" t="n">
        <f aca="false">E206*G206/(1+D206)^9</f>
        <v>69895.8147262649</v>
      </c>
      <c r="I206" s="24" t="n">
        <f aca="false">$B$13*G206/$B$12*((1+$B$8)/(1+D206))^4.5</f>
        <v>14899.1382906952</v>
      </c>
      <c r="J206" s="24" t="n">
        <f aca="false">H206+I206-$B$14</f>
        <v>83086.9912224396</v>
      </c>
      <c r="K206" s="43" t="n">
        <f aca="false">J206/$B$15</f>
        <v>301.258126259752</v>
      </c>
    </row>
    <row r="207" customFormat="false" ht="15" hidden="false" customHeight="false" outlineLevel="0" collapsed="false">
      <c r="A207" s="50" t="n">
        <v>167</v>
      </c>
      <c r="B207" s="19" t="n">
        <f aca="true">NORMINV(RAND(),$B$6,$C$6)</f>
        <v>0.0962057465724202</v>
      </c>
      <c r="C207" s="19" t="n">
        <f aca="true">MAX(0.25,NORMINV(RAND(),$B$7,$C$7))</f>
        <v>0.448625878698382</v>
      </c>
      <c r="D207" s="32" t="n">
        <f aca="true">MAX(0.07,NORMINV(RAND(),$B$8,$C$8))</f>
        <v>0.110427478400954</v>
      </c>
      <c r="E207" s="51" t="n">
        <f aca="true">MAX(8,NORMINV(RAND(),$B$9,$C$9))</f>
        <v>19.1471188816878</v>
      </c>
      <c r="F207" s="24" t="n">
        <f aca="false">$B$18*(1+(B207+$B$17)/2)^9</f>
        <v>13202.8161569944</v>
      </c>
      <c r="G207" s="24" t="n">
        <f aca="false">F207*C207</f>
        <v>5923.1249997248</v>
      </c>
      <c r="H207" s="24" t="n">
        <f aca="false">E207*G207/(1+D207)^9</f>
        <v>44181.7109347518</v>
      </c>
      <c r="I207" s="24" t="n">
        <f aca="false">$B$13*G207/$B$12*((1+$B$8)/(1+D207))^4.5</f>
        <v>13368.7251266622</v>
      </c>
      <c r="J207" s="24" t="n">
        <f aca="false">H207+I207-$B$14</f>
        <v>55842.4742668935</v>
      </c>
      <c r="K207" s="43" t="n">
        <f aca="false">J207/$B$15</f>
        <v>202.474525985836</v>
      </c>
    </row>
    <row r="208" customFormat="false" ht="15" hidden="false" customHeight="false" outlineLevel="0" collapsed="false">
      <c r="A208" s="50" t="n">
        <v>168</v>
      </c>
      <c r="B208" s="19" t="n">
        <f aca="true">NORMINV(RAND(),$B$6,$C$6)</f>
        <v>0.137255468720703</v>
      </c>
      <c r="C208" s="19" t="n">
        <f aca="true">MAX(0.25,NORMINV(RAND(),$B$7,$C$7))</f>
        <v>0.498388885967172</v>
      </c>
      <c r="D208" s="32" t="n">
        <f aca="true">MAX(0.07,NORMINV(RAND(),$B$8,$C$8))</f>
        <v>0.0872114248154138</v>
      </c>
      <c r="E208" s="51" t="n">
        <f aca="true">MAX(8,NORMINV(RAND(),$B$9,$C$9))</f>
        <v>17.4613593547971</v>
      </c>
      <c r="F208" s="24" t="n">
        <f aca="false">$B$18*(1+(B208+$B$17)/2)^9</f>
        <v>15620.9921278764</v>
      </c>
      <c r="G208" s="24" t="n">
        <f aca="false">F208*C208</f>
        <v>7785.32886431427</v>
      </c>
      <c r="H208" s="24" t="n">
        <f aca="false">E208*G208/(1+D208)^9</f>
        <v>64051.4470115241</v>
      </c>
      <c r="I208" s="24" t="n">
        <f aca="false">$B$13*G208/$B$12*((1+$B$8)/(1+D208))^4.5</f>
        <v>19324.5293643491</v>
      </c>
      <c r="J208" s="24" t="n">
        <f aca="false">H208+I208-$B$14</f>
        <v>81668.0145813526</v>
      </c>
      <c r="K208" s="43" t="n">
        <f aca="false">J208/$B$15</f>
        <v>296.113178322526</v>
      </c>
    </row>
    <row r="209" customFormat="false" ht="15" hidden="false" customHeight="false" outlineLevel="0" collapsed="false">
      <c r="A209" s="50" t="n">
        <v>169</v>
      </c>
      <c r="B209" s="19" t="n">
        <f aca="true">NORMINV(RAND(),$B$6,$C$6)</f>
        <v>0.142724215739683</v>
      </c>
      <c r="C209" s="19" t="n">
        <f aca="true">MAX(0.25,NORMINV(RAND(),$B$7,$C$7))</f>
        <v>0.533957519855671</v>
      </c>
      <c r="D209" s="32" t="n">
        <f aca="true">MAX(0.07,NORMINV(RAND(),$B$8,$C$8))</f>
        <v>0.0910803792338776</v>
      </c>
      <c r="E209" s="51" t="n">
        <f aca="true">MAX(8,NORMINV(RAND(),$B$9,$C$9))</f>
        <v>20.6207227209315</v>
      </c>
      <c r="F209" s="24" t="n">
        <f aca="false">$B$18*(1+(B209+$B$17)/2)^9</f>
        <v>15971.1882977288</v>
      </c>
      <c r="G209" s="24" t="n">
        <f aca="false">F209*C209</f>
        <v>8527.93609260321</v>
      </c>
      <c r="H209" s="24" t="n">
        <f aca="false">E209*G209/(1+D209)^9</f>
        <v>80248.5337161169</v>
      </c>
      <c r="I209" s="24" t="n">
        <f aca="false">$B$13*G209/$B$12*((1+$B$8)/(1+D209))^4.5</f>
        <v>20832.1252045343</v>
      </c>
      <c r="J209" s="24" t="n">
        <f aca="false">H209+I209-$B$14</f>
        <v>99372.6971261306</v>
      </c>
      <c r="K209" s="43" t="n">
        <f aca="false">J209/$B$15</f>
        <v>360.307096178864</v>
      </c>
    </row>
    <row r="210" customFormat="false" ht="15" hidden="false" customHeight="false" outlineLevel="0" collapsed="false">
      <c r="A210" s="50" t="n">
        <v>170</v>
      </c>
      <c r="B210" s="19" t="n">
        <f aca="true">NORMINV(RAND(),$B$6,$C$6)</f>
        <v>0.180091491136873</v>
      </c>
      <c r="C210" s="19" t="n">
        <f aca="true">MAX(0.25,NORMINV(RAND(),$B$7,$C$7))</f>
        <v>0.5495020720539</v>
      </c>
      <c r="D210" s="32" t="n">
        <f aca="true">MAX(0.07,NORMINV(RAND(),$B$8,$C$8))</f>
        <v>0.0816375629805541</v>
      </c>
      <c r="E210" s="51" t="n">
        <f aca="true">MAX(8,NORMINV(RAND(),$B$9,$C$9))</f>
        <v>18.3847613111067</v>
      </c>
      <c r="F210" s="24" t="n">
        <f aca="false">$B$18*(1+(B210+$B$17)/2)^9</f>
        <v>18556.7186507481</v>
      </c>
      <c r="G210" s="24" t="n">
        <f aca="false">F210*C210</f>
        <v>10196.9553491073</v>
      </c>
      <c r="H210" s="24" t="n">
        <f aca="false">E210*G210/(1+D210)^9</f>
        <v>92510.8485528308</v>
      </c>
      <c r="I210" s="24" t="n">
        <f aca="false">$B$13*G210/$B$12*((1+$B$8)/(1+D210))^4.5</f>
        <v>25902.8523494413</v>
      </c>
      <c r="J210" s="24" t="n">
        <f aca="false">H210+I210-$B$14</f>
        <v>116705.739107752</v>
      </c>
      <c r="K210" s="43" t="n">
        <f aca="false">J210/$B$15</f>
        <v>423.153513806206</v>
      </c>
    </row>
    <row r="211" customFormat="false" ht="15" hidden="false" customHeight="false" outlineLevel="0" collapsed="false">
      <c r="A211" s="50" t="n">
        <v>171</v>
      </c>
      <c r="B211" s="19" t="n">
        <f aca="true">NORMINV(RAND(),$B$6,$C$6)</f>
        <v>0.132309904004533</v>
      </c>
      <c r="C211" s="19" t="n">
        <f aca="true">MAX(0.25,NORMINV(RAND(),$B$7,$C$7))</f>
        <v>0.493648544609672</v>
      </c>
      <c r="D211" s="32" t="n">
        <f aca="true">MAX(0.07,NORMINV(RAND(),$B$8,$C$8))</f>
        <v>0.0897885658563957</v>
      </c>
      <c r="E211" s="51" t="n">
        <f aca="true">MAX(8,NORMINV(RAND(),$B$9,$C$9))</f>
        <v>28.2095057545247</v>
      </c>
      <c r="F211" s="24" t="n">
        <f aca="false">$B$18*(1+(B211+$B$17)/2)^9</f>
        <v>15310.1932721673</v>
      </c>
      <c r="G211" s="24" t="n">
        <f aca="false">F211*C211</f>
        <v>7557.85462649816</v>
      </c>
      <c r="H211" s="24" t="n">
        <f aca="false">E211*G211/(1+D211)^9</f>
        <v>98336.2830826506</v>
      </c>
      <c r="I211" s="24" t="n">
        <f aca="false">$B$13*G211/$B$12*((1+$B$8)/(1+D211))^4.5</f>
        <v>18561.0875701294</v>
      </c>
      <c r="J211" s="24" t="n">
        <f aca="false">H211+I211-$B$14</f>
        <v>115189.408858259</v>
      </c>
      <c r="K211" s="43" t="n">
        <f aca="false">J211/$B$15</f>
        <v>417.655579616604</v>
      </c>
    </row>
    <row r="212" customFormat="false" ht="15" hidden="false" customHeight="false" outlineLevel="0" collapsed="false">
      <c r="A212" s="50" t="n">
        <v>172</v>
      </c>
      <c r="B212" s="19" t="n">
        <f aca="true">NORMINV(RAND(),$B$6,$C$6)</f>
        <v>0.138086132853133</v>
      </c>
      <c r="C212" s="19" t="n">
        <f aca="true">MAX(0.25,NORMINV(RAND(),$B$7,$C$7))</f>
        <v>0.467473302014265</v>
      </c>
      <c r="D212" s="32" t="n">
        <f aca="true">MAX(0.07,NORMINV(RAND(),$B$8,$C$8))</f>
        <v>0.0962022217350384</v>
      </c>
      <c r="E212" s="51" t="n">
        <f aca="true">MAX(8,NORMINV(RAND(),$B$9,$C$9))</f>
        <v>16.5161882155847</v>
      </c>
      <c r="F212" s="24" t="n">
        <f aca="false">$B$18*(1+(B212+$B$17)/2)^9</f>
        <v>15673.7408250387</v>
      </c>
      <c r="G212" s="24" t="n">
        <f aca="false">F212*C212</f>
        <v>7327.05537839665</v>
      </c>
      <c r="H212" s="24" t="n">
        <f aca="false">E212*G212/(1+D212)^9</f>
        <v>52944.7858278961</v>
      </c>
      <c r="I212" s="24" t="n">
        <f aca="false">$B$13*G212/$B$12*((1+$B$8)/(1+D212))^4.5</f>
        <v>17525.338701634</v>
      </c>
      <c r="J212" s="24" t="n">
        <f aca="false">H212+I212-$B$14</f>
        <v>68762.1627350096</v>
      </c>
      <c r="K212" s="43" t="n">
        <f aca="false">J212/$B$15</f>
        <v>249.318936675162</v>
      </c>
    </row>
    <row r="213" customFormat="false" ht="15" hidden="false" customHeight="false" outlineLevel="0" collapsed="false">
      <c r="A213" s="50" t="n">
        <v>173</v>
      </c>
      <c r="B213" s="19" t="n">
        <f aca="true">NORMINV(RAND(),$B$6,$C$6)</f>
        <v>0.113276924503611</v>
      </c>
      <c r="C213" s="19" t="n">
        <f aca="true">MAX(0.25,NORMINV(RAND(),$B$7,$C$7))</f>
        <v>0.520577571076778</v>
      </c>
      <c r="D213" s="32" t="n">
        <f aca="true">MAX(0.07,NORMINV(RAND(),$B$8,$C$8))</f>
        <v>0.0960062239257182</v>
      </c>
      <c r="E213" s="51" t="n">
        <f aca="true">MAX(8,NORMINV(RAND(),$B$9,$C$9))</f>
        <v>17.36926317106</v>
      </c>
      <c r="F213" s="24" t="n">
        <f aca="false">$B$18*(1+(B213+$B$17)/2)^9</f>
        <v>14164.7275591689</v>
      </c>
      <c r="G213" s="24" t="n">
        <f aca="false">F213*C213</f>
        <v>7373.83946771644</v>
      </c>
      <c r="H213" s="24" t="n">
        <f aca="false">E213*G213/(1+D213)^9</f>
        <v>56125.1985554592</v>
      </c>
      <c r="I213" s="24" t="n">
        <f aca="false">$B$13*G213/$B$12*((1+$B$8)/(1+D213))^4.5</f>
        <v>17651.4376756987</v>
      </c>
      <c r="J213" s="24" t="n">
        <f aca="false">H213+I213-$B$14</f>
        <v>72068.6744366374</v>
      </c>
      <c r="K213" s="43" t="n">
        <f aca="false">J213/$B$15</f>
        <v>261.307739074102</v>
      </c>
    </row>
    <row r="214" customFormat="false" ht="15" hidden="false" customHeight="false" outlineLevel="0" collapsed="false">
      <c r="A214" s="50" t="n">
        <v>174</v>
      </c>
      <c r="B214" s="19" t="n">
        <f aca="true">NORMINV(RAND(),$B$6,$C$6)</f>
        <v>0.182529305344165</v>
      </c>
      <c r="C214" s="19" t="n">
        <f aca="true">MAX(0.25,NORMINV(RAND(),$B$7,$C$7))</f>
        <v>0.507921322464921</v>
      </c>
      <c r="D214" s="32" t="n">
        <f aca="true">MAX(0.07,NORMINV(RAND(),$B$8,$C$8))</f>
        <v>0.0982826077313383</v>
      </c>
      <c r="E214" s="51" t="n">
        <f aca="true">MAX(8,NORMINV(RAND(),$B$9,$C$9))</f>
        <v>22.0379859500513</v>
      </c>
      <c r="F214" s="24" t="n">
        <f aca="false">$B$18*(1+(B214+$B$17)/2)^9</f>
        <v>18737.6412131356</v>
      </c>
      <c r="G214" s="24" t="n">
        <f aca="false">F214*C214</f>
        <v>9517.24750484905</v>
      </c>
      <c r="H214" s="24" t="n">
        <f aca="false">E214*G214/(1+D214)^9</f>
        <v>90210.3378982481</v>
      </c>
      <c r="I214" s="24" t="n">
        <f aca="false">$B$13*G214/$B$12*((1+$B$8)/(1+D214))^4.5</f>
        <v>22570.5884804899</v>
      </c>
      <c r="J214" s="24" t="n">
        <f aca="false">H214+I214-$B$14</f>
        <v>111072.964584217</v>
      </c>
      <c r="K214" s="43" t="n">
        <f aca="false">J214/$B$15</f>
        <v>402.730110892739</v>
      </c>
    </row>
    <row r="215" customFormat="false" ht="15" hidden="false" customHeight="false" outlineLevel="0" collapsed="false">
      <c r="A215" s="50" t="n">
        <v>175</v>
      </c>
      <c r="B215" s="19" t="n">
        <f aca="true">NORMINV(RAND(),$B$6,$C$6)</f>
        <v>0.156142301662407</v>
      </c>
      <c r="C215" s="19" t="n">
        <f aca="true">MAX(0.25,NORMINV(RAND(),$B$7,$C$7))</f>
        <v>0.48130447313608</v>
      </c>
      <c r="D215" s="32" t="n">
        <f aca="true">MAX(0.07,NORMINV(RAND(),$B$8,$C$8))</f>
        <v>0.0936141531668997</v>
      </c>
      <c r="E215" s="51" t="n">
        <f aca="true">MAX(8,NORMINV(RAND(),$B$9,$C$9))</f>
        <v>24.7904952452638</v>
      </c>
      <c r="F215" s="24" t="n">
        <f aca="false">$B$18*(1+(B215+$B$17)/2)^9</f>
        <v>16860.1695259045</v>
      </c>
      <c r="G215" s="24" t="n">
        <f aca="false">F215*C215</f>
        <v>8114.87501065048</v>
      </c>
      <c r="H215" s="24" t="n">
        <f aca="false">E215*G215/(1+D215)^9</f>
        <v>89906.2614982612</v>
      </c>
      <c r="I215" s="24" t="n">
        <f aca="false">$B$13*G215/$B$12*((1+$B$8)/(1+D215))^4.5</f>
        <v>19617.2570355457</v>
      </c>
      <c r="J215" s="24" t="n">
        <f aca="false">H215+I215-$B$14</f>
        <v>107815.556739286</v>
      </c>
      <c r="K215" s="43" t="n">
        <f aca="false">J215/$B$15</f>
        <v>390.919350033671</v>
      </c>
    </row>
    <row r="216" customFormat="false" ht="15" hidden="false" customHeight="false" outlineLevel="0" collapsed="false">
      <c r="A216" s="50" t="n">
        <v>176</v>
      </c>
      <c r="B216" s="19" t="n">
        <f aca="true">NORMINV(RAND(),$B$6,$C$6)</f>
        <v>0.0965694245509326</v>
      </c>
      <c r="C216" s="19" t="n">
        <f aca="true">MAX(0.25,NORMINV(RAND(),$B$7,$C$7))</f>
        <v>0.537668719108241</v>
      </c>
      <c r="D216" s="32" t="n">
        <f aca="true">MAX(0.07,NORMINV(RAND(),$B$8,$C$8))</f>
        <v>0.088908991985003</v>
      </c>
      <c r="E216" s="51" t="n">
        <f aca="true">MAX(8,NORMINV(RAND(),$B$9,$C$9))</f>
        <v>16.4408943728644</v>
      </c>
      <c r="F216" s="24" t="n">
        <f aca="false">$B$18*(1+(B216+$B$17)/2)^9</f>
        <v>13222.6870078075</v>
      </c>
      <c r="G216" s="24" t="n">
        <f aca="false">F216*C216</f>
        <v>7109.42518665702</v>
      </c>
      <c r="H216" s="24" t="n">
        <f aca="false">E216*G216/(1+D216)^9</f>
        <v>54304.4813720627</v>
      </c>
      <c r="I216" s="24" t="n">
        <f aca="false">$B$13*G216/$B$12*((1+$B$8)/(1+D216))^4.5</f>
        <v>17523.3589299346</v>
      </c>
      <c r="J216" s="24" t="n">
        <f aca="false">H216+I216-$B$14</f>
        <v>70119.8785074768</v>
      </c>
      <c r="K216" s="43" t="n">
        <f aca="false">J216/$B$15</f>
        <v>254.2417639865</v>
      </c>
    </row>
    <row r="217" customFormat="false" ht="15" hidden="false" customHeight="false" outlineLevel="0" collapsed="false">
      <c r="A217" s="50" t="n">
        <v>177</v>
      </c>
      <c r="B217" s="19" t="n">
        <f aca="true">NORMINV(RAND(),$B$6,$C$6)</f>
        <v>0.145215597254649</v>
      </c>
      <c r="C217" s="19" t="n">
        <f aca="true">MAX(0.25,NORMINV(RAND(),$B$7,$C$7))</f>
        <v>0.492130118926234</v>
      </c>
      <c r="D217" s="32" t="n">
        <f aca="true">MAX(0.07,NORMINV(RAND(),$B$8,$C$8))</f>
        <v>0.111675988895437</v>
      </c>
      <c r="E217" s="51" t="n">
        <f aca="true">MAX(8,NORMINV(RAND(),$B$9,$C$9))</f>
        <v>23.0658836732713</v>
      </c>
      <c r="F217" s="24" t="n">
        <f aca="false">$B$18*(1+(B217+$B$17)/2)^9</f>
        <v>16133.0269564707</v>
      </c>
      <c r="G217" s="24" t="n">
        <f aca="false">F217*C217</f>
        <v>7939.54847472805</v>
      </c>
      <c r="H217" s="24" t="n">
        <f aca="false">E217*G217/(1+D217)^9</f>
        <v>70625.5549237097</v>
      </c>
      <c r="I217" s="24" t="n">
        <f aca="false">$B$13*G217/$B$12*((1+$B$8)/(1+D217))^4.5</f>
        <v>17829.484514188</v>
      </c>
      <c r="J217" s="24" t="n">
        <f aca="false">H217+I217-$B$14</f>
        <v>86747.0776433772</v>
      </c>
      <c r="K217" s="43" t="n">
        <f aca="false">J217/$B$15</f>
        <v>314.528925465472</v>
      </c>
    </row>
    <row r="218" customFormat="false" ht="15" hidden="false" customHeight="false" outlineLevel="0" collapsed="false">
      <c r="A218" s="50" t="n">
        <v>178</v>
      </c>
      <c r="B218" s="19" t="n">
        <f aca="true">NORMINV(RAND(),$B$6,$C$6)</f>
        <v>0.0897985038823188</v>
      </c>
      <c r="C218" s="19" t="n">
        <f aca="true">MAX(0.25,NORMINV(RAND(),$B$7,$C$7))</f>
        <v>0.533244422563219</v>
      </c>
      <c r="D218" s="32" t="n">
        <f aca="true">MAX(0.07,NORMINV(RAND(),$B$8,$C$8))</f>
        <v>0.098239758161944</v>
      </c>
      <c r="E218" s="51" t="n">
        <f aca="true">MAX(8,NORMINV(RAND(),$B$9,$C$9))</f>
        <v>15.008916348738</v>
      </c>
      <c r="F218" s="24" t="n">
        <f aca="false">$B$18*(1+(B218+$B$17)/2)^9</f>
        <v>12857.0593783643</v>
      </c>
      <c r="G218" s="24" t="n">
        <f aca="false">F218*C218</f>
        <v>6855.9552040769</v>
      </c>
      <c r="H218" s="24" t="n">
        <f aca="false">E218*G218/(1+D218)^9</f>
        <v>44273.3976033764</v>
      </c>
      <c r="I218" s="24" t="n">
        <f aca="false">$B$13*G218/$B$12*((1+$B$8)/(1+D218))^4.5</f>
        <v>16262.0667652573</v>
      </c>
      <c r="J218" s="24" t="n">
        <f aca="false">H218+I218-$B$14</f>
        <v>58827.5025741132</v>
      </c>
      <c r="K218" s="43" t="n">
        <f aca="false">J218/$B$15</f>
        <v>213.297688811143</v>
      </c>
    </row>
    <row r="219" customFormat="false" ht="15" hidden="false" customHeight="false" outlineLevel="0" collapsed="false">
      <c r="A219" s="50" t="n">
        <v>179</v>
      </c>
      <c r="B219" s="19" t="n">
        <f aca="true">NORMINV(RAND(),$B$6,$C$6)</f>
        <v>0.110702321346589</v>
      </c>
      <c r="C219" s="19" t="n">
        <f aca="true">MAX(0.25,NORMINV(RAND(),$B$7,$C$7))</f>
        <v>0.455649124044422</v>
      </c>
      <c r="D219" s="32" t="n">
        <f aca="true">MAX(0.07,NORMINV(RAND(),$B$8,$C$8))</f>
        <v>0.0943108175802991</v>
      </c>
      <c r="E219" s="51" t="n">
        <f aca="true">MAX(8,NORMINV(RAND(),$B$9,$C$9))</f>
        <v>21.62598576996</v>
      </c>
      <c r="F219" s="24" t="n">
        <f aca="false">$B$18*(1+(B219+$B$17)/2)^9</f>
        <v>14015.7814521996</v>
      </c>
      <c r="G219" s="24" t="n">
        <f aca="false">F219*C219</f>
        <v>6386.27854149278</v>
      </c>
      <c r="H219" s="24" t="n">
        <f aca="false">E219*G219/(1+D219)^9</f>
        <v>61370.1999403879</v>
      </c>
      <c r="I219" s="24" t="n">
        <f aca="false">$B$13*G219/$B$12*((1+$B$8)/(1+D219))^4.5</f>
        <v>15394.2926305429</v>
      </c>
      <c r="J219" s="24" t="n">
        <f aca="false">H219+I219-$B$14</f>
        <v>75056.5307764102</v>
      </c>
      <c r="K219" s="43" t="n">
        <f aca="false">J219/$B$15</f>
        <v>272.141155824548</v>
      </c>
    </row>
    <row r="220" customFormat="false" ht="15" hidden="false" customHeight="false" outlineLevel="0" collapsed="false">
      <c r="A220" s="50" t="n">
        <v>180</v>
      </c>
      <c r="B220" s="19" t="n">
        <f aca="true">NORMINV(RAND(),$B$6,$C$6)</f>
        <v>0.116195644340218</v>
      </c>
      <c r="C220" s="19" t="n">
        <f aca="true">MAX(0.25,NORMINV(RAND(),$B$7,$C$7))</f>
        <v>0.530332160385708</v>
      </c>
      <c r="D220" s="32" t="n">
        <f aca="true">MAX(0.07,NORMINV(RAND(),$B$8,$C$8))</f>
        <v>0.104068232759285</v>
      </c>
      <c r="E220" s="51" t="n">
        <f aca="true">MAX(8,NORMINV(RAND(),$B$9,$C$9))</f>
        <v>25.4940014646282</v>
      </c>
      <c r="F220" s="24" t="n">
        <f aca="false">$B$18*(1+(B220+$B$17)/2)^9</f>
        <v>14335.2817760553</v>
      </c>
      <c r="G220" s="24" t="n">
        <f aca="false">F220*C220</f>
        <v>7602.4609540333</v>
      </c>
      <c r="H220" s="24" t="n">
        <f aca="false">E220*G220/(1+D220)^9</f>
        <v>79511.3225556901</v>
      </c>
      <c r="I220" s="24" t="n">
        <f aca="false">$B$13*G220/$B$12*((1+$B$8)/(1+D220))^4.5</f>
        <v>17608.3061874109</v>
      </c>
      <c r="J220" s="24" t="n">
        <f aca="false">H220+I220-$B$14</f>
        <v>95411.6669485805</v>
      </c>
      <c r="K220" s="43" t="n">
        <f aca="false">J220/$B$15</f>
        <v>345.945130342931</v>
      </c>
    </row>
    <row r="221" customFormat="false" ht="15" hidden="false" customHeight="false" outlineLevel="0" collapsed="false">
      <c r="A221" s="50" t="n">
        <v>181</v>
      </c>
      <c r="B221" s="19" t="n">
        <f aca="true">NORMINV(RAND(),$B$6,$C$6)</f>
        <v>0.0923283913453113</v>
      </c>
      <c r="C221" s="19" t="n">
        <f aca="true">MAX(0.25,NORMINV(RAND(),$B$7,$C$7))</f>
        <v>0.487177394762483</v>
      </c>
      <c r="D221" s="32" t="n">
        <f aca="true">MAX(0.07,NORMINV(RAND(),$B$8,$C$8))</f>
        <v>0.088295708020296</v>
      </c>
      <c r="E221" s="51" t="n">
        <f aca="true">MAX(8,NORMINV(RAND(),$B$9,$C$9))</f>
        <v>21.9947289130218</v>
      </c>
      <c r="F221" s="24" t="n">
        <f aca="false">$B$18*(1+(B221+$B$17)/2)^9</f>
        <v>12992.6070973758</v>
      </c>
      <c r="G221" s="24" t="n">
        <f aca="false">F221*C221</f>
        <v>6329.70447687206</v>
      </c>
      <c r="H221" s="24" t="n">
        <f aca="false">E221*G221/(1+D221)^9</f>
        <v>65009.9451857198</v>
      </c>
      <c r="I221" s="24" t="n">
        <f aca="false">$B$13*G221/$B$12*((1+$B$8)/(1+D221))^4.5</f>
        <v>15641.1005154516</v>
      </c>
      <c r="J221" s="24" t="n">
        <f aca="false">H221+I221-$B$14</f>
        <v>78943.0839066509</v>
      </c>
      <c r="K221" s="43" t="n">
        <f aca="false">J221/$B$15</f>
        <v>286.233081604971</v>
      </c>
    </row>
    <row r="222" customFormat="false" ht="15" hidden="false" customHeight="false" outlineLevel="0" collapsed="false">
      <c r="A222" s="50" t="n">
        <v>182</v>
      </c>
      <c r="B222" s="19" t="n">
        <f aca="true">NORMINV(RAND(),$B$6,$C$6)</f>
        <v>0.141070844496556</v>
      </c>
      <c r="C222" s="19" t="n">
        <f aca="true">MAX(0.25,NORMINV(RAND(),$B$7,$C$7))</f>
        <v>0.48923764002355</v>
      </c>
      <c r="D222" s="32" t="n">
        <f aca="true">MAX(0.07,NORMINV(RAND(),$B$8,$C$8))</f>
        <v>0.112425158664421</v>
      </c>
      <c r="E222" s="51" t="n">
        <f aca="true">MAX(8,NORMINV(RAND(),$B$9,$C$9))</f>
        <v>24.879673840419</v>
      </c>
      <c r="F222" s="24" t="n">
        <f aca="false">$B$18*(1+(B222+$B$17)/2)^9</f>
        <v>15864.5845038759</v>
      </c>
      <c r="G222" s="24" t="n">
        <f aca="false">F222*C222</f>
        <v>7761.55188263045</v>
      </c>
      <c r="H222" s="24" t="n">
        <f aca="false">E222*G222/(1+D222)^9</f>
        <v>74021.1838433634</v>
      </c>
      <c r="I222" s="24" t="n">
        <f aca="false">$B$13*G222/$B$12*((1+$B$8)/(1+D222))^4.5</f>
        <v>17377.0060077493</v>
      </c>
      <c r="J222" s="24" t="n">
        <f aca="false">H222+I222-$B$14</f>
        <v>89690.2280565921</v>
      </c>
      <c r="K222" s="43" t="n">
        <f aca="false">J222/$B$15</f>
        <v>325.200246760668</v>
      </c>
    </row>
    <row r="223" customFormat="false" ht="15" hidden="false" customHeight="false" outlineLevel="0" collapsed="false">
      <c r="A223" s="50" t="n">
        <v>183</v>
      </c>
      <c r="B223" s="19" t="n">
        <f aca="true">NORMINV(RAND(),$B$6,$C$6)</f>
        <v>0.108872081110803</v>
      </c>
      <c r="C223" s="19" t="n">
        <f aca="true">MAX(0.25,NORMINV(RAND(),$B$7,$C$7))</f>
        <v>0.499502984654366</v>
      </c>
      <c r="D223" s="32" t="n">
        <f aca="true">MAX(0.07,NORMINV(RAND(),$B$8,$C$8))</f>
        <v>0.106239197271631</v>
      </c>
      <c r="E223" s="51" t="n">
        <f aca="true">MAX(8,NORMINV(RAND(),$B$9,$C$9))</f>
        <v>12.0135531253524</v>
      </c>
      <c r="F223" s="24" t="n">
        <f aca="false">$B$18*(1+(B223+$B$17)/2)^9</f>
        <v>13910.7465533231</v>
      </c>
      <c r="G223" s="24" t="n">
        <f aca="false">F223*C223</f>
        <v>6948.4594221553</v>
      </c>
      <c r="H223" s="24" t="n">
        <f aca="false">E223*G223/(1+D223)^9</f>
        <v>33644.8513916575</v>
      </c>
      <c r="I223" s="24" t="n">
        <f aca="false">$B$13*G223/$B$12*((1+$B$8)/(1+D223))^4.5</f>
        <v>15951.9151255422</v>
      </c>
      <c r="J223" s="24" t="n">
        <f aca="false">H223+I223-$B$14</f>
        <v>47888.8047226791</v>
      </c>
      <c r="K223" s="43" t="n">
        <f aca="false">J223/$B$15</f>
        <v>173.635985216385</v>
      </c>
    </row>
    <row r="224" customFormat="false" ht="15" hidden="false" customHeight="false" outlineLevel="0" collapsed="false">
      <c r="A224" s="50" t="n">
        <v>184</v>
      </c>
      <c r="B224" s="19" t="n">
        <f aca="true">NORMINV(RAND(),$B$6,$C$6)</f>
        <v>0.134203858631154</v>
      </c>
      <c r="C224" s="19" t="n">
        <f aca="true">MAX(0.25,NORMINV(RAND(),$B$7,$C$7))</f>
        <v>0.505610257198068</v>
      </c>
      <c r="D224" s="32" t="n">
        <f aca="true">MAX(0.07,NORMINV(RAND(),$B$8,$C$8))</f>
        <v>0.0994390069826956</v>
      </c>
      <c r="E224" s="51" t="n">
        <f aca="true">MAX(8,NORMINV(RAND(),$B$9,$C$9))</f>
        <v>24.876152319108</v>
      </c>
      <c r="F224" s="24" t="n">
        <f aca="false">$B$18*(1+(B224+$B$17)/2)^9</f>
        <v>15428.5612990497</v>
      </c>
      <c r="G224" s="24" t="n">
        <f aca="false">F224*C224</f>
        <v>7800.83884660871</v>
      </c>
      <c r="H224" s="24" t="n">
        <f aca="false">E224*G224/(1+D224)^9</f>
        <v>82676.9110786108</v>
      </c>
      <c r="I224" s="24" t="n">
        <f aca="false">$B$13*G224/$B$12*((1+$B$8)/(1+D224))^4.5</f>
        <v>18412.6444698473</v>
      </c>
      <c r="J224" s="24" t="n">
        <f aca="false">H224+I224-$B$14</f>
        <v>99381.5937539375</v>
      </c>
      <c r="K224" s="43" t="n">
        <f aca="false">J224/$B$15</f>
        <v>360.339353712609</v>
      </c>
    </row>
    <row r="225" customFormat="false" ht="15" hidden="false" customHeight="false" outlineLevel="0" collapsed="false">
      <c r="A225" s="50" t="n">
        <v>185</v>
      </c>
      <c r="B225" s="19" t="n">
        <f aca="true">NORMINV(RAND(),$B$6,$C$6)</f>
        <v>0.0818922742229586</v>
      </c>
      <c r="C225" s="19" t="n">
        <f aca="true">MAX(0.25,NORMINV(RAND(),$B$7,$C$7))</f>
        <v>0.527898987685817</v>
      </c>
      <c r="D225" s="32" t="n">
        <f aca="true">MAX(0.07,NORMINV(RAND(),$B$8,$C$8))</f>
        <v>0.106584017568004</v>
      </c>
      <c r="E225" s="51" t="n">
        <f aca="true">MAX(8,NORMINV(RAND(),$B$9,$C$9))</f>
        <v>21.4191684873875</v>
      </c>
      <c r="F225" s="24" t="n">
        <f aca="false">$B$18*(1+(B225+$B$17)/2)^9</f>
        <v>12441.5201335338</v>
      </c>
      <c r="G225" s="24" t="n">
        <f aca="false">F225*C225</f>
        <v>6567.86588376523</v>
      </c>
      <c r="H225" s="24" t="n">
        <f aca="false">E225*G225/(1+D225)^9</f>
        <v>56541.5021683716</v>
      </c>
      <c r="I225" s="24" t="n">
        <f aca="false">$B$13*G225/$B$12*((1+$B$8)/(1+D225))^4.5</f>
        <v>15057.0364748878</v>
      </c>
      <c r="J225" s="24" t="n">
        <f aca="false">H225+I225-$B$14</f>
        <v>69890.5768487389</v>
      </c>
      <c r="K225" s="43" t="n">
        <f aca="false">J225/$B$15</f>
        <v>253.41035840732</v>
      </c>
    </row>
    <row r="226" customFormat="false" ht="15" hidden="false" customHeight="false" outlineLevel="0" collapsed="false">
      <c r="A226" s="50" t="n">
        <v>186</v>
      </c>
      <c r="B226" s="19" t="n">
        <f aca="true">NORMINV(RAND(),$B$6,$C$6)</f>
        <v>0.152740146647176</v>
      </c>
      <c r="C226" s="19" t="n">
        <f aca="true">MAX(0.25,NORMINV(RAND(),$B$7,$C$7))</f>
        <v>0.493901408589273</v>
      </c>
      <c r="D226" s="32" t="n">
        <f aca="true">MAX(0.07,NORMINV(RAND(),$B$8,$C$8))</f>
        <v>0.101277187071858</v>
      </c>
      <c r="E226" s="51" t="n">
        <f aca="true">MAX(8,NORMINV(RAND(),$B$9,$C$9))</f>
        <v>19.2269679612201</v>
      </c>
      <c r="F226" s="24" t="n">
        <f aca="false">$B$18*(1+(B226+$B$17)/2)^9</f>
        <v>16630.7040044337</v>
      </c>
      <c r="G226" s="24" t="n">
        <f aca="false">F226*C226</f>
        <v>8213.92813362108</v>
      </c>
      <c r="H226" s="24" t="n">
        <f aca="false">E226*G226/(1+D226)^9</f>
        <v>66281.4369436731</v>
      </c>
      <c r="I226" s="24" t="n">
        <f aca="false">$B$13*G226/$B$12*((1+$B$8)/(1+D226))^4.5</f>
        <v>19242.4781666568</v>
      </c>
      <c r="J226" s="24" t="n">
        <f aca="false">H226+I226-$B$14</f>
        <v>83815.9533158093</v>
      </c>
      <c r="K226" s="43" t="n">
        <f aca="false">J226/$B$15</f>
        <v>303.901208541731</v>
      </c>
    </row>
    <row r="227" customFormat="false" ht="15" hidden="false" customHeight="false" outlineLevel="0" collapsed="false">
      <c r="A227" s="50" t="n">
        <v>187</v>
      </c>
      <c r="B227" s="19" t="n">
        <f aca="true">NORMINV(RAND(),$B$6,$C$6)</f>
        <v>0.152483313885714</v>
      </c>
      <c r="C227" s="19" t="n">
        <f aca="true">MAX(0.25,NORMINV(RAND(),$B$7,$C$7))</f>
        <v>0.456428327720844</v>
      </c>
      <c r="D227" s="32" t="n">
        <f aca="true">MAX(0.07,NORMINV(RAND(),$B$8,$C$8))</f>
        <v>0.091078737087656</v>
      </c>
      <c r="E227" s="51" t="n">
        <f aca="true">MAX(8,NORMINV(RAND(),$B$9,$C$9))</f>
        <v>16.6542528576499</v>
      </c>
      <c r="F227" s="24" t="n">
        <f aca="false">$B$18*(1+(B227+$B$17)/2)^9</f>
        <v>16613.4946110189</v>
      </c>
      <c r="G227" s="24" t="n">
        <f aca="false">F227*C227</f>
        <v>7582.86956290661</v>
      </c>
      <c r="H227" s="24" t="n">
        <f aca="false">E227*G227/(1+D227)^9</f>
        <v>57630.701851194</v>
      </c>
      <c r="I227" s="24" t="n">
        <f aca="false">$B$13*G227/$B$12*((1+$B$8)/(1+D227))^4.5</f>
        <v>18523.6329532059</v>
      </c>
      <c r="J227" s="24" t="n">
        <f aca="false">H227+I227-$B$14</f>
        <v>74446.3730098794</v>
      </c>
      <c r="K227" s="43" t="n">
        <f aca="false">J227/$B$15</f>
        <v>269.928836148946</v>
      </c>
    </row>
    <row r="228" customFormat="false" ht="15" hidden="false" customHeight="false" outlineLevel="0" collapsed="false">
      <c r="A228" s="50" t="n">
        <v>188</v>
      </c>
      <c r="B228" s="19" t="n">
        <f aca="true">NORMINV(RAND(),$B$6,$C$6)</f>
        <v>0.107081060402944</v>
      </c>
      <c r="C228" s="19" t="n">
        <f aca="true">MAX(0.25,NORMINV(RAND(),$B$7,$C$7))</f>
        <v>0.464314554248155</v>
      </c>
      <c r="D228" s="32" t="n">
        <f aca="true">MAX(0.07,NORMINV(RAND(),$B$8,$C$8))</f>
        <v>0.0810095209268335</v>
      </c>
      <c r="E228" s="51" t="n">
        <f aca="true">MAX(8,NORMINV(RAND(),$B$9,$C$9))</f>
        <v>22.4451537343462</v>
      </c>
      <c r="F228" s="24" t="n">
        <f aca="false">$B$18*(1+(B228+$B$17)/2)^9</f>
        <v>13808.640348536</v>
      </c>
      <c r="G228" s="24" t="n">
        <f aca="false">F228*C228</f>
        <v>6411.55268820356</v>
      </c>
      <c r="H228" s="24" t="n">
        <f aca="false">E228*G228/(1+D228)^9</f>
        <v>71387.1639814876</v>
      </c>
      <c r="I228" s="24" t="n">
        <f aca="false">$B$13*G228/$B$12*((1+$B$8)/(1+D228))^4.5</f>
        <v>16329.593617148</v>
      </c>
      <c r="J228" s="24" t="n">
        <f aca="false">H228+I228-$B$14</f>
        <v>86008.795804115</v>
      </c>
      <c r="K228" s="43" t="n">
        <f aca="false">J228/$B$15</f>
        <v>311.852051501505</v>
      </c>
    </row>
    <row r="229" customFormat="false" ht="15" hidden="false" customHeight="false" outlineLevel="0" collapsed="false">
      <c r="A229" s="50" t="n">
        <v>189</v>
      </c>
      <c r="B229" s="19" t="n">
        <f aca="true">NORMINV(RAND(),$B$6,$C$6)</f>
        <v>0.145056574099698</v>
      </c>
      <c r="C229" s="19" t="n">
        <f aca="true">MAX(0.25,NORMINV(RAND(),$B$7,$C$7))</f>
        <v>0.477047410119858</v>
      </c>
      <c r="D229" s="32" t="n">
        <f aca="true">MAX(0.07,NORMINV(RAND(),$B$8,$C$8))</f>
        <v>0.105913629478679</v>
      </c>
      <c r="E229" s="51" t="n">
        <f aca="true">MAX(8,NORMINV(RAND(),$B$9,$C$9))</f>
        <v>20.8045284262171</v>
      </c>
      <c r="F229" s="24" t="n">
        <f aca="false">$B$18*(1+(B229+$B$17)/2)^9</f>
        <v>16122.6535237173</v>
      </c>
      <c r="G229" s="24" t="n">
        <f aca="false">F229*C229</f>
        <v>7691.27010774916</v>
      </c>
      <c r="H229" s="24" t="n">
        <f aca="false">E229*G229/(1+D229)^9</f>
        <v>64664.3692724694</v>
      </c>
      <c r="I229" s="24" t="n">
        <f aca="false">$B$13*G229/$B$12*((1+$B$8)/(1+D229))^4.5</f>
        <v>17680.6250185576</v>
      </c>
      <c r="J229" s="24" t="n">
        <f aca="false">H229+I229-$B$14</f>
        <v>80637.0324965065</v>
      </c>
      <c r="K229" s="43" t="n">
        <f aca="false">J229/$B$15</f>
        <v>292.375027180952</v>
      </c>
    </row>
    <row r="230" customFormat="false" ht="15" hidden="false" customHeight="false" outlineLevel="0" collapsed="false">
      <c r="A230" s="50" t="n">
        <v>190</v>
      </c>
      <c r="B230" s="19" t="n">
        <f aca="true">NORMINV(RAND(),$B$6,$C$6)</f>
        <v>0.137883721014139</v>
      </c>
      <c r="C230" s="19" t="n">
        <f aca="true">MAX(0.25,NORMINV(RAND(),$B$7,$C$7))</f>
        <v>0.485066486243792</v>
      </c>
      <c r="D230" s="32" t="n">
        <f aca="true">MAX(0.07,NORMINV(RAND(),$B$8,$C$8))</f>
        <v>0.0810073675703343</v>
      </c>
      <c r="E230" s="51" t="n">
        <f aca="true">MAX(8,NORMINV(RAND(),$B$9,$C$9))</f>
        <v>23.6872774277107</v>
      </c>
      <c r="F230" s="24" t="n">
        <f aca="false">$B$18*(1+(B230+$B$17)/2)^9</f>
        <v>15660.8727331667</v>
      </c>
      <c r="G230" s="24" t="n">
        <f aca="false">F230*C230</f>
        <v>7596.5645081884</v>
      </c>
      <c r="H230" s="24" t="n">
        <f aca="false">E230*G230/(1+D230)^9</f>
        <v>89263.6192783766</v>
      </c>
      <c r="I230" s="24" t="n">
        <f aca="false">$B$13*G230/$B$12*((1+$B$8)/(1+D230))^4.5</f>
        <v>19347.8755162642</v>
      </c>
      <c r="J230" s="24" t="n">
        <f aca="false">H230+I230-$B$14</f>
        <v>106903.53300012</v>
      </c>
      <c r="K230" s="43" t="n">
        <f aca="false">J230/$B$15</f>
        <v>387.612519942423</v>
      </c>
    </row>
    <row r="231" customFormat="false" ht="15" hidden="false" customHeight="false" outlineLevel="0" collapsed="false">
      <c r="A231" s="50" t="n">
        <v>191</v>
      </c>
      <c r="B231" s="19" t="n">
        <f aca="true">NORMINV(RAND(),$B$6,$C$6)</f>
        <v>0.10327800565819</v>
      </c>
      <c r="C231" s="19" t="n">
        <f aca="true">MAX(0.25,NORMINV(RAND(),$B$7,$C$7))</f>
        <v>0.447605370921762</v>
      </c>
      <c r="D231" s="32" t="n">
        <f aca="true">MAX(0.07,NORMINV(RAND(),$B$8,$C$8))</f>
        <v>0.0862603774812286</v>
      </c>
      <c r="E231" s="51" t="n">
        <f aca="true">MAX(8,NORMINV(RAND(),$B$9,$C$9))</f>
        <v>19.2325255432727</v>
      </c>
      <c r="F231" s="24" t="n">
        <f aca="false">$B$18*(1+(B231+$B$17)/2)^9</f>
        <v>13594.0342051646</v>
      </c>
      <c r="G231" s="24" t="n">
        <f aca="false">F231*C231</f>
        <v>6084.76272272581</v>
      </c>
      <c r="H231" s="24" t="n">
        <f aca="false">E231*G231/(1+D231)^9</f>
        <v>55574.366288029</v>
      </c>
      <c r="I231" s="24" t="n">
        <f aca="false">$B$13*G231/$B$12*((1+$B$8)/(1+D231))^4.5</f>
        <v>15163.0274501489</v>
      </c>
      <c r="J231" s="24" t="n">
        <f aca="false">H231+I231-$B$14</f>
        <v>69029.4319436573</v>
      </c>
      <c r="K231" s="43" t="n">
        <f aca="false">J231/$B$15</f>
        <v>250.288005597017</v>
      </c>
    </row>
    <row r="232" customFormat="false" ht="15" hidden="false" customHeight="false" outlineLevel="0" collapsed="false">
      <c r="A232" s="50" t="n">
        <v>192</v>
      </c>
      <c r="B232" s="19" t="n">
        <f aca="true">NORMINV(RAND(),$B$6,$C$6)</f>
        <v>0.138303010492315</v>
      </c>
      <c r="C232" s="19" t="n">
        <f aca="true">MAX(0.25,NORMINV(RAND(),$B$7,$C$7))</f>
        <v>0.502036685456639</v>
      </c>
      <c r="D232" s="32" t="n">
        <f aca="true">MAX(0.07,NORMINV(RAND(),$B$8,$C$8))</f>
        <v>0.0928322855973592</v>
      </c>
      <c r="E232" s="51" t="n">
        <f aca="true">MAX(8,NORMINV(RAND(),$B$9,$C$9))</f>
        <v>23.0658721932718</v>
      </c>
      <c r="F232" s="24" t="n">
        <f aca="false">$B$18*(1+(B232+$B$17)/2)^9</f>
        <v>15687.5389922142</v>
      </c>
      <c r="G232" s="24" t="n">
        <f aca="false">F232*C232</f>
        <v>7875.72007862299</v>
      </c>
      <c r="H232" s="24" t="n">
        <f aca="false">E232*G232/(1+D232)^9</f>
        <v>81710.6190936406</v>
      </c>
      <c r="I232" s="24" t="n">
        <f aca="false">$B$13*G232/$B$12*((1+$B$8)/(1+D232))^4.5</f>
        <v>19100.4870957858</v>
      </c>
      <c r="J232" s="24" t="n">
        <f aca="false">H232+I232-$B$14</f>
        <v>99103.1443949059</v>
      </c>
      <c r="K232" s="43" t="n">
        <f aca="false">J232/$B$15</f>
        <v>359.329747624749</v>
      </c>
    </row>
    <row r="233" customFormat="false" ht="15" hidden="false" customHeight="false" outlineLevel="0" collapsed="false">
      <c r="A233" s="50" t="n">
        <v>193</v>
      </c>
      <c r="B233" s="19" t="n">
        <f aca="true">NORMINV(RAND(),$B$6,$C$6)</f>
        <v>0.12786001041419</v>
      </c>
      <c r="C233" s="19" t="n">
        <f aca="true">MAX(0.25,NORMINV(RAND(),$B$7,$C$7))</f>
        <v>0.497007674152923</v>
      </c>
      <c r="D233" s="32" t="n">
        <f aca="true">MAX(0.07,NORMINV(RAND(),$B$8,$C$8))</f>
        <v>0.089635546552249</v>
      </c>
      <c r="E233" s="51" t="n">
        <f aca="true">MAX(8,NORMINV(RAND(),$B$9,$C$9))</f>
        <v>23.2274423545115</v>
      </c>
      <c r="F233" s="24" t="n">
        <f aca="false">$B$18*(1+(B233+$B$17)/2)^9</f>
        <v>15035.2551303806</v>
      </c>
      <c r="G233" s="24" t="n">
        <f aca="false">F233*C233</f>
        <v>7472.63718264629</v>
      </c>
      <c r="H233" s="24" t="n">
        <f aca="false">E233*G233/(1+D233)^9</f>
        <v>80157.4558772803</v>
      </c>
      <c r="I233" s="24" t="n">
        <f aca="false">$B$13*G233/$B$12*((1+$B$8)/(1+D233))^4.5</f>
        <v>18363.4049750854</v>
      </c>
      <c r="J233" s="24" t="n">
        <f aca="false">H233+I233-$B$14</f>
        <v>96812.8990578451</v>
      </c>
      <c r="K233" s="43" t="n">
        <f aca="false">J233/$B$15</f>
        <v>351.025739876161</v>
      </c>
    </row>
    <row r="234" customFormat="false" ht="15" hidden="false" customHeight="false" outlineLevel="0" collapsed="false">
      <c r="A234" s="50" t="n">
        <v>194</v>
      </c>
      <c r="B234" s="19" t="n">
        <f aca="true">NORMINV(RAND(),$B$6,$C$6)</f>
        <v>0.110540589437315</v>
      </c>
      <c r="C234" s="19" t="n">
        <f aca="true">MAX(0.25,NORMINV(RAND(),$B$7,$C$7))</f>
        <v>0.488529018663718</v>
      </c>
      <c r="D234" s="32" t="n">
        <f aca="true">MAX(0.07,NORMINV(RAND(),$B$8,$C$8))</f>
        <v>0.092746833587628</v>
      </c>
      <c r="E234" s="51" t="n">
        <f aca="true">MAX(8,NORMINV(RAND(),$B$9,$C$9))</f>
        <v>15.2546697435972</v>
      </c>
      <c r="F234" s="24" t="n">
        <f aca="false">$B$18*(1+(B234+$B$17)/2)^9</f>
        <v>14006.4715755943</v>
      </c>
      <c r="G234" s="24" t="n">
        <f aca="false">F234*C234</f>
        <v>6842.56781376635</v>
      </c>
      <c r="H234" s="24" t="n">
        <f aca="false">E234*G234/(1+D234)^9</f>
        <v>46983.5587889197</v>
      </c>
      <c r="I234" s="24" t="n">
        <f aca="false">$B$13*G234/$B$12*((1+$B$8)/(1+D234))^4.5</f>
        <v>16600.6885525225</v>
      </c>
      <c r="J234" s="24" t="n">
        <f aca="false">H234+I234-$B$14</f>
        <v>61876.2855469217</v>
      </c>
      <c r="K234" s="43" t="n">
        <f aca="false">J234/$B$15</f>
        <v>224.352014310811</v>
      </c>
    </row>
    <row r="235" customFormat="false" ht="15" hidden="false" customHeight="false" outlineLevel="0" collapsed="false">
      <c r="A235" s="50" t="n">
        <v>195</v>
      </c>
      <c r="B235" s="19" t="n">
        <f aca="true">NORMINV(RAND(),$B$6,$C$6)</f>
        <v>0.0982488993584767</v>
      </c>
      <c r="C235" s="19" t="n">
        <f aca="true">MAX(0.25,NORMINV(RAND(),$B$7,$C$7))</f>
        <v>0.443040662341443</v>
      </c>
      <c r="D235" s="32" t="n">
        <f aca="true">MAX(0.07,NORMINV(RAND(),$B$8,$C$8))</f>
        <v>0.10177461541622</v>
      </c>
      <c r="E235" s="51" t="n">
        <f aca="true">MAX(8,NORMINV(RAND(),$B$9,$C$9))</f>
        <v>20.6460882911578</v>
      </c>
      <c r="F235" s="24" t="n">
        <f aca="false">$B$18*(1+(B235+$B$17)/2)^9</f>
        <v>13314.7964123749</v>
      </c>
      <c r="G235" s="24" t="n">
        <f aca="false">F235*C235</f>
        <v>5898.99622148006</v>
      </c>
      <c r="H235" s="24" t="n">
        <f aca="false">E235*G235/(1+D235)^9</f>
        <v>50907.4143294169</v>
      </c>
      <c r="I235" s="24" t="n">
        <f aca="false">$B$13*G235/$B$12*((1+$B$8)/(1+D235))^4.5</f>
        <v>13791.3152283589</v>
      </c>
      <c r="J235" s="24" t="n">
        <f aca="false">H235+I235-$B$14</f>
        <v>62990.7677632552</v>
      </c>
      <c r="K235" s="43" t="n">
        <f aca="false">J235/$B$15</f>
        <v>228.392921549149</v>
      </c>
    </row>
    <row r="236" customFormat="false" ht="15" hidden="false" customHeight="false" outlineLevel="0" collapsed="false">
      <c r="A236" s="50" t="n">
        <v>196</v>
      </c>
      <c r="B236" s="19" t="n">
        <f aca="true">NORMINV(RAND(),$B$6,$C$6)</f>
        <v>0.129749270209753</v>
      </c>
      <c r="C236" s="19" t="n">
        <f aca="true">MAX(0.25,NORMINV(RAND(),$B$7,$C$7))</f>
        <v>0.474746140885943</v>
      </c>
      <c r="D236" s="32" t="n">
        <f aca="true">MAX(0.07,NORMINV(RAND(),$B$8,$C$8))</f>
        <v>0.0927279695887209</v>
      </c>
      <c r="E236" s="51" t="n">
        <f aca="true">MAX(8,NORMINV(RAND(),$B$9,$C$9))</f>
        <v>18.0652545256225</v>
      </c>
      <c r="F236" s="24" t="n">
        <f aca="false">$B$18*(1+(B236+$B$17)/2)^9</f>
        <v>15151.4428913222</v>
      </c>
      <c r="G236" s="24" t="n">
        <f aca="false">F236*C236</f>
        <v>7193.08904150898</v>
      </c>
      <c r="H236" s="24" t="n">
        <f aca="false">E236*G236/(1+D236)^9</f>
        <v>58499.3426449762</v>
      </c>
      <c r="I236" s="24" t="n">
        <f aca="false">$B$13*G236/$B$12*((1+$B$8)/(1+D236))^4.5</f>
        <v>17452.4404813868</v>
      </c>
      <c r="J236" s="24" t="n">
        <f aca="false">H236+I236-$B$14</f>
        <v>74243.8213318425</v>
      </c>
      <c r="K236" s="43" t="n">
        <f aca="false">J236/$B$15</f>
        <v>269.19442107267</v>
      </c>
    </row>
    <row r="237" customFormat="false" ht="15" hidden="false" customHeight="false" outlineLevel="0" collapsed="false">
      <c r="A237" s="50" t="n">
        <v>197</v>
      </c>
      <c r="B237" s="19" t="n">
        <f aca="true">NORMINV(RAND(),$B$6,$C$6)</f>
        <v>0.0918505849358227</v>
      </c>
      <c r="C237" s="19" t="n">
        <f aca="true">MAX(0.25,NORMINV(RAND(),$B$7,$C$7))</f>
        <v>0.516200872362603</v>
      </c>
      <c r="D237" s="32" t="n">
        <f aca="true">MAX(0.07,NORMINV(RAND(),$B$8,$C$8))</f>
        <v>0.0958525154509471</v>
      </c>
      <c r="E237" s="51" t="n">
        <f aca="true">MAX(8,NORMINV(RAND(),$B$9,$C$9))</f>
        <v>20.1150895145389</v>
      </c>
      <c r="F237" s="24" t="n">
        <f aca="false">$B$18*(1+(B237+$B$17)/2)^9</f>
        <v>12966.9100490461</v>
      </c>
      <c r="G237" s="24" t="n">
        <f aca="false">F237*C237</f>
        <v>6693.53027916502</v>
      </c>
      <c r="H237" s="24" t="n">
        <f aca="false">E237*G237/(1+D237)^9</f>
        <v>59075.6110081338</v>
      </c>
      <c r="I237" s="24" t="n">
        <f aca="false">$B$13*G237/$B$12*((1+$B$8)/(1+D237))^4.5</f>
        <v>16033.0349507668</v>
      </c>
      <c r="J237" s="24" t="n">
        <f aca="false">H237+I237-$B$14</f>
        <v>73400.68416438</v>
      </c>
      <c r="K237" s="43" t="n">
        <f aca="false">J237/$B$15</f>
        <v>266.137361002103</v>
      </c>
    </row>
    <row r="238" customFormat="false" ht="15" hidden="false" customHeight="false" outlineLevel="0" collapsed="false">
      <c r="A238" s="50" t="n">
        <v>198</v>
      </c>
      <c r="B238" s="19" t="n">
        <f aca="true">NORMINV(RAND(),$B$6,$C$6)</f>
        <v>0.179389135165533</v>
      </c>
      <c r="C238" s="19" t="n">
        <f aca="true">MAX(0.25,NORMINV(RAND(),$B$7,$C$7))</f>
        <v>0.495832523472911</v>
      </c>
      <c r="D238" s="32" t="n">
        <f aca="true">MAX(0.07,NORMINV(RAND(),$B$8,$C$8))</f>
        <v>0.101779225266454</v>
      </c>
      <c r="E238" s="51" t="n">
        <f aca="true">MAX(8,NORMINV(RAND(),$B$9,$C$9))</f>
        <v>20.550845685347</v>
      </c>
      <c r="F238" s="24" t="n">
        <f aca="false">$B$18*(1+(B238+$B$17)/2)^9</f>
        <v>18504.8822123265</v>
      </c>
      <c r="G238" s="24" t="n">
        <f aca="false">F238*C238</f>
        <v>9175.32244390681</v>
      </c>
      <c r="H238" s="24" t="n">
        <f aca="false">E238*G238/(1+D238)^9</f>
        <v>78813.3559488051</v>
      </c>
      <c r="I238" s="24" t="n">
        <f aca="false">$B$13*G238/$B$12*((1+$B$8)/(1+D238))^4.5</f>
        <v>21450.6632855063</v>
      </c>
      <c r="J238" s="24" t="n">
        <f aca="false">H238+I238-$B$14</f>
        <v>98556.0574397908</v>
      </c>
      <c r="K238" s="43" t="n">
        <f aca="false">J238/$B$15</f>
        <v>357.346111094238</v>
      </c>
    </row>
    <row r="239" customFormat="false" ht="15" hidden="false" customHeight="false" outlineLevel="0" collapsed="false">
      <c r="A239" s="50" t="n">
        <v>199</v>
      </c>
      <c r="B239" s="19" t="n">
        <f aca="true">NORMINV(RAND(),$B$6,$C$6)</f>
        <v>0.138614571469376</v>
      </c>
      <c r="C239" s="19" t="n">
        <f aca="true">MAX(0.25,NORMINV(RAND(),$B$7,$C$7))</f>
        <v>0.516676681864599</v>
      </c>
      <c r="D239" s="32" t="n">
        <f aca="true">MAX(0.07,NORMINV(RAND(),$B$8,$C$8))</f>
        <v>0.0961013368372129</v>
      </c>
      <c r="E239" s="51" t="n">
        <f aca="true">MAX(8,NORMINV(RAND(),$B$9,$C$9))</f>
        <v>18.5400772652357</v>
      </c>
      <c r="F239" s="24" t="n">
        <f aca="false">$B$18*(1+(B239+$B$17)/2)^9</f>
        <v>15707.3799902708</v>
      </c>
      <c r="G239" s="24" t="n">
        <f aca="false">F239*C239</f>
        <v>8115.63697415949</v>
      </c>
      <c r="H239" s="24" t="n">
        <f aca="false">E239*G239/(1+D239)^9</f>
        <v>65883.6702635658</v>
      </c>
      <c r="I239" s="24" t="n">
        <f aca="false">$B$13*G239/$B$12*((1+$B$8)/(1+D239))^4.5</f>
        <v>19419.5617831738</v>
      </c>
      <c r="J239" s="24" t="n">
        <f aca="false">H239+I239-$B$14</f>
        <v>83595.270252219</v>
      </c>
      <c r="K239" s="43" t="n">
        <f aca="false">J239/$B$15</f>
        <v>303.101052401084</v>
      </c>
    </row>
    <row r="240" customFormat="false" ht="15" hidden="false" customHeight="false" outlineLevel="0" collapsed="false">
      <c r="A240" s="50" t="n">
        <v>200</v>
      </c>
      <c r="B240" s="19" t="n">
        <f aca="true">NORMINV(RAND(),$B$6,$C$6)</f>
        <v>0.103636450676344</v>
      </c>
      <c r="C240" s="19" t="n">
        <f aca="true">MAX(0.25,NORMINV(RAND(),$B$7,$C$7))</f>
        <v>0.460206946508096</v>
      </c>
      <c r="D240" s="32" t="n">
        <f aca="true">MAX(0.07,NORMINV(RAND(),$B$8,$C$8))</f>
        <v>0.0960624417966844</v>
      </c>
      <c r="E240" s="51" t="n">
        <f aca="true">MAX(8,NORMINV(RAND(),$B$9,$C$9))</f>
        <v>20.244997068728</v>
      </c>
      <c r="F240" s="24" t="n">
        <f aca="false">$B$18*(1+(B240+$B$17)/2)^9</f>
        <v>13614.1339062054</v>
      </c>
      <c r="G240" s="24" t="n">
        <f aca="false">F240*C240</f>
        <v>6265.31899432713</v>
      </c>
      <c r="H240" s="24" t="n">
        <f aca="false">E240*G240/(1+D240)^9</f>
        <v>55557.569672351</v>
      </c>
      <c r="I240" s="24" t="n">
        <f aca="false">$B$13*G240/$B$12*((1+$B$8)/(1+D240))^4.5</f>
        <v>14994.4089487035</v>
      </c>
      <c r="J240" s="24" t="n">
        <f aca="false">H240+I240-$B$14</f>
        <v>68844.0168265339</v>
      </c>
      <c r="K240" s="43" t="n">
        <f aca="false">J240/$B$15</f>
        <v>249.615724534206</v>
      </c>
    </row>
    <row r="241" customFormat="false" ht="15" hidden="false" customHeight="false" outlineLevel="0" collapsed="false">
      <c r="A241" s="50" t="n">
        <v>201</v>
      </c>
      <c r="B241" s="19" t="n">
        <f aca="true">NORMINV(RAND(),$B$6,$C$6)</f>
        <v>0.0855664624285979</v>
      </c>
      <c r="C241" s="19" t="n">
        <f aca="true">MAX(0.25,NORMINV(RAND(),$B$7,$C$7))</f>
        <v>0.495702970862379</v>
      </c>
      <c r="D241" s="32" t="n">
        <f aca="true">MAX(0.07,NORMINV(RAND(),$B$8,$C$8))</f>
        <v>0.0973108770346063</v>
      </c>
      <c r="E241" s="51" t="n">
        <f aca="true">MAX(8,NORMINV(RAND(),$B$9,$C$9))</f>
        <v>14.1615149812974</v>
      </c>
      <c r="F241" s="24" t="n">
        <f aca="false">$B$18*(1+(B241+$B$17)/2)^9</f>
        <v>12633.1209474033</v>
      </c>
      <c r="G241" s="24" t="n">
        <f aca="false">F241*C241</f>
        <v>6262.27558489158</v>
      </c>
      <c r="H241" s="24" t="n">
        <f aca="false">E241*G241/(1+D241)^9</f>
        <v>38448.0868613616</v>
      </c>
      <c r="I241" s="24" t="n">
        <f aca="false">$B$13*G241/$B$12*((1+$B$8)/(1+D241))^4.5</f>
        <v>14910.5476159872</v>
      </c>
      <c r="J241" s="24" t="n">
        <f aca="false">H241+I241-$B$14</f>
        <v>51650.6726828283</v>
      </c>
      <c r="K241" s="43" t="n">
        <f aca="false">J241/$B$15</f>
        <v>187.275825535998</v>
      </c>
    </row>
    <row r="242" customFormat="false" ht="15" hidden="false" customHeight="false" outlineLevel="0" collapsed="false">
      <c r="A242" s="50" t="n">
        <v>202</v>
      </c>
      <c r="B242" s="19" t="n">
        <f aca="true">NORMINV(RAND(),$B$6,$C$6)</f>
        <v>0.117737281228082</v>
      </c>
      <c r="C242" s="19" t="n">
        <f aca="true">MAX(0.25,NORMINV(RAND(),$B$7,$C$7))</f>
        <v>0.515937519609032</v>
      </c>
      <c r="D242" s="32" t="n">
        <f aca="true">MAX(0.07,NORMINV(RAND(),$B$8,$C$8))</f>
        <v>0.0964146679637622</v>
      </c>
      <c r="E242" s="51" t="n">
        <f aca="true">MAX(8,NORMINV(RAND(),$B$9,$C$9))</f>
        <v>19.2897116718605</v>
      </c>
      <c r="F242" s="24" t="n">
        <f aca="false">$B$18*(1+(B242+$B$17)/2)^9</f>
        <v>14426.1013628662</v>
      </c>
      <c r="G242" s="24" t="n">
        <f aca="false">F242*C242</f>
        <v>7442.96695478565</v>
      </c>
      <c r="H242" s="24" t="n">
        <f aca="false">E242*G242/(1+D242)^9</f>
        <v>62704.4401235572</v>
      </c>
      <c r="I242" s="24" t="n">
        <f aca="false">$B$13*G242/$B$12*((1+$B$8)/(1+D242))^4.5</f>
        <v>17787.0661987184</v>
      </c>
      <c r="J242" s="24" t="n">
        <f aca="false">H242+I242-$B$14</f>
        <v>78783.544527755</v>
      </c>
      <c r="K242" s="43" t="n">
        <f aca="false">J242/$B$15</f>
        <v>285.654621202883</v>
      </c>
    </row>
    <row r="243" customFormat="false" ht="15" hidden="false" customHeight="false" outlineLevel="0" collapsed="false">
      <c r="A243" s="50" t="n">
        <v>203</v>
      </c>
      <c r="B243" s="19" t="n">
        <f aca="true">NORMINV(RAND(),$B$6,$C$6)</f>
        <v>0.124833415830026</v>
      </c>
      <c r="C243" s="19" t="n">
        <f aca="true">MAX(0.25,NORMINV(RAND(),$B$7,$C$7))</f>
        <v>0.462497188042443</v>
      </c>
      <c r="D243" s="32" t="n">
        <f aca="true">MAX(0.07,NORMINV(RAND(),$B$8,$C$8))</f>
        <v>0.0898122893511955</v>
      </c>
      <c r="E243" s="51" t="n">
        <f aca="true">MAX(8,NORMINV(RAND(),$B$9,$C$9))</f>
        <v>15.5851938072664</v>
      </c>
      <c r="F243" s="24" t="n">
        <f aca="false">$B$18*(1+(B243+$B$17)/2)^9</f>
        <v>14850.7723870323</v>
      </c>
      <c r="G243" s="24" t="n">
        <f aca="false">F243*C243</f>
        <v>6868.4404692608</v>
      </c>
      <c r="H243" s="24" t="n">
        <f aca="false">E243*G243/(1+D243)^9</f>
        <v>49363.396841099</v>
      </c>
      <c r="I243" s="24" t="n">
        <f aca="false">$B$13*G243/$B$12*((1+$B$8)/(1+D243))^4.5</f>
        <v>16866.3256388496</v>
      </c>
      <c r="J243" s="24" t="n">
        <f aca="false">H243+I243-$B$14</f>
        <v>64521.7606854281</v>
      </c>
      <c r="K243" s="43" t="n">
        <f aca="false">J243/$B$15</f>
        <v>233.944019889152</v>
      </c>
    </row>
    <row r="244" customFormat="false" ht="15" hidden="false" customHeight="false" outlineLevel="0" collapsed="false">
      <c r="A244" s="50" t="n">
        <v>204</v>
      </c>
      <c r="B244" s="19" t="n">
        <f aca="true">NORMINV(RAND(),$B$6,$C$6)</f>
        <v>0.112713806677846</v>
      </c>
      <c r="C244" s="19" t="n">
        <f aca="true">MAX(0.25,NORMINV(RAND(),$B$7,$C$7))</f>
        <v>0.551068737330199</v>
      </c>
      <c r="D244" s="32" t="n">
        <f aca="true">MAX(0.07,NORMINV(RAND(),$B$8,$C$8))</f>
        <v>0.0939993184460677</v>
      </c>
      <c r="E244" s="51" t="n">
        <f aca="true">MAX(8,NORMINV(RAND(),$B$9,$C$9))</f>
        <v>20.8352029347573</v>
      </c>
      <c r="F244" s="24" t="n">
        <f aca="false">$B$18*(1+(B244+$B$17)/2)^9</f>
        <v>14132.030359173</v>
      </c>
      <c r="G244" s="24" t="n">
        <f aca="false">F244*C244</f>
        <v>7787.7201259415</v>
      </c>
      <c r="H244" s="24" t="n">
        <f aca="false">E244*G244/(1+D244)^9</f>
        <v>72286.0689137111</v>
      </c>
      <c r="I244" s="24" t="n">
        <f aca="false">$B$13*G244/$B$12*((1+$B$8)/(1+D244))^4.5</f>
        <v>18796.5697622147</v>
      </c>
      <c r="J244" s="24" t="n">
        <f aca="false">H244+I244-$B$14</f>
        <v>89374.6768814053</v>
      </c>
      <c r="K244" s="43" t="n">
        <f aca="false">J244/$B$15</f>
        <v>324.056116321266</v>
      </c>
    </row>
    <row r="245" customFormat="false" ht="15" hidden="false" customHeight="false" outlineLevel="0" collapsed="false">
      <c r="A245" s="50" t="n">
        <v>205</v>
      </c>
      <c r="B245" s="19" t="n">
        <f aca="true">NORMINV(RAND(),$B$6,$C$6)</f>
        <v>0.117968606435133</v>
      </c>
      <c r="C245" s="19" t="n">
        <f aca="true">MAX(0.25,NORMINV(RAND(),$B$7,$C$7))</f>
        <v>0.448863948959824</v>
      </c>
      <c r="D245" s="32" t="n">
        <f aca="true">MAX(0.07,NORMINV(RAND(),$B$8,$C$8))</f>
        <v>0.095226134507719</v>
      </c>
      <c r="E245" s="51" t="n">
        <f aca="true">MAX(8,NORMINV(RAND(),$B$9,$C$9))</f>
        <v>23.799446263869</v>
      </c>
      <c r="F245" s="24" t="n">
        <f aca="false">$B$18*(1+(B245+$B$17)/2)^9</f>
        <v>14439.7730316349</v>
      </c>
      <c r="G245" s="24" t="n">
        <f aca="false">F245*C245</f>
        <v>6481.4935450632</v>
      </c>
      <c r="H245" s="24" t="n">
        <f aca="false">E245*G245/(1+D245)^9</f>
        <v>68031.1416664881</v>
      </c>
      <c r="I245" s="24" t="n">
        <f aca="false">$B$13*G245/$B$12*((1+$B$8)/(1+D245))^4.5</f>
        <v>15565.1387560701</v>
      </c>
      <c r="J245" s="24" t="n">
        <f aca="false">H245+I245-$B$14</f>
        <v>81888.3186280376</v>
      </c>
      <c r="K245" s="43" t="n">
        <f aca="false">J245/$B$15</f>
        <v>296.911960217685</v>
      </c>
    </row>
    <row r="246" customFormat="false" ht="15" hidden="false" customHeight="false" outlineLevel="0" collapsed="false">
      <c r="A246" s="50" t="n">
        <v>206</v>
      </c>
      <c r="B246" s="19" t="n">
        <f aca="true">NORMINV(RAND(),$B$6,$C$6)</f>
        <v>0.150069938691051</v>
      </c>
      <c r="C246" s="19" t="n">
        <f aca="true">MAX(0.25,NORMINV(RAND(),$B$7,$C$7))</f>
        <v>0.450380406819357</v>
      </c>
      <c r="D246" s="32" t="n">
        <f aca="true">MAX(0.07,NORMINV(RAND(),$B$8,$C$8))</f>
        <v>0.096793153667968</v>
      </c>
      <c r="E246" s="51" t="n">
        <f aca="true">MAX(8,NORMINV(RAND(),$B$9,$C$9))</f>
        <v>21.5960974547651</v>
      </c>
      <c r="F246" s="24" t="n">
        <f aca="false">$B$18*(1+(B246+$B$17)/2)^9</f>
        <v>16452.5550291638</v>
      </c>
      <c r="G246" s="24" t="n">
        <f aca="false">F246*C246</f>
        <v>7409.90842725264</v>
      </c>
      <c r="H246" s="24" t="n">
        <f aca="false">E246*G246/(1+D246)^9</f>
        <v>69673.1653768373</v>
      </c>
      <c r="I246" s="24" t="n">
        <f aca="false">$B$13*G246/$B$12*((1+$B$8)/(1+D246))^4.5</f>
        <v>17680.5816785498</v>
      </c>
      <c r="J246" s="24" t="n">
        <f aca="false">H246+I246-$B$14</f>
        <v>85645.7852608665</v>
      </c>
      <c r="K246" s="43" t="n">
        <f aca="false">J246/$B$15</f>
        <v>310.535842135121</v>
      </c>
    </row>
    <row r="247" customFormat="false" ht="15" hidden="false" customHeight="false" outlineLevel="0" collapsed="false">
      <c r="A247" s="50" t="n">
        <v>207</v>
      </c>
      <c r="B247" s="19" t="n">
        <f aca="true">NORMINV(RAND(),$B$6,$C$6)</f>
        <v>0.130431401903397</v>
      </c>
      <c r="C247" s="19" t="n">
        <f aca="true">MAX(0.25,NORMINV(RAND(),$B$7,$C$7))</f>
        <v>0.505179461251665</v>
      </c>
      <c r="D247" s="32" t="n">
        <f aca="true">MAX(0.07,NORMINV(RAND(),$B$8,$C$8))</f>
        <v>0.105593766053557</v>
      </c>
      <c r="E247" s="51" t="n">
        <f aca="true">MAX(8,NORMINV(RAND(),$B$9,$C$9))</f>
        <v>18.8761051467004</v>
      </c>
      <c r="F247" s="24" t="n">
        <f aca="false">$B$18*(1+(B247+$B$17)/2)^9</f>
        <v>15193.5890540744</v>
      </c>
      <c r="G247" s="24" t="n">
        <f aca="false">F247*C247</f>
        <v>7675.48913281651</v>
      </c>
      <c r="H247" s="24" t="n">
        <f aca="false">E247*G247/(1+D247)^9</f>
        <v>58702.7190492958</v>
      </c>
      <c r="I247" s="24" t="n">
        <f aca="false">$B$13*G247/$B$12*((1+$B$8)/(1+D247))^4.5</f>
        <v>17667.3308656042</v>
      </c>
      <c r="J247" s="24" t="n">
        <f aca="false">H247+I247-$B$14</f>
        <v>74662.0881203794</v>
      </c>
      <c r="K247" s="43" t="n">
        <f aca="false">J247/$B$15</f>
        <v>270.710979406742</v>
      </c>
    </row>
    <row r="248" customFormat="false" ht="15" hidden="false" customHeight="false" outlineLevel="0" collapsed="false">
      <c r="A248" s="50" t="n">
        <v>208</v>
      </c>
      <c r="B248" s="19" t="n">
        <f aca="true">NORMINV(RAND(),$B$6,$C$6)</f>
        <v>0.0705736470479633</v>
      </c>
      <c r="C248" s="19" t="n">
        <f aca="true">MAX(0.25,NORMINV(RAND(),$B$7,$C$7))</f>
        <v>0.494174268497873</v>
      </c>
      <c r="D248" s="32" t="n">
        <f aca="true">MAX(0.07,NORMINV(RAND(),$B$8,$C$8))</f>
        <v>0.107845391819771</v>
      </c>
      <c r="E248" s="51" t="n">
        <f aca="true">MAX(8,NORMINV(RAND(),$B$9,$C$9))</f>
        <v>22.0794706585217</v>
      </c>
      <c r="F248" s="24" t="n">
        <f aca="false">$B$18*(1+(B248+$B$17)/2)^9</f>
        <v>11867.4081247584</v>
      </c>
      <c r="G248" s="24" t="n">
        <f aca="false">F248*C248</f>
        <v>5864.56772901819</v>
      </c>
      <c r="H248" s="24" t="n">
        <f aca="false">E248*G248/(1+D248)^9</f>
        <v>51512.4568261134</v>
      </c>
      <c r="I248" s="24" t="n">
        <f aca="false">$B$13*G248/$B$12*((1+$B$8)/(1+D248))^4.5</f>
        <v>13375.955126138</v>
      </c>
      <c r="J248" s="24" t="n">
        <f aca="false">H248+I248-$B$14</f>
        <v>63180.4501577308</v>
      </c>
      <c r="K248" s="43" t="n">
        <f aca="false">J248/$B$15</f>
        <v>229.080674973643</v>
      </c>
    </row>
    <row r="249" customFormat="false" ht="15" hidden="false" customHeight="false" outlineLevel="0" collapsed="false">
      <c r="A249" s="50" t="n">
        <v>209</v>
      </c>
      <c r="B249" s="19" t="n">
        <f aca="true">NORMINV(RAND(),$B$6,$C$6)</f>
        <v>0.145169664705929</v>
      </c>
      <c r="C249" s="19" t="n">
        <f aca="true">MAX(0.25,NORMINV(RAND(),$B$7,$C$7))</f>
        <v>0.493771666037467</v>
      </c>
      <c r="D249" s="32" t="n">
        <f aca="true">MAX(0.07,NORMINV(RAND(),$B$8,$C$8))</f>
        <v>0.0994313136207757</v>
      </c>
      <c r="E249" s="51" t="n">
        <f aca="true">MAX(8,NORMINV(RAND(),$B$9,$C$9))</f>
        <v>24.4848974081181</v>
      </c>
      <c r="F249" s="24" t="n">
        <f aca="false">$B$18*(1+(B249+$B$17)/2)^9</f>
        <v>16130.0300653874</v>
      </c>
      <c r="G249" s="24" t="n">
        <f aca="false">F249*C249</f>
        <v>7964.55181862077</v>
      </c>
      <c r="H249" s="24" t="n">
        <f aca="false">E249*G249/(1+D249)^9</f>
        <v>83089.6081389912</v>
      </c>
      <c r="I249" s="24" t="n">
        <f aca="false">$B$13*G249/$B$12*((1+$B$8)/(1+D249))^4.5</f>
        <v>18799.6549819477</v>
      </c>
      <c r="J249" s="24" t="n">
        <f aca="false">H249+I249-$B$14</f>
        <v>100181.301326418</v>
      </c>
      <c r="K249" s="43" t="n">
        <f aca="false">J249/$B$15</f>
        <v>363.238946071132</v>
      </c>
    </row>
    <row r="250" customFormat="false" ht="15" hidden="false" customHeight="false" outlineLevel="0" collapsed="false">
      <c r="A250" s="50" t="n">
        <v>210</v>
      </c>
      <c r="B250" s="19" t="n">
        <f aca="true">NORMINV(RAND(),$B$6,$C$6)</f>
        <v>0.0971472540763907</v>
      </c>
      <c r="C250" s="19" t="n">
        <f aca="true">MAX(0.25,NORMINV(RAND(),$B$7,$C$7))</f>
        <v>0.5806097894603</v>
      </c>
      <c r="D250" s="32" t="n">
        <f aca="true">MAX(0.07,NORMINV(RAND(),$B$8,$C$8))</f>
        <v>0.106601026818232</v>
      </c>
      <c r="E250" s="51" t="n">
        <f aca="true">MAX(8,NORMINV(RAND(),$B$9,$C$9))</f>
        <v>20.473452256759</v>
      </c>
      <c r="F250" s="24" t="n">
        <f aca="false">$B$18*(1+(B250+$B$17)/2)^9</f>
        <v>13254.3134729856</v>
      </c>
      <c r="G250" s="24" t="n">
        <f aca="false">F250*C250</f>
        <v>7695.58415499099</v>
      </c>
      <c r="H250" s="24" t="n">
        <f aca="false">E250*G250/(1+D250)^9</f>
        <v>63315.9390093302</v>
      </c>
      <c r="I250" s="24" t="n">
        <f aca="false">$B$13*G250/$B$12*((1+$B$8)/(1+D250))^4.5</f>
        <v>17641.1453697857</v>
      </c>
      <c r="J250" s="24" t="n">
        <f aca="false">H250+I250-$B$14</f>
        <v>79249.1225845953</v>
      </c>
      <c r="K250" s="43" t="n">
        <f aca="false">J250/$B$15</f>
        <v>287.342721481491</v>
      </c>
    </row>
    <row r="251" customFormat="false" ht="15" hidden="false" customHeight="false" outlineLevel="0" collapsed="false">
      <c r="A251" s="50" t="n">
        <v>211</v>
      </c>
      <c r="B251" s="19" t="n">
        <f aca="true">NORMINV(RAND(),$B$6,$C$6)</f>
        <v>0.0995262312997877</v>
      </c>
      <c r="C251" s="19" t="n">
        <f aca="true">MAX(0.25,NORMINV(RAND(),$B$7,$C$7))</f>
        <v>0.500547078812879</v>
      </c>
      <c r="D251" s="32" t="n">
        <f aca="true">MAX(0.07,NORMINV(RAND(),$B$8,$C$8))</f>
        <v>0.0995554277939715</v>
      </c>
      <c r="E251" s="51" t="n">
        <f aca="true">MAX(8,NORMINV(RAND(),$B$9,$C$9))</f>
        <v>20.0057560313214</v>
      </c>
      <c r="F251" s="24" t="n">
        <f aca="false">$B$18*(1+(B251+$B$17)/2)^9</f>
        <v>13385.2320084716</v>
      </c>
      <c r="G251" s="24" t="n">
        <f aca="false">F251*C251</f>
        <v>6699.93878107307</v>
      </c>
      <c r="H251" s="24" t="n">
        <f aca="false">E251*G251/(1+D251)^9</f>
        <v>57052.1036186664</v>
      </c>
      <c r="I251" s="24" t="n">
        <f aca="false">$B$13*G251/$B$12*((1+$B$8)/(1+D251))^4.5</f>
        <v>15806.6108405815</v>
      </c>
      <c r="J251" s="24" t="n">
        <f aca="false">H251+I251-$B$14</f>
        <v>71150.7526647273</v>
      </c>
      <c r="K251" s="43" t="n">
        <f aca="false">J251/$B$15</f>
        <v>257.979523802492</v>
      </c>
    </row>
    <row r="252" customFormat="false" ht="15" hidden="false" customHeight="false" outlineLevel="0" collapsed="false">
      <c r="A252" s="50" t="n">
        <v>212</v>
      </c>
      <c r="B252" s="19" t="n">
        <f aca="true">NORMINV(RAND(),$B$6,$C$6)</f>
        <v>0.0882444010957441</v>
      </c>
      <c r="C252" s="19" t="n">
        <f aca="true">MAX(0.25,NORMINV(RAND(),$B$7,$C$7))</f>
        <v>0.501678385189432</v>
      </c>
      <c r="D252" s="32" t="n">
        <f aca="true">MAX(0.07,NORMINV(RAND(),$B$8,$C$8))</f>
        <v>0.111870284055565</v>
      </c>
      <c r="E252" s="51" t="n">
        <f aca="true">MAX(8,NORMINV(RAND(),$B$9,$C$9))</f>
        <v>20.0207554364116</v>
      </c>
      <c r="F252" s="24" t="n">
        <f aca="false">$B$18*(1+(B252+$B$17)/2)^9</f>
        <v>12774.4174297565</v>
      </c>
      <c r="G252" s="24" t="n">
        <f aca="false">F252*C252</f>
        <v>6408.64910789597</v>
      </c>
      <c r="H252" s="24" t="n">
        <f aca="false">E252*G252/(1+D252)^9</f>
        <v>49403.741808221</v>
      </c>
      <c r="I252" s="24" t="n">
        <f aca="false">$B$13*G252/$B$12*((1+$B$8)/(1+D252))^4.5</f>
        <v>14380.2996223432</v>
      </c>
      <c r="J252" s="24" t="n">
        <f aca="false">H252+I252-$B$14</f>
        <v>62076.0796360436</v>
      </c>
      <c r="K252" s="43" t="n">
        <f aca="false">J252/$B$15</f>
        <v>225.076430877606</v>
      </c>
    </row>
    <row r="253" customFormat="false" ht="15" hidden="false" customHeight="false" outlineLevel="0" collapsed="false">
      <c r="A253" s="50" t="n">
        <v>213</v>
      </c>
      <c r="B253" s="19" t="n">
        <f aca="true">NORMINV(RAND(),$B$6,$C$6)</f>
        <v>0.162263059812937</v>
      </c>
      <c r="C253" s="19" t="n">
        <f aca="true">MAX(0.25,NORMINV(RAND(),$B$7,$C$7))</f>
        <v>0.47863439534589</v>
      </c>
      <c r="D253" s="32" t="n">
        <f aca="true">MAX(0.07,NORMINV(RAND(),$B$8,$C$8))</f>
        <v>0.10215987242171</v>
      </c>
      <c r="E253" s="51" t="n">
        <f aca="true">MAX(8,NORMINV(RAND(),$B$9,$C$9))</f>
        <v>23.4985424687764</v>
      </c>
      <c r="F253" s="24" t="n">
        <f aca="false">$B$18*(1+(B253+$B$17)/2)^9</f>
        <v>17280.0924119351</v>
      </c>
      <c r="G253" s="24" t="n">
        <f aca="false">F253*C253</f>
        <v>8270.84658310768</v>
      </c>
      <c r="H253" s="24" t="n">
        <f aca="false">E253*G253/(1+D253)^9</f>
        <v>80982.1931925841</v>
      </c>
      <c r="I253" s="24" t="n">
        <f aca="false">$B$13*G253/$B$12*((1+$B$8)/(1+D253))^4.5</f>
        <v>19306.0881090996</v>
      </c>
      <c r="J253" s="24" t="n">
        <f aca="false">H253+I253-$B$14</f>
        <v>98580.3195071631</v>
      </c>
      <c r="K253" s="43" t="n">
        <f aca="false">J253/$B$15</f>
        <v>357.434080881664</v>
      </c>
    </row>
    <row r="254" customFormat="false" ht="15" hidden="false" customHeight="false" outlineLevel="0" collapsed="false">
      <c r="A254" s="50" t="n">
        <v>214</v>
      </c>
      <c r="B254" s="19" t="n">
        <f aca="true">NORMINV(RAND(),$B$6,$C$6)</f>
        <v>0.155671080080418</v>
      </c>
      <c r="C254" s="19" t="n">
        <f aca="true">MAX(0.25,NORMINV(RAND(),$B$7,$C$7))</f>
        <v>0.546432950442102</v>
      </c>
      <c r="D254" s="32" t="n">
        <f aca="true">MAX(0.07,NORMINV(RAND(),$B$8,$C$8))</f>
        <v>0.0948372556368382</v>
      </c>
      <c r="E254" s="51" t="n">
        <f aca="true">MAX(8,NORMINV(RAND(),$B$9,$C$9))</f>
        <v>18.2721083833394</v>
      </c>
      <c r="F254" s="24" t="n">
        <f aca="false">$B$18*(1+(B254+$B$17)/2)^9</f>
        <v>16828.2200209833</v>
      </c>
      <c r="G254" s="24" t="n">
        <f aca="false">F254*C254</f>
        <v>9195.49391675477</v>
      </c>
      <c r="H254" s="24" t="n">
        <f aca="false">E254*G254/(1+D254)^9</f>
        <v>74339.1545775378</v>
      </c>
      <c r="I254" s="24" t="n">
        <f aca="false">$B$13*G254/$B$12*((1+$B$8)/(1+D254))^4.5</f>
        <v>22118.0586389246</v>
      </c>
      <c r="J254" s="24" t="n">
        <f aca="false">H254+I254-$B$14</f>
        <v>94749.2514219418</v>
      </c>
      <c r="K254" s="43" t="n">
        <f aca="false">J254/$B$15</f>
        <v>343.543333654611</v>
      </c>
    </row>
    <row r="255" customFormat="false" ht="15" hidden="false" customHeight="false" outlineLevel="0" collapsed="false">
      <c r="A255" s="50" t="n">
        <v>215</v>
      </c>
      <c r="B255" s="19" t="n">
        <f aca="true">NORMINV(RAND(),$B$6,$C$6)</f>
        <v>0.140112374809297</v>
      </c>
      <c r="C255" s="19" t="n">
        <f aca="true">MAX(0.25,NORMINV(RAND(),$B$7,$C$7))</f>
        <v>0.50407715577324</v>
      </c>
      <c r="D255" s="32" t="n">
        <f aca="true">MAX(0.07,NORMINV(RAND(),$B$8,$C$8))</f>
        <v>0.095229642572331</v>
      </c>
      <c r="E255" s="51" t="n">
        <f aca="true">MAX(8,NORMINV(RAND(),$B$9,$C$9))</f>
        <v>15.471619853535</v>
      </c>
      <c r="F255" s="24" t="n">
        <f aca="false">$B$18*(1+(B255+$B$17)/2)^9</f>
        <v>15803.0756495601</v>
      </c>
      <c r="G255" s="24" t="n">
        <f aca="false">F255*C255</f>
        <v>7965.96942589958</v>
      </c>
      <c r="H255" s="24" t="n">
        <f aca="false">E255*G255/(1+D255)^9</f>
        <v>54353.5250833154</v>
      </c>
      <c r="I255" s="24" t="n">
        <f aca="false">$B$13*G255/$B$12*((1+$B$8)/(1+D255))^4.5</f>
        <v>19129.7933749271</v>
      </c>
      <c r="J255" s="24" t="n">
        <f aca="false">H255+I255-$B$14</f>
        <v>71775.356663722</v>
      </c>
      <c r="K255" s="43" t="n">
        <f aca="false">J255/$B$15</f>
        <v>260.244222856135</v>
      </c>
    </row>
    <row r="256" customFormat="false" ht="15" hidden="false" customHeight="false" outlineLevel="0" collapsed="false">
      <c r="A256" s="50" t="n">
        <v>216</v>
      </c>
      <c r="B256" s="19" t="n">
        <f aca="true">NORMINV(RAND(),$B$6,$C$6)</f>
        <v>0.110487469323501</v>
      </c>
      <c r="C256" s="19" t="n">
        <f aca="true">MAX(0.25,NORMINV(RAND(),$B$7,$C$7))</f>
        <v>0.513883420426401</v>
      </c>
      <c r="D256" s="32" t="n">
        <f aca="true">MAX(0.07,NORMINV(RAND(),$B$8,$C$8))</f>
        <v>0.107465474677112</v>
      </c>
      <c r="E256" s="51" t="n">
        <f aca="true">MAX(8,NORMINV(RAND(),$B$9,$C$9))</f>
        <v>20.2757767376244</v>
      </c>
      <c r="F256" s="24" t="n">
        <f aca="false">$B$18*(1+(B256+$B$17)/2)^9</f>
        <v>14003.4149881844</v>
      </c>
      <c r="G256" s="24" t="n">
        <f aca="false">F256*C256</f>
        <v>7196.12279177852</v>
      </c>
      <c r="H256" s="24" t="n">
        <f aca="false">E256*G256/(1+D256)^9</f>
        <v>58224.3035369553</v>
      </c>
      <c r="I256" s="24" t="n">
        <f aca="false">$B$13*G256/$B$12*((1+$B$8)/(1+D256))^4.5</f>
        <v>16438.3294624706</v>
      </c>
      <c r="J256" s="24" t="n">
        <f aca="false">H256+I256-$B$14</f>
        <v>72954.6712049054</v>
      </c>
      <c r="K256" s="43" t="n">
        <f aca="false">J256/$B$15</f>
        <v>264.520200162819</v>
      </c>
    </row>
    <row r="257" customFormat="false" ht="15" hidden="false" customHeight="false" outlineLevel="0" collapsed="false">
      <c r="A257" s="50" t="n">
        <v>217</v>
      </c>
      <c r="B257" s="19" t="n">
        <f aca="true">NORMINV(RAND(),$B$6,$C$6)</f>
        <v>0.131004487385997</v>
      </c>
      <c r="C257" s="19" t="n">
        <f aca="true">MAX(0.25,NORMINV(RAND(),$B$7,$C$7))</f>
        <v>0.503502010474752</v>
      </c>
      <c r="D257" s="32" t="n">
        <f aca="true">MAX(0.07,NORMINV(RAND(),$B$8,$C$8))</f>
        <v>0.100870985158011</v>
      </c>
      <c r="E257" s="51" t="n">
        <f aca="true">MAX(8,NORMINV(RAND(),$B$9,$C$9))</f>
        <v>23.8450496473337</v>
      </c>
      <c r="F257" s="24" t="n">
        <f aca="false">$B$18*(1+(B257+$B$17)/2)^9</f>
        <v>15229.0782105823</v>
      </c>
      <c r="G257" s="24" t="n">
        <f aca="false">F257*C257</f>
        <v>7667.87149670544</v>
      </c>
      <c r="H257" s="24" t="n">
        <f aca="false">E257*G257/(1+D257)^9</f>
        <v>76991.9337489104</v>
      </c>
      <c r="I257" s="24" t="n">
        <f aca="false">$B$13*G257/$B$12*((1+$B$8)/(1+D257))^4.5</f>
        <v>17993.0964597674</v>
      </c>
      <c r="J257" s="24" t="n">
        <f aca="false">H257+I257-$B$14</f>
        <v>93277.0684141573</v>
      </c>
      <c r="K257" s="43" t="n">
        <f aca="false">J257/$B$15</f>
        <v>338.205469231897</v>
      </c>
    </row>
    <row r="258" customFormat="false" ht="15" hidden="false" customHeight="false" outlineLevel="0" collapsed="false">
      <c r="A258" s="50" t="n">
        <v>218</v>
      </c>
      <c r="B258" s="19" t="n">
        <f aca="true">NORMINV(RAND(),$B$6,$C$6)</f>
        <v>0.144404440533117</v>
      </c>
      <c r="C258" s="19" t="n">
        <f aca="true">MAX(0.25,NORMINV(RAND(),$B$7,$C$7))</f>
        <v>0.513336291812428</v>
      </c>
      <c r="D258" s="32" t="n">
        <f aca="true">MAX(0.07,NORMINV(RAND(),$B$8,$C$8))</f>
        <v>0.106726138148756</v>
      </c>
      <c r="E258" s="51" t="n">
        <f aca="true">MAX(8,NORMINV(RAND(),$B$9,$C$9))</f>
        <v>16.3014982466629</v>
      </c>
      <c r="F258" s="24" t="n">
        <f aca="false">$B$18*(1+(B258+$B$17)/2)^9</f>
        <v>16080.1753893617</v>
      </c>
      <c r="G258" s="24" t="n">
        <f aca="false">F258*C258</f>
        <v>8254.5376060684</v>
      </c>
      <c r="H258" s="24" t="n">
        <f aca="false">E258*G258/(1+D258)^9</f>
        <v>54020.5210379566</v>
      </c>
      <c r="I258" s="24" t="n">
        <f aca="false">$B$13*G258/$B$12*((1+$B$8)/(1+D258))^4.5</f>
        <v>18912.8507616466</v>
      </c>
      <c r="J258" s="24" t="n">
        <f aca="false">H258+I258-$B$14</f>
        <v>71225.4100050827</v>
      </c>
      <c r="K258" s="43" t="n">
        <f aca="false">J258/$B$15</f>
        <v>258.250217567378</v>
      </c>
    </row>
    <row r="259" customFormat="false" ht="15" hidden="false" customHeight="false" outlineLevel="0" collapsed="false">
      <c r="A259" s="50" t="n">
        <v>219</v>
      </c>
      <c r="B259" s="19" t="n">
        <f aca="true">NORMINV(RAND(),$B$6,$C$6)</f>
        <v>0.101260099281846</v>
      </c>
      <c r="C259" s="19" t="n">
        <f aca="true">MAX(0.25,NORMINV(RAND(),$B$7,$C$7))</f>
        <v>0.495823565230894</v>
      </c>
      <c r="D259" s="32" t="n">
        <f aca="true">MAX(0.07,NORMINV(RAND(),$B$8,$C$8))</f>
        <v>0.0983224849912347</v>
      </c>
      <c r="E259" s="51" t="n">
        <f aca="true">MAX(8,NORMINV(RAND(),$B$9,$C$9))</f>
        <v>18.6983818956249</v>
      </c>
      <c r="F259" s="24" t="n">
        <f aca="false">$B$18*(1+(B259+$B$17)/2)^9</f>
        <v>13481.3721316379</v>
      </c>
      <c r="G259" s="24" t="n">
        <f aca="false">F259*C259</f>
        <v>6684.38199451312</v>
      </c>
      <c r="H259" s="24" t="n">
        <f aca="false">E259*G259/(1+D259)^9</f>
        <v>53739.8456418075</v>
      </c>
      <c r="I259" s="24" t="n">
        <f aca="false">$B$13*G259/$B$12*((1+$B$8)/(1+D259))^4.5</f>
        <v>15849.7282967711</v>
      </c>
      <c r="J259" s="24" t="n">
        <f aca="false">H259+I259-$B$14</f>
        <v>67881.612144058</v>
      </c>
      <c r="K259" s="43" t="n">
        <f aca="false">J259/$B$15</f>
        <v>246.126222422255</v>
      </c>
    </row>
    <row r="260" customFormat="false" ht="15" hidden="false" customHeight="false" outlineLevel="0" collapsed="false">
      <c r="A260" s="50" t="n">
        <v>220</v>
      </c>
      <c r="B260" s="19" t="n">
        <f aca="true">NORMINV(RAND(),$B$6,$C$6)</f>
        <v>0.0552766885428413</v>
      </c>
      <c r="C260" s="19" t="n">
        <f aca="true">MAX(0.25,NORMINV(RAND(),$B$7,$C$7))</f>
        <v>0.50698555952974</v>
      </c>
      <c r="D260" s="32" t="n">
        <f aca="true">MAX(0.07,NORMINV(RAND(),$B$8,$C$8))</f>
        <v>0.0956652993576721</v>
      </c>
      <c r="E260" s="51" t="n">
        <f aca="true">MAX(8,NORMINV(RAND(),$B$9,$C$9))</f>
        <v>16.1142052791004</v>
      </c>
      <c r="F260" s="24" t="n">
        <f aca="false">$B$18*(1+(B260+$B$17)/2)^9</f>
        <v>11128.9561140001</v>
      </c>
      <c r="G260" s="24" t="n">
        <f aca="false">F260*C260</f>
        <v>5642.22004243825</v>
      </c>
      <c r="H260" s="24" t="n">
        <f aca="false">E260*G260/(1+D260)^9</f>
        <v>39953.7681036547</v>
      </c>
      <c r="I260" s="24" t="n">
        <f aca="false">$B$13*G260/$B$12*((1+$B$8)/(1+D260))^4.5</f>
        <v>13525.2229540014</v>
      </c>
      <c r="J260" s="24" t="n">
        <f aca="false">H260+I260-$B$14</f>
        <v>51771.0292631355</v>
      </c>
      <c r="K260" s="43" t="n">
        <f aca="false">J260/$B$15</f>
        <v>187.71221632754</v>
      </c>
    </row>
    <row r="261" customFormat="false" ht="15" hidden="false" customHeight="false" outlineLevel="0" collapsed="false">
      <c r="A261" s="50" t="n">
        <v>221</v>
      </c>
      <c r="B261" s="19" t="n">
        <f aca="true">NORMINV(RAND(),$B$6,$C$6)</f>
        <v>0.112483542283453</v>
      </c>
      <c r="C261" s="19" t="n">
        <f aca="true">MAX(0.25,NORMINV(RAND(),$B$7,$C$7))</f>
        <v>0.501633393342933</v>
      </c>
      <c r="D261" s="32" t="n">
        <f aca="true">MAX(0.07,NORMINV(RAND(),$B$8,$C$8))</f>
        <v>0.0972020703024213</v>
      </c>
      <c r="E261" s="51" t="n">
        <f aca="true">MAX(8,NORMINV(RAND(),$B$9,$C$9))</f>
        <v>20.2622259426135</v>
      </c>
      <c r="F261" s="24" t="n">
        <f aca="false">$B$18*(1+(B261+$B$17)/2)^9</f>
        <v>14118.6794916085</v>
      </c>
      <c r="G261" s="24" t="n">
        <f aca="false">F261*C261</f>
        <v>7082.40110289686</v>
      </c>
      <c r="H261" s="24" t="n">
        <f aca="false">E261*G261/(1+D261)^9</f>
        <v>62271.3250570727</v>
      </c>
      <c r="I261" s="24" t="n">
        <f aca="false">$B$13*G261/$B$12*((1+$B$8)/(1+D261))^4.5</f>
        <v>16870.8021718014</v>
      </c>
      <c r="J261" s="24" t="n">
        <f aca="false">H261+I261-$B$14</f>
        <v>77434.1654343536</v>
      </c>
      <c r="K261" s="43" t="n">
        <f aca="false">J261/$B$15</f>
        <v>280.762021154291</v>
      </c>
    </row>
    <row r="262" customFormat="false" ht="15" hidden="false" customHeight="false" outlineLevel="0" collapsed="false">
      <c r="A262" s="50" t="n">
        <v>222</v>
      </c>
      <c r="B262" s="19" t="n">
        <f aca="true">NORMINV(RAND(),$B$6,$C$6)</f>
        <v>0.0911105472151589</v>
      </c>
      <c r="C262" s="19" t="n">
        <f aca="true">MAX(0.25,NORMINV(RAND(),$B$7,$C$7))</f>
        <v>0.553401623933452</v>
      </c>
      <c r="D262" s="32" t="n">
        <f aca="true">MAX(0.07,NORMINV(RAND(),$B$8,$C$8))</f>
        <v>0.108174843445027</v>
      </c>
      <c r="E262" s="51" t="n">
        <f aca="true">MAX(8,NORMINV(RAND(),$B$9,$C$9))</f>
        <v>22.8605249992002</v>
      </c>
      <c r="F262" s="24" t="n">
        <f aca="false">$B$18*(1+(B262+$B$17)/2)^9</f>
        <v>12927.1990273835</v>
      </c>
      <c r="G262" s="24" t="n">
        <f aca="false">F262*C262</f>
        <v>7153.93293466497</v>
      </c>
      <c r="H262" s="24" t="n">
        <f aca="false">E262*G262/(1+D262)^9</f>
        <v>64886.8185351418</v>
      </c>
      <c r="I262" s="24" t="n">
        <f aca="false">$B$13*G262/$B$12*((1+$B$8)/(1+D262))^4.5</f>
        <v>16294.9326410161</v>
      </c>
      <c r="J262" s="24" t="n">
        <f aca="false">H262+I262-$B$14</f>
        <v>79473.7893816374</v>
      </c>
      <c r="K262" s="43" t="n">
        <f aca="false">J262/$B$15</f>
        <v>288.157321905864</v>
      </c>
    </row>
    <row r="263" customFormat="false" ht="15" hidden="false" customHeight="false" outlineLevel="0" collapsed="false">
      <c r="A263" s="50" t="n">
        <v>223</v>
      </c>
      <c r="B263" s="19" t="n">
        <f aca="true">NORMINV(RAND(),$B$6,$C$6)</f>
        <v>0.141019227066052</v>
      </c>
      <c r="C263" s="19" t="n">
        <f aca="true">MAX(0.25,NORMINV(RAND(),$B$7,$C$7))</f>
        <v>0.526932292575134</v>
      </c>
      <c r="D263" s="32" t="n">
        <f aca="true">MAX(0.07,NORMINV(RAND(),$B$8,$C$8))</f>
        <v>0.0988729322812854</v>
      </c>
      <c r="E263" s="51" t="n">
        <f aca="true">MAX(8,NORMINV(RAND(),$B$9,$C$9))</f>
        <v>19.5639105036455</v>
      </c>
      <c r="F263" s="24" t="n">
        <f aca="false">$B$18*(1+(B263+$B$17)/2)^9</f>
        <v>15861.2665922765</v>
      </c>
      <c r="G263" s="24" t="n">
        <f aca="false">F263*C263</f>
        <v>8357.81356861365</v>
      </c>
      <c r="H263" s="24" t="n">
        <f aca="false">E263*G263/(1+D263)^9</f>
        <v>69987.5940503869</v>
      </c>
      <c r="I263" s="24" t="n">
        <f aca="false">$B$13*G263/$B$12*((1+$B$8)/(1+D263))^4.5</f>
        <v>19773.0668612845</v>
      </c>
      <c r="J263" s="24" t="n">
        <f aca="false">H263+I263-$B$14</f>
        <v>88052.6991171508</v>
      </c>
      <c r="K263" s="43" t="n">
        <f aca="false">J263/$B$15</f>
        <v>319.262868445072</v>
      </c>
    </row>
    <row r="264" customFormat="false" ht="15" hidden="false" customHeight="false" outlineLevel="0" collapsed="false">
      <c r="A264" s="50" t="n">
        <v>224</v>
      </c>
      <c r="B264" s="19" t="n">
        <f aca="true">NORMINV(RAND(),$B$6,$C$6)</f>
        <v>0.101262333083404</v>
      </c>
      <c r="C264" s="19" t="n">
        <f aca="true">MAX(0.25,NORMINV(RAND(),$B$7,$C$7))</f>
        <v>0.48943602729342</v>
      </c>
      <c r="D264" s="32" t="n">
        <f aca="true">MAX(0.07,NORMINV(RAND(),$B$8,$C$8))</f>
        <v>0.0954259279359256</v>
      </c>
      <c r="E264" s="51" t="n">
        <f aca="true">MAX(8,NORMINV(RAND(),$B$9,$C$9))</f>
        <v>15.3473362821755</v>
      </c>
      <c r="F264" s="24" t="n">
        <f aca="false">$B$18*(1+(B264+$B$17)/2)^9</f>
        <v>13481.4963871089</v>
      </c>
      <c r="G264" s="24" t="n">
        <f aca="false">F264*C264</f>
        <v>6598.33003367715</v>
      </c>
      <c r="H264" s="24" t="n">
        <f aca="false">E264*G264/(1+D264)^9</f>
        <v>44588.1956466416</v>
      </c>
      <c r="I264" s="24" t="n">
        <f aca="false">$B$13*G264/$B$12*((1+$B$8)/(1+D264))^4.5</f>
        <v>15832.7173379765</v>
      </c>
      <c r="J264" s="24" t="n">
        <f aca="false">H264+I264-$B$14</f>
        <v>58712.9511900976</v>
      </c>
      <c r="K264" s="43" t="n">
        <f aca="false">J264/$B$15</f>
        <v>212.882346592087</v>
      </c>
    </row>
    <row r="265" customFormat="false" ht="15" hidden="false" customHeight="false" outlineLevel="0" collapsed="false">
      <c r="A265" s="50" t="n">
        <v>225</v>
      </c>
      <c r="B265" s="19" t="n">
        <f aca="true">NORMINV(RAND(),$B$6,$C$6)</f>
        <v>0.149175755067613</v>
      </c>
      <c r="C265" s="19" t="n">
        <f aca="true">MAX(0.25,NORMINV(RAND(),$B$7,$C$7))</f>
        <v>0.490676902332025</v>
      </c>
      <c r="D265" s="32" t="n">
        <f aca="true">MAX(0.07,NORMINV(RAND(),$B$8,$C$8))</f>
        <v>0.0831055547352351</v>
      </c>
      <c r="E265" s="51" t="n">
        <f aca="true">MAX(8,NORMINV(RAND(),$B$9,$C$9))</f>
        <v>19.5770673588493</v>
      </c>
      <c r="F265" s="24" t="n">
        <f aca="false">$B$18*(1+(B265+$B$17)/2)^9</f>
        <v>16393.277835814</v>
      </c>
      <c r="G265" s="24" t="n">
        <f aca="false">F265*C265</f>
        <v>8043.80278754547</v>
      </c>
      <c r="H265" s="24" t="n">
        <f aca="false">E265*G265/(1+D265)^9</f>
        <v>76766.5461160866</v>
      </c>
      <c r="I265" s="24" t="n">
        <f aca="false">$B$13*G265/$B$12*((1+$B$8)/(1+D265))^4.5</f>
        <v>20308.9694862394</v>
      </c>
      <c r="J265" s="24" t="n">
        <f aca="false">H265+I265-$B$14</f>
        <v>95367.5538078054</v>
      </c>
      <c r="K265" s="43" t="n">
        <f aca="false">J265/$B$15</f>
        <v>345.785184219744</v>
      </c>
    </row>
    <row r="266" customFormat="false" ht="15" hidden="false" customHeight="false" outlineLevel="0" collapsed="false">
      <c r="A266" s="50" t="n">
        <v>226</v>
      </c>
      <c r="B266" s="19" t="n">
        <f aca="true">NORMINV(RAND(),$B$6,$C$6)</f>
        <v>0.11495108018975</v>
      </c>
      <c r="C266" s="19" t="n">
        <f aca="true">MAX(0.25,NORMINV(RAND(),$B$7,$C$7))</f>
        <v>0.533910180852459</v>
      </c>
      <c r="D266" s="32" t="n">
        <f aca="true">MAX(0.07,NORMINV(RAND(),$B$8,$C$8))</f>
        <v>0.0986708688274913</v>
      </c>
      <c r="E266" s="51" t="n">
        <f aca="true">MAX(8,NORMINV(RAND(),$B$9,$C$9))</f>
        <v>19.2480597711585</v>
      </c>
      <c r="F266" s="24" t="n">
        <f aca="false">$B$18*(1+(B266+$B$17)/2)^9</f>
        <v>14262.3342197942</v>
      </c>
      <c r="G266" s="24" t="n">
        <f aca="false">F266*C266</f>
        <v>7614.80544266851</v>
      </c>
      <c r="H266" s="24" t="n">
        <f aca="false">E266*G266/(1+D266)^9</f>
        <v>62840.1605293191</v>
      </c>
      <c r="I266" s="24" t="n">
        <f aca="false">$B$13*G266/$B$12*((1+$B$8)/(1+D266))^4.5</f>
        <v>18030.1594014912</v>
      </c>
      <c r="J266" s="24" t="n">
        <f aca="false">H266+I266-$B$14</f>
        <v>79162.3581362898</v>
      </c>
      <c r="K266" s="43" t="n">
        <f aca="false">J266/$B$15</f>
        <v>287.028129573204</v>
      </c>
    </row>
    <row r="267" customFormat="false" ht="15" hidden="false" customHeight="false" outlineLevel="0" collapsed="false">
      <c r="A267" s="50" t="n">
        <v>227</v>
      </c>
      <c r="B267" s="19" t="n">
        <f aca="true">NORMINV(RAND(),$B$6,$C$6)</f>
        <v>0.143221457551025</v>
      </c>
      <c r="C267" s="19" t="n">
        <f aca="true">MAX(0.25,NORMINV(RAND(),$B$7,$C$7))</f>
        <v>0.492331925858153</v>
      </c>
      <c r="D267" s="32" t="n">
        <f aca="true">MAX(0.07,NORMINV(RAND(),$B$8,$C$8))</f>
        <v>0.0926047230929037</v>
      </c>
      <c r="E267" s="51" t="n">
        <f aca="true">MAX(8,NORMINV(RAND(),$B$9,$C$9))</f>
        <v>20.710752567318</v>
      </c>
      <c r="F267" s="24" t="n">
        <f aca="false">$B$18*(1+(B267+$B$17)/2)^9</f>
        <v>16003.3730705736</v>
      </c>
      <c r="G267" s="24" t="n">
        <f aca="false">F267*C267</f>
        <v>7878.97148406199</v>
      </c>
      <c r="H267" s="24" t="n">
        <f aca="false">E267*G267/(1+D267)^9</f>
        <v>73535.6180516653</v>
      </c>
      <c r="I267" s="24" t="n">
        <f aca="false">$B$13*G267/$B$12*((1+$B$8)/(1+D267))^4.5</f>
        <v>19126.2881563882</v>
      </c>
      <c r="J267" s="24" t="n">
        <f aca="false">H267+I267-$B$14</f>
        <v>90953.9444135329</v>
      </c>
      <c r="K267" s="43" t="n">
        <f aca="false">J267/$B$15</f>
        <v>329.782249505195</v>
      </c>
    </row>
    <row r="268" customFormat="false" ht="15" hidden="false" customHeight="false" outlineLevel="0" collapsed="false">
      <c r="A268" s="50" t="n">
        <v>228</v>
      </c>
      <c r="B268" s="19" t="n">
        <f aca="true">NORMINV(RAND(),$B$6,$C$6)</f>
        <v>0.0971654026665308</v>
      </c>
      <c r="C268" s="19" t="n">
        <f aca="true">MAX(0.25,NORMINV(RAND(),$B$7,$C$7))</f>
        <v>0.497267693514291</v>
      </c>
      <c r="D268" s="32" t="n">
        <f aca="true">MAX(0.07,NORMINV(RAND(),$B$8,$C$8))</f>
        <v>0.0921313865940478</v>
      </c>
      <c r="E268" s="51" t="n">
        <f aca="true">MAX(8,NORMINV(RAND(),$B$9,$C$9))</f>
        <v>15.62786770805</v>
      </c>
      <c r="F268" s="24" t="n">
        <f aca="false">$B$18*(1+(B268+$B$17)/2)^9</f>
        <v>13255.3078917643</v>
      </c>
      <c r="G268" s="24" t="n">
        <f aca="false">F268*C268</f>
        <v>6591.43638215942</v>
      </c>
      <c r="H268" s="24" t="n">
        <f aca="false">E268*G268/(1+D268)^9</f>
        <v>46602.1330392888</v>
      </c>
      <c r="I268" s="24" t="n">
        <f aca="false">$B$13*G268/$B$12*((1+$B$8)/(1+D268))^4.5</f>
        <v>16032.0132759443</v>
      </c>
      <c r="J268" s="24" t="n">
        <f aca="false">H268+I268-$B$14</f>
        <v>60926.1845207125</v>
      </c>
      <c r="K268" s="43" t="n">
        <f aca="false">J268/$B$15</f>
        <v>220.907122990256</v>
      </c>
    </row>
    <row r="269" customFormat="false" ht="15" hidden="false" customHeight="false" outlineLevel="0" collapsed="false">
      <c r="A269" s="50" t="n">
        <v>229</v>
      </c>
      <c r="B269" s="19" t="n">
        <f aca="true">NORMINV(RAND(),$B$6,$C$6)</f>
        <v>0.109089250499264</v>
      </c>
      <c r="C269" s="19" t="n">
        <f aca="true">MAX(0.25,NORMINV(RAND(),$B$7,$C$7))</f>
        <v>0.481996376337541</v>
      </c>
      <c r="D269" s="32" t="n">
        <f aca="true">MAX(0.07,NORMINV(RAND(),$B$8,$C$8))</f>
        <v>0.0925697149943068</v>
      </c>
      <c r="E269" s="51" t="n">
        <f aca="true">MAX(8,NORMINV(RAND(),$B$9,$C$9))</f>
        <v>17.3595199608726</v>
      </c>
      <c r="F269" s="24" t="n">
        <f aca="false">$B$18*(1+(B269+$B$17)/2)^9</f>
        <v>13923.1729019608</v>
      </c>
      <c r="G269" s="24" t="n">
        <f aca="false">F269*C269</f>
        <v>6710.91888586618</v>
      </c>
      <c r="H269" s="24" t="n">
        <f aca="false">E269*G269/(1+D269)^9</f>
        <v>52514.2633972382</v>
      </c>
      <c r="I269" s="24" t="n">
        <f aca="false">$B$13*G269/$B$12*((1+$B$8)/(1+D269))^4.5</f>
        <v>16293.176979579</v>
      </c>
      <c r="J269" s="24" t="n">
        <f aca="false">H269+I269-$B$14</f>
        <v>67099.4785822966</v>
      </c>
      <c r="K269" s="43" t="n">
        <f aca="false">J269/$B$15</f>
        <v>243.290350189618</v>
      </c>
    </row>
    <row r="270" customFormat="false" ht="15" hidden="false" customHeight="false" outlineLevel="0" collapsed="false">
      <c r="A270" s="50" t="n">
        <v>230</v>
      </c>
      <c r="B270" s="19" t="n">
        <f aca="true">NORMINV(RAND(),$B$6,$C$6)</f>
        <v>0.126848182232702</v>
      </c>
      <c r="C270" s="19" t="n">
        <f aca="true">MAX(0.25,NORMINV(RAND(),$B$7,$C$7))</f>
        <v>0.487797185276545</v>
      </c>
      <c r="D270" s="32" t="n">
        <f aca="true">MAX(0.07,NORMINV(RAND(),$B$8,$C$8))</f>
        <v>0.101151936990315</v>
      </c>
      <c r="E270" s="51" t="n">
        <f aca="true">MAX(8,NORMINV(RAND(),$B$9,$C$9))</f>
        <v>19.7885725965646</v>
      </c>
      <c r="F270" s="24" t="n">
        <f aca="false">$B$18*(1+(B270+$B$17)/2)^9</f>
        <v>14973.3548595699</v>
      </c>
      <c r="G270" s="24" t="n">
        <f aca="false">F270*C270</f>
        <v>7303.96035464507</v>
      </c>
      <c r="H270" s="24" t="n">
        <f aca="false">E270*G270/(1+D270)^9</f>
        <v>60722.2215470755</v>
      </c>
      <c r="I270" s="24" t="n">
        <f aca="false">$B$13*G270/$B$12*((1+$B$8)/(1+D270))^4.5</f>
        <v>17119.4888007008</v>
      </c>
      <c r="J270" s="24" t="n">
        <f aca="false">H270+I270-$B$14</f>
        <v>76133.7485532558</v>
      </c>
      <c r="K270" s="43" t="n">
        <f aca="false">J270/$B$15</f>
        <v>276.046949069093</v>
      </c>
    </row>
    <row r="271" customFormat="false" ht="15" hidden="false" customHeight="false" outlineLevel="0" collapsed="false">
      <c r="A271" s="50" t="n">
        <v>231</v>
      </c>
      <c r="B271" s="19" t="n">
        <f aca="true">NORMINV(RAND(),$B$6,$C$6)</f>
        <v>0.137674774008078</v>
      </c>
      <c r="C271" s="19" t="n">
        <f aca="true">MAX(0.25,NORMINV(RAND(),$B$7,$C$7))</f>
        <v>0.503533637098353</v>
      </c>
      <c r="D271" s="32" t="n">
        <f aca="true">MAX(0.07,NORMINV(RAND(),$B$8,$C$8))</f>
        <v>0.0866712708107702</v>
      </c>
      <c r="E271" s="51" t="n">
        <f aca="true">MAX(8,NORMINV(RAND(),$B$9,$C$9))</f>
        <v>23.4133970767835</v>
      </c>
      <c r="F271" s="24" t="n">
        <f aca="false">$B$18*(1+(B271+$B$17)/2)^9</f>
        <v>15647.5990271543</v>
      </c>
      <c r="G271" s="24" t="n">
        <f aca="false">F271*C271</f>
        <v>7879.09244999963</v>
      </c>
      <c r="H271" s="24" t="n">
        <f aca="false">E271*G271/(1+D271)^9</f>
        <v>87308.5866792165</v>
      </c>
      <c r="I271" s="24" t="n">
        <f aca="false">$B$13*G271/$B$12*((1+$B$8)/(1+D271))^4.5</f>
        <v>19601.0510048379</v>
      </c>
      <c r="J271" s="24" t="n">
        <f aca="false">H271+I271-$B$14</f>
        <v>105201.675889534</v>
      </c>
      <c r="K271" s="43" t="n">
        <f aca="false">J271/$B$15</f>
        <v>381.441899526954</v>
      </c>
    </row>
    <row r="272" customFormat="false" ht="15" hidden="false" customHeight="false" outlineLevel="0" collapsed="false">
      <c r="A272" s="50" t="n">
        <v>232</v>
      </c>
      <c r="B272" s="19" t="n">
        <f aca="true">NORMINV(RAND(),$B$6,$C$6)</f>
        <v>0.128296068478122</v>
      </c>
      <c r="C272" s="19" t="n">
        <f aca="true">MAX(0.25,NORMINV(RAND(),$B$7,$C$7))</f>
        <v>0.513738228337859</v>
      </c>
      <c r="D272" s="32" t="n">
        <f aca="true">MAX(0.07,NORMINV(RAND(),$B$8,$C$8))</f>
        <v>0.0946182923682257</v>
      </c>
      <c r="E272" s="51" t="n">
        <f aca="true">MAX(8,NORMINV(RAND(),$B$9,$C$9))</f>
        <v>18.6035657572622</v>
      </c>
      <c r="F272" s="24" t="n">
        <f aca="false">$B$18*(1+(B272+$B$17)/2)^9</f>
        <v>15062.0017696165</v>
      </c>
      <c r="G272" s="24" t="n">
        <f aca="false">F272*C272</f>
        <v>7737.92610434449</v>
      </c>
      <c r="H272" s="24" t="n">
        <f aca="false">E272*G272/(1+D272)^9</f>
        <v>63805.2564708365</v>
      </c>
      <c r="I272" s="24" t="n">
        <f aca="false">$B$13*G272/$B$12*((1+$B$8)/(1+D272))^4.5</f>
        <v>18628.9088756746</v>
      </c>
      <c r="J272" s="24" t="n">
        <f aca="false">H272+I272-$B$14</f>
        <v>80726.2035519906</v>
      </c>
      <c r="K272" s="43" t="n">
        <f aca="false">J272/$B$15</f>
        <v>292.698345003592</v>
      </c>
    </row>
    <row r="273" customFormat="false" ht="15" hidden="false" customHeight="false" outlineLevel="0" collapsed="false">
      <c r="A273" s="50" t="n">
        <v>233</v>
      </c>
      <c r="B273" s="19" t="n">
        <f aca="true">NORMINV(RAND(),$B$6,$C$6)</f>
        <v>0.124672069027968</v>
      </c>
      <c r="C273" s="19" t="n">
        <f aca="true">MAX(0.25,NORMINV(RAND(),$B$7,$C$7))</f>
        <v>0.531446565244514</v>
      </c>
      <c r="D273" s="32" t="n">
        <f aca="true">MAX(0.07,NORMINV(RAND(),$B$8,$C$8))</f>
        <v>0.0811384603008937</v>
      </c>
      <c r="E273" s="51" t="n">
        <f aca="true">MAX(8,NORMINV(RAND(),$B$9,$C$9))</f>
        <v>25.517955028554</v>
      </c>
      <c r="F273" s="24" t="n">
        <f aca="false">$B$18*(1+(B273+$B$17)/2)^9</f>
        <v>14840.9944100709</v>
      </c>
      <c r="G273" s="24" t="n">
        <f aca="false">F273*C273</f>
        <v>7887.1955040452</v>
      </c>
      <c r="H273" s="24" t="n">
        <f aca="false">E273*G273/(1+D273)^9</f>
        <v>99732.480159634</v>
      </c>
      <c r="I273" s="24" t="n">
        <f aca="false">$B$13*G273/$B$12*((1+$B$8)/(1+D273))^4.5</f>
        <v>20077.1320603642</v>
      </c>
      <c r="J273" s="24" t="n">
        <f aca="false">H273+I273-$B$14</f>
        <v>118101.650425478</v>
      </c>
      <c r="K273" s="43" t="n">
        <f aca="false">J273/$B$15</f>
        <v>428.21483112936</v>
      </c>
    </row>
    <row r="274" customFormat="false" ht="15" hidden="false" customHeight="false" outlineLevel="0" collapsed="false">
      <c r="A274" s="50" t="n">
        <v>234</v>
      </c>
      <c r="B274" s="19" t="n">
        <f aca="true">NORMINV(RAND(),$B$6,$C$6)</f>
        <v>0.0873511422948116</v>
      </c>
      <c r="C274" s="19" t="n">
        <f aca="true">MAX(0.25,NORMINV(RAND(),$B$7,$C$7))</f>
        <v>0.480051321245727</v>
      </c>
      <c r="D274" s="32" t="n">
        <f aca="true">MAX(0.07,NORMINV(RAND(),$B$8,$C$8))</f>
        <v>0.0845150160758634</v>
      </c>
      <c r="E274" s="51" t="n">
        <f aca="true">MAX(8,NORMINV(RAND(),$B$9,$C$9))</f>
        <v>20.2000683910843</v>
      </c>
      <c r="F274" s="24" t="n">
        <f aca="false">$B$18*(1+(B274+$B$17)/2)^9</f>
        <v>12727.1309362356</v>
      </c>
      <c r="G274" s="24" t="n">
        <f aca="false">F274*C274</f>
        <v>6109.67602160725</v>
      </c>
      <c r="H274" s="24" t="n">
        <f aca="false">E274*G274/(1+D274)^9</f>
        <v>59463.5584653007</v>
      </c>
      <c r="I274" s="24" t="n">
        <f aca="false">$B$13*G274/$B$12*((1+$B$8)/(1+D274))^4.5</f>
        <v>15335.6827321712</v>
      </c>
      <c r="J274" s="24" t="n">
        <f aca="false">H274+I274-$B$14</f>
        <v>73091.2794029514</v>
      </c>
      <c r="K274" s="43" t="n">
        <f aca="false">J274/$B$15</f>
        <v>265.015516326873</v>
      </c>
    </row>
    <row r="275" customFormat="false" ht="15" hidden="false" customHeight="false" outlineLevel="0" collapsed="false">
      <c r="A275" s="50" t="n">
        <v>235</v>
      </c>
      <c r="B275" s="19" t="n">
        <f aca="true">NORMINV(RAND(),$B$6,$C$6)</f>
        <v>0.125303581871024</v>
      </c>
      <c r="C275" s="19" t="n">
        <f aca="true">MAX(0.25,NORMINV(RAND(),$B$7,$C$7))</f>
        <v>0.485919202484585</v>
      </c>
      <c r="D275" s="32" t="n">
        <f aca="true">MAX(0.07,NORMINV(RAND(),$B$8,$C$8))</f>
        <v>0.108103177754121</v>
      </c>
      <c r="E275" s="51" t="n">
        <f aca="true">MAX(8,NORMINV(RAND(),$B$9,$C$9))</f>
        <v>19.6352345201027</v>
      </c>
      <c r="F275" s="24" t="n">
        <f aca="false">$B$18*(1+(B275+$B$17)/2)^9</f>
        <v>14879.2981648179</v>
      </c>
      <c r="G275" s="24" t="n">
        <f aca="false">F275*C275</f>
        <v>7230.13669777865</v>
      </c>
      <c r="H275" s="24" t="n">
        <f aca="false">E275*G275/(1+D275)^9</f>
        <v>56358.67812378</v>
      </c>
      <c r="I275" s="24" t="n">
        <f aca="false">$B$13*G275/$B$12*((1+$B$8)/(1+D275))^4.5</f>
        <v>16473.2998582294</v>
      </c>
      <c r="J275" s="24" t="n">
        <f aca="false">H275+I275-$B$14</f>
        <v>71124.0161874888</v>
      </c>
      <c r="K275" s="43" t="n">
        <f aca="false">J275/$B$15</f>
        <v>257.882582260656</v>
      </c>
    </row>
    <row r="276" customFormat="false" ht="15" hidden="false" customHeight="false" outlineLevel="0" collapsed="false">
      <c r="A276" s="50" t="n">
        <v>236</v>
      </c>
      <c r="B276" s="19" t="n">
        <f aca="true">NORMINV(RAND(),$B$6,$C$6)</f>
        <v>0.0857382909464468</v>
      </c>
      <c r="C276" s="19" t="n">
        <f aca="true">MAX(0.25,NORMINV(RAND(),$B$7,$C$7))</f>
        <v>0.515219836744039</v>
      </c>
      <c r="D276" s="32" t="n">
        <f aca="true">MAX(0.07,NORMINV(RAND(),$B$8,$C$8))</f>
        <v>0.0951877167075434</v>
      </c>
      <c r="E276" s="51" t="n">
        <f aca="true">MAX(8,NORMINV(RAND(),$B$9,$C$9))</f>
        <v>17.8740639457948</v>
      </c>
      <c r="F276" s="24" t="n">
        <f aca="false">$B$18*(1+(B276+$B$17)/2)^9</f>
        <v>12642.1452724925</v>
      </c>
      <c r="G276" s="24" t="n">
        <f aca="false">F276*C276</f>
        <v>6513.48402338802</v>
      </c>
      <c r="H276" s="24" t="n">
        <f aca="false">E276*G276/(1+D276)^9</f>
        <v>51361.7226552877</v>
      </c>
      <c r="I276" s="24" t="n">
        <f aca="false">$B$13*G276/$B$12*((1+$B$8)/(1+D276))^4.5</f>
        <v>15644.4323634712</v>
      </c>
      <c r="J276" s="24" t="n">
        <f aca="false">H276+I276-$B$14</f>
        <v>65298.1932242384</v>
      </c>
      <c r="K276" s="43" t="n">
        <f aca="false">J276/$B$15</f>
        <v>236.759221262648</v>
      </c>
    </row>
    <row r="277" customFormat="false" ht="15" hidden="false" customHeight="false" outlineLevel="0" collapsed="false">
      <c r="A277" s="50" t="n">
        <v>237</v>
      </c>
      <c r="B277" s="19" t="n">
        <f aca="true">NORMINV(RAND(),$B$6,$C$6)</f>
        <v>0.171821366152512</v>
      </c>
      <c r="C277" s="19" t="n">
        <f aca="true">MAX(0.25,NORMINV(RAND(),$B$7,$C$7))</f>
        <v>0.543123832952165</v>
      </c>
      <c r="D277" s="32" t="n">
        <f aca="true">MAX(0.07,NORMINV(RAND(),$B$8,$C$8))</f>
        <v>0.0843067322805613</v>
      </c>
      <c r="E277" s="51" t="n">
        <f aca="true">MAX(8,NORMINV(RAND(),$B$9,$C$9))</f>
        <v>21.8020611403261</v>
      </c>
      <c r="F277" s="24" t="n">
        <f aca="false">$B$18*(1+(B277+$B$17)/2)^9</f>
        <v>17954.4630308323</v>
      </c>
      <c r="G277" s="24" t="n">
        <f aca="false">F277*C277</f>
        <v>9751.4967799036</v>
      </c>
      <c r="H277" s="24" t="n">
        <f aca="false">E277*G277/(1+D277)^9</f>
        <v>102612.30578999</v>
      </c>
      <c r="I277" s="24" t="n">
        <f aca="false">$B$13*G277/$B$12*((1+$B$8)/(1+D277))^4.5</f>
        <v>24498.0538210067</v>
      </c>
      <c r="J277" s="24" t="n">
        <f aca="false">H277+I277-$B$14</f>
        <v>125402.397816476</v>
      </c>
      <c r="K277" s="43" t="n">
        <f aca="false">J277/$B$15</f>
        <v>454.685996433923</v>
      </c>
    </row>
    <row r="278" customFormat="false" ht="15" hidden="false" customHeight="false" outlineLevel="0" collapsed="false">
      <c r="A278" s="50" t="n">
        <v>238</v>
      </c>
      <c r="B278" s="19" t="n">
        <f aca="true">NORMINV(RAND(),$B$6,$C$6)</f>
        <v>0.130514283967386</v>
      </c>
      <c r="C278" s="19" t="n">
        <f aca="true">MAX(0.25,NORMINV(RAND(),$B$7,$C$7))</f>
        <v>0.51694224446309</v>
      </c>
      <c r="D278" s="32" t="n">
        <f aca="true">MAX(0.07,NORMINV(RAND(),$B$8,$C$8))</f>
        <v>0.0917041125902547</v>
      </c>
      <c r="E278" s="51" t="n">
        <f aca="true">MAX(8,NORMINV(RAND(),$B$9,$C$9))</f>
        <v>15.3784473158455</v>
      </c>
      <c r="F278" s="24" t="n">
        <f aca="false">$B$18*(1+(B278+$B$17)/2)^9</f>
        <v>15198.7170956669</v>
      </c>
      <c r="G278" s="24" t="n">
        <f aca="false">F278*C278</f>
        <v>7856.85892839359</v>
      </c>
      <c r="H278" s="24" t="n">
        <f aca="false">E278*G278/(1+D278)^9</f>
        <v>54855.0894209277</v>
      </c>
      <c r="I278" s="24" t="n">
        <f aca="false">$B$13*G278/$B$12*((1+$B$8)/(1+D278))^4.5</f>
        <v>19143.5154719923</v>
      </c>
      <c r="J278" s="24" t="n">
        <f aca="false">H278+I278-$B$14</f>
        <v>72290.6430983994</v>
      </c>
      <c r="K278" s="43" t="n">
        <f aca="false">J278/$B$15</f>
        <v>262.112556556923</v>
      </c>
    </row>
    <row r="279" customFormat="false" ht="15" hidden="false" customHeight="false" outlineLevel="0" collapsed="false">
      <c r="A279" s="50" t="n">
        <v>239</v>
      </c>
      <c r="B279" s="19" t="n">
        <f aca="true">NORMINV(RAND(),$B$6,$C$6)</f>
        <v>0.199213649244808</v>
      </c>
      <c r="C279" s="19" t="n">
        <f aca="true">MAX(0.25,NORMINV(RAND(),$B$7,$C$7))</f>
        <v>0.508066109105632</v>
      </c>
      <c r="D279" s="32" t="n">
        <f aca="true">MAX(0.07,NORMINV(RAND(),$B$8,$C$8))</f>
        <v>0.106901768706855</v>
      </c>
      <c r="E279" s="51" t="n">
        <f aca="true">MAX(8,NORMINV(RAND(),$B$9,$C$9))</f>
        <v>18.4882078537454</v>
      </c>
      <c r="F279" s="24" t="n">
        <f aca="false">$B$18*(1+(B279+$B$17)/2)^9</f>
        <v>20018.536966825</v>
      </c>
      <c r="G279" s="24" t="n">
        <f aca="false">F279*C279</f>
        <v>10170.740186722</v>
      </c>
      <c r="H279" s="24" t="n">
        <f aca="false">E279*G279/(1+D279)^9</f>
        <v>75381.6505986683</v>
      </c>
      <c r="I279" s="24" t="n">
        <f aca="false">$B$13*G279/$B$12*((1+$B$8)/(1+D279))^4.5</f>
        <v>23286.6325799885</v>
      </c>
      <c r="J279" s="24" t="n">
        <f aca="false">H279+I279-$B$14</f>
        <v>96960.3213841362</v>
      </c>
      <c r="K279" s="43" t="n">
        <f aca="false">J279/$B$15</f>
        <v>351.560266077361</v>
      </c>
    </row>
    <row r="280" customFormat="false" ht="15" hidden="false" customHeight="false" outlineLevel="0" collapsed="false">
      <c r="A280" s="50" t="n">
        <v>240</v>
      </c>
      <c r="B280" s="19" t="n">
        <f aca="true">NORMINV(RAND(),$B$6,$C$6)</f>
        <v>0.155376224160274</v>
      </c>
      <c r="C280" s="19" t="n">
        <f aca="true">MAX(0.25,NORMINV(RAND(),$B$7,$C$7))</f>
        <v>0.519653192892288</v>
      </c>
      <c r="D280" s="32" t="n">
        <f aca="true">MAX(0.07,NORMINV(RAND(),$B$8,$C$8))</f>
        <v>0.104838748363747</v>
      </c>
      <c r="E280" s="51" t="n">
        <f aca="true">MAX(8,NORMINV(RAND(),$B$9,$C$9))</f>
        <v>18.5834407566294</v>
      </c>
      <c r="F280" s="24" t="n">
        <f aca="false">$B$18*(1+(B280+$B$17)/2)^9</f>
        <v>16808.2557464657</v>
      </c>
      <c r="G280" s="24" t="n">
        <f aca="false">F280*C280</f>
        <v>8734.46376560104</v>
      </c>
      <c r="H280" s="24" t="n">
        <f aca="false">E280*G280/(1+D280)^9</f>
        <v>66171.7012289418</v>
      </c>
      <c r="I280" s="24" t="n">
        <f aca="false">$B$13*G280/$B$12*((1+$B$8)/(1+D280))^4.5</f>
        <v>20166.7635791322</v>
      </c>
      <c r="J280" s="24" t="n">
        <f aca="false">H280+I280-$B$14</f>
        <v>84630.5030135534</v>
      </c>
      <c r="K280" s="43" t="n">
        <f aca="false">J280/$B$15</f>
        <v>306.854615712667</v>
      </c>
    </row>
    <row r="281" customFormat="false" ht="15" hidden="false" customHeight="false" outlineLevel="0" collapsed="false">
      <c r="A281" s="50" t="n">
        <v>241</v>
      </c>
      <c r="B281" s="19" t="n">
        <f aca="true">NORMINV(RAND(),$B$6,$C$6)</f>
        <v>0.127059005145715</v>
      </c>
      <c r="C281" s="19" t="n">
        <f aca="true">MAX(0.25,NORMINV(RAND(),$B$7,$C$7))</f>
        <v>0.437930838882449</v>
      </c>
      <c r="D281" s="32" t="n">
        <f aca="true">MAX(0.07,NORMINV(RAND(),$B$8,$C$8))</f>
        <v>0.117457312608332</v>
      </c>
      <c r="E281" s="51" t="n">
        <f aca="true">MAX(8,NORMINV(RAND(),$B$9,$C$9))</f>
        <v>21.5188730702865</v>
      </c>
      <c r="F281" s="24" t="n">
        <f aca="false">$B$18*(1+(B281+$B$17)/2)^9</f>
        <v>14986.233586627</v>
      </c>
      <c r="G281" s="24" t="n">
        <f aca="false">F281*C281</f>
        <v>6562.9338462799</v>
      </c>
      <c r="H281" s="24" t="n">
        <f aca="false">E281*G281/(1+D281)^9</f>
        <v>51980.3349507673</v>
      </c>
      <c r="I281" s="24" t="n">
        <f aca="false">$B$13*G281/$B$12*((1+$B$8)/(1+D281))^4.5</f>
        <v>14398.0535695143</v>
      </c>
      <c r="J281" s="24" t="n">
        <f aca="false">H281+I281-$B$14</f>
        <v>64670.4267257611</v>
      </c>
      <c r="K281" s="43" t="n">
        <f aca="false">J281/$B$15</f>
        <v>234.483055568387</v>
      </c>
    </row>
    <row r="282" customFormat="false" ht="15" hidden="false" customHeight="false" outlineLevel="0" collapsed="false">
      <c r="A282" s="50" t="n">
        <v>242</v>
      </c>
      <c r="B282" s="19" t="n">
        <f aca="true">NORMINV(RAND(),$B$6,$C$6)</f>
        <v>0.144447503617886</v>
      </c>
      <c r="C282" s="19" t="n">
        <f aca="true">MAX(0.25,NORMINV(RAND(),$B$7,$C$7))</f>
        <v>0.492937390092166</v>
      </c>
      <c r="D282" s="32" t="n">
        <f aca="true">MAX(0.07,NORMINV(RAND(),$B$8,$C$8))</f>
        <v>0.102300814869907</v>
      </c>
      <c r="E282" s="51" t="n">
        <f aca="true">MAX(8,NORMINV(RAND(),$B$9,$C$9))</f>
        <v>21.5238887704654</v>
      </c>
      <c r="F282" s="24" t="n">
        <f aca="false">$B$18*(1+(B282+$B$17)/2)^9</f>
        <v>16082.9773259673</v>
      </c>
      <c r="G282" s="24" t="n">
        <f aca="false">F282*C282</f>
        <v>7927.90086797379</v>
      </c>
      <c r="H282" s="24" t="n">
        <f aca="false">E282*G282/(1+D282)^9</f>
        <v>71019.5300070124</v>
      </c>
      <c r="I282" s="24" t="n">
        <f aca="false">$B$13*G282/$B$12*((1+$B$8)/(1+D282))^4.5</f>
        <v>18494.9273528319</v>
      </c>
      <c r="J282" s="24" t="n">
        <f aca="false">H282+I282-$B$14</f>
        <v>87806.4955653237</v>
      </c>
      <c r="K282" s="43" t="n">
        <f aca="false">J282/$B$15</f>
        <v>318.370179714734</v>
      </c>
    </row>
    <row r="283" customFormat="false" ht="15" hidden="false" customHeight="false" outlineLevel="0" collapsed="false">
      <c r="A283" s="50" t="n">
        <v>243</v>
      </c>
      <c r="B283" s="19" t="n">
        <f aca="true">NORMINV(RAND(),$B$6,$C$6)</f>
        <v>0.124026161999061</v>
      </c>
      <c r="C283" s="19" t="n">
        <f aca="true">MAX(0.25,NORMINV(RAND(),$B$7,$C$7))</f>
        <v>0.540836654553623</v>
      </c>
      <c r="D283" s="32" t="n">
        <f aca="true">MAX(0.07,NORMINV(RAND(),$B$8,$C$8))</f>
        <v>0.101668570777194</v>
      </c>
      <c r="E283" s="51" t="n">
        <f aca="true">MAX(8,NORMINV(RAND(),$B$9,$C$9))</f>
        <v>19.4095167752592</v>
      </c>
      <c r="F283" s="24" t="n">
        <f aca="false">$B$18*(1+(B283+$B$17)/2)^9</f>
        <v>14801.9082841435</v>
      </c>
      <c r="G283" s="24" t="n">
        <f aca="false">F283*C283</f>
        <v>8005.41455740571</v>
      </c>
      <c r="H283" s="24" t="n">
        <f aca="false">E283*G283/(1+D283)^9</f>
        <v>65003.974644616</v>
      </c>
      <c r="I283" s="24" t="n">
        <f aca="false">$B$13*G283/$B$12*((1+$B$8)/(1+D283))^4.5</f>
        <v>18724.0376042337</v>
      </c>
      <c r="J283" s="24" t="n">
        <f aca="false">H283+I283-$B$14</f>
        <v>82020.050454329</v>
      </c>
      <c r="K283" s="43" t="n">
        <f aca="false">J283/$B$15</f>
        <v>297.389595555943</v>
      </c>
    </row>
    <row r="284" customFormat="false" ht="15" hidden="false" customHeight="false" outlineLevel="0" collapsed="false">
      <c r="A284" s="50" t="n">
        <v>244</v>
      </c>
      <c r="B284" s="19" t="n">
        <f aca="true">NORMINV(RAND(),$B$6,$C$6)</f>
        <v>0.160514235943557</v>
      </c>
      <c r="C284" s="19" t="n">
        <f aca="true">MAX(0.25,NORMINV(RAND(),$B$7,$C$7))</f>
        <v>0.511108823971564</v>
      </c>
      <c r="D284" s="32" t="n">
        <f aca="true">MAX(0.07,NORMINV(RAND(),$B$8,$C$8))</f>
        <v>0.0788310508083623</v>
      </c>
      <c r="E284" s="51" t="n">
        <f aca="true">MAX(8,NORMINV(RAND(),$B$9,$C$9))</f>
        <v>19.8156098619566</v>
      </c>
      <c r="F284" s="24" t="n">
        <f aca="false">$B$18*(1+(B284+$B$17)/2)^9</f>
        <v>17159.1736912928</v>
      </c>
      <c r="G284" s="24" t="n">
        <f aca="false">F284*C284</f>
        <v>8770.20508568048</v>
      </c>
      <c r="H284" s="24" t="n">
        <f aca="false">E284*G284/(1+D284)^9</f>
        <v>87788.2218016521</v>
      </c>
      <c r="I284" s="24" t="n">
        <f aca="false">$B$13*G284/$B$12*((1+$B$8)/(1+D284))^4.5</f>
        <v>22540.5379166032</v>
      </c>
      <c r="J284" s="24" t="n">
        <f aca="false">H284+I284-$B$14</f>
        <v>108620.797923735</v>
      </c>
      <c r="K284" s="43" t="n">
        <f aca="false">J284/$B$15</f>
        <v>393.839006249945</v>
      </c>
    </row>
    <row r="285" customFormat="false" ht="15" hidden="false" customHeight="false" outlineLevel="0" collapsed="false">
      <c r="A285" s="50" t="n">
        <v>245</v>
      </c>
      <c r="B285" s="19" t="n">
        <f aca="true">NORMINV(RAND(),$B$6,$C$6)</f>
        <v>0.136289182916856</v>
      </c>
      <c r="C285" s="19" t="n">
        <f aca="true">MAX(0.25,NORMINV(RAND(),$B$7,$C$7))</f>
        <v>0.456424655812889</v>
      </c>
      <c r="D285" s="32" t="n">
        <f aca="true">MAX(0.07,NORMINV(RAND(),$B$8,$C$8))</f>
        <v>0.0962300132850602</v>
      </c>
      <c r="E285" s="51" t="n">
        <f aca="true">MAX(8,NORMINV(RAND(),$B$9,$C$9))</f>
        <v>25.0233287545868</v>
      </c>
      <c r="F285" s="24" t="n">
        <f aca="false">$B$18*(1+(B285+$B$17)/2)^9</f>
        <v>15559.8297966</v>
      </c>
      <c r="G285" s="24" t="n">
        <f aca="false">F285*C285</f>
        <v>7101.88995942028</v>
      </c>
      <c r="H285" s="24" t="n">
        <f aca="false">E285*G285/(1+D285)^9</f>
        <v>77732.7130575934</v>
      </c>
      <c r="I285" s="24" t="n">
        <f aca="false">$B$13*G285/$B$12*((1+$B$8)/(1+D285))^4.5</f>
        <v>16984.8352388492</v>
      </c>
      <c r="J285" s="24" t="n">
        <f aca="false">H285+I285-$B$14</f>
        <v>93009.5865019221</v>
      </c>
      <c r="K285" s="43" t="n">
        <f aca="false">J285/$B$15</f>
        <v>337.235629086012</v>
      </c>
    </row>
    <row r="286" customFormat="false" ht="15" hidden="false" customHeight="false" outlineLevel="0" collapsed="false">
      <c r="A286" s="50" t="n">
        <v>246</v>
      </c>
      <c r="B286" s="19" t="n">
        <f aca="true">NORMINV(RAND(),$B$6,$C$6)</f>
        <v>0.120796825960676</v>
      </c>
      <c r="C286" s="19" t="n">
        <f aca="true">MAX(0.25,NORMINV(RAND(),$B$7,$C$7))</f>
        <v>0.505141876076529</v>
      </c>
      <c r="D286" s="32" t="n">
        <f aca="true">MAX(0.07,NORMINV(RAND(),$B$8,$C$8))</f>
        <v>0.0968409395825846</v>
      </c>
      <c r="E286" s="51" t="n">
        <f aca="true">MAX(8,NORMINV(RAND(),$B$9,$C$9))</f>
        <v>16.8552148454906</v>
      </c>
      <c r="F286" s="24" t="n">
        <f aca="false">$B$18*(1+(B286+$B$17)/2)^9</f>
        <v>14607.8587308094</v>
      </c>
      <c r="G286" s="24" t="n">
        <f aca="false">F286*C286</f>
        <v>7379.04116474197</v>
      </c>
      <c r="H286" s="24" t="n">
        <f aca="false">E286*G286/(1+D286)^9</f>
        <v>54130.4149927303</v>
      </c>
      <c r="I286" s="24" t="n">
        <f aca="false">$B$13*G286/$B$12*((1+$B$8)/(1+D286))^4.5</f>
        <v>17603.4785492924</v>
      </c>
      <c r="J286" s="24" t="n">
        <f aca="false">H286+I286-$B$14</f>
        <v>70025.9317475022</v>
      </c>
      <c r="K286" s="43" t="n">
        <f aca="false">J286/$B$15</f>
        <v>253.901130339022</v>
      </c>
    </row>
    <row r="287" customFormat="false" ht="15" hidden="false" customHeight="false" outlineLevel="0" collapsed="false">
      <c r="A287" s="50" t="n">
        <v>247</v>
      </c>
      <c r="B287" s="19" t="n">
        <f aca="true">NORMINV(RAND(),$B$6,$C$6)</f>
        <v>0.118835611393396</v>
      </c>
      <c r="C287" s="19" t="n">
        <f aca="true">MAX(0.25,NORMINV(RAND(),$B$7,$C$7))</f>
        <v>0.516409238801454</v>
      </c>
      <c r="D287" s="32" t="n">
        <f aca="true">MAX(0.07,NORMINV(RAND(),$B$8,$C$8))</f>
        <v>0.0982219185194267</v>
      </c>
      <c r="E287" s="51" t="n">
        <f aca="true">MAX(8,NORMINV(RAND(),$B$9,$C$9))</f>
        <v>21.0197385998131</v>
      </c>
      <c r="F287" s="24" t="n">
        <f aca="false">$B$18*(1+(B287+$B$17)/2)^9</f>
        <v>14491.1168667561</v>
      </c>
      <c r="G287" s="24" t="n">
        <f aca="false">F287*C287</f>
        <v>7483.34663054444</v>
      </c>
      <c r="H287" s="24" t="n">
        <f aca="false">E287*G287/(1+D287)^9</f>
        <v>67688.0820478007</v>
      </c>
      <c r="I287" s="24" t="n">
        <f aca="false">$B$13*G287/$B$12*((1+$B$8)/(1+D287))^4.5</f>
        <v>17751.5130808555</v>
      </c>
      <c r="J287" s="24" t="n">
        <f aca="false">H287+I287-$B$14</f>
        <v>83731.6333341357</v>
      </c>
      <c r="K287" s="43" t="n">
        <f aca="false">J287/$B$15</f>
        <v>303.595479819201</v>
      </c>
    </row>
    <row r="288" customFormat="false" ht="15" hidden="false" customHeight="false" outlineLevel="0" collapsed="false">
      <c r="A288" s="50" t="n">
        <v>248</v>
      </c>
      <c r="B288" s="19" t="n">
        <f aca="true">NORMINV(RAND(),$B$6,$C$6)</f>
        <v>0.150905531237193</v>
      </c>
      <c r="C288" s="19" t="n">
        <f aca="true">MAX(0.25,NORMINV(RAND(),$B$7,$C$7))</f>
        <v>0.537212275028182</v>
      </c>
      <c r="D288" s="32" t="n">
        <f aca="true">MAX(0.07,NORMINV(RAND(),$B$8,$C$8))</f>
        <v>0.0888989789323709</v>
      </c>
      <c r="E288" s="51" t="n">
        <f aca="true">MAX(8,NORMINV(RAND(),$B$9,$C$9))</f>
        <v>15.7946014484655</v>
      </c>
      <c r="F288" s="24" t="n">
        <f aca="false">$B$18*(1+(B288+$B$17)/2)^9</f>
        <v>16508.1202347678</v>
      </c>
      <c r="G288" s="24" t="n">
        <f aca="false">F288*C288</f>
        <v>8868.36482775839</v>
      </c>
      <c r="H288" s="24" t="n">
        <f aca="false">E288*G288/(1+D288)^9</f>
        <v>65082.4521013959</v>
      </c>
      <c r="I288" s="24" t="n">
        <f aca="false">$B$13*G288/$B$12*((1+$B$8)/(1+D288))^4.5</f>
        <v>21859.7097000076</v>
      </c>
      <c r="J288" s="24" t="n">
        <f aca="false">H288+I288-$B$14</f>
        <v>85234.2000068829</v>
      </c>
      <c r="K288" s="43" t="n">
        <f aca="false">J288/$B$15</f>
        <v>309.043509814659</v>
      </c>
    </row>
    <row r="289" customFormat="false" ht="15" hidden="false" customHeight="false" outlineLevel="0" collapsed="false">
      <c r="A289" s="50" t="n">
        <v>249</v>
      </c>
      <c r="B289" s="19" t="n">
        <f aca="true">NORMINV(RAND(),$B$6,$C$6)</f>
        <v>0.15178765958581</v>
      </c>
      <c r="C289" s="19" t="n">
        <f aca="true">MAX(0.25,NORMINV(RAND(),$B$7,$C$7))</f>
        <v>0.551241611414462</v>
      </c>
      <c r="D289" s="32" t="n">
        <f aca="true">MAX(0.07,NORMINV(RAND(),$B$8,$C$8))</f>
        <v>0.0894101161096455</v>
      </c>
      <c r="E289" s="51" t="n">
        <f aca="true">MAX(8,NORMINV(RAND(),$B$9,$C$9))</f>
        <v>23.1335310973101</v>
      </c>
      <c r="F289" s="24" t="n">
        <f aca="false">$B$18*(1+(B289+$B$17)/2)^9</f>
        <v>16566.9609203474</v>
      </c>
      <c r="G289" s="24" t="n">
        <f aca="false">F289*C289</f>
        <v>9132.39823397272</v>
      </c>
      <c r="H289" s="24" t="n">
        <f aca="false">E289*G289/(1+D289)^9</f>
        <v>97747.1573077925</v>
      </c>
      <c r="I289" s="24" t="n">
        <f aca="false">$B$13*G289/$B$12*((1+$B$8)/(1+D289))^4.5</f>
        <v>22463.039528584</v>
      </c>
      <c r="J289" s="24" t="n">
        <f aca="false">H289+I289-$B$14</f>
        <v>118502.235041856</v>
      </c>
      <c r="K289" s="43" t="n">
        <f aca="false">J289/$B$15</f>
        <v>429.66727716409</v>
      </c>
    </row>
    <row r="290" customFormat="false" ht="15" hidden="false" customHeight="false" outlineLevel="0" collapsed="false">
      <c r="A290" s="50" t="n">
        <v>250</v>
      </c>
      <c r="B290" s="19" t="n">
        <f aca="true">NORMINV(RAND(),$B$6,$C$6)</f>
        <v>0.137449100732208</v>
      </c>
      <c r="C290" s="19" t="n">
        <f aca="true">MAX(0.25,NORMINV(RAND(),$B$7,$C$7))</f>
        <v>0.480682233051285</v>
      </c>
      <c r="D290" s="32" t="n">
        <f aca="true">MAX(0.07,NORMINV(RAND(),$B$8,$C$8))</f>
        <v>0.0892668128059925</v>
      </c>
      <c r="E290" s="51" t="n">
        <f aca="true">MAX(8,NORMINV(RAND(),$B$9,$C$9))</f>
        <v>20.5548369423712</v>
      </c>
      <c r="F290" s="24" t="n">
        <f aca="false">$B$18*(1+(B290+$B$17)/2)^9</f>
        <v>15633.2739911051</v>
      </c>
      <c r="G290" s="24" t="n">
        <f aca="false">F290*C290</f>
        <v>7514.63705194696</v>
      </c>
      <c r="H290" s="24" t="n">
        <f aca="false">E290*G290/(1+D290)^9</f>
        <v>71550.6523343779</v>
      </c>
      <c r="I290" s="24" t="n">
        <f aca="false">$B$13*G290/$B$12*((1+$B$8)/(1+D290))^4.5</f>
        <v>18494.7635106794</v>
      </c>
      <c r="J290" s="24" t="n">
        <f aca="false">H290+I290-$B$14</f>
        <v>88337.4540505368</v>
      </c>
      <c r="K290" s="43" t="n">
        <f aca="false">J290/$B$15</f>
        <v>320.295337384107</v>
      </c>
    </row>
    <row r="291" customFormat="false" ht="15" hidden="false" customHeight="false" outlineLevel="0" collapsed="false">
      <c r="A291" s="50" t="n">
        <v>251</v>
      </c>
      <c r="B291" s="19" t="n">
        <f aca="true">NORMINV(RAND(),$B$6,$C$6)</f>
        <v>0.138007982358233</v>
      </c>
      <c r="C291" s="19" t="n">
        <f aca="true">MAX(0.25,NORMINV(RAND(),$B$7,$C$7))</f>
        <v>0.494365417137317</v>
      </c>
      <c r="D291" s="32" t="n">
        <f aca="true">MAX(0.07,NORMINV(RAND(),$B$8,$C$8))</f>
        <v>0.0925683849409341</v>
      </c>
      <c r="E291" s="51" t="n">
        <f aca="true">MAX(8,NORMINV(RAND(),$B$9,$C$9))</f>
        <v>20.5809513182418</v>
      </c>
      <c r="F291" s="24" t="n">
        <f aca="false">$B$18*(1+(B291+$B$17)/2)^9</f>
        <v>15668.7713868772</v>
      </c>
      <c r="G291" s="24" t="n">
        <f aca="false">F291*C291</f>
        <v>7746.0987027028</v>
      </c>
      <c r="H291" s="24" t="n">
        <f aca="false">E291*G291/(1+D291)^9</f>
        <v>71863.9041151911</v>
      </c>
      <c r="I291" s="24" t="n">
        <f aca="false">$B$13*G291/$B$12*((1+$B$8)/(1+D291))^4.5</f>
        <v>18806.5525154199</v>
      </c>
      <c r="J291" s="24" t="n">
        <f aca="false">H291+I291-$B$14</f>
        <v>88962.4948360904</v>
      </c>
      <c r="K291" s="43" t="n">
        <f aca="false">J291/$B$15</f>
        <v>322.561620145361</v>
      </c>
    </row>
    <row r="292" customFormat="false" ht="15" hidden="false" customHeight="false" outlineLevel="0" collapsed="false">
      <c r="A292" s="50" t="n">
        <v>252</v>
      </c>
      <c r="B292" s="19" t="n">
        <f aca="true">NORMINV(RAND(),$B$6,$C$6)</f>
        <v>0.0853964760240995</v>
      </c>
      <c r="C292" s="19" t="n">
        <f aca="true">MAX(0.25,NORMINV(RAND(),$B$7,$C$7))</f>
        <v>0.487424985491419</v>
      </c>
      <c r="D292" s="32" t="n">
        <f aca="true">MAX(0.07,NORMINV(RAND(),$B$8,$C$8))</f>
        <v>0.0876656696779045</v>
      </c>
      <c r="E292" s="51" t="n">
        <f aca="true">MAX(8,NORMINV(RAND(),$B$9,$C$9))</f>
        <v>20.7666187528424</v>
      </c>
      <c r="F292" s="24" t="n">
        <f aca="false">$B$18*(1+(B292+$B$17)/2)^9</f>
        <v>12624.1990037124</v>
      </c>
      <c r="G292" s="24" t="n">
        <f aca="false">F292*C292</f>
        <v>6153.3500162253</v>
      </c>
      <c r="H292" s="24" t="n">
        <f aca="false">E292*G292/(1+D292)^9</f>
        <v>59981.6793043866</v>
      </c>
      <c r="I292" s="24" t="n">
        <f aca="false">$B$13*G292/$B$12*((1+$B$8)/(1+D292))^4.5</f>
        <v>15244.9927392724</v>
      </c>
      <c r="J292" s="24" t="n">
        <f aca="false">H292+I292-$B$14</f>
        <v>73518.7102491384</v>
      </c>
      <c r="K292" s="43" t="n">
        <f aca="false">J292/$B$15</f>
        <v>266.565301846042</v>
      </c>
    </row>
    <row r="293" customFormat="false" ht="15" hidden="false" customHeight="false" outlineLevel="0" collapsed="false">
      <c r="A293" s="50" t="n">
        <v>253</v>
      </c>
      <c r="B293" s="19" t="n">
        <f aca="true">NORMINV(RAND(),$B$6,$C$6)</f>
        <v>0.135183224209169</v>
      </c>
      <c r="C293" s="19" t="n">
        <f aca="true">MAX(0.25,NORMINV(RAND(),$B$7,$C$7))</f>
        <v>0.497944886278997</v>
      </c>
      <c r="D293" s="32" t="n">
        <f aca="true">MAX(0.07,NORMINV(RAND(),$B$8,$C$8))</f>
        <v>0.0894267530665771</v>
      </c>
      <c r="E293" s="51" t="n">
        <f aca="true">MAX(8,NORMINV(RAND(),$B$9,$C$9))</f>
        <v>18.0402668542838</v>
      </c>
      <c r="F293" s="24" t="n">
        <f aca="false">$B$18*(1+(B293+$B$17)/2)^9</f>
        <v>15490.088004039</v>
      </c>
      <c r="G293" s="24" t="n">
        <f aca="false">F293*C293</f>
        <v>7713.21010962285</v>
      </c>
      <c r="H293" s="24" t="n">
        <f aca="false">E293*G293/(1+D293)^9</f>
        <v>64371.8209787408</v>
      </c>
      <c r="I293" s="24" t="n">
        <f aca="false">$B$13*G293/$B$12*((1+$B$8)/(1+D293))^4.5</f>
        <v>18970.9463764774</v>
      </c>
      <c r="J293" s="24" t="n">
        <f aca="false">H293+I293-$B$14</f>
        <v>81634.8055606977</v>
      </c>
      <c r="K293" s="43" t="n">
        <f aca="false">J293/$B$15</f>
        <v>295.992768530448</v>
      </c>
    </row>
    <row r="294" customFormat="false" ht="15" hidden="false" customHeight="false" outlineLevel="0" collapsed="false">
      <c r="A294" s="50" t="n">
        <v>254</v>
      </c>
      <c r="B294" s="19" t="n">
        <f aca="true">NORMINV(RAND(),$B$6,$C$6)</f>
        <v>0.103071452233588</v>
      </c>
      <c r="C294" s="19" t="n">
        <f aca="true">MAX(0.25,NORMINV(RAND(),$B$7,$C$7))</f>
        <v>0.518671057464514</v>
      </c>
      <c r="D294" s="32" t="n">
        <f aca="true">MAX(0.07,NORMINV(RAND(),$B$8,$C$8))</f>
        <v>0.0956958964467199</v>
      </c>
      <c r="E294" s="51" t="n">
        <f aca="true">MAX(8,NORMINV(RAND(),$B$9,$C$9))</f>
        <v>20.9425172973216</v>
      </c>
      <c r="F294" s="24" t="n">
        <f aca="false">$B$18*(1+(B294+$B$17)/2)^9</f>
        <v>13582.4637649164</v>
      </c>
      <c r="G294" s="24" t="n">
        <f aca="false">F294*C294</f>
        <v>7044.83084392265</v>
      </c>
      <c r="H294" s="24" t="n">
        <f aca="false">E294*G294/(1+D294)^9</f>
        <v>64817.0313137456</v>
      </c>
      <c r="I294" s="24" t="n">
        <f aca="false">$B$13*G294/$B$12*((1+$B$8)/(1+D294))^4.5</f>
        <v>16885.3632618085</v>
      </c>
      <c r="J294" s="24" t="n">
        <f aca="false">H294+I294-$B$14</f>
        <v>79994.4327810335</v>
      </c>
      <c r="K294" s="43" t="n">
        <f aca="false">J294/$B$15</f>
        <v>290.045078974016</v>
      </c>
    </row>
    <row r="295" customFormat="false" ht="15" hidden="false" customHeight="false" outlineLevel="0" collapsed="false">
      <c r="A295" s="50" t="n">
        <v>255</v>
      </c>
      <c r="B295" s="19" t="n">
        <f aca="true">NORMINV(RAND(),$B$6,$C$6)</f>
        <v>0.168102062072086</v>
      </c>
      <c r="C295" s="19" t="n">
        <f aca="true">MAX(0.25,NORMINV(RAND(),$B$7,$C$7))</f>
        <v>0.485086188430262</v>
      </c>
      <c r="D295" s="32" t="n">
        <f aca="true">MAX(0.07,NORMINV(RAND(),$B$8,$C$8))</f>
        <v>0.0970599438875158</v>
      </c>
      <c r="E295" s="51" t="n">
        <f aca="true">MAX(8,NORMINV(RAND(),$B$9,$C$9))</f>
        <v>19.7938130359882</v>
      </c>
      <c r="F295" s="24" t="n">
        <f aca="false">$B$18*(1+(B295+$B$17)/2)^9</f>
        <v>17689.3231901678</v>
      </c>
      <c r="G295" s="24" t="n">
        <f aca="false">F295*C295</f>
        <v>8580.84636222954</v>
      </c>
      <c r="H295" s="24" t="n">
        <f aca="false">E295*G295/(1+D295)^9</f>
        <v>73788.1064018933</v>
      </c>
      <c r="I295" s="24" t="n">
        <f aca="false">$B$13*G295/$B$12*((1+$B$8)/(1+D295))^4.5</f>
        <v>20452.1284039741</v>
      </c>
      <c r="J295" s="24" t="n">
        <f aca="false">H295+I295-$B$14</f>
        <v>92532.2730113468</v>
      </c>
      <c r="K295" s="43" t="n">
        <f aca="false">J295/$B$15</f>
        <v>335.504978286247</v>
      </c>
    </row>
    <row r="296" customFormat="false" ht="15" hidden="false" customHeight="false" outlineLevel="0" collapsed="false">
      <c r="A296" s="50" t="n">
        <v>256</v>
      </c>
      <c r="B296" s="19" t="n">
        <f aca="true">NORMINV(RAND(),$B$6,$C$6)</f>
        <v>0.110294969277007</v>
      </c>
      <c r="C296" s="19" t="n">
        <f aca="true">MAX(0.25,NORMINV(RAND(),$B$7,$C$7))</f>
        <v>0.495512331579922</v>
      </c>
      <c r="D296" s="32" t="n">
        <f aca="true">MAX(0.07,NORMINV(RAND(),$B$8,$C$8))</f>
        <v>0.0950369046238683</v>
      </c>
      <c r="E296" s="51" t="n">
        <f aca="true">MAX(8,NORMINV(RAND(),$B$9,$C$9))</f>
        <v>17.0273329085911</v>
      </c>
      <c r="F296" s="24" t="n">
        <f aca="false">$B$18*(1+(B296+$B$17)/2)^9</f>
        <v>13992.3432992498</v>
      </c>
      <c r="G296" s="24" t="n">
        <f aca="false">F296*C296</f>
        <v>6933.37865247794</v>
      </c>
      <c r="H296" s="24" t="n">
        <f aca="false">E296*G296/(1+D296)^9</f>
        <v>52147.4099854668</v>
      </c>
      <c r="I296" s="24" t="n">
        <f aca="false">$B$13*G296/$B$12*((1+$B$8)/(1+D296))^4.5</f>
        <v>16663.2808549224</v>
      </c>
      <c r="J296" s="24" t="n">
        <f aca="false">H296+I296-$B$14</f>
        <v>67102.7290458687</v>
      </c>
      <c r="K296" s="43" t="n">
        <f aca="false">J296/$B$15</f>
        <v>243.302135771823</v>
      </c>
    </row>
    <row r="297" customFormat="false" ht="15" hidden="false" customHeight="false" outlineLevel="0" collapsed="false">
      <c r="A297" s="50" t="n">
        <v>257</v>
      </c>
      <c r="B297" s="19" t="n">
        <f aca="true">NORMINV(RAND(),$B$6,$C$6)</f>
        <v>0.0988966274661511</v>
      </c>
      <c r="C297" s="19" t="n">
        <f aca="true">MAX(0.25,NORMINV(RAND(),$B$7,$C$7))</f>
        <v>0.496544936629314</v>
      </c>
      <c r="D297" s="32" t="n">
        <f aca="true">MAX(0.07,NORMINV(RAND(),$B$8,$C$8))</f>
        <v>0.105167488951583</v>
      </c>
      <c r="E297" s="51" t="n">
        <f aca="true">MAX(8,NORMINV(RAND(),$B$9,$C$9))</f>
        <v>20.1090195794115</v>
      </c>
      <c r="F297" s="24" t="n">
        <f aca="false">$B$18*(1+(B297+$B$17)/2)^9</f>
        <v>13350.4726379678</v>
      </c>
      <c r="G297" s="24" t="n">
        <f aca="false">F297*C297</f>
        <v>6629.10958999111</v>
      </c>
      <c r="H297" s="24" t="n">
        <f aca="false">E297*G297/(1+D297)^9</f>
        <v>54199.2391202503</v>
      </c>
      <c r="I297" s="24" t="n">
        <f aca="false">$B$13*G297/$B$12*((1+$B$8)/(1+D297))^4.5</f>
        <v>15285.2921034141</v>
      </c>
      <c r="J297" s="24" t="n">
        <f aca="false">H297+I297-$B$14</f>
        <v>67776.5694291439</v>
      </c>
      <c r="K297" s="43" t="n">
        <f aca="false">J297/$B$15</f>
        <v>245.745356885946</v>
      </c>
    </row>
    <row r="298" customFormat="false" ht="15" hidden="false" customHeight="false" outlineLevel="0" collapsed="false">
      <c r="A298" s="50" t="n">
        <v>258</v>
      </c>
      <c r="B298" s="19" t="n">
        <f aca="true">NORMINV(RAND(),$B$6,$C$6)</f>
        <v>0.108718785372924</v>
      </c>
      <c r="C298" s="19" t="n">
        <f aca="true">MAX(0.25,NORMINV(RAND(),$B$7,$C$7))</f>
        <v>0.514551503209813</v>
      </c>
      <c r="D298" s="32" t="n">
        <f aca="true">MAX(0.07,NORMINV(RAND(),$B$8,$C$8))</f>
        <v>0.0897574303578273</v>
      </c>
      <c r="E298" s="51" t="n">
        <f aca="true">MAX(8,NORMINV(RAND(),$B$9,$C$9))</f>
        <v>19.6246299028413</v>
      </c>
      <c r="F298" s="24" t="n">
        <f aca="false">$B$18*(1+(B298+$B$17)/2)^9</f>
        <v>13901.9809666787</v>
      </c>
      <c r="G298" s="24" t="n">
        <f aca="false">F298*C298</f>
        <v>7153.28520399873</v>
      </c>
      <c r="H298" s="24" t="n">
        <f aca="false">E298*G298/(1+D298)^9</f>
        <v>64764.7161133719</v>
      </c>
      <c r="I298" s="24" t="n">
        <f aca="false">$B$13*G298/$B$12*((1+$B$8)/(1+D298))^4.5</f>
        <v>17569.7775426078</v>
      </c>
      <c r="J298" s="24" t="n">
        <f aca="false">H298+I298-$B$14</f>
        <v>80626.5318614592</v>
      </c>
      <c r="K298" s="43" t="n">
        <f aca="false">J298/$B$15</f>
        <v>292.336953812397</v>
      </c>
    </row>
    <row r="299" customFormat="false" ht="15" hidden="false" customHeight="false" outlineLevel="0" collapsed="false">
      <c r="A299" s="50" t="n">
        <v>259</v>
      </c>
      <c r="B299" s="19" t="n">
        <f aca="true">NORMINV(RAND(),$B$6,$C$6)</f>
        <v>0.182581658893847</v>
      </c>
      <c r="C299" s="19" t="n">
        <f aca="true">MAX(0.25,NORMINV(RAND(),$B$7,$C$7))</f>
        <v>0.506382635243694</v>
      </c>
      <c r="D299" s="32" t="n">
        <f aca="true">MAX(0.07,NORMINV(RAND(),$B$8,$C$8))</f>
        <v>0.0898735902233417</v>
      </c>
      <c r="E299" s="51" t="n">
        <f aca="true">MAX(8,NORMINV(RAND(),$B$9,$C$9))</f>
        <v>15.4548396839489</v>
      </c>
      <c r="F299" s="24" t="n">
        <f aca="false">$B$18*(1+(B299+$B$17)/2)^9</f>
        <v>18741.5437727492</v>
      </c>
      <c r="G299" s="24" t="n">
        <f aca="false">F299*C299</f>
        <v>9490.39232417977</v>
      </c>
      <c r="H299" s="24" t="n">
        <f aca="false">E299*G299/(1+D299)^9</f>
        <v>67602.6173042296</v>
      </c>
      <c r="I299" s="24" t="n">
        <f aca="false">$B$13*G299/$B$12*((1+$B$8)/(1+D299))^4.5</f>
        <v>23298.9625294003</v>
      </c>
      <c r="J299" s="24" t="n">
        <f aca="false">H299+I299-$B$14</f>
        <v>89193.6180391094</v>
      </c>
      <c r="K299" s="43" t="n">
        <f aca="false">J299/$B$15</f>
        <v>323.399630308591</v>
      </c>
    </row>
    <row r="300" customFormat="false" ht="15" hidden="false" customHeight="false" outlineLevel="0" collapsed="false">
      <c r="A300" s="50" t="n">
        <v>260</v>
      </c>
      <c r="B300" s="19" t="n">
        <f aca="true">NORMINV(RAND(),$B$6,$C$6)</f>
        <v>0.138879458043127</v>
      </c>
      <c r="C300" s="19" t="n">
        <f aca="true">MAX(0.25,NORMINV(RAND(),$B$7,$C$7))</f>
        <v>0.548942560860742</v>
      </c>
      <c r="D300" s="32" t="n">
        <f aca="true">MAX(0.07,NORMINV(RAND(),$B$8,$C$8))</f>
        <v>0.106946346537149</v>
      </c>
      <c r="E300" s="51" t="n">
        <f aca="true">MAX(8,NORMINV(RAND(),$B$9,$C$9))</f>
        <v>19.4928631004915</v>
      </c>
      <c r="F300" s="24" t="n">
        <f aca="false">$B$18*(1+(B300+$B$17)/2)^9</f>
        <v>15724.2661836815</v>
      </c>
      <c r="G300" s="24" t="n">
        <f aca="false">F300*C300</f>
        <v>8631.7189465261</v>
      </c>
      <c r="H300" s="24" t="n">
        <f aca="false">E300*G300/(1+D300)^9</f>
        <v>67426.9915409708</v>
      </c>
      <c r="I300" s="24" t="n">
        <f aca="false">$B$13*G300/$B$12*((1+$B$8)/(1+D300))^4.5</f>
        <v>19759.3528828524</v>
      </c>
      <c r="J300" s="24" t="n">
        <f aca="false">H300+I300-$B$14</f>
        <v>85478.3826293027</v>
      </c>
      <c r="K300" s="43" t="n">
        <f aca="false">J300/$B$15</f>
        <v>309.928871027203</v>
      </c>
    </row>
    <row r="301" customFormat="false" ht="15" hidden="false" customHeight="false" outlineLevel="0" collapsed="false">
      <c r="A301" s="50" t="n">
        <v>261</v>
      </c>
      <c r="B301" s="19" t="n">
        <f aca="true">NORMINV(RAND(),$B$6,$C$6)</f>
        <v>0.164950503081027</v>
      </c>
      <c r="C301" s="19" t="n">
        <f aca="true">MAX(0.25,NORMINV(RAND(),$B$7,$C$7))</f>
        <v>0.515116998947482</v>
      </c>
      <c r="D301" s="32" t="n">
        <f aca="true">MAX(0.07,NORMINV(RAND(),$B$8,$C$8))</f>
        <v>0.094546576179891</v>
      </c>
      <c r="E301" s="51" t="n">
        <f aca="true">MAX(8,NORMINV(RAND(),$B$9,$C$9))</f>
        <v>16.2870247532979</v>
      </c>
      <c r="F301" s="24" t="n">
        <f aca="false">$B$18*(1+(B301+$B$17)/2)^9</f>
        <v>17467.3865657622</v>
      </c>
      <c r="G301" s="24" t="n">
        <f aca="false">F301*C301</f>
        <v>8997.74774721099</v>
      </c>
      <c r="H301" s="24" t="n">
        <f aca="false">E301*G301/(1+D301)^9</f>
        <v>64993.1144431397</v>
      </c>
      <c r="I301" s="24" t="n">
        <f aca="false">$B$13*G301/$B$12*((1+$B$8)/(1+D301))^4.5</f>
        <v>21668.293010745</v>
      </c>
      <c r="J301" s="24" t="n">
        <f aca="false">H301+I301-$B$14</f>
        <v>84953.4456593642</v>
      </c>
      <c r="K301" s="43" t="n">
        <f aca="false">J301/$B$15</f>
        <v>308.025546263105</v>
      </c>
    </row>
    <row r="302" customFormat="false" ht="15" hidden="false" customHeight="false" outlineLevel="0" collapsed="false">
      <c r="A302" s="50" t="n">
        <v>262</v>
      </c>
      <c r="B302" s="19" t="n">
        <f aca="true">NORMINV(RAND(),$B$6,$C$6)</f>
        <v>0.109699384666951</v>
      </c>
      <c r="C302" s="19" t="n">
        <f aca="true">MAX(0.25,NORMINV(RAND(),$B$7,$C$7))</f>
        <v>0.51382899890593</v>
      </c>
      <c r="D302" s="32" t="n">
        <f aca="true">MAX(0.07,NORMINV(RAND(),$B$8,$C$8))</f>
        <v>0.104121946101393</v>
      </c>
      <c r="E302" s="51" t="n">
        <f aca="true">MAX(8,NORMINV(RAND(),$B$9,$C$9))</f>
        <v>23.61922765318</v>
      </c>
      <c r="F302" s="24" t="n">
        <f aca="false">$B$18*(1+(B302+$B$17)/2)^9</f>
        <v>13958.1373621752</v>
      </c>
      <c r="G302" s="24" t="n">
        <f aca="false">F302*C302</f>
        <v>7172.09574739794</v>
      </c>
      <c r="H302" s="24" t="n">
        <f aca="false">E302*G302/(1+D302)^9</f>
        <v>69463.7765227107</v>
      </c>
      <c r="I302" s="24" t="n">
        <f aca="false">$B$13*G302/$B$12*((1+$B$8)/(1+D302))^4.5</f>
        <v>16607.887165674</v>
      </c>
      <c r="J302" s="24" t="n">
        <f aca="false">H302+I302-$B$14</f>
        <v>84363.7018938641</v>
      </c>
      <c r="K302" s="43" t="n">
        <f aca="false">J302/$B$15</f>
        <v>305.887243995156</v>
      </c>
    </row>
    <row r="303" customFormat="false" ht="15" hidden="false" customHeight="false" outlineLevel="0" collapsed="false">
      <c r="A303" s="50" t="n">
        <v>263</v>
      </c>
      <c r="B303" s="19" t="n">
        <f aca="true">NORMINV(RAND(),$B$6,$C$6)</f>
        <v>0.166768422004401</v>
      </c>
      <c r="C303" s="19" t="n">
        <f aca="true">MAX(0.25,NORMINV(RAND(),$B$7,$C$7))</f>
        <v>0.496388840984554</v>
      </c>
      <c r="D303" s="32" t="n">
        <f aca="true">MAX(0.07,NORMINV(RAND(),$B$8,$C$8))</f>
        <v>0.0964862793624593</v>
      </c>
      <c r="E303" s="51" t="n">
        <f aca="true">MAX(8,NORMINV(RAND(),$B$9,$C$9))</f>
        <v>20.2421389610001</v>
      </c>
      <c r="F303" s="24" t="n">
        <f aca="false">$B$18*(1+(B303+$B$17)/2)^9</f>
        <v>17595.1025618246</v>
      </c>
      <c r="G303" s="24" t="n">
        <f aca="false">F303*C303</f>
        <v>8734.01256766845</v>
      </c>
      <c r="H303" s="24" t="n">
        <f aca="false">E303*G303/(1+D303)^9</f>
        <v>77168.7383711158</v>
      </c>
      <c r="I303" s="24" t="n">
        <f aca="false">$B$13*G303/$B$12*((1+$B$8)/(1+D303))^4.5</f>
        <v>20866.2497964171</v>
      </c>
      <c r="J303" s="24" t="n">
        <f aca="false">H303+I303-$B$14</f>
        <v>96327.0263730123</v>
      </c>
      <c r="K303" s="43" t="n">
        <f aca="false">J303/$B$15</f>
        <v>349.264055014548</v>
      </c>
    </row>
    <row r="304" customFormat="false" ht="15" hidden="false" customHeight="false" outlineLevel="0" collapsed="false">
      <c r="A304" s="50" t="n">
        <v>264</v>
      </c>
      <c r="B304" s="19" t="n">
        <f aca="true">NORMINV(RAND(),$B$6,$C$6)</f>
        <v>0.131105972283978</v>
      </c>
      <c r="C304" s="19" t="n">
        <f aca="true">MAX(0.25,NORMINV(RAND(),$B$7,$C$7))</f>
        <v>0.545264646465008</v>
      </c>
      <c r="D304" s="32" t="n">
        <f aca="true">MAX(0.07,NORMINV(RAND(),$B$8,$C$8))</f>
        <v>0.0968774864669436</v>
      </c>
      <c r="E304" s="51" t="n">
        <f aca="true">MAX(8,NORMINV(RAND(),$B$9,$C$9))</f>
        <v>22.5909288856529</v>
      </c>
      <c r="F304" s="24" t="n">
        <f aca="false">$B$18*(1+(B304+$B$17)/2)^9</f>
        <v>15235.3704850685</v>
      </c>
      <c r="G304" s="24" t="n">
        <f aca="false">F304*C304</f>
        <v>8307.30890130431</v>
      </c>
      <c r="H304" s="24" t="n">
        <f aca="false">E304*G304/(1+D304)^9</f>
        <v>81652.8493547014</v>
      </c>
      <c r="I304" s="24" t="n">
        <f aca="false">$B$13*G304/$B$12*((1+$B$8)/(1+D304))^4.5</f>
        <v>19814.9875910329</v>
      </c>
      <c r="J304" s="24" t="n">
        <f aca="false">H304+I304-$B$14</f>
        <v>99759.8751512138</v>
      </c>
      <c r="K304" s="43" t="n">
        <f aca="false">J304/$B$15</f>
        <v>361.710932382936</v>
      </c>
    </row>
    <row r="305" customFormat="false" ht="15" hidden="false" customHeight="false" outlineLevel="0" collapsed="false">
      <c r="A305" s="50" t="n">
        <v>265</v>
      </c>
      <c r="B305" s="19" t="n">
        <f aca="true">NORMINV(RAND(),$B$6,$C$6)</f>
        <v>0.10970362884584</v>
      </c>
      <c r="C305" s="19" t="n">
        <f aca="true">MAX(0.25,NORMINV(RAND(),$B$7,$C$7))</f>
        <v>0.492891256942452</v>
      </c>
      <c r="D305" s="32" t="n">
        <f aca="true">MAX(0.07,NORMINV(RAND(),$B$8,$C$8))</f>
        <v>0.0933159507409681</v>
      </c>
      <c r="E305" s="51" t="n">
        <f aca="true">MAX(8,NORMINV(RAND(),$B$9,$C$9))</f>
        <v>20.4101432120719</v>
      </c>
      <c r="F305" s="24" t="n">
        <f aca="false">$B$18*(1+(B305+$B$17)/2)^9</f>
        <v>13958.3808529597</v>
      </c>
      <c r="G305" s="24" t="n">
        <f aca="false">F305*C305</f>
        <v>6879.96388349678</v>
      </c>
      <c r="H305" s="24" t="n">
        <f aca="false">E305*G305/(1+D305)^9</f>
        <v>62910.1980670171</v>
      </c>
      <c r="I305" s="24" t="n">
        <f aca="false">$B$13*G305/$B$12*((1+$B$8)/(1+D305))^4.5</f>
        <v>16652.3517619221</v>
      </c>
      <c r="J305" s="24" t="n">
        <f aca="false">H305+I305-$B$14</f>
        <v>77854.5880344186</v>
      </c>
      <c r="K305" s="43" t="n">
        <f aca="false">J305/$B$15</f>
        <v>282.286396063882</v>
      </c>
    </row>
    <row r="306" customFormat="false" ht="15" hidden="false" customHeight="false" outlineLevel="0" collapsed="false">
      <c r="A306" s="50" t="n">
        <v>266</v>
      </c>
      <c r="B306" s="19" t="n">
        <f aca="true">NORMINV(RAND(),$B$6,$C$6)</f>
        <v>0.133834754023484</v>
      </c>
      <c r="C306" s="19" t="n">
        <f aca="true">MAX(0.25,NORMINV(RAND(),$B$7,$C$7))</f>
        <v>0.509466724884835</v>
      </c>
      <c r="D306" s="32" t="n">
        <f aca="true">MAX(0.07,NORMINV(RAND(),$B$8,$C$8))</f>
        <v>0.113169271768335</v>
      </c>
      <c r="E306" s="51" t="n">
        <f aca="true">MAX(8,NORMINV(RAND(),$B$9,$C$9))</f>
        <v>19.0608755517844</v>
      </c>
      <c r="F306" s="24" t="n">
        <f aca="false">$B$18*(1+(B306+$B$17)/2)^9</f>
        <v>15405.4294561444</v>
      </c>
      <c r="G306" s="24" t="n">
        <f aca="false">F306*C306</f>
        <v>7848.55369046624</v>
      </c>
      <c r="H306" s="24" t="n">
        <f aca="false">E306*G306/(1+D306)^9</f>
        <v>57000.8844496744</v>
      </c>
      <c r="I306" s="24" t="n">
        <f aca="false">$B$13*G306/$B$12*((1+$B$8)/(1+D306))^4.5</f>
        <v>17518.9949685794</v>
      </c>
      <c r="J306" s="24" t="n">
        <f aca="false">H306+I306-$B$14</f>
        <v>72811.9176237333</v>
      </c>
      <c r="K306" s="43" t="n">
        <f aca="false">J306/$B$15</f>
        <v>264.002601971477</v>
      </c>
    </row>
    <row r="307" customFormat="false" ht="15" hidden="false" customHeight="false" outlineLevel="0" collapsed="false">
      <c r="A307" s="50" t="n">
        <v>267</v>
      </c>
      <c r="B307" s="19" t="n">
        <f aca="true">NORMINV(RAND(),$B$6,$C$6)</f>
        <v>0.124344852917376</v>
      </c>
      <c r="C307" s="19" t="n">
        <f aca="true">MAX(0.25,NORMINV(RAND(),$B$7,$C$7))</f>
        <v>0.498928272983458</v>
      </c>
      <c r="D307" s="32" t="n">
        <f aca="true">MAX(0.07,NORMINV(RAND(),$B$8,$C$8))</f>
        <v>0.0781170113358529</v>
      </c>
      <c r="E307" s="51" t="n">
        <f aca="true">MAX(8,NORMINV(RAND(),$B$9,$C$9))</f>
        <v>21.3440197104233</v>
      </c>
      <c r="F307" s="24" t="n">
        <f aca="false">$B$18*(1+(B307+$B$17)/2)^9</f>
        <v>14821.1819515245</v>
      </c>
      <c r="G307" s="24" t="n">
        <f aca="false">F307*C307</f>
        <v>7394.70671464772</v>
      </c>
      <c r="H307" s="24" t="n">
        <f aca="false">E307*G307/(1+D307)^9</f>
        <v>80205.4867367003</v>
      </c>
      <c r="I307" s="24" t="n">
        <f aca="false">$B$13*G307/$B$12*((1+$B$8)/(1+D307))^4.5</f>
        <v>19062.0413155378</v>
      </c>
      <c r="J307" s="24" t="n">
        <f aca="false">H307+I307-$B$14</f>
        <v>97559.5662577175</v>
      </c>
      <c r="K307" s="43" t="n">
        <f aca="false">J307/$B$15</f>
        <v>353.733017613189</v>
      </c>
    </row>
    <row r="308" customFormat="false" ht="15" hidden="false" customHeight="false" outlineLevel="0" collapsed="false">
      <c r="A308" s="50" t="n">
        <v>268</v>
      </c>
      <c r="B308" s="19" t="n">
        <f aca="true">NORMINV(RAND(),$B$6,$C$6)</f>
        <v>0.164405003982756</v>
      </c>
      <c r="C308" s="19" t="n">
        <f aca="true">MAX(0.25,NORMINV(RAND(),$B$7,$C$7))</f>
        <v>0.485936154420823</v>
      </c>
      <c r="D308" s="32" t="n">
        <f aca="true">MAX(0.07,NORMINV(RAND(),$B$8,$C$8))</f>
        <v>0.0928010795779152</v>
      </c>
      <c r="E308" s="51" t="n">
        <f aca="true">MAX(8,NORMINV(RAND(),$B$9,$C$9))</f>
        <v>23.1846031510757</v>
      </c>
      <c r="F308" s="24" t="n">
        <f aca="false">$B$18*(1+(B308+$B$17)/2)^9</f>
        <v>17429.2241704072</v>
      </c>
      <c r="G308" s="24" t="n">
        <f aca="false">F308*C308</f>
        <v>8469.49016790615</v>
      </c>
      <c r="H308" s="24" t="n">
        <f aca="false">E308*G308/(1+D308)^9</f>
        <v>88346.0010918086</v>
      </c>
      <c r="I308" s="24" t="n">
        <f aca="false">$B$13*G308/$B$12*((1+$B$8)/(1+D308))^4.5</f>
        <v>20543.1598666632</v>
      </c>
      <c r="J308" s="24" t="n">
        <f aca="false">H308+I308-$B$14</f>
        <v>107181.199163951</v>
      </c>
      <c r="K308" s="43" t="n">
        <f aca="false">J308/$B$15</f>
        <v>388.619286308743</v>
      </c>
    </row>
    <row r="309" customFormat="false" ht="15" hidden="false" customHeight="false" outlineLevel="0" collapsed="false">
      <c r="A309" s="50" t="n">
        <v>269</v>
      </c>
      <c r="B309" s="19" t="n">
        <f aca="true">NORMINV(RAND(),$B$6,$C$6)</f>
        <v>0.128910450018794</v>
      </c>
      <c r="C309" s="19" t="n">
        <f aca="true">MAX(0.25,NORMINV(RAND(),$B$7,$C$7))</f>
        <v>0.496565734505043</v>
      </c>
      <c r="D309" s="32" t="n">
        <f aca="true">MAX(0.07,NORMINV(RAND(),$B$8,$C$8))</f>
        <v>0.107029173799286</v>
      </c>
      <c r="E309" s="51" t="n">
        <f aca="true">MAX(8,NORMINV(RAND(),$B$9,$C$9))</f>
        <v>18.5117288394924</v>
      </c>
      <c r="F309" s="24" t="n">
        <f aca="false">$B$18*(1+(B309+$B$17)/2)^9</f>
        <v>15099.7580686652</v>
      </c>
      <c r="G309" s="24" t="n">
        <f aca="false">F309*C309</f>
        <v>7498.02245621517</v>
      </c>
      <c r="H309" s="24" t="n">
        <f aca="false">E309*G309/(1+D309)^9</f>
        <v>55585.5774940029</v>
      </c>
      <c r="I309" s="24" t="n">
        <f aca="false">$B$13*G309/$B$12*((1+$B$8)/(1+D309))^4.5</f>
        <v>17158.3663479336</v>
      </c>
      <c r="J309" s="24" t="n">
        <f aca="false">H309+I309-$B$14</f>
        <v>71035.982047416</v>
      </c>
      <c r="K309" s="43" t="n">
        <f aca="false">J309/$B$15</f>
        <v>257.563386683887</v>
      </c>
    </row>
    <row r="310" customFormat="false" ht="15" hidden="false" customHeight="false" outlineLevel="0" collapsed="false">
      <c r="A310" s="50" t="n">
        <v>270</v>
      </c>
      <c r="B310" s="19" t="n">
        <f aca="true">NORMINV(RAND(),$B$6,$C$6)</f>
        <v>0.160970831909267</v>
      </c>
      <c r="C310" s="19" t="n">
        <f aca="true">MAX(0.25,NORMINV(RAND(),$B$7,$C$7))</f>
        <v>0.454650218024363</v>
      </c>
      <c r="D310" s="32" t="n">
        <f aca="true">MAX(0.07,NORMINV(RAND(),$B$8,$C$8))</f>
        <v>0.100846187625573</v>
      </c>
      <c r="E310" s="51" t="n">
        <f aca="true">MAX(8,NORMINV(RAND(),$B$9,$C$9))</f>
        <v>14.8500504547318</v>
      </c>
      <c r="F310" s="24" t="n">
        <f aca="false">$B$18*(1+(B310+$B$17)/2)^9</f>
        <v>17190.6712784794</v>
      </c>
      <c r="G310" s="24" t="n">
        <f aca="false">F310*C310</f>
        <v>7815.74244474579</v>
      </c>
      <c r="H310" s="24" t="n">
        <f aca="false">E310*G310/(1+D310)^9</f>
        <v>48883.0599800042</v>
      </c>
      <c r="I310" s="24" t="n">
        <f aca="false">$B$13*G310/$B$12*((1+$B$8)/(1+D310))^4.5</f>
        <v>18341.9431901706</v>
      </c>
      <c r="J310" s="24" t="n">
        <f aca="false">H310+I310-$B$14</f>
        <v>65517.0413756542</v>
      </c>
      <c r="K310" s="43" t="n">
        <f aca="false">J310/$B$15</f>
        <v>237.552724349725</v>
      </c>
    </row>
    <row r="311" customFormat="false" ht="15" hidden="false" customHeight="false" outlineLevel="0" collapsed="false">
      <c r="A311" s="50" t="n">
        <v>271</v>
      </c>
      <c r="B311" s="19" t="n">
        <f aca="true">NORMINV(RAND(),$B$6,$C$6)</f>
        <v>0.0847946276116935</v>
      </c>
      <c r="C311" s="19" t="n">
        <f aca="true">MAX(0.25,NORMINV(RAND(),$B$7,$C$7))</f>
        <v>0.474185119164908</v>
      </c>
      <c r="D311" s="32" t="n">
        <f aca="true">MAX(0.07,NORMINV(RAND(),$B$8,$C$8))</f>
        <v>0.0943489183282273</v>
      </c>
      <c r="E311" s="51" t="n">
        <f aca="true">MAX(8,NORMINV(RAND(),$B$9,$C$9))</f>
        <v>23.4847835884769</v>
      </c>
      <c r="F311" s="24" t="n">
        <f aca="false">$B$18*(1+(B311+$B$17)/2)^9</f>
        <v>12592.6552589441</v>
      </c>
      <c r="G311" s="24" t="n">
        <f aca="false">F311*C311</f>
        <v>5971.24973456502</v>
      </c>
      <c r="H311" s="24" t="n">
        <f aca="false">E311*G311/(1+D311)^9</f>
        <v>62294.4679057303</v>
      </c>
      <c r="I311" s="24" t="n">
        <f aca="false">$B$13*G311/$B$12*((1+$B$8)/(1+D311))^4.5</f>
        <v>14391.5997896624</v>
      </c>
      <c r="J311" s="24" t="n">
        <f aca="false">H311+I311-$B$14</f>
        <v>74978.1059008722</v>
      </c>
      <c r="K311" s="43" t="n">
        <f aca="false">J311/$B$15</f>
        <v>271.856801671038</v>
      </c>
    </row>
    <row r="312" customFormat="false" ht="15" hidden="false" customHeight="false" outlineLevel="0" collapsed="false">
      <c r="A312" s="50" t="n">
        <v>272</v>
      </c>
      <c r="B312" s="19" t="n">
        <f aca="true">NORMINV(RAND(),$B$6,$C$6)</f>
        <v>0.120647914990121</v>
      </c>
      <c r="C312" s="19" t="n">
        <f aca="true">MAX(0.25,NORMINV(RAND(),$B$7,$C$7))</f>
        <v>0.537315814965613</v>
      </c>
      <c r="D312" s="32" t="n">
        <f aca="true">MAX(0.07,NORMINV(RAND(),$B$8,$C$8))</f>
        <v>0.0776813218974907</v>
      </c>
      <c r="E312" s="51" t="n">
        <f aca="true">MAX(8,NORMINV(RAND(),$B$9,$C$9))</f>
        <v>17.0372769043519</v>
      </c>
      <c r="F312" s="24" t="n">
        <f aca="false">$B$18*(1+(B312+$B$17)/2)^9</f>
        <v>14598.9655264114</v>
      </c>
      <c r="G312" s="24" t="n">
        <f aca="false">F312*C312</f>
        <v>7844.25505947861</v>
      </c>
      <c r="H312" s="24" t="n">
        <f aca="false">E312*G312/(1+D312)^9</f>
        <v>68161.4288629744</v>
      </c>
      <c r="I312" s="24" t="n">
        <f aca="false">$B$13*G312/$B$12*((1+$B$8)/(1+D312))^4.5</f>
        <v>20257.6984502841</v>
      </c>
      <c r="J312" s="24" t="n">
        <f aca="false">H312+I312-$B$14</f>
        <v>86711.165518738</v>
      </c>
      <c r="K312" s="43" t="n">
        <f aca="false">J312/$B$15</f>
        <v>314.398714716236</v>
      </c>
    </row>
    <row r="313" customFormat="false" ht="15" hidden="false" customHeight="false" outlineLevel="0" collapsed="false">
      <c r="A313" s="50" t="n">
        <v>273</v>
      </c>
      <c r="B313" s="19" t="n">
        <f aca="true">NORMINV(RAND(),$B$6,$C$6)</f>
        <v>0.140679474487476</v>
      </c>
      <c r="C313" s="19" t="n">
        <f aca="true">MAX(0.25,NORMINV(RAND(),$B$7,$C$7))</f>
        <v>0.537606468274813</v>
      </c>
      <c r="D313" s="32" t="n">
        <f aca="true">MAX(0.07,NORMINV(RAND(),$B$8,$C$8))</f>
        <v>0.0918770257824662</v>
      </c>
      <c r="E313" s="51" t="n">
        <f aca="true">MAX(8,NORMINV(RAND(),$B$9,$C$9))</f>
        <v>26.6809928531727</v>
      </c>
      <c r="F313" s="24" t="n">
        <f aca="false">$B$18*(1+(B313+$B$17)/2)^9</f>
        <v>15839.4430576325</v>
      </c>
      <c r="G313" s="24" t="n">
        <f aca="false">F313*C313</f>
        <v>8515.38704165379</v>
      </c>
      <c r="H313" s="24" t="n">
        <f aca="false">E313*G313/(1+D313)^9</f>
        <v>103001.328464716</v>
      </c>
      <c r="I313" s="24" t="n">
        <f aca="false">$B$13*G313/$B$12*((1+$B$8)/(1+D313))^4.5</f>
        <v>20733.2609025653</v>
      </c>
      <c r="J313" s="24" t="n">
        <f aca="false">H313+I313-$B$14</f>
        <v>122026.627572761</v>
      </c>
      <c r="K313" s="43" t="n">
        <f aca="false">J313/$B$15</f>
        <v>442.446075318205</v>
      </c>
    </row>
    <row r="314" customFormat="false" ht="15" hidden="false" customHeight="false" outlineLevel="0" collapsed="false">
      <c r="A314" s="50" t="n">
        <v>274</v>
      </c>
      <c r="B314" s="19" t="n">
        <f aca="true">NORMINV(RAND(),$B$6,$C$6)</f>
        <v>0.181988426614216</v>
      </c>
      <c r="C314" s="19" t="n">
        <f aca="true">MAX(0.25,NORMINV(RAND(),$B$7,$C$7))</f>
        <v>0.523311767138463</v>
      </c>
      <c r="D314" s="32" t="n">
        <f aca="true">MAX(0.07,NORMINV(RAND(),$B$8,$C$8))</f>
        <v>0.102428579945511</v>
      </c>
      <c r="E314" s="51" t="n">
        <f aca="true">MAX(8,NORMINV(RAND(),$B$9,$C$9))</f>
        <v>17.4720441933757</v>
      </c>
      <c r="F314" s="24" t="n">
        <f aca="false">$B$18*(1+(B314+$B$17)/2)^9</f>
        <v>18697.3650711814</v>
      </c>
      <c r="G314" s="24" t="n">
        <f aca="false">F314*C314</f>
        <v>9784.55115623292</v>
      </c>
      <c r="H314" s="24" t="n">
        <f aca="false">E314*G314/(1+D314)^9</f>
        <v>71077.2236370934</v>
      </c>
      <c r="I314" s="24" t="n">
        <f aca="false">$B$13*G314/$B$12*((1+$B$8)/(1+D314))^4.5</f>
        <v>22814.3877709148</v>
      </c>
      <c r="J314" s="24" t="n">
        <f aca="false">H314+I314-$B$14</f>
        <v>92183.6496134877</v>
      </c>
      <c r="K314" s="43" t="n">
        <f aca="false">J314/$B$15</f>
        <v>334.240934059056</v>
      </c>
    </row>
    <row r="315" customFormat="false" ht="15" hidden="false" customHeight="false" outlineLevel="0" collapsed="false">
      <c r="A315" s="50" t="n">
        <v>275</v>
      </c>
      <c r="B315" s="19" t="n">
        <f aca="true">NORMINV(RAND(),$B$6,$C$6)</f>
        <v>0.15275697719864</v>
      </c>
      <c r="C315" s="19" t="n">
        <f aca="true">MAX(0.25,NORMINV(RAND(),$B$7,$C$7))</f>
        <v>0.506834098666233</v>
      </c>
      <c r="D315" s="32" t="n">
        <f aca="true">MAX(0.07,NORMINV(RAND(),$B$8,$C$8))</f>
        <v>0.0990975551671511</v>
      </c>
      <c r="E315" s="51" t="n">
        <f aca="true">MAX(8,NORMINV(RAND(),$B$9,$C$9))</f>
        <v>17.0294673302547</v>
      </c>
      <c r="F315" s="24" t="n">
        <f aca="false">$B$18*(1+(B315+$B$17)/2)^9</f>
        <v>16631.8323091491</v>
      </c>
      <c r="G315" s="24" t="n">
        <f aca="false">F315*C315</f>
        <v>8429.57973757552</v>
      </c>
      <c r="H315" s="24" t="n">
        <f aca="false">E315*G315/(1+D315)^9</f>
        <v>61331.1079703484</v>
      </c>
      <c r="I315" s="24" t="n">
        <f aca="false">$B$13*G315/$B$12*((1+$B$8)/(1+D315))^4.5</f>
        <v>19924.5183537905</v>
      </c>
      <c r="J315" s="24" t="n">
        <f aca="false">H315+I315-$B$14</f>
        <v>79547.6645296184</v>
      </c>
      <c r="K315" s="43" t="n">
        <f aca="false">J315/$B$15</f>
        <v>288.425179585273</v>
      </c>
    </row>
    <row r="316" customFormat="false" ht="15" hidden="false" customHeight="false" outlineLevel="0" collapsed="false">
      <c r="A316" s="50" t="n">
        <v>276</v>
      </c>
      <c r="B316" s="19" t="n">
        <f aca="true">NORMINV(RAND(),$B$6,$C$6)</f>
        <v>0.168960555593766</v>
      </c>
      <c r="C316" s="19" t="n">
        <f aca="true">MAX(0.25,NORMINV(RAND(),$B$7,$C$7))</f>
        <v>0.546221296982037</v>
      </c>
      <c r="D316" s="32" t="n">
        <f aca="true">MAX(0.07,NORMINV(RAND(),$B$8,$C$8))</f>
        <v>0.101809584727399</v>
      </c>
      <c r="E316" s="51" t="n">
        <f aca="true">MAX(8,NORMINV(RAND(),$B$9,$C$9))</f>
        <v>22.3425070760527</v>
      </c>
      <c r="F316" s="24" t="n">
        <f aca="false">$B$18*(1+(B316+$B$17)/2)^9</f>
        <v>17750.2120992828</v>
      </c>
      <c r="G316" s="24" t="n">
        <f aca="false">F316*C316</f>
        <v>9695.54387457652</v>
      </c>
      <c r="H316" s="24" t="n">
        <f aca="false">E316*G316/(1+D316)^9</f>
        <v>90520.1293756396</v>
      </c>
      <c r="I316" s="24" t="n">
        <f aca="false">$B$13*G316/$B$12*((1+$B$8)/(1+D316))^4.5</f>
        <v>22664.0602354152</v>
      </c>
      <c r="J316" s="24" t="n">
        <f aca="false">H316+I316-$B$14</f>
        <v>111476.227816534</v>
      </c>
      <c r="K316" s="43" t="n">
        <f aca="false">J316/$B$15</f>
        <v>404.192269095483</v>
      </c>
    </row>
    <row r="317" customFormat="false" ht="15" hidden="false" customHeight="false" outlineLevel="0" collapsed="false">
      <c r="A317" s="50" t="n">
        <v>277</v>
      </c>
      <c r="B317" s="19" t="n">
        <f aca="true">NORMINV(RAND(),$B$6,$C$6)</f>
        <v>0.117376281913738</v>
      </c>
      <c r="C317" s="19" t="n">
        <f aca="true">MAX(0.25,NORMINV(RAND(),$B$7,$C$7))</f>
        <v>0.501922177349918</v>
      </c>
      <c r="D317" s="32" t="n">
        <f aca="true">MAX(0.07,NORMINV(RAND(),$B$8,$C$8))</f>
        <v>0.0767619291544377</v>
      </c>
      <c r="E317" s="51" t="n">
        <f aca="true">MAX(8,NORMINV(RAND(),$B$9,$C$9))</f>
        <v>23.7795645425846</v>
      </c>
      <c r="F317" s="24" t="n">
        <f aca="false">$B$18*(1+(B317+$B$17)/2)^9</f>
        <v>14404.7887469675</v>
      </c>
      <c r="G317" s="24" t="n">
        <f aca="false">F317*C317</f>
        <v>7230.08293214351</v>
      </c>
      <c r="H317" s="24" t="n">
        <f aca="false">E317*G317/(1+D317)^9</f>
        <v>88362.8976900083</v>
      </c>
      <c r="I317" s="24" t="n">
        <f aca="false">$B$13*G317/$B$12*((1+$B$8)/(1+D317))^4.5</f>
        <v>18743.455618217</v>
      </c>
      <c r="J317" s="24" t="n">
        <f aca="false">H317+I317-$B$14</f>
        <v>105398.391513705</v>
      </c>
      <c r="K317" s="43" t="n">
        <f aca="false">J317/$B$15</f>
        <v>382.155154146863</v>
      </c>
    </row>
    <row r="318" customFormat="false" ht="15" hidden="false" customHeight="false" outlineLevel="0" collapsed="false">
      <c r="A318" s="50" t="n">
        <v>278</v>
      </c>
      <c r="B318" s="19" t="n">
        <f aca="true">NORMINV(RAND(),$B$6,$C$6)</f>
        <v>0.119502916473944</v>
      </c>
      <c r="C318" s="19" t="n">
        <f aca="true">MAX(0.25,NORMINV(RAND(),$B$7,$C$7))</f>
        <v>0.499102366799657</v>
      </c>
      <c r="D318" s="32" t="n">
        <f aca="true">MAX(0.07,NORMINV(RAND(),$B$8,$C$8))</f>
        <v>0.106261328687358</v>
      </c>
      <c r="E318" s="51" t="n">
        <f aca="true">MAX(8,NORMINV(RAND(),$B$9,$C$9))</f>
        <v>21.4506498742228</v>
      </c>
      <c r="F318" s="24" t="n">
        <f aca="false">$B$18*(1+(B318+$B$17)/2)^9</f>
        <v>14530.7449705429</v>
      </c>
      <c r="G318" s="24" t="n">
        <f aca="false">F318*C318</f>
        <v>7252.32920616018</v>
      </c>
      <c r="H318" s="24" t="n">
        <f aca="false">E318*G318/(1+D318)^9</f>
        <v>62690.0164687448</v>
      </c>
      <c r="I318" s="24" t="n">
        <f aca="false">$B$13*G318/$B$12*((1+$B$8)/(1+D318))^4.5</f>
        <v>16648.0248950963</v>
      </c>
      <c r="J318" s="24" t="n">
        <f aca="false">H318+I318-$B$14</f>
        <v>77630.0795693205</v>
      </c>
      <c r="K318" s="43" t="n">
        <f aca="false">J318/$B$15</f>
        <v>281.472369721974</v>
      </c>
    </row>
    <row r="319" customFormat="false" ht="15" hidden="false" customHeight="false" outlineLevel="0" collapsed="false">
      <c r="A319" s="50" t="n">
        <v>279</v>
      </c>
      <c r="B319" s="19" t="n">
        <f aca="true">NORMINV(RAND(),$B$6,$C$6)</f>
        <v>0.116080969367149</v>
      </c>
      <c r="C319" s="19" t="n">
        <f aca="true">MAX(0.25,NORMINV(RAND(),$B$7,$C$7))</f>
        <v>0.478598512085007</v>
      </c>
      <c r="D319" s="32" t="n">
        <f aca="true">MAX(0.07,NORMINV(RAND(),$B$8,$C$8))</f>
        <v>0.0988512264626402</v>
      </c>
      <c r="E319" s="51" t="n">
        <f aca="true">MAX(8,NORMINV(RAND(),$B$9,$C$9))</f>
        <v>22.970151709205</v>
      </c>
      <c r="F319" s="24" t="n">
        <f aca="false">$B$18*(1+(B319+$B$17)/2)^9</f>
        <v>14328.5464959989</v>
      </c>
      <c r="G319" s="24" t="n">
        <f aca="false">F319*C319</f>
        <v>6857.62103332592</v>
      </c>
      <c r="H319" s="24" t="n">
        <f aca="false">E319*G319/(1+D319)^9</f>
        <v>67435.2962509849</v>
      </c>
      <c r="I319" s="24" t="n">
        <f aca="false">$B$13*G319/$B$12*((1+$B$8)/(1+D319))^4.5</f>
        <v>16225.3263445341</v>
      </c>
      <c r="J319" s="24" t="n">
        <f aca="false">H319+I319-$B$14</f>
        <v>81952.6608009984</v>
      </c>
      <c r="K319" s="43" t="n">
        <f aca="false">J319/$B$15</f>
        <v>297.145253085563</v>
      </c>
    </row>
    <row r="320" customFormat="false" ht="15" hidden="false" customHeight="false" outlineLevel="0" collapsed="false">
      <c r="A320" s="50" t="n">
        <v>280</v>
      </c>
      <c r="B320" s="19" t="n">
        <f aca="true">NORMINV(RAND(),$B$6,$C$6)</f>
        <v>0.146765062276072</v>
      </c>
      <c r="C320" s="19" t="n">
        <f aca="true">MAX(0.25,NORMINV(RAND(),$B$7,$C$7))</f>
        <v>0.502970434216102</v>
      </c>
      <c r="D320" s="32" t="n">
        <f aca="true">MAX(0.07,NORMINV(RAND(),$B$8,$C$8))</f>
        <v>0.0909607860040512</v>
      </c>
      <c r="E320" s="51" t="n">
        <f aca="true">MAX(8,NORMINV(RAND(),$B$9,$C$9))</f>
        <v>19.9555424869578</v>
      </c>
      <c r="F320" s="24" t="n">
        <f aca="false">$B$18*(1+(B320+$B$17)/2)^9</f>
        <v>16234.4129507606</v>
      </c>
      <c r="G320" s="24" t="n">
        <f aca="false">F320*C320</f>
        <v>8165.42973108759</v>
      </c>
      <c r="H320" s="24" t="n">
        <f aca="false">E320*G320/(1+D320)^9</f>
        <v>74432.1083229379</v>
      </c>
      <c r="I320" s="24" t="n">
        <f aca="false">$B$13*G320/$B$12*((1+$B$8)/(1+D320))^4.5</f>
        <v>19956.4326551672</v>
      </c>
      <c r="J320" s="24" t="n">
        <f aca="false">H320+I320-$B$14</f>
        <v>92680.5791835845</v>
      </c>
      <c r="K320" s="43" t="n">
        <f aca="false">J320/$B$15</f>
        <v>336.042709150053</v>
      </c>
    </row>
    <row r="321" customFormat="false" ht="15" hidden="false" customHeight="false" outlineLevel="0" collapsed="false">
      <c r="A321" s="50" t="n">
        <v>281</v>
      </c>
      <c r="B321" s="19" t="n">
        <f aca="true">NORMINV(RAND(),$B$6,$C$6)</f>
        <v>0.124206286696546</v>
      </c>
      <c r="C321" s="19" t="n">
        <f aca="true">MAX(0.25,NORMINV(RAND(),$B$7,$C$7))</f>
        <v>0.513429434165696</v>
      </c>
      <c r="D321" s="32" t="n">
        <f aca="true">MAX(0.07,NORMINV(RAND(),$B$8,$C$8))</f>
        <v>0.0935733279528196</v>
      </c>
      <c r="E321" s="51" t="n">
        <f aca="true">MAX(8,NORMINV(RAND(),$B$9,$C$9))</f>
        <v>21.7201974090404</v>
      </c>
      <c r="F321" s="24" t="n">
        <f aca="false">$B$18*(1+(B321+$B$17)/2)^9</f>
        <v>14812.7990573117</v>
      </c>
      <c r="G321" s="24" t="n">
        <f aca="false">F321*C321</f>
        <v>7605.32703840568</v>
      </c>
      <c r="H321" s="24" t="n">
        <f aca="false">E321*G321/(1+D321)^9</f>
        <v>73849.9963446009</v>
      </c>
      <c r="I321" s="24" t="n">
        <f aca="false">$B$13*G321/$B$12*((1+$B$8)/(1+D321))^4.5</f>
        <v>18388.5421190367</v>
      </c>
      <c r="J321" s="24" t="n">
        <f aca="false">H321+I321-$B$14</f>
        <v>90530.576669117</v>
      </c>
      <c r="K321" s="43" t="n">
        <f aca="false">J321/$B$15</f>
        <v>328.247196044659</v>
      </c>
    </row>
    <row r="322" customFormat="false" ht="15" hidden="false" customHeight="false" outlineLevel="0" collapsed="false">
      <c r="A322" s="50" t="n">
        <v>282</v>
      </c>
      <c r="B322" s="19" t="n">
        <f aca="true">NORMINV(RAND(),$B$6,$C$6)</f>
        <v>0.143492445113639</v>
      </c>
      <c r="C322" s="19" t="n">
        <f aca="true">MAX(0.25,NORMINV(RAND(),$B$7,$C$7))</f>
        <v>0.515703521069225</v>
      </c>
      <c r="D322" s="32" t="n">
        <f aca="true">MAX(0.07,NORMINV(RAND(),$B$8,$C$8))</f>
        <v>0.0924417680013856</v>
      </c>
      <c r="E322" s="51" t="n">
        <f aca="true">MAX(8,NORMINV(RAND(),$B$9,$C$9))</f>
        <v>15.2135775053277</v>
      </c>
      <c r="F322" s="24" t="n">
        <f aca="false">$B$18*(1+(B322+$B$17)/2)^9</f>
        <v>16020.9374344179</v>
      </c>
      <c r="G322" s="24" t="n">
        <f aca="false">F322*C322</f>
        <v>8262.05384575907</v>
      </c>
      <c r="H322" s="24" t="n">
        <f aca="false">E322*G322/(1+D322)^9</f>
        <v>56719.8017852394</v>
      </c>
      <c r="I322" s="24" t="n">
        <f aca="false">$B$13*G322/$B$12*((1+$B$8)/(1+D322))^4.5</f>
        <v>20069.690905318</v>
      </c>
      <c r="J322" s="24" t="n">
        <f aca="false">H322+I322-$B$14</f>
        <v>75081.5308960369</v>
      </c>
      <c r="K322" s="43" t="n">
        <f aca="false">J322/$B$15</f>
        <v>272.231801653506</v>
      </c>
    </row>
    <row r="323" customFormat="false" ht="15" hidden="false" customHeight="false" outlineLevel="0" collapsed="false">
      <c r="A323" s="50" t="n">
        <v>283</v>
      </c>
      <c r="B323" s="19" t="n">
        <f aca="true">NORMINV(RAND(),$B$6,$C$6)</f>
        <v>0.176182517070013</v>
      </c>
      <c r="C323" s="19" t="n">
        <f aca="true">MAX(0.25,NORMINV(RAND(),$B$7,$C$7))</f>
        <v>0.537255349538764</v>
      </c>
      <c r="D323" s="32" t="n">
        <f aca="true">MAX(0.07,NORMINV(RAND(),$B$8,$C$8))</f>
        <v>0.0991561249010198</v>
      </c>
      <c r="E323" s="51" t="n">
        <f aca="true">MAX(8,NORMINV(RAND(),$B$9,$C$9))</f>
        <v>14.8558427902468</v>
      </c>
      <c r="F323" s="24" t="n">
        <f aca="false">$B$18*(1+(B323+$B$17)/2)^9</f>
        <v>18269.8536024155</v>
      </c>
      <c r="G323" s="24" t="n">
        <f aca="false">F323*C323</f>
        <v>9815.57658318778</v>
      </c>
      <c r="H323" s="24" t="n">
        <f aca="false">E323*G323/(1+D323)^9</f>
        <v>62269.9693706606</v>
      </c>
      <c r="I323" s="24" t="n">
        <f aca="false">$B$13*G323/$B$12*((1+$B$8)/(1+D323))^4.5</f>
        <v>23194.9576216049</v>
      </c>
      <c r="J323" s="24" t="n">
        <f aca="false">H323+I323-$B$14</f>
        <v>83756.965197745</v>
      </c>
      <c r="K323" s="43" t="n">
        <f aca="false">J323/$B$15</f>
        <v>303.687328490736</v>
      </c>
    </row>
    <row r="324" customFormat="false" ht="15" hidden="false" customHeight="false" outlineLevel="0" collapsed="false">
      <c r="A324" s="50" t="n">
        <v>284</v>
      </c>
      <c r="B324" s="19" t="n">
        <f aca="true">NORMINV(RAND(),$B$6,$C$6)</f>
        <v>0.118926511860205</v>
      </c>
      <c r="C324" s="19" t="n">
        <f aca="true">MAX(0.25,NORMINV(RAND(),$B$7,$C$7))</f>
        <v>0.439400833878112</v>
      </c>
      <c r="D324" s="32" t="n">
        <f aca="true">MAX(0.07,NORMINV(RAND(),$B$8,$C$8))</f>
        <v>0.0930671758256227</v>
      </c>
      <c r="E324" s="51" t="n">
        <f aca="true">MAX(8,NORMINV(RAND(),$B$9,$C$9))</f>
        <v>14.5155276459208</v>
      </c>
      <c r="F324" s="24" t="n">
        <f aca="false">$B$18*(1+(B324+$B$17)/2)^9</f>
        <v>14496.5093590888</v>
      </c>
      <c r="G324" s="24" t="n">
        <f aca="false">F324*C324</f>
        <v>6369.77830070546</v>
      </c>
      <c r="H324" s="24" t="n">
        <f aca="false">E324*G324/(1+D324)^9</f>
        <v>41508.3498323491</v>
      </c>
      <c r="I324" s="24" t="n">
        <f aca="false">$B$13*G324/$B$12*((1+$B$8)/(1+D324))^4.5</f>
        <v>15433.288542912</v>
      </c>
      <c r="J324" s="24" t="n">
        <f aca="false">H324+I324-$B$14</f>
        <v>55233.6765807406</v>
      </c>
      <c r="K324" s="43" t="n">
        <f aca="false">J324/$B$15</f>
        <v>200.26713771117</v>
      </c>
    </row>
    <row r="325" customFormat="false" ht="15" hidden="false" customHeight="false" outlineLevel="0" collapsed="false">
      <c r="A325" s="50" t="n">
        <v>285</v>
      </c>
      <c r="B325" s="19" t="n">
        <f aca="true">NORMINV(RAND(),$B$6,$C$6)</f>
        <v>0.154371853680387</v>
      </c>
      <c r="C325" s="19" t="n">
        <f aca="true">MAX(0.25,NORMINV(RAND(),$B$7,$C$7))</f>
        <v>0.435938052929043</v>
      </c>
      <c r="D325" s="32" t="n">
        <f aca="true">MAX(0.07,NORMINV(RAND(),$B$8,$C$8))</f>
        <v>0.0801594273235236</v>
      </c>
      <c r="E325" s="51" t="n">
        <f aca="true">MAX(8,NORMINV(RAND(),$B$9,$C$9))</f>
        <v>14.5597189111411</v>
      </c>
      <c r="F325" s="24" t="n">
        <f aca="false">$B$18*(1+(B325+$B$17)/2)^9</f>
        <v>16740.4091510063</v>
      </c>
      <c r="G325" s="24" t="n">
        <f aca="false">F325*C325</f>
        <v>7297.78137052521</v>
      </c>
      <c r="H325" s="24" t="n">
        <f aca="false">E325*G325/(1+D325)^9</f>
        <v>53082.7111023711</v>
      </c>
      <c r="I325" s="24" t="n">
        <f aca="false">$B$13*G325/$B$12*((1+$B$8)/(1+D325))^4.5</f>
        <v>18652.6470965142</v>
      </c>
      <c r="J325" s="24" t="n">
        <f aca="false">H325+I325-$B$14</f>
        <v>70027.3964043647</v>
      </c>
      <c r="K325" s="43" t="n">
        <f aca="false">J325/$B$15</f>
        <v>253.906440915028</v>
      </c>
    </row>
    <row r="326" customFormat="false" ht="15" hidden="false" customHeight="false" outlineLevel="0" collapsed="false">
      <c r="A326" s="50" t="n">
        <v>286</v>
      </c>
      <c r="B326" s="19" t="n">
        <f aca="true">NORMINV(RAND(),$B$6,$C$6)</f>
        <v>0.16111966657508</v>
      </c>
      <c r="C326" s="19" t="n">
        <f aca="true">MAX(0.25,NORMINV(RAND(),$B$7,$C$7))</f>
        <v>0.499630627337182</v>
      </c>
      <c r="D326" s="32" t="n">
        <f aca="true">MAX(0.07,NORMINV(RAND(),$B$8,$C$8))</f>
        <v>0.112312292790944</v>
      </c>
      <c r="E326" s="51" t="n">
        <f aca="true">MAX(8,NORMINV(RAND(),$B$9,$C$9))</f>
        <v>22.9068940345768</v>
      </c>
      <c r="F326" s="24" t="n">
        <f aca="false">$B$18*(1+(B326+$B$17)/2)^9</f>
        <v>17200.9495151971</v>
      </c>
      <c r="G326" s="24" t="n">
        <f aca="false">F326*C326</f>
        <v>8594.1211970731</v>
      </c>
      <c r="H326" s="24" t="n">
        <f aca="false">E326*G326/(1+D326)^9</f>
        <v>75531.3155232599</v>
      </c>
      <c r="I326" s="24" t="n">
        <f aca="false">$B$13*G326/$B$12*((1+$B$8)/(1+D326))^4.5</f>
        <v>19249.7970373616</v>
      </c>
      <c r="J326" s="24" t="n">
        <f aca="false">H326+I326-$B$14</f>
        <v>93073.150766101</v>
      </c>
      <c r="K326" s="43" t="n">
        <f aca="false">J326/$B$15</f>
        <v>337.466101399931</v>
      </c>
    </row>
    <row r="327" customFormat="false" ht="15" hidden="false" customHeight="false" outlineLevel="0" collapsed="false">
      <c r="A327" s="50" t="n">
        <v>287</v>
      </c>
      <c r="B327" s="19" t="n">
        <f aca="true">NORMINV(RAND(),$B$6,$C$6)</f>
        <v>0.131361860844552</v>
      </c>
      <c r="C327" s="19" t="n">
        <f aca="true">MAX(0.25,NORMINV(RAND(),$B$7,$C$7))</f>
        <v>0.50465898430326</v>
      </c>
      <c r="D327" s="32" t="n">
        <f aca="true">MAX(0.07,NORMINV(RAND(),$B$8,$C$8))</f>
        <v>0.106603274399029</v>
      </c>
      <c r="E327" s="51" t="n">
        <f aca="true">MAX(8,NORMINV(RAND(),$B$9,$C$9))</f>
        <v>19.6085410237323</v>
      </c>
      <c r="F327" s="24" t="n">
        <f aca="false">$B$18*(1+(B327+$B$17)/2)^9</f>
        <v>15251.2463681526</v>
      </c>
      <c r="G327" s="24" t="n">
        <f aca="false">F327*C327</f>
        <v>7696.67850151066</v>
      </c>
      <c r="H327" s="24" t="n">
        <f aca="false">E327*G327/(1+D327)^9</f>
        <v>60648.640287715</v>
      </c>
      <c r="I327" s="24" t="n">
        <f aca="false">$B$13*G327/$B$12*((1+$B$8)/(1+D327))^4.5</f>
        <v>17643.4927610434</v>
      </c>
      <c r="J327" s="24" t="n">
        <f aca="false">H327+I327-$B$14</f>
        <v>76584.1712542378</v>
      </c>
      <c r="K327" s="43" t="n">
        <f aca="false">J327/$B$15</f>
        <v>277.680098818846</v>
      </c>
    </row>
    <row r="328" customFormat="false" ht="15" hidden="false" customHeight="false" outlineLevel="0" collapsed="false">
      <c r="A328" s="50" t="n">
        <v>288</v>
      </c>
      <c r="B328" s="19" t="n">
        <f aca="true">NORMINV(RAND(),$B$6,$C$6)</f>
        <v>0.12772581563623</v>
      </c>
      <c r="C328" s="19" t="n">
        <f aca="true">MAX(0.25,NORMINV(RAND(),$B$7,$C$7))</f>
        <v>0.471805893669997</v>
      </c>
      <c r="D328" s="32" t="n">
        <f aca="true">MAX(0.07,NORMINV(RAND(),$B$8,$C$8))</f>
        <v>0.0943493616460537</v>
      </c>
      <c r="E328" s="51" t="n">
        <f aca="true">MAX(8,NORMINV(RAND(),$B$9,$C$9))</f>
        <v>25.6365251306519</v>
      </c>
      <c r="F328" s="24" t="n">
        <f aca="false">$B$18*(1+(B328+$B$17)/2)^9</f>
        <v>15027.0324802876</v>
      </c>
      <c r="G328" s="24" t="n">
        <f aca="false">F328*C328</f>
        <v>7089.84248857016</v>
      </c>
      <c r="H328" s="24" t="n">
        <f aca="false">E328*G328/(1+D328)^9</f>
        <v>80740.576397443</v>
      </c>
      <c r="I328" s="24" t="n">
        <f aca="false">$B$13*G328/$B$12*((1+$B$8)/(1+D328))^4.5</f>
        <v>17087.5435128507</v>
      </c>
      <c r="J328" s="24" t="n">
        <f aca="false">H328+I328-$B$14</f>
        <v>96120.1581157731</v>
      </c>
      <c r="K328" s="43" t="n">
        <f aca="false">J328/$B$15</f>
        <v>348.513988817161</v>
      </c>
    </row>
    <row r="329" customFormat="false" ht="15" hidden="false" customHeight="false" outlineLevel="0" collapsed="false">
      <c r="A329" s="50" t="n">
        <v>289</v>
      </c>
      <c r="B329" s="19" t="n">
        <f aca="true">NORMINV(RAND(),$B$6,$C$6)</f>
        <v>0.121215473921373</v>
      </c>
      <c r="C329" s="19" t="n">
        <f aca="true">MAX(0.25,NORMINV(RAND(),$B$7,$C$7))</f>
        <v>0.525008097422865</v>
      </c>
      <c r="D329" s="32" t="n">
        <f aca="true">MAX(0.07,NORMINV(RAND(),$B$8,$C$8))</f>
        <v>0.103326015396174</v>
      </c>
      <c r="E329" s="51" t="n">
        <f aca="true">MAX(8,NORMINV(RAND(),$B$9,$C$9))</f>
        <v>18.922216123251</v>
      </c>
      <c r="F329" s="24" t="n">
        <f aca="false">$B$18*(1+(B329+$B$17)/2)^9</f>
        <v>14632.8868707962</v>
      </c>
      <c r="G329" s="24" t="n">
        <f aca="false">F329*C329</f>
        <v>7682.38409584075</v>
      </c>
      <c r="H329" s="24" t="n">
        <f aca="false">E329*G329/(1+D329)^9</f>
        <v>59997.5184979908</v>
      </c>
      <c r="I329" s="24" t="n">
        <f aca="false">$B$13*G329/$B$12*((1+$B$8)/(1+D329))^4.5</f>
        <v>17847.3462826377</v>
      </c>
      <c r="J329" s="24" t="n">
        <f aca="false">H329+I329-$B$14</f>
        <v>76136.902986108</v>
      </c>
      <c r="K329" s="43" t="n">
        <f aca="false">J329/$B$15</f>
        <v>276.058386461595</v>
      </c>
    </row>
    <row r="330" customFormat="false" ht="15" hidden="false" customHeight="false" outlineLevel="0" collapsed="false">
      <c r="A330" s="50" t="n">
        <v>290</v>
      </c>
      <c r="B330" s="19" t="n">
        <f aca="true">NORMINV(RAND(),$B$6,$C$6)</f>
        <v>0.169797075850791</v>
      </c>
      <c r="C330" s="19" t="n">
        <f aca="true">MAX(0.25,NORMINV(RAND(),$B$7,$C$7))</f>
        <v>0.507046685117741</v>
      </c>
      <c r="D330" s="32" t="n">
        <f aca="true">MAX(0.07,NORMINV(RAND(),$B$8,$C$8))</f>
        <v>0.096105768264687</v>
      </c>
      <c r="E330" s="51" t="n">
        <f aca="true">MAX(8,NORMINV(RAND(),$B$9,$C$9))</f>
        <v>22.3874949968667</v>
      </c>
      <c r="F330" s="24" t="n">
        <f aca="false">$B$18*(1+(B330+$B$17)/2)^9</f>
        <v>17809.7216838448</v>
      </c>
      <c r="G330" s="24" t="n">
        <f aca="false">F330*C330</f>
        <v>9030.36034266305</v>
      </c>
      <c r="H330" s="24" t="n">
        <f aca="false">E330*G330/(1+D330)^9</f>
        <v>88519.3901495591</v>
      </c>
      <c r="I330" s="24" t="n">
        <f aca="false">$B$13*G330/$B$12*((1+$B$8)/(1+D330))^4.5</f>
        <v>21607.971223587</v>
      </c>
      <c r="J330" s="24" t="n">
        <f aca="false">H330+I330-$B$14</f>
        <v>108419.399578626</v>
      </c>
      <c r="K330" s="43" t="n">
        <f aca="false">J330/$B$15</f>
        <v>393.108772946431</v>
      </c>
    </row>
    <row r="331" customFormat="false" ht="15" hidden="false" customHeight="false" outlineLevel="0" collapsed="false">
      <c r="A331" s="50" t="n">
        <v>291</v>
      </c>
      <c r="B331" s="19" t="n">
        <f aca="true">NORMINV(RAND(),$B$6,$C$6)</f>
        <v>0.113046343518487</v>
      </c>
      <c r="C331" s="19" t="n">
        <f aca="true">MAX(0.25,NORMINV(RAND(),$B$7,$C$7))</f>
        <v>0.500263081070971</v>
      </c>
      <c r="D331" s="32" t="n">
        <f aca="true">MAX(0.07,NORMINV(RAND(),$B$8,$C$8))</f>
        <v>0.0869836338814678</v>
      </c>
      <c r="E331" s="51" t="n">
        <f aca="true">MAX(8,NORMINV(RAND(),$B$9,$C$9))</f>
        <v>19.4328211314892</v>
      </c>
      <c r="F331" s="24" t="n">
        <f aca="false">$B$18*(1+(B331+$B$17)/2)^9</f>
        <v>14151.3308499287</v>
      </c>
      <c r="G331" s="24" t="n">
        <f aca="false">F331*C331</f>
        <v>7079.38837224004</v>
      </c>
      <c r="H331" s="24" t="n">
        <f aca="false">E331*G331/(1+D331)^9</f>
        <v>64941.833313121</v>
      </c>
      <c r="I331" s="24" t="n">
        <f aca="false">$B$13*G331/$B$12*((1+$B$8)/(1+D331))^4.5</f>
        <v>17588.8405406454</v>
      </c>
      <c r="J331" s="24" t="n">
        <f aca="false">H331+I331-$B$14</f>
        <v>80822.7120592458</v>
      </c>
      <c r="K331" s="43" t="n">
        <f aca="false">J331/$B$15</f>
        <v>293.048267074858</v>
      </c>
    </row>
    <row r="332" customFormat="false" ht="15" hidden="false" customHeight="false" outlineLevel="0" collapsed="false">
      <c r="A332" s="50" t="n">
        <v>292</v>
      </c>
      <c r="B332" s="19" t="n">
        <f aca="true">NORMINV(RAND(),$B$6,$C$6)</f>
        <v>0.0869130075173409</v>
      </c>
      <c r="C332" s="19" t="n">
        <f aca="true">MAX(0.25,NORMINV(RAND(),$B$7,$C$7))</f>
        <v>0.523766103563232</v>
      </c>
      <c r="D332" s="32" t="n">
        <f aca="true">MAX(0.07,NORMINV(RAND(),$B$8,$C$8))</f>
        <v>0.104269788739308</v>
      </c>
      <c r="E332" s="51" t="n">
        <f aca="true">MAX(8,NORMINV(RAND(),$B$9,$C$9))</f>
        <v>19.6187424746564</v>
      </c>
      <c r="F332" s="24" t="n">
        <f aca="false">$B$18*(1+(B332+$B$17)/2)^9</f>
        <v>12703.994294639</v>
      </c>
      <c r="G332" s="24" t="n">
        <f aca="false">F332*C332</f>
        <v>6653.92159139257</v>
      </c>
      <c r="H332" s="24" t="n">
        <f aca="false">E332*G332/(1+D332)^9</f>
        <v>53465.3149600416</v>
      </c>
      <c r="I332" s="24" t="n">
        <f aca="false">$B$13*G332/$B$12*((1+$B$8)/(1+D332))^4.5</f>
        <v>15398.709211298</v>
      </c>
      <c r="J332" s="24" t="n">
        <f aca="false">H332+I332-$B$14</f>
        <v>67156.0623768191</v>
      </c>
      <c r="K332" s="43" t="n">
        <f aca="false">J332/$B$15</f>
        <v>243.495512606306</v>
      </c>
    </row>
    <row r="333" customFormat="false" ht="15" hidden="false" customHeight="false" outlineLevel="0" collapsed="false">
      <c r="A333" s="50" t="n">
        <v>293</v>
      </c>
      <c r="B333" s="19" t="n">
        <f aca="true">NORMINV(RAND(),$B$6,$C$6)</f>
        <v>0.0946056719495366</v>
      </c>
      <c r="C333" s="19" t="n">
        <f aca="true">MAX(0.25,NORMINV(RAND(),$B$7,$C$7))</f>
        <v>0.478323333451857</v>
      </c>
      <c r="D333" s="32" t="n">
        <f aca="true">MAX(0.07,NORMINV(RAND(),$B$8,$C$8))</f>
        <v>0.0996236730409985</v>
      </c>
      <c r="E333" s="51" t="n">
        <f aca="true">MAX(8,NORMINV(RAND(),$B$9,$C$9))</f>
        <v>23.7605886831718</v>
      </c>
      <c r="F333" s="24" t="n">
        <f aca="false">$B$18*(1+(B333+$B$17)/2)^9</f>
        <v>13115.7052756202</v>
      </c>
      <c r="G333" s="24" t="n">
        <f aca="false">F333*C333</f>
        <v>6273.54786800677</v>
      </c>
      <c r="H333" s="24" t="n">
        <f aca="false">E333*G333/(1+D333)^9</f>
        <v>63412.3260998636</v>
      </c>
      <c r="I333" s="24" t="n">
        <f aca="false">$B$13*G333/$B$12*((1+$B$8)/(1+D333))^4.5</f>
        <v>14796.5289731151</v>
      </c>
      <c r="J333" s="24" t="n">
        <f aca="false">H333+I333-$B$14</f>
        <v>76500.8932784581</v>
      </c>
      <c r="K333" s="43" t="n">
        <f aca="false">J333/$B$15</f>
        <v>277.37814821776</v>
      </c>
    </row>
    <row r="334" customFormat="false" ht="15" hidden="false" customHeight="false" outlineLevel="0" collapsed="false">
      <c r="A334" s="50" t="n">
        <v>294</v>
      </c>
      <c r="B334" s="19" t="n">
        <f aca="true">NORMINV(RAND(),$B$6,$C$6)</f>
        <v>0.0964315721392754</v>
      </c>
      <c r="C334" s="19" t="n">
        <f aca="true">MAX(0.25,NORMINV(RAND(),$B$7,$C$7))</f>
        <v>0.525518737050061</v>
      </c>
      <c r="D334" s="32" t="n">
        <f aca="true">MAX(0.07,NORMINV(RAND(),$B$8,$C$8))</f>
        <v>0.0946968676009969</v>
      </c>
      <c r="E334" s="51" t="n">
        <f aca="true">MAX(8,NORMINV(RAND(),$B$9,$C$9))</f>
        <v>16.1388635919983</v>
      </c>
      <c r="F334" s="24" t="n">
        <f aca="false">$B$18*(1+(B334+$B$17)/2)^9</f>
        <v>13215.1518205376</v>
      </c>
      <c r="G334" s="24" t="n">
        <f aca="false">F334*C334</f>
        <v>6944.80989465372</v>
      </c>
      <c r="H334" s="24" t="n">
        <f aca="false">E334*G334/(1+D334)^9</f>
        <v>49646.4768611081</v>
      </c>
      <c r="I334" s="24" t="n">
        <f aca="false">$B$13*G334/$B$12*((1+$B$8)/(1+D334))^4.5</f>
        <v>16714.0970516061</v>
      </c>
      <c r="J334" s="24" t="n">
        <f aca="false">H334+I334-$B$14</f>
        <v>64652.6121181937</v>
      </c>
      <c r="K334" s="43" t="n">
        <f aca="false">J334/$B$15</f>
        <v>234.418463082646</v>
      </c>
    </row>
    <row r="335" customFormat="false" ht="15" hidden="false" customHeight="false" outlineLevel="0" collapsed="false">
      <c r="A335" s="50" t="n">
        <v>295</v>
      </c>
      <c r="B335" s="19" t="n">
        <f aca="true">NORMINV(RAND(),$B$6,$C$6)</f>
        <v>0.0964150096926766</v>
      </c>
      <c r="C335" s="19" t="n">
        <f aca="true">MAX(0.25,NORMINV(RAND(),$B$7,$C$7))</f>
        <v>0.433281146893033</v>
      </c>
      <c r="D335" s="32" t="n">
        <f aca="true">MAX(0.07,NORMINV(RAND(),$B$8,$C$8))</f>
        <v>0.0982661195762161</v>
      </c>
      <c r="E335" s="51" t="n">
        <f aca="true">MAX(8,NORMINV(RAND(),$B$9,$C$9))</f>
        <v>22.716109081746</v>
      </c>
      <c r="F335" s="24" t="n">
        <f aca="false">$B$18*(1+(B335+$B$17)/2)^9</f>
        <v>13214.2467531415</v>
      </c>
      <c r="G335" s="24" t="n">
        <f aca="false">F335*C335</f>
        <v>5725.4839885287</v>
      </c>
      <c r="H335" s="24" t="n">
        <f aca="false">E335*G335/(1+D335)^9</f>
        <v>55947.1378435913</v>
      </c>
      <c r="I335" s="24" t="n">
        <f aca="false">$B$13*G335/$B$12*((1+$B$8)/(1+D335))^4.5</f>
        <v>13579.164929647</v>
      </c>
      <c r="J335" s="24" t="n">
        <f aca="false">H335+I335-$B$14</f>
        <v>67818.3409787177</v>
      </c>
      <c r="K335" s="43" t="n">
        <f aca="false">J335/$B$15</f>
        <v>245.896812830739</v>
      </c>
    </row>
    <row r="336" customFormat="false" ht="15" hidden="false" customHeight="false" outlineLevel="0" collapsed="false">
      <c r="A336" s="50" t="n">
        <v>296</v>
      </c>
      <c r="B336" s="19" t="n">
        <f aca="true">NORMINV(RAND(),$B$6,$C$6)</f>
        <v>0.129732407230831</v>
      </c>
      <c r="C336" s="19" t="n">
        <f aca="true">MAX(0.25,NORMINV(RAND(),$B$7,$C$7))</f>
        <v>0.508130722767495</v>
      </c>
      <c r="D336" s="32" t="n">
        <f aca="true">MAX(0.07,NORMINV(RAND(),$B$8,$C$8))</f>
        <v>0.118420552983654</v>
      </c>
      <c r="E336" s="51" t="n">
        <f aca="true">MAX(8,NORMINV(RAND(),$B$9,$C$9))</f>
        <v>16.2890480057213</v>
      </c>
      <c r="F336" s="24" t="n">
        <f aca="false">$B$18*(1+(B336+$B$17)/2)^9</f>
        <v>15150.4023135517</v>
      </c>
      <c r="G336" s="24" t="n">
        <f aca="false">F336*C336</f>
        <v>7698.38487780334</v>
      </c>
      <c r="H336" s="24" t="n">
        <f aca="false">E336*G336/(1+D336)^9</f>
        <v>45798.2694781229</v>
      </c>
      <c r="I336" s="24" t="n">
        <f aca="false">$B$13*G336/$B$12*((1+$B$8)/(1+D336))^4.5</f>
        <v>16823.6989832059</v>
      </c>
      <c r="J336" s="24" t="n">
        <f aca="false">H336+I336-$B$14</f>
        <v>60914.0066668083</v>
      </c>
      <c r="K336" s="43" t="n">
        <f aca="false">J336/$B$15</f>
        <v>220.862968335055</v>
      </c>
    </row>
    <row r="337" customFormat="false" ht="15" hidden="false" customHeight="false" outlineLevel="0" collapsed="false">
      <c r="A337" s="50" t="n">
        <v>297</v>
      </c>
      <c r="B337" s="19" t="n">
        <f aca="true">NORMINV(RAND(),$B$6,$C$6)</f>
        <v>0.108227230137755</v>
      </c>
      <c r="C337" s="19" t="n">
        <f aca="true">MAX(0.25,NORMINV(RAND(),$B$7,$C$7))</f>
        <v>0.50898000782704</v>
      </c>
      <c r="D337" s="32" t="n">
        <f aca="true">MAX(0.07,NORMINV(RAND(),$B$8,$C$8))</f>
        <v>0.107372949861439</v>
      </c>
      <c r="E337" s="51" t="n">
        <f aca="true">MAX(8,NORMINV(RAND(),$B$9,$C$9))</f>
        <v>20.8330048232984</v>
      </c>
      <c r="F337" s="24" t="n">
        <f aca="false">$B$18*(1+(B337+$B$17)/2)^9</f>
        <v>13873.9065046411</v>
      </c>
      <c r="G337" s="24" t="n">
        <f aca="false">F337*C337</f>
        <v>7061.54104132385</v>
      </c>
      <c r="H337" s="24" t="n">
        <f aca="false">E337*G337/(1+D337)^9</f>
        <v>58749.774773589</v>
      </c>
      <c r="I337" s="24" t="n">
        <f aca="false">$B$13*G337/$B$12*((1+$B$8)/(1+D337))^4.5</f>
        <v>16136.9660916285</v>
      </c>
      <c r="J337" s="24" t="n">
        <f aca="false">H337+I337-$B$14</f>
        <v>73178.7790706969</v>
      </c>
      <c r="K337" s="43" t="n">
        <f aca="false">J337/$B$15</f>
        <v>265.332774005428</v>
      </c>
    </row>
    <row r="338" customFormat="false" ht="15" hidden="false" customHeight="false" outlineLevel="0" collapsed="false">
      <c r="A338" s="50" t="n">
        <v>298</v>
      </c>
      <c r="B338" s="19" t="n">
        <f aca="true">NORMINV(RAND(),$B$6,$C$6)</f>
        <v>0.11615141226396</v>
      </c>
      <c r="C338" s="19" t="n">
        <f aca="true">MAX(0.25,NORMINV(RAND(),$B$7,$C$7))</f>
        <v>0.498278564829394</v>
      </c>
      <c r="D338" s="32" t="n">
        <f aca="true">MAX(0.07,NORMINV(RAND(),$B$8,$C$8))</f>
        <v>0.10170587507761</v>
      </c>
      <c r="E338" s="51" t="n">
        <f aca="true">MAX(8,NORMINV(RAND(),$B$9,$C$9))</f>
        <v>16.8823599971112</v>
      </c>
      <c r="F338" s="24" t="n">
        <f aca="false">$B$18*(1+(B338+$B$17)/2)^9</f>
        <v>14332.6835313195</v>
      </c>
      <c r="G338" s="24" t="n">
        <f aca="false">F338*C338</f>
        <v>7141.66898013978</v>
      </c>
      <c r="H338" s="24" t="n">
        <f aca="false">E338*G338/(1+D338)^9</f>
        <v>50424.5330049458</v>
      </c>
      <c r="I338" s="24" t="n">
        <f aca="false">$B$13*G338/$B$12*((1+$B$8)/(1+D338))^4.5</f>
        <v>16701.2593095307</v>
      </c>
      <c r="J338" s="24" t="n">
        <f aca="false">H338+I338-$B$14</f>
        <v>65417.8305199559</v>
      </c>
      <c r="K338" s="43" t="n">
        <f aca="false">J338/$B$15</f>
        <v>237.193004060754</v>
      </c>
    </row>
    <row r="339" customFormat="false" ht="15" hidden="false" customHeight="false" outlineLevel="0" collapsed="false">
      <c r="A339" s="50" t="n">
        <v>299</v>
      </c>
      <c r="B339" s="19" t="n">
        <f aca="true">NORMINV(RAND(),$B$6,$C$6)</f>
        <v>0.195517178273946</v>
      </c>
      <c r="C339" s="19" t="n">
        <f aca="true">MAX(0.25,NORMINV(RAND(),$B$7,$C$7))</f>
        <v>0.490238277061689</v>
      </c>
      <c r="D339" s="32" t="n">
        <f aca="true">MAX(0.07,NORMINV(RAND(),$B$8,$C$8))</f>
        <v>0.0959709140380543</v>
      </c>
      <c r="E339" s="51" t="n">
        <f aca="true">MAX(8,NORMINV(RAND(),$B$9,$C$9))</f>
        <v>17.929666849964</v>
      </c>
      <c r="F339" s="24" t="n">
        <f aca="false">$B$18*(1+(B339+$B$17)/2)^9</f>
        <v>19728.2274679409</v>
      </c>
      <c r="G339" s="24" t="n">
        <f aca="false">F339*C339</f>
        <v>9671.53224336441</v>
      </c>
      <c r="H339" s="24" t="n">
        <f aca="false">E339*G339/(1+D339)^9</f>
        <v>76010.9651428127</v>
      </c>
      <c r="I339" s="24" t="n">
        <f aca="false">$B$13*G339/$B$12*((1+$B$8)/(1+D339))^4.5</f>
        <v>23154.9929089667</v>
      </c>
      <c r="J339" s="24" t="n">
        <f aca="false">H339+I339-$B$14</f>
        <v>97457.9962572588</v>
      </c>
      <c r="K339" s="43" t="n">
        <f aca="false">J339/$B$15</f>
        <v>353.364743499851</v>
      </c>
    </row>
    <row r="340" customFormat="false" ht="15" hidden="false" customHeight="false" outlineLevel="0" collapsed="false">
      <c r="A340" s="50" t="n">
        <v>300</v>
      </c>
      <c r="B340" s="19" t="n">
        <f aca="true">NORMINV(RAND(),$B$6,$C$6)</f>
        <v>0.0861840041143697</v>
      </c>
      <c r="C340" s="19" t="n">
        <f aca="true">MAX(0.25,NORMINV(RAND(),$B$7,$C$7))</f>
        <v>0.489260314323513</v>
      </c>
      <c r="D340" s="32" t="n">
        <f aca="true">MAX(0.07,NORMINV(RAND(),$B$8,$C$8))</f>
        <v>0.0973904116067074</v>
      </c>
      <c r="E340" s="51" t="n">
        <f aca="true">MAX(8,NORMINV(RAND(),$B$9,$C$9))</f>
        <v>16.6309008803344</v>
      </c>
      <c r="F340" s="24" t="n">
        <f aca="false">$B$18*(1+(B340+$B$17)/2)^9</f>
        <v>12665.5805615664</v>
      </c>
      <c r="G340" s="24" t="n">
        <f aca="false">F340*C340</f>
        <v>6196.76592664175</v>
      </c>
      <c r="H340" s="24" t="n">
        <f aca="false">E340*G340/(1+D340)^9</f>
        <v>44650.9204046325</v>
      </c>
      <c r="I340" s="24" t="n">
        <f aca="false">$B$13*G340/$B$12*((1+$B$8)/(1+D340))^4.5</f>
        <v>14749.7569127157</v>
      </c>
      <c r="J340" s="24" t="n">
        <f aca="false">H340+I340-$B$14</f>
        <v>57692.7155228276</v>
      </c>
      <c r="K340" s="43" t="n">
        <f aca="false">J340/$B$15</f>
        <v>209.183159981246</v>
      </c>
    </row>
    <row r="341" customFormat="false" ht="15" hidden="false" customHeight="false" outlineLevel="0" collapsed="false">
      <c r="A341" s="50" t="n">
        <v>301</v>
      </c>
      <c r="B341" s="19" t="n">
        <f aca="true">NORMINV(RAND(),$B$6,$C$6)</f>
        <v>0.186715901551889</v>
      </c>
      <c r="C341" s="19" t="n">
        <f aca="true">MAX(0.25,NORMINV(RAND(),$B$7,$C$7))</f>
        <v>0.463299548251749</v>
      </c>
      <c r="D341" s="32" t="n">
        <f aca="true">MAX(0.07,NORMINV(RAND(),$B$8,$C$8))</f>
        <v>0.101627098279084</v>
      </c>
      <c r="E341" s="51" t="n">
        <f aca="true">MAX(8,NORMINV(RAND(),$B$9,$C$9))</f>
        <v>20.4526987595608</v>
      </c>
      <c r="F341" s="24" t="n">
        <f aca="false">$B$18*(1+(B341+$B$17)/2)^9</f>
        <v>19052.0109643221</v>
      </c>
      <c r="G341" s="24" t="n">
        <f aca="false">F341*C341</f>
        <v>8826.78807305777</v>
      </c>
      <c r="H341" s="24" t="n">
        <f aca="false">E341*G341/(1+D341)^9</f>
        <v>75551.2802974253</v>
      </c>
      <c r="I341" s="24" t="n">
        <f aca="false">$B$13*G341/$B$12*((1+$B$8)/(1+D341))^4.5</f>
        <v>20648.6636414549</v>
      </c>
      <c r="J341" s="24" t="n">
        <f aca="false">H341+I341-$B$14</f>
        <v>94491.9821443596</v>
      </c>
      <c r="K341" s="43" t="n">
        <f aca="false">J341/$B$15</f>
        <v>342.610522640898</v>
      </c>
    </row>
    <row r="342" customFormat="false" ht="15" hidden="false" customHeight="false" outlineLevel="0" collapsed="false">
      <c r="A342" s="50" t="n">
        <v>302</v>
      </c>
      <c r="B342" s="19" t="n">
        <f aca="true">NORMINV(RAND(),$B$6,$C$6)</f>
        <v>0.17081832316641</v>
      </c>
      <c r="C342" s="19" t="n">
        <f aca="true">MAX(0.25,NORMINV(RAND(),$B$7,$C$7))</f>
        <v>0.499020643353134</v>
      </c>
      <c r="D342" s="32" t="n">
        <f aca="true">MAX(0.07,NORMINV(RAND(),$B$8,$C$8))</f>
        <v>0.0982046787806639</v>
      </c>
      <c r="E342" s="51" t="n">
        <f aca="true">MAX(8,NORMINV(RAND(),$B$9,$C$9))</f>
        <v>19.6142353227892</v>
      </c>
      <c r="F342" s="24" t="n">
        <f aca="false">$B$18*(1+(B342+$B$17)/2)^9</f>
        <v>17882.6130174725</v>
      </c>
      <c r="G342" s="24" t="n">
        <f aca="false">F342*C342</f>
        <v>8923.79305281424</v>
      </c>
      <c r="H342" s="24" t="n">
        <f aca="false">E342*G342/(1+D342)^9</f>
        <v>75330.5719632692</v>
      </c>
      <c r="I342" s="24" t="n">
        <f aca="false">$B$13*G342/$B$12*((1+$B$8)/(1+D342))^4.5</f>
        <v>21169.9427562347</v>
      </c>
      <c r="J342" s="24" t="n">
        <f aca="false">H342+I342-$B$14</f>
        <v>94792.5529249833</v>
      </c>
      <c r="K342" s="43" t="n">
        <f aca="false">J342/$B$15</f>
        <v>343.700336928873</v>
      </c>
    </row>
    <row r="343" customFormat="false" ht="15" hidden="false" customHeight="false" outlineLevel="0" collapsed="false">
      <c r="A343" s="50" t="n">
        <v>303</v>
      </c>
      <c r="B343" s="19" t="n">
        <f aca="true">NORMINV(RAND(),$B$6,$C$6)</f>
        <v>0.0895920755695019</v>
      </c>
      <c r="C343" s="19" t="n">
        <f aca="true">MAX(0.25,NORMINV(RAND(),$B$7,$C$7))</f>
        <v>0.467445659773665</v>
      </c>
      <c r="D343" s="32" t="n">
        <f aca="true">MAX(0.07,NORMINV(RAND(),$B$8,$C$8))</f>
        <v>0.0924903084459704</v>
      </c>
      <c r="E343" s="51" t="n">
        <f aca="true">MAX(8,NORMINV(RAND(),$B$9,$C$9))</f>
        <v>24.9983532269658</v>
      </c>
      <c r="F343" s="24" t="n">
        <f aca="false">$B$18*(1+(B343+$B$17)/2)^9</f>
        <v>12846.0549179663</v>
      </c>
      <c r="G343" s="24" t="n">
        <f aca="false">F343*C343</f>
        <v>6004.83261661748</v>
      </c>
      <c r="H343" s="24" t="n">
        <f aca="false">E343*G343/(1+D343)^9</f>
        <v>67710.1801613659</v>
      </c>
      <c r="I343" s="24" t="n">
        <f aca="false">$B$13*G343/$B$12*((1+$B$8)/(1+D343))^4.5</f>
        <v>14583.6668384155</v>
      </c>
      <c r="J343" s="24" t="n">
        <f aca="false">H343+I343-$B$14</f>
        <v>80585.8852052608</v>
      </c>
      <c r="K343" s="43" t="n">
        <f aca="false">J343/$B$15</f>
        <v>292.189576523788</v>
      </c>
    </row>
    <row r="344" customFormat="false" ht="15" hidden="false" customHeight="false" outlineLevel="0" collapsed="false">
      <c r="A344" s="50" t="n">
        <v>304</v>
      </c>
      <c r="B344" s="19" t="n">
        <f aca="true">NORMINV(RAND(),$B$6,$C$6)</f>
        <v>0.0727063016207811</v>
      </c>
      <c r="C344" s="19" t="n">
        <f aca="true">MAX(0.25,NORMINV(RAND(),$B$7,$C$7))</f>
        <v>0.486350433210449</v>
      </c>
      <c r="D344" s="32" t="n">
        <f aca="true">MAX(0.07,NORMINV(RAND(),$B$8,$C$8))</f>
        <v>0.0999769465066576</v>
      </c>
      <c r="E344" s="51" t="n">
        <f aca="true">MAX(8,NORMINV(RAND(),$B$9,$C$9))</f>
        <v>18.5742497690001</v>
      </c>
      <c r="F344" s="24" t="n">
        <f aca="false">$B$18*(1+(B344+$B$17)/2)^9</f>
        <v>11973.7459705663</v>
      </c>
      <c r="G344" s="24" t="n">
        <f aca="false">F344*C344</f>
        <v>5823.43653993678</v>
      </c>
      <c r="H344" s="24" t="n">
        <f aca="false">E344*G344/(1+D344)^9</f>
        <v>45881.581498584</v>
      </c>
      <c r="I344" s="24" t="n">
        <f aca="false">$B$13*G344/$B$12*((1+$B$8)/(1+D344))^4.5</f>
        <v>13715.0760288133</v>
      </c>
      <c r="J344" s="24" t="n">
        <f aca="false">H344+I344-$B$14</f>
        <v>57888.6957328768</v>
      </c>
      <c r="K344" s="43" t="n">
        <f aca="false">J344/$B$15</f>
        <v>209.893748125006</v>
      </c>
    </row>
    <row r="345" customFormat="false" ht="15" hidden="false" customHeight="false" outlineLevel="0" collapsed="false">
      <c r="A345" s="50" t="n">
        <v>305</v>
      </c>
      <c r="B345" s="19" t="n">
        <f aca="true">NORMINV(RAND(),$B$6,$C$6)</f>
        <v>0.116201868492903</v>
      </c>
      <c r="C345" s="19" t="n">
        <f aca="true">MAX(0.25,NORMINV(RAND(),$B$7,$C$7))</f>
        <v>0.493701130864283</v>
      </c>
      <c r="D345" s="32" t="n">
        <f aca="true">MAX(0.07,NORMINV(RAND(),$B$8,$C$8))</f>
        <v>0.0898095993610998</v>
      </c>
      <c r="E345" s="51" t="n">
        <f aca="true">MAX(8,NORMINV(RAND(),$B$9,$C$9))</f>
        <v>23.8741486339287</v>
      </c>
      <c r="F345" s="24" t="n">
        <f aca="false">$B$18*(1+(B345+$B$17)/2)^9</f>
        <v>14335.6474237828</v>
      </c>
      <c r="G345" s="24" t="n">
        <f aca="false">F345*C345</f>
        <v>7077.52534479323</v>
      </c>
      <c r="H345" s="24" t="n">
        <f aca="false">E345*G345/(1+D345)^9</f>
        <v>77920.8472008399</v>
      </c>
      <c r="I345" s="24" t="n">
        <f aca="false">$B$13*G345/$B$12*((1+$B$8)/(1+D345))^4.5</f>
        <v>17379.9530816045</v>
      </c>
      <c r="J345" s="24" t="n">
        <f aca="false">H345+I345-$B$14</f>
        <v>93592.8384879239</v>
      </c>
      <c r="K345" s="43" t="n">
        <f aca="false">J345/$B$15</f>
        <v>339.350393357229</v>
      </c>
    </row>
    <row r="346" customFormat="false" ht="15" hidden="false" customHeight="false" outlineLevel="0" collapsed="false">
      <c r="A346" s="50" t="n">
        <v>306</v>
      </c>
      <c r="B346" s="19" t="n">
        <f aca="true">NORMINV(RAND(),$B$6,$C$6)</f>
        <v>0.182868852794884</v>
      </c>
      <c r="C346" s="19" t="n">
        <f aca="true">MAX(0.25,NORMINV(RAND(),$B$7,$C$7))</f>
        <v>0.534737658433121</v>
      </c>
      <c r="D346" s="32" t="n">
        <f aca="true">MAX(0.07,NORMINV(RAND(),$B$8,$C$8))</f>
        <v>0.103406661141544</v>
      </c>
      <c r="E346" s="51" t="n">
        <f aca="true">MAX(8,NORMINV(RAND(),$B$9,$C$9))</f>
        <v>18.1106073498364</v>
      </c>
      <c r="F346" s="24" t="n">
        <f aca="false">$B$18*(1+(B346+$B$17)/2)^9</f>
        <v>18762.9647526776</v>
      </c>
      <c r="G346" s="24" t="n">
        <f aca="false">F346*C346</f>
        <v>10033.26383711</v>
      </c>
      <c r="H346" s="24" t="n">
        <f aca="false">E346*G346/(1+D346)^9</f>
        <v>74947.1003282642</v>
      </c>
      <c r="I346" s="24" t="n">
        <f aca="false">$B$13*G346/$B$12*((1+$B$8)/(1+D346))^4.5</f>
        <v>23301.1321629758</v>
      </c>
      <c r="J346" s="24" t="n">
        <f aca="false">H346+I346-$B$14</f>
        <v>96540.2706967195</v>
      </c>
      <c r="K346" s="43" t="n">
        <f aca="false">J346/$B$15</f>
        <v>350.03723965453</v>
      </c>
    </row>
    <row r="347" customFormat="false" ht="15" hidden="false" customHeight="false" outlineLevel="0" collapsed="false">
      <c r="A347" s="50" t="n">
        <v>307</v>
      </c>
      <c r="B347" s="19" t="n">
        <f aca="true">NORMINV(RAND(),$B$6,$C$6)</f>
        <v>0.15249416054432</v>
      </c>
      <c r="C347" s="19" t="n">
        <f aca="true">MAX(0.25,NORMINV(RAND(),$B$7,$C$7))</f>
        <v>0.570777764152088</v>
      </c>
      <c r="D347" s="32" t="n">
        <f aca="true">MAX(0.07,NORMINV(RAND(),$B$8,$C$8))</f>
        <v>0.103938752553999</v>
      </c>
      <c r="E347" s="51" t="n">
        <f aca="true">MAX(8,NORMINV(RAND(),$B$9,$C$9))</f>
        <v>23.0502336761186</v>
      </c>
      <c r="F347" s="24" t="n">
        <f aca="false">$B$18*(1+(B347+$B$17)/2)^9</f>
        <v>16614.2210843805</v>
      </c>
      <c r="G347" s="24" t="n">
        <f aca="false">F347*C347</f>
        <v>9483.02796367115</v>
      </c>
      <c r="H347" s="24" t="n">
        <f aca="false">E347*G347/(1+D347)^9</f>
        <v>89767.1738264923</v>
      </c>
      <c r="I347" s="24" t="n">
        <f aca="false">$B$13*G347/$B$12*((1+$B$8)/(1+D347))^4.5</f>
        <v>21975.5433741124</v>
      </c>
      <c r="J347" s="24" t="n">
        <f aca="false">H347+I347-$B$14</f>
        <v>110034.755406084</v>
      </c>
      <c r="K347" s="43" t="n">
        <f aca="false">J347/$B$15</f>
        <v>398.965755642074</v>
      </c>
    </row>
    <row r="348" customFormat="false" ht="15" hidden="false" customHeight="false" outlineLevel="0" collapsed="false">
      <c r="A348" s="50" t="n">
        <v>308</v>
      </c>
      <c r="B348" s="19" t="n">
        <f aca="true">NORMINV(RAND(),$B$6,$C$6)</f>
        <v>0.074716569341995</v>
      </c>
      <c r="C348" s="19" t="n">
        <f aca="true">MAX(0.25,NORMINV(RAND(),$B$7,$C$7))</f>
        <v>0.468673669393254</v>
      </c>
      <c r="D348" s="32" t="n">
        <f aca="true">MAX(0.07,NORMINV(RAND(),$B$8,$C$8))</f>
        <v>0.0802608949055813</v>
      </c>
      <c r="E348" s="51" t="n">
        <f aca="true">MAX(8,NORMINV(RAND(),$B$9,$C$9))</f>
        <v>19.6659517989598</v>
      </c>
      <c r="F348" s="24" t="n">
        <f aca="false">$B$18*(1+(B348+$B$17)/2)^9</f>
        <v>12074.7559783678</v>
      </c>
      <c r="G348" s="24" t="n">
        <f aca="false">F348*C348</f>
        <v>5659.12019140979</v>
      </c>
      <c r="H348" s="24" t="n">
        <f aca="false">E348*G348/(1+D348)^9</f>
        <v>55552.8050305663</v>
      </c>
      <c r="I348" s="24" t="n">
        <f aca="false">$B$13*G348/$B$12*((1+$B$8)/(1+D348))^4.5</f>
        <v>14458.2245977525</v>
      </c>
      <c r="J348" s="24" t="n">
        <f aca="false">H348+I348-$B$14</f>
        <v>68303.0678337982</v>
      </c>
      <c r="K348" s="43" t="n">
        <f aca="false">J348/$B$15</f>
        <v>247.654343124722</v>
      </c>
    </row>
    <row r="349" customFormat="false" ht="15" hidden="false" customHeight="false" outlineLevel="0" collapsed="false">
      <c r="A349" s="50" t="n">
        <v>309</v>
      </c>
      <c r="B349" s="19" t="n">
        <f aca="true">NORMINV(RAND(),$B$6,$C$6)</f>
        <v>0.127092839207305</v>
      </c>
      <c r="C349" s="19" t="n">
        <f aca="true">MAX(0.25,NORMINV(RAND(),$B$7,$C$7))</f>
        <v>0.487929892354827</v>
      </c>
      <c r="D349" s="32" t="n">
        <f aca="true">MAX(0.07,NORMINV(RAND(),$B$8,$C$8))</f>
        <v>0.0859246966223443</v>
      </c>
      <c r="E349" s="51" t="n">
        <f aca="true">MAX(8,NORMINV(RAND(),$B$9,$C$9))</f>
        <v>14.0676927657832</v>
      </c>
      <c r="F349" s="24" t="n">
        <f aca="false">$B$18*(1+(B349+$B$17)/2)^9</f>
        <v>14988.3013547192</v>
      </c>
      <c r="G349" s="24" t="n">
        <f aca="false">F349*C349</f>
        <v>7313.24026658985</v>
      </c>
      <c r="H349" s="24" t="n">
        <f aca="false">E349*G349/(1+D349)^9</f>
        <v>48993.1457068734</v>
      </c>
      <c r="I349" s="24" t="n">
        <f aca="false">$B$13*G349/$B$12*((1+$B$8)/(1+D349))^4.5</f>
        <v>18249.7173645313</v>
      </c>
      <c r="J349" s="24" t="n">
        <f aca="false">H349+I349-$B$14</f>
        <v>65534.9012768842</v>
      </c>
      <c r="K349" s="43" t="n">
        <f aca="false">J349/$B$15</f>
        <v>237.617481061944</v>
      </c>
    </row>
    <row r="350" customFormat="false" ht="15" hidden="false" customHeight="false" outlineLevel="0" collapsed="false">
      <c r="A350" s="50" t="n">
        <v>310</v>
      </c>
      <c r="B350" s="19" t="n">
        <f aca="true">NORMINV(RAND(),$B$6,$C$6)</f>
        <v>0.121334590518601</v>
      </c>
      <c r="C350" s="19" t="n">
        <f aca="true">MAX(0.25,NORMINV(RAND(),$B$7,$C$7))</f>
        <v>0.487615361323759</v>
      </c>
      <c r="D350" s="32" t="n">
        <f aca="true">MAX(0.07,NORMINV(RAND(),$B$8,$C$8))</f>
        <v>0.0977460930563754</v>
      </c>
      <c r="E350" s="51" t="n">
        <f aca="true">MAX(8,NORMINV(RAND(),$B$9,$C$9))</f>
        <v>18.983929909525</v>
      </c>
      <c r="F350" s="24" t="n">
        <f aca="false">$B$18*(1+(B350+$B$17)/2)^9</f>
        <v>14640.0150113277</v>
      </c>
      <c r="G350" s="24" t="n">
        <f aca="false">F350*C350</f>
        <v>7138.6962095338</v>
      </c>
      <c r="H350" s="24" t="n">
        <f aca="false">E350*G350/(1+D350)^9</f>
        <v>58544.7453916339</v>
      </c>
      <c r="I350" s="24" t="n">
        <f aca="false">$B$13*G350/$B$12*((1+$B$8)/(1+D350))^4.5</f>
        <v>16967.0112246172</v>
      </c>
      <c r="J350" s="24" t="n">
        <f aca="false">H350+I350-$B$14</f>
        <v>73803.7948217305</v>
      </c>
      <c r="K350" s="43" t="n">
        <f aca="false">J350/$B$15</f>
        <v>267.598965996122</v>
      </c>
    </row>
    <row r="351" customFormat="false" ht="15" hidden="false" customHeight="false" outlineLevel="0" collapsed="false">
      <c r="A351" s="50" t="n">
        <v>311</v>
      </c>
      <c r="B351" s="19" t="n">
        <f aca="true">NORMINV(RAND(),$B$6,$C$6)</f>
        <v>0.146296281059983</v>
      </c>
      <c r="C351" s="19" t="n">
        <f aca="true">MAX(0.25,NORMINV(RAND(),$B$7,$C$7))</f>
        <v>0.564199547015478</v>
      </c>
      <c r="D351" s="32" t="n">
        <f aca="true">MAX(0.07,NORMINV(RAND(),$B$8,$C$8))</f>
        <v>0.1007469154984</v>
      </c>
      <c r="E351" s="51" t="n">
        <f aca="true">MAX(8,NORMINV(RAND(),$B$9,$C$9))</f>
        <v>21.0515680190359</v>
      </c>
      <c r="F351" s="24" t="n">
        <f aca="false">$B$18*(1+(B351+$B$17)/2)^9</f>
        <v>16203.6796494485</v>
      </c>
      <c r="G351" s="24" t="n">
        <f aca="false">F351*C351</f>
        <v>9142.10871820277</v>
      </c>
      <c r="H351" s="24" t="n">
        <f aca="false">E351*G351/(1+D351)^9</f>
        <v>81122.9129515855</v>
      </c>
      <c r="I351" s="24" t="n">
        <f aca="false">$B$13*G351/$B$12*((1+$B$8)/(1+D351))^4.5</f>
        <v>21463.3610531247</v>
      </c>
      <c r="J351" s="24" t="n">
        <f aca="false">H351+I351-$B$14</f>
        <v>100878.31221019</v>
      </c>
      <c r="K351" s="43" t="n">
        <f aca="false">J351/$B$15</f>
        <v>365.766179152247</v>
      </c>
    </row>
    <row r="352" customFormat="false" ht="15" hidden="false" customHeight="false" outlineLevel="0" collapsed="false">
      <c r="A352" s="50" t="n">
        <v>312</v>
      </c>
      <c r="B352" s="19" t="n">
        <f aca="true">NORMINV(RAND(),$B$6,$C$6)</f>
        <v>0.130993215386856</v>
      </c>
      <c r="C352" s="19" t="n">
        <f aca="true">MAX(0.25,NORMINV(RAND(),$B$7,$C$7))</f>
        <v>0.488546558175162</v>
      </c>
      <c r="D352" s="32" t="n">
        <f aca="true">MAX(0.07,NORMINV(RAND(),$B$8,$C$8))</f>
        <v>0.104051734633454</v>
      </c>
      <c r="E352" s="51" t="n">
        <f aca="true">MAX(8,NORMINV(RAND(),$B$9,$C$9))</f>
        <v>18.962290234542</v>
      </c>
      <c r="F352" s="24" t="n">
        <f aca="false">$B$18*(1+(B352+$B$17)/2)^9</f>
        <v>15228.3794657756</v>
      </c>
      <c r="G352" s="24" t="n">
        <f aca="false">F352*C352</f>
        <v>7439.77237458996</v>
      </c>
      <c r="H352" s="24" t="n">
        <f aca="false">E352*G352/(1+D352)^9</f>
        <v>57882.2784187927</v>
      </c>
      <c r="I352" s="24" t="n">
        <f aca="false">$B$13*G352/$B$12*((1+$B$8)/(1+D352))^4.5</f>
        <v>17232.6566525882</v>
      </c>
      <c r="J352" s="24" t="n">
        <f aca="false">H352+I352-$B$14</f>
        <v>73406.9732768603</v>
      </c>
      <c r="K352" s="43" t="n">
        <f aca="false">J352/$B$15</f>
        <v>266.160164165556</v>
      </c>
    </row>
    <row r="353" customFormat="false" ht="15" hidden="false" customHeight="false" outlineLevel="0" collapsed="false">
      <c r="A353" s="50" t="n">
        <v>313</v>
      </c>
      <c r="B353" s="19" t="n">
        <f aca="true">NORMINV(RAND(),$B$6,$C$6)</f>
        <v>0.166803815431345</v>
      </c>
      <c r="C353" s="19" t="n">
        <f aca="true">MAX(0.25,NORMINV(RAND(),$B$7,$C$7))</f>
        <v>0.498266009734675</v>
      </c>
      <c r="D353" s="32" t="n">
        <f aca="true">MAX(0.07,NORMINV(RAND(),$B$8,$C$8))</f>
        <v>0.0843337689408979</v>
      </c>
      <c r="E353" s="51" t="n">
        <f aca="true">MAX(8,NORMINV(RAND(),$B$9,$C$9))</f>
        <v>18.3732606046559</v>
      </c>
      <c r="F353" s="24" t="n">
        <f aca="false">$B$18*(1+(B353+$B$17)/2)^9</f>
        <v>17597.5973057954</v>
      </c>
      <c r="G353" s="24" t="n">
        <f aca="false">F353*C353</f>
        <v>8768.28459047632</v>
      </c>
      <c r="H353" s="24" t="n">
        <f aca="false">E353*G353/(1+D353)^9</f>
        <v>77738.1184655372</v>
      </c>
      <c r="I353" s="24" t="n">
        <f aca="false">$B$13*G353/$B$12*((1+$B$8)/(1+D353))^4.5</f>
        <v>22025.5220252401</v>
      </c>
      <c r="J353" s="24" t="n">
        <f aca="false">H353+I353-$B$14</f>
        <v>98055.6786962568</v>
      </c>
      <c r="K353" s="43" t="n">
        <f aca="false">J353/$B$15</f>
        <v>355.531829935666</v>
      </c>
    </row>
    <row r="354" customFormat="false" ht="15" hidden="false" customHeight="false" outlineLevel="0" collapsed="false">
      <c r="A354" s="50" t="n">
        <v>314</v>
      </c>
      <c r="B354" s="19" t="n">
        <f aca="true">NORMINV(RAND(),$B$6,$C$6)</f>
        <v>0.126489424331005</v>
      </c>
      <c r="C354" s="19" t="n">
        <f aca="true">MAX(0.25,NORMINV(RAND(),$B$7,$C$7))</f>
        <v>0.562438712432183</v>
      </c>
      <c r="D354" s="32" t="n">
        <f aca="true">MAX(0.07,NORMINV(RAND(),$B$8,$C$8))</f>
        <v>0.0953909339380044</v>
      </c>
      <c r="E354" s="51" t="n">
        <f aca="true">MAX(8,NORMINV(RAND(),$B$9,$C$9))</f>
        <v>18.8704891508704</v>
      </c>
      <c r="F354" s="24" t="n">
        <f aca="false">$B$18*(1+(B354+$B$17)/2)^9</f>
        <v>14951.4617094879</v>
      </c>
      <c r="G354" s="24" t="n">
        <f aca="false">F354*C354</f>
        <v>8409.28087286347</v>
      </c>
      <c r="H354" s="24" t="n">
        <f aca="false">E354*G354/(1+D354)^9</f>
        <v>69890.7557819692</v>
      </c>
      <c r="I354" s="24" t="n">
        <f aca="false">$B$13*G354/$B$12*((1+$B$8)/(1+D354))^4.5</f>
        <v>20181.0015377772</v>
      </c>
      <c r="J354" s="24" t="n">
        <f aca="false">H354+I354-$B$14</f>
        <v>88363.7955252259</v>
      </c>
      <c r="K354" s="43" t="n">
        <f aca="false">J354/$B$15</f>
        <v>320.390846719456</v>
      </c>
    </row>
    <row r="355" customFormat="false" ht="15" hidden="false" customHeight="false" outlineLevel="0" collapsed="false">
      <c r="A355" s="50" t="n">
        <v>315</v>
      </c>
      <c r="B355" s="19" t="n">
        <f aca="true">NORMINV(RAND(),$B$6,$C$6)</f>
        <v>0.187906771978342</v>
      </c>
      <c r="C355" s="19" t="n">
        <f aca="true">MAX(0.25,NORMINV(RAND(),$B$7,$C$7))</f>
        <v>0.529120862805108</v>
      </c>
      <c r="D355" s="32" t="n">
        <f aca="true">MAX(0.07,NORMINV(RAND(),$B$8,$C$8))</f>
        <v>0.0985022350420388</v>
      </c>
      <c r="E355" s="51" t="n">
        <f aca="true">MAX(8,NORMINV(RAND(),$B$9,$C$9))</f>
        <v>24.9969748461309</v>
      </c>
      <c r="F355" s="24" t="n">
        <f aca="false">$B$18*(1+(B355+$B$17)/2)^9</f>
        <v>19142.285149389</v>
      </c>
      <c r="G355" s="24" t="n">
        <f aca="false">F355*C355</f>
        <v>10128.5824343061</v>
      </c>
      <c r="H355" s="24" t="n">
        <f aca="false">E355*G355/(1+D355)^9</f>
        <v>108699.517493434</v>
      </c>
      <c r="I355" s="24" t="n">
        <f aca="false">$B$13*G355/$B$12*((1+$B$8)/(1+D355))^4.5</f>
        <v>23998.7936725077</v>
      </c>
      <c r="J355" s="24" t="n">
        <f aca="false">H355+I355-$B$14</f>
        <v>130990.349371421</v>
      </c>
      <c r="K355" s="43" t="n">
        <f aca="false">J355/$B$15</f>
        <v>474.946879519293</v>
      </c>
    </row>
    <row r="356" customFormat="false" ht="15" hidden="false" customHeight="false" outlineLevel="0" collapsed="false">
      <c r="A356" s="50" t="n">
        <v>316</v>
      </c>
      <c r="B356" s="19" t="n">
        <f aca="true">NORMINV(RAND(),$B$6,$C$6)</f>
        <v>0.189723586487202</v>
      </c>
      <c r="C356" s="19" t="n">
        <f aca="true">MAX(0.25,NORMINV(RAND(),$B$7,$C$7))</f>
        <v>0.50317205388768</v>
      </c>
      <c r="D356" s="32" t="n">
        <f aca="true">MAX(0.07,NORMINV(RAND(),$B$8,$C$8))</f>
        <v>0.109174915549193</v>
      </c>
      <c r="E356" s="51" t="n">
        <f aca="true">MAX(8,NORMINV(RAND(),$B$9,$C$9))</f>
        <v>21.0743009879056</v>
      </c>
      <c r="F356" s="24" t="n">
        <f aca="false">$B$18*(1+(B356+$B$17)/2)^9</f>
        <v>19280.7417620853</v>
      </c>
      <c r="G356" s="24" t="n">
        <f aca="false">F356*C356</f>
        <v>9701.53043290641</v>
      </c>
      <c r="H356" s="24" t="n">
        <f aca="false">E356*G356/(1+D356)^9</f>
        <v>80462.4172342248</v>
      </c>
      <c r="I356" s="24" t="n">
        <f aca="false">$B$13*G356/$B$12*((1+$B$8)/(1+D356))^4.5</f>
        <v>22008.2276916177</v>
      </c>
      <c r="J356" s="24" t="n">
        <f aca="false">H356+I356-$B$14</f>
        <v>100762.683131322</v>
      </c>
      <c r="K356" s="43" t="n">
        <f aca="false">J356/$B$15</f>
        <v>365.346929410159</v>
      </c>
    </row>
    <row r="357" customFormat="false" ht="15" hidden="false" customHeight="false" outlineLevel="0" collapsed="false">
      <c r="A357" s="50" t="n">
        <v>317</v>
      </c>
      <c r="B357" s="19" t="n">
        <f aca="true">NORMINV(RAND(),$B$6,$C$6)</f>
        <v>0.115626368414497</v>
      </c>
      <c r="C357" s="19" t="n">
        <f aca="true">MAX(0.25,NORMINV(RAND(),$B$7,$C$7))</f>
        <v>0.526770264752608</v>
      </c>
      <c r="D357" s="32" t="n">
        <f aca="true">MAX(0.07,NORMINV(RAND(),$B$8,$C$8))</f>
        <v>0.0913395195782075</v>
      </c>
      <c r="E357" s="51" t="n">
        <f aca="true">MAX(8,NORMINV(RAND(),$B$9,$C$9))</f>
        <v>20.2511961508263</v>
      </c>
      <c r="F357" s="24" t="n">
        <f aca="false">$B$18*(1+(B357+$B$17)/2)^9</f>
        <v>14301.8737911586</v>
      </c>
      <c r="G357" s="24" t="n">
        <f aca="false">F357*C357</f>
        <v>7533.80184342701</v>
      </c>
      <c r="H357" s="24" t="n">
        <f aca="false">E357*G357/(1+D357)^9</f>
        <v>69474.5806206004</v>
      </c>
      <c r="I357" s="24" t="n">
        <f aca="false">$B$13*G357/$B$12*((1+$B$8)/(1+D357))^4.5</f>
        <v>18383.987675717</v>
      </c>
      <c r="J357" s="24" t="n">
        <f aca="false">H357+I357-$B$14</f>
        <v>86150.6065017968</v>
      </c>
      <c r="K357" s="43" t="n">
        <f aca="false">J357/$B$15</f>
        <v>312.366230970982</v>
      </c>
    </row>
    <row r="358" customFormat="false" ht="15" hidden="false" customHeight="false" outlineLevel="0" collapsed="false">
      <c r="A358" s="50" t="n">
        <v>318</v>
      </c>
      <c r="B358" s="19" t="n">
        <f aca="true">NORMINV(RAND(),$B$6,$C$6)</f>
        <v>0.0949993331757314</v>
      </c>
      <c r="C358" s="19" t="n">
        <f aca="true">MAX(0.25,NORMINV(RAND(),$B$7,$C$7))</f>
        <v>0.523022381915708</v>
      </c>
      <c r="D358" s="32" t="n">
        <f aca="true">MAX(0.07,NORMINV(RAND(),$B$8,$C$8))</f>
        <v>0.102683666292877</v>
      </c>
      <c r="E358" s="51" t="n">
        <f aca="true">MAX(8,NORMINV(RAND(),$B$9,$C$9))</f>
        <v>17.6448464662303</v>
      </c>
      <c r="F358" s="24" t="n">
        <f aca="false">$B$18*(1+(B358+$B$17)/2)^9</f>
        <v>13137.0893657939</v>
      </c>
      <c r="G358" s="24" t="n">
        <f aca="false">F358*C358</f>
        <v>6870.99177153703</v>
      </c>
      <c r="H358" s="24" t="n">
        <f aca="false">E358*G358/(1+D358)^9</f>
        <v>50301.257030395</v>
      </c>
      <c r="I358" s="24" t="n">
        <f aca="false">$B$13*G358/$B$12*((1+$B$8)/(1+D358))^4.5</f>
        <v>16004.2448956791</v>
      </c>
      <c r="J358" s="24" t="n">
        <f aca="false">H358+I358-$B$14</f>
        <v>64597.5401315536</v>
      </c>
      <c r="K358" s="43" t="n">
        <f aca="false">J358/$B$15</f>
        <v>234.218782202877</v>
      </c>
    </row>
    <row r="359" customFormat="false" ht="15" hidden="false" customHeight="false" outlineLevel="0" collapsed="false">
      <c r="A359" s="50" t="n">
        <v>319</v>
      </c>
      <c r="B359" s="19" t="n">
        <f aca="true">NORMINV(RAND(),$B$6,$C$6)</f>
        <v>0.0597578860743257</v>
      </c>
      <c r="C359" s="19" t="n">
        <f aca="true">MAX(0.25,NORMINV(RAND(),$B$7,$C$7))</f>
        <v>0.545949287867747</v>
      </c>
      <c r="D359" s="32" t="n">
        <f aca="true">MAX(0.07,NORMINV(RAND(),$B$8,$C$8))</f>
        <v>0.108213919674589</v>
      </c>
      <c r="E359" s="51" t="n">
        <f aca="true">MAX(8,NORMINV(RAND(),$B$9,$C$9))</f>
        <v>21.6148105133563</v>
      </c>
      <c r="F359" s="24" t="n">
        <f aca="false">$B$18*(1+(B359+$B$17)/2)^9</f>
        <v>11340.9313554546</v>
      </c>
      <c r="G359" s="24" t="n">
        <f aca="false">F359*C359</f>
        <v>6191.57339726744</v>
      </c>
      <c r="H359" s="24" t="n">
        <f aca="false">E359*G359/(1+D359)^9</f>
        <v>53081.1167303098</v>
      </c>
      <c r="I359" s="24" t="n">
        <f aca="false">$B$13*G359/$B$12*((1+$B$8)/(1+D359))^4.5</f>
        <v>14100.6722725575</v>
      </c>
      <c r="J359" s="24" t="n">
        <f aca="false">H359+I359-$B$14</f>
        <v>65473.8272083468</v>
      </c>
      <c r="K359" s="43" t="n">
        <f aca="false">J359/$B$15</f>
        <v>237.396037738748</v>
      </c>
    </row>
    <row r="360" customFormat="false" ht="15" hidden="false" customHeight="false" outlineLevel="0" collapsed="false">
      <c r="A360" s="50" t="n">
        <v>320</v>
      </c>
      <c r="B360" s="19" t="n">
        <f aca="true">NORMINV(RAND(),$B$6,$C$6)</f>
        <v>0.179368376484434</v>
      </c>
      <c r="C360" s="19" t="n">
        <f aca="true">MAX(0.25,NORMINV(RAND(),$B$7,$C$7))</f>
        <v>0.472350408481015</v>
      </c>
      <c r="D360" s="32" t="n">
        <f aca="true">MAX(0.07,NORMINV(RAND(),$B$8,$C$8))</f>
        <v>0.0977005610055486</v>
      </c>
      <c r="E360" s="51" t="n">
        <f aca="true">MAX(8,NORMINV(RAND(),$B$9,$C$9))</f>
        <v>21.3796394427194</v>
      </c>
      <c r="F360" s="24" t="n">
        <f aca="false">$B$18*(1+(B360+$B$17)/2)^9</f>
        <v>18503.3521060558</v>
      </c>
      <c r="G360" s="24" t="n">
        <f aca="false">F360*C360</f>
        <v>8740.06592556349</v>
      </c>
      <c r="H360" s="24" t="n">
        <f aca="false">E360*G360/(1+D360)^9</f>
        <v>80753.2685570627</v>
      </c>
      <c r="I360" s="24" t="n">
        <f aca="false">$B$13*G360/$B$12*((1+$B$8)/(1+D360))^4.5</f>
        <v>20776.9702347098</v>
      </c>
      <c r="J360" s="24" t="n">
        <f aca="false">H360+I360-$B$14</f>
        <v>99822.2769972519</v>
      </c>
      <c r="K360" s="43" t="n">
        <f aca="false">J360/$B$15</f>
        <v>361.937189982784</v>
      </c>
    </row>
    <row r="361" customFormat="false" ht="15" hidden="false" customHeight="false" outlineLevel="0" collapsed="false">
      <c r="A361" s="50" t="n">
        <v>321</v>
      </c>
      <c r="B361" s="19" t="n">
        <f aca="true">NORMINV(RAND(),$B$6,$C$6)</f>
        <v>0.104412101673785</v>
      </c>
      <c r="C361" s="19" t="n">
        <f aca="true">MAX(0.25,NORMINV(RAND(),$B$7,$C$7))</f>
        <v>0.460037164279416</v>
      </c>
      <c r="D361" s="32" t="n">
        <f aca="true">MAX(0.07,NORMINV(RAND(),$B$8,$C$8))</f>
        <v>0.0875178207729209</v>
      </c>
      <c r="E361" s="51" t="n">
        <f aca="true">MAX(8,NORMINV(RAND(),$B$9,$C$9))</f>
        <v>18.0365182132849</v>
      </c>
      <c r="F361" s="24" t="n">
        <f aca="false">$B$18*(1+(B361+$B$17)/2)^9</f>
        <v>13657.7187691485</v>
      </c>
      <c r="G361" s="24" t="n">
        <f aca="false">F361*C361</f>
        <v>6283.05821308484</v>
      </c>
      <c r="H361" s="24" t="n">
        <f aca="false">E361*G361/(1+D361)^9</f>
        <v>53259.4095414842</v>
      </c>
      <c r="I361" s="24" t="n">
        <f aca="false">$B$13*G361/$B$12*((1+$B$8)/(1+D361))^4.5</f>
        <v>15575.871654575</v>
      </c>
      <c r="J361" s="24" t="n">
        <f aca="false">H361+I361-$B$14</f>
        <v>67127.3194015386</v>
      </c>
      <c r="K361" s="43" t="n">
        <f aca="false">J361/$B$15</f>
        <v>243.391295872149</v>
      </c>
    </row>
    <row r="362" customFormat="false" ht="15" hidden="false" customHeight="false" outlineLevel="0" collapsed="false">
      <c r="A362" s="50" t="n">
        <v>322</v>
      </c>
      <c r="B362" s="19" t="n">
        <f aca="true">NORMINV(RAND(),$B$6,$C$6)</f>
        <v>0.156328937035321</v>
      </c>
      <c r="C362" s="19" t="n">
        <f aca="true">MAX(0.25,NORMINV(RAND(),$B$7,$C$7))</f>
        <v>0.486872248423351</v>
      </c>
      <c r="D362" s="32" t="n">
        <f aca="true">MAX(0.07,NORMINV(RAND(),$B$8,$C$8))</f>
        <v>0.0834245164763734</v>
      </c>
      <c r="E362" s="51" t="n">
        <f aca="true">MAX(8,NORMINV(RAND(),$B$9,$C$9))</f>
        <v>23.4466033624509</v>
      </c>
      <c r="F362" s="24" t="n">
        <f aca="false">$B$18*(1+(B362+$B$17)/2)^9</f>
        <v>16872.8385733416</v>
      </c>
      <c r="G362" s="24" t="n">
        <f aca="false">F362*C362</f>
        <v>8214.91685348705</v>
      </c>
      <c r="H362" s="24" t="n">
        <f aca="false">E362*G362/(1+D362)^9</f>
        <v>93647.2824114215</v>
      </c>
      <c r="I362" s="24" t="n">
        <f aca="false">$B$13*G362/$B$12*((1+$B$8)/(1+D362))^4.5</f>
        <v>20713.5341184339</v>
      </c>
      <c r="J362" s="24" t="n">
        <f aca="false">H362+I362-$B$14</f>
        <v>112652.854735335</v>
      </c>
      <c r="K362" s="43" t="n">
        <f aca="false">J362/$B$15</f>
        <v>408.458501578444</v>
      </c>
    </row>
    <row r="363" customFormat="false" ht="15" hidden="false" customHeight="false" outlineLevel="0" collapsed="false">
      <c r="A363" s="50" t="n">
        <v>323</v>
      </c>
      <c r="B363" s="19" t="n">
        <f aca="true">NORMINV(RAND(),$B$6,$C$6)</f>
        <v>0.0969662098954024</v>
      </c>
      <c r="C363" s="19" t="n">
        <f aca="true">MAX(0.25,NORMINV(RAND(),$B$7,$C$7))</f>
        <v>0.521726197624167</v>
      </c>
      <c r="D363" s="32" t="n">
        <f aca="true">MAX(0.07,NORMINV(RAND(),$B$8,$C$8))</f>
        <v>0.091681440679801</v>
      </c>
      <c r="E363" s="51" t="n">
        <f aca="true">MAX(8,NORMINV(RAND(),$B$9,$C$9))</f>
        <v>19.0655097148218</v>
      </c>
      <c r="F363" s="24" t="n">
        <f aca="false">$B$18*(1+(B363+$B$17)/2)^9</f>
        <v>13244.3971181243</v>
      </c>
      <c r="G363" s="24" t="n">
        <f aca="false">F363*C363</f>
        <v>6909.94894826344</v>
      </c>
      <c r="H363" s="24" t="n">
        <f aca="false">E363*G363/(1+D363)^9</f>
        <v>59821.860494784</v>
      </c>
      <c r="I363" s="24" t="n">
        <f aca="false">$B$13*G363/$B$12*((1+$B$8)/(1+D363))^4.5</f>
        <v>16837.909222057</v>
      </c>
      <c r="J363" s="24" t="n">
        <f aca="false">H363+I363-$B$14</f>
        <v>74951.8079223205</v>
      </c>
      <c r="K363" s="43" t="n">
        <f aca="false">J363/$B$15</f>
        <v>271.761450044672</v>
      </c>
    </row>
    <row r="364" customFormat="false" ht="15" hidden="false" customHeight="false" outlineLevel="0" collapsed="false">
      <c r="A364" s="50" t="n">
        <v>324</v>
      </c>
      <c r="B364" s="19" t="n">
        <f aca="true">NORMINV(RAND(),$B$6,$C$6)</f>
        <v>0.135990782247486</v>
      </c>
      <c r="C364" s="19" t="n">
        <f aca="true">MAX(0.25,NORMINV(RAND(),$B$7,$C$7))</f>
        <v>0.483217255458179</v>
      </c>
      <c r="D364" s="32" t="n">
        <f aca="true">MAX(0.07,NORMINV(RAND(),$B$8,$C$8))</f>
        <v>0.0980870246822216</v>
      </c>
      <c r="E364" s="51" t="n">
        <f aca="true">MAX(8,NORMINV(RAND(),$B$9,$C$9))</f>
        <v>23.0284131440292</v>
      </c>
      <c r="F364" s="24" t="n">
        <f aca="false">$B$18*(1+(B364+$B$17)/2)^9</f>
        <v>15540.9852004376</v>
      </c>
      <c r="G364" s="24" t="n">
        <f aca="false">F364*C364</f>
        <v>7509.67221567164</v>
      </c>
      <c r="H364" s="24" t="n">
        <f aca="false">E364*G364/(1+D364)^9</f>
        <v>74499.6367436781</v>
      </c>
      <c r="I364" s="24" t="n">
        <f aca="false">$B$13*G364/$B$12*((1+$B$8)/(1+D364))^4.5</f>
        <v>17823.8106099265</v>
      </c>
      <c r="J364" s="24" t="n">
        <f aca="false">H364+I364-$B$14</f>
        <v>90615.4855590841</v>
      </c>
      <c r="K364" s="43" t="n">
        <f aca="false">J364/$B$15</f>
        <v>328.555060040189</v>
      </c>
    </row>
    <row r="365" customFormat="false" ht="15" hidden="false" customHeight="false" outlineLevel="0" collapsed="false">
      <c r="A365" s="50" t="n">
        <v>325</v>
      </c>
      <c r="B365" s="19" t="n">
        <f aca="true">NORMINV(RAND(),$B$6,$C$6)</f>
        <v>0.0807329971756513</v>
      </c>
      <c r="C365" s="19" t="n">
        <f aca="true">MAX(0.25,NORMINV(RAND(),$B$7,$C$7))</f>
        <v>0.486346116583392</v>
      </c>
      <c r="D365" s="32" t="n">
        <f aca="true">MAX(0.07,NORMINV(RAND(),$B$8,$C$8))</f>
        <v>0.098874706735847</v>
      </c>
      <c r="E365" s="51" t="n">
        <f aca="true">MAX(8,NORMINV(RAND(),$B$9,$C$9))</f>
        <v>18.8799663304051</v>
      </c>
      <c r="F365" s="24" t="n">
        <f aca="false">$B$18*(1+(B365+$B$17)/2)^9</f>
        <v>12381.6048278836</v>
      </c>
      <c r="G365" s="24" t="n">
        <f aca="false">F365*C365</f>
        <v>6021.74542511137</v>
      </c>
      <c r="H365" s="24" t="n">
        <f aca="false">E365*G365/(1+D365)^9</f>
        <v>48662.0064987165</v>
      </c>
      <c r="I365" s="24" t="n">
        <f aca="false">$B$13*G365/$B$12*((1+$B$8)/(1+D365))^4.5</f>
        <v>14246.2509745067</v>
      </c>
      <c r="J365" s="24" t="n">
        <f aca="false">H365+I365-$B$14</f>
        <v>61200.2956787026</v>
      </c>
      <c r="K365" s="43" t="n">
        <f aca="false">J365/$B$15</f>
        <v>221.900999560198</v>
      </c>
    </row>
    <row r="366" customFormat="false" ht="15" hidden="false" customHeight="false" outlineLevel="0" collapsed="false">
      <c r="A366" s="50" t="n">
        <v>326</v>
      </c>
      <c r="B366" s="19" t="n">
        <f aca="true">NORMINV(RAND(),$B$6,$C$6)</f>
        <v>0.133791521166054</v>
      </c>
      <c r="C366" s="19" t="n">
        <f aca="true">MAX(0.25,NORMINV(RAND(),$B$7,$C$7))</f>
        <v>0.483036828877923</v>
      </c>
      <c r="D366" s="32" t="n">
        <f aca="true">MAX(0.07,NORMINV(RAND(),$B$8,$C$8))</f>
        <v>0.102105390681761</v>
      </c>
      <c r="E366" s="51" t="n">
        <f aca="true">MAX(8,NORMINV(RAND(),$B$9,$C$9))</f>
        <v>21.4370365458198</v>
      </c>
      <c r="F366" s="24" t="n">
        <f aca="false">$B$18*(1+(B366+$B$17)/2)^9</f>
        <v>15402.7220641864</v>
      </c>
      <c r="G366" s="24" t="n">
        <f aca="false">F366*C366</f>
        <v>7440.08202197259</v>
      </c>
      <c r="H366" s="24" t="n">
        <f aca="false">E366*G366/(1+D366)^9</f>
        <v>66486.6317550845</v>
      </c>
      <c r="I366" s="24" t="n">
        <f aca="false">$B$13*G366/$B$12*((1+$B$8)/(1+D366))^4.5</f>
        <v>17370.7532148153</v>
      </c>
      <c r="J366" s="24" t="n">
        <f aca="false">H366+I366-$B$14</f>
        <v>82149.4231753793</v>
      </c>
      <c r="K366" s="43" t="n">
        <f aca="false">J366/$B$15</f>
        <v>297.858677213123</v>
      </c>
    </row>
    <row r="367" customFormat="false" ht="15" hidden="false" customHeight="false" outlineLevel="0" collapsed="false">
      <c r="A367" s="50" t="n">
        <v>327</v>
      </c>
      <c r="B367" s="19" t="n">
        <f aca="true">NORMINV(RAND(),$B$6,$C$6)</f>
        <v>0.179139013603591</v>
      </c>
      <c r="C367" s="19" t="n">
        <f aca="true">MAX(0.25,NORMINV(RAND(),$B$7,$C$7))</f>
        <v>0.477513167087822</v>
      </c>
      <c r="D367" s="32" t="n">
        <f aca="true">MAX(0.07,NORMINV(RAND(),$B$8,$C$8))</f>
        <v>0.109072180868338</v>
      </c>
      <c r="E367" s="51" t="n">
        <f aca="true">MAX(8,NORMINV(RAND(),$B$9,$C$9))</f>
        <v>19.5661131238289</v>
      </c>
      <c r="F367" s="24" t="n">
        <f aca="false">$B$18*(1+(B367+$B$17)/2)^9</f>
        <v>18486.4534305865</v>
      </c>
      <c r="G367" s="24" t="n">
        <f aca="false">F367*C367</f>
        <v>8827.52492586087</v>
      </c>
      <c r="H367" s="24" t="n">
        <f aca="false">E367*G367/(1+D367)^9</f>
        <v>68030.741634992</v>
      </c>
      <c r="I367" s="24" t="n">
        <f aca="false">$B$13*G367/$B$12*((1+$B$8)/(1+D367))^4.5</f>
        <v>20033.8674380759</v>
      </c>
      <c r="J367" s="24" t="n">
        <f aca="false">H367+I367-$B$14</f>
        <v>86356.6472785473</v>
      </c>
      <c r="K367" s="43" t="n">
        <f aca="false">J367/$B$15</f>
        <v>313.113296876531</v>
      </c>
    </row>
    <row r="368" customFormat="false" ht="15" hidden="false" customHeight="false" outlineLevel="0" collapsed="false">
      <c r="A368" s="50" t="n">
        <v>328</v>
      </c>
      <c r="B368" s="19" t="n">
        <f aca="true">NORMINV(RAND(),$B$6,$C$6)</f>
        <v>0.147468336743586</v>
      </c>
      <c r="C368" s="19" t="n">
        <f aca="true">MAX(0.25,NORMINV(RAND(),$B$7,$C$7))</f>
        <v>0.462280019084691</v>
      </c>
      <c r="D368" s="32" t="n">
        <f aca="true">MAX(0.07,NORMINV(RAND(),$B$8,$C$8))</f>
        <v>0.0982239254188724</v>
      </c>
      <c r="E368" s="51" t="n">
        <f aca="true">MAX(8,NORMINV(RAND(),$B$9,$C$9))</f>
        <v>21.2351874622435</v>
      </c>
      <c r="F368" s="24" t="n">
        <f aca="false">$B$18*(1+(B368+$B$17)/2)^9</f>
        <v>16280.6168105331</v>
      </c>
      <c r="G368" s="24" t="n">
        <f aca="false">F368*C368</f>
        <v>7526.2038498838</v>
      </c>
      <c r="H368" s="24" t="n">
        <f aca="false">E368*G368/(1+D368)^9</f>
        <v>68772.3665103101</v>
      </c>
      <c r="I368" s="24" t="n">
        <f aca="false">$B$13*G368/$B$12*((1+$B$8)/(1+D368))^4.5</f>
        <v>17853.0294053965</v>
      </c>
      <c r="J368" s="24" t="n">
        <f aca="false">H368+I368-$B$14</f>
        <v>84917.434121186</v>
      </c>
      <c r="K368" s="43" t="n">
        <f aca="false">J368/$B$15</f>
        <v>307.894975058687</v>
      </c>
    </row>
    <row r="369" customFormat="false" ht="15" hidden="false" customHeight="false" outlineLevel="0" collapsed="false">
      <c r="A369" s="50" t="n">
        <v>329</v>
      </c>
      <c r="B369" s="19" t="n">
        <f aca="true">NORMINV(RAND(),$B$6,$C$6)</f>
        <v>0.0819131767851896</v>
      </c>
      <c r="C369" s="19" t="n">
        <f aca="true">MAX(0.25,NORMINV(RAND(),$B$7,$C$7))</f>
        <v>0.491552081027187</v>
      </c>
      <c r="D369" s="32" t="n">
        <f aca="true">MAX(0.07,NORMINV(RAND(),$B$8,$C$8))</f>
        <v>0.0952883125045033</v>
      </c>
      <c r="E369" s="51" t="n">
        <f aca="true">MAX(8,NORMINV(RAND(),$B$9,$C$9))</f>
        <v>23.9285787158866</v>
      </c>
      <c r="F369" s="24" t="n">
        <f aca="false">$B$18*(1+(B369+$B$17)/2)^9</f>
        <v>12442.6028088312</v>
      </c>
      <c r="G369" s="24" t="n">
        <f aca="false">F369*C369</f>
        <v>6116.18730407571</v>
      </c>
      <c r="H369" s="24" t="n">
        <f aca="false">E369*G369/(1+D369)^9</f>
        <v>64512.1623950379</v>
      </c>
      <c r="I369" s="24" t="n">
        <f aca="false">$B$13*G369/$B$12*((1+$B$8)/(1+D369))^4.5</f>
        <v>14684.1135156322</v>
      </c>
      <c r="J369" s="24" t="n">
        <f aca="false">H369+I369-$B$14</f>
        <v>77488.3141161495</v>
      </c>
      <c r="K369" s="43" t="n">
        <f aca="false">J369/$B$15</f>
        <v>280.95835430076</v>
      </c>
    </row>
    <row r="370" customFormat="false" ht="15" hidden="false" customHeight="false" outlineLevel="0" collapsed="false">
      <c r="A370" s="50" t="n">
        <v>330</v>
      </c>
      <c r="B370" s="19" t="n">
        <f aca="true">NORMINV(RAND(),$B$6,$C$6)</f>
        <v>0.13714968822931</v>
      </c>
      <c r="C370" s="19" t="n">
        <f aca="true">MAX(0.25,NORMINV(RAND(),$B$7,$C$7))</f>
        <v>0.502184328024254</v>
      </c>
      <c r="D370" s="32" t="n">
        <f aca="true">MAX(0.07,NORMINV(RAND(),$B$8,$C$8))</f>
        <v>0.100476798125386</v>
      </c>
      <c r="E370" s="51" t="n">
        <f aca="true">MAX(8,NORMINV(RAND(),$B$9,$C$9))</f>
        <v>20.4738914909141</v>
      </c>
      <c r="F370" s="24" t="n">
        <f aca="false">$B$18*(1+(B370+$B$17)/2)^9</f>
        <v>15614.2862121288</v>
      </c>
      <c r="G370" s="24" t="n">
        <f aca="false">F370*C370</f>
        <v>7841.24982901625</v>
      </c>
      <c r="H370" s="24" t="n">
        <f aca="false">E370*G370/(1+D370)^9</f>
        <v>67819.9825006063</v>
      </c>
      <c r="I370" s="24" t="n">
        <f aca="false">$B$13*G370/$B$12*((1+$B$8)/(1+D370))^4.5</f>
        <v>18429.6157499776</v>
      </c>
      <c r="J370" s="24" t="n">
        <f aca="false">H370+I370-$B$14</f>
        <v>84541.6364560633</v>
      </c>
      <c r="K370" s="43" t="n">
        <f aca="false">J370/$B$15</f>
        <v>306.532401943667</v>
      </c>
    </row>
    <row r="371" customFormat="false" ht="15" hidden="false" customHeight="false" outlineLevel="0" collapsed="false">
      <c r="A371" s="50" t="n">
        <v>331</v>
      </c>
      <c r="B371" s="19" t="n">
        <f aca="true">NORMINV(RAND(),$B$6,$C$6)</f>
        <v>0.18685386853625</v>
      </c>
      <c r="C371" s="19" t="n">
        <f aca="true">MAX(0.25,NORMINV(RAND(),$B$7,$C$7))</f>
        <v>0.490646371526381</v>
      </c>
      <c r="D371" s="32" t="n">
        <f aca="true">MAX(0.07,NORMINV(RAND(),$B$8,$C$8))</f>
        <v>0.0887559948253163</v>
      </c>
      <c r="E371" s="51" t="n">
        <f aca="true">MAX(8,NORMINV(RAND(),$B$9,$C$9))</f>
        <v>19.1202505545231</v>
      </c>
      <c r="F371" s="24" t="n">
        <f aca="false">$B$18*(1+(B371+$B$17)/2)^9</f>
        <v>19062.4501627003</v>
      </c>
      <c r="G371" s="24" t="n">
        <f aca="false">F371*C371</f>
        <v>9352.92200473138</v>
      </c>
      <c r="H371" s="24" t="n">
        <f aca="false">E371*G371/(1+D371)^9</f>
        <v>83188.9912440929</v>
      </c>
      <c r="I371" s="24" t="n">
        <f aca="false">$B$13*G371/$B$12*((1+$B$8)/(1+D371))^4.5</f>
        <v>23067.726452498</v>
      </c>
      <c r="J371" s="24" t="n">
        <f aca="false">H371+I371-$B$14</f>
        <v>104548.75590207</v>
      </c>
      <c r="K371" s="43" t="n">
        <f aca="false">J371/$B$15</f>
        <v>379.074531914686</v>
      </c>
    </row>
    <row r="372" customFormat="false" ht="15" hidden="false" customHeight="false" outlineLevel="0" collapsed="false">
      <c r="A372" s="50" t="n">
        <v>332</v>
      </c>
      <c r="B372" s="19" t="n">
        <f aca="true">NORMINV(RAND(),$B$6,$C$6)</f>
        <v>0.165478310887004</v>
      </c>
      <c r="C372" s="19" t="n">
        <f aca="true">MAX(0.25,NORMINV(RAND(),$B$7,$C$7))</f>
        <v>0.484015608330273</v>
      </c>
      <c r="D372" s="32" t="n">
        <f aca="true">MAX(0.07,NORMINV(RAND(),$B$8,$C$8))</f>
        <v>0.103586781955987</v>
      </c>
      <c r="E372" s="51" t="n">
        <f aca="true">MAX(8,NORMINV(RAND(),$B$9,$C$9))</f>
        <v>16.9678188365959</v>
      </c>
      <c r="F372" s="24" t="n">
        <f aca="false">$B$18*(1+(B372+$B$17)/2)^9</f>
        <v>17504.3819836925</v>
      </c>
      <c r="G372" s="24" t="n">
        <f aca="false">F372*C372</f>
        <v>8472.3940942824</v>
      </c>
      <c r="H372" s="24" t="n">
        <f aca="false">E372*G372/(1+D372)^9</f>
        <v>59207.0954431915</v>
      </c>
      <c r="I372" s="24" t="n">
        <f aca="false">$B$13*G372/$B$12*((1+$B$8)/(1+D372))^4.5</f>
        <v>19661.7396008983</v>
      </c>
      <c r="J372" s="24" t="n">
        <f aca="false">H372+I372-$B$14</f>
        <v>77160.8732495693</v>
      </c>
      <c r="K372" s="43" t="n">
        <f aca="false">J372/$B$15</f>
        <v>279.771114030346</v>
      </c>
    </row>
    <row r="373" customFormat="false" ht="15" hidden="false" customHeight="false" outlineLevel="0" collapsed="false">
      <c r="A373" s="50" t="n">
        <v>333</v>
      </c>
      <c r="B373" s="19" t="n">
        <f aca="true">NORMINV(RAND(),$B$6,$C$6)</f>
        <v>0.164768675611762</v>
      </c>
      <c r="C373" s="19" t="n">
        <f aca="true">MAX(0.25,NORMINV(RAND(),$B$7,$C$7))</f>
        <v>0.487684665283339</v>
      </c>
      <c r="D373" s="32" t="n">
        <f aca="true">MAX(0.07,NORMINV(RAND(),$B$8,$C$8))</f>
        <v>0.0961460215065583</v>
      </c>
      <c r="E373" s="51" t="n">
        <f aca="true">MAX(8,NORMINV(RAND(),$B$9,$C$9))</f>
        <v>24.5725746112974</v>
      </c>
      <c r="F373" s="24" t="n">
        <f aca="false">$B$18*(1+(B373+$B$17)/2)^9</f>
        <v>17454.6579121545</v>
      </c>
      <c r="G373" s="24" t="n">
        <f aca="false">F373*C373</f>
        <v>8512.36900152426</v>
      </c>
      <c r="H373" s="24" t="n">
        <f aca="false">E373*G373/(1+D373)^9</f>
        <v>91555.7019604212</v>
      </c>
      <c r="I373" s="24" t="n">
        <f aca="false">$B$13*G373/$B$12*((1+$B$8)/(1+D373))^4.5</f>
        <v>20365.1486648254</v>
      </c>
      <c r="J373" s="24" t="n">
        <f aca="false">H373+I373-$B$14</f>
        <v>110212.888830726</v>
      </c>
      <c r="K373" s="43" t="n">
        <f aca="false">J373/$B$15</f>
        <v>399.611634629173</v>
      </c>
    </row>
    <row r="374" customFormat="false" ht="15" hidden="false" customHeight="false" outlineLevel="0" collapsed="false">
      <c r="A374" s="50" t="n">
        <v>334</v>
      </c>
      <c r="B374" s="19" t="n">
        <f aca="true">NORMINV(RAND(),$B$6,$C$6)</f>
        <v>0.118903955351133</v>
      </c>
      <c r="C374" s="19" t="n">
        <f aca="true">MAX(0.25,NORMINV(RAND(),$B$7,$C$7))</f>
        <v>0.526638056285036</v>
      </c>
      <c r="D374" s="32" t="n">
        <f aca="true">MAX(0.07,NORMINV(RAND(),$B$8,$C$8))</f>
        <v>0.0983426031934863</v>
      </c>
      <c r="E374" s="51" t="n">
        <f aca="true">MAX(8,NORMINV(RAND(),$B$9,$C$9))</f>
        <v>18.3218809841317</v>
      </c>
      <c r="F374" s="24" t="n">
        <f aca="false">$B$18*(1+(B374+$B$17)/2)^9</f>
        <v>14495.1710719575</v>
      </c>
      <c r="G374" s="24" t="n">
        <f aca="false">F374*C374</f>
        <v>7633.70871885479</v>
      </c>
      <c r="H374" s="24" t="n">
        <f aca="false">E374*G374/(1+D374)^9</f>
        <v>60126.3963907334</v>
      </c>
      <c r="I374" s="24" t="n">
        <f aca="false">$B$13*G374/$B$12*((1+$B$8)/(1+D374))^4.5</f>
        <v>18099.2403806675</v>
      </c>
      <c r="J374" s="24" t="n">
        <f aca="false">H374+I374-$B$14</f>
        <v>76517.6749768804</v>
      </c>
      <c r="K374" s="43" t="n">
        <f aca="false">J374/$B$15</f>
        <v>277.438995565193</v>
      </c>
    </row>
    <row r="375" customFormat="false" ht="15" hidden="false" customHeight="false" outlineLevel="0" collapsed="false">
      <c r="A375" s="50" t="n">
        <v>335</v>
      </c>
      <c r="B375" s="19" t="n">
        <f aca="true">NORMINV(RAND(),$B$6,$C$6)</f>
        <v>0.0510277599211827</v>
      </c>
      <c r="C375" s="19" t="n">
        <f aca="true">MAX(0.25,NORMINV(RAND(),$B$7,$C$7))</f>
        <v>0.508206767042096</v>
      </c>
      <c r="D375" s="32" t="n">
        <f aca="true">MAX(0.07,NORMINV(RAND(),$B$8,$C$8))</f>
        <v>0.0876310911400167</v>
      </c>
      <c r="E375" s="51" t="n">
        <f aca="true">MAX(8,NORMINV(RAND(),$B$9,$C$9))</f>
        <v>18.1882538379099</v>
      </c>
      <c r="F375" s="24" t="n">
        <f aca="false">$B$18*(1+(B375+$B$17)/2)^9</f>
        <v>10931.2283055746</v>
      </c>
      <c r="G375" s="24" t="n">
        <f aca="false">F375*C375</f>
        <v>5555.3241969751</v>
      </c>
      <c r="H375" s="24" t="n">
        <f aca="false">E375*G375/(1+D375)^9</f>
        <v>47442.3169104059</v>
      </c>
      <c r="I375" s="24" t="n">
        <f aca="false">$B$13*G375/$B$12*((1+$B$8)/(1+D375))^4.5</f>
        <v>13765.3463419808</v>
      </c>
      <c r="J375" s="24" t="n">
        <f aca="false">H375+I375-$B$14</f>
        <v>59499.7014578661</v>
      </c>
      <c r="K375" s="43" t="n">
        <f aca="false">J375/$B$15</f>
        <v>215.734958150349</v>
      </c>
    </row>
    <row r="376" customFormat="false" ht="15" hidden="false" customHeight="false" outlineLevel="0" collapsed="false">
      <c r="A376" s="50" t="n">
        <v>336</v>
      </c>
      <c r="B376" s="19" t="n">
        <f aca="true">NORMINV(RAND(),$B$6,$C$6)</f>
        <v>0.140531455165442</v>
      </c>
      <c r="C376" s="19" t="n">
        <f aca="true">MAX(0.25,NORMINV(RAND(),$B$7,$C$7))</f>
        <v>0.457956852020749</v>
      </c>
      <c r="D376" s="32" t="n">
        <f aca="true">MAX(0.07,NORMINV(RAND(),$B$8,$C$8))</f>
        <v>0.112545355593526</v>
      </c>
      <c r="E376" s="51" t="n">
        <f aca="true">MAX(8,NORMINV(RAND(),$B$9,$C$9))</f>
        <v>20.5492043301565</v>
      </c>
      <c r="F376" s="24" t="n">
        <f aca="false">$B$18*(1+(B376+$B$17)/2)^9</f>
        <v>15829.9435923539</v>
      </c>
      <c r="G376" s="24" t="n">
        <f aca="false">F376*C376</f>
        <v>7249.43113522043</v>
      </c>
      <c r="H376" s="24" t="n">
        <f aca="false">E376*G376/(1+D376)^9</f>
        <v>57047.8673475563</v>
      </c>
      <c r="I376" s="24" t="n">
        <f aca="false">$B$13*G376/$B$12*((1+$B$8)/(1+D376))^4.5</f>
        <v>16222.5515437076</v>
      </c>
      <c r="J376" s="24" t="n">
        <f aca="false">H376+I376-$B$14</f>
        <v>71562.4570967433</v>
      </c>
      <c r="K376" s="43" t="n">
        <f aca="false">J376/$B$15</f>
        <v>259.472288240549</v>
      </c>
    </row>
    <row r="377" customFormat="false" ht="15" hidden="false" customHeight="false" outlineLevel="0" collapsed="false">
      <c r="A377" s="50" t="n">
        <v>337</v>
      </c>
      <c r="B377" s="19" t="n">
        <f aca="true">NORMINV(RAND(),$B$6,$C$6)</f>
        <v>0.119554121137271</v>
      </c>
      <c r="C377" s="19" t="n">
        <f aca="true">MAX(0.25,NORMINV(RAND(),$B$7,$C$7))</f>
        <v>0.525706713341376</v>
      </c>
      <c r="D377" s="32" t="n">
        <f aca="true">MAX(0.07,NORMINV(RAND(),$B$8,$C$8))</f>
        <v>0.101979123014881</v>
      </c>
      <c r="E377" s="51" t="n">
        <f aca="true">MAX(8,NORMINV(RAND(),$B$9,$C$9))</f>
        <v>19.1501050028775</v>
      </c>
      <c r="F377" s="24" t="n">
        <f aca="false">$B$18*(1+(B377+$B$17)/2)^9</f>
        <v>14533.7897497474</v>
      </c>
      <c r="G377" s="24" t="n">
        <f aca="false">F377*C377</f>
        <v>7640.51084173428</v>
      </c>
      <c r="H377" s="24" t="n">
        <f aca="false">E377*G377/(1+D377)^9</f>
        <v>61056.689615611</v>
      </c>
      <c r="I377" s="24" t="n">
        <f aca="false">$B$13*G377/$B$12*((1+$B$8)/(1+D377))^4.5</f>
        <v>17847.9048571243</v>
      </c>
      <c r="J377" s="24" t="n">
        <f aca="false">H377+I377-$B$14</f>
        <v>77196.6326782148</v>
      </c>
      <c r="K377" s="43" t="n">
        <f aca="false">J377/$B$15</f>
        <v>279.900771132033</v>
      </c>
    </row>
    <row r="378" customFormat="false" ht="15" hidden="false" customHeight="false" outlineLevel="0" collapsed="false">
      <c r="A378" s="50" t="n">
        <v>338</v>
      </c>
      <c r="B378" s="19" t="n">
        <f aca="true">NORMINV(RAND(),$B$6,$C$6)</f>
        <v>0.131466373954484</v>
      </c>
      <c r="C378" s="19" t="n">
        <f aca="true">MAX(0.25,NORMINV(RAND(),$B$7,$C$7))</f>
        <v>0.493860288234506</v>
      </c>
      <c r="D378" s="32" t="n">
        <f aca="true">MAX(0.07,NORMINV(RAND(),$B$8,$C$8))</f>
        <v>0.102810208308895</v>
      </c>
      <c r="E378" s="51" t="n">
        <f aca="true">MAX(8,NORMINV(RAND(),$B$9,$C$9))</f>
        <v>23.4622358862285</v>
      </c>
      <c r="F378" s="24" t="n">
        <f aca="false">$B$18*(1+(B378+$B$17)/2)^9</f>
        <v>15257.7348173055</v>
      </c>
      <c r="G378" s="24" t="n">
        <f aca="false">F378*C378</f>
        <v>7535.18931468017</v>
      </c>
      <c r="H378" s="24" t="n">
        <f aca="false">E378*G378/(1+D378)^9</f>
        <v>73275.1248087282</v>
      </c>
      <c r="I378" s="24" t="n">
        <f aca="false">$B$13*G378/$B$12*((1+$B$8)/(1+D378))^4.5</f>
        <v>17542.2649410099</v>
      </c>
      <c r="J378" s="24" t="n">
        <f aca="false">H378+I378-$B$14</f>
        <v>89109.4279552175</v>
      </c>
      <c r="K378" s="43" t="n">
        <f aca="false">J378/$B$15</f>
        <v>323.094372571492</v>
      </c>
    </row>
    <row r="379" customFormat="false" ht="15" hidden="false" customHeight="false" outlineLevel="0" collapsed="false">
      <c r="A379" s="50" t="n">
        <v>339</v>
      </c>
      <c r="B379" s="19" t="n">
        <f aca="true">NORMINV(RAND(),$B$6,$C$6)</f>
        <v>0.112979621079037</v>
      </c>
      <c r="C379" s="19" t="n">
        <f aca="true">MAX(0.25,NORMINV(RAND(),$B$7,$C$7))</f>
        <v>0.524967004906299</v>
      </c>
      <c r="D379" s="32" t="n">
        <f aca="true">MAX(0.07,NORMINV(RAND(),$B$8,$C$8))</f>
        <v>0.0941031599807878</v>
      </c>
      <c r="E379" s="51" t="n">
        <f aca="true">MAX(8,NORMINV(RAND(),$B$9,$C$9))</f>
        <v>18.7339256227624</v>
      </c>
      <c r="F379" s="24" t="n">
        <f aca="false">$B$18*(1+(B379+$B$17)/2)^9</f>
        <v>14147.4563911143</v>
      </c>
      <c r="G379" s="24" t="n">
        <f aca="false">F379*C379</f>
        <v>7426.94780868574</v>
      </c>
      <c r="H379" s="24" t="n">
        <f aca="false">E379*G379/(1+D379)^9</f>
        <v>61931.9440008101</v>
      </c>
      <c r="I379" s="24" t="n">
        <f aca="false">$B$13*G379/$B$12*((1+$B$8)/(1+D379))^4.5</f>
        <v>17918.1489813205</v>
      </c>
      <c r="J379" s="24" t="n">
        <f aca="false">H379+I379-$B$14</f>
        <v>78142.1311876101</v>
      </c>
      <c r="K379" s="43" t="n">
        <f aca="false">J379/$B$15</f>
        <v>283.328974574366</v>
      </c>
    </row>
    <row r="380" customFormat="false" ht="15" hidden="false" customHeight="false" outlineLevel="0" collapsed="false">
      <c r="A380" s="50" t="n">
        <v>340</v>
      </c>
      <c r="B380" s="19" t="n">
        <f aca="true">NORMINV(RAND(),$B$6,$C$6)</f>
        <v>0.10349737054951</v>
      </c>
      <c r="C380" s="19" t="n">
        <f aca="true">MAX(0.25,NORMINV(RAND(),$B$7,$C$7))</f>
        <v>0.524679902364378</v>
      </c>
      <c r="D380" s="32" t="n">
        <f aca="true">MAX(0.07,NORMINV(RAND(),$B$8,$C$8))</f>
        <v>0.0953659752354484</v>
      </c>
      <c r="E380" s="51" t="n">
        <f aca="true">MAX(8,NORMINV(RAND(),$B$9,$C$9))</f>
        <v>17.6999337851725</v>
      </c>
      <c r="F380" s="24" t="n">
        <f aca="false">$B$18*(1+(B380+$B$17)/2)^9</f>
        <v>13606.3318939483</v>
      </c>
      <c r="G380" s="24" t="n">
        <f aca="false">F380*C380</f>
        <v>7138.96888965409</v>
      </c>
      <c r="H380" s="24" t="n">
        <f aca="false">E380*G380/(1+D380)^9</f>
        <v>55663.9360106593</v>
      </c>
      <c r="I380" s="24" t="n">
        <f aca="false">$B$13*G380/$B$12*((1+$B$8)/(1+D380))^4.5</f>
        <v>17134.2017694466</v>
      </c>
      <c r="J380" s="24" t="n">
        <f aca="false">H380+I380-$B$14</f>
        <v>71090.1759855853</v>
      </c>
      <c r="K380" s="43" t="n">
        <f aca="false">J380/$B$15</f>
        <v>257.759883921629</v>
      </c>
    </row>
    <row r="381" customFormat="false" ht="15" hidden="false" customHeight="false" outlineLevel="0" collapsed="false">
      <c r="A381" s="50" t="n">
        <v>341</v>
      </c>
      <c r="B381" s="19" t="n">
        <f aca="true">NORMINV(RAND(),$B$6,$C$6)</f>
        <v>0.134453328585779</v>
      </c>
      <c r="C381" s="19" t="n">
        <f aca="true">MAX(0.25,NORMINV(RAND(),$B$7,$C$7))</f>
        <v>0.47475575498339</v>
      </c>
      <c r="D381" s="32" t="n">
        <f aca="true">MAX(0.07,NORMINV(RAND(),$B$8,$C$8))</f>
        <v>0.115867714878919</v>
      </c>
      <c r="E381" s="51" t="n">
        <f aca="true">MAX(8,NORMINV(RAND(),$B$9,$C$9))</f>
        <v>18.5693604130445</v>
      </c>
      <c r="F381" s="24" t="n">
        <f aca="false">$B$18*(1+(B381+$B$17)/2)^9</f>
        <v>15444.2131000045</v>
      </c>
      <c r="G381" s="24" t="n">
        <f aca="false">F381*C381</f>
        <v>7332.22905041698</v>
      </c>
      <c r="H381" s="24" t="n">
        <f aca="false">E381*G381/(1+D381)^9</f>
        <v>50759.6427721011</v>
      </c>
      <c r="I381" s="24" t="n">
        <f aca="false">$B$13*G381/$B$12*((1+$B$8)/(1+D381))^4.5</f>
        <v>16189.1413237812</v>
      </c>
      <c r="J381" s="24" t="n">
        <f aca="false">H381+I381-$B$14</f>
        <v>65240.8223013618</v>
      </c>
      <c r="K381" s="43" t="n">
        <f aca="false">J381/$B$15</f>
        <v>236.551204863531</v>
      </c>
    </row>
    <row r="382" customFormat="false" ht="15" hidden="false" customHeight="false" outlineLevel="0" collapsed="false">
      <c r="A382" s="50" t="n">
        <v>342</v>
      </c>
      <c r="B382" s="19" t="n">
        <f aca="true">NORMINV(RAND(),$B$6,$C$6)</f>
        <v>0.111696367039422</v>
      </c>
      <c r="C382" s="19" t="n">
        <f aca="true">MAX(0.25,NORMINV(RAND(),$B$7,$C$7))</f>
        <v>0.48618180168573</v>
      </c>
      <c r="D382" s="32" t="n">
        <f aca="true">MAX(0.07,NORMINV(RAND(),$B$8,$C$8))</f>
        <v>0.105449299305918</v>
      </c>
      <c r="E382" s="51" t="n">
        <f aca="true">MAX(8,NORMINV(RAND(),$B$9,$C$9))</f>
        <v>20.2222605399873</v>
      </c>
      <c r="F382" s="24" t="n">
        <f aca="false">$B$18*(1+(B382+$B$17)/2)^9</f>
        <v>14073.1232336219</v>
      </c>
      <c r="G382" s="24" t="n">
        <f aca="false">F382*C382</f>
        <v>6842.09640906762</v>
      </c>
      <c r="H382" s="24" t="n">
        <f aca="false">E382*G382/(1+D382)^9</f>
        <v>56126.6901415543</v>
      </c>
      <c r="I382" s="24" t="n">
        <f aca="false">$B$13*G382/$B$12*((1+$B$8)/(1+D382))^4.5</f>
        <v>15758.3033637142</v>
      </c>
      <c r="J382" s="24" t="n">
        <f aca="false">H382+I382-$B$14</f>
        <v>70177.031710748</v>
      </c>
      <c r="K382" s="43" t="n">
        <f aca="false">J382/$B$15</f>
        <v>254.448990974431</v>
      </c>
    </row>
    <row r="383" customFormat="false" ht="15" hidden="false" customHeight="false" outlineLevel="0" collapsed="false">
      <c r="A383" s="50" t="n">
        <v>343</v>
      </c>
      <c r="B383" s="19" t="n">
        <f aca="true">NORMINV(RAND(),$B$6,$C$6)</f>
        <v>0.190363185175824</v>
      </c>
      <c r="C383" s="19" t="n">
        <f aca="true">MAX(0.25,NORMINV(RAND(),$B$7,$C$7))</f>
        <v>0.476662732420248</v>
      </c>
      <c r="D383" s="32" t="n">
        <f aca="true">MAX(0.07,NORMINV(RAND(),$B$8,$C$8))</f>
        <v>0.111181710034594</v>
      </c>
      <c r="E383" s="51" t="n">
        <f aca="true">MAX(8,NORMINV(RAND(),$B$9,$C$9))</f>
        <v>20.0917022463681</v>
      </c>
      <c r="F383" s="24" t="n">
        <f aca="false">$B$18*(1+(B383+$B$17)/2)^9</f>
        <v>19329.6960138138</v>
      </c>
      <c r="G383" s="24" t="n">
        <f aca="false">F383*C383</f>
        <v>9213.74571879727</v>
      </c>
      <c r="H383" s="24" t="n">
        <f aca="false">E383*G383/(1+D383)^9</f>
        <v>71678.2175149663</v>
      </c>
      <c r="I383" s="24" t="n">
        <f aca="false">$B$13*G383/$B$12*((1+$B$8)/(1+D383))^4.5</f>
        <v>20732.3408264815</v>
      </c>
      <c r="J383" s="24" t="n">
        <f aca="false">H383+I383-$B$14</f>
        <v>90702.5965469273</v>
      </c>
      <c r="K383" s="43" t="n">
        <f aca="false">J383/$B$15</f>
        <v>328.87090843701</v>
      </c>
    </row>
    <row r="384" customFormat="false" ht="15" hidden="false" customHeight="false" outlineLevel="0" collapsed="false">
      <c r="A384" s="50" t="n">
        <v>344</v>
      </c>
      <c r="B384" s="19" t="n">
        <f aca="true">NORMINV(RAND(),$B$6,$C$6)</f>
        <v>0.112137435200948</v>
      </c>
      <c r="C384" s="19" t="n">
        <f aca="true">MAX(0.25,NORMINV(RAND(),$B$7,$C$7))</f>
        <v>0.457278705241792</v>
      </c>
      <c r="D384" s="32" t="n">
        <f aca="true">MAX(0.07,NORMINV(RAND(),$B$8,$C$8))</f>
        <v>0.106169421226267</v>
      </c>
      <c r="E384" s="51" t="n">
        <f aca="true">MAX(8,NORMINV(RAND(),$B$9,$C$9))</f>
        <v>19.8177646767492</v>
      </c>
      <c r="F384" s="24" t="n">
        <f aca="false">$B$18*(1+(B384+$B$17)/2)^9</f>
        <v>14098.6330859015</v>
      </c>
      <c r="G384" s="24" t="n">
        <f aca="false">F384*C384</f>
        <v>6447.00468320013</v>
      </c>
      <c r="H384" s="24" t="n">
        <f aca="false">E384*G384/(1+D384)^9</f>
        <v>51524.9779090229</v>
      </c>
      <c r="I384" s="24" t="n">
        <f aca="false">$B$13*G384/$B$12*((1+$B$8)/(1+D384))^4.5</f>
        <v>14804.9028963386</v>
      </c>
      <c r="J384" s="24" t="n">
        <f aca="false">H384+I384-$B$14</f>
        <v>64621.919010841</v>
      </c>
      <c r="K384" s="43" t="n">
        <f aca="false">J384/$B$15</f>
        <v>234.307175528793</v>
      </c>
    </row>
    <row r="385" customFormat="false" ht="15" hidden="false" customHeight="false" outlineLevel="0" collapsed="false">
      <c r="A385" s="50" t="n">
        <v>345</v>
      </c>
      <c r="B385" s="19" t="n">
        <f aca="true">NORMINV(RAND(),$B$6,$C$6)</f>
        <v>0.0835443980224143</v>
      </c>
      <c r="C385" s="19" t="n">
        <f aca="true">MAX(0.25,NORMINV(RAND(),$B$7,$C$7))</f>
        <v>0.500069478634905</v>
      </c>
      <c r="D385" s="32" t="n">
        <f aca="true">MAX(0.07,NORMINV(RAND(),$B$8,$C$8))</f>
        <v>0.0981117349562727</v>
      </c>
      <c r="E385" s="51" t="n">
        <f aca="true">MAX(8,NORMINV(RAND(),$B$9,$C$9))</f>
        <v>21.2408551850801</v>
      </c>
      <c r="F385" s="24" t="n">
        <f aca="false">$B$18*(1+(B385+$B$17)/2)^9</f>
        <v>12527.3527571751</v>
      </c>
      <c r="G385" s="24" t="n">
        <f aca="false">F385*C385</f>
        <v>6264.5467619561</v>
      </c>
      <c r="H385" s="24" t="n">
        <f aca="false">E385*G385/(1+D385)^9</f>
        <v>57311.6430860547</v>
      </c>
      <c r="I385" s="24" t="n">
        <f aca="false">$B$13*G385/$B$12*((1+$B$8)/(1+D385))^4.5</f>
        <v>14867.0655171026</v>
      </c>
      <c r="J385" s="24" t="n">
        <f aca="false">H385+I385-$B$14</f>
        <v>70470.7468086367</v>
      </c>
      <c r="K385" s="43" t="n">
        <f aca="false">J385/$B$15</f>
        <v>255.513947819567</v>
      </c>
    </row>
    <row r="386" customFormat="false" ht="15" hidden="false" customHeight="false" outlineLevel="0" collapsed="false">
      <c r="A386" s="50" t="n">
        <v>346</v>
      </c>
      <c r="B386" s="19" t="n">
        <f aca="true">NORMINV(RAND(),$B$6,$C$6)</f>
        <v>0.120136291685663</v>
      </c>
      <c r="C386" s="19" t="n">
        <f aca="true">MAX(0.25,NORMINV(RAND(),$B$7,$C$7))</f>
        <v>0.470217895826788</v>
      </c>
      <c r="D386" s="32" t="n">
        <f aca="true">MAX(0.07,NORMINV(RAND(),$B$8,$C$8))</f>
        <v>0.0989228944298648</v>
      </c>
      <c r="E386" s="51" t="n">
        <f aca="true">MAX(8,NORMINV(RAND(),$B$9,$C$9))</f>
        <v>19.9639059054465</v>
      </c>
      <c r="F386" s="24" t="n">
        <f aca="false">$B$18*(1+(B386+$B$17)/2)^9</f>
        <v>14568.4472146542</v>
      </c>
      <c r="G386" s="24" t="n">
        <f aca="false">F386*C386</f>
        <v>6850.34459473831</v>
      </c>
      <c r="H386" s="24" t="n">
        <f aca="false">E386*G386/(1+D386)^9</f>
        <v>58513.0775046721</v>
      </c>
      <c r="I386" s="24" t="n">
        <f aca="false">$B$13*G386/$B$12*((1+$B$8)/(1+D386))^4.5</f>
        <v>16203.3539597077</v>
      </c>
      <c r="J386" s="24" t="n">
        <f aca="false">H386+I386-$B$14</f>
        <v>73008.4696698593</v>
      </c>
      <c r="K386" s="43" t="n">
        <f aca="false">J386/$B$15</f>
        <v>264.715263487525</v>
      </c>
    </row>
    <row r="387" customFormat="false" ht="15" hidden="false" customHeight="false" outlineLevel="0" collapsed="false">
      <c r="A387" s="50" t="n">
        <v>347</v>
      </c>
      <c r="B387" s="19" t="n">
        <f aca="true">NORMINV(RAND(),$B$6,$C$6)</f>
        <v>0.127270022359818</v>
      </c>
      <c r="C387" s="19" t="n">
        <f aca="true">MAX(0.25,NORMINV(RAND(),$B$7,$C$7))</f>
        <v>0.541124805330666</v>
      </c>
      <c r="D387" s="32" t="n">
        <f aca="true">MAX(0.07,NORMINV(RAND(),$B$8,$C$8))</f>
        <v>0.103303394335736</v>
      </c>
      <c r="E387" s="51" t="n">
        <f aca="true">MAX(8,NORMINV(RAND(),$B$9,$C$9))</f>
        <v>21.5060688478587</v>
      </c>
      <c r="F387" s="24" t="n">
        <f aca="false">$B$18*(1+(B387+$B$17)/2)^9</f>
        <v>14999.1340421307</v>
      </c>
      <c r="G387" s="24" t="n">
        <f aca="false">F387*C387</f>
        <v>8116.40348867653</v>
      </c>
      <c r="H387" s="24" t="n">
        <f aca="false">E387*G387/(1+D387)^9</f>
        <v>72055.987099822</v>
      </c>
      <c r="I387" s="24" t="n">
        <f aca="false">$B$13*G387/$B$12*((1+$B$8)/(1+D387))^4.5</f>
        <v>18857.3790724888</v>
      </c>
      <c r="J387" s="24" t="n">
        <f aca="false">H387+I387-$B$14</f>
        <v>89205.4043777903</v>
      </c>
      <c r="K387" s="43" t="n">
        <f aca="false">J387/$B$15</f>
        <v>323.442365401705</v>
      </c>
    </row>
    <row r="388" customFormat="false" ht="15" hidden="false" customHeight="false" outlineLevel="0" collapsed="false">
      <c r="A388" s="50" t="n">
        <v>348</v>
      </c>
      <c r="B388" s="19" t="n">
        <f aca="true">NORMINV(RAND(),$B$6,$C$6)</f>
        <v>0.127058300714581</v>
      </c>
      <c r="C388" s="19" t="n">
        <f aca="true">MAX(0.25,NORMINV(RAND(),$B$7,$C$7))</f>
        <v>0.432997324570158</v>
      </c>
      <c r="D388" s="32" t="n">
        <f aca="true">MAX(0.07,NORMINV(RAND(),$B$8,$C$8))</f>
        <v>0.0949172580641016</v>
      </c>
      <c r="E388" s="51" t="n">
        <f aca="true">MAX(8,NORMINV(RAND(),$B$9,$C$9))</f>
        <v>19.3870276579367</v>
      </c>
      <c r="F388" s="24" t="n">
        <f aca="false">$B$18*(1+(B388+$B$17)/2)^9</f>
        <v>14986.1905380252</v>
      </c>
      <c r="G388" s="24" t="n">
        <f aca="false">F388*C388</f>
        <v>6488.98040846352</v>
      </c>
      <c r="H388" s="24" t="n">
        <f aca="false">E388*G388/(1+D388)^9</f>
        <v>55623.2015571445</v>
      </c>
      <c r="I388" s="24" t="n">
        <f aca="false">$B$13*G388/$B$12*((1+$B$8)/(1+D388))^4.5</f>
        <v>15602.9100404045</v>
      </c>
      <c r="J388" s="24" t="n">
        <f aca="false">H388+I388-$B$14</f>
        <v>69518.1498030285</v>
      </c>
      <c r="K388" s="43" t="n">
        <f aca="false">J388/$B$15</f>
        <v>252.060006537449</v>
      </c>
    </row>
    <row r="389" customFormat="false" ht="15" hidden="false" customHeight="false" outlineLevel="0" collapsed="false">
      <c r="A389" s="50" t="n">
        <v>349</v>
      </c>
      <c r="B389" s="19" t="n">
        <f aca="true">NORMINV(RAND(),$B$6,$C$6)</f>
        <v>0.0852491363641288</v>
      </c>
      <c r="C389" s="19" t="n">
        <f aca="true">MAX(0.25,NORMINV(RAND(),$B$7,$C$7))</f>
        <v>0.497737310598723</v>
      </c>
      <c r="D389" s="32" t="n">
        <f aca="true">MAX(0.07,NORMINV(RAND(),$B$8,$C$8))</f>
        <v>0.110239859898704</v>
      </c>
      <c r="E389" s="51" t="n">
        <f aca="true">MAX(8,NORMINV(RAND(),$B$9,$C$9))</f>
        <v>18.852671214031</v>
      </c>
      <c r="F389" s="24" t="n">
        <f aca="false">$B$18*(1+(B389+$B$17)/2)^9</f>
        <v>12616.4702337855</v>
      </c>
      <c r="G389" s="24" t="n">
        <f aca="false">F389*C389</f>
        <v>6279.68796341326</v>
      </c>
      <c r="H389" s="24" t="n">
        <f aca="false">E389*G389/(1+D389)^9</f>
        <v>46191.239869823</v>
      </c>
      <c r="I389" s="24" t="n">
        <f aca="false">$B$13*G389/$B$12*((1+$B$8)/(1+D389))^4.5</f>
        <v>14184.2831465137</v>
      </c>
      <c r="J389" s="24" t="n">
        <f aca="false">H389+I389-$B$14</f>
        <v>58667.5612218162</v>
      </c>
      <c r="K389" s="43" t="n">
        <f aca="false">J389/$B$15</f>
        <v>212.717770927542</v>
      </c>
    </row>
    <row r="390" customFormat="false" ht="15" hidden="false" customHeight="false" outlineLevel="0" collapsed="false">
      <c r="A390" s="50" t="n">
        <v>350</v>
      </c>
      <c r="B390" s="19" t="n">
        <f aca="true">NORMINV(RAND(),$B$6,$C$6)</f>
        <v>0.0797452844981325</v>
      </c>
      <c r="C390" s="19" t="n">
        <f aca="true">MAX(0.25,NORMINV(RAND(),$B$7,$C$7))</f>
        <v>0.5542403608261</v>
      </c>
      <c r="D390" s="32" t="n">
        <f aca="true">MAX(0.07,NORMINV(RAND(),$B$8,$C$8))</f>
        <v>0.0947715866620583</v>
      </c>
      <c r="E390" s="51" t="n">
        <f aca="true">MAX(8,NORMINV(RAND(),$B$9,$C$9))</f>
        <v>21.8328073757364</v>
      </c>
      <c r="F390" s="24" t="n">
        <f aca="false">$B$18*(1+(B390+$B$17)/2)^9</f>
        <v>12330.7590383081</v>
      </c>
      <c r="G390" s="24" t="n">
        <f aca="false">F390*C390</f>
        <v>6834.20433865157</v>
      </c>
      <c r="H390" s="24" t="n">
        <f aca="false">E390*G390/(1+D390)^9</f>
        <v>66051.9870066515</v>
      </c>
      <c r="I390" s="24" t="n">
        <f aca="false">$B$13*G390/$B$12*((1+$B$8)/(1+D390))^4.5</f>
        <v>16442.8512728937</v>
      </c>
      <c r="J390" s="24" t="n">
        <f aca="false">H390+I390-$B$14</f>
        <v>80786.8764850247</v>
      </c>
      <c r="K390" s="43" t="n">
        <f aca="false">J390/$B$15</f>
        <v>292.918333883338</v>
      </c>
    </row>
    <row r="391" customFormat="false" ht="15" hidden="false" customHeight="false" outlineLevel="0" collapsed="false">
      <c r="A391" s="50" t="n">
        <v>351</v>
      </c>
      <c r="B391" s="19" t="n">
        <f aca="true">NORMINV(RAND(),$B$6,$C$6)</f>
        <v>0.123596860361892</v>
      </c>
      <c r="C391" s="19" t="n">
        <f aca="true">MAX(0.25,NORMINV(RAND(),$B$7,$C$7))</f>
        <v>0.538116218258912</v>
      </c>
      <c r="D391" s="32" t="n">
        <f aca="true">MAX(0.07,NORMINV(RAND(),$B$8,$C$8))</f>
        <v>0.111018803319647</v>
      </c>
      <c r="E391" s="51" t="n">
        <f aca="true">MAX(8,NORMINV(RAND(),$B$9,$C$9))</f>
        <v>21.8787817409779</v>
      </c>
      <c r="F391" s="24" t="n">
        <f aca="false">$B$18*(1+(B391+$B$17)/2)^9</f>
        <v>14775.9803645601</v>
      </c>
      <c r="G391" s="24" t="n">
        <f aca="false">F391*C391</f>
        <v>7951.19467484505</v>
      </c>
      <c r="H391" s="24" t="n">
        <f aca="false">E391*G391/(1+D391)^9</f>
        <v>67447.0314847551</v>
      </c>
      <c r="I391" s="24" t="n">
        <f aca="false">$B$13*G391/$B$12*((1+$B$8)/(1+D391))^4.5</f>
        <v>17903.2156245453</v>
      </c>
      <c r="J391" s="24" t="n">
        <f aca="false">H391+I391-$B$14</f>
        <v>83642.2853147799</v>
      </c>
      <c r="K391" s="43" t="n">
        <f aca="false">J391/$B$15</f>
        <v>303.271520358158</v>
      </c>
    </row>
    <row r="392" customFormat="false" ht="15" hidden="false" customHeight="false" outlineLevel="0" collapsed="false">
      <c r="A392" s="50" t="n">
        <v>352</v>
      </c>
      <c r="B392" s="19" t="n">
        <f aca="true">NORMINV(RAND(),$B$6,$C$6)</f>
        <v>0.130291196421279</v>
      </c>
      <c r="C392" s="19" t="n">
        <f aca="true">MAX(0.25,NORMINV(RAND(),$B$7,$C$7))</f>
        <v>0.499123379165523</v>
      </c>
      <c r="D392" s="32" t="n">
        <f aca="true">MAX(0.07,NORMINV(RAND(),$B$8,$C$8))</f>
        <v>0.0859043178032561</v>
      </c>
      <c r="E392" s="51" t="n">
        <f aca="true">MAX(8,NORMINV(RAND(),$B$9,$C$9))</f>
        <v>23.7337317166312</v>
      </c>
      <c r="F392" s="24" t="n">
        <f aca="false">$B$18*(1+(B392+$B$17)/2)^9</f>
        <v>15184.9178251189</v>
      </c>
      <c r="G392" s="24" t="n">
        <f aca="false">F392*C392</f>
        <v>7579.1474972241</v>
      </c>
      <c r="H392" s="24" t="n">
        <f aca="false">E392*G392/(1+D392)^9</f>
        <v>85676.624526115</v>
      </c>
      <c r="I392" s="24" t="n">
        <f aca="false">$B$13*G392/$B$12*((1+$B$8)/(1+D392))^4.5</f>
        <v>18914.8689136344</v>
      </c>
      <c r="J392" s="24" t="n">
        <f aca="false">H392+I392-$B$14</f>
        <v>102883.531645229</v>
      </c>
      <c r="K392" s="43" t="n">
        <f aca="false">J392/$B$15</f>
        <v>373.036735479437</v>
      </c>
    </row>
    <row r="393" customFormat="false" ht="15" hidden="false" customHeight="false" outlineLevel="0" collapsed="false">
      <c r="A393" s="50" t="n">
        <v>353</v>
      </c>
      <c r="B393" s="19" t="n">
        <f aca="true">NORMINV(RAND(),$B$6,$C$6)</f>
        <v>0.138982587831884</v>
      </c>
      <c r="C393" s="19" t="n">
        <f aca="true">MAX(0.25,NORMINV(RAND(),$B$7,$C$7))</f>
        <v>0.473114439066449</v>
      </c>
      <c r="D393" s="32" t="n">
        <f aca="true">MAX(0.07,NORMINV(RAND(),$B$8,$C$8))</f>
        <v>0.0927719588757009</v>
      </c>
      <c r="E393" s="51" t="n">
        <f aca="true">MAX(8,NORMINV(RAND(),$B$9,$C$9))</f>
        <v>23.1223071369124</v>
      </c>
      <c r="F393" s="24" t="n">
        <f aca="false">$B$18*(1+(B393+$B$17)/2)^9</f>
        <v>15730.8449438978</v>
      </c>
      <c r="G393" s="24" t="n">
        <f aca="false">F393*C393</f>
        <v>7442.48988167349</v>
      </c>
      <c r="H393" s="24" t="n">
        <f aca="false">E393*G393/(1+D393)^9</f>
        <v>77443.2442869934</v>
      </c>
      <c r="I393" s="24" t="n">
        <f aca="false">$B$13*G393/$B$12*((1+$B$8)/(1+D393))^4.5</f>
        <v>18054.2856560818</v>
      </c>
      <c r="J393" s="24" t="n">
        <f aca="false">H393+I393-$B$14</f>
        <v>93789.5681485547</v>
      </c>
      <c r="K393" s="43" t="n">
        <f aca="false">J393/$B$15</f>
        <v>340.063698870757</v>
      </c>
    </row>
    <row r="394" customFormat="false" ht="15" hidden="false" customHeight="false" outlineLevel="0" collapsed="false">
      <c r="A394" s="50" t="n">
        <v>354</v>
      </c>
      <c r="B394" s="19" t="n">
        <f aca="true">NORMINV(RAND(),$B$6,$C$6)</f>
        <v>0.135715480749075</v>
      </c>
      <c r="C394" s="19" t="n">
        <f aca="true">MAX(0.25,NORMINV(RAND(),$B$7,$C$7))</f>
        <v>0.519701762977238</v>
      </c>
      <c r="D394" s="32" t="n">
        <f aca="true">MAX(0.07,NORMINV(RAND(),$B$8,$C$8))</f>
        <v>0.102512020103314</v>
      </c>
      <c r="E394" s="51" t="n">
        <f aca="true">MAX(8,NORMINV(RAND(),$B$9,$C$9))</f>
        <v>20.6869680955767</v>
      </c>
      <c r="F394" s="24" t="n">
        <f aca="false">$B$18*(1+(B394+$B$17)/2)^9</f>
        <v>15523.617357851</v>
      </c>
      <c r="G394" s="24" t="n">
        <f aca="false">F394*C394</f>
        <v>8067.65130865922</v>
      </c>
      <c r="H394" s="24" t="n">
        <f aca="false">E394*G394/(1+D394)^9</f>
        <v>69341.6172670862</v>
      </c>
      <c r="I394" s="24" t="n">
        <f aca="false">$B$13*G394/$B$12*((1+$B$8)/(1+D394))^4.5</f>
        <v>18804.7306626466</v>
      </c>
      <c r="J394" s="24" t="n">
        <f aca="false">H394+I394-$B$14</f>
        <v>86438.3861352123</v>
      </c>
      <c r="K394" s="43" t="n">
        <f aca="false">J394/$B$15</f>
        <v>313.4096669152</v>
      </c>
    </row>
    <row r="395" customFormat="false" ht="15" hidden="false" customHeight="false" outlineLevel="0" collapsed="false">
      <c r="A395" s="50" t="n">
        <v>355</v>
      </c>
      <c r="B395" s="19" t="n">
        <f aca="true">NORMINV(RAND(),$B$6,$C$6)</f>
        <v>0.0951439813237342</v>
      </c>
      <c r="C395" s="19" t="n">
        <f aca="true">MAX(0.25,NORMINV(RAND(),$B$7,$C$7))</f>
        <v>0.516969731836052</v>
      </c>
      <c r="D395" s="32" t="n">
        <f aca="true">MAX(0.07,NORMINV(RAND(),$B$8,$C$8))</f>
        <v>0.0991380853725172</v>
      </c>
      <c r="E395" s="51" t="n">
        <f aca="true">MAX(8,NORMINV(RAND(),$B$9,$C$9))</f>
        <v>19.9011994524673</v>
      </c>
      <c r="F395" s="24" t="n">
        <f aca="false">$B$18*(1+(B395+$B$17)/2)^9</f>
        <v>13144.954587091</v>
      </c>
      <c r="G395" s="24" t="n">
        <f aca="false">F395*C395</f>
        <v>6795.54364788553</v>
      </c>
      <c r="H395" s="24" t="n">
        <f aca="false">E395*G395/(1+D395)^9</f>
        <v>57760.7933729879</v>
      </c>
      <c r="I395" s="24" t="n">
        <f aca="false">$B$13*G395/$B$12*((1+$B$8)/(1+D395))^4.5</f>
        <v>16059.5750309447</v>
      </c>
      <c r="J395" s="24" t="n">
        <f aca="false">H395+I395-$B$14</f>
        <v>72112.406609412</v>
      </c>
      <c r="K395" s="43" t="n">
        <f aca="false">J395/$B$15</f>
        <v>261.466303877491</v>
      </c>
    </row>
    <row r="396" customFormat="false" ht="15" hidden="false" customHeight="false" outlineLevel="0" collapsed="false">
      <c r="A396" s="50" t="n">
        <v>356</v>
      </c>
      <c r="B396" s="19" t="n">
        <f aca="true">NORMINV(RAND(),$B$6,$C$6)</f>
        <v>0.121875104968337</v>
      </c>
      <c r="C396" s="19" t="n">
        <f aca="true">MAX(0.25,NORMINV(RAND(),$B$7,$C$7))</f>
        <v>0.507724596722208</v>
      </c>
      <c r="D396" s="32" t="n">
        <f aca="true">MAX(0.07,NORMINV(RAND(),$B$8,$C$8))</f>
        <v>0.104579550200593</v>
      </c>
      <c r="E396" s="51" t="n">
        <f aca="true">MAX(8,NORMINV(RAND(),$B$9,$C$9))</f>
        <v>18.6084700565938</v>
      </c>
      <c r="F396" s="24" t="n">
        <f aca="false">$B$18*(1+(B396+$B$17)/2)^9</f>
        <v>14672.3991136265</v>
      </c>
      <c r="G396" s="24" t="n">
        <f aca="false">F396*C396</f>
        <v>7449.53792291331</v>
      </c>
      <c r="H396" s="24" t="n">
        <f aca="false">E396*G396/(1+D396)^9</f>
        <v>56632.6672208059</v>
      </c>
      <c r="I396" s="24" t="n">
        <f aca="false">$B$13*G396/$B$12*((1+$B$8)/(1+D396))^4.5</f>
        <v>17218.203585282</v>
      </c>
      <c r="J396" s="24" t="n">
        <f aca="false">H396+I396-$B$14</f>
        <v>72142.9090115673</v>
      </c>
      <c r="K396" s="43" t="n">
        <f aca="false">J396/$B$15</f>
        <v>261.576899969425</v>
      </c>
    </row>
    <row r="397" customFormat="false" ht="15" hidden="false" customHeight="false" outlineLevel="0" collapsed="false">
      <c r="A397" s="50" t="n">
        <v>357</v>
      </c>
      <c r="B397" s="19" t="n">
        <f aca="true">NORMINV(RAND(),$B$6,$C$6)</f>
        <v>0.147944361050214</v>
      </c>
      <c r="C397" s="19" t="n">
        <f aca="true">MAX(0.25,NORMINV(RAND(),$B$7,$C$7))</f>
        <v>0.496420654057409</v>
      </c>
      <c r="D397" s="32" t="n">
        <f aca="true">MAX(0.07,NORMINV(RAND(),$B$8,$C$8))</f>
        <v>0.103480925688974</v>
      </c>
      <c r="E397" s="51" t="n">
        <f aca="true">MAX(8,NORMINV(RAND(),$B$9,$C$9))</f>
        <v>16.9830698322998</v>
      </c>
      <c r="F397" s="24" t="n">
        <f aca="false">$B$18*(1+(B397+$B$17)/2)^9</f>
        <v>16311.9570439298</v>
      </c>
      <c r="G397" s="24" t="n">
        <f aca="false">F397*C397</f>
        <v>8097.592384704</v>
      </c>
      <c r="H397" s="24" t="n">
        <f aca="false">E397*G397/(1+D397)^9</f>
        <v>56687.6733076346</v>
      </c>
      <c r="I397" s="24" t="n">
        <f aca="false">$B$13*G397/$B$12*((1+$B$8)/(1+D397))^4.5</f>
        <v>18800.0572162471</v>
      </c>
      <c r="J397" s="24" t="n">
        <f aca="false">H397+I397-$B$14</f>
        <v>73779.7687293611</v>
      </c>
      <c r="K397" s="43" t="n">
        <f aca="false">J397/$B$15</f>
        <v>267.511851810592</v>
      </c>
    </row>
    <row r="398" customFormat="false" ht="15" hidden="false" customHeight="false" outlineLevel="0" collapsed="false">
      <c r="A398" s="50" t="n">
        <v>358</v>
      </c>
      <c r="B398" s="19" t="n">
        <f aca="true">NORMINV(RAND(),$B$6,$C$6)</f>
        <v>0.145938229797733</v>
      </c>
      <c r="C398" s="19" t="n">
        <f aca="true">MAX(0.25,NORMINV(RAND(),$B$7,$C$7))</f>
        <v>0.514845959823086</v>
      </c>
      <c r="D398" s="32" t="n">
        <f aca="true">MAX(0.07,NORMINV(RAND(),$B$8,$C$8))</f>
        <v>0.105662193799415</v>
      </c>
      <c r="E398" s="51" t="n">
        <f aca="true">MAX(8,NORMINV(RAND(),$B$9,$C$9))</f>
        <v>19.7437929353155</v>
      </c>
      <c r="F398" s="24" t="n">
        <f aca="false">$B$18*(1+(B398+$B$17)/2)^9</f>
        <v>16180.2406518818</v>
      </c>
      <c r="G398" s="24" t="n">
        <f aca="false">F398*C398</f>
        <v>8330.3315285866</v>
      </c>
      <c r="H398" s="24" t="n">
        <f aca="false">E398*G398/(1+D398)^9</f>
        <v>66602.5311420735</v>
      </c>
      <c r="I398" s="24" t="n">
        <f aca="false">$B$13*G398/$B$12*((1+$B$8)/(1+D398))^4.5</f>
        <v>19169.2981832223</v>
      </c>
      <c r="J398" s="24" t="n">
        <f aca="false">H398+I398-$B$14</f>
        <v>84063.8675307753</v>
      </c>
      <c r="K398" s="43" t="n">
        <f aca="false">J398/$B$15</f>
        <v>304.80009982152</v>
      </c>
    </row>
    <row r="399" customFormat="false" ht="15" hidden="false" customHeight="false" outlineLevel="0" collapsed="false">
      <c r="A399" s="50" t="n">
        <v>359</v>
      </c>
      <c r="B399" s="19" t="n">
        <f aca="true">NORMINV(RAND(),$B$6,$C$6)</f>
        <v>0.196841628245033</v>
      </c>
      <c r="C399" s="19" t="n">
        <f aca="true">MAX(0.25,NORMINV(RAND(),$B$7,$C$7))</f>
        <v>0.538326224380313</v>
      </c>
      <c r="D399" s="32" t="n">
        <f aca="true">MAX(0.07,NORMINV(RAND(),$B$8,$C$8))</f>
        <v>0.0919686894746879</v>
      </c>
      <c r="E399" s="51" t="n">
        <f aca="true">MAX(8,NORMINV(RAND(),$B$9,$C$9))</f>
        <v>19.9901001278162</v>
      </c>
      <c r="F399" s="24" t="n">
        <f aca="false">$B$18*(1+(B399+$B$17)/2)^9</f>
        <v>19831.8125763843</v>
      </c>
      <c r="G399" s="24" t="n">
        <f aca="false">F399*C399</f>
        <v>10675.984786863</v>
      </c>
      <c r="H399" s="24" t="n">
        <f aca="false">E399*G399/(1+D399)^9</f>
        <v>96678.7982452437</v>
      </c>
      <c r="I399" s="24" t="n">
        <f aca="false">$B$13*G399/$B$12*((1+$B$8)/(1+D399))^4.5</f>
        <v>25984.0657744246</v>
      </c>
      <c r="J399" s="24" t="n">
        <f aca="false">H399+I399-$B$14</f>
        <v>120954.902225148</v>
      </c>
      <c r="K399" s="43" t="n">
        <f aca="false">J399/$B$15</f>
        <v>438.560196610398</v>
      </c>
    </row>
    <row r="400" customFormat="false" ht="15" hidden="false" customHeight="false" outlineLevel="0" collapsed="false">
      <c r="A400" s="50" t="n">
        <v>360</v>
      </c>
      <c r="B400" s="19" t="n">
        <f aca="true">NORMINV(RAND(),$B$6,$C$6)</f>
        <v>0.181754408593793</v>
      </c>
      <c r="C400" s="19" t="n">
        <f aca="true">MAX(0.25,NORMINV(RAND(),$B$7,$C$7))</f>
        <v>0.499957730124053</v>
      </c>
      <c r="D400" s="32" t="n">
        <f aca="true">MAX(0.07,NORMINV(RAND(),$B$8,$C$8))</f>
        <v>0.0954661079604912</v>
      </c>
      <c r="E400" s="51" t="n">
        <f aca="true">MAX(8,NORMINV(RAND(),$B$9,$C$9))</f>
        <v>21.5601457034396</v>
      </c>
      <c r="F400" s="24" t="n">
        <f aca="false">$B$18*(1+(B400+$B$17)/2)^9</f>
        <v>18679.9629526116</v>
      </c>
      <c r="G400" s="24" t="n">
        <f aca="false">F400*C400</f>
        <v>9339.19187658912</v>
      </c>
      <c r="H400" s="24" t="n">
        <f aca="false">E400*G400/(1+D400)^9</f>
        <v>88627.9039567515</v>
      </c>
      <c r="I400" s="24" t="n">
        <f aca="false">$B$13*G400/$B$12*((1+$B$8)/(1+D400))^4.5</f>
        <v>22405.7269662765</v>
      </c>
      <c r="J400" s="24" t="n">
        <f aca="false">H400+I400-$B$14</f>
        <v>109325.669128507</v>
      </c>
      <c r="K400" s="43" t="n">
        <f aca="false">J400/$B$15</f>
        <v>396.394739407206</v>
      </c>
    </row>
    <row r="401" customFormat="false" ht="15" hidden="false" customHeight="false" outlineLevel="0" collapsed="false">
      <c r="A401" s="50" t="n">
        <v>361</v>
      </c>
      <c r="B401" s="19" t="n">
        <f aca="true">NORMINV(RAND(),$B$6,$C$6)</f>
        <v>0.104043586649729</v>
      </c>
      <c r="C401" s="19" t="n">
        <f aca="true">MAX(0.25,NORMINV(RAND(),$B$7,$C$7))</f>
        <v>0.50680790487276</v>
      </c>
      <c r="D401" s="32" t="n">
        <f aca="true">MAX(0.07,NORMINV(RAND(),$B$8,$C$8))</f>
        <v>0.0929465709952494</v>
      </c>
      <c r="E401" s="51" t="n">
        <f aca="true">MAX(8,NORMINV(RAND(),$B$9,$C$9))</f>
        <v>21.5543201470124</v>
      </c>
      <c r="F401" s="24" t="n">
        <f aca="false">$B$18*(1+(B401+$B$17)/2)^9</f>
        <v>13636.995977976</v>
      </c>
      <c r="G401" s="24" t="n">
        <f aca="false">F401*C401</f>
        <v>6911.33736035626</v>
      </c>
      <c r="H401" s="24" t="n">
        <f aca="false">E401*G401/(1+D401)^9</f>
        <v>66943.1331664881</v>
      </c>
      <c r="I401" s="24" t="n">
        <f aca="false">$B$13*G401/$B$12*((1+$B$8)/(1+D401))^4.5</f>
        <v>16753.7448079838</v>
      </c>
      <c r="J401" s="24" t="n">
        <f aca="false">H401+I401-$B$14</f>
        <v>81988.9161799513</v>
      </c>
      <c r="K401" s="43" t="n">
        <f aca="false">J401/$B$15</f>
        <v>297.276708411716</v>
      </c>
    </row>
    <row r="402" customFormat="false" ht="15" hidden="false" customHeight="false" outlineLevel="0" collapsed="false">
      <c r="A402" s="50" t="n">
        <v>362</v>
      </c>
      <c r="B402" s="19" t="n">
        <f aca="true">NORMINV(RAND(),$B$6,$C$6)</f>
        <v>0.153514155429529</v>
      </c>
      <c r="C402" s="19" t="n">
        <f aca="true">MAX(0.25,NORMINV(RAND(),$B$7,$C$7))</f>
        <v>0.503807521303108</v>
      </c>
      <c r="D402" s="32" t="n">
        <f aca="true">MAX(0.07,NORMINV(RAND(),$B$8,$C$8))</f>
        <v>0.0940467716275879</v>
      </c>
      <c r="E402" s="51" t="n">
        <f aca="true">MAX(8,NORMINV(RAND(),$B$9,$C$9))</f>
        <v>19.5908557481192</v>
      </c>
      <c r="F402" s="24" t="n">
        <f aca="false">$B$18*(1+(B402+$B$17)/2)^9</f>
        <v>16682.6632857729</v>
      </c>
      <c r="G402" s="24" t="n">
        <f aca="false">F402*C402</f>
        <v>8404.85123873959</v>
      </c>
      <c r="H402" s="24" t="n">
        <f aca="false">E402*G402/(1+D402)^9</f>
        <v>73326.4124809082</v>
      </c>
      <c r="I402" s="24" t="n">
        <f aca="false">$B$13*G402/$B$12*((1+$B$8)/(1+D402))^4.5</f>
        <v>20282.1283976206</v>
      </c>
      <c r="J402" s="24" t="n">
        <f aca="false">H402+I402-$B$14</f>
        <v>91900.5790840082</v>
      </c>
      <c r="K402" s="43" t="n">
        <f aca="false">J402/$B$15</f>
        <v>333.214572458333</v>
      </c>
    </row>
    <row r="403" customFormat="false" ht="15" hidden="false" customHeight="false" outlineLevel="0" collapsed="false">
      <c r="A403" s="50" t="n">
        <v>363</v>
      </c>
      <c r="B403" s="19" t="n">
        <f aca="true">NORMINV(RAND(),$B$6,$C$6)</f>
        <v>0.0887269550584965</v>
      </c>
      <c r="C403" s="19" t="n">
        <f aca="true">MAX(0.25,NORMINV(RAND(),$B$7,$C$7))</f>
        <v>0.475863801362505</v>
      </c>
      <c r="D403" s="32" t="n">
        <f aca="true">MAX(0.07,NORMINV(RAND(),$B$8,$C$8))</f>
        <v>0.0975291188913086</v>
      </c>
      <c r="E403" s="51" t="n">
        <f aca="true">MAX(8,NORMINV(RAND(),$B$9,$C$9))</f>
        <v>20.1103559492648</v>
      </c>
      <c r="F403" s="24" t="n">
        <f aca="false">$B$18*(1+(B403+$B$17)/2)^9</f>
        <v>12800.0273315045</v>
      </c>
      <c r="G403" s="24" t="n">
        <f aca="false">F403*C403</f>
        <v>6091.0696635137</v>
      </c>
      <c r="H403" s="24" t="n">
        <f aca="false">E403*G403/(1+D403)^9</f>
        <v>53011.3495956219</v>
      </c>
      <c r="I403" s="24" t="n">
        <f aca="false">$B$13*G403/$B$12*((1+$B$8)/(1+D403))^4.5</f>
        <v>14489.9314798254</v>
      </c>
      <c r="J403" s="24" t="n">
        <f aca="false">H403+I403-$B$14</f>
        <v>65793.3192809268</v>
      </c>
      <c r="K403" s="43" t="n">
        <f aca="false">J403/$B$15</f>
        <v>238.554457146217</v>
      </c>
    </row>
    <row r="404" customFormat="false" ht="15" hidden="false" customHeight="false" outlineLevel="0" collapsed="false">
      <c r="A404" s="50" t="n">
        <v>364</v>
      </c>
      <c r="B404" s="19" t="n">
        <f aca="true">NORMINV(RAND(),$B$6,$C$6)</f>
        <v>0.141787481644651</v>
      </c>
      <c r="C404" s="19" t="n">
        <f aca="true">MAX(0.25,NORMINV(RAND(),$B$7,$C$7))</f>
        <v>0.432059703641101</v>
      </c>
      <c r="D404" s="32" t="n">
        <f aca="true">MAX(0.07,NORMINV(RAND(),$B$8,$C$8))</f>
        <v>0.105977776609847</v>
      </c>
      <c r="E404" s="51" t="n">
        <f aca="true">MAX(8,NORMINV(RAND(),$B$9,$C$9))</f>
        <v>18.2053272652067</v>
      </c>
      <c r="F404" s="24" t="n">
        <f aca="false">$B$18*(1+(B404+$B$17)/2)^9</f>
        <v>15910.7129350779</v>
      </c>
      <c r="G404" s="24" t="n">
        <f aca="false">F404*C404</f>
        <v>6874.37791544838</v>
      </c>
      <c r="H404" s="24" t="n">
        <f aca="false">E404*G404/(1+D404)^9</f>
        <v>50549.2004238307</v>
      </c>
      <c r="I404" s="24" t="n">
        <f aca="false">$B$13*G404/$B$12*((1+$B$8)/(1+D404))^4.5</f>
        <v>15798.6362028341</v>
      </c>
      <c r="J404" s="24" t="n">
        <f aca="false">H404+I404-$B$14</f>
        <v>64639.8748321443</v>
      </c>
      <c r="K404" s="43" t="n">
        <f aca="false">J404/$B$15</f>
        <v>234.37228002953</v>
      </c>
    </row>
    <row r="405" customFormat="false" ht="15" hidden="false" customHeight="false" outlineLevel="0" collapsed="false">
      <c r="A405" s="50" t="n">
        <v>365</v>
      </c>
      <c r="B405" s="19" t="n">
        <f aca="true">NORMINV(RAND(),$B$6,$C$6)</f>
        <v>0.122854999889299</v>
      </c>
      <c r="C405" s="19" t="n">
        <f aca="true">MAX(0.25,NORMINV(RAND(),$B$7,$C$7))</f>
        <v>0.48164379268348</v>
      </c>
      <c r="D405" s="32" t="n">
        <f aca="true">MAX(0.07,NORMINV(RAND(),$B$8,$C$8))</f>
        <v>0.0798487656475632</v>
      </c>
      <c r="E405" s="51" t="n">
        <f aca="true">MAX(8,NORMINV(RAND(),$B$9,$C$9))</f>
        <v>22.9336807939015</v>
      </c>
      <c r="F405" s="24" t="n">
        <f aca="false">$B$18*(1+(B405+$B$17)/2)^9</f>
        <v>14731.2704200414</v>
      </c>
      <c r="G405" s="24" t="n">
        <f aca="false">F405*C405</f>
        <v>7095.22495615467</v>
      </c>
      <c r="H405" s="24" t="n">
        <f aca="false">E405*G405/(1+D405)^9</f>
        <v>81502.9835661153</v>
      </c>
      <c r="I405" s="24" t="n">
        <f aca="false">$B$13*G405/$B$12*((1+$B$8)/(1+D405))^4.5</f>
        <v>18158.4156699872</v>
      </c>
      <c r="J405" s="24" t="n">
        <f aca="false">H405+I405-$B$14</f>
        <v>97953.437441582</v>
      </c>
      <c r="K405" s="43" t="n">
        <f aca="false">J405/$B$15</f>
        <v>355.16112197818</v>
      </c>
    </row>
    <row r="406" customFormat="false" ht="15" hidden="false" customHeight="false" outlineLevel="0" collapsed="false">
      <c r="A406" s="50" t="n">
        <v>366</v>
      </c>
      <c r="B406" s="19" t="n">
        <f aca="true">NORMINV(RAND(),$B$6,$C$6)</f>
        <v>0.116343163986972</v>
      </c>
      <c r="C406" s="19" t="n">
        <f aca="true">MAX(0.25,NORMINV(RAND(),$B$7,$C$7))</f>
        <v>0.476621413559298</v>
      </c>
      <c r="D406" s="32" t="n">
        <f aca="true">MAX(0.07,NORMINV(RAND(),$B$8,$C$8))</f>
        <v>0.110764748745926</v>
      </c>
      <c r="E406" s="51" t="n">
        <f aca="true">MAX(8,NORMINV(RAND(),$B$9,$C$9))</f>
        <v>16.1707145219233</v>
      </c>
      <c r="F406" s="24" t="n">
        <f aca="false">$B$18*(1+(B406+$B$17)/2)^9</f>
        <v>14343.9502823927</v>
      </c>
      <c r="G406" s="24" t="n">
        <f aca="false">F406*C406</f>
        <v>6836.63385961829</v>
      </c>
      <c r="H406" s="24" t="n">
        <f aca="false">E406*G406/(1+D406)^9</f>
        <v>42950.9461398943</v>
      </c>
      <c r="I406" s="24" t="n">
        <f aca="false">$B$13*G406/$B$12*((1+$B$8)/(1+D406))^4.5</f>
        <v>15409.4777510224</v>
      </c>
      <c r="J406" s="24" t="n">
        <f aca="false">H406+I406-$B$14</f>
        <v>56652.4620963961</v>
      </c>
      <c r="K406" s="43" t="n">
        <f aca="false">J406/$B$15</f>
        <v>205.411392662785</v>
      </c>
    </row>
    <row r="407" customFormat="false" ht="15" hidden="false" customHeight="false" outlineLevel="0" collapsed="false">
      <c r="A407" s="50" t="n">
        <v>367</v>
      </c>
      <c r="B407" s="19" t="n">
        <f aca="true">NORMINV(RAND(),$B$6,$C$6)</f>
        <v>0.135539548361811</v>
      </c>
      <c r="C407" s="19" t="n">
        <f aca="true">MAX(0.25,NORMINV(RAND(),$B$7,$C$7))</f>
        <v>0.502826945059236</v>
      </c>
      <c r="D407" s="32" t="n">
        <f aca="true">MAX(0.07,NORMINV(RAND(),$B$8,$C$8))</f>
        <v>0.0953561581917751</v>
      </c>
      <c r="E407" s="51" t="n">
        <f aca="true">MAX(8,NORMINV(RAND(),$B$9,$C$9))</f>
        <v>22.2337237815132</v>
      </c>
      <c r="F407" s="24" t="n">
        <f aca="false">$B$18*(1+(B407+$B$17)/2)^9</f>
        <v>15512.5274149378</v>
      </c>
      <c r="G407" s="24" t="n">
        <f aca="false">F407*C407</f>
        <v>7800.11677020083</v>
      </c>
      <c r="H407" s="24" t="n">
        <f aca="false">E407*G407/(1+D407)^9</f>
        <v>76403.8286819553</v>
      </c>
      <c r="I407" s="24" t="n">
        <f aca="false">$B$13*G407/$B$12*((1+$B$8)/(1+D407))^4.5</f>
        <v>18721.7743754393</v>
      </c>
      <c r="J407" s="24" t="n">
        <f aca="false">H407+I407-$B$14</f>
        <v>93417.641262874</v>
      </c>
      <c r="K407" s="43" t="n">
        <f aca="false">J407/$B$15</f>
        <v>338.715160489028</v>
      </c>
    </row>
    <row r="408" customFormat="false" ht="15" hidden="false" customHeight="false" outlineLevel="0" collapsed="false">
      <c r="A408" s="50" t="n">
        <v>368</v>
      </c>
      <c r="B408" s="19" t="n">
        <f aca="true">NORMINV(RAND(),$B$6,$C$6)</f>
        <v>0.142720008163243</v>
      </c>
      <c r="C408" s="19" t="n">
        <f aca="true">MAX(0.25,NORMINV(RAND(),$B$7,$C$7))</f>
        <v>0.519900858072116</v>
      </c>
      <c r="D408" s="32" t="n">
        <f aca="true">MAX(0.07,NORMINV(RAND(),$B$8,$C$8))</f>
        <v>0.0882952740638646</v>
      </c>
      <c r="E408" s="51" t="n">
        <f aca="true">MAX(8,NORMINV(RAND(),$B$9,$C$9))</f>
        <v>24.0301729119764</v>
      </c>
      <c r="F408" s="24" t="n">
        <f aca="false">$B$18*(1+(B408+$B$17)/2)^9</f>
        <v>15970.9162012732</v>
      </c>
      <c r="G408" s="24" t="n">
        <f aca="false">F408*C408</f>
        <v>8303.2930372398</v>
      </c>
      <c r="H408" s="24" t="n">
        <f aca="false">E408*G408/(1+D408)^9</f>
        <v>93172.2475273897</v>
      </c>
      <c r="I408" s="24" t="n">
        <f aca="false">$B$13*G408/$B$12*((1+$B$8)/(1+D408))^4.5</f>
        <v>20517.9996189294</v>
      </c>
      <c r="J408" s="24" t="n">
        <f aca="false">H408+I408-$B$14</f>
        <v>111982.285351799</v>
      </c>
      <c r="K408" s="43" t="n">
        <f aca="false">J408/$B$15</f>
        <v>406.027140506884</v>
      </c>
    </row>
    <row r="409" customFormat="false" ht="15" hidden="false" customHeight="false" outlineLevel="0" collapsed="false">
      <c r="A409" s="50" t="n">
        <v>369</v>
      </c>
      <c r="B409" s="19" t="n">
        <f aca="true">NORMINV(RAND(),$B$6,$C$6)</f>
        <v>0.103401860302885</v>
      </c>
      <c r="C409" s="19" t="n">
        <f aca="true">MAX(0.25,NORMINV(RAND(),$B$7,$C$7))</f>
        <v>0.513693345291668</v>
      </c>
      <c r="D409" s="32" t="n">
        <f aca="true">MAX(0.07,NORMINV(RAND(),$B$8,$C$8))</f>
        <v>0.107167825765368</v>
      </c>
      <c r="E409" s="51" t="n">
        <f aca="true">MAX(8,NORMINV(RAND(),$B$9,$C$9))</f>
        <v>16.6935009534972</v>
      </c>
      <c r="F409" s="24" t="n">
        <f aca="false">$B$18*(1+(B409+$B$17)/2)^9</f>
        <v>13600.9763341024</v>
      </c>
      <c r="G409" s="24" t="n">
        <f aca="false">F409*C409</f>
        <v>6986.73103229788</v>
      </c>
      <c r="H409" s="24" t="n">
        <f aca="false">E409*G409/(1+D409)^9</f>
        <v>46655.2306009822</v>
      </c>
      <c r="I409" s="24" t="n">
        <f aca="false">$B$13*G409/$B$12*((1+$B$8)/(1+D409))^4.5</f>
        <v>15979.3263357224</v>
      </c>
      <c r="J409" s="24" t="n">
        <f aca="false">H409+I409-$B$14</f>
        <v>60926.5951421841</v>
      </c>
      <c r="K409" s="43" t="n">
        <f aca="false">J409/$B$15</f>
        <v>220.908611828079</v>
      </c>
    </row>
    <row r="410" customFormat="false" ht="15" hidden="false" customHeight="false" outlineLevel="0" collapsed="false">
      <c r="A410" s="50" t="n">
        <v>370</v>
      </c>
      <c r="B410" s="19" t="n">
        <f aca="true">NORMINV(RAND(),$B$6,$C$6)</f>
        <v>0.100455570896296</v>
      </c>
      <c r="C410" s="19" t="n">
        <f aca="true">MAX(0.25,NORMINV(RAND(),$B$7,$C$7))</f>
        <v>0.493542339512698</v>
      </c>
      <c r="D410" s="32" t="n">
        <f aca="true">MAX(0.07,NORMINV(RAND(),$B$8,$C$8))</f>
        <v>0.100315945766276</v>
      </c>
      <c r="E410" s="51" t="n">
        <f aca="true">MAX(8,NORMINV(RAND(),$B$9,$C$9))</f>
        <v>12.3337065337323</v>
      </c>
      <c r="F410" s="24" t="n">
        <f aca="false">$B$18*(1+(B410+$B$17)/2)^9</f>
        <v>13436.6862977326</v>
      </c>
      <c r="G410" s="24" t="n">
        <f aca="false">F410*C410</f>
        <v>6631.57359068117</v>
      </c>
      <c r="H410" s="24" t="n">
        <f aca="false">E410*G410/(1+D410)^9</f>
        <v>34598.2030295637</v>
      </c>
      <c r="I410" s="24" t="n">
        <f aca="false">$B$13*G410/$B$12*((1+$B$8)/(1+D410))^4.5</f>
        <v>15596.7194279696</v>
      </c>
      <c r="J410" s="24" t="n">
        <f aca="false">H410+I410-$B$14</f>
        <v>48486.9606630128</v>
      </c>
      <c r="K410" s="43" t="n">
        <f aca="false">J410/$B$15</f>
        <v>175.80478848083</v>
      </c>
    </row>
    <row r="411" customFormat="false" ht="15" hidden="false" customHeight="false" outlineLevel="0" collapsed="false">
      <c r="A411" s="50" t="n">
        <v>371</v>
      </c>
      <c r="B411" s="19" t="n">
        <f aca="true">NORMINV(RAND(),$B$6,$C$6)</f>
        <v>0.104283640944293</v>
      </c>
      <c r="C411" s="19" t="n">
        <f aca="true">MAX(0.25,NORMINV(RAND(),$B$7,$C$7))</f>
        <v>0.487989042857532</v>
      </c>
      <c r="D411" s="32" t="n">
        <f aca="true">MAX(0.07,NORMINV(RAND(),$B$8,$C$8))</f>
        <v>0.0828984534129478</v>
      </c>
      <c r="E411" s="51" t="n">
        <f aca="true">MAX(8,NORMINV(RAND(),$B$9,$C$9))</f>
        <v>19.6679250709389</v>
      </c>
      <c r="F411" s="24" t="n">
        <f aca="false">$B$18*(1+(B411+$B$17)/2)^9</f>
        <v>13650.4918311731</v>
      </c>
      <c r="G411" s="24" t="n">
        <f aca="false">F411*C411</f>
        <v>6661.2904432287</v>
      </c>
      <c r="H411" s="24" t="n">
        <f aca="false">E411*G411/(1+D411)^9</f>
        <v>63977.507144968</v>
      </c>
      <c r="I411" s="24" t="n">
        <f aca="false">$B$13*G411/$B$12*((1+$B$8)/(1+D411))^4.5</f>
        <v>16832.8853843444</v>
      </c>
      <c r="J411" s="24" t="n">
        <f aca="false">H411+I411-$B$14</f>
        <v>79102.4307347919</v>
      </c>
      <c r="K411" s="43" t="n">
        <f aca="false">J411/$B$15</f>
        <v>286.810843853488</v>
      </c>
    </row>
    <row r="412" customFormat="false" ht="15" hidden="false" customHeight="false" outlineLevel="0" collapsed="false">
      <c r="A412" s="50" t="n">
        <v>372</v>
      </c>
      <c r="B412" s="19" t="n">
        <f aca="true">NORMINV(RAND(),$B$6,$C$6)</f>
        <v>0.0929961323996738</v>
      </c>
      <c r="C412" s="19" t="n">
        <f aca="true">MAX(0.25,NORMINV(RAND(),$B$7,$C$7))</f>
        <v>0.470546982554553</v>
      </c>
      <c r="D412" s="32" t="n">
        <f aca="true">MAX(0.07,NORMINV(RAND(),$B$8,$C$8))</f>
        <v>0.0769112025792303</v>
      </c>
      <c r="E412" s="51" t="n">
        <f aca="true">MAX(8,NORMINV(RAND(),$B$9,$C$9))</f>
        <v>24.0068127452835</v>
      </c>
      <c r="F412" s="24" t="n">
        <f aca="false">$B$18*(1+(B412+$B$17)/2)^9</f>
        <v>13028.5949101273</v>
      </c>
      <c r="G412" s="24" t="n">
        <f aca="false">F412*C412</f>
        <v>6130.56602188601</v>
      </c>
      <c r="H412" s="24" t="n">
        <f aca="false">E412*G412/(1+D412)^9</f>
        <v>75546.7918019253</v>
      </c>
      <c r="I412" s="24" t="n">
        <f aca="false">$B$13*G412/$B$12*((1+$B$8)/(1+D412))^4.5</f>
        <v>15883.1283120198</v>
      </c>
      <c r="J412" s="24" t="n">
        <f aca="false">H412+I412-$B$14</f>
        <v>89721.9583194245</v>
      </c>
      <c r="K412" s="43" t="n">
        <f aca="false">J412/$B$15</f>
        <v>325.315294849255</v>
      </c>
    </row>
    <row r="413" customFormat="false" ht="15" hidden="false" customHeight="false" outlineLevel="0" collapsed="false">
      <c r="A413" s="50" t="n">
        <v>373</v>
      </c>
      <c r="B413" s="19" t="n">
        <f aca="true">NORMINV(RAND(),$B$6,$C$6)</f>
        <v>0.0898733286936078</v>
      </c>
      <c r="C413" s="19" t="n">
        <f aca="true">MAX(0.25,NORMINV(RAND(),$B$7,$C$7))</f>
        <v>0.465662223128872</v>
      </c>
      <c r="D413" s="32" t="n">
        <f aca="true">MAX(0.07,NORMINV(RAND(),$B$8,$C$8))</f>
        <v>0.106421937621125</v>
      </c>
      <c r="E413" s="51" t="n">
        <f aca="true">MAX(8,NORMINV(RAND(),$B$9,$C$9))</f>
        <v>16.9876698916233</v>
      </c>
      <c r="F413" s="24" t="n">
        <f aca="false">$B$18*(1+(B413+$B$17)/2)^9</f>
        <v>12861.0502732622</v>
      </c>
      <c r="G413" s="24" t="n">
        <f aca="false">F413*C413</f>
        <v>5988.90526201949</v>
      </c>
      <c r="H413" s="24" t="n">
        <f aca="false">E413*G413/(1+D413)^9</f>
        <v>40944.3756043658</v>
      </c>
      <c r="I413" s="24" t="n">
        <f aca="false">$B$13*G413/$B$12*((1+$B$8)/(1+D413))^4.5</f>
        <v>13738.8043246558</v>
      </c>
      <c r="J413" s="24" t="n">
        <f aca="false">H413+I413-$B$14</f>
        <v>52975.218134501</v>
      </c>
      <c r="K413" s="43" t="n">
        <f aca="false">J413/$B$15</f>
        <v>192.078383373825</v>
      </c>
    </row>
    <row r="414" customFormat="false" ht="15" hidden="false" customHeight="false" outlineLevel="0" collapsed="false">
      <c r="A414" s="50" t="n">
        <v>374</v>
      </c>
      <c r="B414" s="19" t="n">
        <f aca="true">NORMINV(RAND(),$B$6,$C$6)</f>
        <v>0.111320873475765</v>
      </c>
      <c r="C414" s="19" t="n">
        <f aca="true">MAX(0.25,NORMINV(RAND(),$B$7,$C$7))</f>
        <v>0.456225833407293</v>
      </c>
      <c r="D414" s="32" t="n">
        <f aca="true">MAX(0.07,NORMINV(RAND(),$B$8,$C$8))</f>
        <v>0.107929710845633</v>
      </c>
      <c r="E414" s="51" t="n">
        <f aca="true">MAX(8,NORMINV(RAND(),$B$9,$C$9))</f>
        <v>17.7035987427612</v>
      </c>
      <c r="F414" s="24" t="n">
        <f aca="false">$B$18*(1+(B414+$B$17)/2)^9</f>
        <v>14051.4383296365</v>
      </c>
      <c r="G414" s="24" t="n">
        <f aca="false">F414*C414</f>
        <v>6410.62916250961</v>
      </c>
      <c r="H414" s="24" t="n">
        <f aca="false">E414*G414/(1+D414)^9</f>
        <v>45118.2590281345</v>
      </c>
      <c r="I414" s="24" t="n">
        <f aca="false">$B$13*G414/$B$12*((1+$B$8)/(1+D414))^4.5</f>
        <v>14616.4098424431</v>
      </c>
      <c r="J414" s="24" t="n">
        <f aca="false">H414+I414-$B$14</f>
        <v>58026.7070760571</v>
      </c>
      <c r="K414" s="43" t="n">
        <f aca="false">J414/$B$15</f>
        <v>210.39415183487</v>
      </c>
    </row>
    <row r="415" customFormat="false" ht="15" hidden="false" customHeight="false" outlineLevel="0" collapsed="false">
      <c r="A415" s="50" t="n">
        <v>375</v>
      </c>
      <c r="B415" s="19" t="n">
        <f aca="true">NORMINV(RAND(),$B$6,$C$6)</f>
        <v>0.135119357316573</v>
      </c>
      <c r="C415" s="19" t="n">
        <f aca="true">MAX(0.25,NORMINV(RAND(),$B$7,$C$7))</f>
        <v>0.449081000810334</v>
      </c>
      <c r="D415" s="32" t="n">
        <f aca="true">MAX(0.07,NORMINV(RAND(),$B$8,$C$8))</f>
        <v>0.095531267334774</v>
      </c>
      <c r="E415" s="51" t="n">
        <f aca="true">MAX(8,NORMINV(RAND(),$B$9,$C$9))</f>
        <v>25.2902627106214</v>
      </c>
      <c r="F415" s="24" t="n">
        <f aca="false">$B$18*(1+(B415+$B$17)/2)^9</f>
        <v>15486.0690555277</v>
      </c>
      <c r="G415" s="24" t="n">
        <f aca="false">F415*C415</f>
        <v>6954.49939007431</v>
      </c>
      <c r="H415" s="24" t="n">
        <f aca="false">E415*G415/(1+D415)^9</f>
        <v>77374.2085040477</v>
      </c>
      <c r="I415" s="24" t="n">
        <f aca="false">$B$13*G415/$B$12*((1+$B$8)/(1+D415))^4.5</f>
        <v>16680.1277651329</v>
      </c>
      <c r="J415" s="24" t="n">
        <f aca="false">H415+I415-$B$14</f>
        <v>92346.3744746601</v>
      </c>
      <c r="K415" s="43" t="n">
        <f aca="false">J415/$B$15</f>
        <v>334.83094443314</v>
      </c>
    </row>
    <row r="416" customFormat="false" ht="15" hidden="false" customHeight="false" outlineLevel="0" collapsed="false">
      <c r="A416" s="50" t="n">
        <v>376</v>
      </c>
      <c r="B416" s="19" t="n">
        <f aca="true">NORMINV(RAND(),$B$6,$C$6)</f>
        <v>0.123337992800523</v>
      </c>
      <c r="C416" s="19" t="n">
        <f aca="true">MAX(0.25,NORMINV(RAND(),$B$7,$C$7))</f>
        <v>0.49043338724748</v>
      </c>
      <c r="D416" s="32" t="n">
        <f aca="true">MAX(0.07,NORMINV(RAND(),$B$8,$C$8))</f>
        <v>0.0925781822629862</v>
      </c>
      <c r="E416" s="51" t="n">
        <f aca="true">MAX(8,NORMINV(RAND(),$B$9,$C$9))</f>
        <v>15.9911789090193</v>
      </c>
      <c r="F416" s="24" t="n">
        <f aca="false">$B$18*(1+(B416+$B$17)/2)^9</f>
        <v>14760.3654275975</v>
      </c>
      <c r="G416" s="24" t="n">
        <f aca="false">F416*C416</f>
        <v>7238.97601366722</v>
      </c>
      <c r="H416" s="24" t="n">
        <f aca="false">E416*G416/(1+D416)^9</f>
        <v>52177.6968714694</v>
      </c>
      <c r="I416" s="24" t="n">
        <f aca="false">$B$13*G416/$B$12*((1+$B$8)/(1+D416))^4.5</f>
        <v>17574.6132746472</v>
      </c>
      <c r="J416" s="24" t="n">
        <f aca="false">H416+I416-$B$14</f>
        <v>68044.348351596</v>
      </c>
      <c r="K416" s="43" t="n">
        <f aca="false">J416/$B$15</f>
        <v>246.716273936171</v>
      </c>
    </row>
    <row r="417" customFormat="false" ht="15" hidden="false" customHeight="false" outlineLevel="0" collapsed="false">
      <c r="A417" s="50" t="n">
        <v>377</v>
      </c>
      <c r="B417" s="19" t="n">
        <f aca="true">NORMINV(RAND(),$B$6,$C$6)</f>
        <v>0.105074195601446</v>
      </c>
      <c r="C417" s="19" t="n">
        <f aca="true">MAX(0.25,NORMINV(RAND(),$B$7,$C$7))</f>
        <v>0.462110948806279</v>
      </c>
      <c r="D417" s="32" t="n">
        <f aca="true">MAX(0.07,NORMINV(RAND(),$B$8,$C$8))</f>
        <v>0.108872228111771</v>
      </c>
      <c r="E417" s="51" t="n">
        <f aca="true">MAX(8,NORMINV(RAND(),$B$9,$C$9))</f>
        <v>10.7965048037215</v>
      </c>
      <c r="F417" s="24" t="n">
        <f aca="false">$B$18*(1+(B417+$B$17)/2)^9</f>
        <v>13695.0207845312</v>
      </c>
      <c r="G417" s="24" t="n">
        <f aca="false">F417*C417</f>
        <v>6328.6190486614</v>
      </c>
      <c r="H417" s="24" t="n">
        <f aca="false">E417*G417/(1+D417)^9</f>
        <v>26956.1942143709</v>
      </c>
      <c r="I417" s="24" t="n">
        <f aca="false">$B$13*G417/$B$12*((1+$B$8)/(1+D417))^4.5</f>
        <v>14374.315440193</v>
      </c>
      <c r="J417" s="24" t="n">
        <f aca="false">H417+I417-$B$14</f>
        <v>39622.5478600434</v>
      </c>
      <c r="K417" s="43" t="n">
        <f aca="false">J417/$B$15</f>
        <v>143.664060406249</v>
      </c>
    </row>
    <row r="418" customFormat="false" ht="15" hidden="false" customHeight="false" outlineLevel="0" collapsed="false">
      <c r="A418" s="50" t="n">
        <v>378</v>
      </c>
      <c r="B418" s="19" t="n">
        <f aca="true">NORMINV(RAND(),$B$6,$C$6)</f>
        <v>0.111299071399313</v>
      </c>
      <c r="C418" s="19" t="n">
        <f aca="true">MAX(0.25,NORMINV(RAND(),$B$7,$C$7))</f>
        <v>0.510182642399177</v>
      </c>
      <c r="D418" s="32" t="n">
        <f aca="true">MAX(0.07,NORMINV(RAND(),$B$8,$C$8))</f>
        <v>0.102225595301905</v>
      </c>
      <c r="E418" s="51" t="n">
        <f aca="true">MAX(8,NORMINV(RAND(),$B$9,$C$9))</f>
        <v>15.4045450982069</v>
      </c>
      <c r="F418" s="24" t="n">
        <f aca="false">$B$18*(1+(B418+$B$17)/2)^9</f>
        <v>14050.1801637953</v>
      </c>
      <c r="G418" s="24" t="n">
        <f aca="false">F418*C418</f>
        <v>7168.15804214957</v>
      </c>
      <c r="H418" s="24" t="n">
        <f aca="false">E418*G418/(1+D418)^9</f>
        <v>45985.6176563615</v>
      </c>
      <c r="I418" s="24" t="n">
        <f aca="false">$B$13*G418/$B$12*((1+$B$8)/(1+D418))^4.5</f>
        <v>16727.6662902022</v>
      </c>
      <c r="J418" s="24" t="n">
        <f aca="false">H418+I418-$B$14</f>
        <v>61005.3221520431</v>
      </c>
      <c r="K418" s="43" t="n">
        <f aca="false">J418/$B$15</f>
        <v>221.194061464986</v>
      </c>
    </row>
    <row r="419" customFormat="false" ht="15" hidden="false" customHeight="false" outlineLevel="0" collapsed="false">
      <c r="A419" s="50" t="n">
        <v>379</v>
      </c>
      <c r="B419" s="19" t="n">
        <f aca="true">NORMINV(RAND(),$B$6,$C$6)</f>
        <v>0.121446792682114</v>
      </c>
      <c r="C419" s="19" t="n">
        <f aca="true">MAX(0.25,NORMINV(RAND(),$B$7,$C$7))</f>
        <v>0.448235614858449</v>
      </c>
      <c r="D419" s="32" t="n">
        <f aca="true">MAX(0.07,NORMINV(RAND(),$B$8,$C$8))</f>
        <v>0.0959346003611658</v>
      </c>
      <c r="E419" s="51" t="n">
        <f aca="true">MAX(8,NORMINV(RAND(),$B$9,$C$9))</f>
        <v>18.5864131279741</v>
      </c>
      <c r="F419" s="24" t="n">
        <f aca="false">$B$18*(1+(B419+$B$17)/2)^9</f>
        <v>14646.732203146</v>
      </c>
      <c r="G419" s="24" t="n">
        <f aca="false">F419*C419</f>
        <v>6565.18701474421</v>
      </c>
      <c r="H419" s="24" t="n">
        <f aca="false">E419*G419/(1+D419)^9</f>
        <v>53503.345834174</v>
      </c>
      <c r="I419" s="24" t="n">
        <f aca="false">$B$13*G419/$B$12*((1+$B$8)/(1+D419))^4.5</f>
        <v>15720.3143248014</v>
      </c>
      <c r="J419" s="24" t="n">
        <f aca="false">H419+I419-$B$14</f>
        <v>67515.6983644549</v>
      </c>
      <c r="K419" s="43" t="n">
        <f aca="false">J419/$B$15</f>
        <v>244.799486455601</v>
      </c>
    </row>
    <row r="420" customFormat="false" ht="15" hidden="false" customHeight="false" outlineLevel="0" collapsed="false">
      <c r="A420" s="50" t="n">
        <v>380</v>
      </c>
      <c r="B420" s="19" t="n">
        <f aca="true">NORMINV(RAND(),$B$6,$C$6)</f>
        <v>0.134520171684759</v>
      </c>
      <c r="C420" s="19" t="n">
        <f aca="true">MAX(0.25,NORMINV(RAND(),$B$7,$C$7))</f>
        <v>0.517324234540509</v>
      </c>
      <c r="D420" s="32" t="n">
        <f aca="true">MAX(0.07,NORMINV(RAND(),$B$8,$C$8))</f>
        <v>0.0886406011973508</v>
      </c>
      <c r="E420" s="51" t="n">
        <f aca="true">MAX(8,NORMINV(RAND(),$B$9,$C$9))</f>
        <v>19.4823343008296</v>
      </c>
      <c r="F420" s="24" t="n">
        <f aca="false">$B$18*(1+(B420+$B$17)/2)^9</f>
        <v>15448.409247804</v>
      </c>
      <c r="G420" s="24" t="n">
        <f aca="false">F420*C420</f>
        <v>7991.8364889887</v>
      </c>
      <c r="H420" s="24" t="n">
        <f aca="false">E420*G420/(1+D420)^9</f>
        <v>72498.1349130133</v>
      </c>
      <c r="I420" s="24" t="n">
        <f aca="false">$B$13*G420/$B$12*((1+$B$8)/(1+D420))^4.5</f>
        <v>19720.195366232</v>
      </c>
      <c r="J420" s="24" t="n">
        <f aca="false">H420+I420-$B$14</f>
        <v>90510.3684847247</v>
      </c>
      <c r="K420" s="43" t="n">
        <f aca="false">J420/$B$15</f>
        <v>328.173924890227</v>
      </c>
    </row>
    <row r="421" customFormat="false" ht="15" hidden="false" customHeight="false" outlineLevel="0" collapsed="false">
      <c r="A421" s="50" t="n">
        <v>381</v>
      </c>
      <c r="B421" s="19" t="n">
        <f aca="true">NORMINV(RAND(),$B$6,$C$6)</f>
        <v>0.0781060465842439</v>
      </c>
      <c r="C421" s="19" t="n">
        <f aca="true">MAX(0.25,NORMINV(RAND(),$B$7,$C$7))</f>
        <v>0.497775922694648</v>
      </c>
      <c r="D421" s="32" t="n">
        <f aca="true">MAX(0.07,NORMINV(RAND(),$B$8,$C$8))</f>
        <v>0.119322608306764</v>
      </c>
      <c r="E421" s="51" t="n">
        <f aca="true">MAX(8,NORMINV(RAND(),$B$9,$C$9))</f>
        <v>18.5623704935521</v>
      </c>
      <c r="F421" s="24" t="n">
        <f aca="false">$B$18*(1+(B421+$B$17)/2)^9</f>
        <v>12246.7833447658</v>
      </c>
      <c r="G421" s="24" t="n">
        <f aca="false">F421*C421</f>
        <v>6096.15387948223</v>
      </c>
      <c r="H421" s="24" t="n">
        <f aca="false">E421*G421/(1+D421)^9</f>
        <v>41029.0891103199</v>
      </c>
      <c r="I421" s="24" t="n">
        <f aca="false">$B$13*G421/$B$12*((1+$B$8)/(1+D421))^4.5</f>
        <v>13274.0111046098</v>
      </c>
      <c r="J421" s="24" t="n">
        <f aca="false">H421+I421-$B$14</f>
        <v>52595.1384204092</v>
      </c>
      <c r="K421" s="43" t="n">
        <f aca="false">J421/$B$15</f>
        <v>190.700284337959</v>
      </c>
    </row>
    <row r="422" customFormat="false" ht="15" hidden="false" customHeight="false" outlineLevel="0" collapsed="false">
      <c r="A422" s="50" t="n">
        <v>382</v>
      </c>
      <c r="B422" s="19" t="n">
        <f aca="true">NORMINV(RAND(),$B$6,$C$6)</f>
        <v>0.19200922812092</v>
      </c>
      <c r="C422" s="19" t="n">
        <f aca="true">MAX(0.25,NORMINV(RAND(),$B$7,$C$7))</f>
        <v>0.522199366083654</v>
      </c>
      <c r="D422" s="32" t="n">
        <f aca="true">MAX(0.07,NORMINV(RAND(),$B$8,$C$8))</f>
        <v>0.113540475409361</v>
      </c>
      <c r="E422" s="51" t="n">
        <f aca="true">MAX(8,NORMINV(RAND(),$B$9,$C$9))</f>
        <v>20.4011393958166</v>
      </c>
      <c r="F422" s="24" t="n">
        <f aca="false">$B$18*(1+(B422+$B$17)/2)^9</f>
        <v>19456.1909499646</v>
      </c>
      <c r="G422" s="24" t="n">
        <f aca="false">F422*C422</f>
        <v>10160.010580474</v>
      </c>
      <c r="H422" s="24" t="n">
        <f aca="false">E422*G422/(1+D422)^9</f>
        <v>78739.8377253224</v>
      </c>
      <c r="I422" s="24" t="n">
        <f aca="false">$B$13*G422/$B$12*((1+$B$8)/(1+D422))^4.5</f>
        <v>22644.468053272</v>
      </c>
      <c r="J422" s="24" t="n">
        <f aca="false">H422+I422-$B$14</f>
        <v>99676.3439840738</v>
      </c>
      <c r="K422" s="43" t="n">
        <f aca="false">J422/$B$15</f>
        <v>361.408063756613</v>
      </c>
    </row>
    <row r="423" customFormat="false" ht="15" hidden="false" customHeight="false" outlineLevel="0" collapsed="false">
      <c r="A423" s="50" t="n">
        <v>383</v>
      </c>
      <c r="B423" s="19" t="n">
        <f aca="true">NORMINV(RAND(),$B$6,$C$6)</f>
        <v>0.110037976865157</v>
      </c>
      <c r="C423" s="19" t="n">
        <f aca="true">MAX(0.25,NORMINV(RAND(),$B$7,$C$7))</f>
        <v>0.503884773364689</v>
      </c>
      <c r="D423" s="32" t="n">
        <f aca="true">MAX(0.07,NORMINV(RAND(),$B$8,$C$8))</f>
        <v>0.08511192715037</v>
      </c>
      <c r="E423" s="51" t="n">
        <f aca="true">MAX(8,NORMINV(RAND(),$B$9,$C$9))</f>
        <v>21.2909910128999</v>
      </c>
      <c r="F423" s="24" t="n">
        <f aca="false">$B$18*(1+(B423+$B$17)/2)^9</f>
        <v>13977.5744439052</v>
      </c>
      <c r="G423" s="24" t="n">
        <f aca="false">F423*C423</f>
        <v>7043.08693085527</v>
      </c>
      <c r="H423" s="24" t="n">
        <f aca="false">E423*G423/(1+D423)^9</f>
        <v>71893.2458093265</v>
      </c>
      <c r="I423" s="24" t="n">
        <f aca="false">$B$13*G423/$B$12*((1+$B$8)/(1+D423))^4.5</f>
        <v>17634.8848673863</v>
      </c>
      <c r="J423" s="24" t="n">
        <f aca="false">H423+I423-$B$14</f>
        <v>87820.1688821922</v>
      </c>
      <c r="K423" s="43" t="n">
        <f aca="false">J423/$B$15</f>
        <v>318.419756643192</v>
      </c>
    </row>
    <row r="424" customFormat="false" ht="15" hidden="false" customHeight="false" outlineLevel="0" collapsed="false">
      <c r="A424" s="50" t="n">
        <v>384</v>
      </c>
      <c r="B424" s="19" t="n">
        <f aca="true">NORMINV(RAND(),$B$6,$C$6)</f>
        <v>0.137230278431646</v>
      </c>
      <c r="C424" s="19" t="n">
        <f aca="true">MAX(0.25,NORMINV(RAND(),$B$7,$C$7))</f>
        <v>0.524763877138654</v>
      </c>
      <c r="D424" s="32" t="n">
        <f aca="true">MAX(0.07,NORMINV(RAND(),$B$8,$C$8))</f>
        <v>0.0921543992980124</v>
      </c>
      <c r="E424" s="51" t="n">
        <f aca="true">MAX(8,NORMINV(RAND(),$B$9,$C$9))</f>
        <v>20.7892631426344</v>
      </c>
      <c r="F424" s="24" t="n">
        <f aca="false">$B$18*(1+(B424+$B$17)/2)^9</f>
        <v>15619.3949664854</v>
      </c>
      <c r="G424" s="24" t="n">
        <f aca="false">F424*C424</f>
        <v>8196.49426117283</v>
      </c>
      <c r="H424" s="24" t="n">
        <f aca="false">E424*G424/(1+D424)^9</f>
        <v>77074.5291259933</v>
      </c>
      <c r="I424" s="24" t="n">
        <f aca="false">$B$13*G424/$B$12*((1+$B$8)/(1+D424))^4.5</f>
        <v>19934.0231501498</v>
      </c>
      <c r="J424" s="24" t="n">
        <f aca="false">H424+I424-$B$14</f>
        <v>95300.5904816225</v>
      </c>
      <c r="K424" s="43" t="n">
        <f aca="false">J424/$B$15</f>
        <v>345.542387533077</v>
      </c>
    </row>
    <row r="425" customFormat="false" ht="15" hidden="false" customHeight="false" outlineLevel="0" collapsed="false">
      <c r="A425" s="50" t="n">
        <v>385</v>
      </c>
      <c r="B425" s="19" t="n">
        <f aca="true">NORMINV(RAND(),$B$6,$C$6)</f>
        <v>0.0924450784285846</v>
      </c>
      <c r="C425" s="19" t="n">
        <f aca="true">MAX(0.25,NORMINV(RAND(),$B$7,$C$7))</f>
        <v>0.519890479018655</v>
      </c>
      <c r="D425" s="32" t="n">
        <f aca="true">MAX(0.07,NORMINV(RAND(),$B$8,$C$8))</f>
        <v>0.0999665119770501</v>
      </c>
      <c r="E425" s="51" t="n">
        <f aca="true">MAX(8,NORMINV(RAND(),$B$9,$C$9))</f>
        <v>14.0367804805694</v>
      </c>
      <c r="F425" s="24" t="n">
        <f aca="false">$B$18*(1+(B425+$B$17)/2)^9</f>
        <v>12998.8895530829</v>
      </c>
      <c r="G425" s="24" t="n">
        <f aca="false">F425*C425</f>
        <v>6757.99891646287</v>
      </c>
      <c r="H425" s="24" t="n">
        <f aca="false">E425*G425/(1+D425)^9</f>
        <v>40241.1566274868</v>
      </c>
      <c r="I425" s="24" t="n">
        <f aca="false">$B$13*G425/$B$12*((1+$B$8)/(1+D425))^4.5</f>
        <v>15916.7915668019</v>
      </c>
      <c r="J425" s="24" t="n">
        <f aca="false">H425+I425-$B$14</f>
        <v>54449.9863997681</v>
      </c>
      <c r="K425" s="43" t="n">
        <f aca="false">J425/$B$15</f>
        <v>197.425621463989</v>
      </c>
    </row>
    <row r="426" customFormat="false" ht="15" hidden="false" customHeight="false" outlineLevel="0" collapsed="false">
      <c r="A426" s="50" t="n">
        <v>386</v>
      </c>
      <c r="B426" s="19" t="n">
        <f aca="true">NORMINV(RAND(),$B$6,$C$6)</f>
        <v>0.196178221904187</v>
      </c>
      <c r="C426" s="19" t="n">
        <f aca="true">MAX(0.25,NORMINV(RAND(),$B$7,$C$7))</f>
        <v>0.512749568936881</v>
      </c>
      <c r="D426" s="32" t="n">
        <f aca="true">MAX(0.07,NORMINV(RAND(),$B$8,$C$8))</f>
        <v>0.0838959061508265</v>
      </c>
      <c r="E426" s="51" t="n">
        <f aca="true">MAX(8,NORMINV(RAND(),$B$9,$C$9))</f>
        <v>25.2564540991288</v>
      </c>
      <c r="F426" s="24" t="n">
        <f aca="false">$B$18*(1+(B426+$B$17)/2)^9</f>
        <v>19779.8673552718</v>
      </c>
      <c r="G426" s="24" t="n">
        <f aca="false">F426*C426</f>
        <v>10142.1184600443</v>
      </c>
      <c r="H426" s="24" t="n">
        <f aca="false">E426*G426/(1+D426)^9</f>
        <v>124054.599912039</v>
      </c>
      <c r="I426" s="24" t="n">
        <f aca="false">$B$13*G426/$B$12*((1+$B$8)/(1+D426))^4.5</f>
        <v>25522.8744292673</v>
      </c>
      <c r="J426" s="24" t="n">
        <f aca="false">H426+I426-$B$14</f>
        <v>147869.512546786</v>
      </c>
      <c r="K426" s="43" t="n">
        <f aca="false">J426/$B$15</f>
        <v>536.147616195744</v>
      </c>
    </row>
    <row r="427" customFormat="false" ht="15" hidden="false" customHeight="false" outlineLevel="0" collapsed="false">
      <c r="A427" s="50" t="n">
        <v>387</v>
      </c>
      <c r="B427" s="19" t="n">
        <f aca="true">NORMINV(RAND(),$B$6,$C$6)</f>
        <v>0.120301713421901</v>
      </c>
      <c r="C427" s="19" t="n">
        <f aca="true">MAX(0.25,NORMINV(RAND(),$B$7,$C$7))</f>
        <v>0.464949423539413</v>
      </c>
      <c r="D427" s="32" t="n">
        <f aca="true">MAX(0.07,NORMINV(RAND(),$B$8,$C$8))</f>
        <v>0.0894343068403502</v>
      </c>
      <c r="E427" s="51" t="n">
        <f aca="true">MAX(8,NORMINV(RAND(),$B$9,$C$9))</f>
        <v>16.6388693193914</v>
      </c>
      <c r="F427" s="24" t="n">
        <f aca="false">$B$18*(1+(B427+$B$17)/2)^9</f>
        <v>14578.3084058806</v>
      </c>
      <c r="G427" s="24" t="n">
        <f aca="false">F427*C427</f>
        <v>6778.17608949398</v>
      </c>
      <c r="H427" s="24" t="n">
        <f aca="false">E427*G427/(1+D427)^9</f>
        <v>52170.7682694582</v>
      </c>
      <c r="I427" s="24" t="n">
        <f aca="false">$B$13*G427/$B$12*((1+$B$8)/(1+D427))^4.5</f>
        <v>16670.6729356745</v>
      </c>
      <c r="J427" s="24" t="n">
        <f aca="false">H427+I427-$B$14</f>
        <v>67133.4794106121</v>
      </c>
      <c r="K427" s="43" t="n">
        <f aca="false">J427/$B$15</f>
        <v>243.413630930428</v>
      </c>
    </row>
    <row r="428" customFormat="false" ht="15" hidden="false" customHeight="false" outlineLevel="0" collapsed="false">
      <c r="A428" s="50" t="n">
        <v>388</v>
      </c>
      <c r="B428" s="19" t="n">
        <f aca="true">NORMINV(RAND(),$B$6,$C$6)</f>
        <v>0.0887211391554837</v>
      </c>
      <c r="C428" s="19" t="n">
        <f aca="true">MAX(0.25,NORMINV(RAND(),$B$7,$C$7))</f>
        <v>0.523282906895754</v>
      </c>
      <c r="D428" s="32" t="n">
        <f aca="true">MAX(0.07,NORMINV(RAND(),$B$8,$C$8))</f>
        <v>0.09274842975281</v>
      </c>
      <c r="E428" s="51" t="n">
        <f aca="true">MAX(8,NORMINV(RAND(),$B$9,$C$9))</f>
        <v>19.254131720284</v>
      </c>
      <c r="F428" s="24" t="n">
        <f aca="false">$B$18*(1+(B428+$B$17)/2)^9</f>
        <v>12799.7184008347</v>
      </c>
      <c r="G428" s="24" t="n">
        <f aca="false">F428*C428</f>
        <v>6697.87385223586</v>
      </c>
      <c r="H428" s="24" t="n">
        <f aca="false">E428*G428/(1+D428)^9</f>
        <v>58046.9202273588</v>
      </c>
      <c r="I428" s="24" t="n">
        <f aca="false">$B$13*G428/$B$12*((1+$B$8)/(1+D428))^4.5</f>
        <v>16249.5411013478</v>
      </c>
      <c r="J428" s="24" t="n">
        <f aca="false">H428+I428-$B$14</f>
        <v>72588.4995341861</v>
      </c>
      <c r="K428" s="43" t="n">
        <f aca="false">J428/$B$15</f>
        <v>263.192529130479</v>
      </c>
    </row>
    <row r="429" customFormat="false" ht="15" hidden="false" customHeight="false" outlineLevel="0" collapsed="false">
      <c r="A429" s="50" t="n">
        <v>389</v>
      </c>
      <c r="B429" s="19" t="n">
        <f aca="true">NORMINV(RAND(),$B$6,$C$6)</f>
        <v>0.141369164840936</v>
      </c>
      <c r="C429" s="19" t="n">
        <f aca="true">MAX(0.25,NORMINV(RAND(),$B$7,$C$7))</f>
        <v>0.501248946730265</v>
      </c>
      <c r="D429" s="32" t="n">
        <f aca="true">MAX(0.07,NORMINV(RAND(),$B$8,$C$8))</f>
        <v>0.0952434933429041</v>
      </c>
      <c r="E429" s="51" t="n">
        <f aca="true">MAX(8,NORMINV(RAND(),$B$9,$C$9))</f>
        <v>16.9793382298996</v>
      </c>
      <c r="F429" s="24" t="n">
        <f aca="false">$B$18*(1+(B429+$B$17)/2)^9</f>
        <v>15883.7722962102</v>
      </c>
      <c r="G429" s="24" t="n">
        <f aca="false">F429*C429</f>
        <v>7961.72413357874</v>
      </c>
      <c r="H429" s="24" t="n">
        <f aca="false">E429*G429/(1+D429)^9</f>
        <v>59611.733210016</v>
      </c>
      <c r="I429" s="24" t="n">
        <f aca="false">$B$13*G429/$B$12*((1+$B$8)/(1+D429))^4.5</f>
        <v>19118.5105222372</v>
      </c>
      <c r="J429" s="24" t="n">
        <f aca="false">H429+I429-$B$14</f>
        <v>77022.2819377327</v>
      </c>
      <c r="K429" s="43" t="n">
        <f aca="false">J429/$B$15</f>
        <v>279.26860746096</v>
      </c>
    </row>
    <row r="430" customFormat="false" ht="15" hidden="false" customHeight="false" outlineLevel="0" collapsed="false">
      <c r="A430" s="50" t="n">
        <v>390</v>
      </c>
      <c r="B430" s="19" t="n">
        <f aca="true">NORMINV(RAND(),$B$6,$C$6)</f>
        <v>0.124990929277232</v>
      </c>
      <c r="C430" s="19" t="n">
        <f aca="true">MAX(0.25,NORMINV(RAND(),$B$7,$C$7))</f>
        <v>0.497106420087271</v>
      </c>
      <c r="D430" s="32" t="n">
        <f aca="true">MAX(0.07,NORMINV(RAND(),$B$8,$C$8))</f>
        <v>0.109887074707726</v>
      </c>
      <c r="E430" s="51" t="n">
        <f aca="true">MAX(8,NORMINV(RAND(),$B$9,$C$9))</f>
        <v>18.5210679755956</v>
      </c>
      <c r="F430" s="24" t="n">
        <f aca="false">$B$18*(1+(B430+$B$17)/2)^9</f>
        <v>14860.3235776425</v>
      </c>
      <c r="G430" s="24" t="n">
        <f aca="false">F430*C430</f>
        <v>7387.16225502036</v>
      </c>
      <c r="H430" s="24" t="n">
        <f aca="false">E430*G430/(1+D430)^9</f>
        <v>53534.5947628933</v>
      </c>
      <c r="I430" s="24" t="n">
        <f aca="false">$B$13*G430/$B$12*((1+$B$8)/(1+D430))^4.5</f>
        <v>16709.677302657</v>
      </c>
      <c r="J430" s="24" t="n">
        <f aca="false">H430+I430-$B$14</f>
        <v>68536.3102710298</v>
      </c>
      <c r="K430" s="43" t="n">
        <f aca="false">J430/$B$15</f>
        <v>248.500037240862</v>
      </c>
    </row>
    <row r="431" customFormat="false" ht="15" hidden="false" customHeight="false" outlineLevel="0" collapsed="false">
      <c r="A431" s="50" t="n">
        <v>391</v>
      </c>
      <c r="B431" s="19" t="n">
        <f aca="true">NORMINV(RAND(),$B$6,$C$6)</f>
        <v>0.138116838374614</v>
      </c>
      <c r="C431" s="19" t="n">
        <f aca="true">MAX(0.25,NORMINV(RAND(),$B$7,$C$7))</f>
        <v>0.467389308582516</v>
      </c>
      <c r="D431" s="32" t="n">
        <f aca="true">MAX(0.07,NORMINV(RAND(),$B$8,$C$8))</f>
        <v>0.0831459184817174</v>
      </c>
      <c r="E431" s="51" t="n">
        <f aca="true">MAX(8,NORMINV(RAND(),$B$9,$C$9))</f>
        <v>19.2430509082874</v>
      </c>
      <c r="F431" s="24" t="n">
        <f aca="false">$B$18*(1+(B431+$B$17)/2)^9</f>
        <v>15675.6937128272</v>
      </c>
      <c r="G431" s="24" t="n">
        <f aca="false">F431*C431</f>
        <v>7326.65164598959</v>
      </c>
      <c r="H431" s="24" t="n">
        <f aca="false">E431*G431/(1+D431)^9</f>
        <v>68706.33204619</v>
      </c>
      <c r="I431" s="24" t="n">
        <f aca="false">$B$13*G431/$B$12*((1+$B$8)/(1+D431))^4.5</f>
        <v>18495.2065558014</v>
      </c>
      <c r="J431" s="24" t="n">
        <f aca="false">H431+I431-$B$14</f>
        <v>85493.5768074708</v>
      </c>
      <c r="K431" s="43" t="n">
        <f aca="false">J431/$B$15</f>
        <v>309.983962318603</v>
      </c>
    </row>
    <row r="432" customFormat="false" ht="15" hidden="false" customHeight="false" outlineLevel="0" collapsed="false">
      <c r="A432" s="50" t="n">
        <v>392</v>
      </c>
      <c r="B432" s="19" t="n">
        <f aca="true">NORMINV(RAND(),$B$6,$C$6)</f>
        <v>0.15305178660316</v>
      </c>
      <c r="C432" s="19" t="n">
        <f aca="true">MAX(0.25,NORMINV(RAND(),$B$7,$C$7))</f>
        <v>0.450572216109046</v>
      </c>
      <c r="D432" s="32" t="n">
        <f aca="true">MAX(0.07,NORMINV(RAND(),$B$8,$C$8))</f>
        <v>0.0930463489538909</v>
      </c>
      <c r="E432" s="51" t="n">
        <f aca="true">MAX(8,NORMINV(RAND(),$B$9,$C$9))</f>
        <v>22.1960856877583</v>
      </c>
      <c r="F432" s="24" t="n">
        <f aca="false">$B$18*(1+(B432+$B$17)/2)^9</f>
        <v>16651.6070986616</v>
      </c>
      <c r="G432" s="24" t="n">
        <f aca="false">F432*C432</f>
        <v>7502.75151222106</v>
      </c>
      <c r="H432" s="24" t="n">
        <f aca="false">E432*G432/(1+D432)^9</f>
        <v>74773.8520605212</v>
      </c>
      <c r="I432" s="24" t="n">
        <f aca="false">$B$13*G432/$B$12*((1+$B$8)/(1+D432))^4.5</f>
        <v>18179.9196403276</v>
      </c>
      <c r="J432" s="24" t="n">
        <f aca="false">H432+I432-$B$14</f>
        <v>91245.8099063283</v>
      </c>
      <c r="K432" s="43" t="n">
        <f aca="false">J432/$B$15</f>
        <v>330.840500022945</v>
      </c>
    </row>
    <row r="433" customFormat="false" ht="15" hidden="false" customHeight="false" outlineLevel="0" collapsed="false">
      <c r="A433" s="50" t="n">
        <v>393</v>
      </c>
      <c r="B433" s="19" t="n">
        <f aca="true">NORMINV(RAND(),$B$6,$C$6)</f>
        <v>0.11288395752765</v>
      </c>
      <c r="C433" s="19" t="n">
        <f aca="true">MAX(0.25,NORMINV(RAND(),$B$7,$C$7))</f>
        <v>0.526344868886596</v>
      </c>
      <c r="D433" s="32" t="n">
        <f aca="true">MAX(0.07,NORMINV(RAND(),$B$8,$C$8))</f>
        <v>0.105920219124559</v>
      </c>
      <c r="E433" s="51" t="n">
        <f aca="true">MAX(8,NORMINV(RAND(),$B$9,$C$9))</f>
        <v>21.0244985113769</v>
      </c>
      <c r="F433" s="24" t="n">
        <f aca="false">$B$18*(1+(B433+$B$17)/2)^9</f>
        <v>14141.9030161539</v>
      </c>
      <c r="G433" s="24" t="n">
        <f aca="false">F433*C433</f>
        <v>7443.51808884447</v>
      </c>
      <c r="H433" s="24" t="n">
        <f aca="false">E433*G433/(1+D433)^9</f>
        <v>63239.6867529432</v>
      </c>
      <c r="I433" s="24" t="n">
        <f aca="false">$B$13*G433/$B$12*((1+$B$8)/(1+D433))^4.5</f>
        <v>17110.6360255231</v>
      </c>
      <c r="J433" s="24" t="n">
        <f aca="false">H433+I433-$B$14</f>
        <v>78642.3609839457</v>
      </c>
      <c r="K433" s="43" t="n">
        <f aca="false">J433/$B$15</f>
        <v>285.142715677831</v>
      </c>
    </row>
    <row r="434" customFormat="false" ht="15" hidden="false" customHeight="false" outlineLevel="0" collapsed="false">
      <c r="A434" s="50" t="n">
        <v>394</v>
      </c>
      <c r="B434" s="19" t="n">
        <f aca="true">NORMINV(RAND(),$B$6,$C$6)</f>
        <v>0.134996124225494</v>
      </c>
      <c r="C434" s="19" t="n">
        <f aca="true">MAX(0.25,NORMINV(RAND(),$B$7,$C$7))</f>
        <v>0.51158556672951</v>
      </c>
      <c r="D434" s="32" t="n">
        <f aca="true">MAX(0.07,NORMINV(RAND(),$B$8,$C$8))</f>
        <v>0.103526871520355</v>
      </c>
      <c r="E434" s="51" t="n">
        <f aca="true">MAX(8,NORMINV(RAND(),$B$9,$C$9))</f>
        <v>14.385813389784</v>
      </c>
      <c r="F434" s="24" t="n">
        <f aca="false">$B$18*(1+(B434+$B$17)/2)^9</f>
        <v>15478.3169929709</v>
      </c>
      <c r="G434" s="24" t="n">
        <f aca="false">F434*C434</f>
        <v>7918.48357086804</v>
      </c>
      <c r="H434" s="24" t="n">
        <f aca="false">E434*G434/(1+D434)^9</f>
        <v>46938.6101330433</v>
      </c>
      <c r="I434" s="24" t="n">
        <f aca="false">$B$13*G434/$B$12*((1+$B$8)/(1+D434))^4.5</f>
        <v>18380.7787964486</v>
      </c>
      <c r="J434" s="24" t="n">
        <f aca="false">H434+I434-$B$14</f>
        <v>63611.4271349714</v>
      </c>
      <c r="K434" s="43" t="n">
        <f aca="false">J434/$B$15</f>
        <v>230.643318110846</v>
      </c>
    </row>
    <row r="435" customFormat="false" ht="15" hidden="false" customHeight="false" outlineLevel="0" collapsed="false">
      <c r="A435" s="50" t="n">
        <v>395</v>
      </c>
      <c r="B435" s="19" t="n">
        <f aca="true">NORMINV(RAND(),$B$6,$C$6)</f>
        <v>0.137261815153065</v>
      </c>
      <c r="C435" s="19" t="n">
        <f aca="true">MAX(0.25,NORMINV(RAND(),$B$7,$C$7))</f>
        <v>0.49226006382806</v>
      </c>
      <c r="D435" s="32" t="n">
        <f aca="true">MAX(0.07,NORMINV(RAND(),$B$8,$C$8))</f>
        <v>0.0969688584998991</v>
      </c>
      <c r="E435" s="51" t="n">
        <f aca="true">MAX(8,NORMINV(RAND(),$B$9,$C$9))</f>
        <v>26.1456612810644</v>
      </c>
      <c r="F435" s="24" t="n">
        <f aca="false">$B$18*(1+(B435+$B$17)/2)^9</f>
        <v>15621.3945390364</v>
      </c>
      <c r="G435" s="24" t="n">
        <f aca="false">F435*C435</f>
        <v>7689.78867286935</v>
      </c>
      <c r="H435" s="24" t="n">
        <f aca="false">E435*G435/(1+D435)^9</f>
        <v>87410.8507482931</v>
      </c>
      <c r="I435" s="24" t="n">
        <f aca="false">$B$13*G435/$B$12*((1+$B$8)/(1+D435))^4.5</f>
        <v>18335.1749214561</v>
      </c>
      <c r="J435" s="24" t="n">
        <f aca="false">H435+I435-$B$14</f>
        <v>104038.063875229</v>
      </c>
      <c r="K435" s="43" t="n">
        <f aca="false">J435/$B$15</f>
        <v>377.222856690459</v>
      </c>
    </row>
    <row r="436" customFormat="false" ht="15" hidden="false" customHeight="false" outlineLevel="0" collapsed="false">
      <c r="A436" s="50" t="n">
        <v>396</v>
      </c>
      <c r="B436" s="19" t="n">
        <f aca="true">NORMINV(RAND(),$B$6,$C$6)</f>
        <v>0.176382819859544</v>
      </c>
      <c r="C436" s="19" t="n">
        <f aca="true">MAX(0.25,NORMINV(RAND(),$B$7,$C$7))</f>
        <v>0.466972677996269</v>
      </c>
      <c r="D436" s="32" t="n">
        <f aca="true">MAX(0.07,NORMINV(RAND(),$B$8,$C$8))</f>
        <v>0.0876149827071094</v>
      </c>
      <c r="E436" s="51" t="n">
        <f aca="true">MAX(8,NORMINV(RAND(),$B$9,$C$9))</f>
        <v>23.7235337495859</v>
      </c>
      <c r="F436" s="24" t="n">
        <f aca="false">$B$18*(1+(B436+$B$17)/2)^9</f>
        <v>18284.4566861382</v>
      </c>
      <c r="G436" s="24" t="n">
        <f aca="false">F436*C436</f>
        <v>8538.34170443274</v>
      </c>
      <c r="H436" s="24" t="n">
        <f aca="false">E436*G436/(1+D436)^9</f>
        <v>95120.9712636251</v>
      </c>
      <c r="I436" s="24" t="n">
        <f aca="false">$B$13*G436/$B$12*((1+$B$8)/(1+D436))^4.5</f>
        <v>21158.2727129918</v>
      </c>
      <c r="J436" s="24" t="n">
        <f aca="false">H436+I436-$B$14</f>
        <v>114571.282182096</v>
      </c>
      <c r="K436" s="43" t="n">
        <f aca="false">J436/$B$15</f>
        <v>415.414366142481</v>
      </c>
    </row>
    <row r="437" customFormat="false" ht="15" hidden="false" customHeight="false" outlineLevel="0" collapsed="false">
      <c r="A437" s="50" t="n">
        <v>397</v>
      </c>
      <c r="B437" s="19" t="n">
        <f aca="true">NORMINV(RAND(),$B$6,$C$6)</f>
        <v>0.191932238847111</v>
      </c>
      <c r="C437" s="19" t="n">
        <f aca="true">MAX(0.25,NORMINV(RAND(),$B$7,$C$7))</f>
        <v>0.538813053472371</v>
      </c>
      <c r="D437" s="32" t="n">
        <f aca="true">MAX(0.07,NORMINV(RAND(),$B$8,$C$8))</f>
        <v>0.0979143196731883</v>
      </c>
      <c r="E437" s="51" t="n">
        <f aca="true">MAX(8,NORMINV(RAND(),$B$9,$C$9))</f>
        <v>19.5217382193547</v>
      </c>
      <c r="F437" s="24" t="n">
        <f aca="false">$B$18*(1+(B437+$B$17)/2)^9</f>
        <v>19450.258124171</v>
      </c>
      <c r="G437" s="24" t="n">
        <f aca="false">F437*C437</f>
        <v>10480.0529707104</v>
      </c>
      <c r="H437" s="24" t="n">
        <f aca="false">E437*G437/(1+D437)^9</f>
        <v>88260.4052922847</v>
      </c>
      <c r="I437" s="24" t="n">
        <f aca="false">$B$13*G437/$B$12*((1+$B$8)/(1+D437))^4.5</f>
        <v>24891.4646608347</v>
      </c>
      <c r="J437" s="24" t="n">
        <f aca="false">H437+I437-$B$14</f>
        <v>111443.908158599</v>
      </c>
      <c r="K437" s="43" t="n">
        <f aca="false">J437/$B$15</f>
        <v>404.075083968814</v>
      </c>
    </row>
    <row r="438" customFormat="false" ht="15" hidden="false" customHeight="false" outlineLevel="0" collapsed="false">
      <c r="A438" s="50" t="n">
        <v>398</v>
      </c>
      <c r="B438" s="19" t="n">
        <f aca="true">NORMINV(RAND(),$B$6,$C$6)</f>
        <v>0.096188864173144</v>
      </c>
      <c r="C438" s="19" t="n">
        <f aca="true">MAX(0.25,NORMINV(RAND(),$B$7,$C$7))</f>
        <v>0.556172598353063</v>
      </c>
      <c r="D438" s="32" t="n">
        <f aca="true">MAX(0.07,NORMINV(RAND(),$B$8,$C$8))</f>
        <v>0.101833767241566</v>
      </c>
      <c r="E438" s="51" t="n">
        <f aca="true">MAX(8,NORMINV(RAND(),$B$9,$C$9))</f>
        <v>21.3364704473525</v>
      </c>
      <c r="F438" s="24" t="n">
        <f aca="false">$B$18*(1+(B438+$B$17)/2)^9</f>
        <v>13201.894371598</v>
      </c>
      <c r="G438" s="24" t="n">
        <f aca="false">F438*C438</f>
        <v>7342.53189583432</v>
      </c>
      <c r="H438" s="24" t="n">
        <f aca="false">E438*G438/(1+D438)^9</f>
        <v>65452.1203176185</v>
      </c>
      <c r="I438" s="24" t="n">
        <f aca="false">$B$13*G438/$B$12*((1+$B$8)/(1+D438))^4.5</f>
        <v>17162.0233487962</v>
      </c>
      <c r="J438" s="24" t="n">
        <f aca="false">H438+I438-$B$14</f>
        <v>80906.1818718942</v>
      </c>
      <c r="K438" s="43" t="n">
        <f aca="false">J438/$B$15</f>
        <v>293.350913241096</v>
      </c>
    </row>
    <row r="439" customFormat="false" ht="15" hidden="false" customHeight="false" outlineLevel="0" collapsed="false">
      <c r="A439" s="50" t="n">
        <v>399</v>
      </c>
      <c r="B439" s="19" t="n">
        <f aca="true">NORMINV(RAND(),$B$6,$C$6)</f>
        <v>0.126954799543394</v>
      </c>
      <c r="C439" s="19" t="n">
        <f aca="true">MAX(0.25,NORMINV(RAND(),$B$7,$C$7))</f>
        <v>0.470940527952396</v>
      </c>
      <c r="D439" s="32" t="n">
        <f aca="true">MAX(0.07,NORMINV(RAND(),$B$8,$C$8))</f>
        <v>0.0932663556723344</v>
      </c>
      <c r="E439" s="51" t="n">
        <f aca="true">MAX(8,NORMINV(RAND(),$B$9,$C$9))</f>
        <v>17.7228101386182</v>
      </c>
      <c r="F439" s="24" t="n">
        <f aca="false">$B$18*(1+(B439+$B$17)/2)^9</f>
        <v>14979.8666560847</v>
      </c>
      <c r="G439" s="24" t="n">
        <f aca="false">F439*C439</f>
        <v>7054.62631167303</v>
      </c>
      <c r="H439" s="24" t="n">
        <f aca="false">E439*G439/(1+D439)^9</f>
        <v>56036.7254938641</v>
      </c>
      <c r="I439" s="24" t="n">
        <f aca="false">$B$13*G439/$B$12*((1+$B$8)/(1+D439))^4.5</f>
        <v>17078.5928805857</v>
      </c>
      <c r="J439" s="24" t="n">
        <f aca="false">H439+I439-$B$14</f>
        <v>71407.3565799293</v>
      </c>
      <c r="K439" s="43" t="n">
        <f aca="false">J439/$B$15</f>
        <v>258.909922334769</v>
      </c>
    </row>
    <row r="440" customFormat="false" ht="15" hidden="false" customHeight="false" outlineLevel="0" collapsed="false">
      <c r="A440" s="50" t="n">
        <v>400</v>
      </c>
      <c r="B440" s="19" t="n">
        <f aca="true">NORMINV(RAND(),$B$6,$C$6)</f>
        <v>0.173001077885381</v>
      </c>
      <c r="C440" s="19" t="n">
        <f aca="true">MAX(0.25,NORMINV(RAND(),$B$7,$C$7))</f>
        <v>0.469548760156821</v>
      </c>
      <c r="D440" s="32" t="n">
        <f aca="true">MAX(0.07,NORMINV(RAND(),$B$8,$C$8))</f>
        <v>0.0976156213042863</v>
      </c>
      <c r="E440" s="51" t="n">
        <f aca="true">MAX(8,NORMINV(RAND(),$B$9,$C$9))</f>
        <v>19.3551712952287</v>
      </c>
      <c r="F440" s="24" t="n">
        <f aca="false">$B$18*(1+(B440+$B$17)/2)^9</f>
        <v>18039.2964842137</v>
      </c>
      <c r="G440" s="24" t="n">
        <f aca="false">F440*C440</f>
        <v>8470.32929826385</v>
      </c>
      <c r="H440" s="24" t="n">
        <f aca="false">E440*G440/(1+D440)^9</f>
        <v>70899.7657180719</v>
      </c>
      <c r="I440" s="24" t="n">
        <f aca="false">$B$13*G440/$B$12*((1+$B$8)/(1+D440))^4.5</f>
        <v>20142.7626163286</v>
      </c>
      <c r="J440" s="24" t="n">
        <f aca="false">H440+I440-$B$14</f>
        <v>89334.56653988</v>
      </c>
      <c r="K440" s="43" t="n">
        <f aca="false">J440/$B$15</f>
        <v>323.910683610877</v>
      </c>
    </row>
    <row r="441" customFormat="false" ht="15" hidden="false" customHeight="false" outlineLevel="0" collapsed="false">
      <c r="A441" s="50" t="n">
        <v>401</v>
      </c>
      <c r="B441" s="19" t="n">
        <f aca="true">NORMINV(RAND(),$B$6,$C$6)</f>
        <v>0.126157953582475</v>
      </c>
      <c r="C441" s="19" t="n">
        <f aca="true">MAX(0.25,NORMINV(RAND(),$B$7,$C$7))</f>
        <v>0.475902701155802</v>
      </c>
      <c r="D441" s="32" t="n">
        <f aca="true">MAX(0.07,NORMINV(RAND(),$B$8,$C$8))</f>
        <v>0.0919455642214745</v>
      </c>
      <c r="E441" s="51" t="n">
        <f aca="true">MAX(8,NORMINV(RAND(),$B$9,$C$9))</f>
        <v>14.2383687052525</v>
      </c>
      <c r="F441" s="24" t="n">
        <f aca="false">$B$18*(1+(B441+$B$17)/2)^9</f>
        <v>14931.2590489733</v>
      </c>
      <c r="G441" s="24" t="n">
        <f aca="false">F441*C441</f>
        <v>7105.8265130634</v>
      </c>
      <c r="H441" s="24" t="n">
        <f aca="false">E441*G441/(1+D441)^9</f>
        <v>45842.2514757561</v>
      </c>
      <c r="I441" s="24" t="n">
        <f aca="false">$B$13*G441/$B$12*((1+$B$8)/(1+D441))^4.5</f>
        <v>17296.3772494773</v>
      </c>
      <c r="J441" s="24" t="n">
        <f aca="false">H441+I441-$B$14</f>
        <v>61430.6669307129</v>
      </c>
      <c r="K441" s="43" t="n">
        <f aca="false">J441/$B$15</f>
        <v>222.736283287574</v>
      </c>
    </row>
    <row r="442" customFormat="false" ht="15" hidden="false" customHeight="false" outlineLevel="0" collapsed="false">
      <c r="A442" s="50" t="n">
        <v>402</v>
      </c>
      <c r="B442" s="19" t="n">
        <f aca="true">NORMINV(RAND(),$B$6,$C$6)</f>
        <v>0.0925160804393963</v>
      </c>
      <c r="C442" s="19" t="n">
        <f aca="true">MAX(0.25,NORMINV(RAND(),$B$7,$C$7))</f>
        <v>0.542140961936983</v>
      </c>
      <c r="D442" s="32" t="n">
        <f aca="true">MAX(0.07,NORMINV(RAND(),$B$8,$C$8))</f>
        <v>0.0849389460917091</v>
      </c>
      <c r="E442" s="51" t="n">
        <f aca="true">MAX(8,NORMINV(RAND(),$B$9,$C$9))</f>
        <v>19.2605882171543</v>
      </c>
      <c r="F442" s="24" t="n">
        <f aca="false">$B$18*(1+(B442+$B$17)/2)^9</f>
        <v>13002.7136367217</v>
      </c>
      <c r="G442" s="24" t="n">
        <f aca="false">F442*C442</f>
        <v>7049.30367880345</v>
      </c>
      <c r="H442" s="24" t="n">
        <f aca="false">E442*G442/(1+D442)^9</f>
        <v>65188.0623268287</v>
      </c>
      <c r="I442" s="24" t="n">
        <f aca="false">$B$13*G442/$B$12*((1+$B$8)/(1+D442))^4.5</f>
        <v>17663.1179789425</v>
      </c>
      <c r="J442" s="24" t="n">
        <f aca="false">H442+I442-$B$14</f>
        <v>81143.2185112506</v>
      </c>
      <c r="K442" s="43" t="n">
        <f aca="false">J442/$B$15</f>
        <v>294.210364435281</v>
      </c>
    </row>
    <row r="443" customFormat="false" ht="15" hidden="false" customHeight="false" outlineLevel="0" collapsed="false">
      <c r="A443" s="50" t="n">
        <v>403</v>
      </c>
      <c r="B443" s="19" t="n">
        <f aca="true">NORMINV(RAND(),$B$6,$C$6)</f>
        <v>0.113180248600559</v>
      </c>
      <c r="C443" s="19" t="n">
        <f aca="true">MAX(0.25,NORMINV(RAND(),$B$7,$C$7))</f>
        <v>0.515915175090304</v>
      </c>
      <c r="D443" s="32" t="n">
        <f aca="true">MAX(0.07,NORMINV(RAND(),$B$8,$C$8))</f>
        <v>0.107270792468818</v>
      </c>
      <c r="E443" s="51" t="n">
        <f aca="true">MAX(8,NORMINV(RAND(),$B$9,$C$9))</f>
        <v>18.3432242888013</v>
      </c>
      <c r="F443" s="24" t="n">
        <f aca="false">$B$18*(1+(B443+$B$17)/2)^9</f>
        <v>14159.1093366953</v>
      </c>
      <c r="G443" s="24" t="n">
        <f aca="false">F443*C443</f>
        <v>7304.89937256394</v>
      </c>
      <c r="H443" s="24" t="n">
        <f aca="false">E443*G443/(1+D443)^9</f>
        <v>53555.6525926862</v>
      </c>
      <c r="I443" s="24" t="n">
        <f aca="false">$B$13*G443/$B$12*((1+$B$8)/(1+D443))^4.5</f>
        <v>16700.0178517424</v>
      </c>
      <c r="J443" s="24" t="n">
        <f aca="false">H443+I443-$B$14</f>
        <v>68547.7086499081</v>
      </c>
      <c r="K443" s="43" t="n">
        <f aca="false">J443/$B$15</f>
        <v>248.541365663191</v>
      </c>
    </row>
    <row r="444" customFormat="false" ht="15" hidden="false" customHeight="false" outlineLevel="0" collapsed="false">
      <c r="A444" s="50" t="n">
        <v>404</v>
      </c>
      <c r="B444" s="19" t="n">
        <f aca="true">NORMINV(RAND(),$B$6,$C$6)</f>
        <v>0.152449473033431</v>
      </c>
      <c r="C444" s="19" t="n">
        <f aca="true">MAX(0.25,NORMINV(RAND(),$B$7,$C$7))</f>
        <v>0.500468840718865</v>
      </c>
      <c r="D444" s="32" t="n">
        <f aca="true">MAX(0.07,NORMINV(RAND(),$B$8,$C$8))</f>
        <v>0.0889503886836485</v>
      </c>
      <c r="E444" s="51" t="n">
        <f aca="true">MAX(8,NORMINV(RAND(),$B$9,$C$9))</f>
        <v>22.9775847692133</v>
      </c>
      <c r="F444" s="24" t="n">
        <f aca="false">$B$18*(1+(B444+$B$17)/2)^9</f>
        <v>16611.2282439956</v>
      </c>
      <c r="G444" s="24" t="n">
        <f aca="false">F444*C444</f>
        <v>8313.40214218896</v>
      </c>
      <c r="H444" s="24" t="n">
        <f aca="false">E444*G444/(1+D444)^9</f>
        <v>88717.7088858195</v>
      </c>
      <c r="I444" s="24" t="n">
        <f aca="false">$B$13*G444/$B$12*((1+$B$8)/(1+D444))^4.5</f>
        <v>20487.4242929414</v>
      </c>
      <c r="J444" s="24" t="n">
        <f aca="false">H444+I444-$B$14</f>
        <v>107497.17138424</v>
      </c>
      <c r="K444" s="43" t="n">
        <f aca="false">J444/$B$15</f>
        <v>389.764943380132</v>
      </c>
    </row>
    <row r="445" customFormat="false" ht="15" hidden="false" customHeight="false" outlineLevel="0" collapsed="false">
      <c r="A445" s="50" t="n">
        <v>405</v>
      </c>
      <c r="B445" s="19" t="n">
        <f aca="true">NORMINV(RAND(),$B$6,$C$6)</f>
        <v>0.139129650925622</v>
      </c>
      <c r="C445" s="19" t="n">
        <f aca="true">MAX(0.25,NORMINV(RAND(),$B$7,$C$7))</f>
        <v>0.52574307807507</v>
      </c>
      <c r="D445" s="32" t="n">
        <f aca="true">MAX(0.07,NORMINV(RAND(),$B$8,$C$8))</f>
        <v>0.110965547948009</v>
      </c>
      <c r="E445" s="51" t="n">
        <f aca="true">MAX(8,NORMINV(RAND(),$B$9,$C$9))</f>
        <v>18.6711364997878</v>
      </c>
      <c r="F445" s="24" t="n">
        <f aca="false">$B$18*(1+(B445+$B$17)/2)^9</f>
        <v>15740.2304889195</v>
      </c>
      <c r="G445" s="24" t="n">
        <f aca="false">F445*C445</f>
        <v>8275.31722685559</v>
      </c>
      <c r="H445" s="24" t="n">
        <f aca="false">E445*G445/(1+D445)^9</f>
        <v>59930.801168646</v>
      </c>
      <c r="I445" s="24" t="n">
        <f aca="false">$B$13*G445/$B$12*((1+$B$8)/(1+D445))^4.5</f>
        <v>18637.0421373115</v>
      </c>
      <c r="J445" s="24" t="n">
        <f aca="false">H445+I445-$B$14</f>
        <v>76859.881511437</v>
      </c>
      <c r="K445" s="43" t="n">
        <f aca="false">J445/$B$15</f>
        <v>278.67977342798</v>
      </c>
    </row>
    <row r="446" customFormat="false" ht="15" hidden="false" customHeight="false" outlineLevel="0" collapsed="false">
      <c r="A446" s="50" t="n">
        <v>406</v>
      </c>
      <c r="B446" s="19" t="n">
        <f aca="true">NORMINV(RAND(),$B$6,$C$6)</f>
        <v>0.102003976024047</v>
      </c>
      <c r="C446" s="19" t="n">
        <f aca="true">MAX(0.25,NORMINV(RAND(),$B$7,$C$7))</f>
        <v>0.490567508573936</v>
      </c>
      <c r="D446" s="32" t="n">
        <f aca="true">MAX(0.07,NORMINV(RAND(),$B$8,$C$8))</f>
        <v>0.0840232967267034</v>
      </c>
      <c r="E446" s="51" t="n">
        <f aca="true">MAX(8,NORMINV(RAND(),$B$9,$C$9))</f>
        <v>21.7078332778113</v>
      </c>
      <c r="F446" s="24" t="n">
        <f aca="false">$B$18*(1+(B446+$B$17)/2)^9</f>
        <v>13522.8066819672</v>
      </c>
      <c r="G446" s="24" t="n">
        <f aca="false">F446*C446</f>
        <v>6633.8495828996</v>
      </c>
      <c r="H446" s="24" t="n">
        <f aca="false">E446*G446/(1+D446)^9</f>
        <v>69668.1945550464</v>
      </c>
      <c r="I446" s="24" t="n">
        <f aca="false">$B$13*G446/$B$12*((1+$B$8)/(1+D446))^4.5</f>
        <v>16685.4085927974</v>
      </c>
      <c r="J446" s="24" t="n">
        <f aca="false">H446+I446-$B$14</f>
        <v>84645.6413533232</v>
      </c>
      <c r="K446" s="43" t="n">
        <f aca="false">J446/$B$15</f>
        <v>306.909504544319</v>
      </c>
    </row>
    <row r="447" customFormat="false" ht="15" hidden="false" customHeight="false" outlineLevel="0" collapsed="false">
      <c r="A447" s="50" t="n">
        <v>407</v>
      </c>
      <c r="B447" s="19" t="n">
        <f aca="true">NORMINV(RAND(),$B$6,$C$6)</f>
        <v>0.114369671104976</v>
      </c>
      <c r="C447" s="19" t="n">
        <f aca="true">MAX(0.25,NORMINV(RAND(),$B$7,$C$7))</f>
        <v>0.544429983785989</v>
      </c>
      <c r="D447" s="32" t="n">
        <f aca="true">MAX(0.07,NORMINV(RAND(),$B$8,$C$8))</f>
        <v>0.0981654941787084</v>
      </c>
      <c r="E447" s="51" t="n">
        <f aca="true">MAX(8,NORMINV(RAND(),$B$9,$C$9))</f>
        <v>14.9214071602903</v>
      </c>
      <c r="F447" s="24" t="n">
        <f aca="false">$B$18*(1+(B447+$B$17)/2)^9</f>
        <v>14228.3693483098</v>
      </c>
      <c r="G447" s="24" t="n">
        <f aca="false">F447*C447</f>
        <v>7746.35089360135</v>
      </c>
      <c r="H447" s="24" t="n">
        <f aca="false">E447*G447/(1+D447)^9</f>
        <v>49761.8829740124</v>
      </c>
      <c r="I447" s="24" t="n">
        <f aca="false">$B$13*G447/$B$12*((1+$B$8)/(1+D447))^4.5</f>
        <v>18379.6438629035</v>
      </c>
      <c r="J447" s="24" t="n">
        <f aca="false">H447+I447-$B$14</f>
        <v>66433.5650423953</v>
      </c>
      <c r="K447" s="43" t="n">
        <f aca="false">J447/$B$15</f>
        <v>240.875870349512</v>
      </c>
    </row>
    <row r="448" customFormat="false" ht="15" hidden="false" customHeight="false" outlineLevel="0" collapsed="false">
      <c r="A448" s="50" t="n">
        <v>408</v>
      </c>
      <c r="B448" s="19" t="n">
        <f aca="true">NORMINV(RAND(),$B$6,$C$6)</f>
        <v>0.124408104443397</v>
      </c>
      <c r="C448" s="19" t="n">
        <f aca="true">MAX(0.25,NORMINV(RAND(),$B$7,$C$7))</f>
        <v>0.513159137689066</v>
      </c>
      <c r="D448" s="32" t="n">
        <f aca="true">MAX(0.07,NORMINV(RAND(),$B$8,$C$8))</f>
        <v>0.0955029324287573</v>
      </c>
      <c r="E448" s="51" t="n">
        <f aca="true">MAX(8,NORMINV(RAND(),$B$9,$C$9))</f>
        <v>16.0524232291357</v>
      </c>
      <c r="F448" s="24" t="n">
        <f aca="false">$B$18*(1+(B448+$B$17)/2)^9</f>
        <v>14825.0099051321</v>
      </c>
      <c r="G448" s="24" t="n">
        <f aca="false">F448*C448</f>
        <v>7607.58929914943</v>
      </c>
      <c r="H448" s="24" t="n">
        <f aca="false">E448*G448/(1+D448)^9</f>
        <v>53736.0526422858</v>
      </c>
      <c r="I448" s="24" t="n">
        <f aca="false">$B$13*G448/$B$12*((1+$B$8)/(1+D448))^4.5</f>
        <v>18248.6653016631</v>
      </c>
      <c r="J448" s="24" t="n">
        <f aca="false">H448+I448-$B$14</f>
        <v>70276.7561494284</v>
      </c>
      <c r="K448" s="43" t="n">
        <f aca="false">J448/$B$15</f>
        <v>254.810573420698</v>
      </c>
    </row>
    <row r="449" customFormat="false" ht="15" hidden="false" customHeight="false" outlineLevel="0" collapsed="false">
      <c r="A449" s="50" t="n">
        <v>409</v>
      </c>
      <c r="B449" s="19" t="n">
        <f aca="true">NORMINV(RAND(),$B$6,$C$6)</f>
        <v>0.169641918861448</v>
      </c>
      <c r="C449" s="19" t="n">
        <f aca="true">MAX(0.25,NORMINV(RAND(),$B$7,$C$7))</f>
        <v>0.503596537262454</v>
      </c>
      <c r="D449" s="32" t="n">
        <f aca="true">MAX(0.07,NORMINV(RAND(),$B$8,$C$8))</f>
        <v>0.0936656321743049</v>
      </c>
      <c r="E449" s="51" t="n">
        <f aca="true">MAX(8,NORMINV(RAND(),$B$9,$C$9))</f>
        <v>20.4446408556025</v>
      </c>
      <c r="F449" s="24" t="n">
        <f aca="false">$B$18*(1+(B449+$B$17)/2)^9</f>
        <v>17798.6705246101</v>
      </c>
      <c r="G449" s="24" t="n">
        <f aca="false">F449*C449</f>
        <v>8963.34884406897</v>
      </c>
      <c r="H449" s="24" t="n">
        <f aca="false">E449*G449/(1+D449)^9</f>
        <v>81863.1969864707</v>
      </c>
      <c r="I449" s="24" t="n">
        <f aca="false">$B$13*G449/$B$12*((1+$B$8)/(1+D449))^4.5</f>
        <v>21663.8058036101</v>
      </c>
      <c r="J449" s="24" t="n">
        <f aca="false">H449+I449-$B$14</f>
        <v>101819.04099556</v>
      </c>
      <c r="K449" s="43" t="n">
        <f aca="false">J449/$B$15</f>
        <v>369.177088453808</v>
      </c>
    </row>
    <row r="450" customFormat="false" ht="15" hidden="false" customHeight="false" outlineLevel="0" collapsed="false">
      <c r="A450" s="50" t="n">
        <v>410</v>
      </c>
      <c r="B450" s="19" t="n">
        <f aca="true">NORMINV(RAND(),$B$6,$C$6)</f>
        <v>0.0707177066071367</v>
      </c>
      <c r="C450" s="19" t="n">
        <f aca="true">MAX(0.25,NORMINV(RAND(),$B$7,$C$7))</f>
        <v>0.537887937749048</v>
      </c>
      <c r="D450" s="32" t="n">
        <f aca="true">MAX(0.07,NORMINV(RAND(),$B$8,$C$8))</f>
        <v>0.100629079714248</v>
      </c>
      <c r="E450" s="51" t="n">
        <f aca="true">MAX(8,NORMINV(RAND(),$B$9,$C$9))</f>
        <v>18.2325232157409</v>
      </c>
      <c r="F450" s="24" t="n">
        <f aca="false">$B$18*(1+(B450+$B$17)/2)^9</f>
        <v>11874.5646551446</v>
      </c>
      <c r="G450" s="24" t="n">
        <f aca="false">F450*C450</f>
        <v>6387.18509402347</v>
      </c>
      <c r="H450" s="24" t="n">
        <f aca="false">E450*G450/(1+D450)^9</f>
        <v>49134.6004586441</v>
      </c>
      <c r="I450" s="24" t="n">
        <f aca="false">$B$13*G450/$B$12*((1+$B$8)/(1+D450))^4.5</f>
        <v>15002.7224380211</v>
      </c>
      <c r="J450" s="24" t="n">
        <f aca="false">H450+I450-$B$14</f>
        <v>62429.3611021447</v>
      </c>
      <c r="K450" s="43" t="n">
        <f aca="false">J450/$B$15</f>
        <v>226.357364402265</v>
      </c>
    </row>
    <row r="451" customFormat="false" ht="15" hidden="false" customHeight="false" outlineLevel="0" collapsed="false">
      <c r="A451" s="50" t="n">
        <v>411</v>
      </c>
      <c r="B451" s="19" t="n">
        <f aca="true">NORMINV(RAND(),$B$6,$C$6)</f>
        <v>0.129874482461385</v>
      </c>
      <c r="C451" s="19" t="n">
        <f aca="true">MAX(0.25,NORMINV(RAND(),$B$7,$C$7))</f>
        <v>0.494579102848619</v>
      </c>
      <c r="D451" s="32" t="n">
        <f aca="true">MAX(0.07,NORMINV(RAND(),$B$8,$C$8))</f>
        <v>0.0915245208223844</v>
      </c>
      <c r="E451" s="51" t="n">
        <f aca="true">MAX(8,NORMINV(RAND(),$B$9,$C$9))</f>
        <v>19.6383087194093</v>
      </c>
      <c r="F451" s="24" t="n">
        <f aca="false">$B$18*(1+(B451+$B$17)/2)^9</f>
        <v>15159.1714545701</v>
      </c>
      <c r="G451" s="24" t="n">
        <f aca="false">F451*C451</f>
        <v>7497.40941792967</v>
      </c>
      <c r="H451" s="24" t="n">
        <f aca="false">E451*G451/(1+D451)^9</f>
        <v>66944.3365951474</v>
      </c>
      <c r="I451" s="24" t="n">
        <f aca="false">$B$13*G451/$B$12*((1+$B$8)/(1+D451))^4.5</f>
        <v>18281.2332624523</v>
      </c>
      <c r="J451" s="24" t="n">
        <f aca="false">H451+I451-$B$14</f>
        <v>83517.6080630791</v>
      </c>
      <c r="K451" s="43" t="n">
        <f aca="false">J451/$B$15</f>
        <v>302.819463607974</v>
      </c>
    </row>
    <row r="452" customFormat="false" ht="15" hidden="false" customHeight="false" outlineLevel="0" collapsed="false">
      <c r="A452" s="50" t="n">
        <v>412</v>
      </c>
      <c r="B452" s="19" t="n">
        <f aca="true">NORMINV(RAND(),$B$6,$C$6)</f>
        <v>0.1281149570067</v>
      </c>
      <c r="C452" s="19" t="n">
        <f aca="true">MAX(0.25,NORMINV(RAND(),$B$7,$C$7))</f>
        <v>0.485328107499662</v>
      </c>
      <c r="D452" s="32" t="n">
        <f aca="true">MAX(0.07,NORMINV(RAND(),$B$8,$C$8))</f>
        <v>0.110607606867271</v>
      </c>
      <c r="E452" s="51" t="n">
        <f aca="true">MAX(8,NORMINV(RAND(),$B$9,$C$9))</f>
        <v>26.3745256829684</v>
      </c>
      <c r="F452" s="24" t="n">
        <f aca="false">$B$18*(1+(B452+$B$17)/2)^9</f>
        <v>15050.8877439806</v>
      </c>
      <c r="G452" s="24" t="n">
        <f aca="false">F452*C452</f>
        <v>7304.61886497596</v>
      </c>
      <c r="H452" s="24" t="n">
        <f aca="false">E452*G452/(1+D452)^9</f>
        <v>74943.9233455948</v>
      </c>
      <c r="I452" s="24" t="n">
        <f aca="false">$B$13*G452/$B$12*((1+$B$8)/(1+D452))^4.5</f>
        <v>16474.7813911782</v>
      </c>
      <c r="J452" s="24" t="n">
        <f aca="false">H452+I452-$B$14</f>
        <v>89710.7429422524</v>
      </c>
      <c r="K452" s="43" t="n">
        <f aca="false">J452/$B$15</f>
        <v>325.274629957405</v>
      </c>
    </row>
    <row r="453" customFormat="false" ht="15" hidden="false" customHeight="false" outlineLevel="0" collapsed="false">
      <c r="A453" s="50" t="n">
        <v>413</v>
      </c>
      <c r="B453" s="19" t="n">
        <f aca="true">NORMINV(RAND(),$B$6,$C$6)</f>
        <v>0.201059510759129</v>
      </c>
      <c r="C453" s="19" t="n">
        <f aca="true">MAX(0.25,NORMINV(RAND(),$B$7,$C$7))</f>
        <v>0.50188853589005</v>
      </c>
      <c r="D453" s="32" t="n">
        <f aca="true">MAX(0.07,NORMINV(RAND(),$B$8,$C$8))</f>
        <v>0.0947987616229077</v>
      </c>
      <c r="E453" s="51" t="n">
        <f aca="true">MAX(8,NORMINV(RAND(),$B$9,$C$9))</f>
        <v>23.127479147396</v>
      </c>
      <c r="F453" s="24" t="n">
        <f aca="false">$B$18*(1+(B453+$B$17)/2)^9</f>
        <v>20164.9218348009</v>
      </c>
      <c r="G453" s="24" t="n">
        <f aca="false">F453*C453</f>
        <v>10120.5430960055</v>
      </c>
      <c r="H453" s="24" t="n">
        <f aca="false">E453*G453/(1+D453)^9</f>
        <v>103591.337214263</v>
      </c>
      <c r="I453" s="24" t="n">
        <f aca="false">$B$13*G453/$B$12*((1+$B$8)/(1+D453))^4.5</f>
        <v>24346.9451140972</v>
      </c>
      <c r="J453" s="24" t="n">
        <f aca="false">H453+I453-$B$14</f>
        <v>126230.320533839</v>
      </c>
      <c r="K453" s="43" t="n">
        <f aca="false">J453/$B$15</f>
        <v>457.687891710803</v>
      </c>
    </row>
    <row r="454" customFormat="false" ht="15" hidden="false" customHeight="false" outlineLevel="0" collapsed="false">
      <c r="A454" s="50" t="n">
        <v>414</v>
      </c>
      <c r="B454" s="19" t="n">
        <f aca="true">NORMINV(RAND(),$B$6,$C$6)</f>
        <v>0.135489170607418</v>
      </c>
      <c r="C454" s="19" t="n">
        <f aca="true">MAX(0.25,NORMINV(RAND(),$B$7,$C$7))</f>
        <v>0.530939327021878</v>
      </c>
      <c r="D454" s="32" t="n">
        <f aca="true">MAX(0.07,NORMINV(RAND(),$B$8,$C$8))</f>
        <v>0.101672463470753</v>
      </c>
      <c r="E454" s="51" t="n">
        <f aca="true">MAX(8,NORMINV(RAND(),$B$9,$C$9))</f>
        <v>22.0721612377113</v>
      </c>
      <c r="F454" s="24" t="n">
        <f aca="false">$B$18*(1+(B454+$B$17)/2)^9</f>
        <v>15509.3531375957</v>
      </c>
      <c r="G454" s="24" t="n">
        <f aca="false">F454*C454</f>
        <v>8234.5255174197</v>
      </c>
      <c r="H454" s="24" t="n">
        <f aca="false">E454*G454/(1+D454)^9</f>
        <v>76034.5519502821</v>
      </c>
      <c r="I454" s="24" t="n">
        <f aca="false">$B$13*G454/$B$12*((1+$B$8)/(1+D454))^4.5</f>
        <v>19259.6039540529</v>
      </c>
      <c r="J454" s="24" t="n">
        <f aca="false">H454+I454-$B$14</f>
        <v>93586.1941098144</v>
      </c>
      <c r="K454" s="43" t="n">
        <f aca="false">J454/$B$15</f>
        <v>339.326302066042</v>
      </c>
    </row>
    <row r="455" customFormat="false" ht="15" hidden="false" customHeight="false" outlineLevel="0" collapsed="false">
      <c r="A455" s="50" t="n">
        <v>415</v>
      </c>
      <c r="B455" s="19" t="n">
        <f aca="true">NORMINV(RAND(),$B$6,$C$6)</f>
        <v>0.139768435879569</v>
      </c>
      <c r="C455" s="19" t="n">
        <f aca="true">MAX(0.25,NORMINV(RAND(),$B$7,$C$7))</f>
        <v>0.453034935198832</v>
      </c>
      <c r="D455" s="32" t="n">
        <f aca="true">MAX(0.07,NORMINV(RAND(),$B$8,$C$8))</f>
        <v>0.086504589096821</v>
      </c>
      <c r="E455" s="51" t="n">
        <f aca="true">MAX(8,NORMINV(RAND(),$B$9,$C$9))</f>
        <v>20.0650166485125</v>
      </c>
      <c r="F455" s="24" t="n">
        <f aca="false">$B$18*(1+(B455+$B$17)/2)^9</f>
        <v>15781.0554425497</v>
      </c>
      <c r="G455" s="24" t="n">
        <f aca="false">F455*C455</f>
        <v>7149.36942978467</v>
      </c>
      <c r="H455" s="24" t="n">
        <f aca="false">E455*G455/(1+D455)^9</f>
        <v>67986.5774050399</v>
      </c>
      <c r="I455" s="24" t="n">
        <f aca="false">$B$13*G455/$B$12*((1+$B$8)/(1+D455))^4.5</f>
        <v>17797.9791354296</v>
      </c>
      <c r="J455" s="24" t="n">
        <f aca="false">H455+I455-$B$14</f>
        <v>84076.5947459489</v>
      </c>
      <c r="K455" s="43" t="n">
        <f aca="false">J455/$B$15</f>
        <v>304.846246359496</v>
      </c>
    </row>
    <row r="456" customFormat="false" ht="15" hidden="false" customHeight="false" outlineLevel="0" collapsed="false">
      <c r="A456" s="50" t="n">
        <v>416</v>
      </c>
      <c r="B456" s="19" t="n">
        <f aca="true">NORMINV(RAND(),$B$6,$C$6)</f>
        <v>0.0965731867998976</v>
      </c>
      <c r="C456" s="19" t="n">
        <f aca="true">MAX(0.25,NORMINV(RAND(),$B$7,$C$7))</f>
        <v>0.480571438146104</v>
      </c>
      <c r="D456" s="32" t="n">
        <f aca="true">MAX(0.07,NORMINV(RAND(),$B$8,$C$8))</f>
        <v>0.0947443390970423</v>
      </c>
      <c r="E456" s="51" t="n">
        <f aca="true">MAX(8,NORMINV(RAND(),$B$9,$C$9))</f>
        <v>17.5444828340686</v>
      </c>
      <c r="F456" s="24" t="n">
        <f aca="false">$B$18*(1+(B456+$B$17)/2)^9</f>
        <v>13222.8927106236</v>
      </c>
      <c r="G456" s="24" t="n">
        <f aca="false">F456*C456</f>
        <v>6354.54456639604</v>
      </c>
      <c r="H456" s="24" t="n">
        <f aca="false">E456*G456/(1+D456)^9</f>
        <v>49364.0322625349</v>
      </c>
      <c r="I456" s="24" t="n">
        <f aca="false">$B$13*G456/$B$12*((1+$B$8)/(1+D456))^4.5</f>
        <v>15290.5194700612</v>
      </c>
      <c r="J456" s="24" t="n">
        <f aca="false">H456+I456-$B$14</f>
        <v>62946.5899380755</v>
      </c>
      <c r="K456" s="43" t="n">
        <f aca="false">J456/$B$15</f>
        <v>228.232740892224</v>
      </c>
    </row>
    <row r="457" customFormat="false" ht="15" hidden="false" customHeight="false" outlineLevel="0" collapsed="false">
      <c r="A457" s="50" t="n">
        <v>417</v>
      </c>
      <c r="B457" s="19" t="n">
        <f aca="true">NORMINV(RAND(),$B$6,$C$6)</f>
        <v>0.111422650116855</v>
      </c>
      <c r="C457" s="19" t="n">
        <f aca="true">MAX(0.25,NORMINV(RAND(),$B$7,$C$7))</f>
        <v>0.532709855787911</v>
      </c>
      <c r="D457" s="32" t="n">
        <f aca="true">MAX(0.07,NORMINV(RAND(),$B$8,$C$8))</f>
        <v>0.0945701029131906</v>
      </c>
      <c r="E457" s="51" t="n">
        <f aca="true">MAX(8,NORMINV(RAND(),$B$9,$C$9))</f>
        <v>19.7992757671172</v>
      </c>
      <c r="F457" s="24" t="n">
        <f aca="false">$B$18*(1+(B457+$B$17)/2)^9</f>
        <v>14057.3130353279</v>
      </c>
      <c r="G457" s="24" t="n">
        <f aca="false">F457*C457</f>
        <v>7488.46919981507</v>
      </c>
      <c r="H457" s="24" t="n">
        <f aca="false">E457*G457/(1+D457)^9</f>
        <v>65743.0907668788</v>
      </c>
      <c r="I457" s="24" t="n">
        <f aca="false">$B$13*G457/$B$12*((1+$B$8)/(1+D457))^4.5</f>
        <v>18031.9181468889</v>
      </c>
      <c r="J457" s="24" t="n">
        <f aca="false">H457+I457-$B$14</f>
        <v>82067.0471192472</v>
      </c>
      <c r="K457" s="43" t="n">
        <f aca="false">J457/$B$15</f>
        <v>297.559996806553</v>
      </c>
    </row>
    <row r="458" customFormat="false" ht="15" hidden="false" customHeight="false" outlineLevel="0" collapsed="false">
      <c r="A458" s="50" t="n">
        <v>418</v>
      </c>
      <c r="B458" s="19" t="n">
        <f aca="true">NORMINV(RAND(),$B$6,$C$6)</f>
        <v>0.129632666572157</v>
      </c>
      <c r="C458" s="19" t="n">
        <f aca="true">MAX(0.25,NORMINV(RAND(),$B$7,$C$7))</f>
        <v>0.509796905154435</v>
      </c>
      <c r="D458" s="32" t="n">
        <f aca="true">MAX(0.07,NORMINV(RAND(),$B$8,$C$8))</f>
        <v>0.0988675495587444</v>
      </c>
      <c r="E458" s="51" t="n">
        <f aca="true">MAX(8,NORMINV(RAND(),$B$9,$C$9))</f>
        <v>17.7031599729466</v>
      </c>
      <c r="F458" s="24" t="n">
        <f aca="false">$B$18*(1+(B458+$B$17)/2)^9</f>
        <v>15144.2488332861</v>
      </c>
      <c r="G458" s="24" t="n">
        <f aca="false">F458*C458</f>
        <v>7720.49118609793</v>
      </c>
      <c r="H458" s="24" t="n">
        <f aca="false">E458*G458/(1+D458)^9</f>
        <v>58504.2732402752</v>
      </c>
      <c r="I458" s="24" t="n">
        <f aca="false">$B$13*G458/$B$12*((1+$B$8)/(1+D458))^4.5</f>
        <v>18265.6806381156</v>
      </c>
      <c r="J458" s="24" t="n">
        <f aca="false">H458+I458-$B$14</f>
        <v>75061.9920838702</v>
      </c>
      <c r="K458" s="43" t="n">
        <f aca="false">J458/$B$15</f>
        <v>272.160957519471</v>
      </c>
    </row>
    <row r="459" customFormat="false" ht="15" hidden="false" customHeight="false" outlineLevel="0" collapsed="false">
      <c r="A459" s="50" t="n">
        <v>419</v>
      </c>
      <c r="B459" s="19" t="n">
        <f aca="true">NORMINV(RAND(),$B$6,$C$6)</f>
        <v>0.141559629594108</v>
      </c>
      <c r="C459" s="19" t="n">
        <f aca="true">MAX(0.25,NORMINV(RAND(),$B$7,$C$7))</f>
        <v>0.48553111231348</v>
      </c>
      <c r="D459" s="32" t="n">
        <f aca="true">MAX(0.07,NORMINV(RAND(),$B$8,$C$8))</f>
        <v>0.0898695462369821</v>
      </c>
      <c r="E459" s="51" t="n">
        <f aca="true">MAX(8,NORMINV(RAND(),$B$9,$C$9))</f>
        <v>11.1082589327968</v>
      </c>
      <c r="F459" s="24" t="n">
        <f aca="false">$B$18*(1+(B459+$B$17)/2)^9</f>
        <v>15896.0336661166</v>
      </c>
      <c r="G459" s="24" t="n">
        <f aca="false">F459*C459</f>
        <v>7718.01890728213</v>
      </c>
      <c r="H459" s="24" t="n">
        <f aca="false">E459*G459/(1+D459)^9</f>
        <v>39516.7460217729</v>
      </c>
      <c r="I459" s="24" t="n">
        <f aca="false">$B$13*G459/$B$12*((1+$B$8)/(1+D459))^4.5</f>
        <v>18948.0929499908</v>
      </c>
      <c r="J459" s="24" t="n">
        <f aca="false">H459+I459-$B$14</f>
        <v>56756.8771772432</v>
      </c>
      <c r="K459" s="43" t="n">
        <f aca="false">J459/$B$15</f>
        <v>205.789982513572</v>
      </c>
    </row>
    <row r="460" customFormat="false" ht="15" hidden="false" customHeight="false" outlineLevel="0" collapsed="false">
      <c r="A460" s="50" t="n">
        <v>420</v>
      </c>
      <c r="B460" s="19" t="n">
        <f aca="true">NORMINV(RAND(),$B$6,$C$6)</f>
        <v>0.104676121120137</v>
      </c>
      <c r="C460" s="19" t="n">
        <f aca="true">MAX(0.25,NORMINV(RAND(),$B$7,$C$7))</f>
        <v>0.503655733811313</v>
      </c>
      <c r="D460" s="32" t="n">
        <f aca="true">MAX(0.07,NORMINV(RAND(),$B$8,$C$8))</f>
        <v>0.110297957801065</v>
      </c>
      <c r="E460" s="51" t="n">
        <f aca="true">MAX(8,NORMINV(RAND(),$B$9,$C$9))</f>
        <v>18.8034215983104</v>
      </c>
      <c r="F460" s="24" t="n">
        <f aca="false">$B$18*(1+(B460+$B$17)/2)^9</f>
        <v>13672.5826422932</v>
      </c>
      <c r="G460" s="24" t="n">
        <f aca="false">F460*C460</f>
        <v>6886.27464380001</v>
      </c>
      <c r="H460" s="24" t="n">
        <f aca="false">E460*G460/(1+D460)^9</f>
        <v>50496.9740098673</v>
      </c>
      <c r="I460" s="24" t="n">
        <f aca="false">$B$13*G460/$B$12*((1+$B$8)/(1+D460))^4.5</f>
        <v>15550.7522331033</v>
      </c>
      <c r="J460" s="24" t="n">
        <f aca="false">H460+I460-$B$14</f>
        <v>64339.7644484501</v>
      </c>
      <c r="K460" s="43" t="n">
        <f aca="false">J460/$B$15</f>
        <v>233.284135056019</v>
      </c>
    </row>
    <row r="461" customFormat="false" ht="15" hidden="false" customHeight="false" outlineLevel="0" collapsed="false">
      <c r="A461" s="50" t="n">
        <v>421</v>
      </c>
      <c r="B461" s="19" t="n">
        <f aca="true">NORMINV(RAND(),$B$6,$C$6)</f>
        <v>0.135106568775502</v>
      </c>
      <c r="C461" s="19" t="n">
        <f aca="true">MAX(0.25,NORMINV(RAND(),$B$7,$C$7))</f>
        <v>0.44709457605422</v>
      </c>
      <c r="D461" s="32" t="n">
        <f aca="true">MAX(0.07,NORMINV(RAND(),$B$8,$C$8))</f>
        <v>0.0872485629066477</v>
      </c>
      <c r="E461" s="51" t="n">
        <f aca="true">MAX(8,NORMINV(RAND(),$B$9,$C$9))</f>
        <v>22.402514057615</v>
      </c>
      <c r="F461" s="24" t="n">
        <f aca="false">$B$18*(1+(B461+$B$17)/2)^9</f>
        <v>15485.2644230799</v>
      </c>
      <c r="G461" s="24" t="n">
        <f aca="false">F461*C461</f>
        <v>6923.37773232438</v>
      </c>
      <c r="H461" s="24" t="n">
        <f aca="false">E461*G461/(1+D461)^9</f>
        <v>73055.8847577992</v>
      </c>
      <c r="I461" s="24" t="n">
        <f aca="false">$B$13*G461/$B$12*((1+$B$8)/(1+D461))^4.5</f>
        <v>17182.376593069</v>
      </c>
      <c r="J461" s="24" t="n">
        <f aca="false">H461+I461-$B$14</f>
        <v>88530.2995563476</v>
      </c>
      <c r="K461" s="43" t="n">
        <f aca="false">J461/$B$15</f>
        <v>320.994559667685</v>
      </c>
    </row>
    <row r="462" customFormat="false" ht="15" hidden="false" customHeight="false" outlineLevel="0" collapsed="false">
      <c r="A462" s="50" t="n">
        <v>422</v>
      </c>
      <c r="B462" s="19" t="n">
        <f aca="true">NORMINV(RAND(),$B$6,$C$6)</f>
        <v>0.0683962306757107</v>
      </c>
      <c r="C462" s="19" t="n">
        <f aca="true">MAX(0.25,NORMINV(RAND(),$B$7,$C$7))</f>
        <v>0.452499546673209</v>
      </c>
      <c r="D462" s="32" t="n">
        <f aca="true">MAX(0.07,NORMINV(RAND(),$B$8,$C$8))</f>
        <v>0.099888054156173</v>
      </c>
      <c r="E462" s="51" t="n">
        <f aca="true">MAX(8,NORMINV(RAND(),$B$9,$C$9))</f>
        <v>22.1788071369984</v>
      </c>
      <c r="F462" s="24" t="n">
        <f aca="false">$B$18*(1+(B462+$B$17)/2)^9</f>
        <v>11759.7052524059</v>
      </c>
      <c r="G462" s="24" t="n">
        <f aca="false">F462*C462</f>
        <v>5321.26129572423</v>
      </c>
      <c r="H462" s="24" t="n">
        <f aca="false">E462*G462/(1+D462)^9</f>
        <v>50097.540210134</v>
      </c>
      <c r="I462" s="24" t="n">
        <f aca="false">$B$13*G462/$B$12*((1+$B$8)/(1+D462))^4.5</f>
        <v>12536.9357005543</v>
      </c>
      <c r="J462" s="24" t="n">
        <f aca="false">H462+I462-$B$14</f>
        <v>60926.5141161678</v>
      </c>
      <c r="K462" s="43" t="n">
        <f aca="false">J462/$B$15</f>
        <v>220.908318042668</v>
      </c>
    </row>
    <row r="463" customFormat="false" ht="15" hidden="false" customHeight="false" outlineLevel="0" collapsed="false">
      <c r="A463" s="50" t="n">
        <v>423</v>
      </c>
      <c r="B463" s="19" t="n">
        <f aca="true">NORMINV(RAND(),$B$6,$C$6)</f>
        <v>0.157583628245945</v>
      </c>
      <c r="C463" s="19" t="n">
        <f aca="true">MAX(0.25,NORMINV(RAND(),$B$7,$C$7))</f>
        <v>0.465195786638057</v>
      </c>
      <c r="D463" s="32" t="n">
        <f aca="true">MAX(0.07,NORMINV(RAND(),$B$8,$C$8))</f>
        <v>0.106925605447808</v>
      </c>
      <c r="E463" s="51" t="n">
        <f aca="true">MAX(8,NORMINV(RAND(),$B$9,$C$9))</f>
        <v>17.6037637602604</v>
      </c>
      <c r="F463" s="24" t="n">
        <f aca="false">$B$18*(1+(B463+$B$17)/2)^9</f>
        <v>16958.228503465</v>
      </c>
      <c r="G463" s="24" t="n">
        <f aca="false">F463*C463</f>
        <v>7888.89644865733</v>
      </c>
      <c r="H463" s="24" t="n">
        <f aca="false">E463*G463/(1+D463)^9</f>
        <v>55661.6253863055</v>
      </c>
      <c r="I463" s="24" t="n">
        <f aca="false">$B$13*G463/$B$12*((1+$B$8)/(1+D463))^4.5</f>
        <v>18060.4389219083</v>
      </c>
      <c r="J463" s="24" t="n">
        <f aca="false">H463+I463-$B$14</f>
        <v>72014.1025136933</v>
      </c>
      <c r="K463" s="43" t="n">
        <f aca="false">J463/$B$15</f>
        <v>261.109871333188</v>
      </c>
    </row>
    <row r="464" customFormat="false" ht="15" hidden="false" customHeight="false" outlineLevel="0" collapsed="false">
      <c r="A464" s="50" t="n">
        <v>424</v>
      </c>
      <c r="B464" s="19" t="n">
        <f aca="true">NORMINV(RAND(),$B$6,$C$6)</f>
        <v>0.129237736133312</v>
      </c>
      <c r="C464" s="19" t="n">
        <f aca="true">MAX(0.25,NORMINV(RAND(),$B$7,$C$7))</f>
        <v>0.439161584131586</v>
      </c>
      <c r="D464" s="32" t="n">
        <f aca="true">MAX(0.07,NORMINV(RAND(),$B$8,$C$8))</f>
        <v>0.108778232750304</v>
      </c>
      <c r="E464" s="51" t="n">
        <f aca="true">MAX(8,NORMINV(RAND(),$B$9,$C$9))</f>
        <v>21.6254358113486</v>
      </c>
      <c r="F464" s="24" t="n">
        <f aca="false">$B$18*(1+(B464+$B$17)/2)^9</f>
        <v>15119.9054855521</v>
      </c>
      <c r="G464" s="24" t="n">
        <f aca="false">F464*C464</f>
        <v>6640.0816449549</v>
      </c>
      <c r="H464" s="24" t="n">
        <f aca="false">E464*G464/(1+D464)^9</f>
        <v>56693.8650075677</v>
      </c>
      <c r="I464" s="24" t="n">
        <f aca="false">$B$13*G464/$B$12*((1+$B$8)/(1+D464))^4.5</f>
        <v>15087.5007593302</v>
      </c>
      <c r="J464" s="24" t="n">
        <f aca="false">H464+I464-$B$14</f>
        <v>70073.4039723774</v>
      </c>
      <c r="K464" s="43" t="n">
        <f aca="false">J464/$B$15</f>
        <v>254.073255882441</v>
      </c>
    </row>
    <row r="465" customFormat="false" ht="15" hidden="false" customHeight="false" outlineLevel="0" collapsed="false">
      <c r="A465" s="50" t="n">
        <v>425</v>
      </c>
      <c r="B465" s="19" t="n">
        <f aca="true">NORMINV(RAND(),$B$6,$C$6)</f>
        <v>0.151815604323932</v>
      </c>
      <c r="C465" s="19" t="n">
        <f aca="true">MAX(0.25,NORMINV(RAND(),$B$7,$C$7))</f>
        <v>0.489852810420638</v>
      </c>
      <c r="D465" s="32" t="n">
        <f aca="true">MAX(0.07,NORMINV(RAND(),$B$8,$C$8))</f>
        <v>0.0925086522852335</v>
      </c>
      <c r="E465" s="51" t="n">
        <f aca="true">MAX(8,NORMINV(RAND(),$B$9,$C$9))</f>
        <v>28.472762391829</v>
      </c>
      <c r="F465" s="24" t="n">
        <f aca="false">$B$18*(1+(B465+$B$17)/2)^9</f>
        <v>16568.827963179</v>
      </c>
      <c r="G465" s="24" t="n">
        <f aca="false">F465*C465</f>
        <v>8116.28694313928</v>
      </c>
      <c r="H465" s="24" t="n">
        <f aca="false">E465*G465/(1+D465)^9</f>
        <v>104222.870553562</v>
      </c>
      <c r="I465" s="24" t="n">
        <f aca="false">$B$13*G465/$B$12*((1+$B$8)/(1+D465))^4.5</f>
        <v>19710.1716528511</v>
      </c>
      <c r="J465" s="24" t="n">
        <f aca="false">H465+I465-$B$14</f>
        <v>122225.080411892</v>
      </c>
      <c r="K465" s="43" t="n">
        <f aca="false">J465/$B$15</f>
        <v>443.16562875958</v>
      </c>
    </row>
    <row r="466" customFormat="false" ht="15" hidden="false" customHeight="false" outlineLevel="0" collapsed="false">
      <c r="A466" s="50" t="n">
        <v>426</v>
      </c>
      <c r="B466" s="19" t="n">
        <f aca="true">NORMINV(RAND(),$B$6,$C$6)</f>
        <v>0.181125237772526</v>
      </c>
      <c r="C466" s="19" t="n">
        <f aca="true">MAX(0.25,NORMINV(RAND(),$B$7,$C$7))</f>
        <v>0.447460183639333</v>
      </c>
      <c r="D466" s="32" t="n">
        <f aca="true">MAX(0.07,NORMINV(RAND(),$B$8,$C$8))</f>
        <v>0.0994545465202505</v>
      </c>
      <c r="E466" s="51" t="n">
        <f aca="true">MAX(8,NORMINV(RAND(),$B$9,$C$9))</f>
        <v>16.9336315719639</v>
      </c>
      <c r="F466" s="24" t="n">
        <f aca="false">$B$18*(1+(B466+$B$17)/2)^9</f>
        <v>18633.247727322</v>
      </c>
      <c r="G466" s="24" t="n">
        <f aca="false">F466*C466</f>
        <v>8337.63644986469</v>
      </c>
      <c r="H466" s="24" t="n">
        <f aca="false">E466*G466/(1+D466)^9</f>
        <v>60144.7252308322</v>
      </c>
      <c r="I466" s="24" t="n">
        <f aca="false">$B$13*G466/$B$12*((1+$B$8)/(1+D466))^4.5</f>
        <v>19678.418542554</v>
      </c>
      <c r="J466" s="24" t="n">
        <f aca="false">H466+I466-$B$14</f>
        <v>78115.1819788656</v>
      </c>
      <c r="K466" s="43" t="n">
        <f aca="false">J466/$B$15</f>
        <v>283.231261707272</v>
      </c>
    </row>
    <row r="467" customFormat="false" ht="15" hidden="false" customHeight="false" outlineLevel="0" collapsed="false">
      <c r="A467" s="50" t="n">
        <v>427</v>
      </c>
      <c r="B467" s="19" t="n">
        <f aca="true">NORMINV(RAND(),$B$6,$C$6)</f>
        <v>0.0884662220384067</v>
      </c>
      <c r="C467" s="19" t="n">
        <f aca="true">MAX(0.25,NORMINV(RAND(),$B$7,$C$7))</f>
        <v>0.558116046518034</v>
      </c>
      <c r="D467" s="32" t="n">
        <f aca="true">MAX(0.07,NORMINV(RAND(),$B$8,$C$8))</f>
        <v>0.106802933028698</v>
      </c>
      <c r="E467" s="51" t="n">
        <f aca="true">MAX(8,NORMINV(RAND(),$B$9,$C$9))</f>
        <v>19.9475440427315</v>
      </c>
      <c r="F467" s="24" t="n">
        <f aca="false">$B$18*(1+(B467+$B$17)/2)^9</f>
        <v>12786.1841560898</v>
      </c>
      <c r="G467" s="24" t="n">
        <f aca="false">F467*C467</f>
        <v>7136.17455124835</v>
      </c>
      <c r="H467" s="24" t="n">
        <f aca="false">E467*G467/(1+D467)^9</f>
        <v>57111.3182667385</v>
      </c>
      <c r="I467" s="24" t="n">
        <f aca="false">$B$13*G467/$B$12*((1+$B$8)/(1+D467))^4.5</f>
        <v>16345.3455079751</v>
      </c>
      <c r="J467" s="24" t="n">
        <f aca="false">H467+I467-$B$14</f>
        <v>71748.701980193</v>
      </c>
      <c r="K467" s="43" t="n">
        <f aca="false">J467/$B$15</f>
        <v>260.147577883224</v>
      </c>
    </row>
    <row r="468" customFormat="false" ht="15" hidden="false" customHeight="false" outlineLevel="0" collapsed="false">
      <c r="A468" s="50" t="n">
        <v>428</v>
      </c>
      <c r="B468" s="19" t="n">
        <f aca="true">NORMINV(RAND(),$B$6,$C$6)</f>
        <v>0.152408679718027</v>
      </c>
      <c r="C468" s="19" t="n">
        <f aca="true">MAX(0.25,NORMINV(RAND(),$B$7,$C$7))</f>
        <v>0.515178858720548</v>
      </c>
      <c r="D468" s="32" t="n">
        <f aca="true">MAX(0.07,NORMINV(RAND(),$B$8,$C$8))</f>
        <v>0.102827200169592</v>
      </c>
      <c r="E468" s="51" t="n">
        <f aca="true">MAX(8,NORMINV(RAND(),$B$9,$C$9))</f>
        <v>22.9026800421043</v>
      </c>
      <c r="F468" s="24" t="n">
        <f aca="false">$B$18*(1+(B468+$B$17)/2)^9</f>
        <v>16608.4966265547</v>
      </c>
      <c r="G468" s="24" t="n">
        <f aca="false">F468*C468</f>
        <v>8556.34633713253</v>
      </c>
      <c r="H468" s="24" t="n">
        <f aca="false">E468*G468/(1+D468)^9</f>
        <v>81209.6128337499</v>
      </c>
      <c r="I468" s="24" t="n">
        <f aca="false">$B$13*G468/$B$12*((1+$B$8)/(1+D468))^4.5</f>
        <v>19918.1840719251</v>
      </c>
      <c r="J468" s="24" t="n">
        <f aca="false">H468+I468-$B$14</f>
        <v>99419.8351111544</v>
      </c>
      <c r="K468" s="43" t="n">
        <f aca="false">J468/$B$15</f>
        <v>360.478009830147</v>
      </c>
    </row>
    <row r="469" customFormat="false" ht="15" hidden="false" customHeight="false" outlineLevel="0" collapsed="false">
      <c r="A469" s="50" t="n">
        <v>429</v>
      </c>
      <c r="B469" s="19" t="n">
        <f aca="true">NORMINV(RAND(),$B$6,$C$6)</f>
        <v>0.10770804634983</v>
      </c>
      <c r="C469" s="19" t="n">
        <f aca="true">MAX(0.25,NORMINV(RAND(),$B$7,$C$7))</f>
        <v>0.42492380367033</v>
      </c>
      <c r="D469" s="32" t="n">
        <f aca="true">MAX(0.07,NORMINV(RAND(),$B$8,$C$8))</f>
        <v>0.106401386220109</v>
      </c>
      <c r="E469" s="51" t="n">
        <f aca="true">MAX(8,NORMINV(RAND(),$B$9,$C$9))</f>
        <v>17.2426967080241</v>
      </c>
      <c r="F469" s="24" t="n">
        <f aca="false">$B$18*(1+(B469+$B$17)/2)^9</f>
        <v>13844.308812855</v>
      </c>
      <c r="G469" s="24" t="n">
        <f aca="false">F469*C469</f>
        <v>5882.77635994503</v>
      </c>
      <c r="H469" s="24" t="n">
        <f aca="false">E469*G469/(1+D469)^9</f>
        <v>40829.4121044961</v>
      </c>
      <c r="I469" s="24" t="n">
        <f aca="false">$B$13*G469/$B$12*((1+$B$8)/(1+D469))^4.5</f>
        <v>13496.4681710298</v>
      </c>
      <c r="J469" s="24" t="n">
        <f aca="false">H469+I469-$B$14</f>
        <v>52617.9184810054</v>
      </c>
      <c r="K469" s="43" t="n">
        <f aca="false">J469/$B$15</f>
        <v>190.782880641789</v>
      </c>
    </row>
    <row r="470" customFormat="false" ht="15" hidden="false" customHeight="false" outlineLevel="0" collapsed="false">
      <c r="A470" s="50" t="n">
        <v>430</v>
      </c>
      <c r="B470" s="19" t="n">
        <f aca="true">NORMINV(RAND(),$B$6,$C$6)</f>
        <v>0.117474686665605</v>
      </c>
      <c r="C470" s="19" t="n">
        <f aca="true">MAX(0.25,NORMINV(RAND(),$B$7,$C$7))</f>
        <v>0.483282344275015</v>
      </c>
      <c r="D470" s="32" t="n">
        <f aca="true">MAX(0.07,NORMINV(RAND(),$B$8,$C$8))</f>
        <v>0.104357580918186</v>
      </c>
      <c r="E470" s="51" t="n">
        <f aca="true">MAX(8,NORMINV(RAND(),$B$9,$C$9))</f>
        <v>19.0134378030178</v>
      </c>
      <c r="F470" s="24" t="n">
        <f aca="false">$B$18*(1+(B470+$B$17)/2)^9</f>
        <v>14410.5955733052</v>
      </c>
      <c r="G470" s="24" t="n">
        <f aca="false">F470*C470</f>
        <v>6964.38641106609</v>
      </c>
      <c r="H470" s="24" t="n">
        <f aca="false">E470*G470/(1+D470)^9</f>
        <v>54194.6052164231</v>
      </c>
      <c r="I470" s="24" t="n">
        <f aca="false">$B$13*G470/$B$12*((1+$B$8)/(1+D470))^4.5</f>
        <v>16111.4315631583</v>
      </c>
      <c r="J470" s="24" t="n">
        <f aca="false">H470+I470-$B$14</f>
        <v>68598.0749850608</v>
      </c>
      <c r="K470" s="43" t="n">
        <f aca="false">J470/$B$15</f>
        <v>248.723984717407</v>
      </c>
    </row>
    <row r="471" customFormat="false" ht="15" hidden="false" customHeight="false" outlineLevel="0" collapsed="false">
      <c r="A471" s="50" t="n">
        <v>431</v>
      </c>
      <c r="B471" s="19" t="n">
        <f aca="true">NORMINV(RAND(),$B$6,$C$6)</f>
        <v>0.142370182758395</v>
      </c>
      <c r="C471" s="19" t="n">
        <f aca="true">MAX(0.25,NORMINV(RAND(),$B$7,$C$7))</f>
        <v>0.487100021310216</v>
      </c>
      <c r="D471" s="32" t="n">
        <f aca="true">MAX(0.07,NORMINV(RAND(),$B$8,$C$8))</f>
        <v>0.106509555247716</v>
      </c>
      <c r="E471" s="51" t="n">
        <f aca="true">MAX(8,NORMINV(RAND(),$B$9,$C$9))</f>
        <v>20.7969546333549</v>
      </c>
      <c r="F471" s="24" t="n">
        <f aca="false">$B$18*(1+(B471+$B$17)/2)^9</f>
        <v>15948.3080248534</v>
      </c>
      <c r="G471" s="24" t="n">
        <f aca="false">F471*C471</f>
        <v>7768.42117876801</v>
      </c>
      <c r="H471" s="24" t="n">
        <f aca="false">E471*G471/(1+D471)^9</f>
        <v>64973.4593667825</v>
      </c>
      <c r="I471" s="24" t="n">
        <f aca="false">$B$13*G471/$B$12*((1+$B$8)/(1+D471))^4.5</f>
        <v>17814.740544399</v>
      </c>
      <c r="J471" s="24" t="n">
        <f aca="false">H471+I471-$B$14</f>
        <v>81080.238116661</v>
      </c>
      <c r="K471" s="43" t="n">
        <f aca="false">J471/$B$15</f>
        <v>293.982009124949</v>
      </c>
    </row>
    <row r="472" customFormat="false" ht="15" hidden="false" customHeight="false" outlineLevel="0" collapsed="false">
      <c r="A472" s="50" t="n">
        <v>432</v>
      </c>
      <c r="B472" s="19" t="n">
        <f aca="true">NORMINV(RAND(),$B$6,$C$6)</f>
        <v>0.0987590983177411</v>
      </c>
      <c r="C472" s="19" t="n">
        <f aca="true">MAX(0.25,NORMINV(RAND(),$B$7,$C$7))</f>
        <v>0.501084683559798</v>
      </c>
      <c r="D472" s="32" t="n">
        <f aca="true">MAX(0.07,NORMINV(RAND(),$B$8,$C$8))</f>
        <v>0.0990235733872155</v>
      </c>
      <c r="E472" s="51" t="n">
        <f aca="true">MAX(8,NORMINV(RAND(),$B$9,$C$9))</f>
        <v>20.4683821196613</v>
      </c>
      <c r="F472" s="24" t="n">
        <f aca="false">$B$18*(1+(B472+$B$17)/2)^9</f>
        <v>13342.8905707293</v>
      </c>
      <c r="G472" s="24" t="n">
        <f aca="false">F472*C472</f>
        <v>6685.91809940692</v>
      </c>
      <c r="H472" s="24" t="n">
        <f aca="false">E472*G472/(1+D472)^9</f>
        <v>58503.4526913943</v>
      </c>
      <c r="I472" s="24" t="n">
        <f aca="false">$B$13*G472/$B$12*((1+$B$8)/(1+D472))^4.5</f>
        <v>15807.9121493777</v>
      </c>
      <c r="J472" s="24" t="n">
        <f aca="false">H472+I472-$B$14</f>
        <v>72603.4030462514</v>
      </c>
      <c r="K472" s="43" t="n">
        <f aca="false">J472/$B$15</f>
        <v>263.246566520128</v>
      </c>
    </row>
    <row r="473" customFormat="false" ht="15" hidden="false" customHeight="false" outlineLevel="0" collapsed="false">
      <c r="A473" s="50" t="n">
        <v>433</v>
      </c>
      <c r="B473" s="19" t="n">
        <f aca="true">NORMINV(RAND(),$B$6,$C$6)</f>
        <v>0.142135217562448</v>
      </c>
      <c r="C473" s="19" t="n">
        <f aca="true">MAX(0.25,NORMINV(RAND(),$B$7,$C$7))</f>
        <v>0.574226412640594</v>
      </c>
      <c r="D473" s="32" t="n">
        <f aca="true">MAX(0.07,NORMINV(RAND(),$B$8,$C$8))</f>
        <v>0.100343171096391</v>
      </c>
      <c r="E473" s="51" t="n">
        <f aca="true">MAX(8,NORMINV(RAND(),$B$9,$C$9))</f>
        <v>21.0234457718124</v>
      </c>
      <c r="F473" s="24" t="n">
        <f aca="false">$B$18*(1+(B473+$B$17)/2)^9</f>
        <v>15933.1388974228</v>
      </c>
      <c r="G473" s="24" t="n">
        <f aca="false">F473*C473</f>
        <v>9149.2291911714</v>
      </c>
      <c r="H473" s="24" t="n">
        <f aca="false">E473*G473/(1+D473)^9</f>
        <v>81345.7810595658</v>
      </c>
      <c r="I473" s="24" t="n">
        <f aca="false">$B$13*G473/$B$12*((1+$B$8)/(1+D473))^4.5</f>
        <v>21515.5680914039</v>
      </c>
      <c r="J473" s="24" t="n">
        <f aca="false">H473+I473-$B$14</f>
        <v>101153.387356449</v>
      </c>
      <c r="K473" s="43" t="n">
        <f aca="false">J473/$B$15</f>
        <v>366.763550966095</v>
      </c>
    </row>
    <row r="474" customFormat="false" ht="15" hidden="false" customHeight="false" outlineLevel="0" collapsed="false">
      <c r="A474" s="50" t="n">
        <v>434</v>
      </c>
      <c r="B474" s="19" t="n">
        <f aca="true">NORMINV(RAND(),$B$6,$C$6)</f>
        <v>0.166065851853918</v>
      </c>
      <c r="C474" s="19" t="n">
        <f aca="true">MAX(0.25,NORMINV(RAND(),$B$7,$C$7))</f>
        <v>0.439767232396911</v>
      </c>
      <c r="D474" s="32" t="n">
        <f aca="true">MAX(0.07,NORMINV(RAND(),$B$8,$C$8))</f>
        <v>0.0957045843755075</v>
      </c>
      <c r="E474" s="51" t="n">
        <f aca="true">MAX(8,NORMINV(RAND(),$B$9,$C$9))</f>
        <v>22.7783820907186</v>
      </c>
      <c r="F474" s="24" t="n">
        <f aca="false">$B$18*(1+(B474+$B$17)/2)^9</f>
        <v>17545.6461582252</v>
      </c>
      <c r="G474" s="24" t="n">
        <f aca="false">F474*C474</f>
        <v>7716.00025161817</v>
      </c>
      <c r="H474" s="24" t="n">
        <f aca="false">E474*G474/(1+D474)^9</f>
        <v>77210.0437073821</v>
      </c>
      <c r="I474" s="24" t="n">
        <f aca="false">$B$13*G474/$B$12*((1+$B$8)/(1+D474))^4.5</f>
        <v>18493.3920145259</v>
      </c>
      <c r="J474" s="24" t="n">
        <f aca="false">H474+I474-$B$14</f>
        <v>93995.4739273875</v>
      </c>
      <c r="K474" s="43" t="n">
        <f aca="false">J474/$B$15</f>
        <v>340.810275298722</v>
      </c>
    </row>
    <row r="475" customFormat="false" ht="15" hidden="false" customHeight="false" outlineLevel="0" collapsed="false">
      <c r="A475" s="50" t="n">
        <v>435</v>
      </c>
      <c r="B475" s="19" t="n">
        <f aca="true">NORMINV(RAND(),$B$6,$C$6)</f>
        <v>0.124833075238543</v>
      </c>
      <c r="C475" s="19" t="n">
        <f aca="true">MAX(0.25,NORMINV(RAND(),$B$7,$C$7))</f>
        <v>0.510613486468285</v>
      </c>
      <c r="D475" s="32" t="n">
        <f aca="true">MAX(0.07,NORMINV(RAND(),$B$8,$C$8))</f>
        <v>0.0920955226278375</v>
      </c>
      <c r="E475" s="51" t="n">
        <f aca="true">MAX(8,NORMINV(RAND(),$B$9,$C$9))</f>
        <v>18.3025056986084</v>
      </c>
      <c r="F475" s="24" t="n">
        <f aca="false">$B$18*(1+(B475+$B$17)/2)^9</f>
        <v>14850.7517403971</v>
      </c>
      <c r="G475" s="24" t="n">
        <f aca="false">F475*C475</f>
        <v>7582.99412283911</v>
      </c>
      <c r="H475" s="24" t="n">
        <f aca="false">E475*G475/(1+D475)^9</f>
        <v>62806.6501949257</v>
      </c>
      <c r="I475" s="24" t="n">
        <f aca="false">$B$13*G475/$B$12*((1+$B$8)/(1+D475))^4.5</f>
        <v>18446.454144206</v>
      </c>
      <c r="J475" s="24" t="n">
        <f aca="false">H475+I475-$B$14</f>
        <v>79545.1425446112</v>
      </c>
      <c r="K475" s="43" t="n">
        <f aca="false">J475/$B$15</f>
        <v>288.416035332165</v>
      </c>
    </row>
    <row r="476" customFormat="false" ht="15" hidden="false" customHeight="false" outlineLevel="0" collapsed="false">
      <c r="A476" s="50" t="n">
        <v>436</v>
      </c>
      <c r="B476" s="19" t="n">
        <f aca="true">NORMINV(RAND(),$B$6,$C$6)</f>
        <v>0.106710950248066</v>
      </c>
      <c r="C476" s="19" t="n">
        <f aca="true">MAX(0.25,NORMINV(RAND(),$B$7,$C$7))</f>
        <v>0.490329536637761</v>
      </c>
      <c r="D476" s="32" t="n">
        <f aca="true">MAX(0.07,NORMINV(RAND(),$B$8,$C$8))</f>
        <v>0.0908847584614396</v>
      </c>
      <c r="E476" s="51" t="n">
        <f aca="true">MAX(8,NORMINV(RAND(),$B$9,$C$9))</f>
        <v>23.4645921080419</v>
      </c>
      <c r="F476" s="24" t="n">
        <f aca="false">$B$18*(1+(B476+$B$17)/2)^9</f>
        <v>13787.6235969551</v>
      </c>
      <c r="G476" s="24" t="n">
        <f aca="false">F476*C476</f>
        <v>6760.47908963088</v>
      </c>
      <c r="H476" s="24" t="n">
        <f aca="false">E476*G476/(1+D476)^9</f>
        <v>72507.1136905736</v>
      </c>
      <c r="I476" s="24" t="n">
        <f aca="false">$B$13*G476/$B$12*((1+$B$8)/(1+D476))^4.5</f>
        <v>16527.894723609</v>
      </c>
      <c r="J476" s="24" t="n">
        <f aca="false">H476+I476-$B$14</f>
        <v>87327.046619662</v>
      </c>
      <c r="K476" s="43" t="n">
        <f aca="false">J476/$B$15</f>
        <v>316.631786148158</v>
      </c>
    </row>
    <row r="477" customFormat="false" ht="15" hidden="false" customHeight="false" outlineLevel="0" collapsed="false">
      <c r="A477" s="50" t="n">
        <v>437</v>
      </c>
      <c r="B477" s="19" t="n">
        <f aca="true">NORMINV(RAND(),$B$6,$C$6)</f>
        <v>0.110981754824808</v>
      </c>
      <c r="C477" s="19" t="n">
        <f aca="true">MAX(0.25,NORMINV(RAND(),$B$7,$C$7))</f>
        <v>0.50341411594491</v>
      </c>
      <c r="D477" s="32" t="n">
        <f aca="true">MAX(0.07,NORMINV(RAND(),$B$8,$C$8))</f>
        <v>0.104683415972947</v>
      </c>
      <c r="E477" s="51" t="n">
        <f aca="true">MAX(8,NORMINV(RAND(),$B$9,$C$9))</f>
        <v>19.9450578544885</v>
      </c>
      <c r="F477" s="24" t="n">
        <f aca="false">$B$18*(1+(B477+$B$17)/2)^9</f>
        <v>14031.8796214266</v>
      </c>
      <c r="G477" s="24" t="n">
        <f aca="false">F477*C477</f>
        <v>7063.84627466584</v>
      </c>
      <c r="H477" s="24" t="n">
        <f aca="false">E477*G477/(1+D477)^9</f>
        <v>57509.0285924768</v>
      </c>
      <c r="I477" s="24" t="n">
        <f aca="false">$B$13*G477/$B$12*((1+$B$8)/(1+D477))^4.5</f>
        <v>16319.8432191526</v>
      </c>
      <c r="J477" s="24" t="n">
        <f aca="false">H477+I477-$B$14</f>
        <v>72120.9100171088</v>
      </c>
      <c r="K477" s="43" t="n">
        <f aca="false">J477/$B$15</f>
        <v>261.497135667545</v>
      </c>
    </row>
    <row r="478" customFormat="false" ht="15" hidden="false" customHeight="false" outlineLevel="0" collapsed="false">
      <c r="A478" s="50" t="n">
        <v>438</v>
      </c>
      <c r="B478" s="19" t="n">
        <f aca="true">NORMINV(RAND(),$B$6,$C$6)</f>
        <v>0.118938270728291</v>
      </c>
      <c r="C478" s="19" t="n">
        <f aca="true">MAX(0.25,NORMINV(RAND(),$B$7,$C$7))</f>
        <v>0.52188615185491</v>
      </c>
      <c r="D478" s="32" t="n">
        <f aca="true">MAX(0.07,NORMINV(RAND(),$B$8,$C$8))</f>
        <v>0.0988599960759756</v>
      </c>
      <c r="E478" s="51" t="n">
        <f aca="true">MAX(8,NORMINV(RAND(),$B$9,$C$9))</f>
        <v>15.1863729403748</v>
      </c>
      <c r="F478" s="24" t="n">
        <f aca="false">$B$18*(1+(B478+$B$17)/2)^9</f>
        <v>14497.2070612082</v>
      </c>
      <c r="G478" s="24" t="n">
        <f aca="false">F478*C478</f>
        <v>7565.89160581779</v>
      </c>
      <c r="H478" s="24" t="n">
        <f aca="false">E478*G478/(1+D478)^9</f>
        <v>49185.0261915671</v>
      </c>
      <c r="I478" s="24" t="n">
        <f aca="false">$B$13*G478/$B$12*((1+$B$8)/(1+D478))^4.5</f>
        <v>17900.4717848527</v>
      </c>
      <c r="J478" s="24" t="n">
        <f aca="false">H478+I478-$B$14</f>
        <v>65377.5361818992</v>
      </c>
      <c r="K478" s="43" t="n">
        <f aca="false">J478/$B$15</f>
        <v>237.046904212833</v>
      </c>
    </row>
    <row r="479" customFormat="false" ht="15" hidden="false" customHeight="false" outlineLevel="0" collapsed="false">
      <c r="A479" s="50" t="n">
        <v>439</v>
      </c>
      <c r="B479" s="19" t="n">
        <f aca="true">NORMINV(RAND(),$B$6,$C$6)</f>
        <v>0.122618160168431</v>
      </c>
      <c r="C479" s="19" t="n">
        <f aca="true">MAX(0.25,NORMINV(RAND(),$B$7,$C$7))</f>
        <v>0.545225385677797</v>
      </c>
      <c r="D479" s="32" t="n">
        <f aca="true">MAX(0.07,NORMINV(RAND(),$B$8,$C$8))</f>
        <v>0.111383950252275</v>
      </c>
      <c r="E479" s="51" t="n">
        <f aca="true">MAX(8,NORMINV(RAND(),$B$9,$C$9))</f>
        <v>18.7689346295223</v>
      </c>
      <c r="F479" s="24" t="n">
        <f aca="false">$B$18*(1+(B479+$B$17)/2)^9</f>
        <v>14717.0220700363</v>
      </c>
      <c r="G479" s="24" t="n">
        <f aca="false">F479*C479</f>
        <v>8024.09403416418</v>
      </c>
      <c r="H479" s="24" t="n">
        <f aca="false">E479*G479/(1+D479)^9</f>
        <v>58218.1692711028</v>
      </c>
      <c r="I479" s="24" t="n">
        <f aca="false">$B$13*G479/$B$12*((1+$B$8)/(1+D479))^4.5</f>
        <v>18040.6617141012</v>
      </c>
      <c r="J479" s="24" t="n">
        <f aca="false">H479+I479-$B$14</f>
        <v>74550.8691906834</v>
      </c>
      <c r="K479" s="43" t="n">
        <f aca="false">J479/$B$15</f>
        <v>270.307720053239</v>
      </c>
    </row>
    <row r="480" customFormat="false" ht="15" hidden="false" customHeight="false" outlineLevel="0" collapsed="false">
      <c r="A480" s="50" t="n">
        <v>440</v>
      </c>
      <c r="B480" s="19" t="n">
        <f aca="true">NORMINV(RAND(),$B$6,$C$6)</f>
        <v>0.106000510996551</v>
      </c>
      <c r="C480" s="19" t="n">
        <f aca="true">MAX(0.25,NORMINV(RAND(),$B$7,$C$7))</f>
        <v>0.522651405078033</v>
      </c>
      <c r="D480" s="32" t="n">
        <f aca="true">MAX(0.07,NORMINV(RAND(),$B$8,$C$8))</f>
        <v>0.0983065773604378</v>
      </c>
      <c r="E480" s="51" t="n">
        <f aca="true">MAX(8,NORMINV(RAND(),$B$9,$C$9))</f>
        <v>18.848978658604</v>
      </c>
      <c r="F480" s="24" t="n">
        <f aca="false">$B$18*(1+(B480+$B$17)/2)^9</f>
        <v>13747.3608717699</v>
      </c>
      <c r="G480" s="24" t="n">
        <f aca="false">F480*C480</f>
        <v>7185.0774757453</v>
      </c>
      <c r="H480" s="24" t="n">
        <f aca="false">E480*G480/(1+D480)^9</f>
        <v>58238.0759112154</v>
      </c>
      <c r="I480" s="24" t="n">
        <f aca="false">$B$13*G480/$B$12*((1+$B$8)/(1+D480))^4.5</f>
        <v>17038.0670226148</v>
      </c>
      <c r="J480" s="24" t="n">
        <f aca="false">H480+I480-$B$14</f>
        <v>73568.1811393096</v>
      </c>
      <c r="K480" s="43" t="n">
        <f aca="false">J480/$B$15</f>
        <v>266.744674181688</v>
      </c>
    </row>
    <row r="481" customFormat="false" ht="15" hidden="false" customHeight="false" outlineLevel="0" collapsed="false">
      <c r="A481" s="50" t="n">
        <v>441</v>
      </c>
      <c r="B481" s="19" t="n">
        <f aca="true">NORMINV(RAND(),$B$6,$C$6)</f>
        <v>0.160224843542722</v>
      </c>
      <c r="C481" s="19" t="n">
        <f aca="true">MAX(0.25,NORMINV(RAND(),$B$7,$C$7))</f>
        <v>0.501960297402901</v>
      </c>
      <c r="D481" s="32" t="n">
        <f aca="true">MAX(0.07,NORMINV(RAND(),$B$8,$C$8))</f>
        <v>0.113007490648809</v>
      </c>
      <c r="E481" s="51" t="n">
        <f aca="true">MAX(8,NORMINV(RAND(),$B$9,$C$9))</f>
        <v>15.2535995598387</v>
      </c>
      <c r="F481" s="24" t="n">
        <f aca="false">$B$18*(1+(B481+$B$17)/2)^9</f>
        <v>17139.2369614117</v>
      </c>
      <c r="G481" s="24" t="n">
        <f aca="false">F481*C481</f>
        <v>8603.21648240901</v>
      </c>
      <c r="H481" s="24" t="n">
        <f aca="false">E481*G481/(1+D481)^9</f>
        <v>50066.8660548948</v>
      </c>
      <c r="I481" s="24" t="n">
        <f aca="false">$B$13*G481/$B$12*((1+$B$8)/(1+D481))^4.5</f>
        <v>19216.0648482456</v>
      </c>
      <c r="J481" s="24" t="n">
        <f aca="false">H481+I481-$B$14</f>
        <v>67574.9691086198</v>
      </c>
      <c r="K481" s="43" t="n">
        <f aca="false">J481/$B$15</f>
        <v>245.01439125678</v>
      </c>
    </row>
    <row r="482" customFormat="false" ht="15" hidden="false" customHeight="false" outlineLevel="0" collapsed="false">
      <c r="A482" s="50" t="n">
        <v>442</v>
      </c>
      <c r="B482" s="19" t="n">
        <f aca="true">NORMINV(RAND(),$B$6,$C$6)</f>
        <v>0.137221542471675</v>
      </c>
      <c r="C482" s="19" t="n">
        <f aca="true">MAX(0.25,NORMINV(RAND(),$B$7,$C$7))</f>
        <v>0.531580631605119</v>
      </c>
      <c r="D482" s="32" t="n">
        <f aca="true">MAX(0.07,NORMINV(RAND(),$B$8,$C$8))</f>
        <v>0.0967577866998846</v>
      </c>
      <c r="E482" s="51" t="n">
        <f aca="true">MAX(8,NORMINV(RAND(),$B$9,$C$9))</f>
        <v>20.9783880574007</v>
      </c>
      <c r="F482" s="24" t="n">
        <f aca="false">$B$18*(1+(B482+$B$17)/2)^9</f>
        <v>15618.8411068612</v>
      </c>
      <c r="G482" s="24" t="n">
        <f aca="false">F482*C482</f>
        <v>8302.67342052529</v>
      </c>
      <c r="H482" s="24" t="n">
        <f aca="false">E482*G482/(1+D482)^9</f>
        <v>75856.6277721651</v>
      </c>
      <c r="I482" s="24" t="n">
        <f aca="false">$B$13*G482/$B$12*((1+$B$8)/(1+D482))^4.5</f>
        <v>19813.6589538843</v>
      </c>
      <c r="J482" s="24" t="n">
        <f aca="false">H482+I482-$B$14</f>
        <v>93962.3249315289</v>
      </c>
      <c r="K482" s="43" t="n">
        <f aca="false">J482/$B$15</f>
        <v>340.6900831455</v>
      </c>
    </row>
    <row r="483" customFormat="false" ht="15" hidden="false" customHeight="false" outlineLevel="0" collapsed="false">
      <c r="A483" s="50" t="n">
        <v>443</v>
      </c>
      <c r="B483" s="19" t="n">
        <f aca="true">NORMINV(RAND(),$B$6,$C$6)</f>
        <v>0.182711184731015</v>
      </c>
      <c r="C483" s="19" t="n">
        <f aca="true">MAX(0.25,NORMINV(RAND(),$B$7,$C$7))</f>
        <v>0.564848652012604</v>
      </c>
      <c r="D483" s="32" t="n">
        <f aca="true">MAX(0.07,NORMINV(RAND(),$B$8,$C$8))</f>
        <v>0.0953631882679858</v>
      </c>
      <c r="E483" s="51" t="n">
        <f aca="true">MAX(8,NORMINV(RAND(),$B$9,$C$9))</f>
        <v>17.181521936924</v>
      </c>
      <c r="F483" s="24" t="n">
        <f aca="false">$B$18*(1+(B483+$B$17)/2)^9</f>
        <v>18751.2020455204</v>
      </c>
      <c r="G483" s="24" t="n">
        <f aca="false">F483*C483</f>
        <v>10591.5911990282</v>
      </c>
      <c r="H483" s="24" t="n">
        <f aca="false">E483*G483/(1+D483)^9</f>
        <v>80167.7264073908</v>
      </c>
      <c r="I483" s="24" t="n">
        <f aca="false">$B$13*G483/$B$12*((1+$B$8)/(1+D483))^4.5</f>
        <v>25421.1135129522</v>
      </c>
      <c r="J483" s="24" t="n">
        <f aca="false">H483+I483-$B$14</f>
        <v>103880.878125822</v>
      </c>
      <c r="K483" s="43" t="n">
        <f aca="false">J483/$B$15</f>
        <v>376.652930115382</v>
      </c>
    </row>
    <row r="484" customFormat="false" ht="15" hidden="false" customHeight="false" outlineLevel="0" collapsed="false">
      <c r="A484" s="50" t="n">
        <v>444</v>
      </c>
      <c r="B484" s="19" t="n">
        <f aca="true">NORMINV(RAND(),$B$6,$C$6)</f>
        <v>0.102023961491044</v>
      </c>
      <c r="C484" s="19" t="n">
        <f aca="true">MAX(0.25,NORMINV(RAND(),$B$7,$C$7))</f>
        <v>0.477990303763949</v>
      </c>
      <c r="D484" s="32" t="n">
        <f aca="true">MAX(0.07,NORMINV(RAND(),$B$8,$C$8))</f>
        <v>0.0990795008771203</v>
      </c>
      <c r="E484" s="51" t="n">
        <f aca="true">MAX(8,NORMINV(RAND(),$B$9,$C$9))</f>
        <v>17.6182076230515</v>
      </c>
      <c r="F484" s="24" t="n">
        <f aca="false">$B$18*(1+(B484+$B$17)/2)^9</f>
        <v>13523.9214487603</v>
      </c>
      <c r="G484" s="24" t="n">
        <f aca="false">F484*C484</f>
        <v>6464.30332137274</v>
      </c>
      <c r="H484" s="24" t="n">
        <f aca="false">E484*G484/(1+D484)^9</f>
        <v>48665.5324686612</v>
      </c>
      <c r="I484" s="24" t="n">
        <f aca="false">$B$13*G484/$B$12*((1+$B$8)/(1+D484))^4.5</f>
        <v>15280.435710134</v>
      </c>
      <c r="J484" s="24" t="n">
        <f aca="false">H484+I484-$B$14</f>
        <v>62238.0063842746</v>
      </c>
      <c r="K484" s="43" t="n">
        <f aca="false">J484/$B$15</f>
        <v>225.66354744117</v>
      </c>
    </row>
    <row r="485" customFormat="false" ht="15" hidden="false" customHeight="false" outlineLevel="0" collapsed="false">
      <c r="A485" s="50" t="n">
        <v>445</v>
      </c>
      <c r="B485" s="19" t="n">
        <f aca="true">NORMINV(RAND(),$B$6,$C$6)</f>
        <v>0.145310073841937</v>
      </c>
      <c r="C485" s="19" t="n">
        <f aca="true">MAX(0.25,NORMINV(RAND(),$B$7,$C$7))</f>
        <v>0.521513598274907</v>
      </c>
      <c r="D485" s="32" t="n">
        <f aca="true">MAX(0.07,NORMINV(RAND(),$B$8,$C$8))</f>
        <v>0.0926001346765052</v>
      </c>
      <c r="E485" s="51" t="n">
        <f aca="true">MAX(8,NORMINV(RAND(),$B$9,$C$9))</f>
        <v>18.487170024432</v>
      </c>
      <c r="F485" s="24" t="n">
        <f aca="false">$B$18*(1+(B485+$B$17)/2)^9</f>
        <v>16139.1926825623</v>
      </c>
      <c r="G485" s="24" t="n">
        <f aca="false">F485*C485</f>
        <v>8416.80844913508</v>
      </c>
      <c r="H485" s="24" t="n">
        <f aca="false">E485*G485/(1+D485)^9</f>
        <v>70123.9920048281</v>
      </c>
      <c r="I485" s="24" t="n">
        <f aca="false">$B$13*G485/$B$12*((1+$B$8)/(1+D485))^4.5</f>
        <v>20432.2793063224</v>
      </c>
      <c r="J485" s="24" t="n">
        <f aca="false">H485+I485-$B$14</f>
        <v>88848.30951663</v>
      </c>
      <c r="K485" s="43" t="n">
        <f aca="false">J485/$B$15</f>
        <v>322.147605208956</v>
      </c>
    </row>
    <row r="486" customFormat="false" ht="15" hidden="false" customHeight="false" outlineLevel="0" collapsed="false">
      <c r="A486" s="50" t="n">
        <v>446</v>
      </c>
      <c r="B486" s="19" t="n">
        <f aca="true">NORMINV(RAND(),$B$6,$C$6)</f>
        <v>0.117044459015457</v>
      </c>
      <c r="C486" s="19" t="n">
        <f aca="true">MAX(0.25,NORMINV(RAND(),$B$7,$C$7))</f>
        <v>0.510855742795115</v>
      </c>
      <c r="D486" s="32" t="n">
        <f aca="true">MAX(0.07,NORMINV(RAND(),$B$8,$C$8))</f>
        <v>0.0917883077562541</v>
      </c>
      <c r="E486" s="51" t="n">
        <f aca="true">MAX(8,NORMINV(RAND(),$B$9,$C$9))</f>
        <v>21.0232982782378</v>
      </c>
      <c r="F486" s="24" t="n">
        <f aca="false">$B$18*(1+(B486+$B$17)/2)^9</f>
        <v>14385.2233345389</v>
      </c>
      <c r="G486" s="24" t="n">
        <f aca="false">F486*C486</f>
        <v>7348.77395183949</v>
      </c>
      <c r="H486" s="24" t="n">
        <f aca="false">E486*G486/(1+D486)^9</f>
        <v>70092.2158335362</v>
      </c>
      <c r="I486" s="24" t="n">
        <f aca="false">$B$13*G486/$B$12*((1+$B$8)/(1+D486))^4.5</f>
        <v>17899.3355630443</v>
      </c>
      <c r="J486" s="24" t="n">
        <f aca="false">H486+I486-$B$14</f>
        <v>86283.58960206</v>
      </c>
      <c r="K486" s="43" t="n">
        <f aca="false">J486/$B$15</f>
        <v>312.848403198187</v>
      </c>
    </row>
    <row r="487" customFormat="false" ht="15" hidden="false" customHeight="false" outlineLevel="0" collapsed="false">
      <c r="A487" s="50" t="n">
        <v>447</v>
      </c>
      <c r="B487" s="19" t="n">
        <f aca="true">NORMINV(RAND(),$B$6,$C$6)</f>
        <v>0.190745143099981</v>
      </c>
      <c r="C487" s="19" t="n">
        <f aca="true">MAX(0.25,NORMINV(RAND(),$B$7,$C$7))</f>
        <v>0.523291488808506</v>
      </c>
      <c r="D487" s="32" t="n">
        <f aca="true">MAX(0.07,NORMINV(RAND(),$B$8,$C$8))</f>
        <v>0.101945356783263</v>
      </c>
      <c r="E487" s="51" t="n">
        <f aca="true">MAX(8,NORMINV(RAND(),$B$9,$C$9))</f>
        <v>14.0757000610633</v>
      </c>
      <c r="F487" s="24" t="n">
        <f aca="false">$B$18*(1+(B487+$B$17)/2)^9</f>
        <v>19358.9833582784</v>
      </c>
      <c r="G487" s="24" t="n">
        <f aca="false">F487*C487</f>
        <v>10130.3912233726</v>
      </c>
      <c r="H487" s="24" t="n">
        <f aca="false">E487*G487/(1+D487)^9</f>
        <v>59519.0085190065</v>
      </c>
      <c r="I487" s="24" t="n">
        <f aca="false">$B$13*G487/$B$12*((1+$B$8)/(1+D487))^4.5</f>
        <v>23667.4216303988</v>
      </c>
      <c r="J487" s="24" t="n">
        <f aca="false">H487+I487-$B$14</f>
        <v>81478.4683548847</v>
      </c>
      <c r="K487" s="43" t="n">
        <f aca="false">J487/$B$15</f>
        <v>295.425918618146</v>
      </c>
    </row>
    <row r="488" customFormat="false" ht="15" hidden="false" customHeight="false" outlineLevel="0" collapsed="false">
      <c r="A488" s="50" t="n">
        <v>448</v>
      </c>
      <c r="B488" s="19" t="n">
        <f aca="true">NORMINV(RAND(),$B$6,$C$6)</f>
        <v>0.128886666592149</v>
      </c>
      <c r="C488" s="19" t="n">
        <f aca="true">MAX(0.25,NORMINV(RAND(),$B$7,$C$7))</f>
        <v>0.524461707221933</v>
      </c>
      <c r="D488" s="32" t="n">
        <f aca="true">MAX(0.07,NORMINV(RAND(),$B$8,$C$8))</f>
        <v>0.0978159806867739</v>
      </c>
      <c r="E488" s="51" t="n">
        <f aca="true">MAX(8,NORMINV(RAND(),$B$9,$C$9))</f>
        <v>19.3792002308724</v>
      </c>
      <c r="F488" s="24" t="n">
        <f aca="false">$B$18*(1+(B488+$B$17)/2)^9</f>
        <v>15098.294914422</v>
      </c>
      <c r="G488" s="24" t="n">
        <f aca="false">F488*C488</f>
        <v>7918.47752695802</v>
      </c>
      <c r="H488" s="24" t="n">
        <f aca="false">E488*G488/(1+D488)^9</f>
        <v>66253.923609564</v>
      </c>
      <c r="I488" s="24" t="n">
        <f aca="false">$B$13*G488/$B$12*((1+$B$8)/(1+D488))^4.5</f>
        <v>18814.9781117346</v>
      </c>
      <c r="J488" s="24" t="n">
        <f aca="false">H488+I488-$B$14</f>
        <v>83360.939926778</v>
      </c>
      <c r="K488" s="43" t="n">
        <f aca="false">J488/$B$15</f>
        <v>302.251413802676</v>
      </c>
    </row>
    <row r="489" customFormat="false" ht="15" hidden="false" customHeight="false" outlineLevel="0" collapsed="false">
      <c r="A489" s="50" t="n">
        <v>449</v>
      </c>
      <c r="B489" s="19" t="n">
        <f aca="true">NORMINV(RAND(),$B$6,$C$6)</f>
        <v>0.169902547192892</v>
      </c>
      <c r="C489" s="19" t="n">
        <f aca="true">MAX(0.25,NORMINV(RAND(),$B$7,$C$7))</f>
        <v>0.503688651439106</v>
      </c>
      <c r="D489" s="32" t="n">
        <f aca="true">MAX(0.07,NORMINV(RAND(),$B$8,$C$8))</f>
        <v>0.101494456872063</v>
      </c>
      <c r="E489" s="51" t="n">
        <f aca="true">MAX(8,NORMINV(RAND(),$B$9,$C$9))</f>
        <v>21.0031818671351</v>
      </c>
      <c r="F489" s="24" t="n">
        <f aca="false">$B$18*(1+(B489+$B$17)/2)^9</f>
        <v>17817.2374317999</v>
      </c>
      <c r="G489" s="24" t="n">
        <f aca="false">F489*C489</f>
        <v>8974.34029439366</v>
      </c>
      <c r="H489" s="24" t="n">
        <f aca="false">E489*G489/(1+D489)^9</f>
        <v>78967.2079042827</v>
      </c>
      <c r="I489" s="24" t="n">
        <f aca="false">$B$13*G489/$B$12*((1+$B$8)/(1+D489))^4.5</f>
        <v>21005.2138983997</v>
      </c>
      <c r="J489" s="24" t="n">
        <f aca="false">H489+I489-$B$14</f>
        <v>98264.4600081618</v>
      </c>
      <c r="K489" s="43" t="n">
        <f aca="false">J489/$B$15</f>
        <v>356.288832516903</v>
      </c>
    </row>
    <row r="490" customFormat="false" ht="15" hidden="false" customHeight="false" outlineLevel="0" collapsed="false">
      <c r="A490" s="50" t="n">
        <v>450</v>
      </c>
      <c r="B490" s="19" t="n">
        <f aca="true">NORMINV(RAND(),$B$6,$C$6)</f>
        <v>0.0953786066183571</v>
      </c>
      <c r="C490" s="19" t="n">
        <f aca="true">MAX(0.25,NORMINV(RAND(),$B$7,$C$7))</f>
        <v>0.469525909812003</v>
      </c>
      <c r="D490" s="32" t="n">
        <f aca="true">MAX(0.07,NORMINV(RAND(),$B$8,$C$8))</f>
        <v>0.0916144388857491</v>
      </c>
      <c r="E490" s="51" t="n">
        <f aca="true">MAX(8,NORMINV(RAND(),$B$9,$C$9))</f>
        <v>24.9481268068074</v>
      </c>
      <c r="F490" s="24" t="n">
        <f aca="false">$B$18*(1+(B490+$B$17)/2)^9</f>
        <v>13157.7212035331</v>
      </c>
      <c r="G490" s="24" t="n">
        <f aca="false">F490*C490</f>
        <v>6177.89101914157</v>
      </c>
      <c r="H490" s="24" t="n">
        <f aca="false">E490*G490/(1+D490)^9</f>
        <v>70025.2619811849</v>
      </c>
      <c r="I490" s="24" t="n">
        <f aca="false">$B$13*G490/$B$12*((1+$B$8)/(1+D490))^4.5</f>
        <v>15058.2158442688</v>
      </c>
      <c r="J490" s="24" t="n">
        <f aca="false">H490+I490-$B$14</f>
        <v>83375.5160309332</v>
      </c>
      <c r="K490" s="43" t="n">
        <f aca="false">J490/$B$15</f>
        <v>302.304264071549</v>
      </c>
    </row>
    <row r="491" customFormat="false" ht="15" hidden="false" customHeight="false" outlineLevel="0" collapsed="false">
      <c r="A491" s="50" t="n">
        <v>451</v>
      </c>
      <c r="B491" s="19" t="n">
        <f aca="true">NORMINV(RAND(),$B$6,$C$6)</f>
        <v>0.159362445674877</v>
      </c>
      <c r="C491" s="19" t="n">
        <f aca="true">MAX(0.25,NORMINV(RAND(),$B$7,$C$7))</f>
        <v>0.452912997912762</v>
      </c>
      <c r="D491" s="32" t="n">
        <f aca="true">MAX(0.07,NORMINV(RAND(),$B$8,$C$8))</f>
        <v>0.0900103335705388</v>
      </c>
      <c r="E491" s="51" t="n">
        <f aca="true">MAX(8,NORMINV(RAND(),$B$9,$C$9))</f>
        <v>17.6553725436914</v>
      </c>
      <c r="F491" s="24" t="n">
        <f aca="false">$B$18*(1+(B491+$B$17)/2)^9</f>
        <v>17079.9469684507</v>
      </c>
      <c r="G491" s="24" t="n">
        <f aca="false">F491*C491</f>
        <v>7735.72998567202</v>
      </c>
      <c r="H491" s="24" t="n">
        <f aca="false">E491*G491/(1+D491)^9</f>
        <v>62878.5693364065</v>
      </c>
      <c r="I491" s="24" t="n">
        <f aca="false">$B$13*G491/$B$12*((1+$B$8)/(1+D491))^4.5</f>
        <v>18980.5385520993</v>
      </c>
      <c r="J491" s="24" t="n">
        <f aca="false">H491+I491-$B$14</f>
        <v>80151.1460939853</v>
      </c>
      <c r="K491" s="43" t="n">
        <f aca="false">J491/$B$15</f>
        <v>290.613292581527</v>
      </c>
    </row>
    <row r="492" customFormat="false" ht="15" hidden="false" customHeight="false" outlineLevel="0" collapsed="false">
      <c r="A492" s="50" t="n">
        <v>452</v>
      </c>
      <c r="B492" s="19" t="n">
        <f aca="true">NORMINV(RAND(),$B$6,$C$6)</f>
        <v>0.124084205788117</v>
      </c>
      <c r="C492" s="19" t="n">
        <f aca="true">MAX(0.25,NORMINV(RAND(),$B$7,$C$7))</f>
        <v>0.46191674515916</v>
      </c>
      <c r="D492" s="32" t="n">
        <f aca="true">MAX(0.07,NORMINV(RAND(),$B$8,$C$8))</f>
        <v>0.0916002956295896</v>
      </c>
      <c r="E492" s="51" t="n">
        <f aca="true">MAX(8,NORMINV(RAND(),$B$9,$C$9))</f>
        <v>18.6616579842125</v>
      </c>
      <c r="F492" s="24" t="n">
        <f aca="false">$B$18*(1+(B492+$B$17)/2)^9</f>
        <v>14805.4169739707</v>
      </c>
      <c r="G492" s="24" t="n">
        <f aca="false">F492*C492</f>
        <v>6838.87001934072</v>
      </c>
      <c r="H492" s="24" t="n">
        <f aca="false">E492*G492/(1+D492)^9</f>
        <v>57991.1570261285</v>
      </c>
      <c r="I492" s="24" t="n">
        <f aca="false">$B$13*G492/$B$12*((1+$B$8)/(1+D492))^4.5</f>
        <v>16670.2819640094</v>
      </c>
      <c r="J492" s="24" t="n">
        <f aca="false">H492+I492-$B$14</f>
        <v>72953.4771956174</v>
      </c>
      <c r="K492" s="43" t="n">
        <f aca="false">J492/$B$15</f>
        <v>264.515870905067</v>
      </c>
    </row>
    <row r="493" customFormat="false" ht="15" hidden="false" customHeight="false" outlineLevel="0" collapsed="false">
      <c r="A493" s="50" t="n">
        <v>453</v>
      </c>
      <c r="B493" s="19" t="n">
        <f aca="true">NORMINV(RAND(),$B$6,$C$6)</f>
        <v>0.127418509971059</v>
      </c>
      <c r="C493" s="19" t="n">
        <f aca="true">MAX(0.25,NORMINV(RAND(),$B$7,$C$7))</f>
        <v>0.488517764005277</v>
      </c>
      <c r="D493" s="32" t="n">
        <f aca="true">MAX(0.07,NORMINV(RAND(),$B$8,$C$8))</f>
        <v>0.108906576782897</v>
      </c>
      <c r="E493" s="51" t="n">
        <f aca="true">MAX(8,NORMINV(RAND(),$B$9,$C$9))</f>
        <v>17.9920439756251</v>
      </c>
      <c r="F493" s="24" t="n">
        <f aca="false">$B$18*(1+(B493+$B$17)/2)^9</f>
        <v>15008.2176905699</v>
      </c>
      <c r="G493" s="24" t="n">
        <f aca="false">F493*C493</f>
        <v>7331.78094790164</v>
      </c>
      <c r="H493" s="24" t="n">
        <f aca="false">E493*G493/(1+D493)^9</f>
        <v>52027.786799502</v>
      </c>
      <c r="I493" s="24" t="n">
        <f aca="false">$B$13*G493/$B$12*((1+$B$8)/(1+D493))^4.5</f>
        <v>16650.4954698752</v>
      </c>
      <c r="J493" s="24" t="n">
        <f aca="false">H493+I493-$B$14</f>
        <v>66970.3204748567</v>
      </c>
      <c r="K493" s="43" t="n">
        <f aca="false">J493/$B$15</f>
        <v>242.822046681859</v>
      </c>
    </row>
    <row r="494" customFormat="false" ht="15" hidden="false" customHeight="false" outlineLevel="0" collapsed="false">
      <c r="A494" s="50" t="n">
        <v>454</v>
      </c>
      <c r="B494" s="19" t="n">
        <f aca="true">NORMINV(RAND(),$B$6,$C$6)</f>
        <v>0.108999673781742</v>
      </c>
      <c r="C494" s="19" t="n">
        <f aca="true">MAX(0.25,NORMINV(RAND(),$B$7,$C$7))</f>
        <v>0.497361481277478</v>
      </c>
      <c r="D494" s="32" t="n">
        <f aca="true">MAX(0.07,NORMINV(RAND(),$B$8,$C$8))</f>
        <v>0.107838682016992</v>
      </c>
      <c r="E494" s="51" t="n">
        <f aca="true">MAX(8,NORMINV(RAND(),$B$9,$C$9))</f>
        <v>20.6030331165885</v>
      </c>
      <c r="F494" s="24" t="n">
        <f aca="false">$B$18*(1+(B494+$B$17)/2)^9</f>
        <v>13918.0461616691</v>
      </c>
      <c r="G494" s="24" t="n">
        <f aca="false">F494*C494</f>
        <v>6922.30005545605</v>
      </c>
      <c r="H494" s="24" t="n">
        <f aca="false">E494*G494/(1+D494)^9</f>
        <v>56740.4602600526</v>
      </c>
      <c r="I494" s="24" t="n">
        <f aca="false">$B$13*G494/$B$12*((1+$B$8)/(1+D494))^4.5</f>
        <v>15788.8701809398</v>
      </c>
      <c r="J494" s="24" t="n">
        <f aca="false">H494+I494-$B$14</f>
        <v>70821.3686464718</v>
      </c>
      <c r="K494" s="43" t="n">
        <f aca="false">J494/$B$15</f>
        <v>256.785238022015</v>
      </c>
    </row>
    <row r="495" customFormat="false" ht="15" hidden="false" customHeight="false" outlineLevel="0" collapsed="false">
      <c r="A495" s="50" t="n">
        <v>455</v>
      </c>
      <c r="B495" s="19" t="n">
        <f aca="true">NORMINV(RAND(),$B$6,$C$6)</f>
        <v>0.137924248828915</v>
      </c>
      <c r="C495" s="19" t="n">
        <f aca="true">MAX(0.25,NORMINV(RAND(),$B$7,$C$7))</f>
        <v>0.427390281431029</v>
      </c>
      <c r="D495" s="32" t="n">
        <f aca="true">MAX(0.07,NORMINV(RAND(),$B$8,$C$8))</f>
        <v>0.099437163614904</v>
      </c>
      <c r="E495" s="51" t="n">
        <f aca="true">MAX(8,NORMINV(RAND(),$B$9,$C$9))</f>
        <v>20.3425337246842</v>
      </c>
      <c r="F495" s="24" t="n">
        <f aca="false">$B$18*(1+(B495+$B$17)/2)^9</f>
        <v>15663.4484886206</v>
      </c>
      <c r="G495" s="24" t="n">
        <f aca="false">F495*C495</f>
        <v>6694.40565773198</v>
      </c>
      <c r="H495" s="24" t="n">
        <f aca="false">E495*G495/(1+D495)^9</f>
        <v>58020.7518945824</v>
      </c>
      <c r="I495" s="24" t="n">
        <f aca="false">$B$13*G495/$B$12*((1+$B$8)/(1+D495))^4.5</f>
        <v>15801.203401049</v>
      </c>
      <c r="J495" s="24" t="n">
        <f aca="false">H495+I495-$B$14</f>
        <v>72113.9935011109</v>
      </c>
      <c r="K495" s="43" t="n">
        <f aca="false">J495/$B$15</f>
        <v>261.472057654499</v>
      </c>
    </row>
    <row r="496" customFormat="false" ht="15" hidden="false" customHeight="false" outlineLevel="0" collapsed="false">
      <c r="A496" s="50" t="n">
        <v>456</v>
      </c>
      <c r="B496" s="19" t="n">
        <f aca="true">NORMINV(RAND(),$B$6,$C$6)</f>
        <v>0.0850955469292549</v>
      </c>
      <c r="C496" s="19" t="n">
        <f aca="true">MAX(0.25,NORMINV(RAND(),$B$7,$C$7))</f>
        <v>0.459421805199529</v>
      </c>
      <c r="D496" s="32" t="n">
        <f aca="true">MAX(0.07,NORMINV(RAND(),$B$8,$C$8))</f>
        <v>0.104506221915338</v>
      </c>
      <c r="E496" s="51" t="n">
        <f aca="true">MAX(8,NORMINV(RAND(),$B$9,$C$9))</f>
        <v>21.4512521016026</v>
      </c>
      <c r="F496" s="24" t="n">
        <f aca="false">$B$18*(1+(B496+$B$17)/2)^9</f>
        <v>12608.418106649</v>
      </c>
      <c r="G496" s="24" t="n">
        <f aca="false">F496*C496</f>
        <v>5792.5822072671</v>
      </c>
      <c r="H496" s="24" t="n">
        <f aca="false">E496*G496/(1+D496)^9</f>
        <v>50793.8757905948</v>
      </c>
      <c r="I496" s="24" t="n">
        <f aca="false">$B$13*G496/$B$12*((1+$B$8)/(1+D496))^4.5</f>
        <v>13392.4629226138</v>
      </c>
      <c r="J496" s="24" t="n">
        <f aca="false">H496+I496-$B$14</f>
        <v>62478.3769186881</v>
      </c>
      <c r="K496" s="43" t="n">
        <f aca="false">J496/$B$15</f>
        <v>226.535086724757</v>
      </c>
    </row>
    <row r="497" customFormat="false" ht="15" hidden="false" customHeight="false" outlineLevel="0" collapsed="false">
      <c r="A497" s="50" t="n">
        <v>457</v>
      </c>
      <c r="B497" s="19" t="n">
        <f aca="true">NORMINV(RAND(),$B$6,$C$6)</f>
        <v>0.0436543224773741</v>
      </c>
      <c r="C497" s="19" t="n">
        <f aca="true">MAX(0.25,NORMINV(RAND(),$B$7,$C$7))</f>
        <v>0.435019586469101</v>
      </c>
      <c r="D497" s="32" t="n">
        <f aca="true">MAX(0.07,NORMINV(RAND(),$B$8,$C$8))</f>
        <v>0.101635606652569</v>
      </c>
      <c r="E497" s="51" t="n">
        <f aca="true">MAX(8,NORMINV(RAND(),$B$9,$C$9))</f>
        <v>23.4689163894566</v>
      </c>
      <c r="F497" s="24" t="n">
        <f aca="false">$B$18*(1+(B497+$B$17)/2)^9</f>
        <v>10595.4994781012</v>
      </c>
      <c r="G497" s="24" t="n">
        <f aca="false">F497*C497</f>
        <v>4609.24980139715</v>
      </c>
      <c r="H497" s="24" t="n">
        <f aca="false">E497*G497/(1+D497)^9</f>
        <v>45266.9884223674</v>
      </c>
      <c r="I497" s="24" t="n">
        <f aca="false">$B$13*G497/$B$12*((1+$B$8)/(1+D497))^4.5</f>
        <v>10782.1259799891</v>
      </c>
      <c r="J497" s="24" t="n">
        <f aca="false">H497+I497-$B$14</f>
        <v>54341.1526078359</v>
      </c>
      <c r="K497" s="43" t="n">
        <f aca="false">J497/$B$15</f>
        <v>197.031010180696</v>
      </c>
    </row>
    <row r="498" customFormat="false" ht="15" hidden="false" customHeight="false" outlineLevel="0" collapsed="false">
      <c r="A498" s="50" t="n">
        <v>458</v>
      </c>
      <c r="B498" s="19" t="n">
        <f aca="true">NORMINV(RAND(),$B$6,$C$6)</f>
        <v>0.17441594758789</v>
      </c>
      <c r="C498" s="19" t="n">
        <f aca="true">MAX(0.25,NORMINV(RAND(),$B$7,$C$7))</f>
        <v>0.504819511725645</v>
      </c>
      <c r="D498" s="32" t="n">
        <f aca="true">MAX(0.07,NORMINV(RAND(),$B$8,$C$8))</f>
        <v>0.0994613150357326</v>
      </c>
      <c r="E498" s="51" t="n">
        <f aca="true">MAX(8,NORMINV(RAND(),$B$9,$C$9))</f>
        <v>22.1689963868446</v>
      </c>
      <c r="F498" s="24" t="n">
        <f aca="false">$B$18*(1+(B498+$B$17)/2)^9</f>
        <v>18141.5099978476</v>
      </c>
      <c r="G498" s="24" t="n">
        <f aca="false">F498*C498</f>
        <v>9158.1882190793</v>
      </c>
      <c r="H498" s="24" t="n">
        <f aca="false">E498*G498/(1+D498)^9</f>
        <v>86484.0499947309</v>
      </c>
      <c r="I498" s="24" t="n">
        <f aca="false">$B$13*G498/$B$12*((1+$B$8)/(1+D498))^4.5</f>
        <v>21614.4790452029</v>
      </c>
      <c r="J498" s="24" t="n">
        <f aca="false">H498+I498-$B$14</f>
        <v>106390.567245413</v>
      </c>
      <c r="K498" s="43" t="n">
        <f aca="false">J498/$B$15</f>
        <v>385.752600599758</v>
      </c>
    </row>
    <row r="499" customFormat="false" ht="15" hidden="false" customHeight="false" outlineLevel="0" collapsed="false">
      <c r="A499" s="50" t="n">
        <v>459</v>
      </c>
      <c r="B499" s="19" t="n">
        <f aca="true">NORMINV(RAND(),$B$6,$C$6)</f>
        <v>0.124210122191729</v>
      </c>
      <c r="C499" s="19" t="n">
        <f aca="true">MAX(0.25,NORMINV(RAND(),$B$7,$C$7))</f>
        <v>0.524283743927797</v>
      </c>
      <c r="D499" s="32" t="n">
        <f aca="true">MAX(0.07,NORMINV(RAND(),$B$8,$C$8))</f>
        <v>0.110473375297952</v>
      </c>
      <c r="E499" s="51" t="n">
        <f aca="true">MAX(8,NORMINV(RAND(),$B$9,$C$9))</f>
        <v>14.2140085076561</v>
      </c>
      <c r="F499" s="24" t="n">
        <f aca="false">$B$18*(1+(B499+$B$17)/2)^9</f>
        <v>14813.0310380192</v>
      </c>
      <c r="G499" s="24" t="n">
        <f aca="false">F499*C499</f>
        <v>7766.23137153133</v>
      </c>
      <c r="H499" s="24" t="n">
        <f aca="false">E499*G499/(1+D499)^9</f>
        <v>42988.6238418982</v>
      </c>
      <c r="I499" s="24" t="n">
        <f aca="false">$B$13*G499/$B$12*((1+$B$8)/(1+D499))^4.5</f>
        <v>17525.4284896265</v>
      </c>
      <c r="J499" s="24" t="n">
        <f aca="false">H499+I499-$B$14</f>
        <v>58806.0905370041</v>
      </c>
      <c r="K499" s="43" t="n">
        <f aca="false">J499/$B$15</f>
        <v>213.220052708499</v>
      </c>
    </row>
    <row r="500" customFormat="false" ht="15" hidden="false" customHeight="false" outlineLevel="0" collapsed="false">
      <c r="A500" s="50" t="n">
        <v>460</v>
      </c>
      <c r="B500" s="19" t="n">
        <f aca="true">NORMINV(RAND(),$B$6,$C$6)</f>
        <v>0.15614554894678</v>
      </c>
      <c r="C500" s="19" t="n">
        <f aca="true">MAX(0.25,NORMINV(RAND(),$B$7,$C$7))</f>
        <v>0.508806520380437</v>
      </c>
      <c r="D500" s="32" t="n">
        <f aca="true">MAX(0.07,NORMINV(RAND(),$B$8,$C$8))</f>
        <v>0.0906456646777561</v>
      </c>
      <c r="E500" s="51" t="n">
        <f aca="true">MAX(8,NORMINV(RAND(),$B$9,$C$9))</f>
        <v>14.8581206583477</v>
      </c>
      <c r="F500" s="24" t="n">
        <f aca="false">$B$18*(1+(B500+$B$17)/2)^9</f>
        <v>16860.3898834136</v>
      </c>
      <c r="G500" s="24" t="n">
        <f aca="false">F500*C500</f>
        <v>8578.67630883718</v>
      </c>
      <c r="H500" s="24" t="n">
        <f aca="false">E500*G500/(1+D500)^9</f>
        <v>58375.5607909207</v>
      </c>
      <c r="I500" s="24" t="n">
        <f aca="false">$B$13*G500/$B$12*((1+$B$8)/(1+D500))^4.5</f>
        <v>20993.6875815679</v>
      </c>
      <c r="J500" s="24" t="n">
        <f aca="false">H500+I500-$B$14</f>
        <v>77661.2865779681</v>
      </c>
      <c r="K500" s="43" t="n">
        <f aca="false">J500/$B$15</f>
        <v>281.585520587266</v>
      </c>
    </row>
    <row r="501" customFormat="false" ht="15" hidden="false" customHeight="false" outlineLevel="0" collapsed="false">
      <c r="A501" s="50" t="n">
        <v>461</v>
      </c>
      <c r="B501" s="19" t="n">
        <f aca="true">NORMINV(RAND(),$B$6,$C$6)</f>
        <v>0.1642249349185</v>
      </c>
      <c r="C501" s="19" t="n">
        <f aca="true">MAX(0.25,NORMINV(RAND(),$B$7,$C$7))</f>
        <v>0.433200753356215</v>
      </c>
      <c r="D501" s="32" t="n">
        <f aca="true">MAX(0.07,NORMINV(RAND(),$B$8,$C$8))</f>
        <v>0.0856016113258967</v>
      </c>
      <c r="E501" s="51" t="n">
        <f aca="true">MAX(8,NORMINV(RAND(),$B$9,$C$9))</f>
        <v>21.5708196001847</v>
      </c>
      <c r="F501" s="24" t="n">
        <f aca="false">$B$18*(1+(B501+$B$17)/2)^9</f>
        <v>17416.6430570857</v>
      </c>
      <c r="G501" s="24" t="n">
        <f aca="false">F501*C501</f>
        <v>7544.9028932658</v>
      </c>
      <c r="H501" s="24" t="n">
        <f aca="false">E501*G501/(1+D501)^9</f>
        <v>77711.6245595199</v>
      </c>
      <c r="I501" s="24" t="n">
        <f aca="false">$B$13*G501/$B$12*((1+$B$8)/(1+D501))^4.5</f>
        <v>18853.0445912057</v>
      </c>
      <c r="J501" s="24" t="n">
        <f aca="false">H501+I501-$B$14</f>
        <v>94856.7073562051</v>
      </c>
      <c r="K501" s="43" t="n">
        <f aca="false">J501/$B$15</f>
        <v>343.932949079786</v>
      </c>
    </row>
    <row r="502" customFormat="false" ht="15" hidden="false" customHeight="false" outlineLevel="0" collapsed="false">
      <c r="A502" s="50" t="n">
        <v>462</v>
      </c>
      <c r="B502" s="19" t="n">
        <f aca="true">NORMINV(RAND(),$B$6,$C$6)</f>
        <v>0.126382730300012</v>
      </c>
      <c r="C502" s="19" t="n">
        <f aca="true">MAX(0.25,NORMINV(RAND(),$B$7,$C$7))</f>
        <v>0.462348116467922</v>
      </c>
      <c r="D502" s="32" t="n">
        <f aca="true">MAX(0.07,NORMINV(RAND(),$B$8,$C$8))</f>
        <v>0.0860628585219465</v>
      </c>
      <c r="E502" s="51" t="n">
        <f aca="true">MAX(8,NORMINV(RAND(),$B$9,$C$9))</f>
        <v>19.2073765922711</v>
      </c>
      <c r="F502" s="24" t="n">
        <f aca="false">$B$18*(1+(B502+$B$17)/2)^9</f>
        <v>14944.9562131558</v>
      </c>
      <c r="G502" s="24" t="n">
        <f aca="false">F502*C502</f>
        <v>6909.77235584815</v>
      </c>
      <c r="H502" s="24" t="n">
        <f aca="false">E502*G502/(1+D502)^9</f>
        <v>63130.1955739783</v>
      </c>
      <c r="I502" s="24" t="n">
        <f aca="false">$B$13*G502/$B$12*((1+$B$8)/(1+D502))^4.5</f>
        <v>17233.0206451091</v>
      </c>
      <c r="J502" s="24" t="n">
        <f aca="false">H502+I502-$B$14</f>
        <v>78655.2544245669</v>
      </c>
      <c r="K502" s="43" t="n">
        <f aca="false">J502/$B$15</f>
        <v>285.189464918662</v>
      </c>
    </row>
    <row r="503" customFormat="false" ht="15" hidden="false" customHeight="false" outlineLevel="0" collapsed="false">
      <c r="A503" s="50" t="n">
        <v>463</v>
      </c>
      <c r="B503" s="19" t="n">
        <f aca="true">NORMINV(RAND(),$B$6,$C$6)</f>
        <v>0.0843856902967608</v>
      </c>
      <c r="C503" s="19" t="n">
        <f aca="true">MAX(0.25,NORMINV(RAND(),$B$7,$C$7))</f>
        <v>0.507316181289805</v>
      </c>
      <c r="D503" s="32" t="n">
        <f aca="true">MAX(0.07,NORMINV(RAND(),$B$8,$C$8))</f>
        <v>0.0881871118972031</v>
      </c>
      <c r="E503" s="51" t="n">
        <f aca="true">MAX(8,NORMINV(RAND(),$B$9,$C$9))</f>
        <v>14.7566980296833</v>
      </c>
      <c r="F503" s="24" t="n">
        <f aca="false">$B$18*(1+(B503+$B$17)/2)^9</f>
        <v>12571.262257285</v>
      </c>
      <c r="G503" s="24" t="n">
        <f aca="false">F503*C503</f>
        <v>6377.60476235848</v>
      </c>
      <c r="H503" s="24" t="n">
        <f aca="false">E503*G503/(1+D503)^9</f>
        <v>43986.0121521178</v>
      </c>
      <c r="I503" s="24" t="n">
        <f aca="false">$B$13*G503/$B$12*((1+$B$8)/(1+D503))^4.5</f>
        <v>15766.543642855</v>
      </c>
      <c r="J503" s="24" t="n">
        <f aca="false">H503+I503-$B$14</f>
        <v>58044.5940004523</v>
      </c>
      <c r="K503" s="43" t="n">
        <f aca="false">J503/$B$15</f>
        <v>210.459006528108</v>
      </c>
    </row>
    <row r="504" customFormat="false" ht="15" hidden="false" customHeight="false" outlineLevel="0" collapsed="false">
      <c r="A504" s="50" t="n">
        <v>464</v>
      </c>
      <c r="B504" s="19" t="n">
        <f aca="true">NORMINV(RAND(),$B$6,$C$6)</f>
        <v>0.0965438365950726</v>
      </c>
      <c r="C504" s="19" t="n">
        <f aca="true">MAX(0.25,NORMINV(RAND(),$B$7,$C$7))</f>
        <v>0.507656560958463</v>
      </c>
      <c r="D504" s="32" t="n">
        <f aca="true">MAX(0.07,NORMINV(RAND(),$B$8,$C$8))</f>
        <v>0.0881520395286779</v>
      </c>
      <c r="E504" s="51" t="n">
        <f aca="true">MAX(8,NORMINV(RAND(),$B$9,$C$9))</f>
        <v>16.7494630368255</v>
      </c>
      <c r="F504" s="24" t="n">
        <f aca="false">$B$18*(1+(B504+$B$17)/2)^9</f>
        <v>13221.2880491708</v>
      </c>
      <c r="G504" s="24" t="n">
        <f aca="false">F504*C504</f>
        <v>6711.87362248327</v>
      </c>
      <c r="H504" s="24" t="n">
        <f aca="false">E504*G504/(1+D504)^9</f>
        <v>52557.9522240465</v>
      </c>
      <c r="I504" s="24" t="n">
        <f aca="false">$B$13*G504/$B$12*((1+$B$8)/(1+D504))^4.5</f>
        <v>16595.3209374139</v>
      </c>
      <c r="J504" s="24" t="n">
        <f aca="false">H504+I504-$B$14</f>
        <v>67445.3113669399</v>
      </c>
      <c r="K504" s="43" t="n">
        <f aca="false">J504/$B$15</f>
        <v>244.544276167295</v>
      </c>
    </row>
    <row r="505" customFormat="false" ht="15" hidden="false" customHeight="false" outlineLevel="0" collapsed="false">
      <c r="A505" s="50" t="n">
        <v>465</v>
      </c>
      <c r="B505" s="19" t="n">
        <f aca="true">NORMINV(RAND(),$B$6,$C$6)</f>
        <v>0.131003630770629</v>
      </c>
      <c r="C505" s="19" t="n">
        <f aca="true">MAX(0.25,NORMINV(RAND(),$B$7,$C$7))</f>
        <v>0.512082390619142</v>
      </c>
      <c r="D505" s="32" t="n">
        <f aca="true">MAX(0.07,NORMINV(RAND(),$B$8,$C$8))</f>
        <v>0.0978590083102628</v>
      </c>
      <c r="E505" s="51" t="n">
        <f aca="true">MAX(8,NORMINV(RAND(),$B$9,$C$9))</f>
        <v>20.9934276141172</v>
      </c>
      <c r="F505" s="24" t="n">
        <f aca="false">$B$18*(1+(B505+$B$17)/2)^9</f>
        <v>15229.0251084829</v>
      </c>
      <c r="G505" s="24" t="n">
        <f aca="false">F505*C505</f>
        <v>7798.51558435089</v>
      </c>
      <c r="H505" s="24" t="n">
        <f aca="false">E505*G505/(1+D505)^9</f>
        <v>70660.4125102602</v>
      </c>
      <c r="I505" s="24" t="n">
        <f aca="false">$B$13*G505/$B$12*((1+$B$8)/(1+D505))^4.5</f>
        <v>18526.6704872013</v>
      </c>
      <c r="J505" s="24" t="n">
        <f aca="false">H505+I505-$B$14</f>
        <v>87479.121202941</v>
      </c>
      <c r="K505" s="43" t="n">
        <f aca="false">J505/$B$15</f>
        <v>317.183180576291</v>
      </c>
    </row>
    <row r="506" customFormat="false" ht="15" hidden="false" customHeight="false" outlineLevel="0" collapsed="false">
      <c r="A506" s="50" t="n">
        <v>466</v>
      </c>
      <c r="B506" s="19" t="n">
        <f aca="true">NORMINV(RAND(),$B$6,$C$6)</f>
        <v>0.151814201803456</v>
      </c>
      <c r="C506" s="19" t="n">
        <f aca="true">MAX(0.25,NORMINV(RAND(),$B$7,$C$7))</f>
        <v>0.530864358443611</v>
      </c>
      <c r="D506" s="32" t="n">
        <f aca="true">MAX(0.07,NORMINV(RAND(),$B$8,$C$8))</f>
        <v>0.0886460417417245</v>
      </c>
      <c r="E506" s="51" t="n">
        <f aca="true">MAX(8,NORMINV(RAND(),$B$9,$C$9))</f>
        <v>20.7405892617419</v>
      </c>
      <c r="F506" s="24" t="n">
        <f aca="false">$B$18*(1+(B506+$B$17)/2)^9</f>
        <v>16568.734253574</v>
      </c>
      <c r="G506" s="24" t="n">
        <f aca="false">F506*C506</f>
        <v>8795.75047974626</v>
      </c>
      <c r="H506" s="24" t="n">
        <f aca="false">E506*G506/(1+D506)^9</f>
        <v>84940.2844638686</v>
      </c>
      <c r="I506" s="24" t="n">
        <f aca="false">$B$13*G506/$B$12*((1+$B$8)/(1+D506))^4.5</f>
        <v>21703.3991297086</v>
      </c>
      <c r="J506" s="24" t="n">
        <f aca="false">H506+I506-$B$14</f>
        <v>104935.721799057</v>
      </c>
      <c r="K506" s="43" t="n">
        <f aca="false">J506/$B$15</f>
        <v>380.477598981351</v>
      </c>
    </row>
    <row r="507" customFormat="false" ht="15" hidden="false" customHeight="false" outlineLevel="0" collapsed="false">
      <c r="A507" s="50" t="n">
        <v>467</v>
      </c>
      <c r="B507" s="19" t="n">
        <f aca="true">NORMINV(RAND(),$B$6,$C$6)</f>
        <v>0.151223367549106</v>
      </c>
      <c r="C507" s="19" t="n">
        <f aca="true">MAX(0.25,NORMINV(RAND(),$B$7,$C$7))</f>
        <v>0.564116261156682</v>
      </c>
      <c r="D507" s="32" t="n">
        <f aca="true">MAX(0.07,NORMINV(RAND(),$B$8,$C$8))</f>
        <v>0.0885595188668798</v>
      </c>
      <c r="E507" s="51" t="n">
        <f aca="true">MAX(8,NORMINV(RAND(),$B$9,$C$9))</f>
        <v>21.3372178522866</v>
      </c>
      <c r="F507" s="24" t="n">
        <f aca="false">$B$18*(1+(B507+$B$17)/2)^9</f>
        <v>16529.2994552749</v>
      </c>
      <c r="G507" s="24" t="n">
        <f aca="false">F507*C507</f>
        <v>9324.44660824883</v>
      </c>
      <c r="H507" s="24" t="n">
        <f aca="false">E507*G507/(1+D507)^9</f>
        <v>92702.4558399639</v>
      </c>
      <c r="I507" s="24" t="n">
        <f aca="false">$B$13*G507/$B$12*((1+$B$8)/(1+D507))^4.5</f>
        <v>23016.1804677898</v>
      </c>
      <c r="J507" s="24" t="n">
        <f aca="false">H507+I507-$B$14</f>
        <v>114010.674513233</v>
      </c>
      <c r="K507" s="43" t="n">
        <f aca="false">J507/$B$15</f>
        <v>413.381705994319</v>
      </c>
    </row>
    <row r="508" customFormat="false" ht="15" hidden="false" customHeight="false" outlineLevel="0" collapsed="false">
      <c r="A508" s="50" t="n">
        <v>468</v>
      </c>
      <c r="B508" s="19" t="n">
        <f aca="true">NORMINV(RAND(),$B$6,$C$6)</f>
        <v>0.114676315356467</v>
      </c>
      <c r="C508" s="19" t="n">
        <f aca="true">MAX(0.25,NORMINV(RAND(),$B$7,$C$7))</f>
        <v>0.500701305957141</v>
      </c>
      <c r="D508" s="32" t="n">
        <f aca="true">MAX(0.07,NORMINV(RAND(),$B$8,$C$8))</f>
        <v>0.0920496067239752</v>
      </c>
      <c r="E508" s="51" t="n">
        <f aca="true">MAX(8,NORMINV(RAND(),$B$9,$C$9))</f>
        <v>18.8918206975369</v>
      </c>
      <c r="F508" s="24" t="n">
        <f aca="false">$B$18*(1+(B508+$B$17)/2)^9</f>
        <v>14246.2739820794</v>
      </c>
      <c r="G508" s="24" t="n">
        <f aca="false">F508*C508</f>
        <v>7133.12798785039</v>
      </c>
      <c r="H508" s="24" t="n">
        <f aca="false">E508*G508/(1+D508)^9</f>
        <v>61005.997195414</v>
      </c>
      <c r="I508" s="24" t="n">
        <f aca="false">$B$13*G508/$B$12*((1+$B$8)/(1+D508))^4.5</f>
        <v>17355.3894199314</v>
      </c>
      <c r="J508" s="24" t="n">
        <f aca="false">H508+I508-$B$14</f>
        <v>76653.4248208248</v>
      </c>
      <c r="K508" s="43" t="n">
        <f aca="false">J508/$B$15</f>
        <v>277.931199495376</v>
      </c>
    </row>
    <row r="509" customFormat="false" ht="15" hidden="false" customHeight="false" outlineLevel="0" collapsed="false">
      <c r="A509" s="50" t="n">
        <v>469</v>
      </c>
      <c r="B509" s="19" t="n">
        <f aca="true">NORMINV(RAND(),$B$6,$C$6)</f>
        <v>0.166337579511585</v>
      </c>
      <c r="C509" s="19" t="n">
        <f aca="true">MAX(0.25,NORMINV(RAND(),$B$7,$C$7))</f>
        <v>0.505460527976128</v>
      </c>
      <c r="D509" s="32" t="n">
        <f aca="true">MAX(0.07,NORMINV(RAND(),$B$8,$C$8))</f>
        <v>0.0930416058845604</v>
      </c>
      <c r="E509" s="51" t="n">
        <f aca="true">MAX(8,NORMINV(RAND(),$B$9,$C$9))</f>
        <v>21.9832367331292</v>
      </c>
      <c r="F509" s="24" t="n">
        <f aca="false">$B$18*(1+(B509+$B$17)/2)^9</f>
        <v>17564.7593583622</v>
      </c>
      <c r="G509" s="24" t="n">
        <f aca="false">F509*C509</f>
        <v>8878.29253905138</v>
      </c>
      <c r="H509" s="24" t="n">
        <f aca="false">E509*G509/(1+D509)^9</f>
        <v>87637.6749631829</v>
      </c>
      <c r="I509" s="24" t="n">
        <f aca="false">$B$13*G509/$B$12*((1+$B$8)/(1+D509))^4.5</f>
        <v>21513.4136390038</v>
      </c>
      <c r="J509" s="24" t="n">
        <f aca="false">H509+I509-$B$14</f>
        <v>107443.126807666</v>
      </c>
      <c r="K509" s="43" t="n">
        <f aca="false">J509/$B$15</f>
        <v>389.568987700022</v>
      </c>
    </row>
    <row r="510" customFormat="false" ht="15" hidden="false" customHeight="false" outlineLevel="0" collapsed="false">
      <c r="A510" s="50" t="n">
        <v>470</v>
      </c>
      <c r="B510" s="19" t="n">
        <f aca="true">NORMINV(RAND(),$B$6,$C$6)</f>
        <v>0.160726683400886</v>
      </c>
      <c r="C510" s="19" t="n">
        <f aca="true">MAX(0.25,NORMINV(RAND(),$B$7,$C$7))</f>
        <v>0.544197344652135</v>
      </c>
      <c r="D510" s="32" t="n">
        <f aca="true">MAX(0.07,NORMINV(RAND(),$B$8,$C$8))</f>
        <v>0.0997621830639687</v>
      </c>
      <c r="E510" s="51" t="n">
        <f aca="true">MAX(8,NORMINV(RAND(),$B$9,$C$9))</f>
        <v>23.8288572821278</v>
      </c>
      <c r="F510" s="24" t="n">
        <f aca="false">$B$18*(1+(B510+$B$17)/2)^9</f>
        <v>17173.8226729628</v>
      </c>
      <c r="G510" s="24" t="n">
        <f aca="false">F510*C510</f>
        <v>9345.94869615301</v>
      </c>
      <c r="H510" s="24" t="n">
        <f aca="false">E510*G510/(1+D510)^9</f>
        <v>94631.9028827047</v>
      </c>
      <c r="I510" s="24" t="n">
        <f aca="false">$B$13*G510/$B$12*((1+$B$8)/(1+D510))^4.5</f>
        <v>22030.4755350707</v>
      </c>
      <c r="J510" s="24" t="n">
        <f aca="false">H510+I510-$B$14</f>
        <v>114954.416623255</v>
      </c>
      <c r="K510" s="43" t="n">
        <f aca="false">J510/$B$15</f>
        <v>416.803541056036</v>
      </c>
    </row>
    <row r="511" customFormat="false" ht="15" hidden="false" customHeight="false" outlineLevel="0" collapsed="false">
      <c r="A511" s="50" t="n">
        <v>471</v>
      </c>
      <c r="B511" s="19" t="n">
        <f aca="true">NORMINV(RAND(),$B$6,$C$6)</f>
        <v>0.160715883427641</v>
      </c>
      <c r="C511" s="19" t="n">
        <f aca="true">MAX(0.25,NORMINV(RAND(),$B$7,$C$7))</f>
        <v>0.463821060443284</v>
      </c>
      <c r="D511" s="32" t="n">
        <f aca="true">MAX(0.07,NORMINV(RAND(),$B$8,$C$8))</f>
        <v>0.0885810143217617</v>
      </c>
      <c r="E511" s="51" t="n">
        <f aca="true">MAX(8,NORMINV(RAND(),$B$9,$C$9))</f>
        <v>16.6932483305332</v>
      </c>
      <c r="F511" s="24" t="n">
        <f aca="false">$B$18*(1+(B511+$B$17)/2)^9</f>
        <v>17173.0777096176</v>
      </c>
      <c r="G511" s="24" t="n">
        <f aca="false">F511*C511</f>
        <v>7965.23511434976</v>
      </c>
      <c r="H511" s="24" t="n">
        <f aca="false">E511*G511/(1+D511)^9</f>
        <v>61943.0596143393</v>
      </c>
      <c r="I511" s="24" t="n">
        <f aca="false">$B$13*G511/$B$12*((1+$B$8)/(1+D511))^4.5</f>
        <v>19659.3971504036</v>
      </c>
      <c r="J511" s="24" t="n">
        <f aca="false">H511+I511-$B$14</f>
        <v>79894.4949702223</v>
      </c>
      <c r="K511" s="43" t="n">
        <f aca="false">J511/$B$15</f>
        <v>289.682722879704</v>
      </c>
    </row>
    <row r="512" customFormat="false" ht="15" hidden="false" customHeight="false" outlineLevel="0" collapsed="false">
      <c r="A512" s="50" t="n">
        <v>472</v>
      </c>
      <c r="B512" s="19" t="n">
        <f aca="true">NORMINV(RAND(),$B$6,$C$6)</f>
        <v>0.130174254289871</v>
      </c>
      <c r="C512" s="19" t="n">
        <f aca="true">MAX(0.25,NORMINV(RAND(),$B$7,$C$7))</f>
        <v>0.531520575540459</v>
      </c>
      <c r="D512" s="32" t="n">
        <f aca="true">MAX(0.07,NORMINV(RAND(),$B$8,$C$8))</f>
        <v>0.0951558097732201</v>
      </c>
      <c r="E512" s="51" t="n">
        <f aca="true">MAX(8,NORMINV(RAND(),$B$9,$C$9))</f>
        <v>21.9849534387762</v>
      </c>
      <c r="F512" s="24" t="n">
        <f aca="false">$B$18*(1+(B512+$B$17)/2)^9</f>
        <v>15177.6887197045</v>
      </c>
      <c r="G512" s="24" t="n">
        <f aca="false">F512*C512</f>
        <v>8067.25384367128</v>
      </c>
      <c r="H512" s="24" t="n">
        <f aca="false">E512*G512/(1+D512)^9</f>
        <v>78265.0865786699</v>
      </c>
      <c r="I512" s="24" t="n">
        <f aca="false">$B$13*G512/$B$12*((1+$B$8)/(1+D512))^4.5</f>
        <v>19378.8998403076</v>
      </c>
      <c r="J512" s="24" t="n">
        <f aca="false">H512+I512-$B$14</f>
        <v>95936.024624457</v>
      </c>
      <c r="K512" s="43" t="n">
        <f aca="false">J512/$B$15</f>
        <v>347.846354693463</v>
      </c>
    </row>
    <row r="513" customFormat="false" ht="15" hidden="false" customHeight="false" outlineLevel="0" collapsed="false">
      <c r="A513" s="50" t="n">
        <v>473</v>
      </c>
      <c r="B513" s="19" t="n">
        <f aca="true">NORMINV(RAND(),$B$6,$C$6)</f>
        <v>0.138734665703404</v>
      </c>
      <c r="C513" s="19" t="n">
        <f aca="true">MAX(0.25,NORMINV(RAND(),$B$7,$C$7))</f>
        <v>0.513063358905479</v>
      </c>
      <c r="D513" s="32" t="n">
        <f aca="true">MAX(0.07,NORMINV(RAND(),$B$8,$C$8))</f>
        <v>0.10670921125863</v>
      </c>
      <c r="E513" s="51" t="n">
        <f aca="true">MAX(8,NORMINV(RAND(),$B$9,$C$9))</f>
        <v>19.0516143053739</v>
      </c>
      <c r="F513" s="24" t="n">
        <f aca="false">$B$18*(1+(B513+$B$17)/2)^9</f>
        <v>15715.0338516228</v>
      </c>
      <c r="G513" s="24" t="n">
        <f aca="false">F513*C513</f>
        <v>8062.80805322687</v>
      </c>
      <c r="H513" s="24" t="n">
        <f aca="false">E513*G513/(1+D513)^9</f>
        <v>61676.0255825563</v>
      </c>
      <c r="I513" s="24" t="n">
        <f aca="false">$B$13*G513/$B$12*((1+$B$8)/(1+D513))^4.5</f>
        <v>18474.8302571222</v>
      </c>
      <c r="J513" s="24" t="n">
        <f aca="false">H513+I513-$B$14</f>
        <v>78442.894045158</v>
      </c>
      <c r="K513" s="43" t="n">
        <f aca="false">J513/$B$15</f>
        <v>284.41948529789</v>
      </c>
    </row>
    <row r="514" customFormat="false" ht="15" hidden="false" customHeight="false" outlineLevel="0" collapsed="false">
      <c r="A514" s="50" t="n">
        <v>474</v>
      </c>
      <c r="B514" s="19" t="n">
        <f aca="true">NORMINV(RAND(),$B$6,$C$6)</f>
        <v>0.108625645939366</v>
      </c>
      <c r="C514" s="19" t="n">
        <f aca="true">MAX(0.25,NORMINV(RAND(),$B$7,$C$7))</f>
        <v>0.504740574892897</v>
      </c>
      <c r="D514" s="32" t="n">
        <f aca="true">MAX(0.07,NORMINV(RAND(),$B$8,$C$8))</f>
        <v>0.0961899772618582</v>
      </c>
      <c r="E514" s="51" t="n">
        <f aca="true">MAX(8,NORMINV(RAND(),$B$9,$C$9))</f>
        <v>15.2369269874978</v>
      </c>
      <c r="F514" s="24" t="n">
        <f aca="false">$B$18*(1+(B514+$B$17)/2)^9</f>
        <v>13896.6575691014</v>
      </c>
      <c r="G514" s="24" t="n">
        <f aca="false">F514*C514</f>
        <v>7014.20693051796</v>
      </c>
      <c r="H514" s="24" t="n">
        <f aca="false">E514*G514/(1+D514)^9</f>
        <v>46763.1242362993</v>
      </c>
      <c r="I514" s="24" t="n">
        <f aca="false">$B$13*G514/$B$12*((1+$B$8)/(1+D514))^4.5</f>
        <v>16777.8902794596</v>
      </c>
      <c r="J514" s="24" t="n">
        <f aca="false">H514+I514-$B$14</f>
        <v>61833.0527212384</v>
      </c>
      <c r="K514" s="43" t="n">
        <f aca="false">J514/$B$15</f>
        <v>224.195260048</v>
      </c>
    </row>
    <row r="515" customFormat="false" ht="15" hidden="false" customHeight="false" outlineLevel="0" collapsed="false">
      <c r="A515" s="50" t="n">
        <v>475</v>
      </c>
      <c r="B515" s="19" t="n">
        <f aca="true">NORMINV(RAND(),$B$6,$C$6)</f>
        <v>0.143661404485664</v>
      </c>
      <c r="C515" s="19" t="n">
        <f aca="true">MAX(0.25,NORMINV(RAND(),$B$7,$C$7))</f>
        <v>0.505058396205555</v>
      </c>
      <c r="D515" s="32" t="n">
        <f aca="true">MAX(0.07,NORMINV(RAND(),$B$8,$C$8))</f>
        <v>0.110151252878457</v>
      </c>
      <c r="E515" s="51" t="n">
        <f aca="true">MAX(8,NORMINV(RAND(),$B$9,$C$9))</f>
        <v>14.2180851936774</v>
      </c>
      <c r="F515" s="24" t="n">
        <f aca="false">$B$18*(1+(B515+$B$17)/2)^9</f>
        <v>16031.8973969861</v>
      </c>
      <c r="G515" s="24" t="n">
        <f aca="false">F515*C515</f>
        <v>8097.04438745382</v>
      </c>
      <c r="H515" s="24" t="n">
        <f aca="false">E515*G515/(1+D515)^9</f>
        <v>44949.8505020413</v>
      </c>
      <c r="I515" s="24" t="n">
        <f aca="false">$B$13*G515/$B$12*((1+$B$8)/(1+D515))^4.5</f>
        <v>18295.8177979276</v>
      </c>
      <c r="J515" s="24" t="n">
        <f aca="false">H515+I515-$B$14</f>
        <v>61537.7065054483</v>
      </c>
      <c r="K515" s="43" t="n">
        <f aca="false">J515/$B$15</f>
        <v>223.124389069791</v>
      </c>
    </row>
    <row r="516" customFormat="false" ht="15" hidden="false" customHeight="false" outlineLevel="0" collapsed="false">
      <c r="A516" s="50" t="n">
        <v>476</v>
      </c>
      <c r="B516" s="19" t="n">
        <f aca="true">NORMINV(RAND(),$B$6,$C$6)</f>
        <v>0.0913334768808879</v>
      </c>
      <c r="C516" s="19" t="n">
        <f aca="true">MAX(0.25,NORMINV(RAND(),$B$7,$C$7))</f>
        <v>0.509490089316222</v>
      </c>
      <c r="D516" s="32" t="n">
        <f aca="true">MAX(0.07,NORMINV(RAND(),$B$8,$C$8))</f>
        <v>0.0939809318172571</v>
      </c>
      <c r="E516" s="51" t="n">
        <f aca="true">MAX(8,NORMINV(RAND(),$B$9,$C$9))</f>
        <v>18.8193655754711</v>
      </c>
      <c r="F516" s="24" t="n">
        <f aca="false">$B$18*(1+(B516+$B$17)/2)^9</f>
        <v>12939.150220165</v>
      </c>
      <c r="G516" s="24" t="n">
        <f aca="false">F516*C516</f>
        <v>6592.3688013479</v>
      </c>
      <c r="H516" s="24" t="n">
        <f aca="false">E516*G516/(1+D516)^9</f>
        <v>55278.8123369754</v>
      </c>
      <c r="I516" s="24" t="n">
        <f aca="false">$B$13*G516/$B$12*((1+$B$8)/(1+D516))^4.5</f>
        <v>15912.6535348664</v>
      </c>
      <c r="J516" s="24" t="n">
        <f aca="false">H516+I516-$B$14</f>
        <v>69483.5040773213</v>
      </c>
      <c r="K516" s="43" t="n">
        <f aca="false">J516/$B$15</f>
        <v>251.934387517481</v>
      </c>
    </row>
    <row r="517" customFormat="false" ht="15" hidden="false" customHeight="false" outlineLevel="0" collapsed="false">
      <c r="A517" s="50" t="n">
        <v>477</v>
      </c>
      <c r="B517" s="19" t="n">
        <f aca="true">NORMINV(RAND(),$B$6,$C$6)</f>
        <v>0.1021531101083</v>
      </c>
      <c r="C517" s="19" t="n">
        <f aca="true">MAX(0.25,NORMINV(RAND(),$B$7,$C$7))</f>
        <v>0.513405344170107</v>
      </c>
      <c r="D517" s="32" t="n">
        <f aca="true">MAX(0.07,NORMINV(RAND(),$B$8,$C$8))</f>
        <v>0.106815080646962</v>
      </c>
      <c r="E517" s="51" t="n">
        <f aca="true">MAX(8,NORMINV(RAND(),$B$9,$C$9))</f>
        <v>25.3677369722249</v>
      </c>
      <c r="F517" s="24" t="n">
        <f aca="false">$B$18*(1+(B517+$B$17)/2)^9</f>
        <v>13531.127182587</v>
      </c>
      <c r="G517" s="24" t="n">
        <f aca="false">F517*C517</f>
        <v>6946.95300818558</v>
      </c>
      <c r="H517" s="24" t="n">
        <f aca="false">E517*G517/(1+D517)^9</f>
        <v>70696.91716313</v>
      </c>
      <c r="I517" s="24" t="n">
        <f aca="false">$B$13*G517/$B$12*((1+$B$8)/(1+D517))^4.5</f>
        <v>15911.1493590829</v>
      </c>
      <c r="J517" s="24" t="n">
        <f aca="false">H517+I517-$B$14</f>
        <v>84900.1047276924</v>
      </c>
      <c r="K517" s="43" t="n">
        <f aca="false">J517/$B$15</f>
        <v>307.832141869806</v>
      </c>
    </row>
    <row r="518" customFormat="false" ht="15" hidden="false" customHeight="false" outlineLevel="0" collapsed="false">
      <c r="A518" s="50" t="n">
        <v>478</v>
      </c>
      <c r="B518" s="19" t="n">
        <f aca="true">NORMINV(RAND(),$B$6,$C$6)</f>
        <v>0.159792710286512</v>
      </c>
      <c r="C518" s="19" t="n">
        <f aca="true">MAX(0.25,NORMINV(RAND(),$B$7,$C$7))</f>
        <v>0.503596682119964</v>
      </c>
      <c r="D518" s="32" t="n">
        <f aca="true">MAX(0.07,NORMINV(RAND(),$B$8,$C$8))</f>
        <v>0.0908545322291441</v>
      </c>
      <c r="E518" s="51" t="n">
        <f aca="true">MAX(8,NORMINV(RAND(),$B$9,$C$9))</f>
        <v>22.2946130084359</v>
      </c>
      <c r="F518" s="24" t="n">
        <f aca="false">$B$18*(1+(B518+$B$17)/2)^9</f>
        <v>17109.5049015632</v>
      </c>
      <c r="G518" s="24" t="n">
        <f aca="false">F518*C518</f>
        <v>8616.28990114247</v>
      </c>
      <c r="H518" s="24" t="n">
        <f aca="false">E518*G518/(1+D518)^9</f>
        <v>87825.1050024387</v>
      </c>
      <c r="I518" s="24" t="n">
        <f aca="false">$B$13*G518/$B$12*((1+$B$8)/(1+D518))^4.5</f>
        <v>21067.5735081049</v>
      </c>
      <c r="J518" s="24" t="n">
        <f aca="false">H518+I518-$B$14</f>
        <v>107184.716716023</v>
      </c>
      <c r="K518" s="43" t="n">
        <f aca="false">J518/$B$15</f>
        <v>388.632040304652</v>
      </c>
    </row>
    <row r="519" customFormat="false" ht="15" hidden="false" customHeight="false" outlineLevel="0" collapsed="false">
      <c r="A519" s="50" t="n">
        <v>479</v>
      </c>
      <c r="B519" s="19" t="n">
        <f aca="true">NORMINV(RAND(),$B$6,$C$6)</f>
        <v>0.0986231946158341</v>
      </c>
      <c r="C519" s="19" t="n">
        <f aca="true">MAX(0.25,NORMINV(RAND(),$B$7,$C$7))</f>
        <v>0.486241826917753</v>
      </c>
      <c r="D519" s="32" t="n">
        <f aca="true">MAX(0.07,NORMINV(RAND(),$B$8,$C$8))</f>
        <v>0.0996524916751415</v>
      </c>
      <c r="E519" s="51" t="n">
        <f aca="true">MAX(8,NORMINV(RAND(),$B$9,$C$9))</f>
        <v>25.4613212428651</v>
      </c>
      <c r="F519" s="24" t="n">
        <f aca="false">$B$18*(1+(B519+$B$17)/2)^9</f>
        <v>13335.4018756147</v>
      </c>
      <c r="G519" s="24" t="n">
        <f aca="false">F519*C519</f>
        <v>6484.23017068132</v>
      </c>
      <c r="H519" s="24" t="n">
        <f aca="false">E519*G519/(1+D519)^9</f>
        <v>70216.6645092129</v>
      </c>
      <c r="I519" s="24" t="n">
        <f aca="false">$B$13*G519/$B$12*((1+$B$8)/(1+D519))^4.5</f>
        <v>15291.6319885247</v>
      </c>
      <c r="J519" s="24" t="n">
        <f aca="false">H519+I519-$B$14</f>
        <v>83800.3347032171</v>
      </c>
      <c r="K519" s="43" t="n">
        <f aca="false">J519/$B$15</f>
        <v>303.844578329286</v>
      </c>
    </row>
    <row r="520" customFormat="false" ht="15" hidden="false" customHeight="false" outlineLevel="0" collapsed="false">
      <c r="A520" s="50" t="n">
        <v>480</v>
      </c>
      <c r="B520" s="19" t="n">
        <f aca="true">NORMINV(RAND(),$B$6,$C$6)</f>
        <v>0.157097734452815</v>
      </c>
      <c r="C520" s="19" t="n">
        <f aca="true">MAX(0.25,NORMINV(RAND(),$B$7,$C$7))</f>
        <v>0.501225670722619</v>
      </c>
      <c r="D520" s="32" t="n">
        <f aca="true">MAX(0.07,NORMINV(RAND(),$B$8,$C$8))</f>
        <v>0.107253351061396</v>
      </c>
      <c r="E520" s="51" t="n">
        <f aca="true">MAX(8,NORMINV(RAND(),$B$9,$C$9))</f>
        <v>18.3504236378632</v>
      </c>
      <c r="F520" s="24" t="n">
        <f aca="false">$B$18*(1+(B520+$B$17)/2)^9</f>
        <v>16925.1147916323</v>
      </c>
      <c r="G520" s="24" t="n">
        <f aca="false">F520*C520</f>
        <v>8483.30201349323</v>
      </c>
      <c r="H520" s="24" t="n">
        <f aca="false">E520*G520/(1+D520)^9</f>
        <v>62228.3081125733</v>
      </c>
      <c r="I520" s="24" t="n">
        <f aca="false">$B$13*G520/$B$12*((1+$B$8)/(1+D520))^4.5</f>
        <v>19395.3852501826</v>
      </c>
      <c r="J520" s="24" t="n">
        <f aca="false">H520+I520-$B$14</f>
        <v>79915.7315682353</v>
      </c>
      <c r="K520" s="43" t="n">
        <f aca="false">J520/$B$15</f>
        <v>289.759722872499</v>
      </c>
    </row>
    <row r="521" customFormat="false" ht="15" hidden="false" customHeight="false" outlineLevel="0" collapsed="false">
      <c r="A521" s="50" t="n">
        <v>481</v>
      </c>
      <c r="B521" s="19" t="n">
        <f aca="true">NORMINV(RAND(),$B$6,$C$6)</f>
        <v>0.172018431186041</v>
      </c>
      <c r="C521" s="19" t="n">
        <f aca="true">MAX(0.25,NORMINV(RAND(),$B$7,$C$7))</f>
        <v>0.52553740290888</v>
      </c>
      <c r="D521" s="32" t="n">
        <f aca="true">MAX(0.07,NORMINV(RAND(),$B$8,$C$8))</f>
        <v>0.0927404976856053</v>
      </c>
      <c r="E521" s="51" t="n">
        <f aca="true">MAX(8,NORMINV(RAND(),$B$9,$C$9))</f>
        <v>21.449614983312</v>
      </c>
      <c r="F521" s="24" t="n">
        <f aca="false">$B$18*(1+(B521+$B$17)/2)^9</f>
        <v>17968.60932216</v>
      </c>
      <c r="G521" s="24" t="n">
        <f aca="false">F521*C521</f>
        <v>9443.17627705228</v>
      </c>
      <c r="H521" s="24" t="n">
        <f aca="false">E521*G521/(1+D521)^9</f>
        <v>91176.7799474232</v>
      </c>
      <c r="I521" s="24" t="n">
        <f aca="false">$B$13*G521/$B$12*((1+$B$8)/(1+D521))^4.5</f>
        <v>22910.5977264498</v>
      </c>
      <c r="J521" s="24" t="n">
        <f aca="false">H521+I521-$B$14</f>
        <v>112379.415879352</v>
      </c>
      <c r="K521" s="43" t="n">
        <f aca="false">J521/$B$15</f>
        <v>407.467062651749</v>
      </c>
    </row>
    <row r="522" customFormat="false" ht="15" hidden="false" customHeight="false" outlineLevel="0" collapsed="false">
      <c r="A522" s="50" t="n">
        <v>482</v>
      </c>
      <c r="B522" s="19" t="n">
        <f aca="true">NORMINV(RAND(),$B$6,$C$6)</f>
        <v>0.11833115425145</v>
      </c>
      <c r="C522" s="19" t="n">
        <f aca="true">MAX(0.25,NORMINV(RAND(),$B$7,$C$7))</f>
        <v>0.500634257281402</v>
      </c>
      <c r="D522" s="32" t="n">
        <f aca="true">MAX(0.07,NORMINV(RAND(),$B$8,$C$8))</f>
        <v>0.108243272097502</v>
      </c>
      <c r="E522" s="51" t="n">
        <f aca="true">MAX(8,NORMINV(RAND(),$B$9,$C$9))</f>
        <v>22.637766260096</v>
      </c>
      <c r="F522" s="24" t="n">
        <f aca="false">$B$18*(1+(B522+$B$17)/2)^9</f>
        <v>14461.2233253134</v>
      </c>
      <c r="G522" s="24" t="n">
        <f aca="false">F522*C522</f>
        <v>7239.78379884877</v>
      </c>
      <c r="H522" s="24" t="n">
        <f aca="false">E522*G522/(1+D522)^9</f>
        <v>64989.5062163357</v>
      </c>
      <c r="I522" s="24" t="n">
        <f aca="false">$B$13*G522/$B$12*((1+$B$8)/(1+D522))^4.5</f>
        <v>16485.8987521626</v>
      </c>
      <c r="J522" s="24" t="n">
        <f aca="false">H522+I522-$B$14</f>
        <v>79767.4431739778</v>
      </c>
      <c r="K522" s="43" t="n">
        <f aca="false">J522/$B$15</f>
        <v>289.222056468375</v>
      </c>
    </row>
    <row r="523" customFormat="false" ht="15" hidden="false" customHeight="false" outlineLevel="0" collapsed="false">
      <c r="A523" s="50" t="n">
        <v>483</v>
      </c>
      <c r="B523" s="19" t="n">
        <f aca="true">NORMINV(RAND(),$B$6,$C$6)</f>
        <v>0.162522913902931</v>
      </c>
      <c r="C523" s="19" t="n">
        <f aca="true">MAX(0.25,NORMINV(RAND(),$B$7,$C$7))</f>
        <v>0.540004031871077</v>
      </c>
      <c r="D523" s="32" t="n">
        <f aca="true">MAX(0.07,NORMINV(RAND(),$B$8,$C$8))</f>
        <v>0.100584489555418</v>
      </c>
      <c r="E523" s="51" t="n">
        <f aca="true">MAX(8,NORMINV(RAND(),$B$9,$C$9))</f>
        <v>22.2924618476998</v>
      </c>
      <c r="F523" s="24" t="n">
        <f aca="false">$B$18*(1+(B523+$B$17)/2)^9</f>
        <v>17298.1239549704</v>
      </c>
      <c r="G523" s="24" t="n">
        <f aca="false">F523*C523</f>
        <v>9341.05667948968</v>
      </c>
      <c r="H523" s="24" t="n">
        <f aca="false">E523*G523/(1+D523)^9</f>
        <v>87890.8261923292</v>
      </c>
      <c r="I523" s="24" t="n">
        <f aca="false">$B$13*G523/$B$12*((1+$B$8)/(1+D523))^4.5</f>
        <v>21945.008729812</v>
      </c>
      <c r="J523" s="24" t="n">
        <f aca="false">H523+I523-$B$14</f>
        <v>108127.873127621</v>
      </c>
      <c r="K523" s="43" t="n">
        <f aca="false">J523/$B$15</f>
        <v>392.051751731764</v>
      </c>
    </row>
    <row r="524" customFormat="false" ht="15" hidden="false" customHeight="false" outlineLevel="0" collapsed="false">
      <c r="A524" s="50" t="n">
        <v>484</v>
      </c>
      <c r="B524" s="19" t="n">
        <f aca="true">NORMINV(RAND(),$B$6,$C$6)</f>
        <v>0.0976990167139576</v>
      </c>
      <c r="C524" s="19" t="n">
        <f aca="true">MAX(0.25,NORMINV(RAND(),$B$7,$C$7))</f>
        <v>0.496404919803172</v>
      </c>
      <c r="D524" s="32" t="n">
        <f aca="true">MAX(0.07,NORMINV(RAND(),$B$8,$C$8))</f>
        <v>0.0936201678208013</v>
      </c>
      <c r="E524" s="51" t="n">
        <f aca="true">MAX(8,NORMINV(RAND(),$B$9,$C$9))</f>
        <v>19.9974429206224</v>
      </c>
      <c r="F524" s="24" t="n">
        <f aca="false">$B$18*(1+(B524+$B$17)/2)^9</f>
        <v>13284.5759539191</v>
      </c>
      <c r="G524" s="24" t="n">
        <f aca="false">F524*C524</f>
        <v>6594.52886102437</v>
      </c>
      <c r="H524" s="24" t="n">
        <f aca="false">E524*G524/(1+D524)^9</f>
        <v>58933.1484742035</v>
      </c>
      <c r="I524" s="24" t="n">
        <f aca="false">$B$13*G524/$B$12*((1+$B$8)/(1+D524))^4.5</f>
        <v>15941.510604949</v>
      </c>
      <c r="J524" s="24" t="n">
        <f aca="false">H524+I524-$B$14</f>
        <v>73166.697284632</v>
      </c>
      <c r="K524" s="43" t="n">
        <f aca="false">J524/$B$15</f>
        <v>265.288967674518</v>
      </c>
    </row>
    <row r="525" customFormat="false" ht="15" hidden="false" customHeight="false" outlineLevel="0" collapsed="false">
      <c r="A525" s="50" t="n">
        <v>485</v>
      </c>
      <c r="B525" s="19" t="n">
        <f aca="true">NORMINV(RAND(),$B$6,$C$6)</f>
        <v>0.133342043937611</v>
      </c>
      <c r="C525" s="19" t="n">
        <f aca="true">MAX(0.25,NORMINV(RAND(),$B$7,$C$7))</f>
        <v>0.51775780648936</v>
      </c>
      <c r="D525" s="32" t="n">
        <f aca="true">MAX(0.07,NORMINV(RAND(),$B$8,$C$8))</f>
        <v>0.109616994515146</v>
      </c>
      <c r="E525" s="51" t="n">
        <f aca="true">MAX(8,NORMINV(RAND(),$B$9,$C$9))</f>
        <v>26.3943505479038</v>
      </c>
      <c r="F525" s="24" t="n">
        <f aca="false">$B$18*(1+(B525+$B$17)/2)^9</f>
        <v>15374.5992822947</v>
      </c>
      <c r="G525" s="24" t="n">
        <f aca="false">F525*C525</f>
        <v>7960.31880005381</v>
      </c>
      <c r="H525" s="24" t="n">
        <f aca="false">E525*G525/(1+D525)^9</f>
        <v>82391.7153520696</v>
      </c>
      <c r="I525" s="24" t="n">
        <f aca="false">$B$13*G525/$B$12*((1+$B$8)/(1+D525))^4.5</f>
        <v>18025.881408748</v>
      </c>
      <c r="J525" s="24" t="n">
        <f aca="false">H525+I525-$B$14</f>
        <v>98709.6349662971</v>
      </c>
      <c r="K525" s="43" t="n">
        <f aca="false">J525/$B$15</f>
        <v>357.902954917683</v>
      </c>
    </row>
    <row r="526" customFormat="false" ht="15" hidden="false" customHeight="false" outlineLevel="0" collapsed="false">
      <c r="A526" s="50" t="n">
        <v>486</v>
      </c>
      <c r="B526" s="19" t="n">
        <f aca="true">NORMINV(RAND(),$B$6,$C$6)</f>
        <v>0.105762909646511</v>
      </c>
      <c r="C526" s="19" t="n">
        <f aca="true">MAX(0.25,NORMINV(RAND(),$B$7,$C$7))</f>
        <v>0.500689376537409</v>
      </c>
      <c r="D526" s="32" t="n">
        <f aca="true">MAX(0.07,NORMINV(RAND(),$B$8,$C$8))</f>
        <v>0.103140060402558</v>
      </c>
      <c r="E526" s="51" t="n">
        <f aca="true">MAX(8,NORMINV(RAND(),$B$9,$C$9))</f>
        <v>19.2123018392183</v>
      </c>
      <c r="F526" s="24" t="n">
        <f aca="false">$B$18*(1+(B526+$B$17)/2)^9</f>
        <v>13733.9186307993</v>
      </c>
      <c r="G526" s="24" t="n">
        <f aca="false">F526*C526</f>
        <v>6876.42715667044</v>
      </c>
      <c r="H526" s="24" t="n">
        <f aca="false">E526*G526/(1+D526)^9</f>
        <v>54609.2663250174</v>
      </c>
      <c r="I526" s="24" t="n">
        <f aca="false">$B$13*G526/$B$12*((1+$B$8)/(1+D526))^4.5</f>
        <v>15987.1073293288</v>
      </c>
      <c r="J526" s="24" t="n">
        <f aca="false">H526+I526-$B$14</f>
        <v>68888.4118598256</v>
      </c>
      <c r="K526" s="43" t="n">
        <f aca="false">J526/$B$15</f>
        <v>249.776692747736</v>
      </c>
    </row>
    <row r="527" customFormat="false" ht="15" hidden="false" customHeight="false" outlineLevel="0" collapsed="false">
      <c r="A527" s="50" t="n">
        <v>487</v>
      </c>
      <c r="B527" s="19" t="n">
        <f aca="true">NORMINV(RAND(),$B$6,$C$6)</f>
        <v>0.133981039762426</v>
      </c>
      <c r="C527" s="19" t="n">
        <f aca="true">MAX(0.25,NORMINV(RAND(),$B$7,$C$7))</f>
        <v>0.488029252674688</v>
      </c>
      <c r="D527" s="32" t="n">
        <f aca="true">MAX(0.07,NORMINV(RAND(),$B$8,$C$8))</f>
        <v>0.0954584945999286</v>
      </c>
      <c r="E527" s="51" t="n">
        <f aca="true">MAX(8,NORMINV(RAND(),$B$9,$C$9))</f>
        <v>15.1728610231172</v>
      </c>
      <c r="F527" s="24" t="n">
        <f aca="false">$B$18*(1+(B527+$B$17)/2)^9</f>
        <v>15414.5935156312</v>
      </c>
      <c r="G527" s="24" t="n">
        <f aca="false">F527*C527</f>
        <v>7522.77255371758</v>
      </c>
      <c r="H527" s="24" t="n">
        <f aca="false">E527*G527/(1+D527)^9</f>
        <v>50243.7521675109</v>
      </c>
      <c r="I527" s="24" t="n">
        <f aca="false">$B$13*G527/$B$12*((1+$B$8)/(1+D527))^4.5</f>
        <v>18048.5058672995</v>
      </c>
      <c r="J527" s="24" t="n">
        <f aca="false">H527+I527-$B$14</f>
        <v>66584.2962402898</v>
      </c>
      <c r="K527" s="43" t="n">
        <f aca="false">J527/$B$15</f>
        <v>241.42239390968</v>
      </c>
    </row>
    <row r="528" customFormat="false" ht="15" hidden="false" customHeight="false" outlineLevel="0" collapsed="false">
      <c r="A528" s="50" t="n">
        <v>488</v>
      </c>
      <c r="B528" s="19" t="n">
        <f aca="true">NORMINV(RAND(),$B$6,$C$6)</f>
        <v>0.168172556345996</v>
      </c>
      <c r="C528" s="19" t="n">
        <f aca="true">MAX(0.25,NORMINV(RAND(),$B$7,$C$7))</f>
        <v>0.484858683751255</v>
      </c>
      <c r="D528" s="32" t="n">
        <f aca="true">MAX(0.07,NORMINV(RAND(),$B$8,$C$8))</f>
        <v>0.102267136246076</v>
      </c>
      <c r="E528" s="51" t="n">
        <f aca="true">MAX(8,NORMINV(RAND(),$B$9,$C$9))</f>
        <v>22.3224658474403</v>
      </c>
      <c r="F528" s="24" t="n">
        <f aca="false">$B$18*(1+(B528+$B$17)/2)^9</f>
        <v>17694.3160114125</v>
      </c>
      <c r="G528" s="24" t="n">
        <f aca="false">F528*C528</f>
        <v>8579.24277117224</v>
      </c>
      <c r="H528" s="24" t="n">
        <f aca="false">E528*G528/(1+D528)^9</f>
        <v>79727.7285854941</v>
      </c>
      <c r="I528" s="24" t="n">
        <f aca="false">$B$13*G528/$B$12*((1+$B$8)/(1+D528))^4.5</f>
        <v>20017.1889039323</v>
      </c>
      <c r="J528" s="24" t="n">
        <f aca="false">H528+I528-$B$14</f>
        <v>98036.9556949058</v>
      </c>
      <c r="K528" s="43" t="n">
        <f aca="false">J528/$B$15</f>
        <v>355.463943781384</v>
      </c>
    </row>
    <row r="529" customFormat="false" ht="15" hidden="false" customHeight="false" outlineLevel="0" collapsed="false">
      <c r="A529" s="50" t="n">
        <v>489</v>
      </c>
      <c r="B529" s="19" t="n">
        <f aca="true">NORMINV(RAND(),$B$6,$C$6)</f>
        <v>0.0742649647824242</v>
      </c>
      <c r="C529" s="19" t="n">
        <f aca="true">MAX(0.25,NORMINV(RAND(),$B$7,$C$7))</f>
        <v>0.546014580612556</v>
      </c>
      <c r="D529" s="32" t="n">
        <f aca="true">MAX(0.07,NORMINV(RAND(),$B$8,$C$8))</f>
        <v>0.0990888499873149</v>
      </c>
      <c r="E529" s="51" t="n">
        <f aca="true">MAX(8,NORMINV(RAND(),$B$9,$C$9))</f>
        <v>20.4535606544827</v>
      </c>
      <c r="F529" s="24" t="n">
        <f aca="false">$B$18*(1+(B529+$B$17)/2)^9</f>
        <v>12051.9984563656</v>
      </c>
      <c r="G529" s="24" t="n">
        <f aca="false">F529*C529</f>
        <v>6580.56688269564</v>
      </c>
      <c r="H529" s="24" t="n">
        <f aca="false">E529*G529/(1+D529)^9</f>
        <v>57509.1583737083</v>
      </c>
      <c r="I529" s="24" t="n">
        <f aca="false">$B$13*G529/$B$12*((1+$B$8)/(1+D529))^4.5</f>
        <v>15554.6661775831</v>
      </c>
      <c r="J529" s="24" t="n">
        <f aca="false">H529+I529-$B$14</f>
        <v>71355.8627567708</v>
      </c>
      <c r="K529" s="43" t="n">
        <f aca="false">J529/$B$15</f>
        <v>258.723215216718</v>
      </c>
    </row>
    <row r="530" customFormat="false" ht="15" hidden="false" customHeight="false" outlineLevel="0" collapsed="false">
      <c r="A530" s="50" t="n">
        <v>490</v>
      </c>
      <c r="B530" s="19" t="n">
        <f aca="true">NORMINV(RAND(),$B$6,$C$6)</f>
        <v>0.107521089618747</v>
      </c>
      <c r="C530" s="19" t="n">
        <f aca="true">MAX(0.25,NORMINV(RAND(),$B$7,$C$7))</f>
        <v>0.525506400408294</v>
      </c>
      <c r="D530" s="32" t="n">
        <f aca="true">MAX(0.07,NORMINV(RAND(),$B$8,$C$8))</f>
        <v>0.096695205267728</v>
      </c>
      <c r="E530" s="51" t="n">
        <f aca="true">MAX(8,NORMINV(RAND(),$B$9,$C$9))</f>
        <v>17.0216632042897</v>
      </c>
      <c r="F530" s="24" t="n">
        <f aca="false">$B$18*(1+(B530+$B$17)/2)^9</f>
        <v>13833.6645135441</v>
      </c>
      <c r="G530" s="24" t="n">
        <f aca="false">F530*C530</f>
        <v>7269.67924296848</v>
      </c>
      <c r="H530" s="24" t="n">
        <f aca="false">E530*G530/(1+D530)^9</f>
        <v>53919.2371982592</v>
      </c>
      <c r="I530" s="24" t="n">
        <f aca="false">$B$13*G530/$B$12*((1+$B$8)/(1+D530))^4.5</f>
        <v>17352.9571581354</v>
      </c>
      <c r="J530" s="24" t="n">
        <f aca="false">H530+I530-$B$14</f>
        <v>69564.232561874</v>
      </c>
      <c r="K530" s="43" t="n">
        <f aca="false">J530/$B$15</f>
        <v>252.227094132973</v>
      </c>
    </row>
    <row r="531" customFormat="false" ht="15" hidden="false" customHeight="false" outlineLevel="0" collapsed="false">
      <c r="A531" s="50" t="n">
        <v>491</v>
      </c>
      <c r="B531" s="19" t="n">
        <f aca="true">NORMINV(RAND(),$B$6,$C$6)</f>
        <v>0.143589497470657</v>
      </c>
      <c r="C531" s="19" t="n">
        <f aca="true">MAX(0.25,NORMINV(RAND(),$B$7,$C$7))</f>
        <v>0.52629929523785</v>
      </c>
      <c r="D531" s="32" t="n">
        <f aca="true">MAX(0.07,NORMINV(RAND(),$B$8,$C$8))</f>
        <v>0.094969124701538</v>
      </c>
      <c r="E531" s="51" t="n">
        <f aca="true">MAX(8,NORMINV(RAND(),$B$9,$C$9))</f>
        <v>18.383848056081</v>
      </c>
      <c r="F531" s="24" t="n">
        <f aca="false">$B$18*(1+(B531+$B$17)/2)^9</f>
        <v>16027.2321583694</v>
      </c>
      <c r="G531" s="24" t="n">
        <f aca="false">F531*C531</f>
        <v>8435.12098956323</v>
      </c>
      <c r="H531" s="24" t="n">
        <f aca="false">E531*G531/(1+D531)^9</f>
        <v>68534.7570964297</v>
      </c>
      <c r="I531" s="24" t="n">
        <f aca="false">$B$13*G531/$B$12*((1+$B$8)/(1+D531))^4.5</f>
        <v>20278.1290691243</v>
      </c>
      <c r="J531" s="24" t="n">
        <f aca="false">H531+I531-$B$14</f>
        <v>87104.9243710334</v>
      </c>
      <c r="K531" s="43" t="n">
        <f aca="false">J531/$B$15</f>
        <v>315.826411787648</v>
      </c>
    </row>
    <row r="532" customFormat="false" ht="15" hidden="false" customHeight="false" outlineLevel="0" collapsed="false">
      <c r="A532" s="50" t="n">
        <v>492</v>
      </c>
      <c r="B532" s="19" t="n">
        <f aca="true">NORMINV(RAND(),$B$6,$C$6)</f>
        <v>0.212494949093277</v>
      </c>
      <c r="C532" s="19" t="n">
        <f aca="true">MAX(0.25,NORMINV(RAND(),$B$7,$C$7))</f>
        <v>0.488557855954717</v>
      </c>
      <c r="D532" s="32" t="n">
        <f aca="true">MAX(0.07,NORMINV(RAND(),$B$8,$C$8))</f>
        <v>0.0969058818082608</v>
      </c>
      <c r="E532" s="51" t="n">
        <f aca="true">MAX(8,NORMINV(RAND(),$B$9,$C$9))</f>
        <v>24.7330822044827</v>
      </c>
      <c r="F532" s="24" t="n">
        <f aca="false">$B$18*(1+(B532+$B$17)/2)^9</f>
        <v>21093.2008659306</v>
      </c>
      <c r="G532" s="24" t="n">
        <f aca="false">F532*C532</f>
        <v>10305.2489902812</v>
      </c>
      <c r="H532" s="24" t="n">
        <f aca="false">E532*G532/(1+D532)^9</f>
        <v>110869.590410281</v>
      </c>
      <c r="I532" s="24" t="n">
        <f aca="false">$B$13*G532/$B$12*((1+$B$8)/(1+D532))^4.5</f>
        <v>24577.7058745959</v>
      </c>
      <c r="J532" s="24" t="n">
        <f aca="false">H532+I532-$B$14</f>
        <v>133739.334490356</v>
      </c>
      <c r="K532" s="43" t="n">
        <f aca="false">J532/$B$15</f>
        <v>484.914193221016</v>
      </c>
    </row>
    <row r="533" customFormat="false" ht="15" hidden="false" customHeight="false" outlineLevel="0" collapsed="false">
      <c r="A533" s="50" t="n">
        <v>493</v>
      </c>
      <c r="B533" s="19" t="n">
        <f aca="true">NORMINV(RAND(),$B$6,$C$6)</f>
        <v>0.140058332499116</v>
      </c>
      <c r="C533" s="19" t="n">
        <f aca="true">MAX(0.25,NORMINV(RAND(),$B$7,$C$7))</f>
        <v>0.532005095886116</v>
      </c>
      <c r="D533" s="32" t="n">
        <f aca="true">MAX(0.07,NORMINV(RAND(),$B$8,$C$8))</f>
        <v>0.0965121392012796</v>
      </c>
      <c r="E533" s="51" t="n">
        <f aca="true">MAX(8,NORMINV(RAND(),$B$9,$C$9))</f>
        <v>19.436695879493</v>
      </c>
      <c r="F533" s="24" t="n">
        <f aca="false">$B$18*(1+(B533+$B$17)/2)^9</f>
        <v>15799.6138589909</v>
      </c>
      <c r="G533" s="24" t="n">
        <f aca="false">F533*C533</f>
        <v>8405.47508601604</v>
      </c>
      <c r="H533" s="24" t="n">
        <f aca="false">E533*G533/(1+D533)^9</f>
        <v>71295.7609487833</v>
      </c>
      <c r="I533" s="24" t="n">
        <f aca="false">$B$13*G533/$B$12*((1+$B$8)/(1+D533))^4.5</f>
        <v>20079.2165756029</v>
      </c>
      <c r="J533" s="24" t="n">
        <f aca="false">H533+I533-$B$14</f>
        <v>89667.0157298657</v>
      </c>
      <c r="K533" s="43" t="n">
        <f aca="false">J533/$B$15</f>
        <v>325.116083139469</v>
      </c>
    </row>
    <row r="534" customFormat="false" ht="15" hidden="false" customHeight="false" outlineLevel="0" collapsed="false">
      <c r="A534" s="50" t="n">
        <v>494</v>
      </c>
      <c r="B534" s="19" t="n">
        <f aca="true">NORMINV(RAND(),$B$6,$C$6)</f>
        <v>0.137742359904169</v>
      </c>
      <c r="C534" s="19" t="n">
        <f aca="true">MAX(0.25,NORMINV(RAND(),$B$7,$C$7))</f>
        <v>0.520574857180349</v>
      </c>
      <c r="D534" s="32" t="n">
        <f aca="true">MAX(0.07,NORMINV(RAND(),$B$8,$C$8))</f>
        <v>0.092198171498189</v>
      </c>
      <c r="E534" s="51" t="n">
        <f aca="true">MAX(8,NORMINV(RAND(),$B$9,$C$9))</f>
        <v>21.6571634320363</v>
      </c>
      <c r="F534" s="24" t="n">
        <f aca="false">$B$18*(1+(B534+$B$17)/2)^9</f>
        <v>15651.8914389614</v>
      </c>
      <c r="G534" s="24" t="n">
        <f aca="false">F534*C534</f>
        <v>8147.98115043966</v>
      </c>
      <c r="H534" s="24" t="n">
        <f aca="false">E534*G534/(1+D534)^9</f>
        <v>79788.1845208619</v>
      </c>
      <c r="I534" s="24" t="n">
        <f aca="false">$B$13*G534/$B$12*((1+$B$8)/(1+D534))^4.5</f>
        <v>19812.4648655787</v>
      </c>
      <c r="J534" s="24" t="n">
        <f aca="false">H534+I534-$B$14</f>
        <v>97892.6875919201</v>
      </c>
      <c r="K534" s="43" t="n">
        <f aca="false">J534/$B$15</f>
        <v>354.940854212908</v>
      </c>
    </row>
    <row r="535" customFormat="false" ht="15" hidden="false" customHeight="false" outlineLevel="0" collapsed="false">
      <c r="A535" s="50" t="n">
        <v>495</v>
      </c>
      <c r="B535" s="19" t="n">
        <f aca="true">NORMINV(RAND(),$B$6,$C$6)</f>
        <v>0.149094762765797</v>
      </c>
      <c r="C535" s="19" t="n">
        <f aca="true">MAX(0.25,NORMINV(RAND(),$B$7,$C$7))</f>
        <v>0.502871812823899</v>
      </c>
      <c r="D535" s="32" t="n">
        <f aca="true">MAX(0.07,NORMINV(RAND(),$B$8,$C$8))</f>
        <v>0.0996820002667799</v>
      </c>
      <c r="E535" s="51" t="n">
        <f aca="true">MAX(8,NORMINV(RAND(),$B$9,$C$9))</f>
        <v>19.4927800727103</v>
      </c>
      <c r="F535" s="24" t="n">
        <f aca="false">$B$18*(1+(B535+$B$17)/2)^9</f>
        <v>16387.9180846911</v>
      </c>
      <c r="G535" s="24" t="n">
        <f aca="false">F535*C535</f>
        <v>8241.02207565816</v>
      </c>
      <c r="H535" s="24" t="n">
        <f aca="false">E535*G535/(1+D535)^9</f>
        <v>68304.7351436807</v>
      </c>
      <c r="I535" s="24" t="n">
        <f aca="false">$B$13*G535/$B$12*((1+$B$8)/(1+D535))^4.5</f>
        <v>19432.292993419</v>
      </c>
      <c r="J535" s="24" t="n">
        <f aca="false">H535+I535-$B$14</f>
        <v>86029.0663425792</v>
      </c>
      <c r="K535" s="43" t="n">
        <f aca="false">J535/$B$15</f>
        <v>311.925548740316</v>
      </c>
    </row>
    <row r="536" customFormat="false" ht="15" hidden="false" customHeight="false" outlineLevel="0" collapsed="false">
      <c r="A536" s="50" t="n">
        <v>496</v>
      </c>
      <c r="B536" s="19" t="n">
        <f aca="true">NORMINV(RAND(),$B$6,$C$6)</f>
        <v>0.137999548525972</v>
      </c>
      <c r="C536" s="19" t="n">
        <f aca="true">MAX(0.25,NORMINV(RAND(),$B$7,$C$7))</f>
        <v>0.505551059920742</v>
      </c>
      <c r="D536" s="32" t="n">
        <f aca="true">MAX(0.07,NORMINV(RAND(),$B$8,$C$8))</f>
        <v>0.102765596733562</v>
      </c>
      <c r="E536" s="51" t="n">
        <f aca="true">MAX(8,NORMINV(RAND(),$B$9,$C$9))</f>
        <v>23.1296193646566</v>
      </c>
      <c r="F536" s="24" t="n">
        <f aca="false">$B$18*(1+(B536+$B$17)/2)^9</f>
        <v>15668.2351796016</v>
      </c>
      <c r="G536" s="24" t="n">
        <f aca="false">F536*C536</f>
        <v>7921.09290213506</v>
      </c>
      <c r="H536" s="24" t="n">
        <f aca="false">E536*G536/(1+D536)^9</f>
        <v>75963.4556721554</v>
      </c>
      <c r="I536" s="24" t="n">
        <f aca="false">$B$13*G536/$B$12*((1+$B$8)/(1+D536))^4.5</f>
        <v>18444.0233752566</v>
      </c>
      <c r="J536" s="24" t="n">
        <f aca="false">H536+I536-$B$14</f>
        <v>92699.5172528915</v>
      </c>
      <c r="K536" s="43" t="n">
        <f aca="false">J536/$B$15</f>
        <v>336.111375101129</v>
      </c>
    </row>
    <row r="537" customFormat="false" ht="15" hidden="false" customHeight="false" outlineLevel="0" collapsed="false">
      <c r="A537" s="50" t="n">
        <v>497</v>
      </c>
      <c r="B537" s="19" t="n">
        <f aca="true">NORMINV(RAND(),$B$6,$C$6)</f>
        <v>0.0757308605828878</v>
      </c>
      <c r="C537" s="19" t="n">
        <f aca="true">MAX(0.25,NORMINV(RAND(),$B$7,$C$7))</f>
        <v>0.505612058171503</v>
      </c>
      <c r="D537" s="32" t="n">
        <f aca="true">MAX(0.07,NORMINV(RAND(),$B$8,$C$8))</f>
        <v>0.104153769907769</v>
      </c>
      <c r="E537" s="51" t="n">
        <f aca="true">MAX(8,NORMINV(RAND(),$B$9,$C$9))</f>
        <v>15.9331041863487</v>
      </c>
      <c r="F537" s="24" t="n">
        <f aca="false">$B$18*(1+(B537+$B$17)/2)^9</f>
        <v>12126.0080314354</v>
      </c>
      <c r="G537" s="24" t="n">
        <f aca="false">F537*C537</f>
        <v>6131.0558781782</v>
      </c>
      <c r="H537" s="24" t="n">
        <f aca="false">E537*G537/(1+D537)^9</f>
        <v>40046.9673665429</v>
      </c>
      <c r="I537" s="24" t="n">
        <f aca="false">$B$13*G537/$B$12*((1+$B$8)/(1+D537))^4.5</f>
        <v>14195.3875232953</v>
      </c>
      <c r="J537" s="24" t="n">
        <f aca="false">H537+I537-$B$14</f>
        <v>52534.3930953177</v>
      </c>
      <c r="K537" s="43" t="n">
        <f aca="false">J537/$B$15</f>
        <v>190.480032977947</v>
      </c>
    </row>
    <row r="538" customFormat="false" ht="15" hidden="false" customHeight="false" outlineLevel="0" collapsed="false">
      <c r="A538" s="50" t="n">
        <v>498</v>
      </c>
      <c r="B538" s="19" t="n">
        <f aca="true">NORMINV(RAND(),$B$6,$C$6)</f>
        <v>0.152253338576639</v>
      </c>
      <c r="C538" s="19" t="n">
        <f aca="true">MAX(0.25,NORMINV(RAND(),$B$7,$C$7))</f>
        <v>0.530566650159698</v>
      </c>
      <c r="D538" s="32" t="n">
        <f aca="true">MAX(0.07,NORMINV(RAND(),$B$8,$C$8))</f>
        <v>0.085478817427087</v>
      </c>
      <c r="E538" s="51" t="n">
        <f aca="true">MAX(8,NORMINV(RAND(),$B$9,$C$9))</f>
        <v>16.3940677602047</v>
      </c>
      <c r="F538" s="24" t="n">
        <f aca="false">$B$18*(1+(B538+$B$17)/2)^9</f>
        <v>16598.0982690788</v>
      </c>
      <c r="G538" s="24" t="n">
        <f aca="false">F538*C538</f>
        <v>8806.39739764662</v>
      </c>
      <c r="H538" s="24" t="n">
        <f aca="false">E538*G538/(1+D538)^9</f>
        <v>69006.949544076</v>
      </c>
      <c r="I538" s="24" t="n">
        <f aca="false">$B$13*G538/$B$12*((1+$B$8)/(1+D538))^4.5</f>
        <v>22016.4446937823</v>
      </c>
      <c r="J538" s="24" t="n">
        <f aca="false">H538+I538-$B$14</f>
        <v>89315.4324433378</v>
      </c>
      <c r="K538" s="43" t="n">
        <f aca="false">J538/$B$15</f>
        <v>323.841306901152</v>
      </c>
    </row>
    <row r="539" customFormat="false" ht="15" hidden="false" customHeight="false" outlineLevel="0" collapsed="false">
      <c r="A539" s="50" t="n">
        <v>499</v>
      </c>
      <c r="B539" s="19" t="n">
        <f aca="true">NORMINV(RAND(),$B$6,$C$6)</f>
        <v>0.145037596248524</v>
      </c>
      <c r="C539" s="19" t="n">
        <f aca="true">MAX(0.25,NORMINV(RAND(),$B$7,$C$7))</f>
        <v>0.488225559964892</v>
      </c>
      <c r="D539" s="32" t="n">
        <f aca="true">MAX(0.07,NORMINV(RAND(),$B$8,$C$8))</f>
        <v>0.110539915569057</v>
      </c>
      <c r="E539" s="51" t="n">
        <f aca="true">MAX(8,NORMINV(RAND(),$B$9,$C$9))</f>
        <v>21.1235669354103</v>
      </c>
      <c r="F539" s="24" t="n">
        <f aca="false">$B$18*(1+(B539+$B$17)/2)^9</f>
        <v>16121.4159525217</v>
      </c>
      <c r="G539" s="24" t="n">
        <f aca="false">F539*C539</f>
        <v>7870.88733084684</v>
      </c>
      <c r="H539" s="24" t="n">
        <f aca="false">E539*G539/(1+D539)^9</f>
        <v>64711.7874249201</v>
      </c>
      <c r="I539" s="24" t="n">
        <f aca="false">$B$13*G539/$B$12*((1+$B$8)/(1+D539))^4.5</f>
        <v>17756.8086604283</v>
      </c>
      <c r="J539" s="24" t="n">
        <f aca="false">H539+I539-$B$14</f>
        <v>80760.6342908279</v>
      </c>
      <c r="K539" s="43" t="n">
        <f aca="false">J539/$B$15</f>
        <v>292.823184520768</v>
      </c>
    </row>
    <row r="540" customFormat="false" ht="15" hidden="false" customHeight="false" outlineLevel="0" collapsed="false">
      <c r="A540" s="50" t="n">
        <v>500</v>
      </c>
      <c r="B540" s="19" t="n">
        <f aca="true">NORMINV(RAND(),$B$6,$C$6)</f>
        <v>0.116377002588624</v>
      </c>
      <c r="C540" s="19" t="n">
        <f aca="true">MAX(0.25,NORMINV(RAND(),$B$7,$C$7))</f>
        <v>0.46144778606306</v>
      </c>
      <c r="D540" s="32" t="n">
        <f aca="true">MAX(0.07,NORMINV(RAND(),$B$8,$C$8))</f>
        <v>0.106642780728147</v>
      </c>
      <c r="E540" s="51" t="n">
        <f aca="true">MAX(8,NORMINV(RAND(),$B$9,$C$9))</f>
        <v>17.1737225662304</v>
      </c>
      <c r="F540" s="24" t="n">
        <f aca="false">$B$18*(1+(B540+$B$17)/2)^9</f>
        <v>14345.939353259</v>
      </c>
      <c r="G540" s="24" t="n">
        <f aca="false">F540*C540</f>
        <v>6619.9019535563</v>
      </c>
      <c r="H540" s="24" t="n">
        <f aca="false">E540*G540/(1+D540)^9</f>
        <v>45671.8814920332</v>
      </c>
      <c r="I540" s="24" t="n">
        <f aca="false">$B$13*G540/$B$12*((1+$B$8)/(1+D540))^4.5</f>
        <v>15172.7047069254</v>
      </c>
      <c r="J540" s="24" t="n">
        <f aca="false">H540+I540-$B$14</f>
        <v>59136.624404438</v>
      </c>
      <c r="K540" s="43" t="n">
        <f aca="false">J540/$B$15</f>
        <v>214.418507630305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0"/>
    <col collapsed="false" customWidth="true" hidden="false" outlineLevel="0" max="5" min="4" style="0" width="9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448</v>
      </c>
    </row>
    <row r="2" customFormat="false" ht="15" hidden="false" customHeight="false" outlineLevel="0" collapsed="false">
      <c r="A2" s="9" t="str">
        <f aca="false">CONCATENATE("Current price: $",TEXT(Assumptions!B49,"0.00"),"   ·   Scenario: ",CHOOSE(Assumptions!B4,"BASE","BULL","BEAR"),"   ·   Probability-weighted value: $",TEXT(Monte_Carlo!C35,"0.00"))</f>
        <v>Current price: $330.10   ·   Scenario: BASE   ·   Probability-weighted value: $309.53</v>
      </c>
    </row>
    <row r="4" customFormat="false" ht="15" hidden="false" customHeight="false" outlineLevel="0" collapsed="false">
      <c r="A4" s="10" t="s">
        <v>449</v>
      </c>
      <c r="B4" s="10" t="s">
        <v>338</v>
      </c>
      <c r="C4" s="10" t="s">
        <v>339</v>
      </c>
      <c r="D4" s="10" t="s">
        <v>450</v>
      </c>
      <c r="E4" s="10" t="s">
        <v>451</v>
      </c>
      <c r="F4" s="10" t="s">
        <v>452</v>
      </c>
    </row>
    <row r="5" customFormat="false" ht="15" hidden="false" customHeight="false" outlineLevel="0" collapsed="false">
      <c r="A5" s="3" t="s">
        <v>453</v>
      </c>
      <c r="B5" s="52" t="n">
        <v>262.75</v>
      </c>
      <c r="C5" s="52" t="n">
        <v>416.69</v>
      </c>
      <c r="D5" s="26" t="n">
        <f aca="false">B5</f>
        <v>262.75</v>
      </c>
      <c r="E5" s="26" t="n">
        <f aca="false">C5-B5</f>
        <v>153.94</v>
      </c>
      <c r="F5" s="39" t="n">
        <f aca="false">(B5+C5)/2</f>
        <v>339.72</v>
      </c>
    </row>
    <row r="6" customFormat="false" ht="15" hidden="false" customHeight="false" outlineLevel="0" collapsed="false">
      <c r="A6" s="3" t="s">
        <v>454</v>
      </c>
      <c r="B6" s="52" t="n">
        <v>340</v>
      </c>
      <c r="C6" s="52" t="n">
        <v>432</v>
      </c>
      <c r="D6" s="26" t="n">
        <f aca="false">B6</f>
        <v>340</v>
      </c>
      <c r="E6" s="26" t="n">
        <f aca="false">C6-B6</f>
        <v>92</v>
      </c>
      <c r="F6" s="39" t="n">
        <f aca="false">(B6+C6)/2</f>
        <v>386</v>
      </c>
    </row>
    <row r="7" customFormat="false" ht="15" hidden="false" customHeight="false" outlineLevel="0" collapsed="false">
      <c r="A7" s="3" t="s">
        <v>455</v>
      </c>
      <c r="B7" s="49" t="n">
        <f aca="false">(SUMPRODUCT(DCF!$B$10:$J$10,(1+(WACC!$B$20+0.005))^-DCF!$B$11:$J$11)+DCF!$J$10*(1+0.03)/((WACC!$B$20+0.005)-0.03)/(1+(WACC!$B$20+0.005))^9-DCF!$B$31)/DCF!$B$32</f>
        <v>158.813768900141</v>
      </c>
      <c r="C7" s="49" t="n">
        <f aca="false">(SUMPRODUCT(DCF!$B$10:$J$10,(1+(WACC!$B$20-0.005))^-DCF!$B$11:$J$11)+DCF!$J$10*(1+0.04)/((WACC!$B$20-0.005)-0.04)/(1+(WACC!$B$20-0.005))^9-DCF!$B$31)/DCF!$B$32</f>
        <v>213.581894946968</v>
      </c>
      <c r="D7" s="26" t="n">
        <f aca="false">B7</f>
        <v>158.813768900141</v>
      </c>
      <c r="E7" s="26" t="n">
        <f aca="false">C7-B7</f>
        <v>54.768126046827</v>
      </c>
      <c r="F7" s="39" t="n">
        <f aca="false">(B7+C7)/2</f>
        <v>186.197831923554</v>
      </c>
    </row>
    <row r="8" customFormat="false" ht="15" hidden="false" customHeight="false" outlineLevel="0" collapsed="false">
      <c r="A8" s="3" t="s">
        <v>456</v>
      </c>
      <c r="B8" s="49" t="n">
        <f aca="false">(SUMPRODUCT(DCF!$B$10:$J$10,(1+(WACC!$B$20+0.005))^-DCF!$B$11:$J$11)+17.5*Model_3S!$L$22/(1+(WACC!$B$20+0.005))^9-DCF!$B$31)/DCF!$B$32</f>
        <v>257.884443047909</v>
      </c>
      <c r="C8" s="49" t="n">
        <f aca="false">(SUMPRODUCT(DCF!$B$10:$J$10,(1+(WACC!$B$20-0.005))^-DCF!$B$11:$J$11)+22.5*Model_3S!$L$22/(1+(WACC!$B$20-0.005))^9-DCF!$B$31)/DCF!$B$32</f>
        <v>339.796037813829</v>
      </c>
      <c r="D8" s="26" t="n">
        <f aca="false">B8</f>
        <v>257.884443047909</v>
      </c>
      <c r="E8" s="26" t="n">
        <f aca="false">C8-B8</f>
        <v>81.9115947659192</v>
      </c>
      <c r="F8" s="39" t="n">
        <f aca="false">(B8+C8)/2</f>
        <v>298.840240430869</v>
      </c>
    </row>
    <row r="9" customFormat="false" ht="15" hidden="false" customHeight="false" outlineLevel="0" collapsed="false">
      <c r="A9" s="3" t="s">
        <v>457</v>
      </c>
      <c r="B9" s="49" t="n">
        <f aca="false">Comps!E14</f>
        <v>248.486813652935</v>
      </c>
      <c r="C9" s="49" t="n">
        <f aca="false">Comps!F14</f>
        <v>350.358641064102</v>
      </c>
      <c r="D9" s="26" t="n">
        <f aca="false">B9</f>
        <v>248.486813652935</v>
      </c>
      <c r="E9" s="26" t="n">
        <f aca="false">C9-B9</f>
        <v>101.871827411168</v>
      </c>
      <c r="F9" s="39" t="n">
        <f aca="false">(B9+C9)/2</f>
        <v>299.422727358519</v>
      </c>
    </row>
    <row r="10" customFormat="false" ht="15" hidden="false" customHeight="false" outlineLevel="0" collapsed="false">
      <c r="A10" s="3" t="s">
        <v>458</v>
      </c>
      <c r="B10" s="49" t="n">
        <f aca="false">Comps!E15</f>
        <v>276.5</v>
      </c>
      <c r="C10" s="49" t="n">
        <f aca="false">Comps!F15</f>
        <v>355.5</v>
      </c>
      <c r="D10" s="26" t="n">
        <f aca="false">B10</f>
        <v>276.5</v>
      </c>
      <c r="E10" s="26" t="n">
        <f aca="false">C10-B10</f>
        <v>79</v>
      </c>
      <c r="F10" s="39" t="n">
        <f aca="false">(B10+C10)/2</f>
        <v>316</v>
      </c>
    </row>
    <row r="11" customFormat="false" ht="15" hidden="false" customHeight="false" outlineLevel="0" collapsed="false">
      <c r="A11" s="3" t="s">
        <v>459</v>
      </c>
      <c r="B11" s="49" t="n">
        <f aca="false">Precedents!B18</f>
        <v>217.701371303406</v>
      </c>
      <c r="C11" s="49" t="n">
        <f aca="false">Precedents!C18</f>
        <v>329.648434392601</v>
      </c>
      <c r="D11" s="26" t="n">
        <f aca="false">B11</f>
        <v>217.701371303406</v>
      </c>
      <c r="E11" s="26" t="n">
        <f aca="false">C11-B11</f>
        <v>111.947063089195</v>
      </c>
      <c r="F11" s="39" t="n">
        <f aca="false">(B11+C11)/2</f>
        <v>273.674902848004</v>
      </c>
    </row>
    <row r="12" customFormat="false" ht="15" hidden="false" customHeight="false" outlineLevel="0" collapsed="false">
      <c r="A12" s="3" t="s">
        <v>460</v>
      </c>
      <c r="B12" s="49" t="n">
        <f aca="false">LBO!D46</f>
        <v>166.174454597727</v>
      </c>
      <c r="C12" s="49" t="n">
        <f aca="false">LBO!D44</f>
        <v>221.753787305066</v>
      </c>
      <c r="D12" s="26" t="n">
        <f aca="false">B12</f>
        <v>166.174454597727</v>
      </c>
      <c r="E12" s="26" t="n">
        <f aca="false">C12-B12</f>
        <v>55.5793327073388</v>
      </c>
      <c r="F12" s="39" t="n">
        <f aca="false">(B12+C12)/2</f>
        <v>193.964120951397</v>
      </c>
    </row>
    <row r="13" customFormat="false" ht="15" hidden="false" customHeight="false" outlineLevel="0" collapsed="false">
      <c r="A13" s="3" t="s">
        <v>461</v>
      </c>
      <c r="B13" s="49" t="n">
        <f aca="false">Monte_Carlo!B25</f>
        <v>251.320339805243</v>
      </c>
      <c r="C13" s="49" t="n">
        <f aca="false">Monte_Carlo!B26</f>
        <v>328.630572009186</v>
      </c>
      <c r="D13" s="26" t="n">
        <f aca="false">B13</f>
        <v>251.320339805243</v>
      </c>
      <c r="E13" s="26" t="n">
        <f aca="false">C13-B13</f>
        <v>77.3102322039431</v>
      </c>
      <c r="F13" s="39" t="n">
        <f aca="false">(B13+C13)/2</f>
        <v>289.975455907214</v>
      </c>
    </row>
    <row r="14" customFormat="false" ht="15" hidden="false" customHeight="false" outlineLevel="0" collapsed="false">
      <c r="A14" s="3" t="s">
        <v>462</v>
      </c>
      <c r="B14" s="49" t="n">
        <f aca="false">Assumptions!B49-3</f>
        <v>327.1</v>
      </c>
      <c r="C14" s="49" t="n">
        <f aca="false">Assumptions!B49+3</f>
        <v>333.1</v>
      </c>
      <c r="D14" s="26" t="n">
        <f aca="false">B14</f>
        <v>327.1</v>
      </c>
      <c r="E14" s="26" t="n">
        <f aca="false">C14-B14</f>
        <v>6</v>
      </c>
      <c r="F14" s="39" t="n">
        <f aca="false">(B14+C14)/2</f>
        <v>330.1</v>
      </c>
    </row>
    <row r="16" customFormat="false" ht="15" hidden="false" customHeight="false" outlineLevel="0" collapsed="false">
      <c r="A16" s="13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2026-07-22T04:51:27Z</dcterms:created>
  <dc:creator>openpyxl</dc:creator>
  <dc:description/>
  <dc:language>en-US</dc:language>
  <cp:lastModifiedBy/>
  <dcterms:modified xsi:type="dcterms:W3CDTF">2026-07-22T04:51:37Z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