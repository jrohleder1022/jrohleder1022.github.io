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<sst xmlns="http://schemas.openxmlformats.org/spreadsheetml/2006/main" count="529" uniqueCount="469">
  <si>
    <t xml:space="preserve">SYMBOTIC INC. (NASDAQ: SYM) — DCF VALUATION &amp; 3-STATEMENT OPERATING MODEL</t>
  </si>
  <si>
    <t xml:space="preserve">Prepared July 20, 2026 · All figures in $ millions except per-share data · Fiscal year ends late September</t>
  </si>
  <si>
    <t xml:space="preserve">CONTENTS</t>
  </si>
  <si>
    <t xml:space="preserve">Assumptions</t>
  </si>
  <si>
    <t xml:space="preserve">All scenario levers, WACC &amp; valuation inputs (edit yellow cells only)</t>
  </si>
  <si>
    <t xml:space="preserve">Historicals</t>
  </si>
  <si>
    <t xml:space="preserve">FY2022–FY2025 actuals and FY2026 quarterly build with sources</t>
  </si>
  <si>
    <t xml:space="preserve">Model_3S</t>
  </si>
  <si>
    <t xml:space="preserve">Linked 3-statement model FY2026E–FY2035E: IS, BS, CF, working capital, capex, debt schedule</t>
  </si>
  <si>
    <t xml:space="preserve">WACC</t>
  </si>
  <si>
    <t xml:space="preserve">Cost of capital build-up from current market data</t>
  </si>
  <si>
    <t xml:space="preserve">DCF</t>
  </si>
  <si>
    <t xml:space="preserve">Unlevered FCF, terminal value (Gordon growth &amp; exit multiple), sensitivity tables</t>
  </si>
  <si>
    <t xml:space="preserve">Comps</t>
  </si>
  <si>
    <t xml:space="preserve">Trading comparables — warehouse automation &amp; industrial automation peers</t>
  </si>
  <si>
    <t xml:space="preserve">Precedents</t>
  </si>
  <si>
    <t xml:space="preserve">Precedent M&amp;A transactions in warehouse automation / robotics</t>
  </si>
  <si>
    <t xml:space="preserve">LBO</t>
  </si>
  <si>
    <t xml:space="preserve">Leveraged buyout analysis; implied max entry price at 15/20/25/30% IRR thresholds</t>
  </si>
  <si>
    <t xml:space="preserve">Monte_Carlo</t>
  </si>
  <si>
    <t xml:space="preserve">Live 500-trial simulation + scenario probability-weighted value</t>
  </si>
  <si>
    <t xml:space="preserve">Football_Field</t>
  </si>
  <si>
    <t xml:space="preserve">Valuation summary chart across all methodologies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</si>
  <si>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</si>
  <si>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</si>
  <si>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</si>
  <si>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</si>
  <si>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</si>
  <si>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</si>
  <si>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</si>
  <si>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 suffix in a label or note</t>
  </si>
  <si>
    <t xml:space="preserve">Estimated figure (not directly disclosed); see cell notes/sources</t>
  </si>
  <si>
    <t xml:space="preserve">HOW TO USE</t>
  </si>
  <si>
    <t xml:space="preserve">1.</t>
  </si>
  <si>
    <t xml:space="preserve">Set the scenario switch on Assumptions!B4 (1=Base, 2=Bull, 3=Bear). The entire model, DCF and LBO re-derive.</t>
  </si>
  <si>
    <t xml:space="preserve">2.</t>
  </si>
  <si>
    <t xml:space="preserve">Edit growth/margin targets, WACC inputs, terminal assumptions — all yellow cells.</t>
  </si>
  <si>
    <t xml:space="preserve">3.</t>
  </si>
  <si>
    <t xml:space="preserve">Monte Carlo trials use RAND() and refresh on every recalculation (F9).</t>
  </si>
  <si>
    <t xml:space="preserve">KEY SOURCES</t>
  </si>
  <si>
    <t xml:space="preserve">Q2 FY2026 results (8-K ex.99.1, May 6, 2026)</t>
  </si>
  <si>
    <t xml:space="preserve">https://www.sec.gov/Archives/edgar/data/0001837240/000183724026000023/q2268-k_ex991.htm</t>
  </si>
  <si>
    <t xml:space="preserve">Q1 FY2026 results (8-K ex.99.1, Feb 4, 2026)</t>
  </si>
  <si>
    <t xml:space="preserve">https://www.sec.gov/Archives/edgar/data/1837240/000183724026000008/q1268-k_ex991.htm</t>
  </si>
  <si>
    <t xml:space="preserve">FY2025 10-K (filed Nov 2025)</t>
  </si>
  <si>
    <t xml:space="preserve">https://www.sec.gov/Archives/edgar/data/1837240/000183724025000278/sym-20250927.htm</t>
  </si>
  <si>
    <t xml:space="preserve">FY2025 Q4/FY results press release</t>
  </si>
  <si>
    <t xml:space="preserve">https://ir.symbotic.com/news-releases/news-release-details/symbotic-reports-fourth-quarter-and-fiscal-year-2025-results</t>
  </si>
  <si>
    <t xml:space="preserve">User-provided source document</t>
  </si>
  <si>
    <t xml:space="preserve">https://ir.symbotic.com/node/11021/html (Q2 FY2026 filing; site blocks automated access — figures cross-sourced from SEC mirrors above)</t>
  </si>
  <si>
    <t xml:space="preserve">Market data (price, beta, 10Y UST, peer multiples)</t>
  </si>
  <si>
    <t xml:space="preserve">stockanalysis.com, tradingeconomics.com/FRED, multiples.vc, marketbeat/tipranks consensus — as of July 17-20, 2026</t>
  </si>
  <si>
    <t xml:space="preserve">DISCLAIMER</t>
  </si>
  <si>
    <t xml:space="preserve">Educational model, not investment advice. Estimated cells are best-effort reconstructions where line-item detail was not retrievable; verify against filings before relying on any output.</t>
  </si>
  <si>
    <t xml:space="preserve">ASSUMPTIONS &amp; SCENARIO LEVERS</t>
  </si>
  <si>
    <t xml:space="preserve">Edit yellow cells. Scenario switch drives Model_3S, DCF, LBO and Monte Carlo.</t>
  </si>
  <si>
    <t xml:space="preserve">SCENARIO SWITCH  (1 = Base, 2 = Bull, 3 = Bear)</t>
  </si>
  <si>
    <t xml:space="preserve">Scenario probability weights (used for weighted value &amp; Monte Carlo)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</si>
  <si>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</si>
  <si>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</si>
  <si>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</si>
  <si>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</si>
  <si>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</si>
  <si>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Must total 100%</t>
  </si>
  <si>
    <t xml:space="preserve">Revenue growth — decays linearly from FY2027 rate to FY2035 rate</t>
  </si>
  <si>
    <t xml:space="preserve">Selected</t>
  </si>
  <si>
    <t xml:space="preserve">FY2027 revenue growth</t>
  </si>
  <si>
    <t xml:space="preserve">FY2035 revenue growth (terminal-year)</t>
  </si>
  <si>
    <t xml:space="preserve">Bull = Base +5pp initial growth; Bear = Base −7pp. Backlog of $22.7B (~8x FY26E revenue) supports multi-year visibility.</t>
  </si>
  <si>
    <t xml:space="preserve">Operating drivers — FY2026 start value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</si>
  <si>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</si>
  <si>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</si>
  <si>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</si>
  <si>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</si>
  <si>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</si>
  <si>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(excl. D&amp;A)</t>
  </si>
  <si>
    <t xml:space="preserve">R&amp;D expense (cash, % revenue)</t>
  </si>
  <si>
    <t xml:space="preserve">SG&amp;A expense (cash, % revenue)</t>
  </si>
  <si>
    <t xml:space="preserve">Stock-based compensation (% revenue)</t>
  </si>
  <si>
    <t xml:space="preserve">D&amp;A (% revenue)</t>
  </si>
  <si>
    <t xml:space="preserve">Capex incl. capitalized software (% revenue)</t>
  </si>
  <si>
    <t xml:space="preserve">Cash tax rate (NOL runoff by FY2035)</t>
  </si>
  <si>
    <t xml:space="preserve">Deferred revenue / customer deposits (% revenue)</t>
  </si>
  <si>
    <t xml:space="preserve">FY26 starts calibrated to H1 FY26 actuals + Q3 guidance (see Historicals). Implied terminal Adj. EBITDA margin: Base 21%, Bull 25%, Bear 14%.</t>
  </si>
  <si>
    <t xml:space="preserve">Working capital drivers (held constant)</t>
  </si>
  <si>
    <t xml:space="preserve">Days sales outstanding (DSO)</t>
  </si>
  <si>
    <t xml:space="preserve">Days inventory outstanding (DIO, on COGS)</t>
  </si>
  <si>
    <t xml:space="preserve">Days payable outstanding (DPO, on COGS)</t>
  </si>
  <si>
    <t xml:space="preserve">Accrued liabilities (% revenue)</t>
  </si>
  <si>
    <t xml:space="preserve">Other current assets (% revenue)</t>
  </si>
  <si>
    <t xml:space="preserve">Capital &amp; other</t>
  </si>
  <si>
    <t xml:space="preserve">Interest earned on cash balances</t>
  </si>
  <si>
    <t xml:space="preserve">Revolver interest rate</t>
  </si>
  <si>
    <t xml:space="preserve">Minimum cash balance ($mm)</t>
  </si>
  <si>
    <t xml:space="preserve">Diluted shares outstanding (mm, all classes A/V-1/V-3 + dilutives)</t>
  </si>
  <si>
    <t xml:space="preserve">~125.5mm Class A + ~478mm Class V-1/V-3 (Up-C units) + dilutives; cross-checks to $26.8B mkt cap at $42.51</t>
  </si>
  <si>
    <t xml:space="preserve">Marginal tax rate (valuation)</t>
  </si>
  <si>
    <t xml:space="preserve">Terminal value &amp; market inputs</t>
  </si>
  <si>
    <t xml:space="preserve">Terminal (perpetuity) growth rate g</t>
  </si>
  <si>
    <t xml:space="preserve">Exit EV / Adj. EBITDA multiple (terminal FY2035)</t>
  </si>
  <si>
    <t xml:space="preserve">Current share price (7/17-18/2026)</t>
  </si>
  <si>
    <t xml:space="preserve">FY2026 equity issuance (Q1 FY26 follow-on, net, $mm)</t>
  </si>
  <si>
    <t xml:space="preserve">Valuation date convention: values as of FY2026 fiscal year end (late Sept 2026); FY2027-35 FCF discounted mid-year. Exit multiple of 12x terminal EBITDA is a discount to current peer median (~18x) reflecting matured growth by FY2035.</t>
  </si>
  <si>
    <t xml:space="preserve">HISTORICAL FINANCIALS &amp; FY2026 BUILD  ($mm)</t>
  </si>
  <si>
    <t xml:space="preserve">FY2022A</t>
  </si>
  <si>
    <t xml:space="preserve">FY2023A</t>
  </si>
  <si>
    <t xml:space="preserve">FY2024A*</t>
  </si>
  <si>
    <t xml:space="preserve">FY2025A</t>
  </si>
  <si>
    <t xml:space="preserve">Q1 FY26A</t>
  </si>
  <si>
    <t xml:space="preserve">Q2 FY26A</t>
  </si>
  <si>
    <t xml:space="preserve">Q3 FY26E</t>
  </si>
  <si>
    <t xml:space="preserve">Q4 FY26E</t>
  </si>
  <si>
    <t xml:space="preserve">FY2026E</t>
  </si>
  <si>
    <t xml:space="preserve">Revenue</t>
  </si>
  <si>
    <t xml:space="preserve">  % growth y/y</t>
  </si>
  <si>
    <t xml:space="preserve">Gross profit</t>
  </si>
  <si>
    <t xml:space="preserve">  Gross margin %</t>
  </si>
  <si>
    <t xml:space="preserve">Operating income (loss)</t>
  </si>
  <si>
    <t xml:space="preserve">Net income (loss)</t>
  </si>
  <si>
    <t xml:space="preserve">Adjusted EBITDA</t>
  </si>
  <si>
    <t xml:space="preserve">  Adj. EBITDA margin %</t>
  </si>
  <si>
    <t xml:space="preserve">Cash &amp; equivalents (period end)</t>
  </si>
  <si>
    <t xml:space="preserve">Contracted backlog ($B)</t>
  </si>
  <si>
    <t xml:space="preserve">* FY2024 restated (Nov-2024 revenue recognition restatement); FY2024 revenue derived from FY2025 reported +26% y/y growth. FY2023 shown as originally reported.</t>
  </si>
  <si>
    <t xml:space="preserve">Estimated cells ('e'): FY22/FY23 gross profit (~16.3-16.4% margin, per 10-K trend); FY24 gross profit = FY25 $422.6mm less disclosed +$176.9mm increase; FY24 net loss approximate.</t>
  </si>
  <si>
    <t xml:space="preserve">Q3 FY26E = management guidance midpoint (rev $700-720mm, Adj. EBITDA $80-85mm). Q4 FY26E = extrapolation (+6% q/q revenue), analyst-consensus-consistent.</t>
  </si>
  <si>
    <t xml:space="preserve">Q1 FY26: rev $630mm, NI $13mm, Adj. EBITDA $67mm, cash $1.8B (incl. $424mm follow-on proceeds). Q2 FY26: rev $676mm, NI $9mm, Adj. EBITDA $78mm, cash $2.0B, backlog $22.7B.</t>
  </si>
  <si>
    <t xml:space="preserve">Sources: SEC 8-K exhibits 99.1 (Q1 &amp; Q2 FY26), FY2025 10-K &amp; Q4 FY25 press release — full URLs on Cover sheet.</t>
  </si>
  <si>
    <t xml:space="preserve">3-STATEMENT OPERATING MODEL — FY2026E–FY2035E  ($mm)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</si>
  <si>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</si>
  <si>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</si>
  <si>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</si>
  <si>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</si>
  <si>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</si>
  <si>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</si>
  <si>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</si>
  <si>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</si>
  <si>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</si>
  <si>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  (green = linked to Assumptions; ramps are linear FY26 → FY35)</t>
  </si>
  <si>
    <t xml:space="preserve">Revenue growth %</t>
  </si>
  <si>
    <t xml:space="preserve">Gross margin %</t>
  </si>
  <si>
    <t xml:space="preserve">R&amp;D % rev</t>
  </si>
  <si>
    <t xml:space="preserve">SG&amp;A % rev</t>
  </si>
  <si>
    <t xml:space="preserve">SBC % rev</t>
  </si>
  <si>
    <t xml:space="preserve">D&amp;A % rev</t>
  </si>
  <si>
    <t xml:space="preserve">Capex % rev</t>
  </si>
  <si>
    <t xml:space="preserve">Cash tax rate %</t>
  </si>
  <si>
    <t xml:space="preserve">Deferred rev % rev</t>
  </si>
  <si>
    <t xml:space="preserve">INCOME STATEMENT</t>
  </si>
  <si>
    <t xml:space="preserve">Cost of revenue (excl. D&amp;A)</t>
  </si>
  <si>
    <t xml:space="preserve">R&amp;D (cash)</t>
  </si>
  <si>
    <t xml:space="preserve">SG&amp;A (cash)</t>
  </si>
  <si>
    <t xml:space="preserve">Stock-based compensation</t>
  </si>
  <si>
    <t xml:space="preserve">Depreciation &amp; amortization</t>
  </si>
  <si>
    <t xml:space="preserve">EBIT (operating income)</t>
  </si>
  <si>
    <t xml:space="preserve">Interest income (on beginning cash)</t>
  </si>
  <si>
    <t xml:space="preserve">Interest expense (on beginning debt)</t>
  </si>
  <si>
    <t xml:space="preserve">Pre-tax income</t>
  </si>
  <si>
    <t xml:space="preserve">Taxes (cash rate; NOL ramp)</t>
  </si>
  <si>
    <t xml:space="preserve">Net income</t>
  </si>
  <si>
    <t xml:space="preserve">WORKING CAPITAL</t>
  </si>
  <si>
    <t xml:space="preserve">Accounts receivable</t>
  </si>
  <si>
    <t xml:space="preserve">FY2025A column: estimated opening balances (10-K line detail not retrievable); liabilities shown negative</t>
  </si>
  <si>
    <t xml:space="preserve">Inventory</t>
  </si>
  <si>
    <t xml:space="preserve">Other current assets</t>
  </si>
  <si>
    <t xml:space="preserve">Accounts payable</t>
  </si>
  <si>
    <t xml:space="preserve">Accrued liabilities</t>
  </si>
  <si>
    <t xml:space="preserve">Deferred revenue &amp; customer deposits</t>
  </si>
  <si>
    <t xml:space="preserve">Net working capital</t>
  </si>
  <si>
    <t xml:space="preserve">(Increase) / decrease in NWC — cash impact</t>
  </si>
  <si>
    <t xml:space="preserve">CAPEX &amp; PP&amp;E (incl. capitalized software &amp; intangibles)</t>
  </si>
  <si>
    <t xml:space="preserve">Capex</t>
  </si>
  <si>
    <t xml:space="preserve">PP&amp;E + intangibles, net</t>
  </si>
  <si>
    <t xml:space="preserve">DEBT SCHEDULE (SYM currently debt-free; revolver modeled for completeness)</t>
  </si>
  <si>
    <t xml:space="preserve">Revolver — beginning</t>
  </si>
  <si>
    <t xml:space="preserve">  Draw (if cash &lt; minimum)</t>
  </si>
  <si>
    <t xml:space="preserve">  (Repayment)</t>
  </si>
  <si>
    <t xml:space="preserve">Revolver — ending</t>
  </si>
  <si>
    <t xml:space="preserve">Term loan — beginning (editable)</t>
  </si>
  <si>
    <t xml:space="preserve">Term loan — ending</t>
  </si>
  <si>
    <t xml:space="preserve">Total debt — ending</t>
  </si>
  <si>
    <t xml:space="preserve">CASH FLOW STATEMENT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</si>
  <si>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</si>
  <si>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</si>
  <si>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</si>
  <si>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</si>
  <si>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</si>
  <si>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 (levered)</t>
  </si>
  <si>
    <t xml:space="preserve">+ Equity issuance (FY26 follow-on)</t>
  </si>
  <si>
    <t xml:space="preserve">+ Debt draws / (repayments)</t>
  </si>
  <si>
    <t xml:space="preserve">Net change in cash</t>
  </si>
  <si>
    <t xml:space="preserve">Cash — beginning</t>
  </si>
  <si>
    <t xml:space="preserve">Cash — ending</t>
  </si>
  <si>
    <t xml:space="preserve">FY2025A cash per Q4 FY25 press release</t>
  </si>
  <si>
    <t xml:space="preserve">BALANCE SHEET</t>
  </si>
  <si>
    <t xml:space="preserve">Cash &amp; equivalents</t>
  </si>
  <si>
    <t xml:space="preserve">Other long-term assets</t>
  </si>
  <si>
    <t xml:space="preserve">TOTAL ASSETS</t>
  </si>
  <si>
    <t xml:space="preserve">Deferred revenue &amp; deposits</t>
  </si>
  <si>
    <t xml:space="preserve">Revolver</t>
  </si>
  <si>
    <t xml:space="preserve">Term loan</t>
  </si>
  <si>
    <t xml:space="preserve">Other long-term liabilities</t>
  </si>
  <si>
    <t xml:space="preserve">TOTAL LIABILITIES</t>
  </si>
  <si>
    <t xml:space="preserve">Total equity (opening = plug; then rolls forward)</t>
  </si>
  <si>
    <t xml:space="preserve">TOTAL LIABILITIES + EQUITY</t>
  </si>
  <si>
    <t xml:space="preserve">Balance check (must be 0)</t>
  </si>
  <si>
    <t xml:space="preserve">WEIGHTED AVERAGE COST OF CAPITAL — CURRENT MARKET DATA (JULY 2026)</t>
  </si>
  <si>
    <t xml:space="preserve">COST OF EQUITY (CAPM)</t>
  </si>
  <si>
    <t xml:space="preserve">Risk-free rate — 10Y UST, 7/17/2026</t>
  </si>
  <si>
    <t xml:space="preserve">tradingeconomics.com / FRED DGS10</t>
  </si>
  <si>
    <t xml:space="preserve">Levered beta (5-year; sources range 1.6–2.1)</t>
  </si>
  <si>
    <t xml:space="preserve">investing.com 5-yr beta 2.14; yahoo ~1.9; stockanalysis 1.58 — 1.90 selected</t>
  </si>
  <si>
    <t xml:space="preserve">Equity risk premium</t>
  </si>
  <si>
    <t xml:space="preserve">Damodaran implied ERP, mid-2026 (~4.5–5.0%)</t>
  </si>
  <si>
    <t xml:space="preserve">Company-specific / execution premium</t>
  </si>
  <si>
    <t xml:space="preserve">Optional adder for customer concentration (Walmart ~85% of revenue)</t>
  </si>
  <si>
    <t xml:space="preserve">Cost of equity</t>
  </si>
  <si>
    <t xml:space="preserve">COST OF DEBT</t>
  </si>
  <si>
    <t xml:space="preserve">Pre-tax cost of debt (hypothetical IG-crossover issue)</t>
  </si>
  <si>
    <t xml:space="preserve">~10Y UST + 195bp; SYM currently has no debt</t>
  </si>
  <si>
    <t xml:space="preserve">Tax rate</t>
  </si>
  <si>
    <t xml:space="preserve">After-tax cost of debt</t>
  </si>
  <si>
    <t xml:space="preserve">CAPITAL STRUCTURE (target)</t>
  </si>
  <si>
    <t xml:space="preserve">Debt / total capital</t>
  </si>
  <si>
    <t xml:space="preserve">Effectively all-equity; nominal 2% weight</t>
  </si>
  <si>
    <t xml:space="preserve">Equity / total capital</t>
  </si>
  <si>
    <t xml:space="preserve">Sensitivity range used in DCF tables: 11.5% – 15.5%. High beta reflects post-SPAC volatility, customer concentration and restatement history.</t>
  </si>
  <si>
    <t xml:space="preserve">DISCOUNTED CASH FLOW — UNLEVERED FCF  ($mm; valuation as of FY2026 year-end, mid-year convention)</t>
  </si>
  <si>
    <t xml:space="preserve">EBIT (post-SBC)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</si>
  <si>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</si>
  <si>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</si>
  <si>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</si>
  <si>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</si>
  <si>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</si>
  <si>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</si>
  <si>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</si>
  <si>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SBC treated as a cash-like expense (deducted in EBIT, not added back) — conservative; avoids double-count with fixed share count.</t>
  </si>
  <si>
    <t xml:space="preserve">Sum of PV of explicit FCF (FY27–35)</t>
  </si>
  <si>
    <t xml:space="preserve">TERMINAL VALUE — METHOD 1: GORDON GROWTH</t>
  </si>
  <si>
    <t xml:space="preserve">Terminal growth g</t>
  </si>
  <si>
    <t xml:space="preserve">Terminal value = FCF35 × (1+g) / (WACC − g)</t>
  </si>
  <si>
    <t xml:space="preserve">PV of terminal value (discounted 9.0 yrs)</t>
  </si>
  <si>
    <t xml:space="preserve">  Implied exit EV/EBITDA on FY35 Adj. EBITDA</t>
  </si>
  <si>
    <t xml:space="preserve">TERMINAL VALUE — METHOD 2: EXIT MULTIPLE</t>
  </si>
  <si>
    <t xml:space="preserve">Exit EV/Adj. EBITDA multiple</t>
  </si>
  <si>
    <t xml:space="preserve">Terminal value = multiple × FY35 Adj. EBITDA</t>
  </si>
  <si>
    <t xml:space="preserve">PV of terminal value</t>
  </si>
  <si>
    <t xml:space="preserve">  Implied perpetuity growth from exit TV</t>
  </si>
  <si>
    <t xml:space="preserve">ENTERPRISE → EQUITY VALUE BRIDGE</t>
  </si>
  <si>
    <t xml:space="preserve">Net cash, FY2026E year-end (incl. customer prepayments)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</si>
  <si>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</si>
  <si>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</si>
  <si>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</si>
  <si>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</si>
  <si>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</si>
  <si>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+ Net cash</t>
  </si>
  <si>
    <t xml:space="preserve">Equity value</t>
  </si>
  <si>
    <t xml:space="preserve">Implied value per share</t>
  </si>
  <si>
    <t xml:space="preserve">Upside / (downside) vs current price</t>
  </si>
  <si>
    <t xml:space="preserve">Interpretation: at ~13.4% WACC the DCF values SYM well below its market price — the market is pricing faster backlog conversion, GreenBox/new-vertical upside and margin expansion beyond the Base case. Toggle Bull (Assumptions!B4=2) and/or lower WACC to see implied expectations.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</si>
  <si>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</si>
  <si>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</si>
  <si>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</si>
  <si>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</si>
  <si>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VALUE PER SHARE: FY2027 GROWTH × TERMINAL ADJ. EBITDA MARGIN  (compact approximation, exit-multiple TV)</t>
  </si>
  <si>
    <t xml:space="preserve">Rev FY35 ≈ FY26E rev × (1 + avg(FY27 g, FY35 g))^9; PV of interim FCF scaled by terminal-EBITDA ratio vs. base. Exact only at the base point.</t>
  </si>
  <si>
    <t xml:space="preserve">FY27 g \ margin</t>
  </si>
  <si>
    <t xml:space="preserve">TRADING COMPARABLES — WAREHOUSE / INDUSTRIAL AUTOMATION  (July 2026)</t>
  </si>
  <si>
    <t xml:space="preserve">Company</t>
  </si>
  <si>
    <t xml:space="preserve">Ticker</t>
  </si>
  <si>
    <t xml:space="preserve">EV/Revenue</t>
  </si>
  <si>
    <t xml:space="preserve">EV/EBITDA</t>
  </si>
  <si>
    <t xml:space="preserve">Note</t>
  </si>
  <si>
    <t xml:space="preserve">Daifuku Co.</t>
  </si>
  <si>
    <t xml:space="preserve">6383.T</t>
  </si>
  <si>
    <t xml:space="preserve">Market cap ~$15B; multiples per multiples.vc, Jul-2026</t>
  </si>
  <si>
    <t xml:space="preserve">Rockwell Automation</t>
  </si>
  <si>
    <t xml:space="preserve">ROK</t>
  </si>
  <si>
    <t xml:space="preserve">LTM per multiples.vc Jun-2026 (24.3x NTM)</t>
  </si>
  <si>
    <t xml:space="preserve">KION Group (incl. Dematic)</t>
  </si>
  <si>
    <t xml:space="preserve">KGX.DE</t>
  </si>
  <si>
    <t xml:space="preserve">LTM EV/EBITDA per finbox/gurufocus; EV/Rev estimated</t>
  </si>
  <si>
    <t xml:space="preserve">Zebra Technologies</t>
  </si>
  <si>
    <t xml:space="preserve">ZBRA</t>
  </si>
  <si>
    <t xml:space="preserve">e — estimated from historical trading range</t>
  </si>
  <si>
    <t xml:space="preserve">Cognex</t>
  </si>
  <si>
    <t xml:space="preserve">CGNX</t>
  </si>
  <si>
    <t xml:space="preserve">AutoStore Holdings</t>
  </si>
  <si>
    <t xml:space="preserve">AUTO.OL</t>
  </si>
  <si>
    <t xml:space="preserve">Median</t>
  </si>
  <si>
    <t xml:space="preserve">Mean</t>
  </si>
  <si>
    <t xml:space="preserve">SYM CURRENT MULTIPLES (for reference)</t>
  </si>
  <si>
    <t xml:space="preserve">Current EV = price × shares − net cash</t>
  </si>
  <si>
    <t xml:space="preserve">EV / FY2026E revenue</t>
  </si>
  <si>
    <t xml:space="preserve">SYM trades far above peer medians — the market caps its $22.7B backlog and software mix, not current-year financials</t>
  </si>
  <si>
    <t xml:space="preserve">EV / FY2026E Adj. EBITDA</t>
  </si>
  <si>
    <t xml:space="preserve">IMPLIED VALUE PER SHARE FROM PEER MULTIPLES</t>
  </si>
  <si>
    <t xml:space="preserve">Method</t>
  </si>
  <si>
    <t xml:space="preserve">Low x</t>
  </si>
  <si>
    <t xml:space="preserve">High x</t>
  </si>
  <si>
    <t xml:space="preserve">Metric ($mm)</t>
  </si>
  <si>
    <t xml:space="preserve">Implied EV low</t>
  </si>
  <si>
    <t xml:space="preserve">Implied EV high</t>
  </si>
  <si>
    <t xml:space="preserve">$/sh low</t>
  </si>
  <si>
    <t xml:space="preserve">$/sh high</t>
  </si>
  <si>
    <t xml:space="preserve">EV/Revenue × FY2026E revenue</t>
  </si>
  <si>
    <t xml:space="preserve">EV/EBITDA × FY2027E Adj. EBITDA</t>
  </si>
  <si>
    <t xml:space="preserve">Low/high bands span peer 25th–90th percentile. FY27E EBITDA used for the EBITDA method because FY26 margins are still ramping.</t>
  </si>
  <si>
    <t xml:space="preserve">PRECEDENT TRANSACTIONS — WAREHOUSE AUTOMATION / ROBOTICS</t>
  </si>
  <si>
    <t xml:space="preserve">Date</t>
  </si>
  <si>
    <t xml:space="preserve">Acquirer</t>
  </si>
  <si>
    <t xml:space="preserve">Target</t>
  </si>
  <si>
    <t xml:space="preserve">EV ($mm)</t>
  </si>
  <si>
    <t xml:space="preserve">Jun-2016</t>
  </si>
  <si>
    <t xml:space="preserve">KION Group</t>
  </si>
  <si>
    <t xml:space="preserve">Dematic</t>
  </si>
  <si>
    <t xml:space="preserve">~$1.8B revenue systems integrator; ~10-13x EBITDA (e)</t>
  </si>
  <si>
    <t xml:space="preserve">Jul-2016</t>
  </si>
  <si>
    <t xml:space="preserve">Honeywell</t>
  </si>
  <si>
    <t xml:space="preserve">Intelligrated</t>
  </si>
  <si>
    <t xml:space="preserve">~$900mm revenue (e)</t>
  </si>
  <si>
    <t xml:space="preserve">Jul-2021</t>
  </si>
  <si>
    <t xml:space="preserve">Fetch Robotics</t>
  </si>
  <si>
    <t xml:space="preserve">AMR startup; revenue multiple estimated (e)</t>
  </si>
  <si>
    <t xml:space="preserve">ABB</t>
  </si>
  <si>
    <t xml:space="preserve">ASTI Mobile Robotics</t>
  </si>
  <si>
    <t xml:space="preserve">terms not disclosed; estimated (e)</t>
  </si>
  <si>
    <t xml:space="preserve">Sep-2023</t>
  </si>
  <si>
    <t xml:space="preserve">Clearpath / OTTO Motors</t>
  </si>
  <si>
    <t xml:space="preserve">AMR; both figures estimated (e)</t>
  </si>
  <si>
    <t xml:space="preserve">Mar-2023</t>
  </si>
  <si>
    <t xml:space="preserve">SoftBank</t>
  </si>
  <si>
    <t xml:space="preserve">Berkshire Grey (take-private)</t>
  </si>
  <si>
    <t xml:space="preserve">~$81mm LTM revenue; distressed</t>
  </si>
  <si>
    <t xml:space="preserve">Median EV/Revenue</t>
  </si>
  <si>
    <t xml:space="preserve">APPLIED RANGE</t>
  </si>
  <si>
    <t xml:space="preserve">Mature integrators transact at ~1.5–2.0x revenue; scarce high-growth robotics platforms at 4–10x. A control premium on SYM would price off backlog, not trailing revenue — band reflects that spread.</t>
  </si>
  <si>
    <t xml:space="preserve">Low</t>
  </si>
  <si>
    <t xml:space="preserve">High</t>
  </si>
  <si>
    <t xml:space="preserve">EV/Revenue applied to FY2026E revenue</t>
  </si>
  <si>
    <t xml:space="preserve">Implied EV</t>
  </si>
  <si>
    <t xml:space="preserve">LBO ANALYSIS — 5-YEAR HOLD (ENTRY END-FY2026, EXIT END-FY2031)  ($mm)</t>
  </si>
  <si>
    <t xml:space="preserve">ENTRY &amp; FINANCING ASSUMPTIONS</t>
  </si>
  <si>
    <t xml:space="preserve">Entry premium to current price</t>
  </si>
  <si>
    <t xml:space="preserve">Entry price per share</t>
  </si>
  <si>
    <t xml:space="preserve">Equity purchase price</t>
  </si>
  <si>
    <t xml:space="preserve">Less: net cash at close (swept to fund deal)</t>
  </si>
  <si>
    <t xml:space="preserve">Entry enterprise value</t>
  </si>
  <si>
    <t xml:space="preserve">Transaction fees (% of EV)</t>
  </si>
  <si>
    <t xml:space="preserve">FY2026E Adj. EBITDA (debt sizing basis)</t>
  </si>
  <si>
    <t xml:space="preserve">Debt tranche</t>
  </si>
  <si>
    <t xml:space="preserve">Multiple</t>
  </si>
  <si>
    <t xml:space="preserve">Rate</t>
  </si>
  <si>
    <t xml:space="preserve">Amount</t>
  </si>
  <si>
    <t xml:space="preserve">Term Loan B</t>
  </si>
  <si>
    <t xml:space="preserve">Subordinated notes</t>
  </si>
  <si>
    <t xml:space="preserve">Total debt</t>
  </si>
  <si>
    <t xml:space="preserve">SOURCES &amp; USES</t>
  </si>
  <si>
    <t xml:space="preserve">Sources</t>
  </si>
  <si>
    <t xml:space="preserve">$</t>
  </si>
  <si>
    <t xml:space="preserve">Uses</t>
  </si>
  <si>
    <t xml:space="preserve">Equity purchase</t>
  </si>
  <si>
    <t xml:space="preserve">Transaction fees</t>
  </si>
  <si>
    <t xml:space="preserve">Company net cash</t>
  </si>
  <si>
    <t xml:space="preserve">Sponsor equity (plug)</t>
  </si>
  <si>
    <t xml:space="preserve">Total sources</t>
  </si>
  <si>
    <t xml:space="preserve">Total uses</t>
  </si>
  <si>
    <t xml:space="preserve">DEBT PAYDOWN — 100% FCF SWEEP  (FCF from operating model, scenario-driven)</t>
  </si>
  <si>
    <t xml:space="preserve">Unlevered FCF (DCF sheet)</t>
  </si>
  <si>
    <t xml:space="preserve">Cash interest — TLB (beginning balance)</t>
  </si>
  <si>
    <t xml:space="preserve">Cash interest — Sub notes</t>
  </si>
  <si>
    <t xml:space="preserve">Interest tax shield</t>
  </si>
  <si>
    <t xml:space="preserve">Levered FCF available for paydown</t>
  </si>
  <si>
    <t xml:space="preserve">TLB — beginning</t>
  </si>
  <si>
    <t xml:space="preserve">TLB — (paydown)</t>
  </si>
  <si>
    <t xml:space="preserve">TLB — ending</t>
  </si>
  <si>
    <t xml:space="preserve">Sub notes — ending (bullet)</t>
  </si>
  <si>
    <t xml:space="preserve">EXIT &amp; RETURNS</t>
  </si>
  <si>
    <t xml:space="preserve">FY2031E Adj. EBITDA</t>
  </si>
  <si>
    <t xml:space="preserve">Exit EV/EBITDA multiple</t>
  </si>
  <si>
    <t xml:space="preserve">Exit enterprise value</t>
  </si>
  <si>
    <t xml:space="preserve">Less: exit net debt</t>
  </si>
  <si>
    <t xml:space="preserve">Exit equity value</t>
  </si>
  <si>
    <t xml:space="preserve">MOIC</t>
  </si>
  <si>
    <t xml:space="preserve">IRR (5-yr)</t>
  </si>
  <si>
    <t xml:space="preserve">At a market premium the sponsor pays ~9x revenue for ~12% EBITDA margins — returns are deeply negative; see threshold table for what an LBO could pay</t>
  </si>
  <si>
    <t xml:space="preserve">MAXIMUM ENTRY PRICE AT TARGET IRR THRESHOLDS  (exit equity held constant — debt sized on EBITDA, not price)</t>
  </si>
  <si>
    <t xml:space="preserve">Target IRR</t>
  </si>
  <si>
    <t xml:space="preserve">Max sponsor equity</t>
  </si>
  <si>
    <t xml:space="preserve">Implied entry EV</t>
  </si>
  <si>
    <t xml:space="preserve">Implied price/share</t>
  </si>
  <si>
    <t xml:space="preserve">Prem/(disc) to market</t>
  </si>
  <si>
    <t xml:space="preserve">Read: the price a financial sponsor could justify at each return hurdle. SYM's scale of profitability (~$320mm FY26E EBITDA vs. ~$25B EV) makes a conventional LBO infeasible near market — the table is the classic 'LBO floor' on valuation.</t>
  </si>
  <si>
    <t xml:space="preserve">MONTE CARLO SIMULATION — 500 LIVE TRIALS  (press F9 / recalc to refresh draws)</t>
  </si>
  <si>
    <t xml:space="preserve">Compact DCF per trial: Rev FY35 = FY26E rev × (1+avg growth)^9; TV = exit multiple × terminal EBITDA; PV of interim FCF scaled from the full DCF. Calibrated to match the DCF sheet at base-case inputs.</t>
  </si>
  <si>
    <t xml:space="preserve">Distribution parameters — Normal(mean, σ)</t>
  </si>
  <si>
    <t xml:space="preserve">Variable</t>
  </si>
  <si>
    <t xml:space="preserve">Mean (linked)</t>
  </si>
  <si>
    <t xml:space="preserve">σ (input)</t>
  </si>
  <si>
    <t xml:space="preserve">Terminal Adj. EBITDA margin (FY35)</t>
  </si>
  <si>
    <t xml:space="preserve">Calibration statics (linked)</t>
  </si>
  <si>
    <t xml:space="preserve">Base FY2035 Adj. EBITDA</t>
  </si>
  <si>
    <t xml:space="preserve">Base PV of explicit FCF (DCF)</t>
  </si>
  <si>
    <t xml:space="preserve">Net cash FY2026E</t>
  </si>
  <si>
    <t xml:space="preserve">Current share price</t>
  </si>
  <si>
    <t xml:space="preserve">FY2035 growth (selected)</t>
  </si>
  <si>
    <t xml:space="preserve">FY2026E revenue</t>
  </si>
  <si>
    <t xml:space="preserve">Simulation results ($/share)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</si>
  <si>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</si>
  <si>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</si>
  <si>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</si>
  <si>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</si>
  <si>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</si>
  <si>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</si>
  <si>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Scenario probability-weighted value (compact DCF per scenario)</t>
  </si>
  <si>
    <t xml:space="preserve">Scenario</t>
  </si>
  <si>
    <t xml:space="preserve">Value / share</t>
  </si>
  <si>
    <t xml:space="preserve">Probability-weighted value</t>
  </si>
  <si>
    <t xml:space="preserve">Compact-DCF approximation; PV-of-FCF scaling is calibrated on the active scenario (most accurate with switch = 1/Base).</t>
  </si>
  <si>
    <t xml:space="preserve">TRIALS</t>
  </si>
  <si>
    <t xml:space="preserve">#</t>
  </si>
  <si>
    <t xml:space="preserve">g FY27</t>
  </si>
  <si>
    <t xml:space="preserve">Term margin</t>
  </si>
  <si>
    <t xml:space="preserve">Exit x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</si>
  <si>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</si>
  <si>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</si>
  <si>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</si>
  <si>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</si>
  <si>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</si>
  <si>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</si>
  <si>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</si>
  <si>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</si>
  <si>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</si>
  <si>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</si>
  <si>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0-5</t>
  </si>
  <si>
    <t xml:space="preserve">5-10</t>
  </si>
  <si>
    <t xml:space="preserve">10-15</t>
  </si>
  <si>
    <t xml:space="preserve">15-20</t>
  </si>
  <si>
    <t xml:space="preserve">20-25</t>
  </si>
  <si>
    <t xml:space="preserve">25-30</t>
  </si>
  <si>
    <t xml:space="preserve">30-35</t>
  </si>
  <si>
    <t xml:space="preserve">35-40</t>
  </si>
  <si>
    <t xml:space="preserve">40-45</t>
  </si>
  <si>
    <t xml:space="preserve">45-50</t>
  </si>
  <si>
    <t xml:space="preserve">50-55</t>
  </si>
  <si>
    <t xml:space="preserve">55-60</t>
  </si>
  <si>
    <t xml:space="preserve">60-65</t>
  </si>
  <si>
    <t xml:space="preserve">65-70</t>
  </si>
  <si>
    <t xml:space="preserve">70-75</t>
  </si>
  <si>
    <t xml:space="preserve">75-80</t>
  </si>
  <si>
    <t xml:space="preserve">80-85</t>
  </si>
  <si>
    <t xml:space="preserve">85-90</t>
  </si>
  <si>
    <t xml:space="preserve">90+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</si>
  <si>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</si>
  <si>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</si>
  <si>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</si>
  <si>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</si>
  <si>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</si>
  <si>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52-week trading range</t>
  </si>
  <si>
    <t xml:space="preserve">Analyst price targets (n≈19)</t>
  </si>
  <si>
    <t xml:space="preserve">DCF — Gordon growth (WACC ±1%, g 2.5–3.5%)</t>
  </si>
  <si>
    <t xml:space="preserve">DCF — exit multiple (10–14x, WACC ±1%)</t>
  </si>
  <si>
    <t xml:space="preserve">Trading comps — EV/Revenue (3.2–6.5x FY26E)</t>
  </si>
  <si>
    <t xml:space="preserve">Trading comps — EV/EBITDA (15–28x FY27E)</t>
  </si>
  <si>
    <t xml:space="preserve">Precedent transactions (2–6x FY26E revenue)</t>
  </si>
  <si>
    <t xml:space="preserve">LBO capacity (25% → 15% IRR)</t>
  </si>
  <si>
    <t xml:space="preserve">Monte Carlo P25–P75 (live)</t>
  </si>
  <si>
    <t xml:space="preserve">Current price (marker)</t>
  </si>
  <si>
    <t xml:space="preserve">52-wk range: stockanalysis.com. Analyst targets: S&amp;P Global / TipRanks consensus (avg ≈ $66). All other rows are live model outputs.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</si>
</sst>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\$#,##0.0;&quot;($&quot;#,##0.0\);\-"/>
    <numFmt numFmtId="171" formatCode="0.00%;\(0.00%\);\-"/>
    <numFmt numFmtId="172" formatCode="0.00"/>
    <numFmt numFmtId="173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Monte_Carlo!$N$41:$N$59</c:f>
              <c:strCache>
                <c:ptCount val="19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  <c:pt idx="4">
                  <c:v>20-25</c:v>
                </c:pt>
                <c:pt idx="5">
                  <c:v>25-30</c:v>
                </c:pt>
                <c:pt idx="6">
                  <c:v>30-35</c:v>
                </c:pt>
                <c:pt idx="7">
                  <c:v>35-40</c:v>
                </c:pt>
                <c:pt idx="8">
                  <c:v>40-45</c:v>
                </c:pt>
                <c:pt idx="9">
                  <c:v>45-50</c:v>
                </c:pt>
                <c:pt idx="10">
                  <c:v>50-55</c:v>
                </c:pt>
                <c:pt idx="11">
                  <c:v>55-60</c:v>
                </c:pt>
                <c:pt idx="12">
                  <c:v>60-65</c:v>
                </c:pt>
                <c:pt idx="13">
                  <c:v>65-70</c:v>
                </c:pt>
                <c:pt idx="14">
                  <c:v>70-75</c:v>
                </c:pt>
                <c:pt idx="15">
                  <c:v>75-80</c:v>
                </c:pt>
                <c:pt idx="16">
                  <c:v>80-85</c:v>
                </c:pt>
                <c:pt idx="17">
                  <c:v>85-90</c:v>
                </c:pt>
                <c:pt idx="18">
                  <c:v>90+</c:v>
                </c:pt>
              </c:strCache>
            </c:strRef>
          </c:cat>
          <c:val>
            <c:numRef>
              <c:f>Monte_Carlo!$Q$41:$Q$59</c:f>
              <c:numCache>
                <c:formatCode>#,##0;\(#,##0\);\-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121</c:v>
                </c:pt>
                <c:pt idx="3">
                  <c:v>252</c:v>
                </c:pt>
                <c:pt idx="4">
                  <c:v>105</c:v>
                </c:pt>
                <c:pt idx="5">
                  <c:v>18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20"/>
        <c:overlap val="0"/>
        <c:axId val="2545647"/>
        <c:axId val="17286575"/>
      </c:barChart>
      <c:catAx>
        <c:axId val="25456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86575"/>
        <c:crosses val="autoZero"/>
        <c:auto val="1"/>
        <c:lblAlgn val="ctr"/>
        <c:lblOffset val="100"/>
        <c:noMultiLvlLbl val="0"/>
      </c:catAx>
      <c:valAx>
        <c:axId val="17286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56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SYM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price targets (n≈19)</c:v>
                </c:pt>
                <c:pt idx="2">
                  <c:v>DCF — Gordon growth (WACC ±1%, g 2.5–3.5%)</c:v>
                </c:pt>
                <c:pt idx="3">
                  <c:v>DCF — exit multiple (10–14x, WACC ±1%)</c:v>
                </c:pt>
                <c:pt idx="4">
                  <c:v>Trading comps — EV/Revenue (3.2–6.5x FY26E)</c:v>
                </c:pt>
                <c:pt idx="5">
                  <c:v>Trading comps — EV/EBITDA (15–28x FY27E)</c:v>
                </c:pt>
                <c:pt idx="6">
                  <c:v>Precedent transactions (2–6x FY26E revenue)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38.19</c:v>
                </c:pt>
                <c:pt idx="1">
                  <c:v>44</c:v>
                </c:pt>
                <c:pt idx="2">
                  <c:v>10.6732320883948</c:v>
                </c:pt>
                <c:pt idx="3">
                  <c:v>15.0851232944005</c:v>
                </c:pt>
                <c:pt idx="4">
                  <c:v>17.3866648858448</c:v>
                </c:pt>
                <c:pt idx="5">
                  <c:v>13.1817823461622</c:v>
                </c:pt>
                <c:pt idx="6">
                  <c:v>12.1085696477495</c:v>
                </c:pt>
                <c:pt idx="7">
                  <c:v>11.4593631626549</c:v>
                </c:pt>
                <c:pt idx="8">
                  <c:v>15.0388626353787</c:v>
                </c:pt>
                <c:pt idx="9">
                  <c:v>42.11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price targets (n≈19)</c:v>
                </c:pt>
                <c:pt idx="2">
                  <c:v>DCF — Gordon growth (WACC ±1%, g 2.5–3.5%)</c:v>
                </c:pt>
                <c:pt idx="3">
                  <c:v>DCF — exit multiple (10–14x, WACC ±1%)</c:v>
                </c:pt>
                <c:pt idx="4">
                  <c:v>Trading comps — EV/Revenue (3.2–6.5x FY26E)</c:v>
                </c:pt>
                <c:pt idx="5">
                  <c:v>Trading comps — EV/EBITDA (15–28x FY27E)</c:v>
                </c:pt>
                <c:pt idx="6">
                  <c:v>Precedent transactions (2–6x FY26E revenue)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49.69</c:v>
                </c:pt>
                <c:pt idx="1">
                  <c:v>40</c:v>
                </c:pt>
                <c:pt idx="2">
                  <c:v>2.35406558799813</c:v>
                </c:pt>
                <c:pt idx="3">
                  <c:v>5.38410868720628</c:v>
                </c:pt>
                <c:pt idx="4">
                  <c:v>14.5147619047619</c:v>
                </c:pt>
                <c:pt idx="5">
                  <c:v>8.55403301587301</c:v>
                </c:pt>
                <c:pt idx="6">
                  <c:v>17.5936507936508</c:v>
                </c:pt>
                <c:pt idx="7">
                  <c:v>3.07020206815744</c:v>
                </c:pt>
                <c:pt idx="8">
                  <c:v>4.96228659393318</c:v>
                </c:pt>
                <c:pt idx="9">
                  <c:v>0.799999999999997</c:v>
                </c:pt>
              </c:numCache>
            </c:numRef>
          </c:val>
        </c:ser>
        <c:gapWidth val="60"/>
        <c:overlap val="100"/>
        <c:axId val="96191783"/>
        <c:axId val="67339311"/>
      </c:barChart>
      <c:catAx>
        <c:axId val="9619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39311"/>
        <c:crosses val="autoZero"/>
        <c:auto val="1"/>
        <c:lblAlgn val="ctr"/>
        <c:lblOffset val="100"/>
        <c:noMultiLvlLbl val="0"/>
      </c:catAx>
      <c:valAx>
        <c:axId val="67339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91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240120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391616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282960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15" hidden="false" customHeight="false" outlineLevel="0" collapsed="false">
      <c r="A5" s="3" t="s">
        <v>3</v>
      </c>
      <c r="C5" s="4" t="s">
        <v>4</v>
      </c>
    </row>
    <row r="6" customFormat="false" ht="15" hidden="false" customHeight="false" outlineLevel="0" collapsed="false">
      <c r="A6" s="3" t="s">
        <v>5</v>
      </c>
      <c r="C6" s="4" t="s">
        <v>6</v>
      </c>
    </row>
    <row r="7" customFormat="false" ht="15" hidden="false" customHeight="false" outlineLevel="0" collapsed="false">
      <c r="A7" s="3" t="s">
        <v>7</v>
      </c>
      <c r="C7" s="4" t="s">
        <v>8</v>
      </c>
    </row>
    <row r="8" customFormat="false" ht="15" hidden="false" customHeight="false" outlineLevel="0" collapsed="false">
      <c r="A8" s="3" t="s">
        <v>9</v>
      </c>
      <c r="C8" s="4" t="s">
        <v>10</v>
      </c>
    </row>
    <row r="9" customFormat="false" ht="15" hidden="false" customHeight="false" outlineLevel="0" collapsed="false">
      <c r="A9" s="3" t="s">
        <v>11</v>
      </c>
      <c r="C9" s="4" t="s">
        <v>12</v>
      </c>
    </row>
    <row r="10" customFormat="false" ht="15" hidden="false" customHeight="false" outlineLevel="0" collapsed="false">
      <c r="A10" s="3" t="s">
        <v>13</v>
      </c>
      <c r="C10" s="4" t="s">
        <v>14</v>
      </c>
    </row>
    <row r="11" customFormat="false" ht="15" hidden="false" customHeight="false" outlineLevel="0" collapsed="false">
      <c r="A11" s="3" t="s">
        <v>15</v>
      </c>
      <c r="C11" s="4" t="s">
        <v>16</v>
      </c>
    </row>
    <row r="12" customFormat="false" ht="15" hidden="false" customHeight="false" outlineLevel="0" collapsed="false">
      <c r="A12" s="3" t="s">
        <v>17</v>
      </c>
      <c r="C12" s="4" t="s">
        <v>18</v>
      </c>
    </row>
    <row r="13" customFormat="false" ht="15" hidden="false" customHeight="false" outlineLevel="0" collapsed="false">
      <c r="A13" s="3" t="s">
        <v>19</v>
      </c>
      <c r="C13" s="4" t="s">
        <v>20</v>
      </c>
    </row>
    <row r="14" customFormat="false" ht="15" hidden="false" customHeight="false" outlineLevel="0" collapsed="false">
      <c r="A14" s="3" t="s">
        <v>21</v>
      </c>
      <c r="C14" s="4" t="s">
        <v>22</v>
      </c>
    </row>
    <row r="15" customFormat="false" ht="15" hidden="false" customHeight="false" outlineLevel="0" collapsed="false">
      <c r="A15" s="3"/>
      <c r="C15" s="4"/>
    </row>
    <row r="16" customFormat="false" ht="15" hidden="false" customHeight="false" outlineLevel="0" collapsed="false">
      <c r="A16" s="5" t="s">
        <v>23</v>
      </c>
      <c r="C16" s="4"/>
    </row>
    <row r="17" customFormat="false" ht="15" hidden="false" customHeight="false" outlineLevel="0" collapsed="false">
      <c r="A17" s="6" t="s">
        <v>24</v>
      </c>
      <c r="C17" s="4" t="s">
        <v>25</v>
      </c>
    </row>
    <row r="18" customFormat="false" ht="15" hidden="false" customHeight="false" outlineLevel="0" collapsed="false">
      <c r="A18" s="3" t="s">
        <v>26</v>
      </c>
      <c r="C18" s="4" t="s">
        <v>27</v>
      </c>
    </row>
    <row r="19" customFormat="false" ht="15" hidden="false" customHeight="false" outlineLevel="0" collapsed="false">
      <c r="A19" s="3" t="s">
        <v>28</v>
      </c>
      <c r="C19" s="4" t="s">
        <v>29</v>
      </c>
    </row>
    <row r="20" customFormat="false" ht="15" hidden="false" customHeight="false" outlineLevel="0" collapsed="false">
      <c r="A20" s="3" t="s">
        <v>30</v>
      </c>
      <c r="C20" s="4" t="s">
        <v>31</v>
      </c>
    </row>
    <row r="21" customFormat="false" ht="15" hidden="false" customHeight="false" outlineLevel="0" collapsed="false">
      <c r="A21" s="3"/>
      <c r="C21" s="4"/>
    </row>
    <row r="22" customFormat="false" ht="15" hidden="false" customHeight="false" outlineLevel="0" collapsed="false">
      <c r="A22" s="5" t="s">
        <v>32</v>
      </c>
      <c r="C22" s="4"/>
    </row>
    <row r="23" customFormat="false" ht="15" hidden="false" customHeight="false" outlineLevel="0" collapsed="false">
      <c r="A23" s="3" t="s">
        <v>33</v>
      </c>
      <c r="C23" s="4" t="s">
        <v>34</v>
      </c>
    </row>
    <row r="24" customFormat="false" ht="15" hidden="false" customHeight="false" outlineLevel="0" collapsed="false">
      <c r="A24" s="3" t="s">
        <v>35</v>
      </c>
      <c r="C24" s="4" t="s">
        <v>36</v>
      </c>
    </row>
    <row r="25" customFormat="false" ht="15" hidden="false" customHeight="false" outlineLevel="0" collapsed="false">
      <c r="A25" s="3" t="s">
        <v>37</v>
      </c>
      <c r="C25" s="4" t="s">
        <v>38</v>
      </c>
    </row>
    <row r="26" customFormat="false" ht="15" hidden="false" customHeight="false" outlineLevel="0" collapsed="false">
      <c r="A26" s="3"/>
      <c r="C26" s="4"/>
    </row>
    <row r="27" customFormat="false" ht="15" hidden="false" customHeight="false" outlineLevel="0" collapsed="false">
      <c r="A27" s="5" t="s">
        <v>39</v>
      </c>
      <c r="C27" s="4"/>
    </row>
    <row r="28" customFormat="false" ht="15" hidden="false" customHeight="false" outlineLevel="0" collapsed="false">
      <c r="A28" s="3" t="s">
        <v>40</v>
      </c>
      <c r="C28" s="4" t="s">
        <v>41</v>
      </c>
    </row>
    <row r="29" customFormat="false" ht="15" hidden="false" customHeight="false" outlineLevel="0" collapsed="false">
      <c r="A29" s="3" t="s">
        <v>42</v>
      </c>
      <c r="C29" s="4" t="s">
        <v>43</v>
      </c>
    </row>
    <row r="30" customFormat="false" ht="15" hidden="false" customHeight="false" outlineLevel="0" collapsed="false">
      <c r="A30" s="3" t="s">
        <v>44</v>
      </c>
      <c r="C30" s="4" t="s">
        <v>45</v>
      </c>
    </row>
    <row r="31" customFormat="false" ht="15" hidden="false" customHeight="false" outlineLevel="0" collapsed="false">
      <c r="A31" s="3" t="s">
        <v>46</v>
      </c>
      <c r="C31" s="4" t="s">
        <v>47</v>
      </c>
    </row>
    <row r="32" customFormat="false" ht="15" hidden="false" customHeight="false" outlineLevel="0" collapsed="false">
      <c r="A32" s="3" t="s">
        <v>48</v>
      </c>
      <c r="C32" s="4" t="s">
        <v>49</v>
      </c>
    </row>
    <row r="33" customFormat="false" ht="15" hidden="false" customHeight="false" outlineLevel="0" collapsed="false">
      <c r="A33" s="3" t="s">
        <v>50</v>
      </c>
      <c r="C33" s="4" t="s">
        <v>51</v>
      </c>
    </row>
    <row r="34" customFormat="false" ht="15" hidden="false" customHeight="false" outlineLevel="0" collapsed="false">
      <c r="A34" s="3"/>
      <c r="C34" s="4"/>
    </row>
    <row r="35" customFormat="false" ht="22.35" hidden="false" customHeight="false" outlineLevel="0" collapsed="false">
      <c r="A35" s="5" t="s">
        <v>52</v>
      </c>
      <c r="C35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8" t="s">
        <v>56</v>
      </c>
      <c r="B4" s="9" t="n">
        <v>1</v>
      </c>
      <c r="C4" s="10" t="str">
        <f aca="false">CHOOSE($B$4,"BASE — current trajectory","BULL — accelerated backlog conversion","BEAR — deployment slowdown")</f>
        <v>BASE — current trajectory</v>
      </c>
    </row>
    <row r="6" customFormat="false" ht="15" hidden="false" customHeight="false" outlineLevel="0" collapsed="false">
      <c r="A6" s="5" t="s">
        <v>57</v>
      </c>
    </row>
    <row r="7" customFormat="false" ht="15" hidden="false" customHeight="false" outlineLevel="0" collapsed="false">
      <c r="A7" s="11"/>
      <c r="B7" s="11" t="s">
        <v>58</v>
      </c>
      <c r="C7" s="11" t="s">
        <v>59</v>
      </c>
      <c r="D7" s="11" t="s">
        <v>60</v>
      </c>
      <c r="E7" s="11" t="s">
        <v>61</v>
      </c>
    </row>
    <row r="8" customFormat="false" ht="15" hidden="false" customHeight="false" outlineLevel="0" collapsed="false">
      <c r="A8" s="3" t="s">
        <v>62</v>
      </c>
      <c r="B8" s="12" t="n">
        <v>0.5</v>
      </c>
      <c r="C8" s="12" t="n">
        <v>0.3</v>
      </c>
      <c r="D8" s="12" t="n">
        <v>0.2</v>
      </c>
      <c r="E8" s="13" t="n">
        <f aca="false">SUM(B8:D8)</f>
        <v>1</v>
      </c>
      <c r="F8" s="14" t="s">
        <v>63</v>
      </c>
    </row>
    <row r="10" customFormat="false" ht="15" hidden="false" customHeight="false" outlineLevel="0" collapsed="false">
      <c r="A10" s="5" t="s">
        <v>64</v>
      </c>
    </row>
    <row r="11" customFormat="false" ht="15" hidden="false" customHeight="false" outlineLevel="0" collapsed="false">
      <c r="A11" s="11"/>
      <c r="B11" s="11" t="s">
        <v>58</v>
      </c>
      <c r="C11" s="11" t="s">
        <v>59</v>
      </c>
      <c r="D11" s="11" t="s">
        <v>60</v>
      </c>
      <c r="E11" s="11" t="s">
        <v>65</v>
      </c>
    </row>
    <row r="12" customFormat="false" ht="15" hidden="false" customHeight="false" outlineLevel="0" collapsed="false">
      <c r="A12" s="3" t="s">
        <v>66</v>
      </c>
      <c r="B12" s="12" t="n">
        <v>0.2</v>
      </c>
      <c r="C12" s="12" t="n">
        <v>0.25</v>
      </c>
      <c r="D12" s="12" t="n">
        <v>0.13</v>
      </c>
      <c r="E12" s="13" t="n">
        <f aca="false">CHOOSE($B$4,B12,C12,D12)</f>
        <v>0.2</v>
      </c>
    </row>
    <row r="13" customFormat="false" ht="15" hidden="false" customHeight="false" outlineLevel="0" collapsed="false">
      <c r="A13" s="3" t="s">
        <v>67</v>
      </c>
      <c r="B13" s="12" t="n">
        <v>0.05</v>
      </c>
      <c r="C13" s="12" t="n">
        <v>0.08</v>
      </c>
      <c r="D13" s="12" t="n">
        <v>0.01</v>
      </c>
      <c r="E13" s="13" t="n">
        <f aca="false">CHOOSE($B$4,B13,C13,D13)</f>
        <v>0.05</v>
      </c>
    </row>
    <row r="14" customFormat="false" ht="15" hidden="false" customHeight="false" outlineLevel="0" collapsed="false">
      <c r="A14" s="14" t="s">
        <v>68</v>
      </c>
    </row>
    <row r="15" customFormat="false" ht="15" hidden="false" customHeight="false" outlineLevel="0" collapsed="false">
      <c r="A15" s="5" t="s">
        <v>69</v>
      </c>
    </row>
    <row r="16" customFormat="false" ht="15" hidden="false" customHeight="false" outlineLevel="0" collapsed="false">
      <c r="A16" s="11" t="s">
        <v>70</v>
      </c>
      <c r="B16" s="11" t="s">
        <v>71</v>
      </c>
      <c r="C16" s="11" t="s">
        <v>72</v>
      </c>
      <c r="D16" s="11" t="s">
        <v>73</v>
      </c>
      <c r="E16" s="11" t="s">
        <v>74</v>
      </c>
      <c r="F16" s="11" t="s">
        <v>65</v>
      </c>
    </row>
    <row r="17" customFormat="false" ht="15" hidden="false" customHeight="false" outlineLevel="0" collapsed="false">
      <c r="A17" s="3" t="s">
        <v>75</v>
      </c>
      <c r="B17" s="12" t="n">
        <v>0.205</v>
      </c>
      <c r="C17" s="12" t="n">
        <v>0.3</v>
      </c>
      <c r="D17" s="12" t="n">
        <v>0.33</v>
      </c>
      <c r="E17" s="12" t="n">
        <v>0.25</v>
      </c>
      <c r="F17" s="13" t="n">
        <f aca="false">CHOOSE($B$4,C17,D17,E17)</f>
        <v>0.3</v>
      </c>
    </row>
    <row r="18" customFormat="false" ht="15" hidden="false" customHeight="false" outlineLevel="0" collapsed="false">
      <c r="A18" s="3" t="s">
        <v>76</v>
      </c>
      <c r="B18" s="12" t="n">
        <v>0.045</v>
      </c>
      <c r="C18" s="12" t="n">
        <v>0.045</v>
      </c>
      <c r="D18" s="12" t="n">
        <v>0.04</v>
      </c>
      <c r="E18" s="12" t="n">
        <v>0.05</v>
      </c>
      <c r="F18" s="13" t="n">
        <f aca="false">CHOOSE($B$4,C18,D18,E18)</f>
        <v>0.045</v>
      </c>
    </row>
    <row r="19" customFormat="false" ht="15" hidden="false" customHeight="false" outlineLevel="0" collapsed="false">
      <c r="A19" s="3" t="s">
        <v>77</v>
      </c>
      <c r="B19" s="12" t="n">
        <v>0.046</v>
      </c>
      <c r="C19" s="12" t="n">
        <v>0.045</v>
      </c>
      <c r="D19" s="12" t="n">
        <v>0.04</v>
      </c>
      <c r="E19" s="12" t="n">
        <v>0.06</v>
      </c>
      <c r="F19" s="13" t="n">
        <f aca="false">CHOOSE($B$4,C19,D19,E19)</f>
        <v>0.045</v>
      </c>
    </row>
    <row r="20" customFormat="false" ht="15" hidden="false" customHeight="false" outlineLevel="0" collapsed="false">
      <c r="A20" s="3" t="s">
        <v>78</v>
      </c>
      <c r="B20" s="12" t="n">
        <v>0.067</v>
      </c>
      <c r="C20" s="12" t="n">
        <v>0.035</v>
      </c>
      <c r="D20" s="12" t="n">
        <v>0.035</v>
      </c>
      <c r="E20" s="12" t="n">
        <v>0.045</v>
      </c>
      <c r="F20" s="13" t="n">
        <f aca="false">CHOOSE($B$4,C20,D20,E20)</f>
        <v>0.035</v>
      </c>
    </row>
    <row r="21" customFormat="false" ht="15" hidden="false" customHeight="false" outlineLevel="0" collapsed="false">
      <c r="A21" s="3" t="s">
        <v>79</v>
      </c>
      <c r="B21" s="12" t="n">
        <v>0.025</v>
      </c>
      <c r="C21" s="12" t="n">
        <v>0.025</v>
      </c>
      <c r="D21" s="12" t="n">
        <v>0.025</v>
      </c>
      <c r="E21" s="12" t="n">
        <v>0.025</v>
      </c>
      <c r="F21" s="13" t="n">
        <f aca="false">CHOOSE($B$4,C21,D21,E21)</f>
        <v>0.025</v>
      </c>
    </row>
    <row r="22" customFormat="false" ht="15" hidden="false" customHeight="false" outlineLevel="0" collapsed="false">
      <c r="A22" s="3" t="s">
        <v>80</v>
      </c>
      <c r="B22" s="12" t="n">
        <v>0.03</v>
      </c>
      <c r="C22" s="12" t="n">
        <v>0.025</v>
      </c>
      <c r="D22" s="12" t="n">
        <v>0.03</v>
      </c>
      <c r="E22" s="12" t="n">
        <v>0.02</v>
      </c>
      <c r="F22" s="13" t="n">
        <f aca="false">CHOOSE($B$4,C22,D22,E22)</f>
        <v>0.025</v>
      </c>
    </row>
    <row r="23" customFormat="false" ht="15" hidden="false" customHeight="false" outlineLevel="0" collapsed="false">
      <c r="A23" s="3" t="s">
        <v>81</v>
      </c>
      <c r="B23" s="12" t="n">
        <v>0.15</v>
      </c>
      <c r="C23" s="12" t="n">
        <v>0.25</v>
      </c>
      <c r="D23" s="12" t="n">
        <v>0.25</v>
      </c>
      <c r="E23" s="12" t="n">
        <v>0.25</v>
      </c>
      <c r="F23" s="13" t="n">
        <f aca="false">CHOOSE($B$4,C23,D23,E23)</f>
        <v>0.25</v>
      </c>
    </row>
    <row r="24" customFormat="false" ht="15" hidden="false" customHeight="false" outlineLevel="0" collapsed="false">
      <c r="A24" s="3" t="s">
        <v>82</v>
      </c>
      <c r="B24" s="12" t="n">
        <v>0.4</v>
      </c>
      <c r="C24" s="12" t="n">
        <v>0.25</v>
      </c>
      <c r="D24" s="12" t="n">
        <v>0.28</v>
      </c>
      <c r="E24" s="12" t="n">
        <v>0.2</v>
      </c>
      <c r="F24" s="13" t="n">
        <f aca="false">CHOOSE($B$4,C24,D24,E24)</f>
        <v>0.25</v>
      </c>
    </row>
    <row r="25" customFormat="false" ht="15" hidden="false" customHeight="false" outlineLevel="0" collapsed="false">
      <c r="A25" s="14" t="s">
        <v>83</v>
      </c>
    </row>
    <row r="26" customFormat="false" ht="15" hidden="false" customHeight="false" outlineLevel="0" collapsed="false">
      <c r="A26" s="5" t="s">
        <v>84</v>
      </c>
    </row>
    <row r="27" customFormat="false" ht="15" hidden="false" customHeight="false" outlineLevel="0" collapsed="false">
      <c r="A27" s="3" t="s">
        <v>85</v>
      </c>
      <c r="B27" s="15" t="n">
        <v>45</v>
      </c>
    </row>
    <row r="28" customFormat="false" ht="15" hidden="false" customHeight="false" outlineLevel="0" collapsed="false">
      <c r="A28" s="3" t="s">
        <v>86</v>
      </c>
      <c r="B28" s="15" t="n">
        <v>55</v>
      </c>
    </row>
    <row r="29" customFormat="false" ht="15" hidden="false" customHeight="false" outlineLevel="0" collapsed="false">
      <c r="A29" s="3" t="s">
        <v>87</v>
      </c>
      <c r="B29" s="15" t="n">
        <v>75</v>
      </c>
    </row>
    <row r="30" customFormat="false" ht="15" hidden="false" customHeight="false" outlineLevel="0" collapsed="false">
      <c r="A30" s="3" t="s">
        <v>88</v>
      </c>
      <c r="B30" s="12" t="n">
        <v>0.1</v>
      </c>
    </row>
    <row r="31" customFormat="false" ht="15" hidden="false" customHeight="false" outlineLevel="0" collapsed="false">
      <c r="A31" s="3" t="s">
        <v>89</v>
      </c>
      <c r="B31" s="12" t="n">
        <v>0.03</v>
      </c>
    </row>
    <row r="33" customFormat="false" ht="15" hidden="false" customHeight="false" outlineLevel="0" collapsed="false">
      <c r="A33" s="5" t="s">
        <v>90</v>
      </c>
    </row>
    <row r="34" customFormat="false" ht="15" hidden="false" customHeight="false" outlineLevel="0" collapsed="false">
      <c r="A34" s="3" t="s">
        <v>91</v>
      </c>
      <c r="B34" s="12" t="n">
        <v>0.04</v>
      </c>
    </row>
    <row r="35" customFormat="false" ht="15" hidden="false" customHeight="false" outlineLevel="0" collapsed="false">
      <c r="A35" s="3" t="s">
        <v>92</v>
      </c>
      <c r="B35" s="12" t="n">
        <v>0.07</v>
      </c>
    </row>
    <row r="36" customFormat="false" ht="15" hidden="false" customHeight="false" outlineLevel="0" collapsed="false">
      <c r="A36" s="3" t="s">
        <v>93</v>
      </c>
      <c r="B36" s="16" t="n">
        <v>200</v>
      </c>
    </row>
    <row r="37" customFormat="false" ht="15" hidden="false" customHeight="false" outlineLevel="0" collapsed="false">
      <c r="A37" s="3" t="s">
        <v>94</v>
      </c>
      <c r="B37" s="15" t="n">
        <v>630</v>
      </c>
      <c r="C37" s="14" t="s">
        <v>95</v>
      </c>
    </row>
    <row r="38" customFormat="false" ht="15" hidden="false" customHeight="false" outlineLevel="0" collapsed="false">
      <c r="A38" s="3" t="s">
        <v>96</v>
      </c>
      <c r="B38" s="12" t="n">
        <v>0.25</v>
      </c>
    </row>
    <row r="40" customFormat="false" ht="15" hidden="false" customHeight="false" outlineLevel="0" collapsed="false">
      <c r="A40" s="5" t="s">
        <v>97</v>
      </c>
    </row>
    <row r="41" customFormat="false" ht="15" hidden="false" customHeight="false" outlineLevel="0" collapsed="false">
      <c r="A41" s="3" t="s">
        <v>98</v>
      </c>
      <c r="B41" s="12" t="n">
        <v>0.03</v>
      </c>
    </row>
    <row r="42" customFormat="false" ht="15" hidden="false" customHeight="false" outlineLevel="0" collapsed="false">
      <c r="A42" s="3" t="s">
        <v>99</v>
      </c>
      <c r="B42" s="17" t="n">
        <v>12</v>
      </c>
    </row>
    <row r="43" customFormat="false" ht="15" hidden="false" customHeight="false" outlineLevel="0" collapsed="false">
      <c r="A43" s="3" t="s">
        <v>100</v>
      </c>
      <c r="B43" s="18" t="n">
        <v>42.51</v>
      </c>
    </row>
    <row r="44" customFormat="false" ht="15" hidden="false" customHeight="false" outlineLevel="0" collapsed="false">
      <c r="A44" s="3" t="s">
        <v>101</v>
      </c>
      <c r="B44" s="16" t="n">
        <v>424</v>
      </c>
    </row>
    <row r="46" customFormat="false" ht="15" hidden="false" customHeight="false" outlineLevel="0" collapsed="false">
      <c r="A46" s="1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1" t="s">
        <v>103</v>
      </c>
    </row>
    <row r="4" customFormat="false" ht="15" hidden="false" customHeight="false" outlineLevel="0" collapsed="false">
      <c r="A4" s="11"/>
      <c r="B4" s="11" t="s">
        <v>104</v>
      </c>
      <c r="C4" s="11" t="s">
        <v>105</v>
      </c>
      <c r="D4" s="11" t="s">
        <v>106</v>
      </c>
      <c r="E4" s="11" t="s">
        <v>107</v>
      </c>
      <c r="F4" s="11"/>
      <c r="G4" s="11" t="s">
        <v>108</v>
      </c>
      <c r="H4" s="11" t="s">
        <v>109</v>
      </c>
      <c r="I4" s="11" t="s">
        <v>110</v>
      </c>
      <c r="J4" s="11" t="s">
        <v>111</v>
      </c>
      <c r="K4" s="11" t="s">
        <v>112</v>
      </c>
    </row>
    <row r="5" customFormat="false" ht="15" hidden="false" customHeight="false" outlineLevel="0" collapsed="false">
      <c r="A5" s="8" t="s">
        <v>113</v>
      </c>
      <c r="B5" s="19" t="n">
        <v>593.3</v>
      </c>
      <c r="C5" s="19" t="n">
        <v>1176.6</v>
      </c>
      <c r="D5" s="19" t="n">
        <v>1783.3</v>
      </c>
      <c r="E5" s="19" t="n">
        <v>2246.9</v>
      </c>
      <c r="G5" s="19" t="n">
        <v>630</v>
      </c>
      <c r="H5" s="19" t="n">
        <v>676</v>
      </c>
      <c r="I5" s="16" t="n">
        <v>710</v>
      </c>
      <c r="J5" s="16" t="n">
        <v>755</v>
      </c>
      <c r="K5" s="20" t="n">
        <f aca="false">SUM(G5:J5)</f>
        <v>2771</v>
      </c>
    </row>
    <row r="6" customFormat="false" ht="15" hidden="false" customHeight="false" outlineLevel="0" collapsed="false">
      <c r="A6" s="3" t="s">
        <v>114</v>
      </c>
      <c r="C6" s="21" t="n">
        <f aca="false">C5/B5-1</f>
        <v>0.983145120512388</v>
      </c>
      <c r="D6" s="21" t="n">
        <f aca="false">D5/C5-1</f>
        <v>0.515638279789223</v>
      </c>
      <c r="E6" s="21" t="n">
        <f aca="false">E5/D5-1</f>
        <v>0.259967476027589</v>
      </c>
      <c r="K6" s="21" t="n">
        <f aca="false">K5/E5-1</f>
        <v>0.23325470648449</v>
      </c>
    </row>
    <row r="7" customFormat="false" ht="15" hidden="false" customHeight="false" outlineLevel="0" collapsed="false">
      <c r="A7" s="3" t="s">
        <v>115</v>
      </c>
      <c r="B7" s="19" t="n">
        <v>96.9</v>
      </c>
      <c r="C7" s="19" t="n">
        <v>192.5</v>
      </c>
      <c r="D7" s="19" t="n">
        <v>245.7</v>
      </c>
      <c r="E7" s="19" t="n">
        <v>422.6</v>
      </c>
    </row>
    <row r="8" customFormat="false" ht="15" hidden="false" customHeight="false" outlineLevel="0" collapsed="false">
      <c r="A8" s="3" t="s">
        <v>116</v>
      </c>
      <c r="B8" s="21" t="n">
        <f aca="false">B7/B5</f>
        <v>0.163323782234957</v>
      </c>
      <c r="C8" s="21" t="n">
        <f aca="false">C7/C5</f>
        <v>0.163607003229645</v>
      </c>
      <c r="D8" s="21" t="n">
        <f aca="false">D7/D5</f>
        <v>0.137778276229462</v>
      </c>
      <c r="E8" s="21" t="n">
        <f aca="false">E7/E5</f>
        <v>0.188081356535671</v>
      </c>
    </row>
    <row r="9" customFormat="false" ht="15" hidden="false" customHeight="false" outlineLevel="0" collapsed="false">
      <c r="A9" s="3" t="s">
        <v>117</v>
      </c>
      <c r="D9" s="19" t="n">
        <v>-116.7</v>
      </c>
      <c r="E9" s="19" t="n">
        <v>-115</v>
      </c>
    </row>
    <row r="10" customFormat="false" ht="15" hidden="false" customHeight="false" outlineLevel="0" collapsed="false">
      <c r="A10" s="3" t="s">
        <v>118</v>
      </c>
      <c r="B10" s="19" t="n">
        <v>-139.1</v>
      </c>
      <c r="C10" s="19" t="n">
        <v>-207.8</v>
      </c>
      <c r="D10" s="19" t="n">
        <v>-84.7</v>
      </c>
      <c r="E10" s="19" t="n">
        <v>-91</v>
      </c>
      <c r="G10" s="19" t="n">
        <v>13</v>
      </c>
      <c r="H10" s="19" t="n">
        <v>9</v>
      </c>
    </row>
    <row r="11" customFormat="false" ht="15" hidden="false" customHeight="false" outlineLevel="0" collapsed="false">
      <c r="A11" s="3" t="s">
        <v>119</v>
      </c>
      <c r="E11" s="19" t="n">
        <v>147</v>
      </c>
      <c r="G11" s="19" t="n">
        <v>67</v>
      </c>
      <c r="H11" s="19" t="n">
        <v>78</v>
      </c>
      <c r="I11" s="16" t="n">
        <v>82.5</v>
      </c>
      <c r="J11" s="16" t="n">
        <v>95</v>
      </c>
      <c r="K11" s="20" t="n">
        <f aca="false">SUM(G11:J11)</f>
        <v>322.5</v>
      </c>
    </row>
    <row r="12" customFormat="false" ht="15" hidden="false" customHeight="false" outlineLevel="0" collapsed="false">
      <c r="A12" s="3" t="s">
        <v>120</v>
      </c>
      <c r="E12" s="21" t="n">
        <f aca="false">E11/E5</f>
        <v>0.065423472339668</v>
      </c>
      <c r="K12" s="13" t="n">
        <f aca="false">K11/K5</f>
        <v>0.116383976903645</v>
      </c>
    </row>
    <row r="13" customFormat="false" ht="15" hidden="false" customHeight="false" outlineLevel="0" collapsed="false">
      <c r="A13" s="3" t="s">
        <v>121</v>
      </c>
      <c r="E13" s="19" t="n">
        <v>1245</v>
      </c>
      <c r="G13" s="19" t="n">
        <v>1800</v>
      </c>
      <c r="H13" s="19" t="n">
        <v>2000</v>
      </c>
    </row>
    <row r="14" customFormat="false" ht="15" hidden="false" customHeight="false" outlineLevel="0" collapsed="false">
      <c r="A14" s="3" t="s">
        <v>122</v>
      </c>
      <c r="E14" s="22" t="n">
        <v>22.5</v>
      </c>
      <c r="H14" s="22" t="n">
        <v>22.7</v>
      </c>
    </row>
    <row r="16" customFormat="false" ht="15" hidden="false" customHeight="false" outlineLevel="0" collapsed="false">
      <c r="A16" s="14" t="s">
        <v>123</v>
      </c>
    </row>
    <row r="17" customFormat="false" ht="15" hidden="false" customHeight="false" outlineLevel="0" collapsed="false">
      <c r="A17" s="14" t="s">
        <v>124</v>
      </c>
    </row>
    <row r="18" customFormat="false" ht="15" hidden="false" customHeight="false" outlineLevel="0" collapsed="false">
      <c r="A18" s="14" t="s">
        <v>125</v>
      </c>
    </row>
    <row r="19" customFormat="false" ht="15" hidden="false" customHeight="false" outlineLevel="0" collapsed="false">
      <c r="A19" s="14" t="s">
        <v>126</v>
      </c>
    </row>
    <row r="20" customFormat="false" ht="15" hidden="false" customHeight="false" outlineLevel="0" collapsed="false">
      <c r="A20" s="1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1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10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1"/>
      <c r="B4" s="11" t="s">
        <v>107</v>
      </c>
      <c r="C4" s="11" t="s">
        <v>112</v>
      </c>
      <c r="D4" s="11" t="s">
        <v>129</v>
      </c>
      <c r="E4" s="11" t="s">
        <v>130</v>
      </c>
      <c r="F4" s="11" t="s">
        <v>131</v>
      </c>
      <c r="G4" s="11" t="s">
        <v>132</v>
      </c>
      <c r="H4" s="11" t="s">
        <v>133</v>
      </c>
      <c r="I4" s="11" t="s">
        <v>134</v>
      </c>
      <c r="J4" s="11" t="s">
        <v>135</v>
      </c>
      <c r="K4" s="11" t="s">
        <v>136</v>
      </c>
      <c r="L4" s="11" t="s">
        <v>137</v>
      </c>
    </row>
    <row r="6" customFormat="false" ht="15" hidden="false" customHeight="false" outlineLevel="0" collapsed="false">
      <c r="A6" s="5" t="s">
        <v>138</v>
      </c>
    </row>
    <row r="7" customFormat="false" ht="15" hidden="false" customHeight="false" outlineLevel="0" collapsed="false">
      <c r="A7" s="3" t="s">
        <v>139</v>
      </c>
      <c r="C7" s="21" t="n">
        <f aca="false">C18/B18-1</f>
        <v>0.23325470648449</v>
      </c>
      <c r="D7" s="23" t="n">
        <f aca="false">Assumptions!$E$12+(Assumptions!$E$13-Assumptions!$E$12)*0/8</f>
        <v>0.2</v>
      </c>
      <c r="E7" s="23" t="n">
        <f aca="false">Assumptions!$E$12+(Assumptions!$E$13-Assumptions!$E$12)*1/8</f>
        <v>0.18125</v>
      </c>
      <c r="F7" s="23" t="n">
        <f aca="false">Assumptions!$E$12+(Assumptions!$E$13-Assumptions!$E$12)*2/8</f>
        <v>0.1625</v>
      </c>
      <c r="G7" s="23" t="n">
        <f aca="false">Assumptions!$E$12+(Assumptions!$E$13-Assumptions!$E$12)*3/8</f>
        <v>0.14375</v>
      </c>
      <c r="H7" s="23" t="n">
        <f aca="false">Assumptions!$E$12+(Assumptions!$E$13-Assumptions!$E$12)*4/8</f>
        <v>0.125</v>
      </c>
      <c r="I7" s="23" t="n">
        <f aca="false">Assumptions!$E$12+(Assumptions!$E$13-Assumptions!$E$12)*5/8</f>
        <v>0.10625</v>
      </c>
      <c r="J7" s="23" t="n">
        <f aca="false">Assumptions!$E$12+(Assumptions!$E$13-Assumptions!$E$12)*6/8</f>
        <v>0.0875</v>
      </c>
      <c r="K7" s="23" t="n">
        <f aca="false">Assumptions!$E$12+(Assumptions!$E$13-Assumptions!$E$12)*7/8</f>
        <v>0.06875</v>
      </c>
      <c r="L7" s="23" t="n">
        <f aca="false">Assumptions!$E$12+(Assumptions!$E$13-Assumptions!$E$12)*8/8</f>
        <v>0.05</v>
      </c>
    </row>
    <row r="8" customFormat="false" ht="15" hidden="false" customHeight="false" outlineLevel="0" collapsed="false">
      <c r="A8" s="3" t="s">
        <v>140</v>
      </c>
      <c r="C8" s="23" t="n">
        <f aca="false">Assumptions!$B$17</f>
        <v>0.205</v>
      </c>
      <c r="D8" s="23" t="n">
        <f aca="false">Assumptions!$B$17+(Assumptions!$F$17-Assumptions!$B$17)*1/9</f>
        <v>0.215555555555556</v>
      </c>
      <c r="E8" s="23" t="n">
        <f aca="false">Assumptions!$B$17+(Assumptions!$F$17-Assumptions!$B$17)*2/9</f>
        <v>0.226111111111111</v>
      </c>
      <c r="F8" s="23" t="n">
        <f aca="false">Assumptions!$B$17+(Assumptions!$F$17-Assumptions!$B$17)*3/9</f>
        <v>0.236666666666667</v>
      </c>
      <c r="G8" s="23" t="n">
        <f aca="false">Assumptions!$B$17+(Assumptions!$F$17-Assumptions!$B$17)*4/9</f>
        <v>0.247222222222222</v>
      </c>
      <c r="H8" s="23" t="n">
        <f aca="false">Assumptions!$B$17+(Assumptions!$F$17-Assumptions!$B$17)*5/9</f>
        <v>0.257777777777778</v>
      </c>
      <c r="I8" s="23" t="n">
        <f aca="false">Assumptions!$B$17+(Assumptions!$F$17-Assumptions!$B$17)*6/9</f>
        <v>0.268333333333333</v>
      </c>
      <c r="J8" s="23" t="n">
        <f aca="false">Assumptions!$B$17+(Assumptions!$F$17-Assumptions!$B$17)*7/9</f>
        <v>0.278888888888889</v>
      </c>
      <c r="K8" s="23" t="n">
        <f aca="false">Assumptions!$B$17+(Assumptions!$F$17-Assumptions!$B$17)*8/9</f>
        <v>0.289444444444444</v>
      </c>
      <c r="L8" s="23" t="n">
        <f aca="false">Assumptions!$B$17+(Assumptions!$F$17-Assumptions!$B$17)*9/9</f>
        <v>0.3</v>
      </c>
    </row>
    <row r="9" customFormat="false" ht="15" hidden="false" customHeight="false" outlineLevel="0" collapsed="false">
      <c r="A9" s="3" t="s">
        <v>141</v>
      </c>
      <c r="C9" s="23" t="n">
        <f aca="false">Assumptions!$B$18</f>
        <v>0.045</v>
      </c>
      <c r="D9" s="23" t="n">
        <f aca="false">Assumptions!$B$18+(Assumptions!$F$18-Assumptions!$B$18)*1/9</f>
        <v>0.045</v>
      </c>
      <c r="E9" s="23" t="n">
        <f aca="false">Assumptions!$B$18+(Assumptions!$F$18-Assumptions!$B$18)*2/9</f>
        <v>0.045</v>
      </c>
      <c r="F9" s="23" t="n">
        <f aca="false">Assumptions!$B$18+(Assumptions!$F$18-Assumptions!$B$18)*3/9</f>
        <v>0.045</v>
      </c>
      <c r="G9" s="23" t="n">
        <f aca="false">Assumptions!$B$18+(Assumptions!$F$18-Assumptions!$B$18)*4/9</f>
        <v>0.045</v>
      </c>
      <c r="H9" s="23" t="n">
        <f aca="false">Assumptions!$B$18+(Assumptions!$F$18-Assumptions!$B$18)*5/9</f>
        <v>0.045</v>
      </c>
      <c r="I9" s="23" t="n">
        <f aca="false">Assumptions!$B$18+(Assumptions!$F$18-Assumptions!$B$18)*6/9</f>
        <v>0.045</v>
      </c>
      <c r="J9" s="23" t="n">
        <f aca="false">Assumptions!$B$18+(Assumptions!$F$18-Assumptions!$B$18)*7/9</f>
        <v>0.045</v>
      </c>
      <c r="K9" s="23" t="n">
        <f aca="false">Assumptions!$B$18+(Assumptions!$F$18-Assumptions!$B$18)*8/9</f>
        <v>0.045</v>
      </c>
      <c r="L9" s="23" t="n">
        <f aca="false">Assumptions!$B$18+(Assumptions!$F$18-Assumptions!$B$18)*9/9</f>
        <v>0.045</v>
      </c>
    </row>
    <row r="10" customFormat="false" ht="15" hidden="false" customHeight="false" outlineLevel="0" collapsed="false">
      <c r="A10" s="3" t="s">
        <v>142</v>
      </c>
      <c r="C10" s="23" t="n">
        <f aca="false">Assumptions!$B$19</f>
        <v>0.046</v>
      </c>
      <c r="D10" s="23" t="n">
        <f aca="false">Assumptions!$B$19+(Assumptions!$F$19-Assumptions!$B$19)*1/9</f>
        <v>0.0458888888888889</v>
      </c>
      <c r="E10" s="23" t="n">
        <f aca="false">Assumptions!$B$19+(Assumptions!$F$19-Assumptions!$B$19)*2/9</f>
        <v>0.0457777777777778</v>
      </c>
      <c r="F10" s="23" t="n">
        <f aca="false">Assumptions!$B$19+(Assumptions!$F$19-Assumptions!$B$19)*3/9</f>
        <v>0.0456666666666667</v>
      </c>
      <c r="G10" s="23" t="n">
        <f aca="false">Assumptions!$B$19+(Assumptions!$F$19-Assumptions!$B$19)*4/9</f>
        <v>0.0455555555555556</v>
      </c>
      <c r="H10" s="23" t="n">
        <f aca="false">Assumptions!$B$19+(Assumptions!$F$19-Assumptions!$B$19)*5/9</f>
        <v>0.0454444444444444</v>
      </c>
      <c r="I10" s="23" t="n">
        <f aca="false">Assumptions!$B$19+(Assumptions!$F$19-Assumptions!$B$19)*6/9</f>
        <v>0.0453333333333333</v>
      </c>
      <c r="J10" s="23" t="n">
        <f aca="false">Assumptions!$B$19+(Assumptions!$F$19-Assumptions!$B$19)*7/9</f>
        <v>0.0452222222222222</v>
      </c>
      <c r="K10" s="23" t="n">
        <f aca="false">Assumptions!$B$19+(Assumptions!$F$19-Assumptions!$B$19)*8/9</f>
        <v>0.0451111111111111</v>
      </c>
      <c r="L10" s="23" t="n">
        <f aca="false">Assumptions!$B$19+(Assumptions!$F$19-Assumptions!$B$19)*9/9</f>
        <v>0.045</v>
      </c>
    </row>
    <row r="11" customFormat="false" ht="15" hidden="false" customHeight="false" outlineLevel="0" collapsed="false">
      <c r="A11" s="3" t="s">
        <v>143</v>
      </c>
      <c r="C11" s="23" t="n">
        <f aca="false">Assumptions!$B$20</f>
        <v>0.067</v>
      </c>
      <c r="D11" s="23" t="n">
        <f aca="false">Assumptions!$B$20+(Assumptions!$F$20-Assumptions!$B$20)*1/9</f>
        <v>0.0634444444444444</v>
      </c>
      <c r="E11" s="23" t="n">
        <f aca="false">Assumptions!$B$20+(Assumptions!$F$20-Assumptions!$B$20)*2/9</f>
        <v>0.0598888888888889</v>
      </c>
      <c r="F11" s="23" t="n">
        <f aca="false">Assumptions!$B$20+(Assumptions!$F$20-Assumptions!$B$20)*3/9</f>
        <v>0.0563333333333333</v>
      </c>
      <c r="G11" s="23" t="n">
        <f aca="false">Assumptions!$B$20+(Assumptions!$F$20-Assumptions!$B$20)*4/9</f>
        <v>0.0527777777777778</v>
      </c>
      <c r="H11" s="23" t="n">
        <f aca="false">Assumptions!$B$20+(Assumptions!$F$20-Assumptions!$B$20)*5/9</f>
        <v>0.0492222222222222</v>
      </c>
      <c r="I11" s="23" t="n">
        <f aca="false">Assumptions!$B$20+(Assumptions!$F$20-Assumptions!$B$20)*6/9</f>
        <v>0.0456666666666667</v>
      </c>
      <c r="J11" s="23" t="n">
        <f aca="false">Assumptions!$B$20+(Assumptions!$F$20-Assumptions!$B$20)*7/9</f>
        <v>0.0421111111111111</v>
      </c>
      <c r="K11" s="23" t="n">
        <f aca="false">Assumptions!$B$20+(Assumptions!$F$20-Assumptions!$B$20)*8/9</f>
        <v>0.0385555555555556</v>
      </c>
      <c r="L11" s="23" t="n">
        <f aca="false">Assumptions!$B$20+(Assumptions!$F$20-Assumptions!$B$20)*9/9</f>
        <v>0.035</v>
      </c>
    </row>
    <row r="12" customFormat="false" ht="15" hidden="false" customHeight="false" outlineLevel="0" collapsed="false">
      <c r="A12" s="3" t="s">
        <v>144</v>
      </c>
      <c r="C12" s="23" t="n">
        <f aca="false">Assumptions!$B$21</f>
        <v>0.025</v>
      </c>
      <c r="D12" s="23" t="n">
        <f aca="false">Assumptions!$B$21+(Assumptions!$F$21-Assumptions!$B$21)*1/9</f>
        <v>0.025</v>
      </c>
      <c r="E12" s="23" t="n">
        <f aca="false">Assumptions!$B$21+(Assumptions!$F$21-Assumptions!$B$21)*2/9</f>
        <v>0.025</v>
      </c>
      <c r="F12" s="23" t="n">
        <f aca="false">Assumptions!$B$21+(Assumptions!$F$21-Assumptions!$B$21)*3/9</f>
        <v>0.025</v>
      </c>
      <c r="G12" s="23" t="n">
        <f aca="false">Assumptions!$B$21+(Assumptions!$F$21-Assumptions!$B$21)*4/9</f>
        <v>0.025</v>
      </c>
      <c r="H12" s="23" t="n">
        <f aca="false">Assumptions!$B$21+(Assumptions!$F$21-Assumptions!$B$21)*5/9</f>
        <v>0.025</v>
      </c>
      <c r="I12" s="23" t="n">
        <f aca="false">Assumptions!$B$21+(Assumptions!$F$21-Assumptions!$B$21)*6/9</f>
        <v>0.025</v>
      </c>
      <c r="J12" s="23" t="n">
        <f aca="false">Assumptions!$B$21+(Assumptions!$F$21-Assumptions!$B$21)*7/9</f>
        <v>0.025</v>
      </c>
      <c r="K12" s="23" t="n">
        <f aca="false">Assumptions!$B$21+(Assumptions!$F$21-Assumptions!$B$21)*8/9</f>
        <v>0.025</v>
      </c>
      <c r="L12" s="23" t="n">
        <f aca="false">Assumptions!$B$21+(Assumptions!$F$21-Assumptions!$B$21)*9/9</f>
        <v>0.025</v>
      </c>
    </row>
    <row r="13" customFormat="false" ht="15" hidden="false" customHeight="false" outlineLevel="0" collapsed="false">
      <c r="A13" s="3" t="s">
        <v>145</v>
      </c>
      <c r="C13" s="23" t="n">
        <f aca="false">Assumptions!$B$22</f>
        <v>0.03</v>
      </c>
      <c r="D13" s="23" t="n">
        <f aca="false">Assumptions!$B$22+(Assumptions!$F$22-Assumptions!$B$22)*1/9</f>
        <v>0.0294444444444444</v>
      </c>
      <c r="E13" s="23" t="n">
        <f aca="false">Assumptions!$B$22+(Assumptions!$F$22-Assumptions!$B$22)*2/9</f>
        <v>0.0288888888888889</v>
      </c>
      <c r="F13" s="23" t="n">
        <f aca="false">Assumptions!$B$22+(Assumptions!$F$22-Assumptions!$B$22)*3/9</f>
        <v>0.0283333333333333</v>
      </c>
      <c r="G13" s="23" t="n">
        <f aca="false">Assumptions!$B$22+(Assumptions!$F$22-Assumptions!$B$22)*4/9</f>
        <v>0.0277777777777778</v>
      </c>
      <c r="H13" s="23" t="n">
        <f aca="false">Assumptions!$B$22+(Assumptions!$F$22-Assumptions!$B$22)*5/9</f>
        <v>0.0272222222222222</v>
      </c>
      <c r="I13" s="23" t="n">
        <f aca="false">Assumptions!$B$22+(Assumptions!$F$22-Assumptions!$B$22)*6/9</f>
        <v>0.0266666666666667</v>
      </c>
      <c r="J13" s="23" t="n">
        <f aca="false">Assumptions!$B$22+(Assumptions!$F$22-Assumptions!$B$22)*7/9</f>
        <v>0.0261111111111111</v>
      </c>
      <c r="K13" s="23" t="n">
        <f aca="false">Assumptions!$B$22+(Assumptions!$F$22-Assumptions!$B$22)*8/9</f>
        <v>0.0255555555555556</v>
      </c>
      <c r="L13" s="23" t="n">
        <f aca="false">Assumptions!$B$22+(Assumptions!$F$22-Assumptions!$B$22)*9/9</f>
        <v>0.025</v>
      </c>
    </row>
    <row r="14" customFormat="false" ht="15" hidden="false" customHeight="false" outlineLevel="0" collapsed="false">
      <c r="A14" s="3" t="s">
        <v>146</v>
      </c>
      <c r="C14" s="23" t="n">
        <f aca="false">Assumptions!$B$23</f>
        <v>0.15</v>
      </c>
      <c r="D14" s="23" t="n">
        <f aca="false">Assumptions!$B$23+(Assumptions!$F$23-Assumptions!$B$23)*1/9</f>
        <v>0.161111111111111</v>
      </c>
      <c r="E14" s="23" t="n">
        <f aca="false">Assumptions!$B$23+(Assumptions!$F$23-Assumptions!$B$23)*2/9</f>
        <v>0.172222222222222</v>
      </c>
      <c r="F14" s="23" t="n">
        <f aca="false">Assumptions!$B$23+(Assumptions!$F$23-Assumptions!$B$23)*3/9</f>
        <v>0.183333333333333</v>
      </c>
      <c r="G14" s="23" t="n">
        <f aca="false">Assumptions!$B$23+(Assumptions!$F$23-Assumptions!$B$23)*4/9</f>
        <v>0.194444444444444</v>
      </c>
      <c r="H14" s="23" t="n">
        <f aca="false">Assumptions!$B$23+(Assumptions!$F$23-Assumptions!$B$23)*5/9</f>
        <v>0.205555555555556</v>
      </c>
      <c r="I14" s="23" t="n">
        <f aca="false">Assumptions!$B$23+(Assumptions!$F$23-Assumptions!$B$23)*6/9</f>
        <v>0.216666666666667</v>
      </c>
      <c r="J14" s="23" t="n">
        <f aca="false">Assumptions!$B$23+(Assumptions!$F$23-Assumptions!$B$23)*7/9</f>
        <v>0.227777777777778</v>
      </c>
      <c r="K14" s="23" t="n">
        <f aca="false">Assumptions!$B$23+(Assumptions!$F$23-Assumptions!$B$23)*8/9</f>
        <v>0.238888888888889</v>
      </c>
      <c r="L14" s="23" t="n">
        <f aca="false">Assumptions!$B$23+(Assumptions!$F$23-Assumptions!$B$23)*9/9</f>
        <v>0.25</v>
      </c>
    </row>
    <row r="15" customFormat="false" ht="15" hidden="false" customHeight="false" outlineLevel="0" collapsed="false">
      <c r="A15" s="3" t="s">
        <v>147</v>
      </c>
      <c r="C15" s="23" t="n">
        <f aca="false">Assumptions!$B$24</f>
        <v>0.4</v>
      </c>
      <c r="D15" s="23" t="n">
        <f aca="false">Assumptions!$B$24+(Assumptions!$F$24-Assumptions!$B$24)*1/9</f>
        <v>0.383333333333333</v>
      </c>
      <c r="E15" s="23" t="n">
        <f aca="false">Assumptions!$B$24+(Assumptions!$F$24-Assumptions!$B$24)*2/9</f>
        <v>0.366666666666667</v>
      </c>
      <c r="F15" s="23" t="n">
        <f aca="false">Assumptions!$B$24+(Assumptions!$F$24-Assumptions!$B$24)*3/9</f>
        <v>0.35</v>
      </c>
      <c r="G15" s="23" t="n">
        <f aca="false">Assumptions!$B$24+(Assumptions!$F$24-Assumptions!$B$24)*4/9</f>
        <v>0.333333333333333</v>
      </c>
      <c r="H15" s="23" t="n">
        <f aca="false">Assumptions!$B$24+(Assumptions!$F$24-Assumptions!$B$24)*5/9</f>
        <v>0.316666666666667</v>
      </c>
      <c r="I15" s="23" t="n">
        <f aca="false">Assumptions!$B$24+(Assumptions!$F$24-Assumptions!$B$24)*6/9</f>
        <v>0.3</v>
      </c>
      <c r="J15" s="23" t="n">
        <f aca="false">Assumptions!$B$24+(Assumptions!$F$24-Assumptions!$B$24)*7/9</f>
        <v>0.283333333333333</v>
      </c>
      <c r="K15" s="23" t="n">
        <f aca="false">Assumptions!$B$24+(Assumptions!$F$24-Assumptions!$B$24)*8/9</f>
        <v>0.266666666666667</v>
      </c>
      <c r="L15" s="23" t="n">
        <f aca="false">Assumptions!$B$24+(Assumptions!$F$24-Assumptions!$B$24)*9/9</f>
        <v>0.25</v>
      </c>
    </row>
    <row r="17" customFormat="false" ht="15" hidden="false" customHeight="false" outlineLevel="0" collapsed="false">
      <c r="A17" s="5" t="s">
        <v>148</v>
      </c>
    </row>
    <row r="18" customFormat="false" ht="15" hidden="false" customHeight="false" outlineLevel="0" collapsed="false">
      <c r="A18" s="8" t="s">
        <v>113</v>
      </c>
      <c r="B18" s="24" t="n">
        <f aca="false">Historicals!E5</f>
        <v>2246.9</v>
      </c>
      <c r="C18" s="25" t="n">
        <f aca="false">Historicals!K5</f>
        <v>2771</v>
      </c>
      <c r="D18" s="20" t="n">
        <f aca="false">C18*(1+D7)</f>
        <v>3325.2</v>
      </c>
      <c r="E18" s="20" t="n">
        <f aca="false">D18*(1+E7)</f>
        <v>3927.8925</v>
      </c>
      <c r="F18" s="20" t="n">
        <f aca="false">E18*(1+F7)</f>
        <v>4566.17503125</v>
      </c>
      <c r="G18" s="20" t="n">
        <f aca="false">F18*(1+G7)</f>
        <v>5222.56269199219</v>
      </c>
      <c r="H18" s="20" t="n">
        <f aca="false">G18*(1+H7)</f>
        <v>5875.38302849121</v>
      </c>
      <c r="I18" s="20" t="n">
        <f aca="false">H18*(1+I7)</f>
        <v>6499.6424752684</v>
      </c>
      <c r="J18" s="20" t="n">
        <f aca="false">I18*(1+J7)</f>
        <v>7068.36119185439</v>
      </c>
      <c r="K18" s="20" t="n">
        <f aca="false">J18*(1+K7)</f>
        <v>7554.31102379438</v>
      </c>
      <c r="L18" s="20" t="n">
        <f aca="false">K18*(1+L7)</f>
        <v>7932.0265749841</v>
      </c>
    </row>
    <row r="19" customFormat="false" ht="15" hidden="false" customHeight="false" outlineLevel="0" collapsed="false">
      <c r="A19" s="3" t="s">
        <v>149</v>
      </c>
      <c r="C19" s="26" t="n">
        <f aca="false">-C18*(1-C8)</f>
        <v>-2202.945</v>
      </c>
      <c r="D19" s="26" t="n">
        <f aca="false">-D18*(1-D8)</f>
        <v>-2608.43466666667</v>
      </c>
      <c r="E19" s="26" t="n">
        <f aca="false">-E18*(1-E8)</f>
        <v>-3039.7523625</v>
      </c>
      <c r="F19" s="26" t="n">
        <f aca="false">-F18*(1-F8)</f>
        <v>-3485.5136071875</v>
      </c>
      <c r="G19" s="26" t="n">
        <f aca="false">-G18*(1-G8)</f>
        <v>-3931.42913758301</v>
      </c>
      <c r="H19" s="26" t="n">
        <f aca="false">-H18*(1-H8)</f>
        <v>-4360.83984781348</v>
      </c>
      <c r="I19" s="26" t="n">
        <f aca="false">-I18*(1-I8)</f>
        <v>-4755.57174440471</v>
      </c>
      <c r="J19" s="26" t="n">
        <f aca="false">-J18*(1-J8)</f>
        <v>-5097.07379279277</v>
      </c>
      <c r="K19" s="26" t="n">
        <f aca="false">-K18*(1-K8)</f>
        <v>-5367.75766635167</v>
      </c>
      <c r="L19" s="26" t="n">
        <f aca="false">-L18*(1-L8)</f>
        <v>-5552.41860248887</v>
      </c>
    </row>
    <row r="20" customFormat="false" ht="15" hidden="false" customHeight="false" outlineLevel="0" collapsed="false">
      <c r="A20" s="8" t="s">
        <v>115</v>
      </c>
      <c r="C20" s="20" t="n">
        <f aca="false">C18+C19</f>
        <v>568.055</v>
      </c>
      <c r="D20" s="20" t="n">
        <f aca="false">D18+D19</f>
        <v>716.765333333333</v>
      </c>
      <c r="E20" s="20" t="n">
        <f aca="false">E18+E19</f>
        <v>888.1401375</v>
      </c>
      <c r="F20" s="20" t="n">
        <f aca="false">F18+F19</f>
        <v>1080.6614240625</v>
      </c>
      <c r="G20" s="20" t="n">
        <f aca="false">G18+G19</f>
        <v>1291.13355440918</v>
      </c>
      <c r="H20" s="20" t="n">
        <f aca="false">H18+H19</f>
        <v>1514.54318067773</v>
      </c>
      <c r="I20" s="20" t="n">
        <f aca="false">I18+I19</f>
        <v>1744.07073086369</v>
      </c>
      <c r="J20" s="20" t="n">
        <f aca="false">J18+J19</f>
        <v>1971.28739906161</v>
      </c>
      <c r="K20" s="20" t="n">
        <f aca="false">K18+K19</f>
        <v>2186.55335744271</v>
      </c>
      <c r="L20" s="20" t="n">
        <f aca="false">L18+L19</f>
        <v>2379.60797249523</v>
      </c>
    </row>
    <row r="21" customFormat="false" ht="15" hidden="false" customHeight="false" outlineLevel="0" collapsed="false">
      <c r="A21" s="3" t="s">
        <v>150</v>
      </c>
      <c r="C21" s="26" t="n">
        <f aca="false">-C18*C9</f>
        <v>-124.695</v>
      </c>
      <c r="D21" s="26" t="n">
        <f aca="false">-D18*D9</f>
        <v>-149.634</v>
      </c>
      <c r="E21" s="26" t="n">
        <f aca="false">-E18*E9</f>
        <v>-176.7551625</v>
      </c>
      <c r="F21" s="26" t="n">
        <f aca="false">-F18*F9</f>
        <v>-205.47787640625</v>
      </c>
      <c r="G21" s="26" t="n">
        <f aca="false">-G18*G9</f>
        <v>-235.015321139648</v>
      </c>
      <c r="H21" s="26" t="n">
        <f aca="false">-H18*H9</f>
        <v>-264.392236282105</v>
      </c>
      <c r="I21" s="26" t="n">
        <f aca="false">-I18*I9</f>
        <v>-292.483911387078</v>
      </c>
      <c r="J21" s="26" t="n">
        <f aca="false">-J18*J9</f>
        <v>-318.076253633447</v>
      </c>
      <c r="K21" s="26" t="n">
        <f aca="false">-K18*K9</f>
        <v>-339.943996070747</v>
      </c>
      <c r="L21" s="26" t="n">
        <f aca="false">-L18*L9</f>
        <v>-356.941195874284</v>
      </c>
    </row>
    <row r="22" customFormat="false" ht="15" hidden="false" customHeight="false" outlineLevel="0" collapsed="false">
      <c r="A22" s="3" t="s">
        <v>151</v>
      </c>
      <c r="C22" s="26" t="n">
        <f aca="false">-C18*C10</f>
        <v>-127.466</v>
      </c>
      <c r="D22" s="26" t="n">
        <f aca="false">-D18*D10</f>
        <v>-152.589733333333</v>
      </c>
      <c r="E22" s="26" t="n">
        <f aca="false">-E18*E10</f>
        <v>-179.81019</v>
      </c>
      <c r="F22" s="26" t="n">
        <f aca="false">-F18*F10</f>
        <v>-208.52199309375</v>
      </c>
      <c r="G22" s="26" t="n">
        <f aca="false">-G18*G10</f>
        <v>-237.916744857422</v>
      </c>
      <c r="H22" s="26" t="n">
        <f aca="false">-H18*H10</f>
        <v>-267.003517628101</v>
      </c>
      <c r="I22" s="26" t="n">
        <f aca="false">-I18*I10</f>
        <v>-294.650458878834</v>
      </c>
      <c r="J22" s="26" t="n">
        <f aca="false">-J18*J10</f>
        <v>-319.647000564971</v>
      </c>
      <c r="K22" s="26" t="n">
        <f aca="false">-K18*K10</f>
        <v>-340.78336396228</v>
      </c>
      <c r="L22" s="26" t="n">
        <f aca="false">-L18*L10</f>
        <v>-356.941195874284</v>
      </c>
    </row>
    <row r="23" customFormat="false" ht="15" hidden="false" customHeight="false" outlineLevel="0" collapsed="false">
      <c r="A23" s="8" t="s">
        <v>119</v>
      </c>
      <c r="C23" s="20" t="n">
        <f aca="false">C20+C21+C22</f>
        <v>315.894</v>
      </c>
      <c r="D23" s="20" t="n">
        <f aca="false">D20+D21+D22</f>
        <v>414.5416</v>
      </c>
      <c r="E23" s="20" t="n">
        <f aca="false">E20+E21+E22</f>
        <v>531.574785</v>
      </c>
      <c r="F23" s="20" t="n">
        <f aca="false">F20+F21+F22</f>
        <v>666.6615545625</v>
      </c>
      <c r="G23" s="20" t="n">
        <f aca="false">G20+G21+G22</f>
        <v>818.20148841211</v>
      </c>
      <c r="H23" s="20" t="n">
        <f aca="false">H20+H21+H22</f>
        <v>983.147426767529</v>
      </c>
      <c r="I23" s="20" t="n">
        <f aca="false">I20+I21+I22</f>
        <v>1156.93636059778</v>
      </c>
      <c r="J23" s="20" t="n">
        <f aca="false">J20+J21+J22</f>
        <v>1333.56414486319</v>
      </c>
      <c r="K23" s="20" t="n">
        <f aca="false">K20+K21+K22</f>
        <v>1505.82599740968</v>
      </c>
      <c r="L23" s="20" t="n">
        <f aca="false">L20+L21+L22</f>
        <v>1665.72558074666</v>
      </c>
    </row>
    <row r="24" customFormat="false" ht="15" hidden="false" customHeight="false" outlineLevel="0" collapsed="false">
      <c r="A24" s="3" t="s">
        <v>152</v>
      </c>
      <c r="C24" s="26" t="n">
        <f aca="false">-C18*C11</f>
        <v>-185.657</v>
      </c>
      <c r="D24" s="26" t="n">
        <f aca="false">-D18*D11</f>
        <v>-210.965466666667</v>
      </c>
      <c r="E24" s="26" t="n">
        <f aca="false">-E18*E11</f>
        <v>-235.2371175</v>
      </c>
      <c r="F24" s="26" t="n">
        <f aca="false">-F18*F11</f>
        <v>-257.22786009375</v>
      </c>
      <c r="G24" s="26" t="n">
        <f aca="false">-G18*G11</f>
        <v>-275.635253188477</v>
      </c>
      <c r="H24" s="26" t="n">
        <f aca="false">-H18*H11</f>
        <v>-289.199409069067</v>
      </c>
      <c r="I24" s="26" t="n">
        <f aca="false">-I18*I11</f>
        <v>-296.81700637059</v>
      </c>
      <c r="J24" s="26" t="n">
        <f aca="false">-J18*J11</f>
        <v>-297.656543523646</v>
      </c>
      <c r="K24" s="26" t="n">
        <f aca="false">-K18*K11</f>
        <v>-291.26065836185</v>
      </c>
      <c r="L24" s="26" t="n">
        <f aca="false">-L18*L11</f>
        <v>-277.620930124443</v>
      </c>
    </row>
    <row r="25" customFormat="false" ht="15" hidden="false" customHeight="false" outlineLevel="0" collapsed="false">
      <c r="A25" s="3" t="s">
        <v>153</v>
      </c>
      <c r="C25" s="26" t="n">
        <f aca="false">-C18*C12</f>
        <v>-69.275</v>
      </c>
      <c r="D25" s="26" t="n">
        <f aca="false">-D18*D12</f>
        <v>-83.13</v>
      </c>
      <c r="E25" s="26" t="n">
        <f aca="false">-E18*E12</f>
        <v>-98.1973125</v>
      </c>
      <c r="F25" s="26" t="n">
        <f aca="false">-F18*F12</f>
        <v>-114.15437578125</v>
      </c>
      <c r="G25" s="26" t="n">
        <f aca="false">-G18*G12</f>
        <v>-130.564067299805</v>
      </c>
      <c r="H25" s="26" t="n">
        <f aca="false">-H18*H12</f>
        <v>-146.88457571228</v>
      </c>
      <c r="I25" s="26" t="n">
        <f aca="false">-I18*I12</f>
        <v>-162.49106188171</v>
      </c>
      <c r="J25" s="26" t="n">
        <f aca="false">-J18*J12</f>
        <v>-176.70902979636</v>
      </c>
      <c r="K25" s="26" t="n">
        <f aca="false">-K18*K12</f>
        <v>-188.857775594859</v>
      </c>
      <c r="L25" s="26" t="n">
        <f aca="false">-L18*L12</f>
        <v>-198.300664374602</v>
      </c>
    </row>
    <row r="26" customFormat="false" ht="15" hidden="false" customHeight="false" outlineLevel="0" collapsed="false">
      <c r="A26" s="8" t="s">
        <v>154</v>
      </c>
      <c r="C26" s="20" t="n">
        <f aca="false">C23+C24+C25</f>
        <v>60.9619999999998</v>
      </c>
      <c r="D26" s="20" t="n">
        <f aca="false">D23+D24+D25</f>
        <v>120.446133333333</v>
      </c>
      <c r="E26" s="20" t="n">
        <f aca="false">E23+E24+E25</f>
        <v>198.140355</v>
      </c>
      <c r="F26" s="20" t="n">
        <f aca="false">F23+F24+F25</f>
        <v>295.2793186875</v>
      </c>
      <c r="G26" s="20" t="n">
        <f aca="false">G23+G24+G25</f>
        <v>412.002167923828</v>
      </c>
      <c r="H26" s="20" t="n">
        <f aca="false">H23+H24+H25</f>
        <v>547.063441986182</v>
      </c>
      <c r="I26" s="20" t="n">
        <f aca="false">I23+I24+I25</f>
        <v>697.628292345475</v>
      </c>
      <c r="J26" s="20" t="n">
        <f aca="false">J23+J24+J25</f>
        <v>859.198571543188</v>
      </c>
      <c r="K26" s="20" t="n">
        <f aca="false">K23+K24+K25</f>
        <v>1025.70756345297</v>
      </c>
      <c r="L26" s="20" t="n">
        <f aca="false">L23+L24+L25</f>
        <v>1189.80398624761</v>
      </c>
    </row>
    <row r="27" customFormat="false" ht="15" hidden="false" customHeight="false" outlineLevel="0" collapsed="false">
      <c r="A27" s="3" t="s">
        <v>155</v>
      </c>
      <c r="C27" s="26" t="n">
        <f aca="false">B70*Assumptions!$B$34</f>
        <v>49.8</v>
      </c>
      <c r="D27" s="26" t="n">
        <f aca="false">C70*Assumptions!$B$34</f>
        <v>83.4559551232877</v>
      </c>
      <c r="E27" s="26" t="n">
        <f aca="false">D70*Assumptions!$B$34</f>
        <v>104.503338359383</v>
      </c>
      <c r="F27" s="26" t="n">
        <f aca="false">E70*Assumptions!$B$34</f>
        <v>129.606087179383</v>
      </c>
      <c r="G27" s="26" t="n">
        <f aca="false">F70*Assumptions!$B$34</f>
        <v>159.099835968221</v>
      </c>
      <c r="H27" s="26" t="n">
        <f aca="false">G70*Assumptions!$B$34</f>
        <v>193.233110135272</v>
      </c>
      <c r="I27" s="26" t="n">
        <f aca="false">H70*Assumptions!$B$34</f>
        <v>232.140841826922</v>
      </c>
      <c r="J27" s="26" t="n">
        <f aca="false">I70*Assumptions!$B$34</f>
        <v>275.821722643987</v>
      </c>
      <c r="K27" s="26" t="n">
        <f aca="false">J70*Assumptions!$B$34</f>
        <v>324.122004357438</v>
      </c>
      <c r="L27" s="26" t="n">
        <f aca="false">K70*Assumptions!$B$34</f>
        <v>376.7280668074</v>
      </c>
    </row>
    <row r="28" customFormat="false" ht="15" hidden="false" customHeight="false" outlineLevel="0" collapsed="false">
      <c r="A28" s="3" t="s">
        <v>156</v>
      </c>
      <c r="C28" s="26" t="n">
        <f aca="false">-B56*Assumptions!$B$35</f>
        <v>-0</v>
      </c>
      <c r="D28" s="26" t="n">
        <f aca="false">-C56*Assumptions!$B$35</f>
        <v>-0</v>
      </c>
      <c r="E28" s="26" t="n">
        <f aca="false">-D56*Assumptions!$B$35</f>
        <v>-0</v>
      </c>
      <c r="F28" s="26" t="n">
        <f aca="false">-E56*Assumptions!$B$35</f>
        <v>-0</v>
      </c>
      <c r="G28" s="26" t="n">
        <f aca="false">-F56*Assumptions!$B$35</f>
        <v>-0</v>
      </c>
      <c r="H28" s="26" t="n">
        <f aca="false">-G56*Assumptions!$B$35</f>
        <v>-0</v>
      </c>
      <c r="I28" s="26" t="n">
        <f aca="false">-H56*Assumptions!$B$35</f>
        <v>-0</v>
      </c>
      <c r="J28" s="26" t="n">
        <f aca="false">-I56*Assumptions!$B$35</f>
        <v>-0</v>
      </c>
      <c r="K28" s="26" t="n">
        <f aca="false">-J56*Assumptions!$B$35</f>
        <v>-0</v>
      </c>
      <c r="L28" s="26" t="n">
        <f aca="false">-K56*Assumptions!$B$35</f>
        <v>-0</v>
      </c>
    </row>
    <row r="29" customFormat="false" ht="15" hidden="false" customHeight="false" outlineLevel="0" collapsed="false">
      <c r="A29" s="3" t="s">
        <v>157</v>
      </c>
      <c r="C29" s="26" t="n">
        <f aca="false">C26+C27+C28</f>
        <v>110.762</v>
      </c>
      <c r="D29" s="26" t="n">
        <f aca="false">D26+D27+D28</f>
        <v>203.902088456621</v>
      </c>
      <c r="E29" s="26" t="n">
        <f aca="false">E26+E27+E28</f>
        <v>302.643693359383</v>
      </c>
      <c r="F29" s="26" t="n">
        <f aca="false">F26+F27+F28</f>
        <v>424.885405866883</v>
      </c>
      <c r="G29" s="26" t="n">
        <f aca="false">G26+G27+G28</f>
        <v>571.102003892049</v>
      </c>
      <c r="H29" s="26" t="n">
        <f aca="false">H26+H27+H28</f>
        <v>740.296552121454</v>
      </c>
      <c r="I29" s="26" t="n">
        <f aca="false">I26+I27+I28</f>
        <v>929.769134172396</v>
      </c>
      <c r="J29" s="26" t="n">
        <f aca="false">J26+J27+J28</f>
        <v>1135.02029418718</v>
      </c>
      <c r="K29" s="26" t="n">
        <f aca="false">K26+K27+K28</f>
        <v>1349.82956781041</v>
      </c>
      <c r="L29" s="26" t="n">
        <f aca="false">L26+L27+L28</f>
        <v>1566.53205305501</v>
      </c>
    </row>
    <row r="30" customFormat="false" ht="15" hidden="false" customHeight="false" outlineLevel="0" collapsed="false">
      <c r="A30" s="3" t="s">
        <v>158</v>
      </c>
      <c r="C30" s="26" t="n">
        <f aca="false">-MAX(0,C29)*C14</f>
        <v>-16.6143</v>
      </c>
      <c r="D30" s="26" t="n">
        <f aca="false">-MAX(0,D29)*D14</f>
        <v>-32.8508920291223</v>
      </c>
      <c r="E30" s="26" t="n">
        <f aca="false">-MAX(0,E29)*E14</f>
        <v>-52.1219694118938</v>
      </c>
      <c r="F30" s="26" t="n">
        <f aca="false">-MAX(0,F29)*F14</f>
        <v>-77.8956577422619</v>
      </c>
      <c r="G30" s="26" t="n">
        <f aca="false">-MAX(0,G29)*G14</f>
        <v>-111.047611867898</v>
      </c>
      <c r="H30" s="26" t="n">
        <f aca="false">-MAX(0,H29)*H14</f>
        <v>-152.172069047188</v>
      </c>
      <c r="I30" s="26" t="n">
        <f aca="false">-MAX(0,I29)*I14</f>
        <v>-201.449979070686</v>
      </c>
      <c r="J30" s="26" t="n">
        <f aca="false">-MAX(0,J29)*J14</f>
        <v>-258.532400342634</v>
      </c>
      <c r="K30" s="26" t="n">
        <f aca="false">-MAX(0,K29)*K14</f>
        <v>-322.459285643597</v>
      </c>
      <c r="L30" s="26" t="n">
        <f aca="false">-MAX(0,L29)*L14</f>
        <v>-391.633013263754</v>
      </c>
    </row>
    <row r="31" customFormat="false" ht="15" hidden="false" customHeight="false" outlineLevel="0" collapsed="false">
      <c r="A31" s="8" t="s">
        <v>159</v>
      </c>
      <c r="C31" s="20" t="n">
        <f aca="false">C29+C30</f>
        <v>94.1476999999999</v>
      </c>
      <c r="D31" s="20" t="n">
        <f aca="false">D29+D30</f>
        <v>171.051196427499</v>
      </c>
      <c r="E31" s="20" t="n">
        <f aca="false">E29+E30</f>
        <v>250.521723947489</v>
      </c>
      <c r="F31" s="20" t="n">
        <f aca="false">F29+F30</f>
        <v>346.989748124621</v>
      </c>
      <c r="G31" s="20" t="n">
        <f aca="false">G29+G30</f>
        <v>460.05439202415</v>
      </c>
      <c r="H31" s="20" t="n">
        <f aca="false">H29+H30</f>
        <v>588.124483074266</v>
      </c>
      <c r="I31" s="20" t="n">
        <f aca="false">I29+I30</f>
        <v>728.319155101711</v>
      </c>
      <c r="J31" s="20" t="n">
        <f aca="false">J29+J30</f>
        <v>876.487893844541</v>
      </c>
      <c r="K31" s="20" t="n">
        <f aca="false">K29+K30</f>
        <v>1027.37028216681</v>
      </c>
      <c r="L31" s="20" t="n">
        <f aca="false">L29+L30</f>
        <v>1174.89903979126</v>
      </c>
    </row>
    <row r="32" customFormat="false" ht="15" hidden="false" customHeight="false" outlineLevel="0" collapsed="false">
      <c r="A32" s="27" t="s">
        <v>120</v>
      </c>
      <c r="C32" s="28" t="n">
        <f aca="false">C23/C18</f>
        <v>0.114</v>
      </c>
      <c r="D32" s="28" t="n">
        <f aca="false">D23/D18</f>
        <v>0.124666666666667</v>
      </c>
      <c r="E32" s="28" t="n">
        <f aca="false">E23/E18</f>
        <v>0.135333333333333</v>
      </c>
      <c r="F32" s="28" t="n">
        <f aca="false">F23/F18</f>
        <v>0.146</v>
      </c>
      <c r="G32" s="28" t="n">
        <f aca="false">G23/G18</f>
        <v>0.156666666666667</v>
      </c>
      <c r="H32" s="28" t="n">
        <f aca="false">H23/H18</f>
        <v>0.167333333333333</v>
      </c>
      <c r="I32" s="28" t="n">
        <f aca="false">I23/I18</f>
        <v>0.178</v>
      </c>
      <c r="J32" s="28" t="n">
        <f aca="false">J23/J18</f>
        <v>0.188666666666667</v>
      </c>
      <c r="K32" s="28" t="n">
        <f aca="false">K23/K18</f>
        <v>0.199333333333333</v>
      </c>
      <c r="L32" s="28" t="n">
        <f aca="false">L23/L18</f>
        <v>0.21</v>
      </c>
    </row>
    <row r="35" customFormat="false" ht="15" hidden="false" customHeight="false" outlineLevel="0" collapsed="false">
      <c r="A35" s="5" t="s">
        <v>160</v>
      </c>
    </row>
    <row r="36" customFormat="false" ht="15" hidden="false" customHeight="false" outlineLevel="0" collapsed="false">
      <c r="A36" s="3" t="s">
        <v>161</v>
      </c>
      <c r="B36" s="19" t="n">
        <v>380</v>
      </c>
      <c r="C36" s="26" t="n">
        <f aca="false">C18*Assumptions!$B$27/365</f>
        <v>341.630136986301</v>
      </c>
      <c r="D36" s="26" t="n">
        <f aca="false">D18*Assumptions!$B$27/365</f>
        <v>409.956164383562</v>
      </c>
      <c r="E36" s="26" t="n">
        <f aca="false">E18*Assumptions!$B$27/365</f>
        <v>484.260719178082</v>
      </c>
      <c r="F36" s="26" t="n">
        <f aca="false">F18*Assumptions!$B$27/365</f>
        <v>562.953086044521</v>
      </c>
      <c r="G36" s="26" t="n">
        <f aca="false">G18*Assumptions!$B$27/365</f>
        <v>643.87759216342</v>
      </c>
      <c r="H36" s="26" t="n">
        <f aca="false">H18*Assumptions!$B$27/365</f>
        <v>724.362291183848</v>
      </c>
      <c r="I36" s="26" t="n">
        <f aca="false">I18*Assumptions!$B$27/365</f>
        <v>801.325784622132</v>
      </c>
      <c r="J36" s="26" t="n">
        <f aca="false">J18*Assumptions!$B$27/365</f>
        <v>871.441790776568</v>
      </c>
      <c r="K36" s="26" t="n">
        <f aca="false">K18*Assumptions!$B$27/365</f>
        <v>931.353413892457</v>
      </c>
      <c r="L36" s="26" t="n">
        <f aca="false">L18*Assumptions!$B$27/365</f>
        <v>977.92108458708</v>
      </c>
      <c r="M36" s="14" t="s">
        <v>162</v>
      </c>
    </row>
    <row r="37" customFormat="false" ht="15" hidden="false" customHeight="false" outlineLevel="0" collapsed="false">
      <c r="A37" s="3" t="s">
        <v>163</v>
      </c>
      <c r="B37" s="19" t="n">
        <v>360</v>
      </c>
      <c r="C37" s="26" t="n">
        <f aca="false">-C19*Assumptions!$B$28/365</f>
        <v>331.950616438356</v>
      </c>
      <c r="D37" s="26" t="n">
        <f aca="false">-D19*Assumptions!$B$28/365</f>
        <v>393.051799086758</v>
      </c>
      <c r="E37" s="26" t="n">
        <f aca="false">-E19*Assumptions!$B$28/365</f>
        <v>458.044876541096</v>
      </c>
      <c r="F37" s="26" t="n">
        <f aca="false">-F19*Assumptions!$B$28/365</f>
        <v>525.21437916524</v>
      </c>
      <c r="G37" s="26" t="n">
        <f aca="false">-G19*Assumptions!$B$28/365</f>
        <v>592.407130320727</v>
      </c>
      <c r="H37" s="26" t="n">
        <f aca="false">-H19*Assumptions!$B$28/365</f>
        <v>657.112853780113</v>
      </c>
      <c r="I37" s="26" t="n">
        <f aca="false">-I19*Assumptions!$B$28/365</f>
        <v>716.593002581532</v>
      </c>
      <c r="J37" s="26" t="n">
        <f aca="false">-J19*Assumptions!$B$28/365</f>
        <v>768.052215352336</v>
      </c>
      <c r="K37" s="26" t="n">
        <f aca="false">-K19*Assumptions!$B$28/365</f>
        <v>808.840196299567</v>
      </c>
      <c r="L37" s="26" t="n">
        <f aca="false">-L19*Assumptions!$B$28/365</f>
        <v>836.665816813391</v>
      </c>
    </row>
    <row r="38" customFormat="false" ht="15" hidden="false" customHeight="false" outlineLevel="0" collapsed="false">
      <c r="A38" s="3" t="s">
        <v>164</v>
      </c>
      <c r="B38" s="19" t="n">
        <v>80</v>
      </c>
      <c r="C38" s="26" t="n">
        <f aca="false">C18*Assumptions!$B$31</f>
        <v>83.13</v>
      </c>
      <c r="D38" s="26" t="n">
        <f aca="false">D18*Assumptions!$B$31</f>
        <v>99.756</v>
      </c>
      <c r="E38" s="26" t="n">
        <f aca="false">E18*Assumptions!$B$31</f>
        <v>117.836775</v>
      </c>
      <c r="F38" s="26" t="n">
        <f aca="false">F18*Assumptions!$B$31</f>
        <v>136.9852509375</v>
      </c>
      <c r="G38" s="26" t="n">
        <f aca="false">G18*Assumptions!$B$31</f>
        <v>156.676880759766</v>
      </c>
      <c r="H38" s="26" t="n">
        <f aca="false">H18*Assumptions!$B$31</f>
        <v>176.261490854736</v>
      </c>
      <c r="I38" s="26" t="n">
        <f aca="false">I18*Assumptions!$B$31</f>
        <v>194.989274258052</v>
      </c>
      <c r="J38" s="26" t="n">
        <f aca="false">J18*Assumptions!$B$31</f>
        <v>212.050835755632</v>
      </c>
      <c r="K38" s="26" t="n">
        <f aca="false">K18*Assumptions!$B$31</f>
        <v>226.629330713831</v>
      </c>
      <c r="L38" s="26" t="n">
        <f aca="false">L18*Assumptions!$B$31</f>
        <v>237.960797249523</v>
      </c>
    </row>
    <row r="39" customFormat="false" ht="15" hidden="false" customHeight="false" outlineLevel="0" collapsed="false">
      <c r="A39" s="3" t="s">
        <v>165</v>
      </c>
      <c r="B39" s="19" t="n">
        <v>-450</v>
      </c>
      <c r="C39" s="26" t="n">
        <f aca="false">C19*Assumptions!$B$29/365</f>
        <v>-452.659931506849</v>
      </c>
      <c r="D39" s="26" t="n">
        <f aca="false">D19*Assumptions!$B$29/365</f>
        <v>-535.979726027397</v>
      </c>
      <c r="E39" s="26" t="n">
        <f aca="false">E19*Assumptions!$B$29/365</f>
        <v>-624.606649828767</v>
      </c>
      <c r="F39" s="26" t="n">
        <f aca="false">F19*Assumptions!$B$29/365</f>
        <v>-716.201426134418</v>
      </c>
      <c r="G39" s="26" t="n">
        <f aca="false">G19*Assumptions!$B$29/365</f>
        <v>-807.82790498281</v>
      </c>
      <c r="H39" s="26" t="n">
        <f aca="false">H19*Assumptions!$B$29/365</f>
        <v>-896.062982427427</v>
      </c>
      <c r="I39" s="26" t="n">
        <f aca="false">I19*Assumptions!$B$29/365</f>
        <v>-977.172276247544</v>
      </c>
      <c r="J39" s="26" t="n">
        <f aca="false">J19*Assumptions!$B$29/365</f>
        <v>-1047.34393002591</v>
      </c>
      <c r="K39" s="26" t="n">
        <f aca="false">K19*Assumptions!$B$29/365</f>
        <v>-1102.96390404486</v>
      </c>
      <c r="L39" s="26" t="n">
        <f aca="false">L19*Assumptions!$B$29/365</f>
        <v>-1140.90793201826</v>
      </c>
    </row>
    <row r="40" customFormat="false" ht="15" hidden="false" customHeight="false" outlineLevel="0" collapsed="false">
      <c r="A40" s="3" t="s">
        <v>166</v>
      </c>
      <c r="B40" s="19" t="n">
        <v>-250</v>
      </c>
      <c r="C40" s="26" t="n">
        <f aca="false">-C18*Assumptions!$B$30</f>
        <v>-277.1</v>
      </c>
      <c r="D40" s="26" t="n">
        <f aca="false">-D18*Assumptions!$B$30</f>
        <v>-332.52</v>
      </c>
      <c r="E40" s="26" t="n">
        <f aca="false">-E18*Assumptions!$B$30</f>
        <v>-392.78925</v>
      </c>
      <c r="F40" s="26" t="n">
        <f aca="false">-F18*Assumptions!$B$30</f>
        <v>-456.617503125</v>
      </c>
      <c r="G40" s="26" t="n">
        <f aca="false">-G18*Assumptions!$B$30</f>
        <v>-522.256269199219</v>
      </c>
      <c r="H40" s="26" t="n">
        <f aca="false">-H18*Assumptions!$B$30</f>
        <v>-587.538302849121</v>
      </c>
      <c r="I40" s="26" t="n">
        <f aca="false">-I18*Assumptions!$B$30</f>
        <v>-649.96424752684</v>
      </c>
      <c r="J40" s="26" t="n">
        <f aca="false">-J18*Assumptions!$B$30</f>
        <v>-706.836119185439</v>
      </c>
      <c r="K40" s="26" t="n">
        <f aca="false">-K18*Assumptions!$B$30</f>
        <v>-755.431102379438</v>
      </c>
      <c r="L40" s="26" t="n">
        <f aca="false">-L18*Assumptions!$B$30</f>
        <v>-793.20265749841</v>
      </c>
    </row>
    <row r="41" customFormat="false" ht="15" hidden="false" customHeight="false" outlineLevel="0" collapsed="false">
      <c r="A41" s="3" t="s">
        <v>167</v>
      </c>
      <c r="B41" s="19" t="n">
        <v>-1050</v>
      </c>
      <c r="C41" s="26" t="n">
        <f aca="false">-C18*C15</f>
        <v>-1108.4</v>
      </c>
      <c r="D41" s="26" t="n">
        <f aca="false">-D18*D15</f>
        <v>-1274.66</v>
      </c>
      <c r="E41" s="26" t="n">
        <f aca="false">-E18*E15</f>
        <v>-1440.22725</v>
      </c>
      <c r="F41" s="26" t="n">
        <f aca="false">-F18*F15</f>
        <v>-1598.1612609375</v>
      </c>
      <c r="G41" s="26" t="n">
        <f aca="false">-G18*G15</f>
        <v>-1740.85423066406</v>
      </c>
      <c r="H41" s="26" t="n">
        <f aca="false">-H18*H15</f>
        <v>-1860.53795902222</v>
      </c>
      <c r="I41" s="26" t="n">
        <f aca="false">-I18*I15</f>
        <v>-1949.89274258052</v>
      </c>
      <c r="J41" s="26" t="n">
        <f aca="false">-J18*J15</f>
        <v>-2002.70233769208</v>
      </c>
      <c r="K41" s="26" t="n">
        <f aca="false">-K18*K15</f>
        <v>-2014.4829396785</v>
      </c>
      <c r="L41" s="26" t="n">
        <f aca="false">-L18*L15</f>
        <v>-1983.00664374602</v>
      </c>
    </row>
    <row r="42" customFormat="false" ht="15" hidden="false" customHeight="false" outlineLevel="0" collapsed="false">
      <c r="A42" s="8" t="s">
        <v>168</v>
      </c>
      <c r="B42" s="20" t="n">
        <f aca="false">SUM(B36:B41)</f>
        <v>-930</v>
      </c>
      <c r="C42" s="20" t="n">
        <f aca="false">SUM(C36:C41)</f>
        <v>-1081.44917808219</v>
      </c>
      <c r="D42" s="20" t="n">
        <f aca="false">SUM(D36:D41)</f>
        <v>-1240.39576255708</v>
      </c>
      <c r="E42" s="20" t="n">
        <f aca="false">SUM(E36:E41)</f>
        <v>-1397.48077910959</v>
      </c>
      <c r="F42" s="20" t="n">
        <f aca="false">SUM(F36:F41)</f>
        <v>-1545.82747404966</v>
      </c>
      <c r="G42" s="20" t="n">
        <f aca="false">SUM(G36:G41)</f>
        <v>-1677.97680160218</v>
      </c>
      <c r="H42" s="20" t="n">
        <f aca="false">SUM(H36:H41)</f>
        <v>-1786.40260848007</v>
      </c>
      <c r="I42" s="20" t="n">
        <f aca="false">SUM(I36:I41)</f>
        <v>-1864.12120489319</v>
      </c>
      <c r="J42" s="20" t="n">
        <f aca="false">SUM(J36:J41)</f>
        <v>-1905.33754501889</v>
      </c>
      <c r="K42" s="20" t="n">
        <f aca="false">SUM(K36:K41)</f>
        <v>-1906.05500519695</v>
      </c>
      <c r="L42" s="20" t="n">
        <f aca="false">SUM(L36:L41)</f>
        <v>-1864.5695346127</v>
      </c>
    </row>
    <row r="43" customFormat="false" ht="15" hidden="false" customHeight="false" outlineLevel="0" collapsed="false">
      <c r="A43" s="3" t="s">
        <v>169</v>
      </c>
      <c r="C43" s="26" t="n">
        <f aca="false">-(C42-B42)</f>
        <v>151.449178082192</v>
      </c>
      <c r="D43" s="26" t="n">
        <f aca="false">-(D42-C42)</f>
        <v>158.946584474886</v>
      </c>
      <c r="E43" s="26" t="n">
        <f aca="false">-(E42-D42)</f>
        <v>157.085016552511</v>
      </c>
      <c r="F43" s="26" t="n">
        <f aca="false">-(F42-E42)</f>
        <v>148.346694940069</v>
      </c>
      <c r="G43" s="26" t="n">
        <f aca="false">-(G42-F42)</f>
        <v>132.149327552521</v>
      </c>
      <c r="H43" s="26" t="n">
        <f aca="false">-(H42-G42)</f>
        <v>108.425806877889</v>
      </c>
      <c r="I43" s="26" t="n">
        <f aca="false">-(I42-H42)</f>
        <v>77.7185964131213</v>
      </c>
      <c r="J43" s="26" t="n">
        <f aca="false">-(J42-I42)</f>
        <v>41.2163401257028</v>
      </c>
      <c r="K43" s="26" t="n">
        <f aca="false">-(K42-J42)</f>
        <v>0.71746017805458</v>
      </c>
      <c r="L43" s="26" t="n">
        <f aca="false">-(L42-K42)</f>
        <v>-41.4854705842465</v>
      </c>
    </row>
    <row r="45" customFormat="false" ht="15" hidden="false" customHeight="false" outlineLevel="0" collapsed="false">
      <c r="A45" s="5" t="s">
        <v>170</v>
      </c>
    </row>
    <row r="46" customFormat="false" ht="15" hidden="false" customHeight="false" outlineLevel="0" collapsed="false">
      <c r="A46" s="3" t="s">
        <v>171</v>
      </c>
      <c r="C46" s="26" t="n">
        <f aca="false">C18*C13</f>
        <v>83.13</v>
      </c>
      <c r="D46" s="26" t="n">
        <f aca="false">D18*D13</f>
        <v>97.9086666666667</v>
      </c>
      <c r="E46" s="26" t="n">
        <f aca="false">E18*E13</f>
        <v>113.47245</v>
      </c>
      <c r="F46" s="26" t="n">
        <f aca="false">F18*F13</f>
        <v>129.37495921875</v>
      </c>
      <c r="G46" s="26" t="n">
        <f aca="false">G18*G13</f>
        <v>145.071185888672</v>
      </c>
      <c r="H46" s="26" t="n">
        <f aca="false">H18*H13</f>
        <v>159.940982442261</v>
      </c>
      <c r="I46" s="26" t="n">
        <f aca="false">I18*I13</f>
        <v>173.323799340491</v>
      </c>
      <c r="J46" s="26" t="n">
        <f aca="false">J18*J13</f>
        <v>184.562764453976</v>
      </c>
      <c r="K46" s="26" t="n">
        <f aca="false">K18*K13</f>
        <v>193.054615052523</v>
      </c>
      <c r="L46" s="26" t="n">
        <f aca="false">L18*L13</f>
        <v>198.300664374602</v>
      </c>
    </row>
    <row r="47" customFormat="false" ht="15" hidden="false" customHeight="false" outlineLevel="0" collapsed="false">
      <c r="A47" s="3" t="s">
        <v>172</v>
      </c>
      <c r="B47" s="19" t="n">
        <v>270</v>
      </c>
      <c r="C47" s="26" t="n">
        <f aca="false">B47+C46+C25</f>
        <v>283.855</v>
      </c>
      <c r="D47" s="26" t="n">
        <f aca="false">C47+D46+D25</f>
        <v>298.633666666667</v>
      </c>
      <c r="E47" s="26" t="n">
        <f aca="false">D47+E46+E25</f>
        <v>313.908804166667</v>
      </c>
      <c r="F47" s="26" t="n">
        <f aca="false">E47+F46+F25</f>
        <v>329.129387604167</v>
      </c>
      <c r="G47" s="26" t="n">
        <f aca="false">F47+G46+G25</f>
        <v>343.636506193034</v>
      </c>
      <c r="H47" s="26" t="n">
        <f aca="false">G47+H46+H25</f>
        <v>356.692912923014</v>
      </c>
      <c r="I47" s="26" t="n">
        <f aca="false">H47+I46+I25</f>
        <v>367.525650381795</v>
      </c>
      <c r="J47" s="26" t="n">
        <f aca="false">I47+J46+J25</f>
        <v>375.379385039411</v>
      </c>
      <c r="K47" s="26" t="n">
        <f aca="false">J47+K46+K25</f>
        <v>379.576224497074</v>
      </c>
      <c r="L47" s="26" t="n">
        <f aca="false">K47+L46+L25</f>
        <v>379.576224497074</v>
      </c>
    </row>
    <row r="49" customFormat="false" ht="15" hidden="false" customHeight="false" outlineLevel="0" collapsed="false">
      <c r="A49" s="5" t="s">
        <v>173</v>
      </c>
    </row>
    <row r="50" customFormat="false" ht="15" hidden="false" customHeight="false" outlineLevel="0" collapsed="false">
      <c r="A50" s="3" t="s">
        <v>174</v>
      </c>
      <c r="C50" s="26" t="n">
        <f aca="false">B53</f>
        <v>0</v>
      </c>
      <c r="D50" s="26" t="n">
        <f aca="false">C53</f>
        <v>0</v>
      </c>
      <c r="E50" s="26" t="n">
        <f aca="false">D53</f>
        <v>0</v>
      </c>
      <c r="F50" s="26" t="n">
        <f aca="false">E53</f>
        <v>0</v>
      </c>
      <c r="G50" s="26" t="n">
        <f aca="false">F53</f>
        <v>0</v>
      </c>
      <c r="H50" s="26" t="n">
        <f aca="false">G53</f>
        <v>0</v>
      </c>
      <c r="I50" s="26" t="n">
        <f aca="false">H53</f>
        <v>0</v>
      </c>
      <c r="J50" s="26" t="n">
        <f aca="false">I53</f>
        <v>0</v>
      </c>
      <c r="K50" s="26" t="n">
        <f aca="false">J53</f>
        <v>0</v>
      </c>
      <c r="L50" s="26" t="n">
        <f aca="false">K53</f>
        <v>0</v>
      </c>
    </row>
    <row r="51" customFormat="false" ht="15" hidden="false" customHeight="false" outlineLevel="0" collapsed="false">
      <c r="A51" s="3" t="s">
        <v>175</v>
      </c>
      <c r="C51" s="26" t="n">
        <f aca="false">MAX(0,Assumptions!$B$36-(B70+C31-C24-C25+C43-C46+Assumptions!$B$44))</f>
        <v>0</v>
      </c>
      <c r="D51" s="26" t="n">
        <f aca="false">MAX(0,Assumptions!$B$36-(C70+D31-D24-D25+D43-D46))</f>
        <v>0</v>
      </c>
      <c r="E51" s="26" t="n">
        <f aca="false">MAX(0,Assumptions!$B$36-(D70+E31-E24-E25+E43-E46))</f>
        <v>0</v>
      </c>
      <c r="F51" s="26" t="n">
        <f aca="false">MAX(0,Assumptions!$B$36-(E70+F31-F24-F25+F43-F46))</f>
        <v>0</v>
      </c>
      <c r="G51" s="26" t="n">
        <f aca="false">MAX(0,Assumptions!$B$36-(F70+G31-G24-G25+G43-G46))</f>
        <v>0</v>
      </c>
      <c r="H51" s="26" t="n">
        <f aca="false">MAX(0,Assumptions!$B$36-(G70+H31-H24-H25+H43-H46))</f>
        <v>0</v>
      </c>
      <c r="I51" s="26" t="n">
        <f aca="false">MAX(0,Assumptions!$B$36-(H70+I31-I24-I25+I43-I46))</f>
        <v>0</v>
      </c>
      <c r="J51" s="26" t="n">
        <f aca="false">MAX(0,Assumptions!$B$36-(I70+J31-J24-J25+J43-J46))</f>
        <v>0</v>
      </c>
      <c r="K51" s="26" t="n">
        <f aca="false">MAX(0,Assumptions!$B$36-(J70+K31-K24-K25+K43-K46))</f>
        <v>0</v>
      </c>
      <c r="L51" s="26" t="n">
        <f aca="false">MAX(0,Assumptions!$B$36-(K70+L31-L24-L25+L43-L46))</f>
        <v>0</v>
      </c>
    </row>
    <row r="52" customFormat="false" ht="15" hidden="false" customHeight="false" outlineLevel="0" collapsed="false">
      <c r="A52" s="3" t="s">
        <v>176</v>
      </c>
      <c r="C52" s="26" t="n">
        <f aca="false">-MIN(C50,MAX(0,(B70+C31-C24-C25+C43-C46+Assumptions!$B$44)-Assumptions!$B$36))</f>
        <v>-0</v>
      </c>
      <c r="D52" s="26" t="n">
        <f aca="false">-MIN(D50,MAX(0,(C70+D31-D24-D25+D43-D46)-Assumptions!$B$36))</f>
        <v>-0</v>
      </c>
      <c r="E52" s="26" t="n">
        <f aca="false">-MIN(E50,MAX(0,(D70+E31-E24-E25+E43-E46)-Assumptions!$B$36))</f>
        <v>-0</v>
      </c>
      <c r="F52" s="26" t="n">
        <f aca="false">-MIN(F50,MAX(0,(E70+F31-F24-F25+F43-F46)-Assumptions!$B$36))</f>
        <v>-0</v>
      </c>
      <c r="G52" s="26" t="n">
        <f aca="false">-MIN(G50,MAX(0,(F70+G31-G24-G25+G43-G46)-Assumptions!$B$36))</f>
        <v>-0</v>
      </c>
      <c r="H52" s="26" t="n">
        <f aca="false">-MIN(H50,MAX(0,(G70+H31-H24-H25+H43-H46)-Assumptions!$B$36))</f>
        <v>-0</v>
      </c>
      <c r="I52" s="26" t="n">
        <f aca="false">-MIN(I50,MAX(0,(H70+I31-I24-I25+I43-I46)-Assumptions!$B$36))</f>
        <v>-0</v>
      </c>
      <c r="J52" s="26" t="n">
        <f aca="false">-MIN(J50,MAX(0,(I70+J31-J24-J25+J43-J46)-Assumptions!$B$36))</f>
        <v>-0</v>
      </c>
      <c r="K52" s="26" t="n">
        <f aca="false">-MIN(K50,MAX(0,(J70+K31-K24-K25+K43-K46)-Assumptions!$B$36))</f>
        <v>-0</v>
      </c>
      <c r="L52" s="26" t="n">
        <f aca="false">-MIN(L50,MAX(0,(K70+L31-L24-L25+L43-L46)-Assumptions!$B$36))</f>
        <v>-0</v>
      </c>
    </row>
    <row r="53" customFormat="false" ht="15" hidden="false" customHeight="false" outlineLevel="0" collapsed="false">
      <c r="A53" s="3" t="s">
        <v>177</v>
      </c>
      <c r="B53" s="26" t="n">
        <v>0</v>
      </c>
      <c r="C53" s="26" t="n">
        <f aca="false">C50+C51+C52</f>
        <v>0</v>
      </c>
      <c r="D53" s="26" t="n">
        <f aca="false">D50+D51+D52</f>
        <v>0</v>
      </c>
      <c r="E53" s="26" t="n">
        <f aca="false">E50+E51+E52</f>
        <v>0</v>
      </c>
      <c r="F53" s="26" t="n">
        <f aca="false">F50+F51+F52</f>
        <v>0</v>
      </c>
      <c r="G53" s="26" t="n">
        <f aca="false">G50+G51+G52</f>
        <v>0</v>
      </c>
      <c r="H53" s="26" t="n">
        <f aca="false">H50+H51+H52</f>
        <v>0</v>
      </c>
      <c r="I53" s="26" t="n">
        <f aca="false">I50+I51+I52</f>
        <v>0</v>
      </c>
      <c r="J53" s="26" t="n">
        <f aca="false">J50+J51+J52</f>
        <v>0</v>
      </c>
      <c r="K53" s="26" t="n">
        <f aca="false">K50+K51+K52</f>
        <v>0</v>
      </c>
      <c r="L53" s="26" t="n">
        <f aca="false">L50+L51+L52</f>
        <v>0</v>
      </c>
    </row>
    <row r="54" customFormat="false" ht="15" hidden="false" customHeight="false" outlineLevel="0" collapsed="false">
      <c r="A54" s="3" t="s">
        <v>178</v>
      </c>
      <c r="C54" s="26" t="n">
        <f aca="false">B55</f>
        <v>0</v>
      </c>
      <c r="D54" s="26" t="n">
        <f aca="false">C55</f>
        <v>0</v>
      </c>
      <c r="E54" s="26" t="n">
        <f aca="false">D55</f>
        <v>0</v>
      </c>
      <c r="F54" s="26" t="n">
        <f aca="false">E55</f>
        <v>0</v>
      </c>
      <c r="G54" s="26" t="n">
        <f aca="false">F55</f>
        <v>0</v>
      </c>
      <c r="H54" s="26" t="n">
        <f aca="false">G55</f>
        <v>0</v>
      </c>
      <c r="I54" s="26" t="n">
        <f aca="false">H55</f>
        <v>0</v>
      </c>
      <c r="J54" s="26" t="n">
        <f aca="false">I55</f>
        <v>0</v>
      </c>
      <c r="K54" s="26" t="n">
        <f aca="false">J55</f>
        <v>0</v>
      </c>
      <c r="L54" s="26" t="n">
        <f aca="false">K55</f>
        <v>0</v>
      </c>
    </row>
    <row r="55" customFormat="false" ht="15" hidden="false" customHeight="false" outlineLevel="0" collapsed="false">
      <c r="A55" s="3" t="s">
        <v>179</v>
      </c>
      <c r="B55" s="16" t="n">
        <v>0</v>
      </c>
      <c r="C55" s="26" t="n">
        <f aca="false">C54</f>
        <v>0</v>
      </c>
      <c r="D55" s="26" t="n">
        <f aca="false">D54</f>
        <v>0</v>
      </c>
      <c r="E55" s="26" t="n">
        <f aca="false">E54</f>
        <v>0</v>
      </c>
      <c r="F55" s="26" t="n">
        <f aca="false">F54</f>
        <v>0</v>
      </c>
      <c r="G55" s="26" t="n">
        <f aca="false">G54</f>
        <v>0</v>
      </c>
      <c r="H55" s="26" t="n">
        <f aca="false">H54</f>
        <v>0</v>
      </c>
      <c r="I55" s="26" t="n">
        <f aca="false">I54</f>
        <v>0</v>
      </c>
      <c r="J55" s="26" t="n">
        <f aca="false">J54</f>
        <v>0</v>
      </c>
      <c r="K55" s="26" t="n">
        <f aca="false">K54</f>
        <v>0</v>
      </c>
      <c r="L55" s="26" t="n">
        <f aca="false">L54</f>
        <v>0</v>
      </c>
    </row>
    <row r="56" customFormat="false" ht="15" hidden="false" customHeight="false" outlineLevel="0" collapsed="false">
      <c r="A56" s="8" t="s">
        <v>180</v>
      </c>
      <c r="B56" s="26" t="n">
        <f aca="false">B53+B55</f>
        <v>0</v>
      </c>
      <c r="C56" s="20" t="n">
        <f aca="false">C53+C55</f>
        <v>0</v>
      </c>
      <c r="D56" s="20" t="n">
        <f aca="false">D53+D55</f>
        <v>0</v>
      </c>
      <c r="E56" s="20" t="n">
        <f aca="false">E53+E55</f>
        <v>0</v>
      </c>
      <c r="F56" s="20" t="n">
        <f aca="false">F53+F55</f>
        <v>0</v>
      </c>
      <c r="G56" s="20" t="n">
        <f aca="false">G53+G55</f>
        <v>0</v>
      </c>
      <c r="H56" s="20" t="n">
        <f aca="false">H53+H55</f>
        <v>0</v>
      </c>
      <c r="I56" s="20" t="n">
        <f aca="false">I53+I55</f>
        <v>0</v>
      </c>
      <c r="J56" s="20" t="n">
        <f aca="false">J53+J55</f>
        <v>0</v>
      </c>
      <c r="K56" s="20" t="n">
        <f aca="false">K53+K55</f>
        <v>0</v>
      </c>
      <c r="L56" s="20" t="n">
        <f aca="false">L53+L55</f>
        <v>0</v>
      </c>
    </row>
    <row r="58" customFormat="false" ht="15" hidden="false" customHeight="false" outlineLevel="0" collapsed="false">
      <c r="A58" s="5" t="s">
        <v>181</v>
      </c>
    </row>
    <row r="59" customFormat="false" ht="15" hidden="false" customHeight="false" outlineLevel="0" collapsed="false">
      <c r="A59" s="3" t="s">
        <v>159</v>
      </c>
      <c r="C59" s="26" t="n">
        <f aca="false">C31</f>
        <v>94.1476999999999</v>
      </c>
      <c r="D59" s="26" t="n">
        <f aca="false">D31</f>
        <v>171.051196427499</v>
      </c>
      <c r="E59" s="26" t="n">
        <f aca="false">E31</f>
        <v>250.521723947489</v>
      </c>
      <c r="F59" s="26" t="n">
        <f aca="false">F31</f>
        <v>346.989748124621</v>
      </c>
      <c r="G59" s="26" t="n">
        <f aca="false">G31</f>
        <v>460.05439202415</v>
      </c>
      <c r="H59" s="26" t="n">
        <f aca="false">H31</f>
        <v>588.124483074266</v>
      </c>
      <c r="I59" s="26" t="n">
        <f aca="false">I31</f>
        <v>728.319155101711</v>
      </c>
      <c r="J59" s="26" t="n">
        <f aca="false">J31</f>
        <v>876.487893844541</v>
      </c>
      <c r="K59" s="26" t="n">
        <f aca="false">K31</f>
        <v>1027.37028216681</v>
      </c>
      <c r="L59" s="26" t="n">
        <f aca="false">L31</f>
        <v>1174.89903979126</v>
      </c>
    </row>
    <row r="60" customFormat="false" ht="15" hidden="false" customHeight="false" outlineLevel="0" collapsed="false">
      <c r="A60" s="3" t="s">
        <v>182</v>
      </c>
      <c r="C60" s="26" t="n">
        <f aca="false">-C25</f>
        <v>69.275</v>
      </c>
      <c r="D60" s="26" t="n">
        <f aca="false">-D25</f>
        <v>83.13</v>
      </c>
      <c r="E60" s="26" t="n">
        <f aca="false">-E25</f>
        <v>98.1973125</v>
      </c>
      <c r="F60" s="26" t="n">
        <f aca="false">-F25</f>
        <v>114.15437578125</v>
      </c>
      <c r="G60" s="26" t="n">
        <f aca="false">-G25</f>
        <v>130.564067299805</v>
      </c>
      <c r="H60" s="26" t="n">
        <f aca="false">-H25</f>
        <v>146.88457571228</v>
      </c>
      <c r="I60" s="26" t="n">
        <f aca="false">-I25</f>
        <v>162.49106188171</v>
      </c>
      <c r="J60" s="26" t="n">
        <f aca="false">-J25</f>
        <v>176.70902979636</v>
      </c>
      <c r="K60" s="26" t="n">
        <f aca="false">-K25</f>
        <v>188.857775594859</v>
      </c>
      <c r="L60" s="26" t="n">
        <f aca="false">-L25</f>
        <v>198.300664374602</v>
      </c>
    </row>
    <row r="61" customFormat="false" ht="15" hidden="false" customHeight="false" outlineLevel="0" collapsed="false">
      <c r="A61" s="3" t="s">
        <v>183</v>
      </c>
      <c r="C61" s="26" t="n">
        <f aca="false">-C24</f>
        <v>185.657</v>
      </c>
      <c r="D61" s="26" t="n">
        <f aca="false">-D24</f>
        <v>210.965466666667</v>
      </c>
      <c r="E61" s="26" t="n">
        <f aca="false">-E24</f>
        <v>235.2371175</v>
      </c>
      <c r="F61" s="26" t="n">
        <f aca="false">-F24</f>
        <v>257.22786009375</v>
      </c>
      <c r="G61" s="26" t="n">
        <f aca="false">-G24</f>
        <v>275.635253188477</v>
      </c>
      <c r="H61" s="26" t="n">
        <f aca="false">-H24</f>
        <v>289.199409069067</v>
      </c>
      <c r="I61" s="26" t="n">
        <f aca="false">-I24</f>
        <v>296.81700637059</v>
      </c>
      <c r="J61" s="26" t="n">
        <f aca="false">-J24</f>
        <v>297.656543523646</v>
      </c>
      <c r="K61" s="26" t="n">
        <f aca="false">-K24</f>
        <v>291.26065836185</v>
      </c>
      <c r="L61" s="26" t="n">
        <f aca="false">-L24</f>
        <v>277.620930124443</v>
      </c>
    </row>
    <row r="62" customFormat="false" ht="15" hidden="false" customHeight="false" outlineLevel="0" collapsed="false">
      <c r="A62" s="3" t="s">
        <v>184</v>
      </c>
      <c r="C62" s="26" t="n">
        <f aca="false">C43</f>
        <v>151.449178082192</v>
      </c>
      <c r="D62" s="26" t="n">
        <f aca="false">D43</f>
        <v>158.946584474886</v>
      </c>
      <c r="E62" s="26" t="n">
        <f aca="false">E43</f>
        <v>157.085016552511</v>
      </c>
      <c r="F62" s="26" t="n">
        <f aca="false">F43</f>
        <v>148.346694940069</v>
      </c>
      <c r="G62" s="26" t="n">
        <f aca="false">G43</f>
        <v>132.149327552521</v>
      </c>
      <c r="H62" s="26" t="n">
        <f aca="false">H43</f>
        <v>108.425806877889</v>
      </c>
      <c r="I62" s="26" t="n">
        <f aca="false">I43</f>
        <v>77.7185964131213</v>
      </c>
      <c r="J62" s="26" t="n">
        <f aca="false">J43</f>
        <v>41.2163401257028</v>
      </c>
      <c r="K62" s="26" t="n">
        <f aca="false">K43</f>
        <v>0.71746017805458</v>
      </c>
      <c r="L62" s="26" t="n">
        <f aca="false">L43</f>
        <v>-41.4854705842465</v>
      </c>
    </row>
    <row r="63" customFormat="false" ht="15" hidden="false" customHeight="false" outlineLevel="0" collapsed="false">
      <c r="A63" s="8" t="s">
        <v>185</v>
      </c>
      <c r="C63" s="20" t="n">
        <f aca="false">SUM(C59:C62)</f>
        <v>500.528878082192</v>
      </c>
      <c r="D63" s="20" t="n">
        <f aca="false">SUM(D59:D62)</f>
        <v>624.093247569051</v>
      </c>
      <c r="E63" s="20" t="n">
        <f aca="false">SUM(E59:E62)</f>
        <v>741.041170500001</v>
      </c>
      <c r="F63" s="20" t="n">
        <f aca="false">SUM(F59:F62)</f>
        <v>866.71867893969</v>
      </c>
      <c r="G63" s="20" t="n">
        <f aca="false">SUM(G59:G62)</f>
        <v>998.403040064952</v>
      </c>
      <c r="H63" s="20" t="n">
        <f aca="false">SUM(H59:H62)</f>
        <v>1132.6342747335</v>
      </c>
      <c r="I63" s="20" t="n">
        <f aca="false">SUM(I59:I62)</f>
        <v>1265.34581976713</v>
      </c>
      <c r="J63" s="20" t="n">
        <f aca="false">SUM(J59:J62)</f>
        <v>1392.06980729025</v>
      </c>
      <c r="K63" s="20" t="n">
        <f aca="false">SUM(K59:K62)</f>
        <v>1508.20617630157</v>
      </c>
      <c r="L63" s="20" t="n">
        <f aca="false">SUM(L59:L62)</f>
        <v>1609.33516370606</v>
      </c>
    </row>
    <row r="64" customFormat="false" ht="15" hidden="false" customHeight="false" outlineLevel="0" collapsed="false">
      <c r="A64" s="3" t="s">
        <v>186</v>
      </c>
      <c r="C64" s="26" t="n">
        <f aca="false">-C46</f>
        <v>-83.13</v>
      </c>
      <c r="D64" s="26" t="n">
        <f aca="false">-D46</f>
        <v>-97.9086666666667</v>
      </c>
      <c r="E64" s="26" t="n">
        <f aca="false">-E46</f>
        <v>-113.47245</v>
      </c>
      <c r="F64" s="26" t="n">
        <f aca="false">-F46</f>
        <v>-129.37495921875</v>
      </c>
      <c r="G64" s="26" t="n">
        <f aca="false">-G46</f>
        <v>-145.071185888672</v>
      </c>
      <c r="H64" s="26" t="n">
        <f aca="false">-H46</f>
        <v>-159.940982442261</v>
      </c>
      <c r="I64" s="26" t="n">
        <f aca="false">-I46</f>
        <v>-173.323799340491</v>
      </c>
      <c r="J64" s="26" t="n">
        <f aca="false">-J46</f>
        <v>-184.562764453976</v>
      </c>
      <c r="K64" s="26" t="n">
        <f aca="false">-K46</f>
        <v>-193.054615052523</v>
      </c>
      <c r="L64" s="26" t="n">
        <f aca="false">-L46</f>
        <v>-198.300664374602</v>
      </c>
    </row>
    <row r="65" customFormat="false" ht="15" hidden="false" customHeight="false" outlineLevel="0" collapsed="false">
      <c r="A65" s="8" t="s">
        <v>187</v>
      </c>
      <c r="C65" s="20" t="n">
        <f aca="false">C63+C64</f>
        <v>417.398878082192</v>
      </c>
      <c r="D65" s="20" t="n">
        <f aca="false">D63+D64</f>
        <v>526.184580902385</v>
      </c>
      <c r="E65" s="20" t="n">
        <f aca="false">E63+E64</f>
        <v>627.568720500001</v>
      </c>
      <c r="F65" s="20" t="n">
        <f aca="false">F63+F64</f>
        <v>737.34371972094</v>
      </c>
      <c r="G65" s="20" t="n">
        <f aca="false">G63+G64</f>
        <v>853.331854176281</v>
      </c>
      <c r="H65" s="20" t="n">
        <f aca="false">H63+H64</f>
        <v>972.693292291242</v>
      </c>
      <c r="I65" s="20" t="n">
        <f aca="false">I63+I64</f>
        <v>1092.02202042664</v>
      </c>
      <c r="J65" s="20" t="n">
        <f aca="false">J63+J64</f>
        <v>1207.50704283627</v>
      </c>
      <c r="K65" s="20" t="n">
        <f aca="false">K63+K64</f>
        <v>1315.15156124905</v>
      </c>
      <c r="L65" s="20" t="n">
        <f aca="false">L63+L64</f>
        <v>1411.03449933146</v>
      </c>
    </row>
    <row r="66" customFormat="false" ht="15" hidden="false" customHeight="false" outlineLevel="0" collapsed="false">
      <c r="A66" s="3" t="s">
        <v>188</v>
      </c>
      <c r="C66" s="24" t="n">
        <f aca="false">Assumptions!$B$44</f>
        <v>424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26" t="n">
        <v>0</v>
      </c>
    </row>
    <row r="67" customFormat="false" ht="15" hidden="false" customHeight="false" outlineLevel="0" collapsed="false">
      <c r="A67" s="3" t="s">
        <v>189</v>
      </c>
      <c r="C67" s="26" t="n">
        <f aca="false">C51+C52</f>
        <v>0</v>
      </c>
      <c r="D67" s="26" t="n">
        <f aca="false">D51+D52</f>
        <v>0</v>
      </c>
      <c r="E67" s="26" t="n">
        <f aca="false">E51+E52</f>
        <v>0</v>
      </c>
      <c r="F67" s="26" t="n">
        <f aca="false">F51+F52</f>
        <v>0</v>
      </c>
      <c r="G67" s="26" t="n">
        <f aca="false">G51+G52</f>
        <v>0</v>
      </c>
      <c r="H67" s="26" t="n">
        <f aca="false">H51+H52</f>
        <v>0</v>
      </c>
      <c r="I67" s="26" t="n">
        <f aca="false">I51+I52</f>
        <v>0</v>
      </c>
      <c r="J67" s="26" t="n">
        <f aca="false">J51+J52</f>
        <v>0</v>
      </c>
      <c r="K67" s="26" t="n">
        <f aca="false">K51+K52</f>
        <v>0</v>
      </c>
      <c r="L67" s="26" t="n">
        <f aca="false">L51+L52</f>
        <v>0</v>
      </c>
    </row>
    <row r="68" customFormat="false" ht="15" hidden="false" customHeight="false" outlineLevel="0" collapsed="false">
      <c r="A68" s="8" t="s">
        <v>190</v>
      </c>
      <c r="C68" s="20" t="n">
        <f aca="false">C65+C66+C67</f>
        <v>841.398878082192</v>
      </c>
      <c r="D68" s="20" t="n">
        <f aca="false">D65+D66+D67</f>
        <v>526.184580902385</v>
      </c>
      <c r="E68" s="20" t="n">
        <f aca="false">E65+E66+E67</f>
        <v>627.568720500001</v>
      </c>
      <c r="F68" s="20" t="n">
        <f aca="false">F65+F66+F67</f>
        <v>737.34371972094</v>
      </c>
      <c r="G68" s="20" t="n">
        <f aca="false">G65+G66+G67</f>
        <v>853.331854176281</v>
      </c>
      <c r="H68" s="20" t="n">
        <f aca="false">H65+H66+H67</f>
        <v>972.693292291242</v>
      </c>
      <c r="I68" s="20" t="n">
        <f aca="false">I65+I66+I67</f>
        <v>1092.02202042664</v>
      </c>
      <c r="J68" s="20" t="n">
        <f aca="false">J65+J66+J67</f>
        <v>1207.50704283627</v>
      </c>
      <c r="K68" s="20" t="n">
        <f aca="false">K65+K66+K67</f>
        <v>1315.15156124905</v>
      </c>
      <c r="L68" s="20" t="n">
        <f aca="false">L65+L66+L67</f>
        <v>1411.03449933146</v>
      </c>
    </row>
    <row r="69" customFormat="false" ht="15" hidden="false" customHeight="false" outlineLevel="0" collapsed="false">
      <c r="A69" s="3" t="s">
        <v>191</v>
      </c>
      <c r="C69" s="26" t="n">
        <f aca="false">B70</f>
        <v>1245</v>
      </c>
      <c r="D69" s="26" t="n">
        <f aca="false">C70</f>
        <v>2086.39887808219</v>
      </c>
      <c r="E69" s="26" t="n">
        <f aca="false">D70</f>
        <v>2612.58345898458</v>
      </c>
      <c r="F69" s="26" t="n">
        <f aca="false">E70</f>
        <v>3240.15217948458</v>
      </c>
      <c r="G69" s="26" t="n">
        <f aca="false">F70</f>
        <v>3977.49589920552</v>
      </c>
      <c r="H69" s="26" t="n">
        <f aca="false">G70</f>
        <v>4830.8277533818</v>
      </c>
      <c r="I69" s="26" t="n">
        <f aca="false">H70</f>
        <v>5803.52104567304</v>
      </c>
      <c r="J69" s="26" t="n">
        <f aca="false">I70</f>
        <v>6895.54306609968</v>
      </c>
      <c r="K69" s="26" t="n">
        <f aca="false">J70</f>
        <v>8103.05010893596</v>
      </c>
      <c r="L69" s="26" t="n">
        <f aca="false">K70</f>
        <v>9418.20167018501</v>
      </c>
    </row>
    <row r="70" customFormat="false" ht="15" hidden="false" customHeight="false" outlineLevel="0" collapsed="false">
      <c r="A70" s="8" t="s">
        <v>192</v>
      </c>
      <c r="B70" s="19" t="n">
        <v>1245</v>
      </c>
      <c r="C70" s="20" t="n">
        <f aca="false">C69+C68</f>
        <v>2086.39887808219</v>
      </c>
      <c r="D70" s="20" t="n">
        <f aca="false">D69+D68</f>
        <v>2612.58345898458</v>
      </c>
      <c r="E70" s="20" t="n">
        <f aca="false">E69+E68</f>
        <v>3240.15217948458</v>
      </c>
      <c r="F70" s="20" t="n">
        <f aca="false">F69+F68</f>
        <v>3977.49589920552</v>
      </c>
      <c r="G70" s="20" t="n">
        <f aca="false">G69+G68</f>
        <v>4830.8277533818</v>
      </c>
      <c r="H70" s="20" t="n">
        <f aca="false">H69+H68</f>
        <v>5803.52104567304</v>
      </c>
      <c r="I70" s="20" t="n">
        <f aca="false">I69+I68</f>
        <v>6895.54306609968</v>
      </c>
      <c r="J70" s="20" t="n">
        <f aca="false">J69+J68</f>
        <v>8103.05010893596</v>
      </c>
      <c r="K70" s="20" t="n">
        <f aca="false">K69+K68</f>
        <v>9418.20167018501</v>
      </c>
      <c r="L70" s="20" t="n">
        <f aca="false">L69+L68</f>
        <v>10829.2361695165</v>
      </c>
      <c r="M70" s="14" t="s">
        <v>193</v>
      </c>
    </row>
    <row r="72" customFormat="false" ht="15" hidden="false" customHeight="false" outlineLevel="0" collapsed="false">
      <c r="A72" s="5" t="s">
        <v>194</v>
      </c>
    </row>
    <row r="73" customFormat="false" ht="15" hidden="false" customHeight="false" outlineLevel="0" collapsed="false">
      <c r="A73" s="3" t="s">
        <v>195</v>
      </c>
      <c r="B73" s="26" t="n">
        <f aca="false">B70</f>
        <v>1245</v>
      </c>
      <c r="C73" s="26" t="n">
        <f aca="false">C70</f>
        <v>2086.39887808219</v>
      </c>
      <c r="D73" s="26" t="n">
        <f aca="false">D70</f>
        <v>2612.58345898458</v>
      </c>
      <c r="E73" s="26" t="n">
        <f aca="false">E70</f>
        <v>3240.15217948458</v>
      </c>
      <c r="F73" s="26" t="n">
        <f aca="false">F70</f>
        <v>3977.49589920552</v>
      </c>
      <c r="G73" s="26" t="n">
        <f aca="false">G70</f>
        <v>4830.8277533818</v>
      </c>
      <c r="H73" s="26" t="n">
        <f aca="false">H70</f>
        <v>5803.52104567304</v>
      </c>
      <c r="I73" s="26" t="n">
        <f aca="false">I70</f>
        <v>6895.54306609968</v>
      </c>
      <c r="J73" s="26" t="n">
        <f aca="false">J70</f>
        <v>8103.05010893596</v>
      </c>
      <c r="K73" s="26" t="n">
        <f aca="false">K70</f>
        <v>9418.20167018501</v>
      </c>
      <c r="L73" s="26" t="n">
        <f aca="false">L70</f>
        <v>10829.2361695165</v>
      </c>
    </row>
    <row r="74" customFormat="false" ht="15" hidden="false" customHeight="false" outlineLevel="0" collapsed="false">
      <c r="A74" s="3" t="s">
        <v>161</v>
      </c>
      <c r="B74" s="26" t="n">
        <f aca="false">B36</f>
        <v>380</v>
      </c>
      <c r="C74" s="26" t="n">
        <f aca="false">C36</f>
        <v>341.630136986301</v>
      </c>
      <c r="D74" s="26" t="n">
        <f aca="false">D36</f>
        <v>409.956164383562</v>
      </c>
      <c r="E74" s="26" t="n">
        <f aca="false">E36</f>
        <v>484.260719178082</v>
      </c>
      <c r="F74" s="26" t="n">
        <f aca="false">F36</f>
        <v>562.953086044521</v>
      </c>
      <c r="G74" s="26" t="n">
        <f aca="false">G36</f>
        <v>643.87759216342</v>
      </c>
      <c r="H74" s="26" t="n">
        <f aca="false">H36</f>
        <v>724.362291183848</v>
      </c>
      <c r="I74" s="26" t="n">
        <f aca="false">I36</f>
        <v>801.325784622132</v>
      </c>
      <c r="J74" s="26" t="n">
        <f aca="false">J36</f>
        <v>871.441790776568</v>
      </c>
      <c r="K74" s="26" t="n">
        <f aca="false">K36</f>
        <v>931.353413892457</v>
      </c>
      <c r="L74" s="26" t="n">
        <f aca="false">L36</f>
        <v>977.92108458708</v>
      </c>
    </row>
    <row r="75" customFormat="false" ht="15" hidden="false" customHeight="false" outlineLevel="0" collapsed="false">
      <c r="A75" s="3" t="s">
        <v>163</v>
      </c>
      <c r="B75" s="26" t="n">
        <f aca="false">B37</f>
        <v>360</v>
      </c>
      <c r="C75" s="26" t="n">
        <f aca="false">C37</f>
        <v>331.950616438356</v>
      </c>
      <c r="D75" s="26" t="n">
        <f aca="false">D37</f>
        <v>393.051799086758</v>
      </c>
      <c r="E75" s="26" t="n">
        <f aca="false">E37</f>
        <v>458.044876541096</v>
      </c>
      <c r="F75" s="26" t="n">
        <f aca="false">F37</f>
        <v>525.21437916524</v>
      </c>
      <c r="G75" s="26" t="n">
        <f aca="false">G37</f>
        <v>592.407130320727</v>
      </c>
      <c r="H75" s="26" t="n">
        <f aca="false">H37</f>
        <v>657.112853780113</v>
      </c>
      <c r="I75" s="26" t="n">
        <f aca="false">I37</f>
        <v>716.593002581532</v>
      </c>
      <c r="J75" s="26" t="n">
        <f aca="false">J37</f>
        <v>768.052215352336</v>
      </c>
      <c r="K75" s="26" t="n">
        <f aca="false">K37</f>
        <v>808.840196299567</v>
      </c>
      <c r="L75" s="26" t="n">
        <f aca="false">L37</f>
        <v>836.665816813391</v>
      </c>
    </row>
    <row r="76" customFormat="false" ht="15" hidden="false" customHeight="false" outlineLevel="0" collapsed="false">
      <c r="A76" s="3" t="s">
        <v>164</v>
      </c>
      <c r="B76" s="26" t="n">
        <f aca="false">B38</f>
        <v>80</v>
      </c>
      <c r="C76" s="26" t="n">
        <f aca="false">C38</f>
        <v>83.13</v>
      </c>
      <c r="D76" s="26" t="n">
        <f aca="false">D38</f>
        <v>99.756</v>
      </c>
      <c r="E76" s="26" t="n">
        <f aca="false">E38</f>
        <v>117.836775</v>
      </c>
      <c r="F76" s="26" t="n">
        <f aca="false">F38</f>
        <v>136.9852509375</v>
      </c>
      <c r="G76" s="26" t="n">
        <f aca="false">G38</f>
        <v>156.676880759766</v>
      </c>
      <c r="H76" s="26" t="n">
        <f aca="false">H38</f>
        <v>176.261490854736</v>
      </c>
      <c r="I76" s="26" t="n">
        <f aca="false">I38</f>
        <v>194.989274258052</v>
      </c>
      <c r="J76" s="26" t="n">
        <f aca="false">J38</f>
        <v>212.050835755632</v>
      </c>
      <c r="K76" s="26" t="n">
        <f aca="false">K38</f>
        <v>226.629330713831</v>
      </c>
      <c r="L76" s="26" t="n">
        <f aca="false">L38</f>
        <v>237.960797249523</v>
      </c>
    </row>
    <row r="77" customFormat="false" ht="15" hidden="false" customHeight="false" outlineLevel="0" collapsed="false">
      <c r="A77" s="3" t="s">
        <v>172</v>
      </c>
      <c r="B77" s="26" t="n">
        <f aca="false">B47</f>
        <v>270</v>
      </c>
      <c r="C77" s="26" t="n">
        <f aca="false">C47</f>
        <v>283.855</v>
      </c>
      <c r="D77" s="26" t="n">
        <f aca="false">D47</f>
        <v>298.633666666667</v>
      </c>
      <c r="E77" s="26" t="n">
        <f aca="false">E47</f>
        <v>313.908804166667</v>
      </c>
      <c r="F77" s="26" t="n">
        <f aca="false">F47</f>
        <v>329.129387604167</v>
      </c>
      <c r="G77" s="26" t="n">
        <f aca="false">G47</f>
        <v>343.636506193034</v>
      </c>
      <c r="H77" s="26" t="n">
        <f aca="false">H47</f>
        <v>356.692912923014</v>
      </c>
      <c r="I77" s="26" t="n">
        <f aca="false">I47</f>
        <v>367.525650381795</v>
      </c>
      <c r="J77" s="26" t="n">
        <f aca="false">J47</f>
        <v>375.379385039411</v>
      </c>
      <c r="K77" s="26" t="n">
        <f aca="false">K47</f>
        <v>379.576224497074</v>
      </c>
      <c r="L77" s="26" t="n">
        <f aca="false">L47</f>
        <v>379.576224497074</v>
      </c>
    </row>
    <row r="78" customFormat="false" ht="15" hidden="false" customHeight="false" outlineLevel="0" collapsed="false">
      <c r="A78" s="3" t="s">
        <v>196</v>
      </c>
      <c r="B78" s="19" t="n">
        <v>90</v>
      </c>
      <c r="C78" s="26" t="n">
        <f aca="false">B78</f>
        <v>90</v>
      </c>
      <c r="D78" s="26" t="n">
        <f aca="false">B78</f>
        <v>90</v>
      </c>
      <c r="E78" s="26" t="n">
        <f aca="false">B78</f>
        <v>90</v>
      </c>
      <c r="F78" s="26" t="n">
        <f aca="false">B78</f>
        <v>90</v>
      </c>
      <c r="G78" s="26" t="n">
        <f aca="false">B78</f>
        <v>90</v>
      </c>
      <c r="H78" s="26" t="n">
        <f aca="false">B78</f>
        <v>90</v>
      </c>
      <c r="I78" s="26" t="n">
        <f aca="false">B78</f>
        <v>90</v>
      </c>
      <c r="J78" s="26" t="n">
        <f aca="false">B78</f>
        <v>90</v>
      </c>
      <c r="K78" s="26" t="n">
        <f aca="false">B78</f>
        <v>90</v>
      </c>
      <c r="L78" s="26" t="n">
        <f aca="false">B78</f>
        <v>90</v>
      </c>
    </row>
    <row r="79" customFormat="false" ht="15" hidden="false" customHeight="false" outlineLevel="0" collapsed="false">
      <c r="A79" s="8" t="s">
        <v>197</v>
      </c>
      <c r="B79" s="20" t="n">
        <f aca="false">SUM(B73:B78)</f>
        <v>2425</v>
      </c>
      <c r="C79" s="20" t="n">
        <f aca="false">SUM(C73:C78)</f>
        <v>3216.96463150685</v>
      </c>
      <c r="D79" s="20" t="n">
        <f aca="false">SUM(D73:D78)</f>
        <v>3903.98108912156</v>
      </c>
      <c r="E79" s="20" t="n">
        <f aca="false">SUM(E73:E78)</f>
        <v>4704.20335437042</v>
      </c>
      <c r="F79" s="20" t="n">
        <f aca="false">SUM(F73:F78)</f>
        <v>5621.77800295694</v>
      </c>
      <c r="G79" s="20" t="n">
        <f aca="false">SUM(G73:G78)</f>
        <v>6657.42586281874</v>
      </c>
      <c r="H79" s="20" t="n">
        <f aca="false">SUM(H73:H78)</f>
        <v>7807.95059441475</v>
      </c>
      <c r="I79" s="20" t="n">
        <f aca="false">SUM(I73:I78)</f>
        <v>9065.97677794319</v>
      </c>
      <c r="J79" s="20" t="n">
        <f aca="false">SUM(J73:J78)</f>
        <v>10419.9743358599</v>
      </c>
      <c r="K79" s="20" t="n">
        <f aca="false">SUM(K73:K78)</f>
        <v>11854.6008355879</v>
      </c>
      <c r="L79" s="20" t="n">
        <f aca="false">SUM(L73:L78)</f>
        <v>13351.3600926635</v>
      </c>
    </row>
    <row r="80" customFormat="false" ht="15" hidden="false" customHeight="false" outlineLevel="0" collapsed="false">
      <c r="A80" s="3" t="s">
        <v>165</v>
      </c>
      <c r="B80" s="26" t="n">
        <f aca="false">-B39</f>
        <v>450</v>
      </c>
      <c r="C80" s="26" t="n">
        <f aca="false">-C39</f>
        <v>452.659931506849</v>
      </c>
      <c r="D80" s="26" t="n">
        <f aca="false">-D39</f>
        <v>535.979726027397</v>
      </c>
      <c r="E80" s="26" t="n">
        <f aca="false">-E39</f>
        <v>624.606649828767</v>
      </c>
      <c r="F80" s="26" t="n">
        <f aca="false">-F39</f>
        <v>716.201426134418</v>
      </c>
      <c r="G80" s="26" t="n">
        <f aca="false">-G39</f>
        <v>807.82790498281</v>
      </c>
      <c r="H80" s="26" t="n">
        <f aca="false">-H39</f>
        <v>896.062982427427</v>
      </c>
      <c r="I80" s="26" t="n">
        <f aca="false">-I39</f>
        <v>977.172276247544</v>
      </c>
      <c r="J80" s="26" t="n">
        <f aca="false">-J39</f>
        <v>1047.34393002591</v>
      </c>
      <c r="K80" s="26" t="n">
        <f aca="false">-K39</f>
        <v>1102.96390404486</v>
      </c>
      <c r="L80" s="26" t="n">
        <f aca="false">-L39</f>
        <v>1140.90793201826</v>
      </c>
    </row>
    <row r="81" customFormat="false" ht="15" hidden="false" customHeight="false" outlineLevel="0" collapsed="false">
      <c r="A81" s="3" t="s">
        <v>166</v>
      </c>
      <c r="B81" s="26" t="n">
        <f aca="false">-B40</f>
        <v>250</v>
      </c>
      <c r="C81" s="26" t="n">
        <f aca="false">-C40</f>
        <v>277.1</v>
      </c>
      <c r="D81" s="26" t="n">
        <f aca="false">-D40</f>
        <v>332.52</v>
      </c>
      <c r="E81" s="26" t="n">
        <f aca="false">-E40</f>
        <v>392.78925</v>
      </c>
      <c r="F81" s="26" t="n">
        <f aca="false">-F40</f>
        <v>456.617503125</v>
      </c>
      <c r="G81" s="26" t="n">
        <f aca="false">-G40</f>
        <v>522.256269199219</v>
      </c>
      <c r="H81" s="26" t="n">
        <f aca="false">-H40</f>
        <v>587.538302849121</v>
      </c>
      <c r="I81" s="26" t="n">
        <f aca="false">-I40</f>
        <v>649.96424752684</v>
      </c>
      <c r="J81" s="26" t="n">
        <f aca="false">-J40</f>
        <v>706.836119185439</v>
      </c>
      <c r="K81" s="26" t="n">
        <f aca="false">-K40</f>
        <v>755.431102379438</v>
      </c>
      <c r="L81" s="26" t="n">
        <f aca="false">-L40</f>
        <v>793.20265749841</v>
      </c>
    </row>
    <row r="82" customFormat="false" ht="15" hidden="false" customHeight="false" outlineLevel="0" collapsed="false">
      <c r="A82" s="3" t="s">
        <v>198</v>
      </c>
      <c r="B82" s="26" t="n">
        <f aca="false">-B41</f>
        <v>1050</v>
      </c>
      <c r="C82" s="26" t="n">
        <f aca="false">-C41</f>
        <v>1108.4</v>
      </c>
      <c r="D82" s="26" t="n">
        <f aca="false">-D41</f>
        <v>1274.66</v>
      </c>
      <c r="E82" s="26" t="n">
        <f aca="false">-E41</f>
        <v>1440.22725</v>
      </c>
      <c r="F82" s="26" t="n">
        <f aca="false">-F41</f>
        <v>1598.1612609375</v>
      </c>
      <c r="G82" s="26" t="n">
        <f aca="false">-G41</f>
        <v>1740.85423066406</v>
      </c>
      <c r="H82" s="26" t="n">
        <f aca="false">-H41</f>
        <v>1860.53795902222</v>
      </c>
      <c r="I82" s="26" t="n">
        <f aca="false">-I41</f>
        <v>1949.89274258052</v>
      </c>
      <c r="J82" s="26" t="n">
        <f aca="false">-J41</f>
        <v>2002.70233769208</v>
      </c>
      <c r="K82" s="26" t="n">
        <f aca="false">-K41</f>
        <v>2014.4829396785</v>
      </c>
      <c r="L82" s="26" t="n">
        <f aca="false">-L41</f>
        <v>1983.00664374602</v>
      </c>
    </row>
    <row r="83" customFormat="false" ht="15" hidden="false" customHeight="false" outlineLevel="0" collapsed="false">
      <c r="A83" s="3" t="s">
        <v>199</v>
      </c>
      <c r="B83" s="26" t="n">
        <v>0</v>
      </c>
      <c r="C83" s="26" t="n">
        <f aca="false">C53</f>
        <v>0</v>
      </c>
      <c r="D83" s="26" t="n">
        <f aca="false">D53</f>
        <v>0</v>
      </c>
      <c r="E83" s="26" t="n">
        <f aca="false">E53</f>
        <v>0</v>
      </c>
      <c r="F83" s="26" t="n">
        <f aca="false">F53</f>
        <v>0</v>
      </c>
      <c r="G83" s="26" t="n">
        <f aca="false">G53</f>
        <v>0</v>
      </c>
      <c r="H83" s="26" t="n">
        <f aca="false">H53</f>
        <v>0</v>
      </c>
      <c r="I83" s="26" t="n">
        <f aca="false">I53</f>
        <v>0</v>
      </c>
      <c r="J83" s="26" t="n">
        <f aca="false">J53</f>
        <v>0</v>
      </c>
      <c r="K83" s="26" t="n">
        <f aca="false">K53</f>
        <v>0</v>
      </c>
      <c r="L83" s="26" t="n">
        <f aca="false">L53</f>
        <v>0</v>
      </c>
    </row>
    <row r="84" customFormat="false" ht="15" hidden="false" customHeight="false" outlineLevel="0" collapsed="false">
      <c r="A84" s="3" t="s">
        <v>200</v>
      </c>
      <c r="B84" s="26" t="n">
        <v>0</v>
      </c>
      <c r="C84" s="26" t="n">
        <f aca="false">C55</f>
        <v>0</v>
      </c>
      <c r="D84" s="26" t="n">
        <f aca="false">D55</f>
        <v>0</v>
      </c>
      <c r="E84" s="26" t="n">
        <f aca="false">E55</f>
        <v>0</v>
      </c>
      <c r="F84" s="26" t="n">
        <f aca="false">F55</f>
        <v>0</v>
      </c>
      <c r="G84" s="26" t="n">
        <f aca="false">G55</f>
        <v>0</v>
      </c>
      <c r="H84" s="26" t="n">
        <f aca="false">H55</f>
        <v>0</v>
      </c>
      <c r="I84" s="26" t="n">
        <f aca="false">I55</f>
        <v>0</v>
      </c>
      <c r="J84" s="26" t="n">
        <f aca="false">J55</f>
        <v>0</v>
      </c>
      <c r="K84" s="26" t="n">
        <f aca="false">K55</f>
        <v>0</v>
      </c>
      <c r="L84" s="26" t="n">
        <f aca="false">L55</f>
        <v>0</v>
      </c>
    </row>
    <row r="85" customFormat="false" ht="15" hidden="false" customHeight="false" outlineLevel="0" collapsed="false">
      <c r="A85" s="3" t="s">
        <v>201</v>
      </c>
      <c r="B85" s="19" t="n">
        <v>75</v>
      </c>
      <c r="C85" s="26" t="n">
        <f aca="false">B85</f>
        <v>75</v>
      </c>
      <c r="D85" s="26" t="n">
        <f aca="false">B85</f>
        <v>75</v>
      </c>
      <c r="E85" s="26" t="n">
        <f aca="false">B85</f>
        <v>75</v>
      </c>
      <c r="F85" s="26" t="n">
        <f aca="false">B85</f>
        <v>75</v>
      </c>
      <c r="G85" s="26" t="n">
        <f aca="false">B85</f>
        <v>75</v>
      </c>
      <c r="H85" s="26" t="n">
        <f aca="false">B85</f>
        <v>75</v>
      </c>
      <c r="I85" s="26" t="n">
        <f aca="false">B85</f>
        <v>75</v>
      </c>
      <c r="J85" s="26" t="n">
        <f aca="false">B85</f>
        <v>75</v>
      </c>
      <c r="K85" s="26" t="n">
        <f aca="false">B85</f>
        <v>75</v>
      </c>
      <c r="L85" s="26" t="n">
        <f aca="false">B85</f>
        <v>75</v>
      </c>
    </row>
    <row r="86" customFormat="false" ht="15" hidden="false" customHeight="false" outlineLevel="0" collapsed="false">
      <c r="A86" s="8" t="s">
        <v>202</v>
      </c>
      <c r="B86" s="20" t="n">
        <f aca="false">SUM(B80:B85)</f>
        <v>1825</v>
      </c>
      <c r="C86" s="20" t="n">
        <f aca="false">SUM(C80:C85)</f>
        <v>1913.15993150685</v>
      </c>
      <c r="D86" s="20" t="n">
        <f aca="false">SUM(D80:D85)</f>
        <v>2218.1597260274</v>
      </c>
      <c r="E86" s="20" t="n">
        <f aca="false">SUM(E80:E85)</f>
        <v>2532.62314982877</v>
      </c>
      <c r="F86" s="20" t="n">
        <f aca="false">SUM(F80:F85)</f>
        <v>2845.98019019692</v>
      </c>
      <c r="G86" s="20" t="n">
        <f aca="false">SUM(G80:G85)</f>
        <v>3145.93840484609</v>
      </c>
      <c r="H86" s="20" t="n">
        <f aca="false">SUM(H80:H85)</f>
        <v>3419.13924429876</v>
      </c>
      <c r="I86" s="20" t="n">
        <f aca="false">SUM(I80:I85)</f>
        <v>3652.0292663549</v>
      </c>
      <c r="J86" s="20" t="n">
        <f aca="false">SUM(J80:J85)</f>
        <v>3831.88238690343</v>
      </c>
      <c r="K86" s="20" t="n">
        <f aca="false">SUM(K80:K85)</f>
        <v>3947.8779461028</v>
      </c>
      <c r="L86" s="20" t="n">
        <f aca="false">SUM(L80:L85)</f>
        <v>3992.11723326269</v>
      </c>
    </row>
    <row r="87" customFormat="false" ht="15" hidden="false" customHeight="false" outlineLevel="0" collapsed="false">
      <c r="A87" s="8" t="s">
        <v>203</v>
      </c>
      <c r="B87" s="20" t="n">
        <f aca="false">B79-B86</f>
        <v>600</v>
      </c>
      <c r="C87" s="20" t="n">
        <f aca="false">B87+C31-C24+C66</f>
        <v>1303.8047</v>
      </c>
      <c r="D87" s="20" t="n">
        <f aca="false">C87+D31-D24+D66</f>
        <v>1685.82136309417</v>
      </c>
      <c r="E87" s="20" t="n">
        <f aca="false">D87+E31-E24+E66</f>
        <v>2171.58020454165</v>
      </c>
      <c r="F87" s="20" t="n">
        <f aca="false">E87+F31-F24+F66</f>
        <v>2775.79781276003</v>
      </c>
      <c r="G87" s="20" t="n">
        <f aca="false">F87+G31-G24+G66</f>
        <v>3511.48745797265</v>
      </c>
      <c r="H87" s="20" t="n">
        <f aca="false">G87+H31-H24+H66</f>
        <v>4388.81135011599</v>
      </c>
      <c r="I87" s="20" t="n">
        <f aca="false">H87+I31-I24+I66</f>
        <v>5413.94751158829</v>
      </c>
      <c r="J87" s="20" t="n">
        <f aca="false">I87+J31-J24+J66</f>
        <v>6588.09194895647</v>
      </c>
      <c r="K87" s="20" t="n">
        <f aca="false">J87+K31-K24+K66</f>
        <v>7906.72288948513</v>
      </c>
      <c r="L87" s="20" t="n">
        <f aca="false">K87+L31-L24+L66</f>
        <v>9359.24285940084</v>
      </c>
    </row>
    <row r="88" customFormat="false" ht="15" hidden="false" customHeight="false" outlineLevel="0" collapsed="false">
      <c r="A88" s="8" t="s">
        <v>204</v>
      </c>
      <c r="B88" s="20" t="n">
        <f aca="false">B86+B87</f>
        <v>2425</v>
      </c>
      <c r="C88" s="20" t="n">
        <f aca="false">C86+C87</f>
        <v>3216.96463150685</v>
      </c>
      <c r="D88" s="20" t="n">
        <f aca="false">D86+D87</f>
        <v>3903.98108912156</v>
      </c>
      <c r="E88" s="20" t="n">
        <f aca="false">E86+E87</f>
        <v>4704.20335437042</v>
      </c>
      <c r="F88" s="20" t="n">
        <f aca="false">F86+F87</f>
        <v>5621.77800295694</v>
      </c>
      <c r="G88" s="20" t="n">
        <f aca="false">G86+G87</f>
        <v>6657.42586281874</v>
      </c>
      <c r="H88" s="20" t="n">
        <f aca="false">H86+H87</f>
        <v>7807.95059441475</v>
      </c>
      <c r="I88" s="20" t="n">
        <f aca="false">I86+I87</f>
        <v>9065.97677794319</v>
      </c>
      <c r="J88" s="20" t="n">
        <f aca="false">J86+J87</f>
        <v>10419.9743358599</v>
      </c>
      <c r="K88" s="20" t="n">
        <f aca="false">K86+K87</f>
        <v>11854.6008355879</v>
      </c>
      <c r="L88" s="20" t="n">
        <f aca="false">L86+L87</f>
        <v>13351.3600926635</v>
      </c>
    </row>
    <row r="89" customFormat="false" ht="15" hidden="false" customHeight="false" outlineLevel="0" collapsed="false">
      <c r="A89" s="27" t="s">
        <v>205</v>
      </c>
      <c r="B89" s="29" t="n">
        <f aca="false">B79-B88</f>
        <v>0</v>
      </c>
      <c r="C89" s="29" t="n">
        <f aca="false">C79-C88</f>
        <v>0</v>
      </c>
      <c r="D89" s="29" t="n">
        <f aca="false">D79-D88</f>
        <v>0</v>
      </c>
      <c r="E89" s="29" t="n">
        <f aca="false">E79-E88</f>
        <v>0</v>
      </c>
      <c r="F89" s="29" t="n">
        <f aca="false">F79-F88</f>
        <v>0</v>
      </c>
      <c r="G89" s="29" t="n">
        <f aca="false">G79-G88</f>
        <v>0</v>
      </c>
      <c r="H89" s="29" t="n">
        <f aca="false">H79-H88</f>
        <v>0</v>
      </c>
      <c r="I89" s="29" t="n">
        <f aca="false">I79-I88</f>
        <v>0</v>
      </c>
      <c r="J89" s="29" t="n">
        <f aca="false">J79-J88</f>
        <v>0</v>
      </c>
      <c r="K89" s="29" t="n">
        <f aca="false">K79-K88</f>
        <v>0</v>
      </c>
      <c r="L89" s="29" t="n">
        <f aca="false">L79-L88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206</v>
      </c>
    </row>
    <row r="4" customFormat="false" ht="15" hidden="false" customHeight="false" outlineLevel="0" collapsed="false">
      <c r="A4" s="5" t="s">
        <v>207</v>
      </c>
    </row>
    <row r="5" customFormat="false" ht="15" hidden="false" customHeight="false" outlineLevel="0" collapsed="false">
      <c r="A5" s="3" t="s">
        <v>208</v>
      </c>
      <c r="B5" s="30" t="n">
        <v>0.0455</v>
      </c>
      <c r="C5" s="14" t="s">
        <v>209</v>
      </c>
    </row>
    <row r="6" customFormat="false" ht="15" hidden="false" customHeight="false" outlineLevel="0" collapsed="false">
      <c r="A6" s="3" t="s">
        <v>210</v>
      </c>
      <c r="B6" s="31" t="n">
        <v>1.9</v>
      </c>
      <c r="C6" s="14" t="s">
        <v>211</v>
      </c>
    </row>
    <row r="7" customFormat="false" ht="15" hidden="false" customHeight="false" outlineLevel="0" collapsed="false">
      <c r="A7" s="3" t="s">
        <v>212</v>
      </c>
      <c r="B7" s="30" t="n">
        <v>0.0475</v>
      </c>
      <c r="C7" s="14" t="s">
        <v>213</v>
      </c>
    </row>
    <row r="8" customFormat="false" ht="15" hidden="false" customHeight="false" outlineLevel="0" collapsed="false">
      <c r="A8" s="3" t="s">
        <v>214</v>
      </c>
      <c r="B8" s="30" t="n">
        <v>0</v>
      </c>
      <c r="C8" s="14" t="s">
        <v>215</v>
      </c>
    </row>
    <row r="9" customFormat="false" ht="15" hidden="false" customHeight="false" outlineLevel="0" collapsed="false">
      <c r="A9" s="8" t="s">
        <v>216</v>
      </c>
      <c r="B9" s="32" t="n">
        <f aca="false">B5+B6*B7+B8</f>
        <v>0.13575</v>
      </c>
    </row>
    <row r="11" customFormat="false" ht="15" hidden="false" customHeight="false" outlineLevel="0" collapsed="false">
      <c r="A11" s="5" t="s">
        <v>217</v>
      </c>
    </row>
    <row r="12" customFormat="false" ht="15" hidden="false" customHeight="false" outlineLevel="0" collapsed="false">
      <c r="A12" s="3" t="s">
        <v>218</v>
      </c>
      <c r="B12" s="30" t="n">
        <v>0.065</v>
      </c>
      <c r="C12" s="14" t="s">
        <v>219</v>
      </c>
    </row>
    <row r="13" customFormat="false" ht="15" hidden="false" customHeight="false" outlineLevel="0" collapsed="false">
      <c r="A13" s="3" t="s">
        <v>220</v>
      </c>
      <c r="B13" s="23" t="n">
        <f aca="false">Assumptions!B38</f>
        <v>0.25</v>
      </c>
    </row>
    <row r="14" customFormat="false" ht="15" hidden="false" customHeight="false" outlineLevel="0" collapsed="false">
      <c r="A14" s="3" t="s">
        <v>221</v>
      </c>
      <c r="B14" s="33" t="n">
        <f aca="false">B12*(1-B13)</f>
        <v>0.04875</v>
      </c>
    </row>
    <row r="16" customFormat="false" ht="15" hidden="false" customHeight="false" outlineLevel="0" collapsed="false">
      <c r="A16" s="5" t="s">
        <v>222</v>
      </c>
    </row>
    <row r="17" customFormat="false" ht="15" hidden="false" customHeight="false" outlineLevel="0" collapsed="false">
      <c r="A17" s="3" t="s">
        <v>223</v>
      </c>
      <c r="B17" s="12" t="n">
        <v>0.02</v>
      </c>
      <c r="C17" s="14" t="s">
        <v>224</v>
      </c>
    </row>
    <row r="18" customFormat="false" ht="15" hidden="false" customHeight="false" outlineLevel="0" collapsed="false">
      <c r="A18" s="3" t="s">
        <v>225</v>
      </c>
      <c r="B18" s="21" t="n">
        <f aca="false">1-B17</f>
        <v>0.98</v>
      </c>
    </row>
    <row r="20" customFormat="false" ht="15" hidden="false" customHeight="false" outlineLevel="0" collapsed="false">
      <c r="A20" s="8" t="s">
        <v>9</v>
      </c>
      <c r="B20" s="32" t="n">
        <f aca="false">B18*B9+B17*B14</f>
        <v>0.13401</v>
      </c>
    </row>
    <row r="22" customFormat="false" ht="15" hidden="false" customHeight="false" outlineLevel="0" collapsed="false">
      <c r="A22" s="14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227</v>
      </c>
    </row>
    <row r="4" customFormat="false" ht="15" hidden="false" customHeight="false" outlineLevel="0" collapsed="false">
      <c r="A4" s="11"/>
      <c r="B4" s="11" t="s">
        <v>129</v>
      </c>
      <c r="C4" s="11" t="s">
        <v>130</v>
      </c>
      <c r="D4" s="11" t="s">
        <v>131</v>
      </c>
      <c r="E4" s="11" t="s">
        <v>132</v>
      </c>
      <c r="F4" s="11" t="s">
        <v>133</v>
      </c>
      <c r="G4" s="11" t="s">
        <v>134</v>
      </c>
      <c r="H4" s="11" t="s">
        <v>135</v>
      </c>
      <c r="I4" s="11" t="s">
        <v>136</v>
      </c>
      <c r="J4" s="11" t="s">
        <v>137</v>
      </c>
    </row>
    <row r="5" customFormat="false" ht="15" hidden="false" customHeight="false" outlineLevel="0" collapsed="false">
      <c r="A5" s="3" t="s">
        <v>228</v>
      </c>
      <c r="B5" s="24" t="n">
        <f aca="false">Model_3S!D26</f>
        <v>120.446133333333</v>
      </c>
      <c r="C5" s="24" t="n">
        <f aca="false">Model_3S!E26</f>
        <v>198.140355</v>
      </c>
      <c r="D5" s="24" t="n">
        <f aca="false">Model_3S!F26</f>
        <v>295.2793186875</v>
      </c>
      <c r="E5" s="24" t="n">
        <f aca="false">Model_3S!G26</f>
        <v>412.002167923828</v>
      </c>
      <c r="F5" s="24" t="n">
        <f aca="false">Model_3S!H26</f>
        <v>547.063441986182</v>
      </c>
      <c r="G5" s="24" t="n">
        <f aca="false">Model_3S!I26</f>
        <v>697.628292345475</v>
      </c>
      <c r="H5" s="24" t="n">
        <f aca="false">Model_3S!J26</f>
        <v>859.198571543188</v>
      </c>
      <c r="I5" s="24" t="n">
        <f aca="false">Model_3S!K26</f>
        <v>1025.70756345297</v>
      </c>
      <c r="J5" s="24" t="n">
        <f aca="false">Model_3S!L26</f>
        <v>1189.80398624761</v>
      </c>
    </row>
    <row r="6" customFormat="false" ht="15" hidden="false" customHeight="false" outlineLevel="0" collapsed="false">
      <c r="A6" s="3" t="s">
        <v>229</v>
      </c>
      <c r="B6" s="24" t="n">
        <f aca="false">-MAX(0,B5)*Model_3S!D14</f>
        <v>-19.4052103703704</v>
      </c>
      <c r="C6" s="24" t="n">
        <f aca="false">-MAX(0,C5)*Model_3S!E14</f>
        <v>-34.12417225</v>
      </c>
      <c r="D6" s="24" t="n">
        <f aca="false">-MAX(0,D5)*Model_3S!F14</f>
        <v>-54.134541759375</v>
      </c>
      <c r="E6" s="24" t="n">
        <f aca="false">-MAX(0,E5)*Model_3S!G14</f>
        <v>-80.1115326518555</v>
      </c>
      <c r="F6" s="24" t="n">
        <f aca="false">-MAX(0,F5)*Model_3S!H14</f>
        <v>-112.451929741604</v>
      </c>
      <c r="G6" s="24" t="n">
        <f aca="false">-MAX(0,G5)*Model_3S!I14</f>
        <v>-151.152796674853</v>
      </c>
      <c r="H6" s="24" t="n">
        <f aca="false">-MAX(0,H5)*Model_3S!J14</f>
        <v>-195.706341295948</v>
      </c>
      <c r="I6" s="24" t="n">
        <f aca="false">-MAX(0,I5)*Model_3S!K14</f>
        <v>-245.030140158209</v>
      </c>
      <c r="J6" s="24" t="n">
        <f aca="false">-MAX(0,J5)*Model_3S!L14</f>
        <v>-297.450996561904</v>
      </c>
    </row>
    <row r="7" customFormat="false" ht="15" hidden="false" customHeight="false" outlineLevel="0" collapsed="false">
      <c r="A7" s="3" t="s">
        <v>182</v>
      </c>
      <c r="B7" s="24" t="n">
        <f aca="false">-Model_3S!D25</f>
        <v>83.13</v>
      </c>
      <c r="C7" s="24" t="n">
        <f aca="false">-Model_3S!E25</f>
        <v>98.1973125</v>
      </c>
      <c r="D7" s="24" t="n">
        <f aca="false">-Model_3S!F25</f>
        <v>114.15437578125</v>
      </c>
      <c r="E7" s="24" t="n">
        <f aca="false">-Model_3S!G25</f>
        <v>130.564067299805</v>
      </c>
      <c r="F7" s="24" t="n">
        <f aca="false">-Model_3S!H25</f>
        <v>146.88457571228</v>
      </c>
      <c r="G7" s="24" t="n">
        <f aca="false">-Model_3S!I25</f>
        <v>162.49106188171</v>
      </c>
      <c r="H7" s="24" t="n">
        <f aca="false">-Model_3S!J25</f>
        <v>176.70902979636</v>
      </c>
      <c r="I7" s="24" t="n">
        <f aca="false">-Model_3S!K25</f>
        <v>188.857775594859</v>
      </c>
      <c r="J7" s="24" t="n">
        <f aca="false">-Model_3S!L25</f>
        <v>198.300664374602</v>
      </c>
    </row>
    <row r="8" customFormat="false" ht="15" hidden="false" customHeight="false" outlineLevel="0" collapsed="false">
      <c r="A8" s="3" t="s">
        <v>230</v>
      </c>
      <c r="B8" s="24" t="n">
        <f aca="false">-Model_3S!D46</f>
        <v>-97.9086666666667</v>
      </c>
      <c r="C8" s="24" t="n">
        <f aca="false">-Model_3S!E46</f>
        <v>-113.47245</v>
      </c>
      <c r="D8" s="24" t="n">
        <f aca="false">-Model_3S!F46</f>
        <v>-129.37495921875</v>
      </c>
      <c r="E8" s="24" t="n">
        <f aca="false">-Model_3S!G46</f>
        <v>-145.071185888672</v>
      </c>
      <c r="F8" s="24" t="n">
        <f aca="false">-Model_3S!H46</f>
        <v>-159.940982442261</v>
      </c>
      <c r="G8" s="24" t="n">
        <f aca="false">-Model_3S!I46</f>
        <v>-173.323799340491</v>
      </c>
      <c r="H8" s="24" t="n">
        <f aca="false">-Model_3S!J46</f>
        <v>-184.562764453976</v>
      </c>
      <c r="I8" s="24" t="n">
        <f aca="false">-Model_3S!K46</f>
        <v>-193.054615052523</v>
      </c>
      <c r="J8" s="24" t="n">
        <f aca="false">-Model_3S!L46</f>
        <v>-198.300664374602</v>
      </c>
    </row>
    <row r="9" customFormat="false" ht="15" hidden="false" customHeight="false" outlineLevel="0" collapsed="false">
      <c r="A9" s="3" t="s">
        <v>231</v>
      </c>
      <c r="B9" s="24" t="n">
        <f aca="false">Model_3S!D43</f>
        <v>158.946584474886</v>
      </c>
      <c r="C9" s="24" t="n">
        <f aca="false">Model_3S!E43</f>
        <v>157.085016552511</v>
      </c>
      <c r="D9" s="24" t="n">
        <f aca="false">Model_3S!F43</f>
        <v>148.346694940069</v>
      </c>
      <c r="E9" s="24" t="n">
        <f aca="false">Model_3S!G43</f>
        <v>132.149327552521</v>
      </c>
      <c r="F9" s="24" t="n">
        <f aca="false">Model_3S!H43</f>
        <v>108.425806877889</v>
      </c>
      <c r="G9" s="24" t="n">
        <f aca="false">Model_3S!I43</f>
        <v>77.7185964131213</v>
      </c>
      <c r="H9" s="24" t="n">
        <f aca="false">Model_3S!J43</f>
        <v>41.2163401257028</v>
      </c>
      <c r="I9" s="24" t="n">
        <f aca="false">Model_3S!K43</f>
        <v>0.71746017805458</v>
      </c>
      <c r="J9" s="24" t="n">
        <f aca="false">Model_3S!L43</f>
        <v>-41.4854705842465</v>
      </c>
    </row>
    <row r="10" customFormat="false" ht="15" hidden="false" customHeight="false" outlineLevel="0" collapsed="false">
      <c r="A10" s="8" t="s">
        <v>232</v>
      </c>
      <c r="B10" s="20" t="n">
        <f aca="false">SUM(B5:B9)</f>
        <v>245.208840771182</v>
      </c>
      <c r="C10" s="20" t="n">
        <f aca="false">SUM(C5:C9)</f>
        <v>305.826061802512</v>
      </c>
      <c r="D10" s="20" t="n">
        <f aca="false">SUM(D5:D9)</f>
        <v>374.270888430694</v>
      </c>
      <c r="E10" s="20" t="n">
        <f aca="false">SUM(E5:E9)</f>
        <v>449.532844235626</v>
      </c>
      <c r="F10" s="20" t="n">
        <f aca="false">SUM(F5:F9)</f>
        <v>529.980912392486</v>
      </c>
      <c r="G10" s="20" t="n">
        <f aca="false">SUM(G5:G9)</f>
        <v>613.361354624963</v>
      </c>
      <c r="H10" s="20" t="n">
        <f aca="false">SUM(H5:H9)</f>
        <v>696.854835715327</v>
      </c>
      <c r="I10" s="20" t="n">
        <f aca="false">SUM(I5:I9)</f>
        <v>777.198044015151</v>
      </c>
      <c r="J10" s="20" t="n">
        <f aca="false">SUM(J5:J9)</f>
        <v>850.867519101465</v>
      </c>
    </row>
    <row r="11" customFormat="false" ht="15" hidden="false" customHeight="false" outlineLevel="0" collapsed="false">
      <c r="A11" s="3" t="s">
        <v>233</v>
      </c>
      <c r="B11" s="34" t="n">
        <v>0.5</v>
      </c>
      <c r="C11" s="34" t="n">
        <v>1.5</v>
      </c>
      <c r="D11" s="34" t="n">
        <v>2.5</v>
      </c>
      <c r="E11" s="34" t="n">
        <v>3.5</v>
      </c>
      <c r="F11" s="34" t="n">
        <v>4.5</v>
      </c>
      <c r="G11" s="34" t="n">
        <v>5.5</v>
      </c>
      <c r="H11" s="34" t="n">
        <v>6.5</v>
      </c>
      <c r="I11" s="34" t="n">
        <v>7.5</v>
      </c>
      <c r="J11" s="34" t="n">
        <v>8.5</v>
      </c>
    </row>
    <row r="12" customFormat="false" ht="15" hidden="false" customHeight="false" outlineLevel="0" collapsed="false">
      <c r="A12" s="3" t="s">
        <v>234</v>
      </c>
      <c r="B12" s="35" t="n">
        <f aca="false">(1+$B$16)^-B11</f>
        <v>0.939056142581631</v>
      </c>
      <c r="C12" s="35" t="n">
        <f aca="false">(1+$B$16)^-C11</f>
        <v>0.828084534158985</v>
      </c>
      <c r="D12" s="35" t="n">
        <f aca="false">(1+$B$16)^-D11</f>
        <v>0.730226835882387</v>
      </c>
      <c r="E12" s="35" t="n">
        <f aca="false">(1+$B$16)^-E11</f>
        <v>0.643933330290197</v>
      </c>
      <c r="F12" s="35" t="n">
        <f aca="false">(1+$B$16)^-F11</f>
        <v>0.567837435551889</v>
      </c>
      <c r="G12" s="35" t="n">
        <f aca="false">(1+$B$16)^-G11</f>
        <v>0.500734063678353</v>
      </c>
      <c r="H12" s="35" t="n">
        <f aca="false">(1+$B$16)^-H11</f>
        <v>0.441560536219568</v>
      </c>
      <c r="I12" s="35" t="n">
        <f aca="false">(1+$B$16)^-I11</f>
        <v>0.389379755222236</v>
      </c>
      <c r="J12" s="35" t="n">
        <f aca="false">(1+$B$16)^-J11</f>
        <v>0.34336536293528</v>
      </c>
    </row>
    <row r="13" customFormat="false" ht="15" hidden="false" customHeight="false" outlineLevel="0" collapsed="false">
      <c r="A13" s="3" t="s">
        <v>235</v>
      </c>
      <c r="B13" s="26" t="n">
        <f aca="false">B10*B12</f>
        <v>230.2648681415</v>
      </c>
      <c r="C13" s="26" t="n">
        <f aca="false">C10*C12</f>
        <v>253.24983192141</v>
      </c>
      <c r="D13" s="26" t="n">
        <f aca="false">D10*D12</f>
        <v>273.302646621635</v>
      </c>
      <c r="E13" s="26" t="n">
        <f aca="false">E10*E12</f>
        <v>289.469181463471</v>
      </c>
      <c r="F13" s="26" t="n">
        <f aca="false">F10*F12</f>
        <v>300.943002184399</v>
      </c>
      <c r="G13" s="26" t="n">
        <f aca="false">G10*G12</f>
        <v>307.130923604617</v>
      </c>
      <c r="H13" s="26" t="n">
        <f aca="false">H10*H12</f>
        <v>307.703594925659</v>
      </c>
      <c r="I13" s="26" t="n">
        <f aca="false">I10*I12</f>
        <v>302.625184137821</v>
      </c>
      <c r="J13" s="26" t="n">
        <f aca="false">J10*J12</f>
        <v>292.158434506115</v>
      </c>
    </row>
    <row r="14" customFormat="false" ht="15" hidden="false" customHeight="false" outlineLevel="0" collapsed="false">
      <c r="A14" s="14" t="s">
        <v>236</v>
      </c>
    </row>
    <row r="15" customFormat="false" ht="15" hidden="false" customHeight="false" outlineLevel="0" collapsed="false">
      <c r="A15" s="8" t="s">
        <v>237</v>
      </c>
      <c r="B15" s="20" t="n">
        <f aca="false">SUM(B13:J13)</f>
        <v>2556.84766750663</v>
      </c>
    </row>
    <row r="16" customFormat="false" ht="15" hidden="false" customHeight="false" outlineLevel="0" collapsed="false">
      <c r="A16" s="8" t="s">
        <v>9</v>
      </c>
      <c r="B16" s="36" t="n">
        <f aca="false">WACC!B20</f>
        <v>0.13401</v>
      </c>
    </row>
    <row r="18" customFormat="false" ht="15" hidden="false" customHeight="false" outlineLevel="0" collapsed="false">
      <c r="A18" s="5" t="s">
        <v>238</v>
      </c>
    </row>
    <row r="19" customFormat="false" ht="15" hidden="false" customHeight="false" outlineLevel="0" collapsed="false">
      <c r="A19" s="3" t="s">
        <v>239</v>
      </c>
      <c r="B19" s="23" t="n">
        <f aca="false">Assumptions!B41</f>
        <v>0.03</v>
      </c>
    </row>
    <row r="20" customFormat="false" ht="15" hidden="false" customHeight="false" outlineLevel="0" collapsed="false">
      <c r="A20" s="3" t="s">
        <v>240</v>
      </c>
      <c r="B20" s="26" t="n">
        <f aca="false">J10*(1+B19)/(B16-B19)</f>
        <v>8426.05080929246</v>
      </c>
    </row>
    <row r="21" customFormat="false" ht="15" hidden="false" customHeight="false" outlineLevel="0" collapsed="false">
      <c r="A21" s="3" t="s">
        <v>241</v>
      </c>
      <c r="B21" s="26" t="n">
        <f aca="false">B20/(1+B16)^9</f>
        <v>2716.89037309779</v>
      </c>
    </row>
    <row r="22" customFormat="false" ht="15" hidden="false" customHeight="false" outlineLevel="0" collapsed="false">
      <c r="A22" s="27" t="s">
        <v>242</v>
      </c>
      <c r="B22" s="37" t="n">
        <f aca="false">B20/Model_3S!L23</f>
        <v>5.0584867679798</v>
      </c>
    </row>
    <row r="24" customFormat="false" ht="15" hidden="false" customHeight="false" outlineLevel="0" collapsed="false">
      <c r="A24" s="5" t="s">
        <v>243</v>
      </c>
    </row>
    <row r="25" customFormat="false" ht="15" hidden="false" customHeight="false" outlineLevel="0" collapsed="false">
      <c r="A25" s="3" t="s">
        <v>244</v>
      </c>
      <c r="B25" s="38" t="n">
        <f aca="false">Assumptions!B42</f>
        <v>12</v>
      </c>
    </row>
    <row r="26" customFormat="false" ht="15" hidden="false" customHeight="false" outlineLevel="0" collapsed="false">
      <c r="A26" s="3" t="s">
        <v>245</v>
      </c>
      <c r="B26" s="26" t="n">
        <f aca="false">B25*Model_3S!L23</f>
        <v>19988.7069689599</v>
      </c>
    </row>
    <row r="27" customFormat="false" ht="15" hidden="false" customHeight="false" outlineLevel="0" collapsed="false">
      <c r="A27" s="3" t="s">
        <v>246</v>
      </c>
      <c r="B27" s="26" t="n">
        <f aca="false">B26/(1+B16)^9</f>
        <v>6445.14574665852</v>
      </c>
    </row>
    <row r="28" customFormat="false" ht="15" hidden="false" customHeight="false" outlineLevel="0" collapsed="false">
      <c r="A28" s="27" t="s">
        <v>247</v>
      </c>
      <c r="B28" s="28" t="n">
        <f aca="false">(B16*B26-J10)/(B26+J10)</f>
        <v>0.0877090414132966</v>
      </c>
    </row>
    <row r="30" customFormat="false" ht="15" hidden="false" customHeight="false" outlineLevel="0" collapsed="false">
      <c r="A30" s="5" t="s">
        <v>248</v>
      </c>
    </row>
    <row r="31" customFormat="false" ht="15" hidden="false" customHeight="false" outlineLevel="0" collapsed="false">
      <c r="A31" s="3" t="s">
        <v>249</v>
      </c>
      <c r="B31" s="24" t="n">
        <f aca="false">Model_3S!C70-Model_3S!C56</f>
        <v>2086.39887808219</v>
      </c>
    </row>
    <row r="32" customFormat="false" ht="15" hidden="false" customHeight="false" outlineLevel="0" collapsed="false">
      <c r="A32" s="3" t="s">
        <v>250</v>
      </c>
      <c r="B32" s="39" t="n">
        <f aca="false">Assumptions!B37</f>
        <v>630</v>
      </c>
    </row>
    <row r="33" customFormat="false" ht="15" hidden="false" customHeight="false" outlineLevel="0" collapsed="false">
      <c r="A33" s="11"/>
      <c r="B33" s="11" t="s">
        <v>251</v>
      </c>
      <c r="C33" s="11" t="s">
        <v>252</v>
      </c>
      <c r="D33" s="11" t="s">
        <v>253</v>
      </c>
    </row>
    <row r="34" customFormat="false" ht="15" hidden="false" customHeight="false" outlineLevel="0" collapsed="false">
      <c r="A34" s="3" t="s">
        <v>254</v>
      </c>
      <c r="B34" s="26" t="n">
        <f aca="false">B15+B21</f>
        <v>5273.73804060441</v>
      </c>
      <c r="C34" s="26" t="n">
        <f aca="false">B15+B27</f>
        <v>9001.99341416514</v>
      </c>
      <c r="D34" s="26" t="n">
        <f aca="false">AVERAGE(B34:C34)</f>
        <v>7137.86572738478</v>
      </c>
    </row>
    <row r="35" customFormat="false" ht="15" hidden="false" customHeight="false" outlineLevel="0" collapsed="false">
      <c r="A35" s="3" t="s">
        <v>255</v>
      </c>
      <c r="B35" s="26" t="n">
        <f aca="false">$B$31</f>
        <v>2086.39887808219</v>
      </c>
      <c r="C35" s="26" t="n">
        <f aca="false">$B$31</f>
        <v>2086.39887808219</v>
      </c>
      <c r="D35" s="26" t="n">
        <f aca="false">$B$31</f>
        <v>2086.39887808219</v>
      </c>
    </row>
    <row r="36" customFormat="false" ht="15" hidden="false" customHeight="false" outlineLevel="0" collapsed="false">
      <c r="A36" s="8" t="s">
        <v>256</v>
      </c>
      <c r="B36" s="20" t="n">
        <f aca="false">B34+B35</f>
        <v>7360.1369186866</v>
      </c>
      <c r="C36" s="20" t="n">
        <f aca="false">C34+C35</f>
        <v>11088.3922922473</v>
      </c>
      <c r="D36" s="20" t="n">
        <f aca="false">D34+D35</f>
        <v>9224.26460546697</v>
      </c>
    </row>
    <row r="37" customFormat="false" ht="15" hidden="false" customHeight="false" outlineLevel="0" collapsed="false">
      <c r="A37" s="8" t="s">
        <v>257</v>
      </c>
      <c r="B37" s="40" t="n">
        <f aca="false">B36/$B$32</f>
        <v>11.6827570137883</v>
      </c>
      <c r="C37" s="40" t="n">
        <f aca="false">C36/$B$32</f>
        <v>17.6006226861069</v>
      </c>
      <c r="D37" s="40" t="n">
        <f aca="false">D36/$B$32</f>
        <v>14.6416898499476</v>
      </c>
    </row>
    <row r="38" customFormat="false" ht="15" hidden="false" customHeight="false" outlineLevel="0" collapsed="false">
      <c r="A38" s="27" t="s">
        <v>258</v>
      </c>
      <c r="B38" s="28" t="n">
        <f aca="false">B37/Assumptions!$B$43-1</f>
        <v>-0.725176264084021</v>
      </c>
      <c r="C38" s="28" t="n">
        <f aca="false">C37/Assumptions!$B$43-1</f>
        <v>-0.585965121474785</v>
      </c>
      <c r="D38" s="28" t="n">
        <f aca="false">D37/Assumptions!$B$43-1</f>
        <v>-0.655570692779403</v>
      </c>
    </row>
    <row r="40" customFormat="false" ht="15" hidden="false" customHeight="false" outlineLevel="0" collapsed="false">
      <c r="A40" s="14" t="s">
        <v>259</v>
      </c>
    </row>
    <row r="42" customFormat="false" ht="15" hidden="false" customHeight="false" outlineLevel="0" collapsed="false">
      <c r="A42" s="5" t="s">
        <v>260</v>
      </c>
    </row>
    <row r="43" customFormat="false" ht="15" hidden="false" customHeight="false" outlineLevel="0" collapsed="false">
      <c r="B43" s="41" t="s">
        <v>261</v>
      </c>
      <c r="C43" s="42" t="n">
        <v>0.02</v>
      </c>
      <c r="D43" s="42" t="n">
        <v>0.025</v>
      </c>
      <c r="E43" s="42" t="n">
        <v>0.03</v>
      </c>
      <c r="F43" s="42" t="n">
        <v>0.035</v>
      </c>
      <c r="G43" s="42" t="n">
        <v>0.04</v>
      </c>
    </row>
    <row r="44" customFormat="false" ht="15" hidden="false" customHeight="false" outlineLevel="0" collapsed="false">
      <c r="B44" s="43" t="n">
        <v>0.115</v>
      </c>
      <c r="C44" s="44" t="n">
        <f aca="false">(SUMPRODUCT($B$10:$J$10,(1+$B$44)^-($B$11:$J$11))+$J$10*(1+C$43)/($B$44-C$43)/(1+$B$44)^9+$B$31)/$B$32</f>
        <v>13.1530619016769</v>
      </c>
      <c r="D44" s="44" t="n">
        <f aca="false">(SUMPRODUCT($B$10:$J$10,(1+$B$44)^-($B$11:$J$11))+$J$10*(1+D$43)/($B$44-D$43)/(1+$B$44)^9+$B$31)/$B$32</f>
        <v>13.4836797889833</v>
      </c>
      <c r="E44" s="44" t="n">
        <f aca="false">(SUMPRODUCT($B$10:$J$10,(1+$B$44)^-($B$11:$J$11))+$J$10*(1+E$43)/($B$44-E$43)/(1+$B$44)^9+$B$31)/$B$32</f>
        <v>13.8531938983258</v>
      </c>
      <c r="F44" s="44" t="n">
        <f aca="false">(SUMPRODUCT($B$10:$J$10,(1+$B$44)^-($B$11:$J$11))+$J$10*(1+F$43)/($B$44-F$43)/(1+$B$44)^9+$B$31)/$B$32</f>
        <v>14.268897271336</v>
      </c>
      <c r="G44" s="44" t="n">
        <f aca="false">(SUMPRODUCT($B$10:$J$10,(1+$B$44)^-($B$11:$J$11))+$J$10*(1+G$43)/($B$44-G$43)/(1+$B$44)^9+$B$31)/$B$32</f>
        <v>14.7400277607477</v>
      </c>
    </row>
    <row r="45" customFormat="false" ht="15" hidden="false" customHeight="false" outlineLevel="0" collapsed="false">
      <c r="B45" s="43" t="n">
        <v>0.125</v>
      </c>
      <c r="C45" s="44" t="n">
        <f aca="false">(SUMPRODUCT($B$10:$J$10,(1+$B$45)^-($B$11:$J$11))+$J$10*(1+C$43)/($B$45-C$43)/(1+$B$45)^9+$B$31)/$B$32</f>
        <v>12.0710144319843</v>
      </c>
      <c r="D45" s="44" t="n">
        <f aca="false">(SUMPRODUCT($B$10:$J$10,(1+$B$45)^-($B$11:$J$11))+$J$10*(1+D$43)/($B$45-D$43)/(1+$B$45)^9+$B$31)/$B$32</f>
        <v>12.3216726347976</v>
      </c>
      <c r="E45" s="44" t="n">
        <f aca="false">(SUMPRODUCT($B$10:$J$10,(1+$B$45)^-($B$11:$J$11))+$J$10*(1+E$43)/($B$45-E$43)/(1+$B$45)^9+$B$31)/$B$32</f>
        <v>12.5987159115912</v>
      </c>
      <c r="F45" s="44" t="n">
        <f aca="false">(SUMPRODUCT($B$10:$J$10,(1+$B$45)^-($B$11:$J$11))+$J$10*(1+F$43)/($B$45-F$43)/(1+$B$45)^9+$B$31)/$B$32</f>
        <v>12.9065417746952</v>
      </c>
      <c r="G45" s="44" t="n">
        <f aca="false">(SUMPRODUCT($B$10:$J$10,(1+$B$45)^-($B$11:$J$11))+$J$10*(1+G$43)/($B$45-G$43)/(1+$B$45)^9+$B$31)/$B$32</f>
        <v>13.2505824452233</v>
      </c>
    </row>
    <row r="46" customFormat="false" ht="15" hidden="false" customHeight="false" outlineLevel="0" collapsed="false">
      <c r="B46" s="43" t="n">
        <v>0.134</v>
      </c>
      <c r="C46" s="44" t="n">
        <f aca="false">(SUMPRODUCT($B$10:$J$10,(1+$B$46)^-($B$11:$J$11))+$J$10*(1+C$43)/($B$46-C$43)/(1+$B$46)^9+$B$31)/$B$32</f>
        <v>11.2671206374043</v>
      </c>
      <c r="D46" s="44" t="n">
        <f aca="false">(SUMPRODUCT($B$10:$J$10,(1+$B$46)^-($B$11:$J$11))+$J$10*(1+D$43)/($B$46-D$43)/(1+$B$46)^9+$B$31)/$B$32</f>
        <v>11.4658470599244</v>
      </c>
      <c r="E46" s="44" t="n">
        <f aca="false">(SUMPRODUCT($B$10:$J$10,(1+$B$46)^-($B$11:$J$11))+$J$10*(1+E$43)/($B$46-E$43)/(1+$B$46)^9+$B$31)/$B$32</f>
        <v>11.6836817923022</v>
      </c>
      <c r="F46" s="44" t="n">
        <f aca="false">(SUMPRODUCT($B$10:$J$10,(1+$B$46)^-($B$11:$J$11))+$J$10*(1+F$43)/($B$46-F$43)/(1+$B$46)^9+$B$31)/$B$32</f>
        <v>11.9235200330009</v>
      </c>
      <c r="G46" s="44" t="n">
        <f aca="false">(SUMPRODUCT($B$10:$J$10,(1+$B$46)^-($B$11:$J$11))+$J$10*(1+G$43)/($B$46-G$43)/(1+$B$46)^9+$B$31)/$B$32</f>
        <v>12.188872980157</v>
      </c>
    </row>
    <row r="47" customFormat="false" ht="15" hidden="false" customHeight="false" outlineLevel="0" collapsed="false">
      <c r="B47" s="43" t="n">
        <v>0.145</v>
      </c>
      <c r="C47" s="44" t="n">
        <f aca="false">(SUMPRODUCT($B$10:$J$10,(1+$B$47)^-($B$11:$J$11))+$J$10*(1+C$43)/($B$47-C$43)/(1+$B$47)^9+$B$31)/$B$32</f>
        <v>10.4500239049512</v>
      </c>
      <c r="D47" s="44" t="n">
        <f aca="false">(SUMPRODUCT($B$10:$J$10,(1+$B$47)^-($B$11:$J$11))+$J$10*(1+D$43)/($B$47-D$43)/(1+$B$47)^9+$B$31)/$B$32</f>
        <v>10.602413827278</v>
      </c>
      <c r="E47" s="44" t="n">
        <f aca="false">(SUMPRODUCT($B$10:$J$10,(1+$B$47)^-($B$11:$J$11))+$J$10*(1+E$43)/($B$47-E$43)/(1+$B$47)^9+$B$31)/$B$32</f>
        <v>10.7680550471985</v>
      </c>
      <c r="F47" s="44" t="n">
        <f aca="false">(SUMPRODUCT($B$10:$J$10,(1+$B$47)^-($B$11:$J$11))+$J$10*(1+F$43)/($B$47-F$43)/(1+$B$47)^9+$B$31)/$B$32</f>
        <v>10.948754559839</v>
      </c>
      <c r="G47" s="44" t="n">
        <f aca="false">(SUMPRODUCT($B$10:$J$10,(1+$B$47)^-($B$11:$J$11))+$J$10*(1+G$43)/($B$47-G$43)/(1+$B$47)^9+$B$31)/$B$32</f>
        <v>11.1466635498739</v>
      </c>
    </row>
    <row r="48" customFormat="false" ht="15" hidden="false" customHeight="false" outlineLevel="0" collapsed="false">
      <c r="B48" s="43" t="n">
        <v>0.155</v>
      </c>
      <c r="C48" s="44" t="n">
        <f aca="false">(SUMPRODUCT($B$10:$J$10,(1+$B$48)^-($B$11:$J$11))+$J$10*(1+C$43)/($B$48-C$43)/(1+$B$48)^9+$B$31)/$B$32</f>
        <v>9.82945130862835</v>
      </c>
      <c r="D48" s="44" t="n">
        <f aca="false">(SUMPRODUCT($B$10:$J$10,(1+$B$48)^-($B$11:$J$11))+$J$10*(1+D$43)/($B$48-D$43)/(1+$B$48)^9+$B$31)/$B$32</f>
        <v>9.95094630867466</v>
      </c>
      <c r="E48" s="44" t="n">
        <f aca="false">(SUMPRODUCT($B$10:$J$10,(1+$B$48)^-($B$11:$J$11))+$J$10*(1+E$43)/($B$48-E$43)/(1+$B$48)^9+$B$31)/$B$32</f>
        <v>10.0821609087247</v>
      </c>
      <c r="F48" s="44" t="n">
        <f aca="false">(SUMPRODUCT($B$10:$J$10,(1+$B$48)^-($B$11:$J$11))+$J$10*(1+F$43)/($B$48-F$43)/(1+$B$48)^9+$B$31)/$B$32</f>
        <v>10.2243100587789</v>
      </c>
      <c r="G48" s="44" t="n">
        <f aca="false">(SUMPRODUCT($B$10:$J$10,(1+$B$48)^-($B$11:$J$11))+$J$10*(1+G$43)/($B$48-G$43)/(1+$B$48)^9+$B$31)/$B$32</f>
        <v>10.37882000449</v>
      </c>
    </row>
    <row r="50" customFormat="false" ht="15" hidden="false" customHeight="false" outlineLevel="0" collapsed="false">
      <c r="A50" s="5" t="s">
        <v>262</v>
      </c>
    </row>
    <row r="51" customFormat="false" ht="15" hidden="false" customHeight="false" outlineLevel="0" collapsed="false">
      <c r="B51" s="41" t="s">
        <v>263</v>
      </c>
      <c r="C51" s="45" t="n">
        <v>8</v>
      </c>
      <c r="D51" s="45" t="n">
        <v>10</v>
      </c>
      <c r="E51" s="45" t="n">
        <v>12</v>
      </c>
      <c r="F51" s="45" t="n">
        <v>14</v>
      </c>
      <c r="G51" s="45" t="n">
        <v>16</v>
      </c>
    </row>
    <row r="52" customFormat="false" ht="15" hidden="false" customHeight="false" outlineLevel="0" collapsed="false">
      <c r="B52" s="43" t="n">
        <v>0.115</v>
      </c>
      <c r="C52" s="44" t="n">
        <f aca="false">(SUMPRODUCT($B$10:$J$10,(1+$B$52)^-($B$11:$J$11))+C$51*Model_3S!$L$23/(1+$B$52)^9+$B$31)/$B$32</f>
        <v>15.6500573317386</v>
      </c>
      <c r="D52" s="44" t="n">
        <f aca="false">(SUMPRODUCT($B$10:$J$10,(1+$B$52)^-($B$11:$J$11))+D$51*Model_3S!$L$23/(1+$B$52)^9+$B$31)/$B$32</f>
        <v>17.635325115475</v>
      </c>
      <c r="E52" s="44" t="n">
        <f aca="false">(SUMPRODUCT($B$10:$J$10,(1+$B$52)^-($B$11:$J$11))+E$51*Model_3S!$L$23/(1+$B$52)^9+$B$31)/$B$32</f>
        <v>19.6205928992115</v>
      </c>
      <c r="F52" s="44" t="n">
        <f aca="false">(SUMPRODUCT($B$10:$J$10,(1+$B$52)^-($B$11:$J$11))+F$51*Model_3S!$L$23/(1+$B$52)^9+$B$31)/$B$32</f>
        <v>21.6058606829479</v>
      </c>
      <c r="G52" s="44" t="n">
        <f aca="false">(SUMPRODUCT($B$10:$J$10,(1+$B$52)^-($B$11:$J$11))+G$51*Model_3S!$L$23/(1+$B$52)^9+$B$31)/$B$32</f>
        <v>23.5911284666843</v>
      </c>
    </row>
    <row r="53" customFormat="false" ht="15" hidden="false" customHeight="false" outlineLevel="0" collapsed="false">
      <c r="B53" s="43" t="n">
        <v>0.125</v>
      </c>
      <c r="C53" s="44" t="n">
        <f aca="false">(SUMPRODUCT($B$10:$J$10,(1+$B$53)^-($B$11:$J$11))+C$51*Model_3S!$L$23/(1+$B$53)^9+$B$31)/$B$32</f>
        <v>14.8536567682854</v>
      </c>
      <c r="D53" s="44" t="n">
        <f aca="false">(SUMPRODUCT($B$10:$J$10,(1+$B$53)^-($B$11:$J$11))+D$51*Model_3S!$L$23/(1+$B$53)^9+$B$31)/$B$32</f>
        <v>16.6856345384475</v>
      </c>
      <c r="E53" s="44" t="n">
        <f aca="false">(SUMPRODUCT($B$10:$J$10,(1+$B$53)^-($B$11:$J$11))+E$51*Model_3S!$L$23/(1+$B$53)^9+$B$31)/$B$32</f>
        <v>18.5176123086096</v>
      </c>
      <c r="F53" s="44" t="n">
        <f aca="false">(SUMPRODUCT($B$10:$J$10,(1+$B$53)^-($B$11:$J$11))+F$51*Model_3S!$L$23/(1+$B$53)^9+$B$31)/$B$32</f>
        <v>20.3495900787716</v>
      </c>
      <c r="G53" s="44" t="n">
        <f aca="false">(SUMPRODUCT($B$10:$J$10,(1+$B$53)^-($B$11:$J$11))+G$51*Model_3S!$L$23/(1+$B$53)^9+$B$31)/$B$32</f>
        <v>22.1815678489337</v>
      </c>
    </row>
    <row r="54" customFormat="false" ht="15" hidden="false" customHeight="false" outlineLevel="0" collapsed="false">
      <c r="B54" s="43" t="n">
        <v>0.134</v>
      </c>
      <c r="C54" s="44" t="n">
        <f aca="false">(SUMPRODUCT($B$10:$J$10,(1+$B$54)^-($B$11:$J$11))+C$51*Model_3S!$L$23/(1+$B$54)^9+$B$31)/$B$32</f>
        <v>14.1912017748739</v>
      </c>
      <c r="D54" s="44" t="n">
        <f aca="false">(SUMPRODUCT($B$10:$J$10,(1+$B$54)^-($B$11:$J$11))+D$51*Model_3S!$L$23/(1+$B$54)^9+$B$31)/$B$32</f>
        <v>15.8964021146109</v>
      </c>
      <c r="E54" s="44" t="n">
        <f aca="false">(SUMPRODUCT($B$10:$J$10,(1+$B$54)^-($B$11:$J$11))+E$51*Model_3S!$L$23/(1+$B$54)^9+$B$31)/$B$32</f>
        <v>17.6016024543478</v>
      </c>
      <c r="F54" s="44" t="n">
        <f aca="false">(SUMPRODUCT($B$10:$J$10,(1+$B$54)^-($B$11:$J$11))+F$51*Model_3S!$L$23/(1+$B$54)^9+$B$31)/$B$32</f>
        <v>19.3068027940847</v>
      </c>
      <c r="G54" s="44" t="n">
        <f aca="false">(SUMPRODUCT($B$10:$J$10,(1+$B$54)^-($B$11:$J$11))+G$51*Model_3S!$L$23/(1+$B$54)^9+$B$31)/$B$32</f>
        <v>21.0120031338216</v>
      </c>
    </row>
    <row r="55" customFormat="false" ht="15" hidden="false" customHeight="false" outlineLevel="0" collapsed="false">
      <c r="B55" s="43" t="n">
        <v>0.145</v>
      </c>
      <c r="C55" s="44" t="n">
        <f aca="false">(SUMPRODUCT($B$10:$J$10,(1+$B$55)^-($B$11:$J$11))+C$51*Model_3S!$L$23/(1+$B$55)^9+$B$31)/$B$32</f>
        <v>13.4451578600711</v>
      </c>
      <c r="D55" s="44" t="n">
        <f aca="false">(SUMPRODUCT($B$10:$J$10,(1+$B$55)^-($B$11:$J$11))+D$51*Model_3S!$L$23/(1+$B$55)^9+$B$31)/$B$32</f>
        <v>15.0084621563972</v>
      </c>
      <c r="E55" s="44" t="n">
        <f aca="false">(SUMPRODUCT($B$10:$J$10,(1+$B$55)^-($B$11:$J$11))+E$51*Model_3S!$L$23/(1+$B$55)^9+$B$31)/$B$32</f>
        <v>16.5717664527232</v>
      </c>
      <c r="F55" s="44" t="n">
        <f aca="false">(SUMPRODUCT($B$10:$J$10,(1+$B$55)^-($B$11:$J$11))+F$51*Model_3S!$L$23/(1+$B$55)^9+$B$31)/$B$32</f>
        <v>18.1350707490493</v>
      </c>
      <c r="G55" s="44" t="n">
        <f aca="false">(SUMPRODUCT($B$10:$J$10,(1+$B$55)^-($B$11:$J$11))+G$51*Model_3S!$L$23/(1+$B$55)^9+$B$31)/$B$32</f>
        <v>19.6983750453753</v>
      </c>
    </row>
    <row r="56" customFormat="false" ht="15" hidden="false" customHeight="false" outlineLevel="0" collapsed="false">
      <c r="B56" s="43" t="n">
        <v>0.155</v>
      </c>
      <c r="C56" s="44" t="n">
        <f aca="false">(SUMPRODUCT($B$10:$J$10,(1+$B$56)^-($B$11:$J$11))+C$51*Model_3S!$L$23/(1+$B$56)^9+$B$31)/$B$32</f>
        <v>12.8222918015832</v>
      </c>
      <c r="D56" s="44" t="n">
        <f aca="false">(SUMPRODUCT($B$10:$J$10,(1+$B$56)^-($B$11:$J$11))+D$51*Model_3S!$L$23/(1+$B$56)^9+$B$31)/$B$32</f>
        <v>14.2679147822306</v>
      </c>
      <c r="E56" s="44" t="n">
        <f aca="false">(SUMPRODUCT($B$10:$J$10,(1+$B$56)^-($B$11:$J$11))+E$51*Model_3S!$L$23/(1+$B$56)^9+$B$31)/$B$32</f>
        <v>15.7135377628781</v>
      </c>
      <c r="F56" s="44" t="n">
        <f aca="false">(SUMPRODUCT($B$10:$J$10,(1+$B$56)^-($B$11:$J$11))+F$51*Model_3S!$L$23/(1+$B$56)^9+$B$31)/$B$32</f>
        <v>17.1591607435255</v>
      </c>
      <c r="G56" s="44" t="n">
        <f aca="false">(SUMPRODUCT($B$10:$J$10,(1+$B$56)^-($B$11:$J$11))+G$51*Model_3S!$L$23/(1+$B$56)^9+$B$31)/$B$32</f>
        <v>18.6047837241729</v>
      </c>
    </row>
    <row r="58" customFormat="false" ht="15" hidden="false" customHeight="false" outlineLevel="0" collapsed="false">
      <c r="A58" s="5" t="s">
        <v>264</v>
      </c>
    </row>
    <row r="59" customFormat="false" ht="15" hidden="false" customHeight="false" outlineLevel="0" collapsed="false">
      <c r="A59" s="14" t="s">
        <v>265</v>
      </c>
    </row>
    <row r="60" customFormat="false" ht="15" hidden="false" customHeight="false" outlineLevel="0" collapsed="false">
      <c r="B60" s="41" t="s">
        <v>266</v>
      </c>
      <c r="C60" s="42" t="n">
        <v>0.14</v>
      </c>
      <c r="D60" s="42" t="n">
        <v>0.175</v>
      </c>
      <c r="E60" s="42" t="n">
        <v>0.21</v>
      </c>
      <c r="F60" s="42" t="n">
        <v>0.25</v>
      </c>
      <c r="G60" s="42" t="n">
        <v>0.28</v>
      </c>
    </row>
    <row r="61" customFormat="false" ht="15" hidden="false" customHeight="false" outlineLevel="0" collapsed="false">
      <c r="B61" s="42" t="n">
        <v>0.13</v>
      </c>
      <c r="C61" s="44" t="n">
        <f aca="false">($B$15*(Model_3S!$C$18*(1+($B$61+Assumptions!$E$13)/2)^9*C$60)/Model_3S!$L$23+$B$25*(Model_3S!$C$18*(1+($B$61+Assumptions!$E$13)/2)^9*C$60)/(1+$B$16)^9+$B$31)/$B$32</f>
        <v>10.5394044928877</v>
      </c>
      <c r="D61" s="44" t="n">
        <f aca="false">($B$15*(Model_3S!$C$18*(1+($B$61+Assumptions!$E$13)/2)^9*D$60)/Model_3S!$L$23+$B$25*(Model_3S!$C$18*(1+($B$61+Assumptions!$E$13)/2)^9*D$60)/(1+$B$16)^9+$B$31)/$B$32</f>
        <v>12.3463195533786</v>
      </c>
      <c r="E61" s="44" t="n">
        <f aca="false">($B$15*(Model_3S!$C$18*(1+($B$61+Assumptions!$E$13)/2)^9*E$60)/Model_3S!$L$23+$B$25*(Model_3S!$C$18*(1+($B$61+Assumptions!$E$13)/2)^9*E$60)/(1+$B$16)^9+$B$31)/$B$32</f>
        <v>14.1532346138695</v>
      </c>
      <c r="F61" s="44" t="n">
        <f aca="false">($B$15*(Model_3S!$C$18*(1+($B$61+Assumptions!$E$13)/2)^9*F$60)/Model_3S!$L$23+$B$25*(Model_3S!$C$18*(1+($B$61+Assumptions!$E$13)/2)^9*F$60)/(1+$B$16)^9+$B$31)/$B$32</f>
        <v>16.2182803972876</v>
      </c>
      <c r="G61" s="44" t="n">
        <f aca="false">($B$15*(Model_3S!$C$18*(1+($B$61+Assumptions!$E$13)/2)^9*G$60)/Model_3S!$L$23+$B$25*(Model_3S!$C$18*(1+($B$61+Assumptions!$E$13)/2)^9*G$60)/(1+$B$16)^9+$B$31)/$B$32</f>
        <v>17.7670647348512</v>
      </c>
    </row>
    <row r="62" customFormat="false" ht="15" hidden="false" customHeight="false" outlineLevel="0" collapsed="false">
      <c r="B62" s="42" t="n">
        <v>0.165</v>
      </c>
      <c r="C62" s="44" t="n">
        <f aca="false">($B$15*(Model_3S!$C$18*(1+($B$62+Assumptions!$E$13)/2)^9*C$60)/Model_3S!$L$23+$B$25*(Model_3S!$C$18*(1+($B$62+Assumptions!$E$13)/2)^9*C$60)/(1+$B$16)^9+$B$31)/$B$32</f>
        <v>11.6534114976797</v>
      </c>
      <c r="D62" s="44" t="n">
        <f aca="false">($B$15*(Model_3S!$C$18*(1+($B$62+Assumptions!$E$13)/2)^9*D$60)/Model_3S!$L$23+$B$25*(Model_3S!$C$18*(1+($B$62+Assumptions!$E$13)/2)^9*D$60)/(1+$B$16)^9+$B$31)/$B$32</f>
        <v>13.7388283093687</v>
      </c>
      <c r="E62" s="44" t="n">
        <f aca="false">($B$15*(Model_3S!$C$18*(1+($B$62+Assumptions!$E$13)/2)^9*E$60)/Model_3S!$L$23+$B$25*(Model_3S!$C$18*(1+($B$62+Assumptions!$E$13)/2)^9*E$60)/(1+$B$16)^9+$B$31)/$B$32</f>
        <v>15.8242451210576</v>
      </c>
      <c r="F62" s="44" t="n">
        <f aca="false">($B$15*(Model_3S!$C$18*(1+($B$62+Assumptions!$E$13)/2)^9*F$60)/Model_3S!$L$23+$B$25*(Model_3S!$C$18*(1+($B$62+Assumptions!$E$13)/2)^9*F$60)/(1+$B$16)^9+$B$31)/$B$32</f>
        <v>18.2075786201306</v>
      </c>
      <c r="G62" s="44" t="n">
        <f aca="false">($B$15*(Model_3S!$C$18*(1+($B$62+Assumptions!$E$13)/2)^9*G$60)/Model_3S!$L$23+$B$25*(Model_3S!$C$18*(1+($B$62+Assumptions!$E$13)/2)^9*G$60)/(1+$B$16)^9+$B$31)/$B$32</f>
        <v>19.9950787444354</v>
      </c>
    </row>
    <row r="63" customFormat="false" ht="15" hidden="false" customHeight="false" outlineLevel="0" collapsed="false">
      <c r="B63" s="42" t="n">
        <v>0.2</v>
      </c>
      <c r="C63" s="44" t="n">
        <f aca="false">($B$15*(Model_3S!$C$18*(1+($B$63+Assumptions!$E$13)/2)^9*C$60)/Model_3S!$L$23+$B$25*(Model_3S!$C$18*(1+($B$63+Assumptions!$E$13)/2)^9*C$60)/(1+$B$16)^9+$B$31)/$B$32</f>
        <v>12.9175090730324</v>
      </c>
      <c r="D63" s="44" t="n">
        <f aca="false">($B$15*(Model_3S!$C$18*(1+($B$63+Assumptions!$E$13)/2)^9*D$60)/Model_3S!$L$23+$B$25*(Model_3S!$C$18*(1+($B$63+Assumptions!$E$13)/2)^9*D$60)/(1+$B$16)^9+$B$31)/$B$32</f>
        <v>15.3189502785594</v>
      </c>
      <c r="E63" s="44" t="n">
        <f aca="false">($B$15*(Model_3S!$C$18*(1+($B$63+Assumptions!$E$13)/2)^9*E$60)/Model_3S!$L$23+$B$25*(Model_3S!$C$18*(1+($B$63+Assumptions!$E$13)/2)^9*E$60)/(1+$B$16)^9+$B$31)/$B$32</f>
        <v>17.7203914840865</v>
      </c>
      <c r="F63" s="44" t="n">
        <f aca="false">($B$15*(Model_3S!$C$18*(1+($B$63+Assumptions!$E$13)/2)^9*F$60)/Model_3S!$L$23+$B$25*(Model_3S!$C$18*(1+($B$63+Assumptions!$E$13)/2)^9*F$60)/(1+$B$16)^9+$B$31)/$B$32</f>
        <v>20.4648957189746</v>
      </c>
      <c r="G63" s="44" t="n">
        <f aca="false">($B$15*(Model_3S!$C$18*(1+($B$63+Assumptions!$E$13)/2)^9*G$60)/Model_3S!$L$23+$B$25*(Model_3S!$C$18*(1+($B$63+Assumptions!$E$13)/2)^9*G$60)/(1+$B$16)^9+$B$31)/$B$32</f>
        <v>22.5232738951407</v>
      </c>
    </row>
    <row r="64" customFormat="false" ht="15" hidden="false" customHeight="false" outlineLevel="0" collapsed="false">
      <c r="B64" s="42" t="n">
        <v>0.25</v>
      </c>
      <c r="C64" s="44" t="n">
        <f aca="false">($B$15*(Model_3S!$C$18*(1+($B$64+Assumptions!$E$13)/2)^9*C$60)/Model_3S!$L$23+$B$25*(Model_3S!$C$18*(1+($B$64+Assumptions!$E$13)/2)^9*C$60)/(1+$B$16)^9+$B$31)/$B$32</f>
        <v>15.0185877003336</v>
      </c>
      <c r="D64" s="44" t="n">
        <f aca="false">($B$15*(Model_3S!$C$18*(1+($B$64+Assumptions!$E$13)/2)^9*D$60)/Model_3S!$L$23+$B$25*(Model_3S!$C$18*(1+($B$64+Assumptions!$E$13)/2)^9*D$60)/(1+$B$16)^9+$B$31)/$B$32</f>
        <v>17.945298562686</v>
      </c>
      <c r="E64" s="44" t="n">
        <f aca="false">($B$15*(Model_3S!$C$18*(1+($B$64+Assumptions!$E$13)/2)^9*E$60)/Model_3S!$L$23+$B$25*(Model_3S!$C$18*(1+($B$64+Assumptions!$E$13)/2)^9*E$60)/(1+$B$16)^9+$B$31)/$B$32</f>
        <v>20.8720094250384</v>
      </c>
      <c r="F64" s="44" t="n">
        <f aca="false">($B$15*(Model_3S!$C$18*(1+($B$64+Assumptions!$E$13)/2)^9*F$60)/Model_3S!$L$23+$B$25*(Model_3S!$C$18*(1+($B$64+Assumptions!$E$13)/2)^9*F$60)/(1+$B$16)^9+$B$31)/$B$32</f>
        <v>24.2168218391554</v>
      </c>
      <c r="G64" s="44" t="n">
        <f aca="false">($B$15*(Model_3S!$C$18*(1+($B$64+Assumptions!$E$13)/2)^9*G$60)/Model_3S!$L$23+$B$25*(Model_3S!$C$18*(1+($B$64+Assumptions!$E$13)/2)^9*G$60)/(1+$B$16)^9+$B$31)/$B$32</f>
        <v>26.7254311497432</v>
      </c>
    </row>
    <row r="65" customFormat="false" ht="15" hidden="false" customHeight="false" outlineLevel="0" collapsed="false">
      <c r="B65" s="42" t="n">
        <v>0.3</v>
      </c>
      <c r="C65" s="44" t="n">
        <f aca="false">($B$15*(Model_3S!$C$18*(1+($B$65+Assumptions!$E$13)/2)^9*C$60)/Model_3S!$L$23+$B$25*(Model_3S!$C$18*(1+($B$65+Assumptions!$E$13)/2)^9*C$60)/(1+$B$16)^9+$B$31)/$B$32</f>
        <v>17.5186679185532</v>
      </c>
      <c r="D65" s="44" t="n">
        <f aca="false">($B$15*(Model_3S!$C$18*(1+($B$65+Assumptions!$E$13)/2)^9*D$60)/Model_3S!$L$23+$B$25*(Model_3S!$C$18*(1+($B$65+Assumptions!$E$13)/2)^9*D$60)/(1+$B$16)^9+$B$31)/$B$32</f>
        <v>21.0703988354605</v>
      </c>
      <c r="E65" s="44" t="n">
        <f aca="false">($B$15*(Model_3S!$C$18*(1+($B$65+Assumptions!$E$13)/2)^9*E$60)/Model_3S!$L$23+$B$25*(Model_3S!$C$18*(1+($B$65+Assumptions!$E$13)/2)^9*E$60)/(1+$B$16)^9+$B$31)/$B$32</f>
        <v>24.6221297523677</v>
      </c>
      <c r="F65" s="44" t="n">
        <f aca="false">($B$15*(Model_3S!$C$18*(1+($B$65+Assumptions!$E$13)/2)^9*F$60)/Model_3S!$L$23+$B$25*(Model_3S!$C$18*(1+($B$65+Assumptions!$E$13)/2)^9*F$60)/(1+$B$16)^9+$B$31)/$B$32</f>
        <v>28.6812508002618</v>
      </c>
      <c r="G65" s="44" t="n">
        <f aca="false">($B$15*(Model_3S!$C$18*(1+($B$65+Assumptions!$E$13)/2)^9*G$60)/Model_3S!$L$23+$B$25*(Model_3S!$C$18*(1+($B$65+Assumptions!$E$13)/2)^9*G$60)/(1+$B$16)^9+$B$31)/$B$32</f>
        <v>31.7255915861823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6" min="4" style="0" width="13"/>
    <col collapsed="false" customWidth="true" hidden="false" outlineLevel="0" max="8" min="7" style="0" width="10"/>
  </cols>
  <sheetData>
    <row r="1" customFormat="false" ht="17.35" hidden="false" customHeight="false" outlineLevel="0" collapsed="false">
      <c r="A1" s="1" t="s">
        <v>267</v>
      </c>
    </row>
    <row r="4" customFormat="false" ht="15" hidden="false" customHeight="false" outlineLevel="0" collapsed="false">
      <c r="A4" s="11" t="s">
        <v>268</v>
      </c>
      <c r="B4" s="11" t="s">
        <v>269</v>
      </c>
      <c r="C4" s="11" t="s">
        <v>270</v>
      </c>
      <c r="D4" s="11" t="s">
        <v>271</v>
      </c>
      <c r="E4" s="11" t="s">
        <v>272</v>
      </c>
    </row>
    <row r="5" customFormat="false" ht="15" hidden="false" customHeight="false" outlineLevel="0" collapsed="false">
      <c r="A5" s="3" t="s">
        <v>273</v>
      </c>
      <c r="B5" s="3" t="s">
        <v>274</v>
      </c>
      <c r="C5" s="46" t="n">
        <v>3.2</v>
      </c>
      <c r="D5" s="46" t="n">
        <v>18.8</v>
      </c>
      <c r="E5" s="14" t="s">
        <v>275</v>
      </c>
    </row>
    <row r="6" customFormat="false" ht="15" hidden="false" customHeight="false" outlineLevel="0" collapsed="false">
      <c r="A6" s="3" t="s">
        <v>276</v>
      </c>
      <c r="B6" s="3" t="s">
        <v>277</v>
      </c>
      <c r="C6" s="46" t="n">
        <v>6.3</v>
      </c>
      <c r="D6" s="46" t="n">
        <v>28.2</v>
      </c>
      <c r="E6" s="14" t="s">
        <v>278</v>
      </c>
    </row>
    <row r="7" customFormat="false" ht="15" hidden="false" customHeight="false" outlineLevel="0" collapsed="false">
      <c r="A7" s="3" t="s">
        <v>279</v>
      </c>
      <c r="B7" s="3" t="s">
        <v>280</v>
      </c>
      <c r="C7" s="46" t="n">
        <v>0.9</v>
      </c>
      <c r="D7" s="46" t="n">
        <v>7.6</v>
      </c>
      <c r="E7" s="14" t="s">
        <v>281</v>
      </c>
    </row>
    <row r="8" customFormat="false" ht="15" hidden="false" customHeight="false" outlineLevel="0" collapsed="false">
      <c r="A8" s="3" t="s">
        <v>282</v>
      </c>
      <c r="B8" s="3" t="s">
        <v>283</v>
      </c>
      <c r="C8" s="46" t="n">
        <v>3.4</v>
      </c>
      <c r="D8" s="46" t="n">
        <v>14</v>
      </c>
      <c r="E8" s="14" t="s">
        <v>284</v>
      </c>
    </row>
    <row r="9" customFormat="false" ht="15" hidden="false" customHeight="false" outlineLevel="0" collapsed="false">
      <c r="A9" s="3" t="s">
        <v>285</v>
      </c>
      <c r="B9" s="3" t="s">
        <v>286</v>
      </c>
      <c r="C9" s="46" t="n">
        <v>7</v>
      </c>
      <c r="D9" s="46" t="n">
        <v>30</v>
      </c>
      <c r="E9" s="14" t="s">
        <v>284</v>
      </c>
    </row>
    <row r="10" customFormat="false" ht="15" hidden="false" customHeight="false" outlineLevel="0" collapsed="false">
      <c r="A10" s="3" t="s">
        <v>287</v>
      </c>
      <c r="B10" s="3" t="s">
        <v>288</v>
      </c>
      <c r="C10" s="46" t="n">
        <v>5.5</v>
      </c>
      <c r="D10" s="46" t="n">
        <v>17</v>
      </c>
      <c r="E10" s="14" t="s">
        <v>284</v>
      </c>
    </row>
    <row r="11" customFormat="false" ht="15" hidden="false" customHeight="false" outlineLevel="0" collapsed="false">
      <c r="A11" s="8" t="s">
        <v>289</v>
      </c>
      <c r="C11" s="47" t="n">
        <f aca="false">MEDIAN(C5:C10)</f>
        <v>4.45</v>
      </c>
      <c r="D11" s="47" t="n">
        <f aca="false">MEDIAN(D5:D10)</f>
        <v>17.9</v>
      </c>
    </row>
    <row r="12" customFormat="false" ht="15" hidden="false" customHeight="false" outlineLevel="0" collapsed="false">
      <c r="A12" s="8" t="s">
        <v>290</v>
      </c>
      <c r="C12" s="48" t="n">
        <f aca="false">AVERAGE(C5:C10)</f>
        <v>4.38333333333333</v>
      </c>
      <c r="D12" s="48" t="n">
        <f aca="false">AVERAGE(D5:D10)</f>
        <v>19.2666666666667</v>
      </c>
    </row>
    <row r="14" customFormat="false" ht="15" hidden="false" customHeight="false" outlineLevel="0" collapsed="false">
      <c r="A14" s="5" t="s">
        <v>291</v>
      </c>
    </row>
    <row r="15" customFormat="false" ht="15" hidden="false" customHeight="false" outlineLevel="0" collapsed="false">
      <c r="A15" s="3" t="s">
        <v>292</v>
      </c>
      <c r="B15" s="26" t="n">
        <f aca="false">Assumptions!B43*Assumptions!B37-DCF!B31</f>
        <v>24694.9011219178</v>
      </c>
    </row>
    <row r="16" customFormat="false" ht="15" hidden="false" customHeight="false" outlineLevel="0" collapsed="false">
      <c r="A16" s="3" t="s">
        <v>293</v>
      </c>
      <c r="B16" s="48" t="n">
        <f aca="false">B15/Model_3S!C18</f>
        <v>8.91190946298008</v>
      </c>
      <c r="C16" s="14" t="s">
        <v>294</v>
      </c>
    </row>
    <row r="17" customFormat="false" ht="15" hidden="false" customHeight="false" outlineLevel="0" collapsed="false">
      <c r="A17" s="3" t="s">
        <v>295</v>
      </c>
      <c r="B17" s="48" t="n">
        <f aca="false">B15/Model_3S!C23</f>
        <v>78.174644412106</v>
      </c>
    </row>
    <row r="19" customFormat="false" ht="15" hidden="false" customHeight="false" outlineLevel="0" collapsed="false">
      <c r="A19" s="5" t="s">
        <v>296</v>
      </c>
    </row>
    <row r="20" customFormat="false" ht="15" hidden="false" customHeight="false" outlineLevel="0" collapsed="false">
      <c r="A20" s="11" t="s">
        <v>297</v>
      </c>
      <c r="B20" s="11" t="s">
        <v>298</v>
      </c>
      <c r="C20" s="11" t="s">
        <v>299</v>
      </c>
      <c r="D20" s="11" t="s">
        <v>300</v>
      </c>
      <c r="E20" s="11" t="s">
        <v>301</v>
      </c>
      <c r="F20" s="11" t="s">
        <v>302</v>
      </c>
      <c r="G20" s="11" t="s">
        <v>303</v>
      </c>
      <c r="H20" s="11" t="s">
        <v>304</v>
      </c>
    </row>
    <row r="21" customFormat="false" ht="15" hidden="false" customHeight="false" outlineLevel="0" collapsed="false">
      <c r="A21" s="3" t="s">
        <v>305</v>
      </c>
      <c r="B21" s="17" t="n">
        <v>3.2</v>
      </c>
      <c r="C21" s="17" t="n">
        <v>6.5</v>
      </c>
      <c r="D21" s="24" t="n">
        <f aca="false">Model_3S!C18</f>
        <v>2771</v>
      </c>
      <c r="E21" s="26" t="n">
        <f aca="false">B21*D21</f>
        <v>8867.2</v>
      </c>
      <c r="F21" s="26" t="n">
        <f aca="false">C21*D21</f>
        <v>18011.5</v>
      </c>
      <c r="G21" s="40" t="n">
        <f aca="false">(E21+DCF!$B$31)/Assumptions!$B$37</f>
        <v>17.3866648858448</v>
      </c>
      <c r="H21" s="40" t="n">
        <f aca="false">(F21+DCF!$B$31)/Assumptions!$B$37</f>
        <v>31.9014267906067</v>
      </c>
    </row>
    <row r="22" customFormat="false" ht="15" hidden="false" customHeight="false" outlineLevel="0" collapsed="false">
      <c r="A22" s="3" t="s">
        <v>306</v>
      </c>
      <c r="B22" s="17" t="n">
        <v>15</v>
      </c>
      <c r="C22" s="17" t="n">
        <v>28</v>
      </c>
      <c r="D22" s="24" t="n">
        <f aca="false">Model_3S!D23</f>
        <v>414.5416</v>
      </c>
      <c r="E22" s="26" t="n">
        <f aca="false">B22*D22</f>
        <v>6218.124</v>
      </c>
      <c r="F22" s="26" t="n">
        <f aca="false">C22*D22</f>
        <v>11607.1648</v>
      </c>
      <c r="G22" s="40" t="n">
        <f aca="false">(E22+DCF!$B$31)/Assumptions!$B$37</f>
        <v>13.1817823461622</v>
      </c>
      <c r="H22" s="40" t="n">
        <f aca="false">(F22+DCF!$B$31)/Assumptions!$B$37</f>
        <v>21.7358153620352</v>
      </c>
    </row>
    <row r="24" customFormat="false" ht="15" hidden="false" customHeight="false" outlineLevel="0" collapsed="false">
      <c r="A24" s="14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308</v>
      </c>
    </row>
    <row r="4" customFormat="false" ht="15" hidden="false" customHeight="false" outlineLevel="0" collapsed="false">
      <c r="A4" s="11" t="s">
        <v>309</v>
      </c>
      <c r="B4" s="11" t="s">
        <v>310</v>
      </c>
      <c r="C4" s="11" t="s">
        <v>311</v>
      </c>
      <c r="D4" s="11" t="s">
        <v>312</v>
      </c>
      <c r="E4" s="11" t="s">
        <v>270</v>
      </c>
      <c r="F4" s="11" t="s">
        <v>272</v>
      </c>
    </row>
    <row r="5" customFormat="false" ht="15" hidden="false" customHeight="false" outlineLevel="0" collapsed="false">
      <c r="A5" s="3" t="s">
        <v>313</v>
      </c>
      <c r="B5" s="3" t="s">
        <v>314</v>
      </c>
      <c r="C5" s="3" t="s">
        <v>315</v>
      </c>
      <c r="D5" s="19" t="n">
        <v>3250</v>
      </c>
      <c r="E5" s="46" t="n">
        <v>1.8</v>
      </c>
      <c r="F5" s="14" t="s">
        <v>316</v>
      </c>
    </row>
    <row r="6" customFormat="false" ht="15" hidden="false" customHeight="false" outlineLevel="0" collapsed="false">
      <c r="A6" s="3" t="s">
        <v>317</v>
      </c>
      <c r="B6" s="3" t="s">
        <v>318</v>
      </c>
      <c r="C6" s="3" t="s">
        <v>319</v>
      </c>
      <c r="D6" s="19" t="n">
        <v>1500</v>
      </c>
      <c r="E6" s="46" t="n">
        <v>1.7</v>
      </c>
      <c r="F6" s="14" t="s">
        <v>320</v>
      </c>
    </row>
    <row r="7" customFormat="false" ht="15" hidden="false" customHeight="false" outlineLevel="0" collapsed="false">
      <c r="A7" s="3" t="s">
        <v>321</v>
      </c>
      <c r="B7" s="3" t="s">
        <v>282</v>
      </c>
      <c r="C7" s="3" t="s">
        <v>322</v>
      </c>
      <c r="D7" s="19" t="n">
        <v>305</v>
      </c>
      <c r="E7" s="46" t="n">
        <v>10</v>
      </c>
      <c r="F7" s="14" t="s">
        <v>323</v>
      </c>
    </row>
    <row r="8" customFormat="false" ht="15" hidden="false" customHeight="false" outlineLevel="0" collapsed="false">
      <c r="A8" s="3" t="s">
        <v>321</v>
      </c>
      <c r="B8" s="3" t="s">
        <v>324</v>
      </c>
      <c r="C8" s="3" t="s">
        <v>325</v>
      </c>
      <c r="D8" s="19" t="n">
        <v>190</v>
      </c>
      <c r="E8" s="46" t="n">
        <v>4</v>
      </c>
      <c r="F8" s="14" t="s">
        <v>326</v>
      </c>
    </row>
    <row r="9" customFormat="false" ht="15" hidden="false" customHeight="false" outlineLevel="0" collapsed="false">
      <c r="A9" s="3" t="s">
        <v>327</v>
      </c>
      <c r="B9" s="3" t="s">
        <v>276</v>
      </c>
      <c r="C9" s="3" t="s">
        <v>328</v>
      </c>
      <c r="D9" s="19" t="n">
        <v>600</v>
      </c>
      <c r="E9" s="46" t="n">
        <v>10</v>
      </c>
      <c r="F9" s="14" t="s">
        <v>329</v>
      </c>
    </row>
    <row r="10" customFormat="false" ht="15" hidden="false" customHeight="false" outlineLevel="0" collapsed="false">
      <c r="A10" s="3" t="s">
        <v>330</v>
      </c>
      <c r="B10" s="3" t="s">
        <v>331</v>
      </c>
      <c r="C10" s="3" t="s">
        <v>332</v>
      </c>
      <c r="D10" s="19" t="n">
        <v>375</v>
      </c>
      <c r="E10" s="46" t="n">
        <v>4.6</v>
      </c>
      <c r="F10" s="14" t="s">
        <v>333</v>
      </c>
    </row>
    <row r="11" customFormat="false" ht="15" hidden="false" customHeight="false" outlineLevel="0" collapsed="false">
      <c r="A11" s="8" t="s">
        <v>334</v>
      </c>
      <c r="E11" s="47" t="n">
        <f aca="false">MEDIAN(E5:E10)</f>
        <v>4.3</v>
      </c>
    </row>
    <row r="13" customFormat="false" ht="15" hidden="false" customHeight="false" outlineLevel="0" collapsed="false">
      <c r="A13" s="5" t="s">
        <v>335</v>
      </c>
    </row>
    <row r="14" customFormat="false" ht="15" hidden="false" customHeight="false" outlineLevel="0" collapsed="false">
      <c r="A14" s="14" t="s">
        <v>336</v>
      </c>
    </row>
    <row r="15" customFormat="false" ht="15" hidden="false" customHeight="false" outlineLevel="0" collapsed="false">
      <c r="A15" s="11"/>
      <c r="B15" s="11" t="s">
        <v>337</v>
      </c>
      <c r="C15" s="11" t="s">
        <v>338</v>
      </c>
    </row>
    <row r="16" customFormat="false" ht="15" hidden="false" customHeight="false" outlineLevel="0" collapsed="false">
      <c r="A16" s="3" t="s">
        <v>339</v>
      </c>
      <c r="B16" s="17" t="n">
        <v>2</v>
      </c>
      <c r="C16" s="17" t="n">
        <v>6</v>
      </c>
    </row>
    <row r="17" customFormat="false" ht="15" hidden="false" customHeight="false" outlineLevel="0" collapsed="false">
      <c r="A17" s="3" t="s">
        <v>340</v>
      </c>
      <c r="B17" s="26" t="n">
        <f aca="false">B16*Model_3S!C18</f>
        <v>5542</v>
      </c>
      <c r="C17" s="26" t="n">
        <f aca="false">C16*Model_3S!C18</f>
        <v>16626</v>
      </c>
    </row>
    <row r="18" customFormat="false" ht="15" hidden="false" customHeight="false" outlineLevel="0" collapsed="false">
      <c r="A18" s="8" t="s">
        <v>257</v>
      </c>
      <c r="B18" s="40" t="n">
        <f aca="false">(B17+DCF!$B$31)/Assumptions!$B$37</f>
        <v>12.1085696477495</v>
      </c>
      <c r="C18" s="40" t="n">
        <f aca="false">(C17+DCF!$B$31)/Assumptions!$B$37</f>
        <v>29.7022204414003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341</v>
      </c>
    </row>
    <row r="4" customFormat="false" ht="15" hidden="false" customHeight="false" outlineLevel="0" collapsed="false">
      <c r="A4" s="5" t="s">
        <v>342</v>
      </c>
    </row>
    <row r="5" customFormat="false" ht="15" hidden="false" customHeight="false" outlineLevel="0" collapsed="false">
      <c r="A5" s="3" t="s">
        <v>343</v>
      </c>
      <c r="B5" s="12" t="n">
        <v>0.2</v>
      </c>
    </row>
    <row r="6" customFormat="false" ht="15" hidden="false" customHeight="false" outlineLevel="0" collapsed="false">
      <c r="A6" s="3" t="s">
        <v>344</v>
      </c>
      <c r="B6" s="40" t="n">
        <f aca="false">Assumptions!B43*(1+B5)</f>
        <v>51.012</v>
      </c>
    </row>
    <row r="7" customFormat="false" ht="15" hidden="false" customHeight="false" outlineLevel="0" collapsed="false">
      <c r="A7" s="3" t="s">
        <v>250</v>
      </c>
      <c r="B7" s="39" t="n">
        <f aca="false">Assumptions!B37</f>
        <v>630</v>
      </c>
    </row>
    <row r="8" customFormat="false" ht="15" hidden="false" customHeight="false" outlineLevel="0" collapsed="false">
      <c r="A8" s="3" t="s">
        <v>345</v>
      </c>
      <c r="B8" s="26" t="n">
        <f aca="false">B6*B7</f>
        <v>32137.56</v>
      </c>
    </row>
    <row r="9" customFormat="false" ht="15" hidden="false" customHeight="false" outlineLevel="0" collapsed="false">
      <c r="A9" s="3" t="s">
        <v>346</v>
      </c>
      <c r="B9" s="24" t="n">
        <f aca="false">DCF!B31</f>
        <v>2086.39887808219</v>
      </c>
    </row>
    <row r="10" customFormat="false" ht="15" hidden="false" customHeight="false" outlineLevel="0" collapsed="false">
      <c r="A10" s="3" t="s">
        <v>347</v>
      </c>
      <c r="B10" s="20" t="n">
        <f aca="false">B8-B9</f>
        <v>30051.1611219178</v>
      </c>
    </row>
    <row r="11" customFormat="false" ht="15" hidden="false" customHeight="false" outlineLevel="0" collapsed="false">
      <c r="A11" s="3" t="s">
        <v>348</v>
      </c>
      <c r="B11" s="12" t="n">
        <v>0.02</v>
      </c>
    </row>
    <row r="12" customFormat="false" ht="15" hidden="false" customHeight="false" outlineLevel="0" collapsed="false">
      <c r="A12" s="3" t="s">
        <v>349</v>
      </c>
      <c r="B12" s="24" t="n">
        <f aca="false">Model_3S!C23</f>
        <v>315.894</v>
      </c>
    </row>
    <row r="13" customFormat="false" ht="15" hidden="false" customHeight="false" outlineLevel="0" collapsed="false">
      <c r="A13" s="11" t="s">
        <v>350</v>
      </c>
      <c r="B13" s="11" t="s">
        <v>351</v>
      </c>
      <c r="C13" s="11" t="s">
        <v>352</v>
      </c>
      <c r="D13" s="11" t="s">
        <v>353</v>
      </c>
    </row>
    <row r="14" customFormat="false" ht="15" hidden="false" customHeight="false" outlineLevel="0" collapsed="false">
      <c r="A14" s="3" t="s">
        <v>354</v>
      </c>
      <c r="B14" s="17" t="n">
        <v>4</v>
      </c>
      <c r="C14" s="12" t="n">
        <v>0.08</v>
      </c>
      <c r="D14" s="26" t="n">
        <f aca="false">B14*$B$12</f>
        <v>1263.576</v>
      </c>
    </row>
    <row r="15" customFormat="false" ht="15" hidden="false" customHeight="false" outlineLevel="0" collapsed="false">
      <c r="A15" s="3" t="s">
        <v>355</v>
      </c>
      <c r="B15" s="17" t="n">
        <v>0.5</v>
      </c>
      <c r="C15" s="12" t="n">
        <v>0.105</v>
      </c>
      <c r="D15" s="26" t="n">
        <f aca="false">B15*$B$12</f>
        <v>157.947</v>
      </c>
    </row>
    <row r="16" customFormat="false" ht="15" hidden="false" customHeight="false" outlineLevel="0" collapsed="false">
      <c r="A16" s="8" t="s">
        <v>356</v>
      </c>
      <c r="B16" s="47" t="n">
        <f aca="false">B14+B15</f>
        <v>4.5</v>
      </c>
      <c r="D16" s="20" t="n">
        <f aca="false">D14+D15</f>
        <v>1421.523</v>
      </c>
    </row>
    <row r="18" customFormat="false" ht="15" hidden="false" customHeight="false" outlineLevel="0" collapsed="false">
      <c r="A18" s="5" t="s">
        <v>357</v>
      </c>
    </row>
    <row r="19" customFormat="false" ht="15" hidden="false" customHeight="false" outlineLevel="0" collapsed="false">
      <c r="A19" s="11" t="s">
        <v>358</v>
      </c>
      <c r="B19" s="11" t="s">
        <v>359</v>
      </c>
      <c r="C19" s="11" t="s">
        <v>360</v>
      </c>
      <c r="D19" s="11" t="s">
        <v>359</v>
      </c>
    </row>
    <row r="20" customFormat="false" ht="15" hidden="false" customHeight="false" outlineLevel="0" collapsed="false">
      <c r="A20" s="3" t="s">
        <v>354</v>
      </c>
      <c r="B20" s="26" t="n">
        <f aca="false">D14</f>
        <v>1263.576</v>
      </c>
      <c r="C20" s="3" t="s">
        <v>361</v>
      </c>
      <c r="D20" s="26" t="n">
        <f aca="false">B8</f>
        <v>32137.56</v>
      </c>
    </row>
    <row r="21" customFormat="false" ht="15" hidden="false" customHeight="false" outlineLevel="0" collapsed="false">
      <c r="A21" s="3" t="s">
        <v>355</v>
      </c>
      <c r="B21" s="26" t="n">
        <f aca="false">D15</f>
        <v>157.947</v>
      </c>
      <c r="C21" s="3" t="s">
        <v>362</v>
      </c>
      <c r="D21" s="26" t="n">
        <f aca="false">B11*B10</f>
        <v>601.023222438356</v>
      </c>
    </row>
    <row r="22" customFormat="false" ht="15" hidden="false" customHeight="false" outlineLevel="0" collapsed="false">
      <c r="A22" s="3" t="s">
        <v>363</v>
      </c>
      <c r="B22" s="26" t="n">
        <f aca="false">B9</f>
        <v>2086.39887808219</v>
      </c>
    </row>
    <row r="23" customFormat="false" ht="15" hidden="false" customHeight="false" outlineLevel="0" collapsed="false">
      <c r="A23" s="8" t="s">
        <v>364</v>
      </c>
      <c r="B23" s="20" t="n">
        <f aca="false">D24-B20-B21-B22</f>
        <v>29230.6613443562</v>
      </c>
    </row>
    <row r="24" customFormat="false" ht="15" hidden="false" customHeight="false" outlineLevel="0" collapsed="false">
      <c r="A24" s="8" t="s">
        <v>365</v>
      </c>
      <c r="B24" s="20" t="n">
        <f aca="false">SUM(B20:B23)</f>
        <v>32738.5832224383</v>
      </c>
      <c r="C24" s="8" t="s">
        <v>366</v>
      </c>
      <c r="D24" s="20" t="n">
        <f aca="false">D20+D21</f>
        <v>32738.5832224384</v>
      </c>
    </row>
    <row r="26" customFormat="false" ht="15" hidden="false" customHeight="false" outlineLevel="0" collapsed="false">
      <c r="A26" s="5" t="s">
        <v>367</v>
      </c>
    </row>
    <row r="27" customFormat="false" ht="15" hidden="false" customHeight="false" outlineLevel="0" collapsed="false">
      <c r="A27" s="11"/>
      <c r="B27" s="11" t="s">
        <v>129</v>
      </c>
      <c r="C27" s="11" t="s">
        <v>130</v>
      </c>
      <c r="D27" s="11" t="s">
        <v>131</v>
      </c>
      <c r="E27" s="11" t="s">
        <v>132</v>
      </c>
      <c r="F27" s="11" t="s">
        <v>133</v>
      </c>
    </row>
    <row r="28" customFormat="false" ht="15" hidden="false" customHeight="false" outlineLevel="0" collapsed="false">
      <c r="A28" s="3" t="s">
        <v>368</v>
      </c>
      <c r="B28" s="24" t="n">
        <f aca="false">DCF!B10</f>
        <v>245.208840771182</v>
      </c>
      <c r="C28" s="24" t="n">
        <f aca="false">DCF!C10</f>
        <v>305.826061802512</v>
      </c>
      <c r="D28" s="24" t="n">
        <f aca="false">DCF!D10</f>
        <v>374.270888430694</v>
      </c>
      <c r="E28" s="24" t="n">
        <f aca="false">DCF!E10</f>
        <v>449.532844235626</v>
      </c>
      <c r="F28" s="24" t="n">
        <f aca="false">DCF!F10</f>
        <v>529.980912392486</v>
      </c>
    </row>
    <row r="29" customFormat="false" ht="15" hidden="false" customHeight="false" outlineLevel="0" collapsed="false">
      <c r="A29" s="3" t="s">
        <v>369</v>
      </c>
      <c r="B29" s="26" t="n">
        <f aca="false">-$D$14*$C$14</f>
        <v>-101.08608</v>
      </c>
      <c r="C29" s="26" t="n">
        <f aca="false">-B35*$C$14</f>
        <v>-88.5296036383054</v>
      </c>
      <c r="D29" s="26" t="n">
        <f aca="false">-C35*$C$14</f>
        <v>-70.3703610124028</v>
      </c>
      <c r="E29" s="26" t="n">
        <f aca="false">-D35*$C$14</f>
        <v>-45.6459776986915</v>
      </c>
      <c r="F29" s="26" t="n">
        <f aca="false">-E35*$C$14</f>
        <v>-13.4171749217629</v>
      </c>
    </row>
    <row r="30" customFormat="false" ht="15" hidden="false" customHeight="false" outlineLevel="0" collapsed="false">
      <c r="A30" s="3" t="s">
        <v>370</v>
      </c>
      <c r="B30" s="26" t="n">
        <f aca="false">-$D$15*$C$15</f>
        <v>-16.584435</v>
      </c>
      <c r="C30" s="26" t="n">
        <f aca="false">-$D$15*$C$15</f>
        <v>-16.584435</v>
      </c>
      <c r="D30" s="26" t="n">
        <f aca="false">-$D$15*$C$15</f>
        <v>-16.584435</v>
      </c>
      <c r="E30" s="26" t="n">
        <f aca="false">-$D$15*$C$15</f>
        <v>-16.584435</v>
      </c>
      <c r="F30" s="26" t="n">
        <f aca="false">-$D$15*$C$15</f>
        <v>-16.584435</v>
      </c>
    </row>
    <row r="31" customFormat="false" ht="15" hidden="false" customHeight="false" outlineLevel="0" collapsed="false">
      <c r="A31" s="3" t="s">
        <v>371</v>
      </c>
      <c r="B31" s="26" t="n">
        <f aca="false">-(B29+B30)*Assumptions!$B$38</f>
        <v>29.41762875</v>
      </c>
      <c r="C31" s="26" t="n">
        <f aca="false">-(C29+C30)*Assumptions!$B$38</f>
        <v>26.2785096595763</v>
      </c>
      <c r="D31" s="26" t="n">
        <f aca="false">-(D29+D30)*Assumptions!$B$38</f>
        <v>21.7386990031007</v>
      </c>
      <c r="E31" s="26" t="n">
        <f aca="false">-(E29+E30)*Assumptions!$B$38</f>
        <v>15.5576031746729</v>
      </c>
      <c r="F31" s="26" t="n">
        <f aca="false">-(F29+F30)*Assumptions!$B$38</f>
        <v>7.50040248044071</v>
      </c>
    </row>
    <row r="32" customFormat="false" ht="15" hidden="false" customHeight="false" outlineLevel="0" collapsed="false">
      <c r="A32" s="3" t="s">
        <v>372</v>
      </c>
      <c r="B32" s="26" t="n">
        <f aca="false">MAX(0,B28+B29+B30+B31)</f>
        <v>156.955954521182</v>
      </c>
      <c r="C32" s="26" t="n">
        <f aca="false">MAX(0,C28+C29+C30+C31)</f>
        <v>226.990532823782</v>
      </c>
      <c r="D32" s="26" t="n">
        <f aca="false">MAX(0,D28+D29+D30+D31)</f>
        <v>309.054791421392</v>
      </c>
      <c r="E32" s="26" t="n">
        <f aca="false">MAX(0,E28+E29+E30+E31)</f>
        <v>402.860034711608</v>
      </c>
      <c r="F32" s="26" t="n">
        <f aca="false">MAX(0,F28+F29+F30+F31)</f>
        <v>507.479704951164</v>
      </c>
    </row>
    <row r="33" customFormat="false" ht="15" hidden="false" customHeight="false" outlineLevel="0" collapsed="false">
      <c r="A33" s="3" t="s">
        <v>373</v>
      </c>
      <c r="B33" s="26" t="n">
        <f aca="false">$D$14</f>
        <v>1263.576</v>
      </c>
      <c r="C33" s="26" t="n">
        <f aca="false">B35</f>
        <v>1106.62004547882</v>
      </c>
      <c r="D33" s="26" t="n">
        <f aca="false">C35</f>
        <v>879.629512655035</v>
      </c>
      <c r="E33" s="26" t="n">
        <f aca="false">D35</f>
        <v>570.574721233643</v>
      </c>
      <c r="F33" s="26" t="n">
        <f aca="false">E35</f>
        <v>167.714686522036</v>
      </c>
    </row>
    <row r="34" customFormat="false" ht="15" hidden="false" customHeight="false" outlineLevel="0" collapsed="false">
      <c r="A34" s="3" t="s">
        <v>374</v>
      </c>
      <c r="B34" s="26" t="n">
        <f aca="false">-MIN(B33,B32)</f>
        <v>-156.955954521182</v>
      </c>
      <c r="C34" s="26" t="n">
        <f aca="false">-MIN(C33,C32)</f>
        <v>-226.990532823782</v>
      </c>
      <c r="D34" s="26" t="n">
        <f aca="false">-MIN(D33,D32)</f>
        <v>-309.054791421392</v>
      </c>
      <c r="E34" s="26" t="n">
        <f aca="false">-MIN(E33,E32)</f>
        <v>-402.860034711608</v>
      </c>
      <c r="F34" s="26" t="n">
        <f aca="false">-MIN(F33,F32)</f>
        <v>-167.714686522036</v>
      </c>
    </row>
    <row r="35" customFormat="false" ht="15" hidden="false" customHeight="false" outlineLevel="0" collapsed="false">
      <c r="A35" s="3" t="s">
        <v>375</v>
      </c>
      <c r="B35" s="26" t="n">
        <f aca="false">B33+B34</f>
        <v>1106.62004547882</v>
      </c>
      <c r="C35" s="26" t="n">
        <f aca="false">C33+C34</f>
        <v>879.629512655035</v>
      </c>
      <c r="D35" s="26" t="n">
        <f aca="false">D33+D34</f>
        <v>570.574721233643</v>
      </c>
      <c r="E35" s="26" t="n">
        <f aca="false">E33+E34</f>
        <v>167.714686522036</v>
      </c>
      <c r="F35" s="26" t="n">
        <f aca="false">F33+F34</f>
        <v>0</v>
      </c>
    </row>
    <row r="36" customFormat="false" ht="15" hidden="false" customHeight="false" outlineLevel="0" collapsed="false">
      <c r="A36" s="3" t="s">
        <v>376</v>
      </c>
      <c r="B36" s="26" t="n">
        <f aca="false">$D$15</f>
        <v>157.947</v>
      </c>
      <c r="C36" s="26" t="n">
        <f aca="false">$D$15</f>
        <v>157.947</v>
      </c>
      <c r="D36" s="26" t="n">
        <f aca="false">$D$15</f>
        <v>157.947</v>
      </c>
      <c r="E36" s="26" t="n">
        <f aca="false">$D$15</f>
        <v>157.947</v>
      </c>
      <c r="F36" s="26" t="n">
        <f aca="false">$D$15</f>
        <v>157.947</v>
      </c>
    </row>
    <row r="37" customFormat="false" ht="15" hidden="false" customHeight="false" outlineLevel="0" collapsed="false">
      <c r="A37" s="8" t="s">
        <v>180</v>
      </c>
      <c r="B37" s="20" t="n">
        <f aca="false">B35+B36</f>
        <v>1264.56704547882</v>
      </c>
      <c r="C37" s="20" t="n">
        <f aca="false">C35+C36</f>
        <v>1037.57651265503</v>
      </c>
      <c r="D37" s="20" t="n">
        <f aca="false">D35+D36</f>
        <v>728.521721233643</v>
      </c>
      <c r="E37" s="20" t="n">
        <f aca="false">E35+E36</f>
        <v>325.661686522036</v>
      </c>
      <c r="F37" s="20" t="n">
        <f aca="false">F35+F36</f>
        <v>157.947</v>
      </c>
    </row>
    <row r="39" customFormat="false" ht="15" hidden="false" customHeight="false" outlineLevel="0" collapsed="false">
      <c r="A39" s="5" t="s">
        <v>377</v>
      </c>
    </row>
    <row r="40" customFormat="false" ht="15" hidden="false" customHeight="false" outlineLevel="0" collapsed="false">
      <c r="A40" s="3" t="s">
        <v>378</v>
      </c>
      <c r="B40" s="24" t="n">
        <f aca="false">Model_3S!H23</f>
        <v>983.147426767529</v>
      </c>
    </row>
    <row r="41" customFormat="false" ht="15" hidden="false" customHeight="false" outlineLevel="0" collapsed="false">
      <c r="A41" s="3" t="s">
        <v>379</v>
      </c>
      <c r="B41" s="17" t="n">
        <v>12</v>
      </c>
    </row>
    <row r="42" customFormat="false" ht="15" hidden="false" customHeight="false" outlineLevel="0" collapsed="false">
      <c r="A42" s="3" t="s">
        <v>380</v>
      </c>
      <c r="B42" s="26" t="n">
        <f aca="false">B40*B41</f>
        <v>11797.7691212104</v>
      </c>
    </row>
    <row r="43" customFormat="false" ht="15" hidden="false" customHeight="false" outlineLevel="0" collapsed="false">
      <c r="A43" s="3" t="s">
        <v>381</v>
      </c>
      <c r="B43" s="26" t="n">
        <f aca="false">-F37</f>
        <v>-157.947</v>
      </c>
    </row>
    <row r="44" customFormat="false" ht="15" hidden="false" customHeight="false" outlineLevel="0" collapsed="false">
      <c r="A44" s="8" t="s">
        <v>382</v>
      </c>
      <c r="B44" s="20" t="n">
        <f aca="false">B42+B43</f>
        <v>11639.8221212103</v>
      </c>
    </row>
    <row r="45" customFormat="false" ht="15" hidden="false" customHeight="false" outlineLevel="0" collapsed="false">
      <c r="A45" s="8" t="s">
        <v>383</v>
      </c>
      <c r="B45" s="47" t="n">
        <f aca="false">B44/B23</f>
        <v>0.398205910707448</v>
      </c>
    </row>
    <row r="46" customFormat="false" ht="15" hidden="false" customHeight="false" outlineLevel="0" collapsed="false">
      <c r="A46" s="8" t="s">
        <v>384</v>
      </c>
      <c r="B46" s="13" t="n">
        <f aca="false">(B44/B23)^(1/5)-1</f>
        <v>-0.168194973505736</v>
      </c>
      <c r="C46" s="14" t="s">
        <v>385</v>
      </c>
    </row>
    <row r="48" customFormat="false" ht="15" hidden="false" customHeight="false" outlineLevel="0" collapsed="false">
      <c r="A48" s="5" t="s">
        <v>386</v>
      </c>
    </row>
    <row r="49" customFormat="false" ht="15" hidden="false" customHeight="false" outlineLevel="0" collapsed="false">
      <c r="A49" s="11" t="s">
        <v>387</v>
      </c>
      <c r="B49" s="11" t="s">
        <v>388</v>
      </c>
      <c r="C49" s="11" t="s">
        <v>389</v>
      </c>
      <c r="D49" s="11" t="s">
        <v>390</v>
      </c>
      <c r="E49" s="11" t="s">
        <v>391</v>
      </c>
    </row>
    <row r="50" customFormat="false" ht="15" hidden="false" customHeight="false" outlineLevel="0" collapsed="false">
      <c r="A50" s="12" t="n">
        <v>0.15</v>
      </c>
      <c r="B50" s="26" t="n">
        <f aca="false">$B$44/(1+A50)^5</f>
        <v>5787.04876167618</v>
      </c>
      <c r="C50" s="26" t="n">
        <f aca="false">(B50+$D$16)/(1+$B$11)</f>
        <v>7067.22721732958</v>
      </c>
      <c r="D50" s="40" t="n">
        <f aca="false">(C50+$B$9)/$B$7</f>
        <v>14.5295652308123</v>
      </c>
      <c r="E50" s="28" t="n">
        <f aca="false">D50/Assumptions!$B$43-1</f>
        <v>-0.658208298498886</v>
      </c>
    </row>
    <row r="51" customFormat="false" ht="15" hidden="false" customHeight="false" outlineLevel="0" collapsed="false">
      <c r="A51" s="12" t="n">
        <v>0.2</v>
      </c>
      <c r="B51" s="26" t="n">
        <f aca="false">$B$44/(1+A51)^5</f>
        <v>4677.78345277551</v>
      </c>
      <c r="C51" s="26" t="n">
        <f aca="false">(B51+$D$16)/(1+$B$11)</f>
        <v>5979.71220860344</v>
      </c>
      <c r="D51" s="40" t="n">
        <f aca="false">(C51+$B$9)/$B$7</f>
        <v>12.803350931247</v>
      </c>
      <c r="E51" s="28" t="n">
        <f aca="false">D51/Assumptions!$B$43-1</f>
        <v>-0.698815550899858</v>
      </c>
    </row>
    <row r="52" customFormat="false" ht="15" hidden="false" customHeight="false" outlineLevel="0" collapsed="false">
      <c r="A52" s="12" t="n">
        <v>0.25</v>
      </c>
      <c r="B52" s="26" t="n">
        <f aca="false">$B$44/(1+A52)^5</f>
        <v>3814.13691267821</v>
      </c>
      <c r="C52" s="26" t="n">
        <f aca="false">(B52+$D$16)/(1+$B$11)</f>
        <v>5132.9999143904</v>
      </c>
      <c r="D52" s="40" t="n">
        <f aca="false">(C52+$B$9)/$B$7</f>
        <v>11.4593631626549</v>
      </c>
      <c r="E52" s="28" t="n">
        <f aca="false">D52/Assumptions!$B$43-1</f>
        <v>-0.730431353501414</v>
      </c>
    </row>
    <row r="53" customFormat="false" ht="15" hidden="false" customHeight="false" outlineLevel="0" collapsed="false">
      <c r="A53" s="12" t="n">
        <v>0.3</v>
      </c>
      <c r="B53" s="26" t="n">
        <f aca="false">$B$44/(1+A53)^5</f>
        <v>3134.94251742165</v>
      </c>
      <c r="C53" s="26" t="n">
        <f aca="false">(B53+$D$16)/(1+$B$11)</f>
        <v>4467.12305629573</v>
      </c>
      <c r="D53" s="40" t="n">
        <f aca="false">(C53+$B$9)/$B$7</f>
        <v>10.4024157688538</v>
      </c>
      <c r="E53" s="28" t="n">
        <f aca="false">D53/Assumptions!$B$43-1</f>
        <v>-0.755294853708449</v>
      </c>
    </row>
    <row r="55" customFormat="false" ht="15" hidden="false" customHeight="false" outlineLevel="0" collapsed="false">
      <c r="A55" s="14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393</v>
      </c>
    </row>
    <row r="2" customFormat="false" ht="15" hidden="false" customHeight="false" outlineLevel="0" collapsed="false">
      <c r="A2" s="49" t="s">
        <v>394</v>
      </c>
    </row>
    <row r="4" customFormat="false" ht="15" hidden="false" customHeight="false" outlineLevel="0" collapsed="false">
      <c r="A4" s="5" t="s">
        <v>395</v>
      </c>
    </row>
    <row r="5" customFormat="false" ht="15" hidden="false" customHeight="false" outlineLevel="0" collapsed="false">
      <c r="A5" s="11" t="s">
        <v>396</v>
      </c>
      <c r="B5" s="11" t="s">
        <v>397</v>
      </c>
      <c r="C5" s="11" t="s">
        <v>398</v>
      </c>
    </row>
    <row r="6" customFormat="false" ht="15" hidden="false" customHeight="false" outlineLevel="0" collapsed="false">
      <c r="A6" s="3" t="s">
        <v>66</v>
      </c>
      <c r="B6" s="23" t="n">
        <f aca="false">Assumptions!E12</f>
        <v>0.2</v>
      </c>
      <c r="C6" s="12" t="n">
        <v>0.04</v>
      </c>
    </row>
    <row r="7" customFormat="false" ht="15" hidden="false" customHeight="false" outlineLevel="0" collapsed="false">
      <c r="A7" s="3" t="s">
        <v>399</v>
      </c>
      <c r="B7" s="23" t="n">
        <f aca="false">Assumptions!F17-Assumptions!F18-Assumptions!F19</f>
        <v>0.21</v>
      </c>
      <c r="C7" s="12" t="n">
        <v>0.03</v>
      </c>
    </row>
    <row r="8" customFormat="false" ht="15" hidden="false" customHeight="false" outlineLevel="0" collapsed="false">
      <c r="A8" s="3" t="s">
        <v>9</v>
      </c>
      <c r="B8" s="50" t="n">
        <f aca="false">WACC!B20</f>
        <v>0.13401</v>
      </c>
      <c r="C8" s="30" t="n">
        <v>0.01</v>
      </c>
    </row>
    <row r="9" customFormat="false" ht="15" hidden="false" customHeight="false" outlineLevel="0" collapsed="false">
      <c r="A9" s="3" t="s">
        <v>379</v>
      </c>
      <c r="B9" s="38" t="n">
        <f aca="false">Assumptions!B42</f>
        <v>12</v>
      </c>
      <c r="C9" s="17" t="n">
        <v>2</v>
      </c>
    </row>
    <row r="11" customFormat="false" ht="15" hidden="false" customHeight="false" outlineLevel="0" collapsed="false">
      <c r="A11" s="5" t="s">
        <v>400</v>
      </c>
    </row>
    <row r="12" customFormat="false" ht="15" hidden="false" customHeight="false" outlineLevel="0" collapsed="false">
      <c r="A12" s="3" t="s">
        <v>401</v>
      </c>
      <c r="B12" s="24" t="n">
        <f aca="false">Model_3S!L23</f>
        <v>1665.72558074666</v>
      </c>
    </row>
    <row r="13" customFormat="false" ht="15" hidden="false" customHeight="false" outlineLevel="0" collapsed="false">
      <c r="A13" s="3" t="s">
        <v>402</v>
      </c>
      <c r="B13" s="24" t="n">
        <f aca="false">DCF!B15</f>
        <v>2556.84766750663</v>
      </c>
    </row>
    <row r="14" customFormat="false" ht="15" hidden="false" customHeight="false" outlineLevel="0" collapsed="false">
      <c r="A14" s="3" t="s">
        <v>403</v>
      </c>
      <c r="B14" s="24" t="n">
        <f aca="false">DCF!B31</f>
        <v>2086.39887808219</v>
      </c>
    </row>
    <row r="15" customFormat="false" ht="15" hidden="false" customHeight="false" outlineLevel="0" collapsed="false">
      <c r="A15" s="3" t="s">
        <v>250</v>
      </c>
      <c r="B15" s="39" t="n">
        <f aca="false">Assumptions!B37</f>
        <v>630</v>
      </c>
    </row>
    <row r="16" customFormat="false" ht="15" hidden="false" customHeight="false" outlineLevel="0" collapsed="false">
      <c r="A16" s="3" t="s">
        <v>404</v>
      </c>
      <c r="B16" s="51" t="n">
        <f aca="false">Assumptions!B43</f>
        <v>42.51</v>
      </c>
    </row>
    <row r="17" customFormat="false" ht="15" hidden="false" customHeight="false" outlineLevel="0" collapsed="false">
      <c r="A17" s="3" t="s">
        <v>405</v>
      </c>
      <c r="B17" s="23" t="n">
        <f aca="false">Assumptions!E13</f>
        <v>0.05</v>
      </c>
    </row>
    <row r="18" customFormat="false" ht="15" hidden="false" customHeight="false" outlineLevel="0" collapsed="false">
      <c r="A18" s="3" t="s">
        <v>406</v>
      </c>
      <c r="B18" s="24" t="n">
        <f aca="false">Model_3S!C18</f>
        <v>2771</v>
      </c>
    </row>
    <row r="20" customFormat="false" ht="15" hidden="false" customHeight="false" outlineLevel="0" collapsed="false">
      <c r="A20" s="5" t="s">
        <v>407</v>
      </c>
    </row>
    <row r="21" customFormat="false" ht="15" hidden="false" customHeight="false" outlineLevel="0" collapsed="false">
      <c r="A21" s="8" t="s">
        <v>290</v>
      </c>
      <c r="B21" s="40" t="n">
        <f aca="false">AVERAGE($K$41:$K$540)</f>
        <v>17.6918729620347</v>
      </c>
    </row>
    <row r="22" customFormat="false" ht="15" hidden="false" customHeight="false" outlineLevel="0" collapsed="false">
      <c r="A22" s="3" t="s">
        <v>289</v>
      </c>
      <c r="B22" s="44" t="n">
        <f aca="false">MEDIAN($K$41:$K$540)</f>
        <v>17.08010914498</v>
      </c>
    </row>
    <row r="23" customFormat="false" ht="15" hidden="false" customHeight="false" outlineLevel="0" collapsed="false">
      <c r="A23" s="3" t="s">
        <v>408</v>
      </c>
      <c r="B23" s="44" t="n">
        <f aca="false">STDEV($K$41:$K$540)</f>
        <v>3.78708517912499</v>
      </c>
    </row>
    <row r="24" customFormat="false" ht="15" hidden="false" customHeight="false" outlineLevel="0" collapsed="false">
      <c r="A24" s="3" t="s">
        <v>409</v>
      </c>
      <c r="B24" s="44" t="n">
        <f aca="false">PERCENTILE($K$41:$K$540,0.05)</f>
        <v>12.2481737301107</v>
      </c>
    </row>
    <row r="25" customFormat="false" ht="15" hidden="false" customHeight="false" outlineLevel="0" collapsed="false">
      <c r="A25" s="3" t="s">
        <v>410</v>
      </c>
      <c r="B25" s="44" t="n">
        <f aca="false">PERCENTILE($K$41:$K$540,0.25)</f>
        <v>15.0388626353787</v>
      </c>
    </row>
    <row r="26" customFormat="false" ht="15" hidden="false" customHeight="false" outlineLevel="0" collapsed="false">
      <c r="A26" s="3" t="s">
        <v>411</v>
      </c>
      <c r="B26" s="44" t="n">
        <f aca="false">PERCENTILE($K$41:$K$540,0.75)</f>
        <v>20.0011492293119</v>
      </c>
    </row>
    <row r="27" customFormat="false" ht="15" hidden="false" customHeight="false" outlineLevel="0" collapsed="false">
      <c r="A27" s="3" t="s">
        <v>412</v>
      </c>
      <c r="B27" s="44" t="n">
        <f aca="false">PERCENTILE($K$41:$K$540,0.95)</f>
        <v>24.3536683756315</v>
      </c>
    </row>
    <row r="28" customFormat="false" ht="15" hidden="false" customHeight="false" outlineLevel="0" collapsed="false">
      <c r="A28" s="8" t="s">
        <v>413</v>
      </c>
      <c r="B28" s="13" t="n">
        <f aca="false">COUNTIF($K$41:$K$540,"&gt;"&amp;B16)/500</f>
        <v>0</v>
      </c>
    </row>
    <row r="30" customFormat="false" ht="15" hidden="false" customHeight="false" outlineLevel="0" collapsed="false">
      <c r="A30" s="5" t="s">
        <v>414</v>
      </c>
    </row>
    <row r="31" customFormat="false" ht="15" hidden="false" customHeight="false" outlineLevel="0" collapsed="false">
      <c r="A31" s="11" t="s">
        <v>415</v>
      </c>
      <c r="B31" s="11" t="s">
        <v>62</v>
      </c>
      <c r="C31" s="11" t="s">
        <v>416</v>
      </c>
    </row>
    <row r="32" customFormat="false" ht="15" hidden="false" customHeight="false" outlineLevel="0" collapsed="false">
      <c r="A32" s="3" t="s">
        <v>58</v>
      </c>
      <c r="B32" s="23" t="n">
        <f aca="false">Assumptions!B8</f>
        <v>0.5</v>
      </c>
      <c r="C32" s="40" t="n">
        <f aca="false">($B$13*($B$18*(1+(Assumptions!B12+Assumptions!B13)/2)^9*(Assumptions!C17-Assumptions!C18-Assumptions!C19))/$B$12+Assumptions!$B$42*($B$18*(1+(Assumptions!B12+Assumptions!B13)/2)^9*(Assumptions!C17-Assumptions!C18-Assumptions!C19))/(1+$B$8)^9+$B$14)/$B$15</f>
        <v>17.7203914840865</v>
      </c>
    </row>
    <row r="33" customFormat="false" ht="15" hidden="false" customHeight="false" outlineLevel="0" collapsed="false">
      <c r="A33" s="3" t="s">
        <v>59</v>
      </c>
      <c r="B33" s="23" t="n">
        <f aca="false">Assumptions!C8</f>
        <v>0.3</v>
      </c>
      <c r="C33" s="40" t="n">
        <f aca="false">($B$13*($B$18*(1+(Assumptions!C12+Assumptions!C13)/2)^9*(Assumptions!D17-Assumptions!D18-Assumptions!D19))/$B$12+Assumptions!$B$42*($B$18*(1+(Assumptions!C12+Assumptions!C13)/2)^9*(Assumptions!D17-Assumptions!D18-Assumptions!D19))/(1+$B$8)^9+$B$14)/$B$15</f>
        <v>26.8029088994553</v>
      </c>
    </row>
    <row r="34" customFormat="false" ht="15" hidden="false" customHeight="false" outlineLevel="0" collapsed="false">
      <c r="A34" s="3" t="s">
        <v>60</v>
      </c>
      <c r="B34" s="23" t="n">
        <f aca="false">Assumptions!D8</f>
        <v>0.2</v>
      </c>
      <c r="C34" s="40" t="n">
        <f aca="false">($B$13*($B$18*(1+(Assumptions!D12+Assumptions!D13)/2)^9*(Assumptions!E17-Assumptions!E18-Assumptions!E19))/$B$12+Assumptions!$B$42*($B$18*(1+(Assumptions!D12+Assumptions!D13)/2)^9*(Assumptions!E17-Assumptions!E18-Assumptions!E19))/(1+$B$8)^9+$B$14)/$B$15</f>
        <v>9.42979741764912</v>
      </c>
    </row>
    <row r="35" customFormat="false" ht="15" hidden="false" customHeight="false" outlineLevel="0" collapsed="false">
      <c r="A35" s="8" t="s">
        <v>417</v>
      </c>
      <c r="C35" s="40" t="n">
        <f aca="false">SUMPRODUCT(B32:B34,C32:C34)</f>
        <v>18.7870278954097</v>
      </c>
    </row>
    <row r="36" customFormat="false" ht="15" hidden="false" customHeight="false" outlineLevel="0" collapsed="false">
      <c r="A36" s="14" t="s">
        <v>418</v>
      </c>
    </row>
    <row r="39" customFormat="false" ht="15" hidden="false" customHeight="false" outlineLevel="0" collapsed="false">
      <c r="A39" s="5" t="s">
        <v>419</v>
      </c>
    </row>
    <row r="40" customFormat="false" ht="15" hidden="false" customHeight="false" outlineLevel="0" collapsed="false">
      <c r="A40" s="11" t="s">
        <v>420</v>
      </c>
      <c r="B40" s="11" t="s">
        <v>421</v>
      </c>
      <c r="C40" s="11" t="s">
        <v>422</v>
      </c>
      <c r="D40" s="11" t="s">
        <v>9</v>
      </c>
      <c r="E40" s="11" t="s">
        <v>423</v>
      </c>
      <c r="F40" s="11" t="s">
        <v>424</v>
      </c>
      <c r="G40" s="11" t="s">
        <v>425</v>
      </c>
      <c r="H40" s="11" t="s">
        <v>426</v>
      </c>
      <c r="I40" s="11" t="s">
        <v>427</v>
      </c>
      <c r="J40" s="11" t="s">
        <v>428</v>
      </c>
      <c r="K40" s="11" t="s">
        <v>429</v>
      </c>
      <c r="N40" s="41" t="s">
        <v>430</v>
      </c>
      <c r="O40" s="41" t="s">
        <v>431</v>
      </c>
      <c r="P40" s="41" t="s">
        <v>432</v>
      </c>
      <c r="Q40" s="41" t="s">
        <v>433</v>
      </c>
    </row>
    <row r="41" customFormat="false" ht="15" hidden="false" customHeight="false" outlineLevel="0" collapsed="false">
      <c r="A41" s="52" t="n">
        <v>1</v>
      </c>
      <c r="B41" s="21" t="n">
        <f aca="true">NORMINV(RAND(),$B$6,$C$6)</f>
        <v>0.107297956752195</v>
      </c>
      <c r="C41" s="21" t="n">
        <f aca="true">MAX(0.03,NORMINV(RAND(),$B$7,$C$7))</f>
        <v>0.197351358184808</v>
      </c>
      <c r="D41" s="33" t="n">
        <f aca="true">MAX(0.08,NORMINV(RAND(),$B$8,$C$8))</f>
        <v>0.12294684959143</v>
      </c>
      <c r="E41" s="48" t="n">
        <f aca="true">MAX(4,NORMINV(RAND(),$B$9,$C$9))</f>
        <v>10.3416563021698</v>
      </c>
      <c r="F41" s="26" t="n">
        <f aca="false">$B$18*(1+(B41+$B$17)/2)^9</f>
        <v>5477.18933767323</v>
      </c>
      <c r="G41" s="26" t="n">
        <f aca="false">F41*C41</f>
        <v>1080.93075482516</v>
      </c>
      <c r="H41" s="26" t="n">
        <f aca="false">E41*G41/(1+D41)^9</f>
        <v>3936.90707637177</v>
      </c>
      <c r="I41" s="26" t="n">
        <f aca="false">$B$13*G41/$B$12*((1+$B$8)/(1+D41))^4.5</f>
        <v>1734.03894503748</v>
      </c>
      <c r="J41" s="26" t="n">
        <f aca="false">H41+I41+$B$14</f>
        <v>7757.34489949145</v>
      </c>
      <c r="K41" s="44" t="n">
        <f aca="false">J41/$B$15</f>
        <v>12.3132458722086</v>
      </c>
      <c r="N41" s="3" t="s">
        <v>434</v>
      </c>
      <c r="O41" s="52" t="n">
        <v>0</v>
      </c>
      <c r="P41" s="52" t="n">
        <v>5</v>
      </c>
      <c r="Q41" s="52" t="n">
        <f aca="false">COUNTIFS($K$41:$K$540,"&gt;="&amp;O41,$K$41:$K$540,"&lt;"&amp;P41)</f>
        <v>0</v>
      </c>
    </row>
    <row r="42" customFormat="false" ht="15" hidden="false" customHeight="false" outlineLevel="0" collapsed="false">
      <c r="A42" s="52" t="n">
        <v>2</v>
      </c>
      <c r="B42" s="21" t="n">
        <f aca="true">NORMINV(RAND(),$B$6,$C$6)</f>
        <v>0.151092976217954</v>
      </c>
      <c r="C42" s="21" t="n">
        <f aca="true">MAX(0.03,NORMINV(RAND(),$B$7,$C$7))</f>
        <v>0.22780603994738</v>
      </c>
      <c r="D42" s="33" t="n">
        <f aca="true">MAX(0.08,NORMINV(RAND(),$B$8,$C$8))</f>
        <v>0.12506990060806</v>
      </c>
      <c r="E42" s="48" t="n">
        <f aca="true">MAX(4,NORMINV(RAND(),$B$9,$C$9))</f>
        <v>11.8539351184133</v>
      </c>
      <c r="F42" s="26" t="n">
        <f aca="false">$B$18*(1+(B42+$B$17)/2)^9</f>
        <v>6563.14586208438</v>
      </c>
      <c r="G42" s="26" t="n">
        <f aca="false">F42*C42</f>
        <v>1495.12426843847</v>
      </c>
      <c r="H42" s="26" t="n">
        <f aca="false">E42*G42/(1+D42)^9</f>
        <v>6136.55007768338</v>
      </c>
      <c r="I42" s="26" t="n">
        <f aca="false">$B$13*G42/$B$12*((1+$B$8)/(1+D42))^4.5</f>
        <v>2378.19188133789</v>
      </c>
      <c r="J42" s="26" t="n">
        <f aca="false">H42+I42+$B$14</f>
        <v>10601.1408371035</v>
      </c>
      <c r="K42" s="44" t="n">
        <f aca="false">J42/$B$15</f>
        <v>16.827207677942</v>
      </c>
      <c r="N42" s="3" t="s">
        <v>435</v>
      </c>
      <c r="O42" s="52" t="n">
        <v>5</v>
      </c>
      <c r="P42" s="52" t="n">
        <v>10</v>
      </c>
      <c r="Q42" s="52" t="n">
        <f aca="false">COUNTIFS($K$41:$K$540,"&gt;="&amp;O42,$K$41:$K$540,"&lt;"&amp;P42)</f>
        <v>2</v>
      </c>
    </row>
    <row r="43" customFormat="false" ht="15" hidden="false" customHeight="false" outlineLevel="0" collapsed="false">
      <c r="A43" s="52" t="n">
        <v>3</v>
      </c>
      <c r="B43" s="21" t="n">
        <f aca="true">NORMINV(RAND(),$B$6,$C$6)</f>
        <v>0.262232440472455</v>
      </c>
      <c r="C43" s="21" t="n">
        <f aca="true">MAX(0.03,NORMINV(RAND(),$B$7,$C$7))</f>
        <v>0.165952364819873</v>
      </c>
      <c r="D43" s="33" t="n">
        <f aca="true">MAX(0.08,NORMINV(RAND(),$B$8,$C$8))</f>
        <v>0.132517159736011</v>
      </c>
      <c r="E43" s="48" t="n">
        <f aca="true">MAX(4,NORMINV(RAND(),$B$9,$C$9))</f>
        <v>9.3081705548692</v>
      </c>
      <c r="F43" s="26" t="n">
        <f aca="false">$B$18*(1+(B43+$B$17)/2)^9</f>
        <v>10224.6858882367</v>
      </c>
      <c r="G43" s="26" t="n">
        <f aca="false">F43*C43</f>
        <v>1696.81080269326</v>
      </c>
      <c r="H43" s="26" t="n">
        <f aca="false">E43*G43/(1+D43)^9</f>
        <v>5153.40925230613</v>
      </c>
      <c r="I43" s="26" t="n">
        <f aca="false">$B$13*G43/$B$12*((1+$B$8)/(1+D43))^4.5</f>
        <v>2620.04794584505</v>
      </c>
      <c r="J43" s="26" t="n">
        <f aca="false">H43+I43+$B$14</f>
        <v>9859.85607623337</v>
      </c>
      <c r="K43" s="44" t="n">
        <f aca="false">J43/$B$15</f>
        <v>15.6505652003704</v>
      </c>
      <c r="N43" s="3" t="s">
        <v>436</v>
      </c>
      <c r="O43" s="52" t="n">
        <v>10</v>
      </c>
      <c r="P43" s="52" t="n">
        <v>15</v>
      </c>
      <c r="Q43" s="52" t="n">
        <f aca="false">COUNTIFS($K$41:$K$540,"&gt;="&amp;O43,$K$41:$K$540,"&lt;"&amp;P43)</f>
        <v>121</v>
      </c>
    </row>
    <row r="44" customFormat="false" ht="15" hidden="false" customHeight="false" outlineLevel="0" collapsed="false">
      <c r="A44" s="52" t="n">
        <v>4</v>
      </c>
      <c r="B44" s="21" t="n">
        <f aca="true">NORMINV(RAND(),$B$6,$C$6)</f>
        <v>0.203902107034904</v>
      </c>
      <c r="C44" s="21" t="n">
        <f aca="true">MAX(0.03,NORMINV(RAND(),$B$7,$C$7))</f>
        <v>0.236531674848887</v>
      </c>
      <c r="D44" s="33" t="n">
        <f aca="true">MAX(0.08,NORMINV(RAND(),$B$8,$C$8))</f>
        <v>0.140050835599341</v>
      </c>
      <c r="E44" s="48" t="n">
        <f aca="true">MAX(4,NORMINV(RAND(),$B$9,$C$9))</f>
        <v>15.3096636986119</v>
      </c>
      <c r="F44" s="26" t="n">
        <f aca="false">$B$18*(1+(B44+$B$17)/2)^9</f>
        <v>8124.22627462839</v>
      </c>
      <c r="G44" s="26" t="n">
        <f aca="false">F44*C44</f>
        <v>1921.63684758919</v>
      </c>
      <c r="H44" s="26" t="n">
        <f aca="false">E44*G44/(1+D44)^9</f>
        <v>9043.13498395387</v>
      </c>
      <c r="I44" s="26" t="n">
        <f aca="false">$B$13*G44/$B$12*((1+$B$8)/(1+D44))^4.5</f>
        <v>2879.98163611945</v>
      </c>
      <c r="J44" s="26" t="n">
        <f aca="false">H44+I44+$B$14</f>
        <v>14009.5154981555</v>
      </c>
      <c r="K44" s="44" t="n">
        <f aca="false">J44/$B$15</f>
        <v>22.2373261875484</v>
      </c>
      <c r="N44" s="3" t="s">
        <v>437</v>
      </c>
      <c r="O44" s="52" t="n">
        <v>15</v>
      </c>
      <c r="P44" s="52" t="n">
        <v>20</v>
      </c>
      <c r="Q44" s="52" t="n">
        <f aca="false">COUNTIFS($K$41:$K$540,"&gt;="&amp;O44,$K$41:$K$540,"&lt;"&amp;P44)</f>
        <v>252</v>
      </c>
    </row>
    <row r="45" customFormat="false" ht="15" hidden="false" customHeight="false" outlineLevel="0" collapsed="false">
      <c r="A45" s="52" t="n">
        <v>5</v>
      </c>
      <c r="B45" s="21" t="n">
        <f aca="true">NORMINV(RAND(),$B$6,$C$6)</f>
        <v>0.225162881793875</v>
      </c>
      <c r="C45" s="21" t="n">
        <f aca="true">MAX(0.03,NORMINV(RAND(),$B$7,$C$7))</f>
        <v>0.205432504829862</v>
      </c>
      <c r="D45" s="33" t="n">
        <f aca="true">MAX(0.08,NORMINV(RAND(),$B$8,$C$8))</f>
        <v>0.14696476228436</v>
      </c>
      <c r="E45" s="48" t="n">
        <f aca="true">MAX(4,NORMINV(RAND(),$B$9,$C$9))</f>
        <v>10.5460369308425</v>
      </c>
      <c r="F45" s="26" t="n">
        <f aca="false">$B$18*(1+(B45+$B$17)/2)^9</f>
        <v>8840.54438650855</v>
      </c>
      <c r="G45" s="26" t="n">
        <f aca="false">F45*C45</f>
        <v>1816.13517738003</v>
      </c>
      <c r="H45" s="26" t="n">
        <f aca="false">E45*G45/(1+D45)^9</f>
        <v>5575.53798875381</v>
      </c>
      <c r="I45" s="26" t="n">
        <f aca="false">$B$13*G45/$B$12*((1+$B$8)/(1+D45))^4.5</f>
        <v>2648.80635236638</v>
      </c>
      <c r="J45" s="26" t="n">
        <f aca="false">H45+I45+$B$14</f>
        <v>10310.7432192024</v>
      </c>
      <c r="K45" s="44" t="n">
        <f aca="false">J45/$B$15</f>
        <v>16.366259078099</v>
      </c>
      <c r="N45" s="3" t="s">
        <v>438</v>
      </c>
      <c r="O45" s="52" t="n">
        <v>20</v>
      </c>
      <c r="P45" s="52" t="n">
        <v>25</v>
      </c>
      <c r="Q45" s="52" t="n">
        <f aca="false">COUNTIFS($K$41:$K$540,"&gt;="&amp;O45,$K$41:$K$540,"&lt;"&amp;P45)</f>
        <v>105</v>
      </c>
    </row>
    <row r="46" customFormat="false" ht="15" hidden="false" customHeight="false" outlineLevel="0" collapsed="false">
      <c r="A46" s="52" t="n">
        <v>6</v>
      </c>
      <c r="B46" s="21" t="n">
        <f aca="true">NORMINV(RAND(),$B$6,$C$6)</f>
        <v>0.122395514356373</v>
      </c>
      <c r="C46" s="21" t="n">
        <f aca="true">MAX(0.03,NORMINV(RAND(),$B$7,$C$7))</f>
        <v>0.23902025307556</v>
      </c>
      <c r="D46" s="33" t="n">
        <f aca="true">MAX(0.08,NORMINV(RAND(),$B$8,$C$8))</f>
        <v>0.142320637559287</v>
      </c>
      <c r="E46" s="48" t="n">
        <f aca="true">MAX(4,NORMINV(RAND(),$B$9,$C$9))</f>
        <v>14.0077491491254</v>
      </c>
      <c r="F46" s="26" t="n">
        <f aca="false">$B$18*(1+(B46+$B$17)/2)^9</f>
        <v>5831.98826150241</v>
      </c>
      <c r="G46" s="26" t="n">
        <f aca="false">F46*C46</f>
        <v>1393.963310198</v>
      </c>
      <c r="H46" s="26" t="n">
        <f aca="false">E46*G46/(1+D46)^9</f>
        <v>5895.59296625565</v>
      </c>
      <c r="I46" s="26" t="n">
        <f aca="false">$B$13*G46/$B$12*((1+$B$8)/(1+D46))^4.5</f>
        <v>2070.53519948344</v>
      </c>
      <c r="J46" s="26" t="n">
        <f aca="false">H46+I46+$B$14</f>
        <v>10052.5270438213</v>
      </c>
      <c r="K46" s="44" t="n">
        <f aca="false">J46/$B$15</f>
        <v>15.9563921330497</v>
      </c>
      <c r="N46" s="3" t="s">
        <v>439</v>
      </c>
      <c r="O46" s="52" t="n">
        <v>25</v>
      </c>
      <c r="P46" s="52" t="n">
        <v>30</v>
      </c>
      <c r="Q46" s="52" t="n">
        <f aca="false">COUNTIFS($K$41:$K$540,"&gt;="&amp;O46,$K$41:$K$540,"&lt;"&amp;P46)</f>
        <v>18</v>
      </c>
    </row>
    <row r="47" customFormat="false" ht="15" hidden="false" customHeight="false" outlineLevel="0" collapsed="false">
      <c r="A47" s="52" t="n">
        <v>7</v>
      </c>
      <c r="B47" s="21" t="n">
        <f aca="true">NORMINV(RAND(),$B$6,$C$6)</f>
        <v>0.21947186481815</v>
      </c>
      <c r="C47" s="21" t="n">
        <f aca="true">MAX(0.03,NORMINV(RAND(),$B$7,$C$7))</f>
        <v>0.23814034751735</v>
      </c>
      <c r="D47" s="33" t="n">
        <f aca="true">MAX(0.08,NORMINV(RAND(),$B$8,$C$8))</f>
        <v>0.13266239573825</v>
      </c>
      <c r="E47" s="48" t="n">
        <f aca="true">MAX(4,NORMINV(RAND(),$B$9,$C$9))</f>
        <v>8.01842391120327</v>
      </c>
      <c r="F47" s="26" t="n">
        <f aca="false">$B$18*(1+(B47+$B$17)/2)^9</f>
        <v>8643.5031051228</v>
      </c>
      <c r="G47" s="26" t="n">
        <f aca="false">F47*C47</f>
        <v>2058.36683322124</v>
      </c>
      <c r="H47" s="26" t="n">
        <f aca="false">E47*G47/(1+D47)^9</f>
        <v>5379.07311953194</v>
      </c>
      <c r="I47" s="26" t="n">
        <f aca="false">$B$13*G47/$B$12*((1+$B$8)/(1+D47))^4.5</f>
        <v>3176.49359324033</v>
      </c>
      <c r="J47" s="26" t="n">
        <f aca="false">H47+I47+$B$14</f>
        <v>10641.9655908545</v>
      </c>
      <c r="K47" s="44" t="n">
        <f aca="false">J47/$B$15</f>
        <v>16.8920088743722</v>
      </c>
      <c r="N47" s="3" t="s">
        <v>440</v>
      </c>
      <c r="O47" s="52" t="n">
        <v>30</v>
      </c>
      <c r="P47" s="52" t="n">
        <v>35</v>
      </c>
      <c r="Q47" s="52" t="n">
        <f aca="false">COUNTIFS($K$41:$K$540,"&gt;="&amp;O47,$K$41:$K$540,"&lt;"&amp;P47)</f>
        <v>2</v>
      </c>
    </row>
    <row r="48" customFormat="false" ht="15" hidden="false" customHeight="false" outlineLevel="0" collapsed="false">
      <c r="A48" s="52" t="n">
        <v>8</v>
      </c>
      <c r="B48" s="21" t="n">
        <f aca="true">NORMINV(RAND(),$B$6,$C$6)</f>
        <v>0.231367069765622</v>
      </c>
      <c r="C48" s="21" t="n">
        <f aca="true">MAX(0.03,NORMINV(RAND(),$B$7,$C$7))</f>
        <v>0.190369375919197</v>
      </c>
      <c r="D48" s="33" t="n">
        <f aca="true">MAX(0.08,NORMINV(RAND(),$B$8,$C$8))</f>
        <v>0.129175894708808</v>
      </c>
      <c r="E48" s="48" t="n">
        <f aca="true">MAX(4,NORMINV(RAND(),$B$9,$C$9))</f>
        <v>16.6389037109634</v>
      </c>
      <c r="F48" s="26" t="n">
        <f aca="false">$B$18*(1+(B48+$B$17)/2)^9</f>
        <v>9059.89325892155</v>
      </c>
      <c r="G48" s="26" t="n">
        <f aca="false">F48*C48</f>
        <v>1724.72622559543</v>
      </c>
      <c r="H48" s="26" t="n">
        <f aca="false">E48*G48/(1+D48)^9</f>
        <v>9615.9122188373</v>
      </c>
      <c r="I48" s="26" t="n">
        <f aca="false">$B$13*G48/$B$12*((1+$B$8)/(1+D48))^4.5</f>
        <v>2698.79783266894</v>
      </c>
      <c r="J48" s="26" t="n">
        <f aca="false">H48+I48+$B$14</f>
        <v>14401.1089295884</v>
      </c>
      <c r="K48" s="44" t="n">
        <f aca="false">J48/$B$15</f>
        <v>22.8589030628388</v>
      </c>
      <c r="N48" s="3" t="s">
        <v>441</v>
      </c>
      <c r="O48" s="52" t="n">
        <v>35</v>
      </c>
      <c r="P48" s="52" t="n">
        <v>40</v>
      </c>
      <c r="Q48" s="52" t="n">
        <f aca="false">COUNTIFS($K$41:$K$540,"&gt;="&amp;O48,$K$41:$K$540,"&lt;"&amp;P48)</f>
        <v>0</v>
      </c>
    </row>
    <row r="49" customFormat="false" ht="15" hidden="false" customHeight="false" outlineLevel="0" collapsed="false">
      <c r="A49" s="52" t="n">
        <v>9</v>
      </c>
      <c r="B49" s="21" t="n">
        <f aca="true">NORMINV(RAND(),$B$6,$C$6)</f>
        <v>0.21375469868882</v>
      </c>
      <c r="C49" s="21" t="n">
        <f aca="true">MAX(0.03,NORMINV(RAND(),$B$7,$C$7))</f>
        <v>0.216122902156815</v>
      </c>
      <c r="D49" s="33" t="n">
        <f aca="true">MAX(0.08,NORMINV(RAND(),$B$8,$C$8))</f>
        <v>0.132244162971057</v>
      </c>
      <c r="E49" s="48" t="n">
        <f aca="true">MAX(4,NORMINV(RAND(),$B$9,$C$9))</f>
        <v>12.6055147960731</v>
      </c>
      <c r="F49" s="26" t="n">
        <f aca="false">$B$18*(1+(B49+$B$17)/2)^9</f>
        <v>8449.49683428272</v>
      </c>
      <c r="G49" s="26" t="n">
        <f aca="false">F49*C49</f>
        <v>1826.12977759</v>
      </c>
      <c r="H49" s="26" t="n">
        <f aca="false">E49*G49/(1+D49)^9</f>
        <v>7527.16455970083</v>
      </c>
      <c r="I49" s="26" t="n">
        <f aca="false">$B$13*G49/$B$12*((1+$B$8)/(1+D49))^4.5</f>
        <v>2822.79025581984</v>
      </c>
      <c r="J49" s="26" t="n">
        <f aca="false">H49+I49+$B$14</f>
        <v>12436.3536936029</v>
      </c>
      <c r="K49" s="44" t="n">
        <f aca="false">J49/$B$15</f>
        <v>19.7402439580998</v>
      </c>
      <c r="N49" s="3" t="s">
        <v>442</v>
      </c>
      <c r="O49" s="52" t="n">
        <v>40</v>
      </c>
      <c r="P49" s="52" t="n">
        <v>45</v>
      </c>
      <c r="Q49" s="52" t="n">
        <f aca="false">COUNTIFS($K$41:$K$540,"&gt;="&amp;O49,$K$41:$K$540,"&lt;"&amp;P49)</f>
        <v>0</v>
      </c>
    </row>
    <row r="50" customFormat="false" ht="15" hidden="false" customHeight="false" outlineLevel="0" collapsed="false">
      <c r="A50" s="52" t="n">
        <v>10</v>
      </c>
      <c r="B50" s="21" t="n">
        <f aca="true">NORMINV(RAND(),$B$6,$C$6)</f>
        <v>0.23732423888243</v>
      </c>
      <c r="C50" s="21" t="n">
        <f aca="true">MAX(0.03,NORMINV(RAND(),$B$7,$C$7))</f>
        <v>0.163306808153824</v>
      </c>
      <c r="D50" s="33" t="n">
        <f aca="true">MAX(0.08,NORMINV(RAND(),$B$8,$C$8))</f>
        <v>0.12906575954487</v>
      </c>
      <c r="E50" s="48" t="n">
        <f aca="true">MAX(4,NORMINV(RAND(),$B$9,$C$9))</f>
        <v>12.665552955562</v>
      </c>
      <c r="F50" s="26" t="n">
        <f aca="false">$B$18*(1+(B50+$B$17)/2)^9</f>
        <v>9275.0477676403</v>
      </c>
      <c r="G50" s="26" t="n">
        <f aca="false">F50*C50</f>
        <v>1514.67844640758</v>
      </c>
      <c r="H50" s="26" t="n">
        <f aca="false">E50*G50/(1+D50)^9</f>
        <v>6433.85793832783</v>
      </c>
      <c r="I50" s="26" t="n">
        <f aca="false">$B$13*G50/$B$12*((1+$B$8)/(1+D50))^4.5</f>
        <v>2371.16216826366</v>
      </c>
      <c r="J50" s="26" t="n">
        <f aca="false">H50+I50+$B$14</f>
        <v>10891.4189846737</v>
      </c>
      <c r="K50" s="44" t="n">
        <f aca="false">J50/$B$15</f>
        <v>17.2879666423392</v>
      </c>
      <c r="N50" s="3" t="s">
        <v>443</v>
      </c>
      <c r="O50" s="52" t="n">
        <v>45</v>
      </c>
      <c r="P50" s="52" t="n">
        <v>50</v>
      </c>
      <c r="Q50" s="52" t="n">
        <f aca="false">COUNTIFS($K$41:$K$540,"&gt;="&amp;O50,$K$41:$K$540,"&lt;"&amp;P50)</f>
        <v>0</v>
      </c>
    </row>
    <row r="51" customFormat="false" ht="15" hidden="false" customHeight="false" outlineLevel="0" collapsed="false">
      <c r="A51" s="52" t="n">
        <v>11</v>
      </c>
      <c r="B51" s="21" t="n">
        <f aca="true">NORMINV(RAND(),$B$6,$C$6)</f>
        <v>0.246001038520313</v>
      </c>
      <c r="C51" s="21" t="n">
        <f aca="true">MAX(0.03,NORMINV(RAND(),$B$7,$C$7))</f>
        <v>0.246014604565859</v>
      </c>
      <c r="D51" s="33" t="n">
        <f aca="true">MAX(0.08,NORMINV(RAND(),$B$8,$C$8))</f>
        <v>0.131190535308667</v>
      </c>
      <c r="E51" s="48" t="n">
        <f aca="true">MAX(4,NORMINV(RAND(),$B$9,$C$9))</f>
        <v>8.6440489140238</v>
      </c>
      <c r="F51" s="26" t="n">
        <f aca="false">$B$18*(1+(B51+$B$17)/2)^9</f>
        <v>9596.55344447166</v>
      </c>
      <c r="G51" s="26" t="n">
        <f aca="false">F51*C51</f>
        <v>2360.89230083683</v>
      </c>
      <c r="H51" s="26" t="n">
        <f aca="false">E51*G51/(1+D51)^9</f>
        <v>6729.32536648647</v>
      </c>
      <c r="I51" s="26" t="n">
        <f aca="false">$B$13*G51/$B$12*((1+$B$8)/(1+D51))^4.5</f>
        <v>3664.7353887017</v>
      </c>
      <c r="J51" s="26" t="n">
        <f aca="false">H51+I51+$B$14</f>
        <v>12480.4596332704</v>
      </c>
      <c r="K51" s="44" t="n">
        <f aca="false">J51/$B$15</f>
        <v>19.8102533861434</v>
      </c>
      <c r="N51" s="3" t="s">
        <v>444</v>
      </c>
      <c r="O51" s="52" t="n">
        <v>50</v>
      </c>
      <c r="P51" s="52" t="n">
        <v>55</v>
      </c>
      <c r="Q51" s="52" t="n">
        <f aca="false">COUNTIFS($K$41:$K$540,"&gt;="&amp;O51,$K$41:$K$540,"&lt;"&amp;P51)</f>
        <v>0</v>
      </c>
    </row>
    <row r="52" customFormat="false" ht="15" hidden="false" customHeight="false" outlineLevel="0" collapsed="false">
      <c r="A52" s="52" t="n">
        <v>12</v>
      </c>
      <c r="B52" s="21" t="n">
        <f aca="true">NORMINV(RAND(),$B$6,$C$6)</f>
        <v>0.225114519252366</v>
      </c>
      <c r="C52" s="21" t="n">
        <f aca="true">MAX(0.03,NORMINV(RAND(),$B$7,$C$7))</f>
        <v>0.162429646097765</v>
      </c>
      <c r="D52" s="33" t="n">
        <f aca="true">MAX(0.08,NORMINV(RAND(),$B$8,$C$8))</f>
        <v>0.129910575142214</v>
      </c>
      <c r="E52" s="48" t="n">
        <f aca="true">MAX(4,NORMINV(RAND(),$B$9,$C$9))</f>
        <v>9.48077738057184</v>
      </c>
      <c r="F52" s="26" t="n">
        <f aca="false">$B$18*(1+(B52+$B$17)/2)^9</f>
        <v>8838.85324007663</v>
      </c>
      <c r="G52" s="26" t="n">
        <f aca="false">F52*C52</f>
        <v>1435.69180369573</v>
      </c>
      <c r="H52" s="26" t="n">
        <f aca="false">E52*G52/(1+D52)^9</f>
        <v>4534.28182517447</v>
      </c>
      <c r="I52" s="26" t="n">
        <f aca="false">$B$13*G52/$B$12*((1+$B$8)/(1+D52))^4.5</f>
        <v>2239.96003250094</v>
      </c>
      <c r="J52" s="26" t="n">
        <f aca="false">H52+I52+$B$14</f>
        <v>8860.6407357576</v>
      </c>
      <c r="K52" s="44" t="n">
        <f aca="false">J52/$B$15</f>
        <v>14.0645091043771</v>
      </c>
      <c r="N52" s="3" t="s">
        <v>445</v>
      </c>
      <c r="O52" s="52" t="n">
        <v>55</v>
      </c>
      <c r="P52" s="52" t="n">
        <v>60</v>
      </c>
      <c r="Q52" s="52" t="n">
        <f aca="false">COUNTIFS($K$41:$K$540,"&gt;="&amp;O52,$K$41:$K$540,"&lt;"&amp;P52)</f>
        <v>0</v>
      </c>
    </row>
    <row r="53" customFormat="false" ht="15" hidden="false" customHeight="false" outlineLevel="0" collapsed="false">
      <c r="A53" s="52" t="n">
        <v>13</v>
      </c>
      <c r="B53" s="21" t="n">
        <f aca="true">NORMINV(RAND(),$B$6,$C$6)</f>
        <v>0.154026953555535</v>
      </c>
      <c r="C53" s="21" t="n">
        <f aca="true">MAX(0.03,NORMINV(RAND(),$B$7,$C$7))</f>
        <v>0.189578553705613</v>
      </c>
      <c r="D53" s="33" t="n">
        <f aca="true">MAX(0.08,NORMINV(RAND(),$B$8,$C$8))</f>
        <v>0.122880372690583</v>
      </c>
      <c r="E53" s="48" t="n">
        <f aca="true">MAX(4,NORMINV(RAND(),$B$9,$C$9))</f>
        <v>12.1014060603575</v>
      </c>
      <c r="F53" s="26" t="n">
        <f aca="false">$B$18*(1+(B53+$B$17)/2)^9</f>
        <v>6642.30290374638</v>
      </c>
      <c r="G53" s="26" t="n">
        <f aca="false">F53*C53</f>
        <v>1259.23817776683</v>
      </c>
      <c r="H53" s="26" t="n">
        <f aca="false">E53*G53/(1+D53)^9</f>
        <v>5369.6045145203</v>
      </c>
      <c r="I53" s="26" t="n">
        <f aca="false">$B$13*G53/$B$12*((1+$B$8)/(1+D53))^4.5</f>
        <v>2020.61955886161</v>
      </c>
      <c r="J53" s="26" t="n">
        <f aca="false">H53+I53+$B$14</f>
        <v>9476.62295146411</v>
      </c>
      <c r="K53" s="44" t="n">
        <f aca="false">J53/$B$15</f>
        <v>15.0422586531176</v>
      </c>
      <c r="N53" s="3" t="s">
        <v>446</v>
      </c>
      <c r="O53" s="52" t="n">
        <v>60</v>
      </c>
      <c r="P53" s="52" t="n">
        <v>65</v>
      </c>
      <c r="Q53" s="52" t="n">
        <f aca="false">COUNTIFS($K$41:$K$540,"&gt;="&amp;O53,$K$41:$K$540,"&lt;"&amp;P53)</f>
        <v>0</v>
      </c>
    </row>
    <row r="54" customFormat="false" ht="15" hidden="false" customHeight="false" outlineLevel="0" collapsed="false">
      <c r="A54" s="52" t="n">
        <v>14</v>
      </c>
      <c r="B54" s="21" t="n">
        <f aca="true">NORMINV(RAND(),$B$6,$C$6)</f>
        <v>0.157920011120866</v>
      </c>
      <c r="C54" s="21" t="n">
        <f aca="true">MAX(0.03,NORMINV(RAND(),$B$7,$C$7))</f>
        <v>0.221475673072703</v>
      </c>
      <c r="D54" s="33" t="n">
        <f aca="true">MAX(0.08,NORMINV(RAND(),$B$8,$C$8))</f>
        <v>0.119160349497889</v>
      </c>
      <c r="E54" s="48" t="n">
        <f aca="true">MAX(4,NORMINV(RAND(),$B$9,$C$9))</f>
        <v>13.6869657233991</v>
      </c>
      <c r="F54" s="26" t="n">
        <f aca="false">$B$18*(1+(B54+$B$17)/2)^9</f>
        <v>6748.64503407808</v>
      </c>
      <c r="G54" s="26" t="n">
        <f aca="false">F54*C54</f>
        <v>1494.6607012512</v>
      </c>
      <c r="H54" s="26" t="n">
        <f aca="false">E54*G54/(1+D54)^9</f>
        <v>7427.09464881262</v>
      </c>
      <c r="I54" s="26" t="n">
        <f aca="false">$B$13*G54/$B$12*((1+$B$8)/(1+D54))^4.5</f>
        <v>2434.47083289461</v>
      </c>
      <c r="J54" s="26" t="n">
        <f aca="false">H54+I54+$B$14</f>
        <v>11947.9643597894</v>
      </c>
      <c r="K54" s="44" t="n">
        <f aca="false">J54/$B$15</f>
        <v>18.9650227933165</v>
      </c>
      <c r="N54" s="3" t="s">
        <v>447</v>
      </c>
      <c r="O54" s="52" t="n">
        <v>65</v>
      </c>
      <c r="P54" s="52" t="n">
        <v>70</v>
      </c>
      <c r="Q54" s="52" t="n">
        <f aca="false">COUNTIFS($K$41:$K$540,"&gt;="&amp;O54,$K$41:$K$540,"&lt;"&amp;P54)</f>
        <v>0</v>
      </c>
    </row>
    <row r="55" customFormat="false" ht="15" hidden="false" customHeight="false" outlineLevel="0" collapsed="false">
      <c r="A55" s="52" t="n">
        <v>15</v>
      </c>
      <c r="B55" s="21" t="n">
        <f aca="true">NORMINV(RAND(),$B$6,$C$6)</f>
        <v>0.300476574499573</v>
      </c>
      <c r="C55" s="21" t="n">
        <f aca="true">MAX(0.03,NORMINV(RAND(),$B$7,$C$7))</f>
        <v>0.190610598564333</v>
      </c>
      <c r="D55" s="33" t="n">
        <f aca="true">MAX(0.08,NORMINV(RAND(),$B$8,$C$8))</f>
        <v>0.121649067971682</v>
      </c>
      <c r="E55" s="48" t="n">
        <f aca="true">MAX(4,NORMINV(RAND(),$B$9,$C$9))</f>
        <v>13.2593987471541</v>
      </c>
      <c r="F55" s="26" t="n">
        <f aca="false">$B$18*(1+(B55+$B$17)/2)^9</f>
        <v>11851.4069220708</v>
      </c>
      <c r="G55" s="26" t="n">
        <f aca="false">F55*C55</f>
        <v>2259.00376724539</v>
      </c>
      <c r="H55" s="26" t="n">
        <f aca="false">E55*G55/(1+D55)^9</f>
        <v>10659.2779799018</v>
      </c>
      <c r="I55" s="26" t="n">
        <f aca="false">$B$13*G55/$B$12*((1+$B$8)/(1+D55))^4.5</f>
        <v>3642.82102403401</v>
      </c>
      <c r="J55" s="26" t="n">
        <f aca="false">H55+I55+$B$14</f>
        <v>16388.497882018</v>
      </c>
      <c r="K55" s="44" t="n">
        <f aca="false">J55/$B$15</f>
        <v>26.0134887016159</v>
      </c>
      <c r="N55" s="3" t="s">
        <v>448</v>
      </c>
      <c r="O55" s="52" t="n">
        <v>70</v>
      </c>
      <c r="P55" s="52" t="n">
        <v>75</v>
      </c>
      <c r="Q55" s="52" t="n">
        <f aca="false">COUNTIFS($K$41:$K$540,"&gt;="&amp;O55,$K$41:$K$540,"&lt;"&amp;P55)</f>
        <v>0</v>
      </c>
    </row>
    <row r="56" customFormat="false" ht="15" hidden="false" customHeight="false" outlineLevel="0" collapsed="false">
      <c r="A56" s="52" t="n">
        <v>16</v>
      </c>
      <c r="B56" s="21" t="n">
        <f aca="true">NORMINV(RAND(),$B$6,$C$6)</f>
        <v>0.193270128073957</v>
      </c>
      <c r="C56" s="21" t="n">
        <f aca="true">MAX(0.03,NORMINV(RAND(),$B$7,$C$7))</f>
        <v>0.171747337721707</v>
      </c>
      <c r="D56" s="33" t="n">
        <f aca="true">MAX(0.08,NORMINV(RAND(),$B$8,$C$8))</f>
        <v>0.141371655549258</v>
      </c>
      <c r="E56" s="48" t="n">
        <f aca="true">MAX(4,NORMINV(RAND(),$B$9,$C$9))</f>
        <v>9.84006762406809</v>
      </c>
      <c r="F56" s="26" t="n">
        <f aca="false">$B$18*(1+(B56+$B$17)/2)^9</f>
        <v>7785.75482750512</v>
      </c>
      <c r="G56" s="26" t="n">
        <f aca="false">F56*C56</f>
        <v>1337.18266377793</v>
      </c>
      <c r="H56" s="26" t="n">
        <f aca="false">E56*G56/(1+D56)^9</f>
        <v>4002.62654754893</v>
      </c>
      <c r="I56" s="26" t="n">
        <f aca="false">$B$13*G56/$B$12*((1+$B$8)/(1+D56))^4.5</f>
        <v>1993.63771675869</v>
      </c>
      <c r="J56" s="26" t="n">
        <f aca="false">H56+I56+$B$14</f>
        <v>8082.66314238981</v>
      </c>
      <c r="K56" s="44" t="n">
        <f aca="false">J56/$B$15</f>
        <v>12.8296240355394</v>
      </c>
      <c r="N56" s="3" t="s">
        <v>449</v>
      </c>
      <c r="O56" s="52" t="n">
        <v>75</v>
      </c>
      <c r="P56" s="52" t="n">
        <v>80</v>
      </c>
      <c r="Q56" s="52" t="n">
        <f aca="false">COUNTIFS($K$41:$K$540,"&gt;="&amp;O56,$K$41:$K$540,"&lt;"&amp;P56)</f>
        <v>0</v>
      </c>
    </row>
    <row r="57" customFormat="false" ht="15" hidden="false" customHeight="false" outlineLevel="0" collapsed="false">
      <c r="A57" s="52" t="n">
        <v>17</v>
      </c>
      <c r="B57" s="21" t="n">
        <f aca="true">NORMINV(RAND(),$B$6,$C$6)</f>
        <v>0.163660856608154</v>
      </c>
      <c r="C57" s="21" t="n">
        <f aca="true">MAX(0.03,NORMINV(RAND(),$B$7,$C$7))</f>
        <v>0.221948766062253</v>
      </c>
      <c r="D57" s="33" t="n">
        <f aca="true">MAX(0.08,NORMINV(RAND(),$B$8,$C$8))</f>
        <v>0.116475227496423</v>
      </c>
      <c r="E57" s="48" t="n">
        <f aca="true">MAX(4,NORMINV(RAND(),$B$9,$C$9))</f>
        <v>9.96665240366386</v>
      </c>
      <c r="F57" s="26" t="n">
        <f aca="false">$B$18*(1+(B57+$B$17)/2)^9</f>
        <v>6908.22279943936</v>
      </c>
      <c r="G57" s="26" t="n">
        <f aca="false">F57*C57</f>
        <v>1533.27152601869</v>
      </c>
      <c r="H57" s="26" t="n">
        <f aca="false">E57*G57/(1+D57)^9</f>
        <v>5669.26242710038</v>
      </c>
      <c r="I57" s="26" t="n">
        <f aca="false">$B$13*G57/$B$12*((1+$B$8)/(1+D57))^4.5</f>
        <v>2524.50094689341</v>
      </c>
      <c r="J57" s="26" t="n">
        <f aca="false">H57+I57+$B$14</f>
        <v>10280.162252076</v>
      </c>
      <c r="K57" s="44" t="n">
        <f aca="false">J57/$B$15</f>
        <v>16.3177178604381</v>
      </c>
      <c r="N57" s="3" t="s">
        <v>450</v>
      </c>
      <c r="O57" s="52" t="n">
        <v>80</v>
      </c>
      <c r="P57" s="52" t="n">
        <v>85</v>
      </c>
      <c r="Q57" s="52" t="n">
        <f aca="false">COUNTIFS($K$41:$K$540,"&gt;="&amp;O57,$K$41:$K$540,"&lt;"&amp;P57)</f>
        <v>0</v>
      </c>
    </row>
    <row r="58" customFormat="false" ht="15" hidden="false" customHeight="false" outlineLevel="0" collapsed="false">
      <c r="A58" s="52" t="n">
        <v>18</v>
      </c>
      <c r="B58" s="21" t="n">
        <f aca="true">NORMINV(RAND(),$B$6,$C$6)</f>
        <v>0.158407627085921</v>
      </c>
      <c r="C58" s="21" t="n">
        <f aca="true">MAX(0.03,NORMINV(RAND(),$B$7,$C$7))</f>
        <v>0.20154255788888</v>
      </c>
      <c r="D58" s="33" t="n">
        <f aca="true">MAX(0.08,NORMINV(RAND(),$B$8,$C$8))</f>
        <v>0.148124126044155</v>
      </c>
      <c r="E58" s="48" t="n">
        <f aca="true">MAX(4,NORMINV(RAND(),$B$9,$C$9))</f>
        <v>14.5054405073012</v>
      </c>
      <c r="F58" s="26" t="n">
        <f aca="false">$B$18*(1+(B58+$B$17)/2)^9</f>
        <v>6762.07074702552</v>
      </c>
      <c r="G58" s="26" t="n">
        <f aca="false">F58*C58</f>
        <v>1362.84503498109</v>
      </c>
      <c r="H58" s="26" t="n">
        <f aca="false">E58*G58/(1+D58)^9</f>
        <v>5702.66435639482</v>
      </c>
      <c r="I58" s="26" t="n">
        <f aca="false">$B$13*G58/$B$12*((1+$B$8)/(1+D58))^4.5</f>
        <v>1978.67315135172</v>
      </c>
      <c r="J58" s="26" t="n">
        <f aca="false">H58+I58+$B$14</f>
        <v>9767.73638582872</v>
      </c>
      <c r="K58" s="44" t="n">
        <f aca="false">J58/$B$15</f>
        <v>15.5043434695694</v>
      </c>
      <c r="N58" s="3" t="s">
        <v>451</v>
      </c>
      <c r="O58" s="52" t="n">
        <v>85</v>
      </c>
      <c r="P58" s="52" t="n">
        <v>90</v>
      </c>
      <c r="Q58" s="52" t="n">
        <f aca="false">COUNTIFS($K$41:$K$540,"&gt;="&amp;O58,$K$41:$K$540,"&lt;"&amp;P58)</f>
        <v>0</v>
      </c>
    </row>
    <row r="59" customFormat="false" ht="15" hidden="false" customHeight="false" outlineLevel="0" collapsed="false">
      <c r="A59" s="52" t="n">
        <v>19</v>
      </c>
      <c r="B59" s="21" t="n">
        <f aca="true">NORMINV(RAND(),$B$6,$C$6)</f>
        <v>0.165439272359053</v>
      </c>
      <c r="C59" s="21" t="n">
        <f aca="true">MAX(0.03,NORMINV(RAND(),$B$7,$C$7))</f>
        <v>0.132070440293563</v>
      </c>
      <c r="D59" s="33" t="n">
        <f aca="true">MAX(0.08,NORMINV(RAND(),$B$8,$C$8))</f>
        <v>0.141758319446857</v>
      </c>
      <c r="E59" s="48" t="n">
        <f aca="true">MAX(4,NORMINV(RAND(),$B$9,$C$9))</f>
        <v>10.8021169326607</v>
      </c>
      <c r="F59" s="26" t="n">
        <f aca="false">$B$18*(1+(B59+$B$17)/2)^9</f>
        <v>6958.33310451138</v>
      </c>
      <c r="G59" s="26" t="n">
        <f aca="false">F59*C59</f>
        <v>918.990116822092</v>
      </c>
      <c r="H59" s="26" t="n">
        <f aca="false">E59*G59/(1+D59)^9</f>
        <v>3010.59303083449</v>
      </c>
      <c r="I59" s="26" t="n">
        <f aca="false">$B$13*G59/$B$12*((1+$B$8)/(1+D59))^4.5</f>
        <v>1368.05761431705</v>
      </c>
      <c r="J59" s="26" t="n">
        <f aca="false">H59+I59+$B$14</f>
        <v>6465.04952323373</v>
      </c>
      <c r="K59" s="44" t="n">
        <f aca="false">J59/$B$15</f>
        <v>10.2619833702123</v>
      </c>
      <c r="N59" s="3" t="s">
        <v>452</v>
      </c>
      <c r="O59" s="52" t="n">
        <v>90</v>
      </c>
      <c r="P59" s="52" t="n">
        <v>95</v>
      </c>
      <c r="Q59" s="52" t="n">
        <f aca="false">COUNTIF($K$41:$K$540,"&gt;="&amp;O59)</f>
        <v>0</v>
      </c>
    </row>
    <row r="60" customFormat="false" ht="15" hidden="false" customHeight="false" outlineLevel="0" collapsed="false">
      <c r="A60" s="52" t="n">
        <v>20</v>
      </c>
      <c r="B60" s="21" t="n">
        <f aca="true">NORMINV(RAND(),$B$6,$C$6)</f>
        <v>0.17867740469429</v>
      </c>
      <c r="C60" s="21" t="n">
        <f aca="true">MAX(0.03,NORMINV(RAND(),$B$7,$C$7))</f>
        <v>0.203283850175289</v>
      </c>
      <c r="D60" s="33" t="n">
        <f aca="true">MAX(0.08,NORMINV(RAND(),$B$8,$C$8))</f>
        <v>0.147580708438543</v>
      </c>
      <c r="E60" s="48" t="n">
        <f aca="true">MAX(4,NORMINV(RAND(),$B$9,$C$9))</f>
        <v>12.3785410441396</v>
      </c>
      <c r="F60" s="26" t="n">
        <f aca="false">$B$18*(1+(B60+$B$17)/2)^9</f>
        <v>7341.61244725875</v>
      </c>
      <c r="G60" s="26" t="n">
        <f aca="false">F60*C60</f>
        <v>1492.43124477359</v>
      </c>
      <c r="H60" s="26" t="n">
        <f aca="false">E60*G60/(1+D60)^9</f>
        <v>5351.98199629853</v>
      </c>
      <c r="I60" s="26" t="n">
        <f aca="false">$B$13*G60/$B$12*((1+$B$8)/(1+D60))^4.5</f>
        <v>2171.43651187457</v>
      </c>
      <c r="J60" s="26" t="n">
        <f aca="false">H60+I60+$B$14</f>
        <v>9609.81738625529</v>
      </c>
      <c r="K60" s="44" t="n">
        <f aca="false">J60/$B$15</f>
        <v>15.2536783908814</v>
      </c>
    </row>
    <row r="61" customFormat="false" ht="15" hidden="false" customHeight="false" outlineLevel="0" collapsed="false">
      <c r="A61" s="52" t="n">
        <v>21</v>
      </c>
      <c r="B61" s="21" t="n">
        <f aca="true">NORMINV(RAND(),$B$6,$C$6)</f>
        <v>0.252702704901094</v>
      </c>
      <c r="C61" s="21" t="n">
        <f aca="true">MAX(0.03,NORMINV(RAND(),$B$7,$C$7))</f>
        <v>0.191487252989613</v>
      </c>
      <c r="D61" s="33" t="n">
        <f aca="true">MAX(0.08,NORMINV(RAND(),$B$8,$C$8))</f>
        <v>0.14875776890519</v>
      </c>
      <c r="E61" s="48" t="n">
        <f aca="true">MAX(4,NORMINV(RAND(),$B$9,$C$9))</f>
        <v>9.0910256973134</v>
      </c>
      <c r="F61" s="26" t="n">
        <f aca="false">$B$18*(1+(B61+$B$17)/2)^9</f>
        <v>9851.6143992294</v>
      </c>
      <c r="G61" s="26" t="n">
        <f aca="false">F61*C61</f>
        <v>1886.45857882136</v>
      </c>
      <c r="H61" s="26" t="n">
        <f aca="false">E61*G61/(1+D61)^9</f>
        <v>4922.70720992695</v>
      </c>
      <c r="I61" s="26" t="n">
        <f aca="false">$B$13*G61/$B$12*((1+$B$8)/(1+D61))^4.5</f>
        <v>2732.09990027763</v>
      </c>
      <c r="J61" s="26" t="n">
        <f aca="false">H61+I61+$B$14</f>
        <v>9741.20598828677</v>
      </c>
      <c r="K61" s="44" t="n">
        <f aca="false">J61/$B$15</f>
        <v>15.4622317274393</v>
      </c>
    </row>
    <row r="62" customFormat="false" ht="15" hidden="false" customHeight="false" outlineLevel="0" collapsed="false">
      <c r="A62" s="52" t="n">
        <v>22</v>
      </c>
      <c r="B62" s="21" t="n">
        <f aca="true">NORMINV(RAND(),$B$6,$C$6)</f>
        <v>0.204964083460936</v>
      </c>
      <c r="C62" s="21" t="n">
        <f aca="true">MAX(0.03,NORMINV(RAND(),$B$7,$C$7))</f>
        <v>0.197453884821087</v>
      </c>
      <c r="D62" s="33" t="n">
        <f aca="true">MAX(0.08,NORMINV(RAND(),$B$8,$C$8))</f>
        <v>0.11995643818097</v>
      </c>
      <c r="E62" s="48" t="n">
        <f aca="true">MAX(4,NORMINV(RAND(),$B$9,$C$9))</f>
        <v>9.39475446348556</v>
      </c>
      <c r="F62" s="26" t="n">
        <f aca="false">$B$18*(1+(B62+$B$17)/2)^9</f>
        <v>8158.74247533683</v>
      </c>
      <c r="G62" s="26" t="n">
        <f aca="false">F62*C62</f>
        <v>1610.97539701006</v>
      </c>
      <c r="H62" s="26" t="n">
        <f aca="false">E62*G62/(1+D62)^9</f>
        <v>5459.64199702361</v>
      </c>
      <c r="I62" s="26" t="n">
        <f aca="false">$B$13*G62/$B$12*((1+$B$8)/(1+D62))^4.5</f>
        <v>2615.53898799223</v>
      </c>
      <c r="J62" s="26" t="n">
        <f aca="false">H62+I62+$B$14</f>
        <v>10161.579863098</v>
      </c>
      <c r="K62" s="44" t="n">
        <f aca="false">J62/$B$15</f>
        <v>16.1294918461874</v>
      </c>
    </row>
    <row r="63" customFormat="false" ht="15" hidden="false" customHeight="false" outlineLevel="0" collapsed="false">
      <c r="A63" s="52" t="n">
        <v>23</v>
      </c>
      <c r="B63" s="21" t="n">
        <f aca="true">NORMINV(RAND(),$B$6,$C$6)</f>
        <v>0.206189954705651</v>
      </c>
      <c r="C63" s="21" t="n">
        <f aca="true">MAX(0.03,NORMINV(RAND(),$B$7,$C$7))</f>
        <v>0.220273035533709</v>
      </c>
      <c r="D63" s="33" t="n">
        <f aca="true">MAX(0.08,NORMINV(RAND(),$B$8,$C$8))</f>
        <v>0.128345994092363</v>
      </c>
      <c r="E63" s="48" t="n">
        <f aca="true">MAX(4,NORMINV(RAND(),$B$9,$C$9))</f>
        <v>13.1590320376277</v>
      </c>
      <c r="F63" s="26" t="n">
        <f aca="false">$B$18*(1+(B63+$B$17)/2)^9</f>
        <v>8198.74759009485</v>
      </c>
      <c r="G63" s="26" t="n">
        <f aca="false">F63*C63</f>
        <v>1805.96301924487</v>
      </c>
      <c r="H63" s="26" t="n">
        <f aca="false">E63*G63/(1+D63)^9</f>
        <v>8015.89786161041</v>
      </c>
      <c r="I63" s="26" t="n">
        <f aca="false">$B$13*G63/$B$12*((1+$B$8)/(1+D63))^4.5</f>
        <v>2835.27977603563</v>
      </c>
      <c r="J63" s="26" t="n">
        <f aca="false">H63+I63+$B$14</f>
        <v>12937.5765157282</v>
      </c>
      <c r="K63" s="44" t="n">
        <f aca="false">J63/$B$15</f>
        <v>20.5358357392512</v>
      </c>
    </row>
    <row r="64" customFormat="false" ht="15" hidden="false" customHeight="false" outlineLevel="0" collapsed="false">
      <c r="A64" s="52" t="n">
        <v>24</v>
      </c>
      <c r="B64" s="21" t="n">
        <f aca="true">NORMINV(RAND(),$B$6,$C$6)</f>
        <v>0.178141841636073</v>
      </c>
      <c r="C64" s="21" t="n">
        <f aca="true">MAX(0.03,NORMINV(RAND(),$B$7,$C$7))</f>
        <v>0.158618229506986</v>
      </c>
      <c r="D64" s="33" t="n">
        <f aca="true">MAX(0.08,NORMINV(RAND(),$B$8,$C$8))</f>
        <v>0.142285844273133</v>
      </c>
      <c r="E64" s="48" t="n">
        <f aca="true">MAX(4,NORMINV(RAND(),$B$9,$C$9))</f>
        <v>13.3466165982607</v>
      </c>
      <c r="F64" s="26" t="n">
        <f aca="false">$B$18*(1+(B64+$B$17)/2)^9</f>
        <v>7325.74964364358</v>
      </c>
      <c r="G64" s="26" t="n">
        <f aca="false">F64*C64</f>
        <v>1161.99743828618</v>
      </c>
      <c r="H64" s="26" t="n">
        <f aca="false">E64*G64/(1+D64)^9</f>
        <v>4683.85240996828</v>
      </c>
      <c r="I64" s="26" t="n">
        <f aca="false">$B$13*G64/$B$12*((1+$B$8)/(1+D64))^4.5</f>
        <v>1726.21931661091</v>
      </c>
      <c r="J64" s="26" t="n">
        <f aca="false">H64+I64+$B$14</f>
        <v>8496.47060466138</v>
      </c>
      <c r="K64" s="44" t="n">
        <f aca="false">J64/$B$15</f>
        <v>13.4864612772403</v>
      </c>
    </row>
    <row r="65" customFormat="false" ht="15" hidden="false" customHeight="false" outlineLevel="0" collapsed="false">
      <c r="A65" s="52" t="n">
        <v>25</v>
      </c>
      <c r="B65" s="21" t="n">
        <f aca="true">NORMINV(RAND(),$B$6,$C$6)</f>
        <v>0.2192614400674</v>
      </c>
      <c r="C65" s="21" t="n">
        <f aca="true">MAX(0.03,NORMINV(RAND(),$B$7,$C$7))</f>
        <v>0.180749629738972</v>
      </c>
      <c r="D65" s="33" t="n">
        <f aca="true">MAX(0.08,NORMINV(RAND(),$B$8,$C$8))</f>
        <v>0.1326885759918</v>
      </c>
      <c r="E65" s="48" t="n">
        <f aca="true">MAX(4,NORMINV(RAND(),$B$9,$C$9))</f>
        <v>12.0018714791839</v>
      </c>
      <c r="F65" s="26" t="n">
        <f aca="false">$B$18*(1+(B65+$B$17)/2)^9</f>
        <v>8636.29297247791</v>
      </c>
      <c r="G65" s="26" t="n">
        <f aca="false">F65*C65</f>
        <v>1561.00675709267</v>
      </c>
      <c r="H65" s="26" t="n">
        <f aca="false">E65*G65/(1+D65)^9</f>
        <v>6104.626135813</v>
      </c>
      <c r="I65" s="26" t="n">
        <f aca="false">$B$13*G65/$B$12*((1+$B$8)/(1+D65))^4.5</f>
        <v>2408.71168655226</v>
      </c>
      <c r="J65" s="26" t="n">
        <f aca="false">H65+I65+$B$14</f>
        <v>10599.7367004475</v>
      </c>
      <c r="K65" s="44" t="n">
        <f aca="false">J65/$B$15</f>
        <v>16.8249788895991</v>
      </c>
    </row>
    <row r="66" customFormat="false" ht="15" hidden="false" customHeight="false" outlineLevel="0" collapsed="false">
      <c r="A66" s="52" t="n">
        <v>26</v>
      </c>
      <c r="B66" s="21" t="n">
        <f aca="true">NORMINV(RAND(),$B$6,$C$6)</f>
        <v>0.211174802292139</v>
      </c>
      <c r="C66" s="21" t="n">
        <f aca="true">MAX(0.03,NORMINV(RAND(),$B$7,$C$7))</f>
        <v>0.209171545016002</v>
      </c>
      <c r="D66" s="33" t="n">
        <f aca="true">MAX(0.08,NORMINV(RAND(),$B$8,$C$8))</f>
        <v>0.133485704912429</v>
      </c>
      <c r="E66" s="48" t="n">
        <f aca="true">MAX(4,NORMINV(RAND(),$B$9,$C$9))</f>
        <v>11.9403738105423</v>
      </c>
      <c r="F66" s="26" t="n">
        <f aca="false">$B$18*(1+(B66+$B$17)/2)^9</f>
        <v>8363.22535788694</v>
      </c>
      <c r="G66" s="26" t="n">
        <f aca="false">F66*C66</f>
        <v>1749.34876942622</v>
      </c>
      <c r="H66" s="26" t="n">
        <f aca="false">E66*G66/(1+D66)^9</f>
        <v>6763.16372316159</v>
      </c>
      <c r="I66" s="26" t="n">
        <f aca="false">$B$13*G66/$B$12*((1+$B$8)/(1+D66))^4.5</f>
        <v>2690.80093012115</v>
      </c>
      <c r="J66" s="26" t="n">
        <f aca="false">H66+I66+$B$14</f>
        <v>11540.3635313649</v>
      </c>
      <c r="K66" s="44" t="n">
        <f aca="false">J66/$B$15</f>
        <v>18.3180373513729</v>
      </c>
    </row>
    <row r="67" customFormat="false" ht="15" hidden="false" customHeight="false" outlineLevel="0" collapsed="false">
      <c r="A67" s="52" t="n">
        <v>27</v>
      </c>
      <c r="B67" s="21" t="n">
        <f aca="true">NORMINV(RAND(),$B$6,$C$6)</f>
        <v>0.186749997178277</v>
      </c>
      <c r="C67" s="21" t="n">
        <f aca="true">MAX(0.03,NORMINV(RAND(),$B$7,$C$7))</f>
        <v>0.216169994642157</v>
      </c>
      <c r="D67" s="33" t="n">
        <f aca="true">MAX(0.08,NORMINV(RAND(),$B$8,$C$8))</f>
        <v>0.136178163278781</v>
      </c>
      <c r="E67" s="48" t="n">
        <f aca="true">MAX(4,NORMINV(RAND(),$B$9,$C$9))</f>
        <v>15.0925530861299</v>
      </c>
      <c r="F67" s="26" t="n">
        <f aca="false">$B$18*(1+(B67+$B$17)/2)^9</f>
        <v>7584.44094312708</v>
      </c>
      <c r="G67" s="26" t="n">
        <f aca="false">F67*C67</f>
        <v>1639.52855803954</v>
      </c>
      <c r="H67" s="26" t="n">
        <f aca="false">E67*G67/(1+D67)^9</f>
        <v>7842.66663151453</v>
      </c>
      <c r="I67" s="26" t="n">
        <f aca="false">$B$13*G67/$B$12*((1+$B$8)/(1+D67))^4.5</f>
        <v>2495.09676198167</v>
      </c>
      <c r="J67" s="26" t="n">
        <f aca="false">H67+I67+$B$14</f>
        <v>12424.1622715784</v>
      </c>
      <c r="K67" s="44" t="n">
        <f aca="false">J67/$B$15</f>
        <v>19.7208924945689</v>
      </c>
    </row>
    <row r="68" customFormat="false" ht="15" hidden="false" customHeight="false" outlineLevel="0" collapsed="false">
      <c r="A68" s="52" t="n">
        <v>28</v>
      </c>
      <c r="B68" s="21" t="n">
        <f aca="true">NORMINV(RAND(),$B$6,$C$6)</f>
        <v>0.180895664519214</v>
      </c>
      <c r="C68" s="21" t="n">
        <f aca="true">MAX(0.03,NORMINV(RAND(),$B$7,$C$7))</f>
        <v>0.199193104904667</v>
      </c>
      <c r="D68" s="33" t="n">
        <f aca="true">MAX(0.08,NORMINV(RAND(),$B$8,$C$8))</f>
        <v>0.131644521623895</v>
      </c>
      <c r="E68" s="48" t="n">
        <f aca="true">MAX(4,NORMINV(RAND(),$B$9,$C$9))</f>
        <v>13.5641901902266</v>
      </c>
      <c r="F68" s="26" t="n">
        <f aca="false">$B$18*(1+(B68+$B$17)/2)^9</f>
        <v>7407.64054701438</v>
      </c>
      <c r="G68" s="26" t="n">
        <f aca="false">F68*C68</f>
        <v>1475.5509205775</v>
      </c>
      <c r="H68" s="26" t="n">
        <f aca="false">E68*G68/(1+D68)^9</f>
        <v>6575.94003348714</v>
      </c>
      <c r="I68" s="26" t="n">
        <f aca="false">$B$13*G68/$B$12*((1+$B$8)/(1+D68))^4.5</f>
        <v>2286.31710657156</v>
      </c>
      <c r="J68" s="26" t="n">
        <f aca="false">H68+I68+$B$14</f>
        <v>10948.6560181409</v>
      </c>
      <c r="K68" s="44" t="n">
        <f aca="false">J68/$B$15</f>
        <v>17.3788190764141</v>
      </c>
    </row>
    <row r="69" customFormat="false" ht="15" hidden="false" customHeight="false" outlineLevel="0" collapsed="false">
      <c r="A69" s="52" t="n">
        <v>29</v>
      </c>
      <c r="B69" s="21" t="n">
        <f aca="true">NORMINV(RAND(),$B$6,$C$6)</f>
        <v>0.173255745185045</v>
      </c>
      <c r="C69" s="21" t="n">
        <f aca="true">MAX(0.03,NORMINV(RAND(),$B$7,$C$7))</f>
        <v>0.219053443397142</v>
      </c>
      <c r="D69" s="33" t="n">
        <f aca="true">MAX(0.08,NORMINV(RAND(),$B$8,$C$8))</f>
        <v>0.122945211168204</v>
      </c>
      <c r="E69" s="48" t="n">
        <f aca="true">MAX(4,NORMINV(RAND(),$B$9,$C$9))</f>
        <v>11.5853493468015</v>
      </c>
      <c r="F69" s="26" t="n">
        <f aca="false">$B$18*(1+(B69+$B$17)/2)^9</f>
        <v>7182.42953902544</v>
      </c>
      <c r="G69" s="26" t="n">
        <f aca="false">F69*C69</f>
        <v>1573.33592248087</v>
      </c>
      <c r="H69" s="26" t="n">
        <f aca="false">E69*G69/(1+D69)^9</f>
        <v>6419.53374236958</v>
      </c>
      <c r="I69" s="26" t="n">
        <f aca="false">$B$13*G69/$B$12*((1+$B$8)/(1+D69))^4.5</f>
        <v>2523.97636365362</v>
      </c>
      <c r="J69" s="26" t="n">
        <f aca="false">H69+I69+$B$14</f>
        <v>11029.9089841054</v>
      </c>
      <c r="K69" s="44" t="n">
        <f aca="false">J69/$B$15</f>
        <v>17.5077920382625</v>
      </c>
    </row>
    <row r="70" customFormat="false" ht="15" hidden="false" customHeight="false" outlineLevel="0" collapsed="false">
      <c r="A70" s="52" t="n">
        <v>30</v>
      </c>
      <c r="B70" s="21" t="n">
        <f aca="true">NORMINV(RAND(),$B$6,$C$6)</f>
        <v>0.210948008214311</v>
      </c>
      <c r="C70" s="21" t="n">
        <f aca="true">MAX(0.03,NORMINV(RAND(),$B$7,$C$7))</f>
        <v>0.17759607698574</v>
      </c>
      <c r="D70" s="33" t="n">
        <f aca="true">MAX(0.08,NORMINV(RAND(),$B$8,$C$8))</f>
        <v>0.119006590276488</v>
      </c>
      <c r="E70" s="48" t="n">
        <f aca="true">MAX(4,NORMINV(RAND(),$B$9,$C$9))</f>
        <v>13.5041442997776</v>
      </c>
      <c r="F70" s="26" t="n">
        <f aca="false">$B$18*(1+(B70+$B$17)/2)^9</f>
        <v>8355.67896086797</v>
      </c>
      <c r="G70" s="26" t="n">
        <f aca="false">F70*C70</f>
        <v>1483.93580400244</v>
      </c>
      <c r="H70" s="26" t="n">
        <f aca="false">E70*G70/(1+D70)^9</f>
        <v>7284.30941611764</v>
      </c>
      <c r="I70" s="26" t="n">
        <f aca="false">$B$13*G70/$B$12*((1+$B$8)/(1+D70))^4.5</f>
        <v>2418.49722054851</v>
      </c>
      <c r="J70" s="26" t="n">
        <f aca="false">H70+I70+$B$14</f>
        <v>11789.2055147483</v>
      </c>
      <c r="K70" s="44" t="n">
        <f aca="false">J70/$B$15</f>
        <v>18.7130246265847</v>
      </c>
    </row>
    <row r="71" customFormat="false" ht="15" hidden="false" customHeight="false" outlineLevel="0" collapsed="false">
      <c r="A71" s="52" t="n">
        <v>31</v>
      </c>
      <c r="B71" s="21" t="n">
        <f aca="true">NORMINV(RAND(),$B$6,$C$6)</f>
        <v>0.207792921089718</v>
      </c>
      <c r="C71" s="21" t="n">
        <f aca="true">MAX(0.03,NORMINV(RAND(),$B$7,$C$7))</f>
        <v>0.23364502999273</v>
      </c>
      <c r="D71" s="33" t="n">
        <f aca="true">MAX(0.08,NORMINV(RAND(),$B$8,$C$8))</f>
        <v>0.13612004877997</v>
      </c>
      <c r="E71" s="48" t="n">
        <f aca="true">MAX(4,NORMINV(RAND(),$B$9,$C$9))</f>
        <v>12.8248391059297</v>
      </c>
      <c r="F71" s="26" t="n">
        <f aca="false">$B$18*(1+(B71+$B$17)/2)^9</f>
        <v>8251.32186510857</v>
      </c>
      <c r="G71" s="26" t="n">
        <f aca="false">F71*C71</f>
        <v>1927.88034465296</v>
      </c>
      <c r="H71" s="26" t="n">
        <f aca="false">E71*G71/(1+D71)^9</f>
        <v>7839.96252883447</v>
      </c>
      <c r="I71" s="26" t="n">
        <f aca="false">$B$13*G71/$B$12*((1+$B$8)/(1+D71))^4.5</f>
        <v>2934.59684926117</v>
      </c>
      <c r="J71" s="26" t="n">
        <f aca="false">H71+I71+$B$14</f>
        <v>12860.9582561778</v>
      </c>
      <c r="K71" s="44" t="n">
        <f aca="false">J71/$B$15</f>
        <v>20.4142194542505</v>
      </c>
    </row>
    <row r="72" customFormat="false" ht="15" hidden="false" customHeight="false" outlineLevel="0" collapsed="false">
      <c r="A72" s="52" t="n">
        <v>32</v>
      </c>
      <c r="B72" s="21" t="n">
        <f aca="true">NORMINV(RAND(),$B$6,$C$6)</f>
        <v>0.21143799280541</v>
      </c>
      <c r="C72" s="21" t="n">
        <f aca="true">MAX(0.03,NORMINV(RAND(),$B$7,$C$7))</f>
        <v>0.23050874241346</v>
      </c>
      <c r="D72" s="33" t="n">
        <f aca="true">MAX(0.08,NORMINV(RAND(),$B$8,$C$8))</f>
        <v>0.151716044020452</v>
      </c>
      <c r="E72" s="48" t="n">
        <f aca="true">MAX(4,NORMINV(RAND(),$B$9,$C$9))</f>
        <v>12.2995275712293</v>
      </c>
      <c r="F72" s="26" t="n">
        <f aca="false">$B$18*(1+(B72+$B$17)/2)^9</f>
        <v>8371.99041217525</v>
      </c>
      <c r="G72" s="26" t="n">
        <f aca="false">F72*C72</f>
        <v>1929.81698140806</v>
      </c>
      <c r="H72" s="26" t="n">
        <f aca="false">E72*G72/(1+D72)^9</f>
        <v>6657.26435067234</v>
      </c>
      <c r="I72" s="26" t="n">
        <f aca="false">$B$13*G72/$B$12*((1+$B$8)/(1+D72))^4.5</f>
        <v>2762.73434223763</v>
      </c>
      <c r="J72" s="26" t="n">
        <f aca="false">H72+I72+$B$14</f>
        <v>11506.3975709922</v>
      </c>
      <c r="K72" s="44" t="n">
        <f aca="false">J72/$B$15</f>
        <v>18.264123128559</v>
      </c>
    </row>
    <row r="73" customFormat="false" ht="15" hidden="false" customHeight="false" outlineLevel="0" collapsed="false">
      <c r="A73" s="52" t="n">
        <v>33</v>
      </c>
      <c r="B73" s="21" t="n">
        <f aca="true">NORMINV(RAND(),$B$6,$C$6)</f>
        <v>0.131911308892297</v>
      </c>
      <c r="C73" s="21" t="n">
        <f aca="true">MAX(0.03,NORMINV(RAND(),$B$7,$C$7))</f>
        <v>0.187214520709658</v>
      </c>
      <c r="D73" s="33" t="n">
        <f aca="true">MAX(0.08,NORMINV(RAND(),$B$8,$C$8))</f>
        <v>0.132441349899723</v>
      </c>
      <c r="E73" s="48" t="n">
        <f aca="true">MAX(4,NORMINV(RAND(),$B$9,$C$9))</f>
        <v>12.8876783939759</v>
      </c>
      <c r="F73" s="26" t="n">
        <f aca="false">$B$18*(1+(B73+$B$17)/2)^9</f>
        <v>6065.97203885996</v>
      </c>
      <c r="G73" s="26" t="n">
        <f aca="false">F73*C73</f>
        <v>1135.63804789335</v>
      </c>
      <c r="H73" s="26" t="n">
        <f aca="false">E73*G73/(1+D73)^9</f>
        <v>4778.29716581823</v>
      </c>
      <c r="I73" s="26" t="n">
        <f aca="false">$B$13*G73/$B$12*((1+$B$8)/(1+D73))^4.5</f>
        <v>1754.06861643879</v>
      </c>
      <c r="J73" s="26" t="n">
        <f aca="false">H73+I73+$B$14</f>
        <v>8618.7646603392</v>
      </c>
      <c r="K73" s="44" t="n">
        <f aca="false">J73/$B$15</f>
        <v>13.6805788259352</v>
      </c>
    </row>
    <row r="74" customFormat="false" ht="15" hidden="false" customHeight="false" outlineLevel="0" collapsed="false">
      <c r="A74" s="52" t="n">
        <v>34</v>
      </c>
      <c r="B74" s="21" t="n">
        <f aca="true">NORMINV(RAND(),$B$6,$C$6)</f>
        <v>0.221706881733362</v>
      </c>
      <c r="C74" s="21" t="n">
        <f aca="true">MAX(0.03,NORMINV(RAND(),$B$7,$C$7))</f>
        <v>0.217322832114678</v>
      </c>
      <c r="D74" s="33" t="n">
        <f aca="true">MAX(0.08,NORMINV(RAND(),$B$8,$C$8))</f>
        <v>0.128410999601832</v>
      </c>
      <c r="E74" s="48" t="n">
        <f aca="true">MAX(4,NORMINV(RAND(),$B$9,$C$9))</f>
        <v>13.4556031379966</v>
      </c>
      <c r="F74" s="26" t="n">
        <f aca="false">$B$18*(1+(B74+$B$17)/2)^9</f>
        <v>8720.41609213838</v>
      </c>
      <c r="G74" s="26" t="n">
        <f aca="false">F74*C74</f>
        <v>1895.14552236192</v>
      </c>
      <c r="H74" s="26" t="n">
        <f aca="false">E74*G74/(1+D74)^9</f>
        <v>8596.86159050487</v>
      </c>
      <c r="I74" s="26" t="n">
        <f aca="false">$B$13*G74/$B$12*((1+$B$8)/(1+D74))^4.5</f>
        <v>2974.52102326902</v>
      </c>
      <c r="J74" s="26" t="n">
        <f aca="false">H74+I74+$B$14</f>
        <v>13657.7814918561</v>
      </c>
      <c r="K74" s="44" t="n">
        <f aca="false">J74/$B$15</f>
        <v>21.6790182410414</v>
      </c>
    </row>
    <row r="75" customFormat="false" ht="15" hidden="false" customHeight="false" outlineLevel="0" collapsed="false">
      <c r="A75" s="52" t="n">
        <v>35</v>
      </c>
      <c r="B75" s="21" t="n">
        <f aca="true">NORMINV(RAND(),$B$6,$C$6)</f>
        <v>0.20730950667248</v>
      </c>
      <c r="C75" s="21" t="n">
        <f aca="true">MAX(0.03,NORMINV(RAND(),$B$7,$C$7))</f>
        <v>0.23242219390491</v>
      </c>
      <c r="D75" s="33" t="n">
        <f aca="true">MAX(0.08,NORMINV(RAND(),$B$8,$C$8))</f>
        <v>0.126633233403661</v>
      </c>
      <c r="E75" s="48" t="n">
        <f aca="true">MAX(4,NORMINV(RAND(),$B$9,$C$9))</f>
        <v>12.327919849942</v>
      </c>
      <c r="F75" s="26" t="n">
        <f aca="false">$B$18*(1+(B75+$B$17)/2)^9</f>
        <v>8235.43531452676</v>
      </c>
      <c r="G75" s="26" t="n">
        <f aca="false">F75*C75</f>
        <v>1914.09794356428</v>
      </c>
      <c r="H75" s="26" t="n">
        <f aca="false">E75*G75/(1+D75)^9</f>
        <v>8068.8369153662</v>
      </c>
      <c r="I75" s="26" t="n">
        <f aca="false">$B$13*G75/$B$12*((1+$B$8)/(1+D75))^4.5</f>
        <v>3025.65930781725</v>
      </c>
      <c r="J75" s="26" t="n">
        <f aca="false">H75+I75+$B$14</f>
        <v>13180.8951012656</v>
      </c>
      <c r="K75" s="44" t="n">
        <f aca="false">J75/$B$15</f>
        <v>20.9220557162947</v>
      </c>
    </row>
    <row r="76" customFormat="false" ht="15" hidden="false" customHeight="false" outlineLevel="0" collapsed="false">
      <c r="A76" s="52" t="n">
        <v>36</v>
      </c>
      <c r="B76" s="21" t="n">
        <f aca="true">NORMINV(RAND(),$B$6,$C$6)</f>
        <v>0.161483358275395</v>
      </c>
      <c r="C76" s="21" t="n">
        <f aca="true">MAX(0.03,NORMINV(RAND(),$B$7,$C$7))</f>
        <v>0.2103673861856</v>
      </c>
      <c r="D76" s="33" t="n">
        <f aca="true">MAX(0.08,NORMINV(RAND(),$B$8,$C$8))</f>
        <v>0.15835807133621</v>
      </c>
      <c r="E76" s="48" t="n">
        <f aca="true">MAX(4,NORMINV(RAND(),$B$9,$C$9))</f>
        <v>14.7057088011431</v>
      </c>
      <c r="F76" s="26" t="n">
        <f aca="false">$B$18*(1+(B76+$B$17)/2)^9</f>
        <v>6847.30455874741</v>
      </c>
      <c r="G76" s="26" t="n">
        <f aca="false">F76*C76</f>
        <v>1440.44956244044</v>
      </c>
      <c r="H76" s="26" t="n">
        <f aca="false">E76*G76/(1+D76)^9</f>
        <v>5641.55148226889</v>
      </c>
      <c r="I76" s="26" t="n">
        <f aca="false">$B$13*G76/$B$12*((1+$B$8)/(1+D76))^4.5</f>
        <v>2009.47544290292</v>
      </c>
      <c r="J76" s="26" t="n">
        <f aca="false">H76+I76+$B$14</f>
        <v>9737.425803254</v>
      </c>
      <c r="K76" s="44" t="n">
        <f aca="false">J76/$B$15</f>
        <v>15.4562314337365</v>
      </c>
    </row>
    <row r="77" customFormat="false" ht="15" hidden="false" customHeight="false" outlineLevel="0" collapsed="false">
      <c r="A77" s="52" t="n">
        <v>37</v>
      </c>
      <c r="B77" s="21" t="n">
        <f aca="true">NORMINV(RAND(),$B$6,$C$6)</f>
        <v>0.210908298327355</v>
      </c>
      <c r="C77" s="21" t="n">
        <f aca="true">MAX(0.03,NORMINV(RAND(),$B$7,$C$7))</f>
        <v>0.239264117696148</v>
      </c>
      <c r="D77" s="33" t="n">
        <f aca="true">MAX(0.08,NORMINV(RAND(),$B$8,$C$8))</f>
        <v>0.126440722619351</v>
      </c>
      <c r="E77" s="48" t="n">
        <f aca="true">MAX(4,NORMINV(RAND(),$B$9,$C$9))</f>
        <v>12.8944630690325</v>
      </c>
      <c r="F77" s="26" t="n">
        <f aca="false">$B$18*(1+(B77+$B$17)/2)^9</f>
        <v>8354.35826804022</v>
      </c>
      <c r="G77" s="26" t="n">
        <f aca="false">F77*C77</f>
        <v>1998.89815992016</v>
      </c>
      <c r="H77" s="26" t="n">
        <f aca="false">E77*G77/(1+D77)^9</f>
        <v>8827.11629195222</v>
      </c>
      <c r="I77" s="26" t="n">
        <f aca="false">$B$13*G77/$B$12*((1+$B$8)/(1+D77))^4.5</f>
        <v>3162.1357136892</v>
      </c>
      <c r="J77" s="26" t="n">
        <f aca="false">H77+I77+$B$14</f>
        <v>14075.6508837236</v>
      </c>
      <c r="K77" s="44" t="n">
        <f aca="false">J77/$B$15</f>
        <v>22.3423029900375</v>
      </c>
    </row>
    <row r="78" customFormat="false" ht="15" hidden="false" customHeight="false" outlineLevel="0" collapsed="false">
      <c r="A78" s="52" t="n">
        <v>38</v>
      </c>
      <c r="B78" s="21" t="n">
        <f aca="true">NORMINV(RAND(),$B$6,$C$6)</f>
        <v>0.167232195637216</v>
      </c>
      <c r="C78" s="21" t="n">
        <f aca="true">MAX(0.03,NORMINV(RAND(),$B$7,$C$7))</f>
        <v>0.206123078945618</v>
      </c>
      <c r="D78" s="33" t="n">
        <f aca="true">MAX(0.08,NORMINV(RAND(),$B$8,$C$8))</f>
        <v>0.134354188390921</v>
      </c>
      <c r="E78" s="48" t="n">
        <f aca="true">MAX(4,NORMINV(RAND(),$B$9,$C$9))</f>
        <v>11.8340108006937</v>
      </c>
      <c r="F78" s="26" t="n">
        <f aca="false">$B$18*(1+(B78+$B$17)/2)^9</f>
        <v>7009.17899203531</v>
      </c>
      <c r="G78" s="26" t="n">
        <f aca="false">F78*C78</f>
        <v>1444.75355471926</v>
      </c>
      <c r="H78" s="26" t="n">
        <f aca="false">E78*G78/(1+D78)^9</f>
        <v>5497.78336118324</v>
      </c>
      <c r="I78" s="26" t="n">
        <f aca="false">$B$13*G78/$B$12*((1+$B$8)/(1+D78))^4.5</f>
        <v>2214.63467160197</v>
      </c>
      <c r="J78" s="26" t="n">
        <f aca="false">H78+I78+$B$14</f>
        <v>9798.8169108674</v>
      </c>
      <c r="K78" s="44" t="n">
        <f aca="false">J78/$B$15</f>
        <v>15.5536776362975</v>
      </c>
    </row>
    <row r="79" customFormat="false" ht="15" hidden="false" customHeight="false" outlineLevel="0" collapsed="false">
      <c r="A79" s="52" t="n">
        <v>39</v>
      </c>
      <c r="B79" s="21" t="n">
        <f aca="true">NORMINV(RAND(),$B$6,$C$6)</f>
        <v>0.292598011698753</v>
      </c>
      <c r="C79" s="21" t="n">
        <f aca="true">MAX(0.03,NORMINV(RAND(),$B$7,$C$7))</f>
        <v>0.166399410236376</v>
      </c>
      <c r="D79" s="33" t="n">
        <f aca="true">MAX(0.08,NORMINV(RAND(),$B$8,$C$8))</f>
        <v>0.131104368880896</v>
      </c>
      <c r="E79" s="48" t="n">
        <f aca="true">MAX(4,NORMINV(RAND(),$B$9,$C$9))</f>
        <v>10.2330689696879</v>
      </c>
      <c r="F79" s="26" t="n">
        <f aca="false">$B$18*(1+(B79+$B$17)/2)^9</f>
        <v>11498.6405449165</v>
      </c>
      <c r="G79" s="26" t="n">
        <f aca="false">F79*C79</f>
        <v>1913.36700519419</v>
      </c>
      <c r="H79" s="26" t="n">
        <f aca="false">E79*G79/(1+D79)^9</f>
        <v>6460.70725865672</v>
      </c>
      <c r="I79" s="26" t="n">
        <f aca="false">$B$13*G79/$B$12*((1+$B$8)/(1+D79))^4.5</f>
        <v>2971.07489438703</v>
      </c>
      <c r="J79" s="26" t="n">
        <f aca="false">H79+I79+$B$14</f>
        <v>11518.1810311259</v>
      </c>
      <c r="K79" s="44" t="n">
        <f aca="false">J79/$B$15</f>
        <v>18.2828270335332</v>
      </c>
    </row>
    <row r="80" customFormat="false" ht="15" hidden="false" customHeight="false" outlineLevel="0" collapsed="false">
      <c r="A80" s="52" t="n">
        <v>40</v>
      </c>
      <c r="B80" s="21" t="n">
        <f aca="true">NORMINV(RAND(),$B$6,$C$6)</f>
        <v>0.0859442705323094</v>
      </c>
      <c r="C80" s="21" t="n">
        <f aca="true">MAX(0.03,NORMINV(RAND(),$B$7,$C$7))</f>
        <v>0.193267348365457</v>
      </c>
      <c r="D80" s="33" t="n">
        <f aca="true">MAX(0.08,NORMINV(RAND(),$B$8,$C$8))</f>
        <v>0.122660667207646</v>
      </c>
      <c r="E80" s="48" t="n">
        <f aca="true">MAX(4,NORMINV(RAND(),$B$9,$C$9))</f>
        <v>13.5363502702657</v>
      </c>
      <c r="F80" s="26" t="n">
        <f aca="false">$B$18*(1+(B80+$B$17)/2)^9</f>
        <v>5008.1326070298</v>
      </c>
      <c r="G80" s="26" t="n">
        <f aca="false">F80*C80</f>
        <v>967.908509223232</v>
      </c>
      <c r="H80" s="26" t="n">
        <f aca="false">E80*G80/(1+D80)^9</f>
        <v>4624.86783425256</v>
      </c>
      <c r="I80" s="26" t="n">
        <f aca="false">$B$13*G80/$B$12*((1+$B$8)/(1+D80))^4.5</f>
        <v>1554.50958268328</v>
      </c>
      <c r="J80" s="26" t="n">
        <f aca="false">H80+I80+$B$14</f>
        <v>8265.77629501803</v>
      </c>
      <c r="K80" s="44" t="n">
        <f aca="false">J80/$B$15</f>
        <v>13.1202798333619</v>
      </c>
    </row>
    <row r="81" customFormat="false" ht="15" hidden="false" customHeight="false" outlineLevel="0" collapsed="false">
      <c r="A81" s="52" t="n">
        <v>41</v>
      </c>
      <c r="B81" s="21" t="n">
        <f aca="true">NORMINV(RAND(),$B$6,$C$6)</f>
        <v>0.229571553490173</v>
      </c>
      <c r="C81" s="21" t="n">
        <f aca="true">MAX(0.03,NORMINV(RAND(),$B$7,$C$7))</f>
        <v>0.196263451327209</v>
      </c>
      <c r="D81" s="33" t="n">
        <f aca="true">MAX(0.08,NORMINV(RAND(),$B$8,$C$8))</f>
        <v>0.146044278981527</v>
      </c>
      <c r="E81" s="48" t="n">
        <f aca="true">MAX(4,NORMINV(RAND(),$B$9,$C$9))</f>
        <v>8.92456371111228</v>
      </c>
      <c r="F81" s="26" t="n">
        <f aca="false">$B$18*(1+(B81+$B$17)/2)^9</f>
        <v>8995.9208202018</v>
      </c>
      <c r="G81" s="26" t="n">
        <f aca="false">F81*C81</f>
        <v>1765.5704680391</v>
      </c>
      <c r="H81" s="26" t="n">
        <f aca="false">E81*G81/(1+D81)^9</f>
        <v>4620.1861360549</v>
      </c>
      <c r="I81" s="26" t="n">
        <f aca="false">$B$13*G81/$B$12*((1+$B$8)/(1+D81))^4.5</f>
        <v>2584.37865514899</v>
      </c>
      <c r="J81" s="26" t="n">
        <f aca="false">H81+I81+$B$14</f>
        <v>9290.96366928608</v>
      </c>
      <c r="K81" s="44" t="n">
        <f aca="false">J81/$B$15</f>
        <v>14.7475613798192</v>
      </c>
    </row>
    <row r="82" customFormat="false" ht="15" hidden="false" customHeight="false" outlineLevel="0" collapsed="false">
      <c r="A82" s="52" t="n">
        <v>42</v>
      </c>
      <c r="B82" s="21" t="n">
        <f aca="true">NORMINV(RAND(),$B$6,$C$6)</f>
        <v>0.176476038098802</v>
      </c>
      <c r="C82" s="21" t="n">
        <f aca="true">MAX(0.03,NORMINV(RAND(),$B$7,$C$7))</f>
        <v>0.214981874622011</v>
      </c>
      <c r="D82" s="33" t="n">
        <f aca="true">MAX(0.08,NORMINV(RAND(),$B$8,$C$8))</f>
        <v>0.131176796962145</v>
      </c>
      <c r="E82" s="48" t="n">
        <f aca="true">MAX(4,NORMINV(RAND(),$B$9,$C$9))</f>
        <v>15.7870063943365</v>
      </c>
      <c r="F82" s="26" t="n">
        <f aca="false">$B$18*(1+(B82+$B$17)/2)^9</f>
        <v>7276.60489674016</v>
      </c>
      <c r="G82" s="26" t="n">
        <f aca="false">F82*C82</f>
        <v>1564.33816158491</v>
      </c>
      <c r="H82" s="26" t="n">
        <f aca="false">E82*G82/(1+D82)^9</f>
        <v>8144.34254175741</v>
      </c>
      <c r="I82" s="26" t="n">
        <f aca="false">$B$13*G82/$B$12*((1+$B$8)/(1+D82))^4.5</f>
        <v>2428.40333990006</v>
      </c>
      <c r="J82" s="26" t="n">
        <f aca="false">H82+I82+$B$14</f>
        <v>12659.1447597397</v>
      </c>
      <c r="K82" s="44" t="n">
        <f aca="false">J82/$B$15</f>
        <v>20.0938805710153</v>
      </c>
    </row>
    <row r="83" customFormat="false" ht="15" hidden="false" customHeight="false" outlineLevel="0" collapsed="false">
      <c r="A83" s="52" t="n">
        <v>43</v>
      </c>
      <c r="B83" s="21" t="n">
        <f aca="true">NORMINV(RAND(),$B$6,$C$6)</f>
        <v>0.226690175812197</v>
      </c>
      <c r="C83" s="21" t="n">
        <f aca="true">MAX(0.03,NORMINV(RAND(),$B$7,$C$7))</f>
        <v>0.229111414910174</v>
      </c>
      <c r="D83" s="33" t="n">
        <f aca="true">MAX(0.08,NORMINV(RAND(),$B$8,$C$8))</f>
        <v>0.150200848692013</v>
      </c>
      <c r="E83" s="48" t="n">
        <f aca="true">MAX(4,NORMINV(RAND(),$B$9,$C$9))</f>
        <v>15.3340709414002</v>
      </c>
      <c r="F83" s="26" t="n">
        <f aca="false">$B$18*(1+(B83+$B$17)/2)^9</f>
        <v>8894.09914760097</v>
      </c>
      <c r="G83" s="26" t="n">
        <f aca="false">F83*C83</f>
        <v>2037.73964005823</v>
      </c>
      <c r="H83" s="26" t="n">
        <f aca="false">E83*G83/(1+D83)^9</f>
        <v>8868.3537541951</v>
      </c>
      <c r="I83" s="26" t="n">
        <f aca="false">$B$13*G83/$B$12*((1+$B$8)/(1+D83))^4.5</f>
        <v>2934.57014878658</v>
      </c>
      <c r="J83" s="26" t="n">
        <f aca="false">H83+I83+$B$14</f>
        <v>13889.3227810639</v>
      </c>
      <c r="K83" s="44" t="n">
        <f aca="false">J83/$B$15</f>
        <v>22.0465440969268</v>
      </c>
    </row>
    <row r="84" customFormat="false" ht="15" hidden="false" customHeight="false" outlineLevel="0" collapsed="false">
      <c r="A84" s="52" t="n">
        <v>44</v>
      </c>
      <c r="B84" s="21" t="n">
        <f aca="true">NORMINV(RAND(),$B$6,$C$6)</f>
        <v>0.19914156877921</v>
      </c>
      <c r="C84" s="21" t="n">
        <f aca="true">MAX(0.03,NORMINV(RAND(),$B$7,$C$7))</f>
        <v>0.192651114988145</v>
      </c>
      <c r="D84" s="33" t="n">
        <f aca="true">MAX(0.08,NORMINV(RAND(),$B$8,$C$8))</f>
        <v>0.121461996219333</v>
      </c>
      <c r="E84" s="48" t="n">
        <f aca="true">MAX(4,NORMINV(RAND(),$B$9,$C$9))</f>
        <v>8.0186120522174</v>
      </c>
      <c r="F84" s="26" t="n">
        <f aca="false">$B$18*(1+(B84+$B$17)/2)^9</f>
        <v>7971.08968435195</v>
      </c>
      <c r="G84" s="26" t="n">
        <f aca="false">F84*C84</f>
        <v>1535.63931536091</v>
      </c>
      <c r="H84" s="26" t="n">
        <f aca="false">E84*G84/(1+D84)^9</f>
        <v>4388.61392205203</v>
      </c>
      <c r="I84" s="26" t="n">
        <f aca="false">$B$13*G84/$B$12*((1+$B$8)/(1+D84))^4.5</f>
        <v>2478.19842455975</v>
      </c>
      <c r="J84" s="26" t="n">
        <f aca="false">H84+I84+$B$14</f>
        <v>8953.21122469398</v>
      </c>
      <c r="K84" s="44" t="n">
        <f aca="false">J84/$B$15</f>
        <v>14.2114463884031</v>
      </c>
    </row>
    <row r="85" customFormat="false" ht="15" hidden="false" customHeight="false" outlineLevel="0" collapsed="false">
      <c r="A85" s="52" t="n">
        <v>45</v>
      </c>
      <c r="B85" s="21" t="n">
        <f aca="true">NORMINV(RAND(),$B$6,$C$6)</f>
        <v>0.143345880464098</v>
      </c>
      <c r="C85" s="21" t="n">
        <f aca="true">MAX(0.03,NORMINV(RAND(),$B$7,$C$7))</f>
        <v>0.208137025049419</v>
      </c>
      <c r="D85" s="33" t="n">
        <f aca="true">MAX(0.08,NORMINV(RAND(),$B$8,$C$8))</f>
        <v>0.136677565357987</v>
      </c>
      <c r="E85" s="48" t="n">
        <f aca="true">MAX(4,NORMINV(RAND(),$B$9,$C$9))</f>
        <v>12.7581069667774</v>
      </c>
      <c r="F85" s="26" t="n">
        <f aca="false">$B$18*(1+(B85+$B$17)/2)^9</f>
        <v>6358.14860990636</v>
      </c>
      <c r="G85" s="26" t="n">
        <f aca="false">F85*C85</f>
        <v>1323.36613648801</v>
      </c>
      <c r="H85" s="26" t="n">
        <f aca="false">E85*G85/(1+D85)^9</f>
        <v>5330.04236324106</v>
      </c>
      <c r="I85" s="26" t="n">
        <f aca="false">$B$13*G85/$B$12*((1+$B$8)/(1+D85))^4.5</f>
        <v>2009.97010417515</v>
      </c>
      <c r="J85" s="26" t="n">
        <f aca="false">H85+I85+$B$14</f>
        <v>9426.41134549839</v>
      </c>
      <c r="K85" s="44" t="n">
        <f aca="false">J85/$B$15</f>
        <v>14.9625576912673</v>
      </c>
    </row>
    <row r="86" customFormat="false" ht="15" hidden="false" customHeight="false" outlineLevel="0" collapsed="false">
      <c r="A86" s="52" t="n">
        <v>46</v>
      </c>
      <c r="B86" s="21" t="n">
        <f aca="true">NORMINV(RAND(),$B$6,$C$6)</f>
        <v>0.273439632039804</v>
      </c>
      <c r="C86" s="21" t="n">
        <f aca="true">MAX(0.03,NORMINV(RAND(),$B$7,$C$7))</f>
        <v>0.207993302565377</v>
      </c>
      <c r="D86" s="33" t="n">
        <f aca="true">MAX(0.08,NORMINV(RAND(),$B$8,$C$8))</f>
        <v>0.136809663967827</v>
      </c>
      <c r="E86" s="48" t="n">
        <f aca="true">MAX(4,NORMINV(RAND(),$B$9,$C$9))</f>
        <v>11.0164856242273</v>
      </c>
      <c r="F86" s="26" t="n">
        <f aca="false">$B$18*(1+(B86+$B$17)/2)^9</f>
        <v>10679.4553004718</v>
      </c>
      <c r="G86" s="26" t="n">
        <f aca="false">F86*C86</f>
        <v>2221.25517754445</v>
      </c>
      <c r="H86" s="26" t="n">
        <f aca="false">E86*G86/(1+D86)^9</f>
        <v>7717.05709664527</v>
      </c>
      <c r="I86" s="26" t="n">
        <f aca="false">$B$13*G86/$B$12*((1+$B$8)/(1+D86))^4.5</f>
        <v>3371.94844263935</v>
      </c>
      <c r="J86" s="26" t="n">
        <f aca="false">H86+I86+$B$14</f>
        <v>13175.4044173668</v>
      </c>
      <c r="K86" s="44" t="n">
        <f aca="false">J86/$B$15</f>
        <v>20.9133403450267</v>
      </c>
    </row>
    <row r="87" customFormat="false" ht="15" hidden="false" customHeight="false" outlineLevel="0" collapsed="false">
      <c r="A87" s="52" t="n">
        <v>47</v>
      </c>
      <c r="B87" s="21" t="n">
        <f aca="true">NORMINV(RAND(),$B$6,$C$6)</f>
        <v>0.161507050160304</v>
      </c>
      <c r="C87" s="21" t="n">
        <f aca="true">MAX(0.03,NORMINV(RAND(),$B$7,$C$7))</f>
        <v>0.188162379431094</v>
      </c>
      <c r="D87" s="33" t="n">
        <f aca="true">MAX(0.08,NORMINV(RAND(),$B$8,$C$8))</f>
        <v>0.134792079342891</v>
      </c>
      <c r="E87" s="48" t="n">
        <f aca="true">MAX(4,NORMINV(RAND(),$B$9,$C$9))</f>
        <v>14.3298497361736</v>
      </c>
      <c r="F87" s="26" t="n">
        <f aca="false">$B$18*(1+(B87+$B$17)/2)^9</f>
        <v>6847.96479095123</v>
      </c>
      <c r="G87" s="26" t="n">
        <f aca="false">F87*C87</f>
        <v>1288.52934932574</v>
      </c>
      <c r="H87" s="26" t="n">
        <f aca="false">E87*G87/(1+D87)^9</f>
        <v>5916.83269072564</v>
      </c>
      <c r="I87" s="26" t="n">
        <f aca="false">$B$13*G87/$B$12*((1+$B$8)/(1+D87))^4.5</f>
        <v>1971.73416719059</v>
      </c>
      <c r="J87" s="26" t="n">
        <f aca="false">H87+I87+$B$14</f>
        <v>9974.96573599842</v>
      </c>
      <c r="K87" s="44" t="n">
        <f aca="false">J87/$B$15</f>
        <v>15.8332789460292</v>
      </c>
    </row>
    <row r="88" customFormat="false" ht="15" hidden="false" customHeight="false" outlineLevel="0" collapsed="false">
      <c r="A88" s="52" t="n">
        <v>48</v>
      </c>
      <c r="B88" s="21" t="n">
        <f aca="true">NORMINV(RAND(),$B$6,$C$6)</f>
        <v>0.228774091805575</v>
      </c>
      <c r="C88" s="21" t="n">
        <f aca="true">MAX(0.03,NORMINV(RAND(),$B$7,$C$7))</f>
        <v>0.210256541094521</v>
      </c>
      <c r="D88" s="33" t="n">
        <f aca="true">MAX(0.08,NORMINV(RAND(),$B$8,$C$8))</f>
        <v>0.137246464549134</v>
      </c>
      <c r="E88" s="48" t="n">
        <f aca="true">MAX(4,NORMINV(RAND(),$B$9,$C$9))</f>
        <v>9.60134532687496</v>
      </c>
      <c r="F88" s="26" t="n">
        <f aca="false">$B$18*(1+(B88+$B$17)/2)^9</f>
        <v>8967.63706399</v>
      </c>
      <c r="G88" s="26" t="n">
        <f aca="false">F88*C88</f>
        <v>1885.50435086557</v>
      </c>
      <c r="H88" s="26" t="n">
        <f aca="false">E88*G88/(1+D88)^9</f>
        <v>5689.42360810031</v>
      </c>
      <c r="I88" s="26" t="n">
        <f aca="false">$B$13*G88/$B$12*((1+$B$8)/(1+D88))^4.5</f>
        <v>2857.3223484532</v>
      </c>
      <c r="J88" s="26" t="n">
        <f aca="false">H88+I88+$B$14</f>
        <v>10633.1448346357</v>
      </c>
      <c r="K88" s="44" t="n">
        <f aca="false">J88/$B$15</f>
        <v>16.8780076740249</v>
      </c>
    </row>
    <row r="89" customFormat="false" ht="15" hidden="false" customHeight="false" outlineLevel="0" collapsed="false">
      <c r="A89" s="52" t="n">
        <v>49</v>
      </c>
      <c r="B89" s="21" t="n">
        <f aca="true">NORMINV(RAND(),$B$6,$C$6)</f>
        <v>0.192808012749416</v>
      </c>
      <c r="C89" s="21" t="n">
        <f aca="true">MAX(0.03,NORMINV(RAND(),$B$7,$C$7))</f>
        <v>0.237048022271056</v>
      </c>
      <c r="D89" s="33" t="n">
        <f aca="true">MAX(0.08,NORMINV(RAND(),$B$8,$C$8))</f>
        <v>0.132484216313186</v>
      </c>
      <c r="E89" s="48" t="n">
        <f aca="true">MAX(4,NORMINV(RAND(),$B$9,$C$9))</f>
        <v>15.5794793812037</v>
      </c>
      <c r="F89" s="26" t="n">
        <f aca="false">$B$18*(1+(B89+$B$17)/2)^9</f>
        <v>7771.33187427262</v>
      </c>
      <c r="G89" s="26" t="n">
        <f aca="false">F89*C89</f>
        <v>1842.17885120835</v>
      </c>
      <c r="H89" s="26" t="n">
        <f aca="false">E89*G89/(1+D89)^9</f>
        <v>9366.8876707845</v>
      </c>
      <c r="I89" s="26" t="n">
        <f aca="false">$B$13*G89/$B$12*((1+$B$8)/(1+D89))^4.5</f>
        <v>2844.88332744261</v>
      </c>
      <c r="J89" s="26" t="n">
        <f aca="false">H89+I89+$B$14</f>
        <v>14298.1698763093</v>
      </c>
      <c r="K89" s="44" t="n">
        <f aca="false">J89/$B$15</f>
        <v>22.6955077401735</v>
      </c>
    </row>
    <row r="90" customFormat="false" ht="15" hidden="false" customHeight="false" outlineLevel="0" collapsed="false">
      <c r="A90" s="52" t="n">
        <v>50</v>
      </c>
      <c r="B90" s="21" t="n">
        <f aca="true">NORMINV(RAND(),$B$6,$C$6)</f>
        <v>0.136335549309144</v>
      </c>
      <c r="C90" s="21" t="n">
        <f aca="true">MAX(0.03,NORMINV(RAND(),$B$7,$C$7))</f>
        <v>0.191416682755191</v>
      </c>
      <c r="D90" s="33" t="n">
        <f aca="true">MAX(0.08,NORMINV(RAND(),$B$8,$C$8))</f>
        <v>0.134964264871249</v>
      </c>
      <c r="E90" s="48" t="n">
        <f aca="true">MAX(4,NORMINV(RAND(),$B$9,$C$9))</f>
        <v>9.59315314088511</v>
      </c>
      <c r="F90" s="26" t="n">
        <f aca="false">$B$18*(1+(B90+$B$17)/2)^9</f>
        <v>6177.57336918348</v>
      </c>
      <c r="G90" s="26" t="n">
        <f aca="false">F90*C90</f>
        <v>1182.49060180591</v>
      </c>
      <c r="H90" s="26" t="n">
        <f aca="false">E90*G90/(1+D90)^9</f>
        <v>3630.10666251759</v>
      </c>
      <c r="I90" s="26" t="n">
        <f aca="false">$B$13*G90/$B$12*((1+$B$8)/(1+D90))^4.5</f>
        <v>1808.23650032735</v>
      </c>
      <c r="J90" s="26" t="n">
        <f aca="false">H90+I90+$B$14</f>
        <v>7524.74204092713</v>
      </c>
      <c r="K90" s="44" t="n">
        <f aca="false">J90/$B$15</f>
        <v>11.9440349855986</v>
      </c>
    </row>
    <row r="91" customFormat="false" ht="15" hidden="false" customHeight="false" outlineLevel="0" collapsed="false">
      <c r="A91" s="52" t="n">
        <v>51</v>
      </c>
      <c r="B91" s="21" t="n">
        <f aca="true">NORMINV(RAND(),$B$6,$C$6)</f>
        <v>0.260772747267639</v>
      </c>
      <c r="C91" s="21" t="n">
        <f aca="true">MAX(0.03,NORMINV(RAND(),$B$7,$C$7))</f>
        <v>0.254879822091469</v>
      </c>
      <c r="D91" s="33" t="n">
        <f aca="true">MAX(0.08,NORMINV(RAND(),$B$8,$C$8))</f>
        <v>0.157921641961998</v>
      </c>
      <c r="E91" s="48" t="n">
        <f aca="true">MAX(4,NORMINV(RAND(),$B$9,$C$9))</f>
        <v>15.680843476841</v>
      </c>
      <c r="F91" s="26" t="n">
        <f aca="false">$B$18*(1+(B91+$B$17)/2)^9</f>
        <v>10166.7395301832</v>
      </c>
      <c r="G91" s="26" t="n">
        <f aca="false">F91*C91</f>
        <v>2591.29676270338</v>
      </c>
      <c r="H91" s="26" t="n">
        <f aca="false">E91*G91/(1+D91)^9</f>
        <v>10858.604923575</v>
      </c>
      <c r="I91" s="26" t="n">
        <f aca="false">$B$13*G91/$B$12*((1+$B$8)/(1+D91))^4.5</f>
        <v>3621.08117584713</v>
      </c>
      <c r="J91" s="26" t="n">
        <f aca="false">H91+I91+$B$14</f>
        <v>16566.0849775043</v>
      </c>
      <c r="K91" s="44" t="n">
        <f aca="false">J91/$B$15</f>
        <v>26.2953729801655</v>
      </c>
    </row>
    <row r="92" customFormat="false" ht="15" hidden="false" customHeight="false" outlineLevel="0" collapsed="false">
      <c r="A92" s="52" t="n">
        <v>52</v>
      </c>
      <c r="B92" s="21" t="n">
        <f aca="true">NORMINV(RAND(),$B$6,$C$6)</f>
        <v>0.219739699287676</v>
      </c>
      <c r="C92" s="21" t="n">
        <f aca="true">MAX(0.03,NORMINV(RAND(),$B$7,$C$7))</f>
        <v>0.192786531820479</v>
      </c>
      <c r="D92" s="33" t="n">
        <f aca="true">MAX(0.08,NORMINV(RAND(),$B$8,$C$8))</f>
        <v>0.142952883641493</v>
      </c>
      <c r="E92" s="48" t="n">
        <f aca="true">MAX(4,NORMINV(RAND(),$B$9,$C$9))</f>
        <v>9.96917548504797</v>
      </c>
      <c r="F92" s="26" t="n">
        <f aca="false">$B$18*(1+(B92+$B$17)/2)^9</f>
        <v>8652.68810152805</v>
      </c>
      <c r="G92" s="26" t="n">
        <f aca="false">F92*C92</f>
        <v>1668.12173001792</v>
      </c>
      <c r="H92" s="26" t="n">
        <f aca="false">E92*G92/(1+D92)^9</f>
        <v>4996.11045717995</v>
      </c>
      <c r="I92" s="26" t="n">
        <f aca="false">$B$13*G92/$B$12*((1+$B$8)/(1+D92))^4.5</f>
        <v>2471.59690970697</v>
      </c>
      <c r="J92" s="26" t="n">
        <f aca="false">H92+I92+$B$14</f>
        <v>9554.10624496911</v>
      </c>
      <c r="K92" s="44" t="n">
        <f aca="false">J92/$B$15</f>
        <v>15.1652480078875</v>
      </c>
    </row>
    <row r="93" customFormat="false" ht="15" hidden="false" customHeight="false" outlineLevel="0" collapsed="false">
      <c r="A93" s="52" t="n">
        <v>53</v>
      </c>
      <c r="B93" s="21" t="n">
        <f aca="true">NORMINV(RAND(),$B$6,$C$6)</f>
        <v>0.142150573499818</v>
      </c>
      <c r="C93" s="21" t="n">
        <f aca="true">MAX(0.03,NORMINV(RAND(),$B$7,$C$7))</f>
        <v>0.157476981922554</v>
      </c>
      <c r="D93" s="33" t="n">
        <f aca="true">MAX(0.08,NORMINV(RAND(),$B$8,$C$8))</f>
        <v>0.140871669629775</v>
      </c>
      <c r="E93" s="48" t="n">
        <f aca="true">MAX(4,NORMINV(RAND(),$B$9,$C$9))</f>
        <v>11.8390413622566</v>
      </c>
      <c r="F93" s="26" t="n">
        <f aca="false">$B$18*(1+(B93+$B$17)/2)^9</f>
        <v>6327.03152009294</v>
      </c>
      <c r="G93" s="26" t="n">
        <f aca="false">F93*C93</f>
        <v>996.361828313103</v>
      </c>
      <c r="H93" s="26" t="n">
        <f aca="false">E93*G93/(1+D93)^9</f>
        <v>3602.48728646489</v>
      </c>
      <c r="I93" s="26" t="n">
        <f aca="false">$B$13*G93/$B$12*((1+$B$8)/(1+D93))^4.5</f>
        <v>1488.43158821622</v>
      </c>
      <c r="J93" s="26" t="n">
        <f aca="false">H93+I93+$B$14</f>
        <v>7177.31775276331</v>
      </c>
      <c r="K93" s="44" t="n">
        <f aca="false">J93/$B$15</f>
        <v>11.3925678615291</v>
      </c>
    </row>
    <row r="94" customFormat="false" ht="15" hidden="false" customHeight="false" outlineLevel="0" collapsed="false">
      <c r="A94" s="52" t="n">
        <v>54</v>
      </c>
      <c r="B94" s="21" t="n">
        <f aca="true">NORMINV(RAND(),$B$6,$C$6)</f>
        <v>0.251392881906418</v>
      </c>
      <c r="C94" s="21" t="n">
        <f aca="true">MAX(0.03,NORMINV(RAND(),$B$7,$C$7))</f>
        <v>0.224257580813701</v>
      </c>
      <c r="D94" s="33" t="n">
        <f aca="true">MAX(0.08,NORMINV(RAND(),$B$8,$C$8))</f>
        <v>0.133061124357779</v>
      </c>
      <c r="E94" s="48" t="n">
        <f aca="true">MAX(4,NORMINV(RAND(),$B$9,$C$9))</f>
        <v>12.2479837654191</v>
      </c>
      <c r="F94" s="26" t="n">
        <f aca="false">$B$18*(1+(B94+$B$17)/2)^9</f>
        <v>9801.29485488175</v>
      </c>
      <c r="G94" s="26" t="n">
        <f aca="false">F94*C94</f>
        <v>2198.01467299756</v>
      </c>
      <c r="H94" s="26" t="n">
        <f aca="false">E94*G94/(1+D94)^9</f>
        <v>8746.11408368524</v>
      </c>
      <c r="I94" s="26" t="n">
        <f aca="false">$B$13*G94/$B$12*((1+$B$8)/(1+D94))^4.5</f>
        <v>3386.63147164239</v>
      </c>
      <c r="J94" s="26" t="n">
        <f aca="false">H94+I94+$B$14</f>
        <v>14219.1444334098</v>
      </c>
      <c r="K94" s="44" t="n">
        <f aca="false">J94/$B$15</f>
        <v>22.5700705292219</v>
      </c>
    </row>
    <row r="95" customFormat="false" ht="15" hidden="false" customHeight="false" outlineLevel="0" collapsed="false">
      <c r="A95" s="52" t="n">
        <v>55</v>
      </c>
      <c r="B95" s="21" t="n">
        <f aca="true">NORMINV(RAND(),$B$6,$C$6)</f>
        <v>0.127512565181111</v>
      </c>
      <c r="C95" s="21" t="n">
        <f aca="true">MAX(0.03,NORMINV(RAND(),$B$7,$C$7))</f>
        <v>0.169098251715317</v>
      </c>
      <c r="D95" s="33" t="n">
        <f aca="true">MAX(0.08,NORMINV(RAND(),$B$8,$C$8))</f>
        <v>0.136254085335382</v>
      </c>
      <c r="E95" s="48" t="n">
        <f aca="true">MAX(4,NORMINV(RAND(),$B$9,$C$9))</f>
        <v>12.6369961041134</v>
      </c>
      <c r="F95" s="26" t="n">
        <f aca="false">$B$18*(1+(B95+$B$17)/2)^9</f>
        <v>5956.79415289317</v>
      </c>
      <c r="G95" s="26" t="n">
        <f aca="false">F95*C95</f>
        <v>1007.28347708226</v>
      </c>
      <c r="H95" s="26" t="n">
        <f aca="false">E95*G95/(1+D95)^9</f>
        <v>4031.96211047755</v>
      </c>
      <c r="I95" s="26" t="n">
        <f aca="false">$B$13*G95/$B$12*((1+$B$8)/(1+D95))^4.5</f>
        <v>1532.46134526038</v>
      </c>
      <c r="J95" s="26" t="n">
        <f aca="false">H95+I95+$B$14</f>
        <v>7650.82233382013</v>
      </c>
      <c r="K95" s="44" t="n">
        <f aca="false">J95/$B$15</f>
        <v>12.1441624346351</v>
      </c>
    </row>
    <row r="96" customFormat="false" ht="15" hidden="false" customHeight="false" outlineLevel="0" collapsed="false">
      <c r="A96" s="52" t="n">
        <v>56</v>
      </c>
      <c r="B96" s="21" t="n">
        <f aca="true">NORMINV(RAND(),$B$6,$C$6)</f>
        <v>0.130578221543089</v>
      </c>
      <c r="C96" s="21" t="n">
        <f aca="true">MAX(0.03,NORMINV(RAND(),$B$7,$C$7))</f>
        <v>0.217776847685304</v>
      </c>
      <c r="D96" s="33" t="n">
        <f aca="true">MAX(0.08,NORMINV(RAND(),$B$8,$C$8))</f>
        <v>0.133499794564989</v>
      </c>
      <c r="E96" s="48" t="n">
        <f aca="true">MAX(4,NORMINV(RAND(),$B$9,$C$9))</f>
        <v>12.1183645426622</v>
      </c>
      <c r="F96" s="26" t="n">
        <f aca="false">$B$18*(1+(B96+$B$17)/2)^9</f>
        <v>6032.69817187793</v>
      </c>
      <c r="G96" s="26" t="n">
        <f aca="false">F96*C96</f>
        <v>1313.78199090847</v>
      </c>
      <c r="H96" s="26" t="n">
        <f aca="false">E96*G96/(1+D96)^9</f>
        <v>5154.35474551143</v>
      </c>
      <c r="I96" s="26" t="n">
        <f aca="false">$B$13*G96/$B$12*((1+$B$8)/(1+D96))^4.5</f>
        <v>2020.71086590799</v>
      </c>
      <c r="J96" s="26" t="n">
        <f aca="false">H96+I96+$B$14</f>
        <v>9261.46448950161</v>
      </c>
      <c r="K96" s="44" t="n">
        <f aca="false">J96/$B$15</f>
        <v>14.7007372849232</v>
      </c>
    </row>
    <row r="97" customFormat="false" ht="15" hidden="false" customHeight="false" outlineLevel="0" collapsed="false">
      <c r="A97" s="52" t="n">
        <v>57</v>
      </c>
      <c r="B97" s="21" t="n">
        <f aca="true">NORMINV(RAND(),$B$6,$C$6)</f>
        <v>0.168062092318634</v>
      </c>
      <c r="C97" s="21" t="n">
        <f aca="true">MAX(0.03,NORMINV(RAND(),$B$7,$C$7))</f>
        <v>0.149518019931542</v>
      </c>
      <c r="D97" s="33" t="n">
        <f aca="true">MAX(0.08,NORMINV(RAND(),$B$8,$C$8))</f>
        <v>0.148214957585836</v>
      </c>
      <c r="E97" s="48" t="n">
        <f aca="true">MAX(4,NORMINV(RAND(),$B$9,$C$9))</f>
        <v>11.2613597615543</v>
      </c>
      <c r="F97" s="26" t="n">
        <f aca="false">$B$18*(1+(B97+$B$17)/2)^9</f>
        <v>7032.82581544397</v>
      </c>
      <c r="G97" s="26" t="n">
        <f aca="false">F97*C97</f>
        <v>1051.53419044861</v>
      </c>
      <c r="H97" s="26" t="n">
        <f aca="false">E97*G97/(1+D97)^9</f>
        <v>3413.54341498295</v>
      </c>
      <c r="I97" s="26" t="n">
        <f aca="false">$B$13*G97/$B$12*((1+$B$8)/(1+D97))^4.5</f>
        <v>1526.14703192364</v>
      </c>
      <c r="J97" s="26" t="n">
        <f aca="false">H97+I97+$B$14</f>
        <v>7026.08932498877</v>
      </c>
      <c r="K97" s="44" t="n">
        <f aca="false">J97/$B$15</f>
        <v>11.1525227380774</v>
      </c>
    </row>
    <row r="98" customFormat="false" ht="15" hidden="false" customHeight="false" outlineLevel="0" collapsed="false">
      <c r="A98" s="52" t="n">
        <v>58</v>
      </c>
      <c r="B98" s="21" t="n">
        <f aca="true">NORMINV(RAND(),$B$6,$C$6)</f>
        <v>0.256789509426238</v>
      </c>
      <c r="C98" s="21" t="n">
        <f aca="true">MAX(0.03,NORMINV(RAND(),$B$7,$C$7))</f>
        <v>0.243309891697503</v>
      </c>
      <c r="D98" s="33" t="n">
        <f aca="true">MAX(0.08,NORMINV(RAND(),$B$8,$C$8))</f>
        <v>0.144432297827753</v>
      </c>
      <c r="E98" s="48" t="n">
        <f aca="true">MAX(4,NORMINV(RAND(),$B$9,$C$9))</f>
        <v>15.7746611660389</v>
      </c>
      <c r="F98" s="26" t="n">
        <f aca="false">$B$18*(1+(B98+$B$17)/2)^9</f>
        <v>10010.0967289957</v>
      </c>
      <c r="G98" s="26" t="n">
        <f aca="false">F98*C98</f>
        <v>2435.55555101348</v>
      </c>
      <c r="H98" s="26" t="n">
        <f aca="false">E98*G98/(1+D98)^9</f>
        <v>11408.9880848719</v>
      </c>
      <c r="I98" s="26" t="n">
        <f aca="false">$B$13*G98/$B$12*((1+$B$8)/(1+D98))^4.5</f>
        <v>3587.73156556425</v>
      </c>
      <c r="J98" s="26" t="n">
        <f aca="false">H98+I98+$B$14</f>
        <v>17083.1185285183</v>
      </c>
      <c r="K98" s="44" t="n">
        <f aca="false">J98/$B$15</f>
        <v>27.1160611563783</v>
      </c>
    </row>
    <row r="99" customFormat="false" ht="15" hidden="false" customHeight="false" outlineLevel="0" collapsed="false">
      <c r="A99" s="52" t="n">
        <v>59</v>
      </c>
      <c r="B99" s="21" t="n">
        <f aca="true">NORMINV(RAND(),$B$6,$C$6)</f>
        <v>0.18460886105708</v>
      </c>
      <c r="C99" s="21" t="n">
        <f aca="true">MAX(0.03,NORMINV(RAND(),$B$7,$C$7))</f>
        <v>0.193030845265912</v>
      </c>
      <c r="D99" s="33" t="n">
        <f aca="true">MAX(0.08,NORMINV(RAND(),$B$8,$C$8))</f>
        <v>0.149347930217912</v>
      </c>
      <c r="E99" s="48" t="n">
        <f aca="true">MAX(4,NORMINV(RAND(),$B$9,$C$9))</f>
        <v>7.92652782194211</v>
      </c>
      <c r="F99" s="26" t="n">
        <f aca="false">$B$18*(1+(B99+$B$17)/2)^9</f>
        <v>7519.34850658966</v>
      </c>
      <c r="G99" s="26" t="n">
        <f aca="false">F99*C99</f>
        <v>1451.46619807597</v>
      </c>
      <c r="H99" s="26" t="n">
        <f aca="false">E99*G99/(1+D99)^9</f>
        <v>3287.20093719499</v>
      </c>
      <c r="I99" s="26" t="n">
        <f aca="false">$B$13*G99/$B$12*((1+$B$8)/(1+D99))^4.5</f>
        <v>2097.26096364464</v>
      </c>
      <c r="J99" s="26" t="n">
        <f aca="false">H99+I99+$B$14</f>
        <v>7470.86077892183</v>
      </c>
      <c r="K99" s="44" t="n">
        <f aca="false">J99/$B$15</f>
        <v>11.8585091728918</v>
      </c>
    </row>
    <row r="100" customFormat="false" ht="15" hidden="false" customHeight="false" outlineLevel="0" collapsed="false">
      <c r="A100" s="52" t="n">
        <v>60</v>
      </c>
      <c r="B100" s="21" t="n">
        <f aca="true">NORMINV(RAND(),$B$6,$C$6)</f>
        <v>0.112514188229104</v>
      </c>
      <c r="C100" s="21" t="n">
        <f aca="true">MAX(0.03,NORMINV(RAND(),$B$7,$C$7))</f>
        <v>0.202166279444703</v>
      </c>
      <c r="D100" s="33" t="n">
        <f aca="true">MAX(0.08,NORMINV(RAND(),$B$8,$C$8))</f>
        <v>0.133494439154389</v>
      </c>
      <c r="E100" s="48" t="n">
        <f aca="true">MAX(4,NORMINV(RAND(),$B$9,$C$9))</f>
        <v>11.260553118911</v>
      </c>
      <c r="F100" s="26" t="n">
        <f aca="false">$B$18*(1+(B100+$B$17)/2)^9</f>
        <v>5597.54063155542</v>
      </c>
      <c r="G100" s="26" t="n">
        <f aca="false">F100*C100</f>
        <v>1131.63396352211</v>
      </c>
      <c r="H100" s="26" t="n">
        <f aca="false">E100*G100/(1+D100)^9</f>
        <v>4125.63832083753</v>
      </c>
      <c r="I100" s="26" t="n">
        <f aca="false">$B$13*G100/$B$12*((1+$B$8)/(1+D100))^4.5</f>
        <v>1740.58837800276</v>
      </c>
      <c r="J100" s="26" t="n">
        <f aca="false">H100+I100+$B$14</f>
        <v>7952.62557692248</v>
      </c>
      <c r="K100" s="44" t="n">
        <f aca="false">J100/$B$15</f>
        <v>12.6232152014643</v>
      </c>
    </row>
    <row r="101" customFormat="false" ht="15" hidden="false" customHeight="false" outlineLevel="0" collapsed="false">
      <c r="A101" s="52" t="n">
        <v>61</v>
      </c>
      <c r="B101" s="21" t="n">
        <f aca="true">NORMINV(RAND(),$B$6,$C$6)</f>
        <v>0.13666381939616</v>
      </c>
      <c r="C101" s="21" t="n">
        <f aca="true">MAX(0.03,NORMINV(RAND(),$B$7,$C$7))</f>
        <v>0.199534309314003</v>
      </c>
      <c r="D101" s="33" t="n">
        <f aca="true">MAX(0.08,NORMINV(RAND(),$B$8,$C$8))</f>
        <v>0.132728041533531</v>
      </c>
      <c r="E101" s="48" t="n">
        <f aca="true">MAX(4,NORMINV(RAND(),$B$9,$C$9))</f>
        <v>16.1455187353489</v>
      </c>
      <c r="F101" s="26" t="n">
        <f aca="false">$B$18*(1+(B101+$B$17)/2)^9</f>
        <v>6185.9262398939</v>
      </c>
      <c r="G101" s="26" t="n">
        <f aca="false">F101*C101</f>
        <v>1234.3045197446</v>
      </c>
      <c r="H101" s="26" t="n">
        <f aca="false">E101*G101/(1+D101)^9</f>
        <v>6491.47598583551</v>
      </c>
      <c r="I101" s="26" t="n">
        <f aca="false">$B$13*G101/$B$12*((1+$B$8)/(1+D101))^4.5</f>
        <v>1904.29516144293</v>
      </c>
      <c r="J101" s="26" t="n">
        <f aca="false">H101+I101+$B$14</f>
        <v>10482.1700253606</v>
      </c>
      <c r="K101" s="44" t="n">
        <f aca="false">J101/$B$15</f>
        <v>16.63836511962</v>
      </c>
    </row>
    <row r="102" customFormat="false" ht="15" hidden="false" customHeight="false" outlineLevel="0" collapsed="false">
      <c r="A102" s="52" t="n">
        <v>62</v>
      </c>
      <c r="B102" s="21" t="n">
        <f aca="true">NORMINV(RAND(),$B$6,$C$6)</f>
        <v>0.199079389356221</v>
      </c>
      <c r="C102" s="21" t="n">
        <f aca="true">MAX(0.03,NORMINV(RAND(),$B$7,$C$7))</f>
        <v>0.203459038116008</v>
      </c>
      <c r="D102" s="33" t="n">
        <f aca="true">MAX(0.08,NORMINV(RAND(),$B$8,$C$8))</f>
        <v>0.13194988622127</v>
      </c>
      <c r="E102" s="48" t="n">
        <f aca="true">MAX(4,NORMINV(RAND(),$B$9,$C$9))</f>
        <v>13.0708706830732</v>
      </c>
      <c r="F102" s="26" t="n">
        <f aca="false">$B$18*(1+(B102+$B$17)/2)^9</f>
        <v>7969.1065959486</v>
      </c>
      <c r="G102" s="26" t="n">
        <f aca="false">F102*C102</f>
        <v>1621.38676265563</v>
      </c>
      <c r="H102" s="26" t="n">
        <f aca="false">E102*G102/(1+D102)^9</f>
        <v>6946.18490009755</v>
      </c>
      <c r="I102" s="26" t="n">
        <f aca="false">$B$13*G102/$B$12*((1+$B$8)/(1+D102))^4.5</f>
        <v>2509.23652528826</v>
      </c>
      <c r="J102" s="26" t="n">
        <f aca="false">H102+I102+$B$14</f>
        <v>11541.820303468</v>
      </c>
      <c r="K102" s="44" t="n">
        <f aca="false">J102/$B$15</f>
        <v>18.3203496880444</v>
      </c>
    </row>
    <row r="103" customFormat="false" ht="15" hidden="false" customHeight="false" outlineLevel="0" collapsed="false">
      <c r="A103" s="52" t="n">
        <v>63</v>
      </c>
      <c r="B103" s="21" t="n">
        <f aca="true">NORMINV(RAND(),$B$6,$C$6)</f>
        <v>0.186547543323217</v>
      </c>
      <c r="C103" s="21" t="n">
        <f aca="true">MAX(0.03,NORMINV(RAND(),$B$7,$C$7))</f>
        <v>0.257274879187518</v>
      </c>
      <c r="D103" s="33" t="n">
        <f aca="true">MAX(0.08,NORMINV(RAND(),$B$8,$C$8))</f>
        <v>0.13847564226721</v>
      </c>
      <c r="E103" s="48" t="n">
        <f aca="true">MAX(4,NORMINV(RAND(),$B$9,$C$9))</f>
        <v>10.3778260382029</v>
      </c>
      <c r="F103" s="26" t="n">
        <f aca="false">$B$18*(1+(B103+$B$17)/2)^9</f>
        <v>7578.26479850098</v>
      </c>
      <c r="G103" s="26" t="n">
        <f aca="false">F103*C103</f>
        <v>1949.69716048536</v>
      </c>
      <c r="H103" s="26" t="n">
        <f aca="false">E103*G103/(1+D103)^9</f>
        <v>6297.37935250045</v>
      </c>
      <c r="I103" s="26" t="n">
        <f aca="false">$B$13*G103/$B$12*((1+$B$8)/(1+D103))^4.5</f>
        <v>2940.27324893821</v>
      </c>
      <c r="J103" s="26" t="n">
        <f aca="false">H103+I103+$B$14</f>
        <v>11324.0514795209</v>
      </c>
      <c r="K103" s="44" t="n">
        <f aca="false">J103/$B$15</f>
        <v>17.9746848881283</v>
      </c>
    </row>
    <row r="104" customFormat="false" ht="15" hidden="false" customHeight="false" outlineLevel="0" collapsed="false">
      <c r="A104" s="52" t="n">
        <v>64</v>
      </c>
      <c r="B104" s="21" t="n">
        <f aca="true">NORMINV(RAND(),$B$6,$C$6)</f>
        <v>0.231746381393717</v>
      </c>
      <c r="C104" s="21" t="n">
        <f aca="true">MAX(0.03,NORMINV(RAND(),$B$7,$C$7))</f>
        <v>0.235535735003111</v>
      </c>
      <c r="D104" s="33" t="n">
        <f aca="true">MAX(0.08,NORMINV(RAND(),$B$8,$C$8))</f>
        <v>0.126560679691798</v>
      </c>
      <c r="E104" s="48" t="n">
        <f aca="true">MAX(4,NORMINV(RAND(),$B$9,$C$9))</f>
        <v>11.0469694998532</v>
      </c>
      <c r="F104" s="26" t="n">
        <f aca="false">$B$18*(1+(B104+$B$17)/2)^9</f>
        <v>9073.4593718045</v>
      </c>
      <c r="G104" s="26" t="n">
        <f aca="false">F104*C104</f>
        <v>2137.12392215884</v>
      </c>
      <c r="H104" s="26" t="n">
        <f aca="false">E104*G104/(1+D104)^9</f>
        <v>8077.58542505451</v>
      </c>
      <c r="I104" s="26" t="n">
        <f aca="false">$B$13*G104/$B$12*((1+$B$8)/(1+D104))^4.5</f>
        <v>3379.18083559909</v>
      </c>
      <c r="J104" s="26" t="n">
        <f aca="false">H104+I104+$B$14</f>
        <v>13543.1651387358</v>
      </c>
      <c r="K104" s="44" t="n">
        <f aca="false">J104/$B$15</f>
        <v>21.4970875218028</v>
      </c>
    </row>
    <row r="105" customFormat="false" ht="15" hidden="false" customHeight="false" outlineLevel="0" collapsed="false">
      <c r="A105" s="52" t="n">
        <v>65</v>
      </c>
      <c r="B105" s="21" t="n">
        <f aca="true">NORMINV(RAND(),$B$6,$C$6)</f>
        <v>0.187288841568942</v>
      </c>
      <c r="C105" s="21" t="n">
        <f aca="true">MAX(0.03,NORMINV(RAND(),$B$7,$C$7))</f>
        <v>0.216257934328572</v>
      </c>
      <c r="D105" s="33" t="n">
        <f aca="true">MAX(0.08,NORMINV(RAND(),$B$8,$C$8))</f>
        <v>0.151730051204079</v>
      </c>
      <c r="E105" s="48" t="n">
        <f aca="true">MAX(4,NORMINV(RAND(),$B$9,$C$9))</f>
        <v>12.0727785871254</v>
      </c>
      <c r="F105" s="26" t="n">
        <f aca="false">$B$18*(1+(B105+$B$17)/2)^9</f>
        <v>7600.90096972927</v>
      </c>
      <c r="G105" s="26" t="n">
        <f aca="false">F105*C105</f>
        <v>1643.75514274969</v>
      </c>
      <c r="H105" s="26" t="n">
        <f aca="false">E105*G105/(1+D105)^9</f>
        <v>5565.29349024107</v>
      </c>
      <c r="I105" s="26" t="n">
        <f aca="false">$B$13*G105/$B$12*((1+$B$8)/(1+D105))^4.5</f>
        <v>2353.07819154899</v>
      </c>
      <c r="J105" s="26" t="n">
        <f aca="false">H105+I105+$B$14</f>
        <v>10004.7705598722</v>
      </c>
      <c r="K105" s="44" t="n">
        <f aca="false">J105/$B$15</f>
        <v>15.8805881902734</v>
      </c>
    </row>
    <row r="106" customFormat="false" ht="15" hidden="false" customHeight="false" outlineLevel="0" collapsed="false">
      <c r="A106" s="52" t="n">
        <v>66</v>
      </c>
      <c r="B106" s="21" t="n">
        <f aca="true">NORMINV(RAND(),$B$6,$C$6)</f>
        <v>0.191751981893707</v>
      </c>
      <c r="C106" s="21" t="n">
        <f aca="true">MAX(0.03,NORMINV(RAND(),$B$7,$C$7))</f>
        <v>0.235863829933157</v>
      </c>
      <c r="D106" s="33" t="n">
        <f aca="true">MAX(0.08,NORMINV(RAND(),$B$8,$C$8))</f>
        <v>0.142093602464047</v>
      </c>
      <c r="E106" s="48" t="n">
        <f aca="true">MAX(4,NORMINV(RAND(),$B$9,$C$9))</f>
        <v>13.8991316867639</v>
      </c>
      <c r="F106" s="26" t="n">
        <f aca="false">$B$18*(1+(B106+$B$17)/2)^9</f>
        <v>7738.46150002822</v>
      </c>
      <c r="G106" s="26" t="n">
        <f aca="false">F106*C106</f>
        <v>1825.22316718694</v>
      </c>
      <c r="H106" s="26" t="n">
        <f aca="false">E106*G106/(1+D106)^9</f>
        <v>7673.40910324303</v>
      </c>
      <c r="I106" s="26" t="n">
        <f aca="false">$B$13*G106/$B$12*((1+$B$8)/(1+D106))^4.5</f>
        <v>2713.53674104398</v>
      </c>
      <c r="J106" s="26" t="n">
        <f aca="false">H106+I106+$B$14</f>
        <v>12473.3447223692</v>
      </c>
      <c r="K106" s="44" t="n">
        <f aca="false">J106/$B$15</f>
        <v>19.7989598767765</v>
      </c>
    </row>
    <row r="107" customFormat="false" ht="15" hidden="false" customHeight="false" outlineLevel="0" collapsed="false">
      <c r="A107" s="52" t="n">
        <v>67</v>
      </c>
      <c r="B107" s="21" t="n">
        <f aca="true">NORMINV(RAND(),$B$6,$C$6)</f>
        <v>0.0902487177717535</v>
      </c>
      <c r="C107" s="21" t="n">
        <f aca="true">MAX(0.03,NORMINV(RAND(),$B$7,$C$7))</f>
        <v>0.213375351949393</v>
      </c>
      <c r="D107" s="33" t="n">
        <f aca="true">MAX(0.08,NORMINV(RAND(),$B$8,$C$8))</f>
        <v>0.130354291172005</v>
      </c>
      <c r="E107" s="48" t="n">
        <f aca="true">MAX(4,NORMINV(RAND(),$B$9,$C$9))</f>
        <v>12.7072830529473</v>
      </c>
      <c r="F107" s="26" t="n">
        <f aca="false">$B$18*(1+(B107+$B$17)/2)^9</f>
        <v>5099.70171459257</v>
      </c>
      <c r="G107" s="26" t="n">
        <f aca="false">F107*C107</f>
        <v>1088.15064818811</v>
      </c>
      <c r="H107" s="26" t="n">
        <f aca="false">E107*G107/(1+D107)^9</f>
        <v>4589.97629578037</v>
      </c>
      <c r="I107" s="26" t="n">
        <f aca="false">$B$13*G107/$B$12*((1+$B$8)/(1+D107))^4.5</f>
        <v>1694.73094789108</v>
      </c>
      <c r="J107" s="26" t="n">
        <f aca="false">H107+I107+$B$14</f>
        <v>8371.10612175364</v>
      </c>
      <c r="K107" s="44" t="n">
        <f aca="false">J107/$B$15</f>
        <v>13.2874700345296</v>
      </c>
    </row>
    <row r="108" customFormat="false" ht="15" hidden="false" customHeight="false" outlineLevel="0" collapsed="false">
      <c r="A108" s="52" t="n">
        <v>68</v>
      </c>
      <c r="B108" s="21" t="n">
        <f aca="true">NORMINV(RAND(),$B$6,$C$6)</f>
        <v>0.105057945514614</v>
      </c>
      <c r="C108" s="21" t="n">
        <f aca="true">MAX(0.03,NORMINV(RAND(),$B$7,$C$7))</f>
        <v>0.240052437231582</v>
      </c>
      <c r="D108" s="33" t="n">
        <f aca="true">MAX(0.08,NORMINV(RAND(),$B$8,$C$8))</f>
        <v>0.144036296611535</v>
      </c>
      <c r="E108" s="48" t="n">
        <f aca="true">MAX(4,NORMINV(RAND(),$B$9,$C$9))</f>
        <v>12.8983025775785</v>
      </c>
      <c r="F108" s="26" t="n">
        <f aca="false">$B$18*(1+(B108+$B$17)/2)^9</f>
        <v>5426.21669262169</v>
      </c>
      <c r="G108" s="26" t="n">
        <f aca="false">F108*C108</f>
        <v>1302.57654201053</v>
      </c>
      <c r="H108" s="26" t="n">
        <f aca="false">E108*G108/(1+D108)^9</f>
        <v>5004.69461839548</v>
      </c>
      <c r="I108" s="26" t="n">
        <f aca="false">$B$13*G108/$B$12*((1+$B$8)/(1+D108))^4.5</f>
        <v>1921.77046923569</v>
      </c>
      <c r="J108" s="26" t="n">
        <f aca="false">H108+I108+$B$14</f>
        <v>9012.86396571336</v>
      </c>
      <c r="K108" s="44" t="n">
        <f aca="false">J108/$B$15</f>
        <v>14.3061332789101</v>
      </c>
    </row>
    <row r="109" customFormat="false" ht="15" hidden="false" customHeight="false" outlineLevel="0" collapsed="false">
      <c r="A109" s="52" t="n">
        <v>69</v>
      </c>
      <c r="B109" s="21" t="n">
        <f aca="true">NORMINV(RAND(),$B$6,$C$6)</f>
        <v>0.169650101978539</v>
      </c>
      <c r="C109" s="21" t="n">
        <f aca="true">MAX(0.03,NORMINV(RAND(),$B$7,$C$7))</f>
        <v>0.239939120724054</v>
      </c>
      <c r="D109" s="33" t="n">
        <f aca="true">MAX(0.08,NORMINV(RAND(),$B$8,$C$8))</f>
        <v>0.13426709152994</v>
      </c>
      <c r="E109" s="48" t="n">
        <f aca="true">MAX(4,NORMINV(RAND(),$B$9,$C$9))</f>
        <v>11.9441478173607</v>
      </c>
      <c r="F109" s="26" t="n">
        <f aca="false">$B$18*(1+(B109+$B$17)/2)^9</f>
        <v>7078.27183287278</v>
      </c>
      <c r="G109" s="26" t="n">
        <f aca="false">F109*C109</f>
        <v>1698.35431982533</v>
      </c>
      <c r="H109" s="26" t="n">
        <f aca="false">E109*G109/(1+D109)^9</f>
        <v>6527.47896370452</v>
      </c>
      <c r="I109" s="26" t="n">
        <f aca="false">$B$13*G109/$B$12*((1+$B$8)/(1+D109))^4.5</f>
        <v>2604.2740540035</v>
      </c>
      <c r="J109" s="26" t="n">
        <f aca="false">H109+I109+$B$14</f>
        <v>11218.1518957902</v>
      </c>
      <c r="K109" s="44" t="n">
        <f aca="false">J109/$B$15</f>
        <v>17.8065903107781</v>
      </c>
    </row>
    <row r="110" customFormat="false" ht="15" hidden="false" customHeight="false" outlineLevel="0" collapsed="false">
      <c r="A110" s="52" t="n">
        <v>70</v>
      </c>
      <c r="B110" s="21" t="n">
        <f aca="true">NORMINV(RAND(),$B$6,$C$6)</f>
        <v>0.207262743515392</v>
      </c>
      <c r="C110" s="21" t="n">
        <f aca="true">MAX(0.03,NORMINV(RAND(),$B$7,$C$7))</f>
        <v>0.222426188066967</v>
      </c>
      <c r="D110" s="33" t="n">
        <f aca="true">MAX(0.08,NORMINV(RAND(),$B$8,$C$8))</f>
        <v>0.124596116428909</v>
      </c>
      <c r="E110" s="48" t="n">
        <f aca="true">MAX(4,NORMINV(RAND(),$B$9,$C$9))</f>
        <v>9.5042814782955</v>
      </c>
      <c r="F110" s="26" t="n">
        <f aca="false">$B$18*(1+(B110+$B$17)/2)^9</f>
        <v>8233.8999701766</v>
      </c>
      <c r="G110" s="26" t="n">
        <f aca="false">F110*C110</f>
        <v>1831.4349832911</v>
      </c>
      <c r="H110" s="26" t="n">
        <f aca="false">E110*G110/(1+D110)^9</f>
        <v>6049.80784416341</v>
      </c>
      <c r="I110" s="26" t="n">
        <f aca="false">$B$13*G110/$B$12*((1+$B$8)/(1+D110))^4.5</f>
        <v>2918.66517724733</v>
      </c>
      <c r="J110" s="26" t="n">
        <f aca="false">H110+I110+$B$14</f>
        <v>11054.8718994929</v>
      </c>
      <c r="K110" s="44" t="n">
        <f aca="false">J110/$B$15</f>
        <v>17.5474157134809</v>
      </c>
    </row>
    <row r="111" customFormat="false" ht="15" hidden="false" customHeight="false" outlineLevel="0" collapsed="false">
      <c r="A111" s="52" t="n">
        <v>71</v>
      </c>
      <c r="B111" s="21" t="n">
        <f aca="true">NORMINV(RAND(),$B$6,$C$6)</f>
        <v>0.163414220865529</v>
      </c>
      <c r="C111" s="21" t="n">
        <f aca="true">MAX(0.03,NORMINV(RAND(),$B$7,$C$7))</f>
        <v>0.214324632935544</v>
      </c>
      <c r="D111" s="33" t="n">
        <f aca="true">MAX(0.08,NORMINV(RAND(),$B$8,$C$8))</f>
        <v>0.13187296266202</v>
      </c>
      <c r="E111" s="48" t="n">
        <f aca="true">MAX(4,NORMINV(RAND(),$B$9,$C$9))</f>
        <v>14.8227620595144</v>
      </c>
      <c r="F111" s="26" t="n">
        <f aca="false">$B$18*(1+(B111+$B$17)/2)^9</f>
        <v>6901.29874883082</v>
      </c>
      <c r="G111" s="26" t="n">
        <f aca="false">F111*C111</f>
        <v>1479.11832112169</v>
      </c>
      <c r="H111" s="26" t="n">
        <f aca="false">E111*G111/(1+D111)^9</f>
        <v>7190.3971769601</v>
      </c>
      <c r="I111" s="26" t="n">
        <f aca="false">$B$13*G111/$B$12*((1+$B$8)/(1+D111))^4.5</f>
        <v>2289.76392112232</v>
      </c>
      <c r="J111" s="26" t="n">
        <f aca="false">H111+I111+$B$14</f>
        <v>11566.5599761646</v>
      </c>
      <c r="K111" s="44" t="n">
        <f aca="false">J111/$B$15</f>
        <v>18.3596190097851</v>
      </c>
    </row>
    <row r="112" customFormat="false" ht="15" hidden="false" customHeight="false" outlineLevel="0" collapsed="false">
      <c r="A112" s="52" t="n">
        <v>72</v>
      </c>
      <c r="B112" s="21" t="n">
        <f aca="true">NORMINV(RAND(),$B$6,$C$6)</f>
        <v>0.239712882595603</v>
      </c>
      <c r="C112" s="21" t="n">
        <f aca="true">MAX(0.03,NORMINV(RAND(),$B$7,$C$7))</f>
        <v>0.203212558713028</v>
      </c>
      <c r="D112" s="33" t="n">
        <f aca="true">MAX(0.08,NORMINV(RAND(),$B$8,$C$8))</f>
        <v>0.1377085958862</v>
      </c>
      <c r="E112" s="48" t="n">
        <f aca="true">MAX(4,NORMINV(RAND(),$B$9,$C$9))</f>
        <v>8.4643289004634</v>
      </c>
      <c r="F112" s="26" t="n">
        <f aca="false">$B$18*(1+(B112+$B$17)/2)^9</f>
        <v>9362.58585765729</v>
      </c>
      <c r="G112" s="26" t="n">
        <f aca="false">F112*C112</f>
        <v>1902.59502830495</v>
      </c>
      <c r="H112" s="26" t="n">
        <f aca="false">E112*G112/(1+D112)^9</f>
        <v>5042.65821939055</v>
      </c>
      <c r="I112" s="26" t="n">
        <f aca="false">$B$13*G112/$B$12*((1+$B$8)/(1+D112))^4.5</f>
        <v>2877.95539544473</v>
      </c>
      <c r="J112" s="26" t="n">
        <f aca="false">H112+I112+$B$14</f>
        <v>10007.0124929175</v>
      </c>
      <c r="K112" s="44" t="n">
        <f aca="false">J112/$B$15</f>
        <v>15.8841468141547</v>
      </c>
    </row>
    <row r="113" customFormat="false" ht="15" hidden="false" customHeight="false" outlineLevel="0" collapsed="false">
      <c r="A113" s="52" t="n">
        <v>73</v>
      </c>
      <c r="B113" s="21" t="n">
        <f aca="true">NORMINV(RAND(),$B$6,$C$6)</f>
        <v>0.203440726523601</v>
      </c>
      <c r="C113" s="21" t="n">
        <f aca="true">MAX(0.03,NORMINV(RAND(),$B$7,$C$7))</f>
        <v>0.196603491776565</v>
      </c>
      <c r="D113" s="33" t="n">
        <f aca="true">MAX(0.08,NORMINV(RAND(),$B$8,$C$8))</f>
        <v>0.14930314180363</v>
      </c>
      <c r="E113" s="48" t="n">
        <f aca="true">MAX(4,NORMINV(RAND(),$B$9,$C$9))</f>
        <v>13.5806198906803</v>
      </c>
      <c r="F113" s="26" t="n">
        <f aca="false">$B$18*(1+(B113+$B$17)/2)^9</f>
        <v>8109.27104328935</v>
      </c>
      <c r="G113" s="26" t="n">
        <f aca="false">F113*C113</f>
        <v>1594.31100287328</v>
      </c>
      <c r="H113" s="26" t="n">
        <f aca="false">E113*G113/(1+D113)^9</f>
        <v>6188.44152948366</v>
      </c>
      <c r="I113" s="26" t="n">
        <f aca="false">$B$13*G113/$B$12*((1+$B$8)/(1+D113))^4.5</f>
        <v>2304.0651178248</v>
      </c>
      <c r="J113" s="26" t="n">
        <f aca="false">H113+I113+$B$14</f>
        <v>10578.9055253907</v>
      </c>
      <c r="K113" s="44" t="n">
        <f aca="false">J113/$B$15</f>
        <v>16.7919135323661</v>
      </c>
    </row>
    <row r="114" customFormat="false" ht="15" hidden="false" customHeight="false" outlineLevel="0" collapsed="false">
      <c r="A114" s="52" t="n">
        <v>74</v>
      </c>
      <c r="B114" s="21" t="n">
        <f aca="true">NORMINV(RAND(),$B$6,$C$6)</f>
        <v>0.193221832131989</v>
      </c>
      <c r="C114" s="21" t="n">
        <f aca="true">MAX(0.03,NORMINV(RAND(),$B$7,$C$7))</f>
        <v>0.140469615309653</v>
      </c>
      <c r="D114" s="33" t="n">
        <f aca="true">MAX(0.08,NORMINV(RAND(),$B$8,$C$8))</f>
        <v>0.132598460528413</v>
      </c>
      <c r="E114" s="48" t="n">
        <f aca="true">MAX(4,NORMINV(RAND(),$B$9,$C$9))</f>
        <v>11.3707230572845</v>
      </c>
      <c r="F114" s="26" t="n">
        <f aca="false">$B$18*(1+(B114+$B$17)/2)^9</f>
        <v>7784.24636367526</v>
      </c>
      <c r="G114" s="26" t="n">
        <f aca="false">F114*C114</f>
        <v>1093.45009218103</v>
      </c>
      <c r="H114" s="26" t="n">
        <f aca="false">E114*G114/(1+D114)^9</f>
        <v>4054.18296786138</v>
      </c>
      <c r="I114" s="26" t="n">
        <f aca="false">$B$13*G114/$B$12*((1+$B$8)/(1+D114))^4.5</f>
        <v>1687.85250436839</v>
      </c>
      <c r="J114" s="26" t="n">
        <f aca="false">H114+I114+$B$14</f>
        <v>7828.43435031196</v>
      </c>
      <c r="K114" s="44" t="n">
        <f aca="false">J114/$B$15</f>
        <v>12.4260862703364</v>
      </c>
    </row>
    <row r="115" customFormat="false" ht="15" hidden="false" customHeight="false" outlineLevel="0" collapsed="false">
      <c r="A115" s="52" t="n">
        <v>75</v>
      </c>
      <c r="B115" s="21" t="n">
        <f aca="true">NORMINV(RAND(),$B$6,$C$6)</f>
        <v>0.270607219718191</v>
      </c>
      <c r="C115" s="21" t="n">
        <f aca="true">MAX(0.03,NORMINV(RAND(),$B$7,$C$7))</f>
        <v>0.162895382086731</v>
      </c>
      <c r="D115" s="33" t="n">
        <f aca="true">MAX(0.08,NORMINV(RAND(),$B$8,$C$8))</f>
        <v>0.124666491460516</v>
      </c>
      <c r="E115" s="48" t="n">
        <f aca="true">MAX(4,NORMINV(RAND(),$B$9,$C$9))</f>
        <v>14.4086720838076</v>
      </c>
      <c r="F115" s="26" t="n">
        <f aca="false">$B$18*(1+(B115+$B$17)/2)^9</f>
        <v>10562.8549564768</v>
      </c>
      <c r="G115" s="26" t="n">
        <f aca="false">F115*C115</f>
        <v>1720.640294062</v>
      </c>
      <c r="H115" s="26" t="n">
        <f aca="false">E115*G115/(1+D115)^9</f>
        <v>8611.92509625946</v>
      </c>
      <c r="I115" s="26" t="n">
        <f aca="false">$B$13*G115/$B$12*((1+$B$8)/(1+D115))^4.5</f>
        <v>2741.32524729075</v>
      </c>
      <c r="J115" s="26" t="n">
        <f aca="false">H115+I115+$B$14</f>
        <v>13439.6492216324</v>
      </c>
      <c r="K115" s="44" t="n">
        <f aca="false">J115/$B$15</f>
        <v>21.3327765422737</v>
      </c>
    </row>
    <row r="116" customFormat="false" ht="15" hidden="false" customHeight="false" outlineLevel="0" collapsed="false">
      <c r="A116" s="52" t="n">
        <v>76</v>
      </c>
      <c r="B116" s="21" t="n">
        <f aca="true">NORMINV(RAND(),$B$6,$C$6)</f>
        <v>0.247158970236511</v>
      </c>
      <c r="C116" s="21" t="n">
        <f aca="true">MAX(0.03,NORMINV(RAND(),$B$7,$C$7))</f>
        <v>0.246680587422714</v>
      </c>
      <c r="D116" s="33" t="n">
        <f aca="true">MAX(0.08,NORMINV(RAND(),$B$8,$C$8))</f>
        <v>0.125400963332993</v>
      </c>
      <c r="E116" s="48" t="n">
        <f aca="true">MAX(4,NORMINV(RAND(),$B$9,$C$9))</f>
        <v>16.4259149702719</v>
      </c>
      <c r="F116" s="26" t="n">
        <f aca="false">$B$18*(1+(B116+$B$17)/2)^9</f>
        <v>9640.19949140481</v>
      </c>
      <c r="G116" s="26" t="n">
        <f aca="false">F116*C116</f>
        <v>2378.05007341189</v>
      </c>
      <c r="H116" s="26" t="n">
        <f aca="false">E116*G116/(1+D116)^9</f>
        <v>13489.1636117697</v>
      </c>
      <c r="I116" s="26" t="n">
        <f aca="false">$B$13*G116/$B$12*((1+$B$8)/(1+D116))^4.5</f>
        <v>3777.59680016838</v>
      </c>
      <c r="J116" s="26" t="n">
        <f aca="false">H116+I116+$B$14</f>
        <v>19353.1592900202</v>
      </c>
      <c r="K116" s="44" t="n">
        <f aca="false">J116/$B$15</f>
        <v>30.7193004603496</v>
      </c>
    </row>
    <row r="117" customFormat="false" ht="15" hidden="false" customHeight="false" outlineLevel="0" collapsed="false">
      <c r="A117" s="52" t="n">
        <v>77</v>
      </c>
      <c r="B117" s="21" t="n">
        <f aca="true">NORMINV(RAND(),$B$6,$C$6)</f>
        <v>0.271894365275953</v>
      </c>
      <c r="C117" s="21" t="n">
        <f aca="true">MAX(0.03,NORMINV(RAND(),$B$7,$C$7))</f>
        <v>0.2557592946665</v>
      </c>
      <c r="D117" s="33" t="n">
        <f aca="true">MAX(0.08,NORMINV(RAND(),$B$8,$C$8))</f>
        <v>0.126503270973216</v>
      </c>
      <c r="E117" s="48" t="n">
        <f aca="true">MAX(4,NORMINV(RAND(),$B$9,$C$9))</f>
        <v>11.1927341774438</v>
      </c>
      <c r="F117" s="26" t="n">
        <f aca="false">$B$18*(1+(B117+$B$17)/2)^9</f>
        <v>10615.7011326414</v>
      </c>
      <c r="G117" s="26" t="n">
        <f aca="false">F117*C117</f>
        <v>2715.06423407472</v>
      </c>
      <c r="H117" s="26" t="n">
        <f aca="false">E117*G117/(1+D117)^9</f>
        <v>10402.1756852761</v>
      </c>
      <c r="I117" s="26" t="n">
        <f aca="false">$B$13*G117/$B$12*((1+$B$8)/(1+D117))^4.5</f>
        <v>4293.99396904997</v>
      </c>
      <c r="J117" s="26" t="n">
        <f aca="false">H117+I117+$B$14</f>
        <v>16782.5685324083</v>
      </c>
      <c r="K117" s="44" t="n">
        <f aca="false">J117/$B$15</f>
        <v>26.6389976704894</v>
      </c>
    </row>
    <row r="118" customFormat="false" ht="15" hidden="false" customHeight="false" outlineLevel="0" collapsed="false">
      <c r="A118" s="52" t="n">
        <v>78</v>
      </c>
      <c r="B118" s="21" t="n">
        <f aca="true">NORMINV(RAND(),$B$6,$C$6)</f>
        <v>0.201975991487059</v>
      </c>
      <c r="C118" s="21" t="n">
        <f aca="true">MAX(0.03,NORMINV(RAND(),$B$7,$C$7))</f>
        <v>0.199918236303967</v>
      </c>
      <c r="D118" s="33" t="n">
        <f aca="true">MAX(0.08,NORMINV(RAND(),$B$8,$C$8))</f>
        <v>0.135318782952137</v>
      </c>
      <c r="E118" s="48" t="n">
        <f aca="true">MAX(4,NORMINV(RAND(),$B$9,$C$9))</f>
        <v>12.3393967426198</v>
      </c>
      <c r="F118" s="26" t="n">
        <f aca="false">$B$18*(1+(B118+$B$17)/2)^9</f>
        <v>8061.95500906973</v>
      </c>
      <c r="G118" s="26" t="n">
        <f aca="false">F118*C118</f>
        <v>1611.73182657515</v>
      </c>
      <c r="H118" s="26" t="n">
        <f aca="false">E118*G118/(1+D118)^9</f>
        <v>6346.38337045842</v>
      </c>
      <c r="I118" s="26" t="n">
        <f aca="false">$B$13*G118/$B$12*((1+$B$8)/(1+D118))^4.5</f>
        <v>2461.16061646195</v>
      </c>
      <c r="J118" s="26" t="n">
        <f aca="false">H118+I118+$B$14</f>
        <v>10893.9428650026</v>
      </c>
      <c r="K118" s="44" t="n">
        <f aca="false">J118/$B$15</f>
        <v>17.2919728015914</v>
      </c>
    </row>
    <row r="119" customFormat="false" ht="15" hidden="false" customHeight="false" outlineLevel="0" collapsed="false">
      <c r="A119" s="52" t="n">
        <v>79</v>
      </c>
      <c r="B119" s="21" t="n">
        <f aca="true">NORMINV(RAND(),$B$6,$C$6)</f>
        <v>0.215289274696985</v>
      </c>
      <c r="C119" s="21" t="n">
        <f aca="true">MAX(0.03,NORMINV(RAND(),$B$7,$C$7))</f>
        <v>0.208287431567604</v>
      </c>
      <c r="D119" s="33" t="n">
        <f aca="true">MAX(0.08,NORMINV(RAND(),$B$8,$C$8))</f>
        <v>0.129241669700333</v>
      </c>
      <c r="E119" s="48" t="n">
        <f aca="true">MAX(4,NORMINV(RAND(),$B$9,$C$9))</f>
        <v>12.2714947146614</v>
      </c>
      <c r="F119" s="26" t="n">
        <f aca="false">$B$18*(1+(B119+$B$17)/2)^9</f>
        <v>8501.18728002154</v>
      </c>
      <c r="G119" s="26" t="n">
        <f aca="false">F119*C119</f>
        <v>1770.69046383087</v>
      </c>
      <c r="H119" s="26" t="n">
        <f aca="false">E119*G119/(1+D119)^9</f>
        <v>7277.09515110835</v>
      </c>
      <c r="I119" s="26" t="n">
        <f aca="false">$B$13*G119/$B$12*((1+$B$8)/(1+D119))^4.5</f>
        <v>2769.99507535914</v>
      </c>
      <c r="J119" s="26" t="n">
        <f aca="false">H119+I119+$B$14</f>
        <v>12133.4891045497</v>
      </c>
      <c r="K119" s="44" t="n">
        <f aca="false">J119/$B$15</f>
        <v>19.2595065151582</v>
      </c>
    </row>
    <row r="120" customFormat="false" ht="15" hidden="false" customHeight="false" outlineLevel="0" collapsed="false">
      <c r="A120" s="52" t="n">
        <v>80</v>
      </c>
      <c r="B120" s="21" t="n">
        <f aca="true">NORMINV(RAND(),$B$6,$C$6)</f>
        <v>0.162753427723278</v>
      </c>
      <c r="C120" s="21" t="n">
        <f aca="true">MAX(0.03,NORMINV(RAND(),$B$7,$C$7))</f>
        <v>0.149839997467466</v>
      </c>
      <c r="D120" s="33" t="n">
        <f aca="true">MAX(0.08,NORMINV(RAND(),$B$8,$C$8))</f>
        <v>0.131192283847408</v>
      </c>
      <c r="E120" s="48" t="n">
        <f aca="true">MAX(4,NORMINV(RAND(),$B$9,$C$9))</f>
        <v>13.2630928887793</v>
      </c>
      <c r="F120" s="26" t="n">
        <f aca="false">$B$18*(1+(B120+$B$17)/2)^9</f>
        <v>6882.77804005631</v>
      </c>
      <c r="G120" s="26" t="n">
        <f aca="false">F120*C120</f>
        <v>1031.31544409117</v>
      </c>
      <c r="H120" s="26" t="n">
        <f aca="false">E120*G120/(1+D120)^9</f>
        <v>4510.33112202297</v>
      </c>
      <c r="I120" s="26" t="n">
        <f aca="false">$B$13*G120/$B$12*((1+$B$8)/(1+D120))^4.5</f>
        <v>1600.86587343096</v>
      </c>
      <c r="J120" s="26" t="n">
        <f aca="false">H120+I120+$B$14</f>
        <v>8197.59587353612</v>
      </c>
      <c r="K120" s="44" t="n">
        <f aca="false">J120/$B$15</f>
        <v>13.0120569421208</v>
      </c>
    </row>
    <row r="121" customFormat="false" ht="15" hidden="false" customHeight="false" outlineLevel="0" collapsed="false">
      <c r="A121" s="52" t="n">
        <v>81</v>
      </c>
      <c r="B121" s="21" t="n">
        <f aca="true">NORMINV(RAND(),$B$6,$C$6)</f>
        <v>0.178761633000955</v>
      </c>
      <c r="C121" s="21" t="n">
        <f aca="true">MAX(0.03,NORMINV(RAND(),$B$7,$C$7))</f>
        <v>0.227801685059685</v>
      </c>
      <c r="D121" s="33" t="n">
        <f aca="true">MAX(0.08,NORMINV(RAND(),$B$8,$C$8))</f>
        <v>0.120716656596069</v>
      </c>
      <c r="E121" s="48" t="n">
        <f aca="true">MAX(4,NORMINV(RAND(),$B$9,$C$9))</f>
        <v>11.1969494644254</v>
      </c>
      <c r="F121" s="26" t="n">
        <f aca="false">$B$18*(1+(B121+$B$17)/2)^9</f>
        <v>7344.10997590391</v>
      </c>
      <c r="G121" s="26" t="n">
        <f aca="false">F121*C121</f>
        <v>1673.00062777455</v>
      </c>
      <c r="H121" s="26" t="n">
        <f aca="false">E121*G121/(1+D121)^9</f>
        <v>6716.35096213949</v>
      </c>
      <c r="I121" s="26" t="n">
        <f aca="false">$B$13*G121/$B$12*((1+$B$8)/(1+D121))^4.5</f>
        <v>2707.96010784802</v>
      </c>
      <c r="J121" s="26" t="n">
        <f aca="false">H121+I121+$B$14</f>
        <v>11510.7099480697</v>
      </c>
      <c r="K121" s="44" t="n">
        <f aca="false">J121/$B$15</f>
        <v>18.2709681715392</v>
      </c>
    </row>
    <row r="122" customFormat="false" ht="15" hidden="false" customHeight="false" outlineLevel="0" collapsed="false">
      <c r="A122" s="52" t="n">
        <v>82</v>
      </c>
      <c r="B122" s="21" t="n">
        <f aca="true">NORMINV(RAND(),$B$6,$C$6)</f>
        <v>0.143538453654309</v>
      </c>
      <c r="C122" s="21" t="n">
        <f aca="true">MAX(0.03,NORMINV(RAND(),$B$7,$C$7))</f>
        <v>0.10875322755811</v>
      </c>
      <c r="D122" s="33" t="n">
        <f aca="true">MAX(0.08,NORMINV(RAND(),$B$8,$C$8))</f>
        <v>0.13874536864227</v>
      </c>
      <c r="E122" s="48" t="n">
        <f aca="true">MAX(4,NORMINV(RAND(),$B$9,$C$9))</f>
        <v>14.0325930922208</v>
      </c>
      <c r="F122" s="26" t="n">
        <f aca="false">$B$18*(1+(B122+$B$17)/2)^9</f>
        <v>6363.17451649318</v>
      </c>
      <c r="G122" s="26" t="n">
        <f aca="false">F122*C122</f>
        <v>692.015766184151</v>
      </c>
      <c r="H122" s="26" t="n">
        <f aca="false">E122*G122/(1+D122)^9</f>
        <v>3015.88174140433</v>
      </c>
      <c r="I122" s="26" t="n">
        <f aca="false">$B$13*G122/$B$12*((1+$B$8)/(1+D122))^4.5</f>
        <v>1042.49399224188</v>
      </c>
      <c r="J122" s="26" t="n">
        <f aca="false">H122+I122+$B$14</f>
        <v>6144.7746117284</v>
      </c>
      <c r="K122" s="44" t="n">
        <f aca="false">J122/$B$15</f>
        <v>9.75361049480699</v>
      </c>
    </row>
    <row r="123" customFormat="false" ht="15" hidden="false" customHeight="false" outlineLevel="0" collapsed="false">
      <c r="A123" s="52" t="n">
        <v>83</v>
      </c>
      <c r="B123" s="21" t="n">
        <f aca="true">NORMINV(RAND(),$B$6,$C$6)</f>
        <v>0.19824547264785</v>
      </c>
      <c r="C123" s="21" t="n">
        <f aca="true">MAX(0.03,NORMINV(RAND(),$B$7,$C$7))</f>
        <v>0.224266897752138</v>
      </c>
      <c r="D123" s="33" t="n">
        <f aca="true">MAX(0.08,NORMINV(RAND(),$B$8,$C$8))</f>
        <v>0.119364413836922</v>
      </c>
      <c r="E123" s="48" t="n">
        <f aca="true">MAX(4,NORMINV(RAND(),$B$9,$C$9))</f>
        <v>13.0995199252846</v>
      </c>
      <c r="F123" s="26" t="n">
        <f aca="false">$B$18*(1+(B123+$B$17)/2)^9</f>
        <v>7942.55283741301</v>
      </c>
      <c r="G123" s="26" t="n">
        <f aca="false">F123*C123</f>
        <v>1781.25168507906</v>
      </c>
      <c r="H123" s="26" t="n">
        <f aca="false">E123*G123/(1+D123)^9</f>
        <v>8457.40648397428</v>
      </c>
      <c r="I123" s="26" t="n">
        <f aca="false">$B$13*G123/$B$12*((1+$B$8)/(1+D123))^4.5</f>
        <v>2898.88465061725</v>
      </c>
      <c r="J123" s="26" t="n">
        <f aca="false">H123+I123+$B$14</f>
        <v>13442.6900126737</v>
      </c>
      <c r="K123" s="44" t="n">
        <f aca="false">J123/$B$15</f>
        <v>21.3376031947202</v>
      </c>
    </row>
    <row r="124" customFormat="false" ht="15" hidden="false" customHeight="false" outlineLevel="0" collapsed="false">
      <c r="A124" s="52" t="n">
        <v>84</v>
      </c>
      <c r="B124" s="21" t="n">
        <f aca="true">NORMINV(RAND(),$B$6,$C$6)</f>
        <v>0.200278367507687</v>
      </c>
      <c r="C124" s="21" t="n">
        <f aca="true">MAX(0.03,NORMINV(RAND(),$B$7,$C$7))</f>
        <v>0.229183798423263</v>
      </c>
      <c r="D124" s="33" t="n">
        <f aca="true">MAX(0.08,NORMINV(RAND(),$B$8,$C$8))</f>
        <v>0.143521495868624</v>
      </c>
      <c r="E124" s="48" t="n">
        <f aca="true">MAX(4,NORMINV(RAND(),$B$9,$C$9))</f>
        <v>11.6918576210187</v>
      </c>
      <c r="F124" s="26" t="n">
        <f aca="false">$B$18*(1+(B124+$B$17)/2)^9</f>
        <v>8007.42301182021</v>
      </c>
      <c r="G124" s="26" t="n">
        <f aca="false">F124*C124</f>
        <v>1835.1716214308</v>
      </c>
      <c r="H124" s="26" t="n">
        <f aca="false">E124*G124/(1+D124)^9</f>
        <v>6417.43098789111</v>
      </c>
      <c r="I124" s="26" t="n">
        <f aca="false">$B$13*G124/$B$12*((1+$B$8)/(1+D124))^4.5</f>
        <v>2713.02980706918</v>
      </c>
      <c r="J124" s="26" t="n">
        <f aca="false">H124+I124+$B$14</f>
        <v>11216.8596730425</v>
      </c>
      <c r="K124" s="44" t="n">
        <f aca="false">J124/$B$15</f>
        <v>17.8045391635595</v>
      </c>
    </row>
    <row r="125" customFormat="false" ht="15" hidden="false" customHeight="false" outlineLevel="0" collapsed="false">
      <c r="A125" s="52" t="n">
        <v>85</v>
      </c>
      <c r="B125" s="21" t="n">
        <f aca="true">NORMINV(RAND(),$B$6,$C$6)</f>
        <v>0.193823336792467</v>
      </c>
      <c r="C125" s="21" t="n">
        <f aca="true">MAX(0.03,NORMINV(RAND(),$B$7,$C$7))</f>
        <v>0.247396953383132</v>
      </c>
      <c r="D125" s="33" t="n">
        <f aca="true">MAX(0.08,NORMINV(RAND(),$B$8,$C$8))</f>
        <v>0.14691747861101</v>
      </c>
      <c r="E125" s="48" t="n">
        <f aca="true">MAX(4,NORMINV(RAND(),$B$9,$C$9))</f>
        <v>12.1492979278523</v>
      </c>
      <c r="F125" s="26" t="n">
        <f aca="false">$B$18*(1+(B125+$B$17)/2)^9</f>
        <v>7803.05215919065</v>
      </c>
      <c r="G125" s="26" t="n">
        <f aca="false">F125*C125</f>
        <v>1930.45133127343</v>
      </c>
      <c r="H125" s="26" t="n">
        <f aca="false">E125*G125/(1+D125)^9</f>
        <v>6829.99675906392</v>
      </c>
      <c r="I125" s="26" t="n">
        <f aca="false">$B$13*G125/$B$12*((1+$B$8)/(1+D125))^4.5</f>
        <v>2816.0571523376</v>
      </c>
      <c r="J125" s="26" t="n">
        <f aca="false">H125+I125+$B$14</f>
        <v>11732.4527894837</v>
      </c>
      <c r="K125" s="44" t="n">
        <f aca="false">J125/$B$15</f>
        <v>18.6229409356884</v>
      </c>
    </row>
    <row r="126" customFormat="false" ht="15" hidden="false" customHeight="false" outlineLevel="0" collapsed="false">
      <c r="A126" s="52" t="n">
        <v>86</v>
      </c>
      <c r="B126" s="21" t="n">
        <f aca="true">NORMINV(RAND(),$B$6,$C$6)</f>
        <v>0.195265919793754</v>
      </c>
      <c r="C126" s="21" t="n">
        <f aca="true">MAX(0.03,NORMINV(RAND(),$B$7,$C$7))</f>
        <v>0.215092155066516</v>
      </c>
      <c r="D126" s="33" t="n">
        <f aca="true">MAX(0.08,NORMINV(RAND(),$B$8,$C$8))</f>
        <v>0.123243871092509</v>
      </c>
      <c r="E126" s="48" t="n">
        <f aca="true">MAX(4,NORMINV(RAND(),$B$9,$C$9))</f>
        <v>8.05545358462686</v>
      </c>
      <c r="F126" s="26" t="n">
        <f aca="false">$B$18*(1+(B126+$B$17)/2)^9</f>
        <v>7848.31859104748</v>
      </c>
      <c r="G126" s="26" t="n">
        <f aca="false">F126*C126</f>
        <v>1688.111759397</v>
      </c>
      <c r="H126" s="26" t="n">
        <f aca="false">E126*G126/(1+D126)^9</f>
        <v>4777.76381165094</v>
      </c>
      <c r="I126" s="26" t="n">
        <f aca="false">$B$13*G126/$B$12*((1+$B$8)/(1+D126))^4.5</f>
        <v>2704.86325687188</v>
      </c>
      <c r="J126" s="26" t="n">
        <f aca="false">H126+I126+$B$14</f>
        <v>9569.02594660502</v>
      </c>
      <c r="K126" s="44" t="n">
        <f aca="false">J126/$B$15</f>
        <v>15.1889300739762</v>
      </c>
    </row>
    <row r="127" customFormat="false" ht="15" hidden="false" customHeight="false" outlineLevel="0" collapsed="false">
      <c r="A127" s="52" t="n">
        <v>87</v>
      </c>
      <c r="B127" s="21" t="n">
        <f aca="true">NORMINV(RAND(),$B$6,$C$6)</f>
        <v>0.210971460488049</v>
      </c>
      <c r="C127" s="21" t="n">
        <f aca="true">MAX(0.03,NORMINV(RAND(),$B$7,$C$7))</f>
        <v>0.194255374005277</v>
      </c>
      <c r="D127" s="33" t="n">
        <f aca="true">MAX(0.08,NORMINV(RAND(),$B$8,$C$8))</f>
        <v>0.14634380686062</v>
      </c>
      <c r="E127" s="48" t="n">
        <f aca="true">MAX(4,NORMINV(RAND(),$B$9,$C$9))</f>
        <v>11.1401798329195</v>
      </c>
      <c r="F127" s="26" t="n">
        <f aca="false">$B$18*(1+(B127+$B$17)/2)^9</f>
        <v>8356.45903639506</v>
      </c>
      <c r="G127" s="26" t="n">
        <f aca="false">F127*C127</f>
        <v>1623.2870754747</v>
      </c>
      <c r="H127" s="26" t="n">
        <f aca="false">E127*G127/(1+D127)^9</f>
        <v>5289.9739221217</v>
      </c>
      <c r="I127" s="26" t="n">
        <f aca="false">$B$13*G127/$B$12*((1+$B$8)/(1+D127))^4.5</f>
        <v>2373.31677278584</v>
      </c>
      <c r="J127" s="26" t="n">
        <f aca="false">H127+I127+$B$14</f>
        <v>9749.68957298973</v>
      </c>
      <c r="K127" s="44" t="n">
        <f aca="false">J127/$B$15</f>
        <v>15.4756977349043</v>
      </c>
    </row>
    <row r="128" customFormat="false" ht="15" hidden="false" customHeight="false" outlineLevel="0" collapsed="false">
      <c r="A128" s="52" t="n">
        <v>88</v>
      </c>
      <c r="B128" s="21" t="n">
        <f aca="true">NORMINV(RAND(),$B$6,$C$6)</f>
        <v>0.153129239275233</v>
      </c>
      <c r="C128" s="21" t="n">
        <f aca="true">MAX(0.03,NORMINV(RAND(),$B$7,$C$7))</f>
        <v>0.218426096980098</v>
      </c>
      <c r="D128" s="33" t="n">
        <f aca="true">MAX(0.08,NORMINV(RAND(),$B$8,$C$8))</f>
        <v>0.154937297408225</v>
      </c>
      <c r="E128" s="48" t="n">
        <f aca="true">MAX(4,NORMINV(RAND(),$B$9,$C$9))</f>
        <v>9.00746433578831</v>
      </c>
      <c r="F128" s="26" t="n">
        <f aca="false">$B$18*(1+(B128+$B$17)/2)^9</f>
        <v>6617.99346394751</v>
      </c>
      <c r="G128" s="26" t="n">
        <f aca="false">F128*C128</f>
        <v>1445.54248216985</v>
      </c>
      <c r="H128" s="26" t="n">
        <f aca="false">E128*G128/(1+D128)^9</f>
        <v>3561.29336857336</v>
      </c>
      <c r="I128" s="26" t="n">
        <f aca="false">$B$13*G128/$B$12*((1+$B$8)/(1+D128))^4.5</f>
        <v>2043.59771265555</v>
      </c>
      <c r="J128" s="26" t="n">
        <f aca="false">H128+I128+$B$14</f>
        <v>7691.2899593111</v>
      </c>
      <c r="K128" s="44" t="n">
        <f aca="false">J128/$B$15</f>
        <v>12.2083967608113</v>
      </c>
    </row>
    <row r="129" customFormat="false" ht="15" hidden="false" customHeight="false" outlineLevel="0" collapsed="false">
      <c r="A129" s="52" t="n">
        <v>89</v>
      </c>
      <c r="B129" s="21" t="n">
        <f aca="true">NORMINV(RAND(),$B$6,$C$6)</f>
        <v>0.227874113568274</v>
      </c>
      <c r="C129" s="21" t="n">
        <f aca="true">MAX(0.03,NORMINV(RAND(),$B$7,$C$7))</f>
        <v>0.207141491087678</v>
      </c>
      <c r="D129" s="33" t="n">
        <f aca="true">MAX(0.08,NORMINV(RAND(),$B$8,$C$8))</f>
        <v>0.130125212987317</v>
      </c>
      <c r="E129" s="48" t="n">
        <f aca="true">MAX(4,NORMINV(RAND(),$B$9,$C$9))</f>
        <v>12.6101819840688</v>
      </c>
      <c r="F129" s="26" t="n">
        <f aca="false">$B$18*(1+(B129+$B$17)/2)^9</f>
        <v>8935.81229372851</v>
      </c>
      <c r="G129" s="26" t="n">
        <f aca="false">F129*C129</f>
        <v>1850.97748260253</v>
      </c>
      <c r="H129" s="26" t="n">
        <f aca="false">E129*G129/(1+D129)^9</f>
        <v>7762.1746960932</v>
      </c>
      <c r="I129" s="26" t="n">
        <f aca="false">$B$13*G129/$B$12*((1+$B$8)/(1+D129))^4.5</f>
        <v>2885.41958591325</v>
      </c>
      <c r="J129" s="26" t="n">
        <f aca="false">H129+I129+$B$14</f>
        <v>12733.9931600886</v>
      </c>
      <c r="K129" s="44" t="n">
        <f aca="false">J129/$B$15</f>
        <v>20.2126875556963</v>
      </c>
    </row>
    <row r="130" customFormat="false" ht="15" hidden="false" customHeight="false" outlineLevel="0" collapsed="false">
      <c r="A130" s="52" t="n">
        <v>90</v>
      </c>
      <c r="B130" s="21" t="n">
        <f aca="true">NORMINV(RAND(),$B$6,$C$6)</f>
        <v>0.227357397488009</v>
      </c>
      <c r="C130" s="21" t="n">
        <f aca="true">MAX(0.03,NORMINV(RAND(),$B$7,$C$7))</f>
        <v>0.158755749066709</v>
      </c>
      <c r="D130" s="33" t="n">
        <f aca="true">MAX(0.08,NORMINV(RAND(),$B$8,$C$8))</f>
        <v>0.138551333967958</v>
      </c>
      <c r="E130" s="48" t="n">
        <f aca="true">MAX(4,NORMINV(RAND(),$B$9,$C$9))</f>
        <v>15.6147532961417</v>
      </c>
      <c r="F130" s="26" t="n">
        <f aca="false">$B$18*(1+(B130+$B$17)/2)^9</f>
        <v>8917.58573116376</v>
      </c>
      <c r="G130" s="26" t="n">
        <f aca="false">F130*C130</f>
        <v>1415.7180026175</v>
      </c>
      <c r="H130" s="26" t="n">
        <f aca="false">E130*G130/(1+D130)^9</f>
        <v>6876.03903523828</v>
      </c>
      <c r="I130" s="26" t="n">
        <f aca="false">$B$13*G130/$B$12*((1+$B$8)/(1+D130))^4.5</f>
        <v>2134.35845540654</v>
      </c>
      <c r="J130" s="26" t="n">
        <f aca="false">H130+I130+$B$14</f>
        <v>11096.796368727</v>
      </c>
      <c r="K130" s="44" t="n">
        <f aca="false">J130/$B$15</f>
        <v>17.6139624900429</v>
      </c>
    </row>
    <row r="131" customFormat="false" ht="15" hidden="false" customHeight="false" outlineLevel="0" collapsed="false">
      <c r="A131" s="52" t="n">
        <v>91</v>
      </c>
      <c r="B131" s="21" t="n">
        <f aca="true">NORMINV(RAND(),$B$6,$C$6)</f>
        <v>0.209778489183095</v>
      </c>
      <c r="C131" s="21" t="n">
        <f aca="true">MAX(0.03,NORMINV(RAND(),$B$7,$C$7))</f>
        <v>0.198220196010822</v>
      </c>
      <c r="D131" s="33" t="n">
        <f aca="true">MAX(0.08,NORMINV(RAND(),$B$8,$C$8))</f>
        <v>0.127114747242152</v>
      </c>
      <c r="E131" s="48" t="n">
        <f aca="true">MAX(4,NORMINV(RAND(),$B$9,$C$9))</f>
        <v>11.7650872507984</v>
      </c>
      <c r="F131" s="26" t="n">
        <f aca="false">$B$18*(1+(B131+$B$17)/2)^9</f>
        <v>8316.86012218994</v>
      </c>
      <c r="G131" s="26" t="n">
        <f aca="false">F131*C131</f>
        <v>1648.56964361508</v>
      </c>
      <c r="H131" s="26" t="n">
        <f aca="false">E131*G131/(1+D131)^9</f>
        <v>6606.77111625443</v>
      </c>
      <c r="I131" s="26" t="n">
        <f aca="false">$B$13*G131/$B$12*((1+$B$8)/(1+D131))^4.5</f>
        <v>2600.92651575908</v>
      </c>
      <c r="J131" s="26" t="n">
        <f aca="false">H131+I131+$B$14</f>
        <v>11294.0965100957</v>
      </c>
      <c r="K131" s="44" t="n">
        <f aca="false">J131/$B$15</f>
        <v>17.9271373176122</v>
      </c>
    </row>
    <row r="132" customFormat="false" ht="15" hidden="false" customHeight="false" outlineLevel="0" collapsed="false">
      <c r="A132" s="52" t="n">
        <v>92</v>
      </c>
      <c r="B132" s="21" t="n">
        <f aca="true">NORMINV(RAND(),$B$6,$C$6)</f>
        <v>0.206358012824903</v>
      </c>
      <c r="C132" s="21" t="n">
        <f aca="true">MAX(0.03,NORMINV(RAND(),$B$7,$C$7))</f>
        <v>0.218752102830394</v>
      </c>
      <c r="D132" s="33" t="n">
        <f aca="true">MAX(0.08,NORMINV(RAND(),$B$8,$C$8))</f>
        <v>0.131019118240891</v>
      </c>
      <c r="E132" s="48" t="n">
        <f aca="true">MAX(4,NORMINV(RAND(),$B$9,$C$9))</f>
        <v>13.1703037067281</v>
      </c>
      <c r="F132" s="26" t="n">
        <f aca="false">$B$18*(1+(B132+$B$17)/2)^9</f>
        <v>8204.24557147665</v>
      </c>
      <c r="G132" s="26" t="n">
        <f aca="false">F132*C132</f>
        <v>1794.69597089746</v>
      </c>
      <c r="H132" s="26" t="n">
        <f aca="false">E132*G132/(1+D132)^9</f>
        <v>7804.71704737829</v>
      </c>
      <c r="I132" s="26" t="n">
        <f aca="false">$B$13*G132/$B$12*((1+$B$8)/(1+D132))^4.5</f>
        <v>2787.7479727399</v>
      </c>
      <c r="J132" s="26" t="n">
        <f aca="false">H132+I132+$B$14</f>
        <v>12678.8638982004</v>
      </c>
      <c r="K132" s="44" t="n">
        <f aca="false">J132/$B$15</f>
        <v>20.1251807907943</v>
      </c>
    </row>
    <row r="133" customFormat="false" ht="15" hidden="false" customHeight="false" outlineLevel="0" collapsed="false">
      <c r="A133" s="52" t="n">
        <v>93</v>
      </c>
      <c r="B133" s="21" t="n">
        <f aca="true">NORMINV(RAND(),$B$6,$C$6)</f>
        <v>0.25067363547582</v>
      </c>
      <c r="C133" s="21" t="n">
        <f aca="true">MAX(0.03,NORMINV(RAND(),$B$7,$C$7))</f>
        <v>0.220918399787224</v>
      </c>
      <c r="D133" s="33" t="n">
        <f aca="true">MAX(0.08,NORMINV(RAND(),$B$8,$C$8))</f>
        <v>0.143304449875214</v>
      </c>
      <c r="E133" s="48" t="n">
        <f aca="true">MAX(4,NORMINV(RAND(),$B$9,$C$9))</f>
        <v>11.6920561253725</v>
      </c>
      <c r="F133" s="26" t="n">
        <f aca="false">$B$18*(1+(B133+$B$17)/2)^9</f>
        <v>9773.76080746829</v>
      </c>
      <c r="G133" s="26" t="n">
        <f aca="false">F133*C133</f>
        <v>2159.20359748898</v>
      </c>
      <c r="H133" s="26" t="n">
        <f aca="false">E133*G133/(1+D133)^9</f>
        <v>7563.58065127179</v>
      </c>
      <c r="I133" s="26" t="n">
        <f aca="false">$B$13*G133/$B$12*((1+$B$8)/(1+D133))^4.5</f>
        <v>3194.79099231649</v>
      </c>
      <c r="J133" s="26" t="n">
        <f aca="false">H133+I133+$B$14</f>
        <v>12844.7705216705</v>
      </c>
      <c r="K133" s="44" t="n">
        <f aca="false">J133/$B$15</f>
        <v>20.3885246375722</v>
      </c>
    </row>
    <row r="134" customFormat="false" ht="15" hidden="false" customHeight="false" outlineLevel="0" collapsed="false">
      <c r="A134" s="52" t="n">
        <v>94</v>
      </c>
      <c r="B134" s="21" t="n">
        <f aca="true">NORMINV(RAND(),$B$6,$C$6)</f>
        <v>0.24299034449662</v>
      </c>
      <c r="C134" s="21" t="n">
        <f aca="true">MAX(0.03,NORMINV(RAND(),$B$7,$C$7))</f>
        <v>0.137873298154916</v>
      </c>
      <c r="D134" s="33" t="n">
        <f aca="true">MAX(0.08,NORMINV(RAND(),$B$8,$C$8))</f>
        <v>0.12726237766087</v>
      </c>
      <c r="E134" s="48" t="n">
        <f aca="true">MAX(4,NORMINV(RAND(),$B$9,$C$9))</f>
        <v>12.8543694572198</v>
      </c>
      <c r="F134" s="26" t="n">
        <f aca="false">$B$18*(1+(B134+$B$17)/2)^9</f>
        <v>9483.89197496065</v>
      </c>
      <c r="G134" s="26" t="n">
        <f aca="false">F134*C134</f>
        <v>1307.57546593276</v>
      </c>
      <c r="H134" s="26" t="n">
        <f aca="false">E134*G134/(1+D134)^9</f>
        <v>5718.63564979118</v>
      </c>
      <c r="I134" s="26" t="n">
        <f aca="false">$B$13*G134/$B$12*((1+$B$8)/(1+D134))^4.5</f>
        <v>2061.72902313619</v>
      </c>
      <c r="J134" s="26" t="n">
        <f aca="false">H134+I134+$B$14</f>
        <v>9866.76355100956</v>
      </c>
      <c r="K134" s="44" t="n">
        <f aca="false">J134/$B$15</f>
        <v>15.6615294460469</v>
      </c>
    </row>
    <row r="135" customFormat="false" ht="15" hidden="false" customHeight="false" outlineLevel="0" collapsed="false">
      <c r="A135" s="52" t="n">
        <v>95</v>
      </c>
      <c r="B135" s="21" t="n">
        <f aca="true">NORMINV(RAND(),$B$6,$C$6)</f>
        <v>0.221527251077412</v>
      </c>
      <c r="C135" s="21" t="n">
        <f aca="true">MAX(0.03,NORMINV(RAND(),$B$7,$C$7))</f>
        <v>0.247593480483095</v>
      </c>
      <c r="D135" s="33" t="n">
        <f aca="true">MAX(0.08,NORMINV(RAND(),$B$8,$C$8))</f>
        <v>0.138445487938013</v>
      </c>
      <c r="E135" s="48" t="n">
        <f aca="true">MAX(4,NORMINV(RAND(),$B$9,$C$9))</f>
        <v>11.869500086824</v>
      </c>
      <c r="F135" s="26" t="n">
        <f aca="false">$B$18*(1+(B135+$B$17)/2)^9</f>
        <v>8714.21211028243</v>
      </c>
      <c r="G135" s="26" t="n">
        <f aca="false">F135*C135</f>
        <v>2157.58210605276</v>
      </c>
      <c r="H135" s="26" t="n">
        <f aca="false">E135*G135/(1+D135)^9</f>
        <v>7972.40950084203</v>
      </c>
      <c r="I135" s="26" t="n">
        <f aca="false">$B$13*G135/$B$12*((1+$B$8)/(1+D135))^4.5</f>
        <v>3254.16544540948</v>
      </c>
      <c r="J135" s="26" t="n">
        <f aca="false">H135+I135+$B$14</f>
        <v>13312.9738243337</v>
      </c>
      <c r="K135" s="44" t="n">
        <f aca="false">J135/$B$15</f>
        <v>21.1317044830694</v>
      </c>
    </row>
    <row r="136" customFormat="false" ht="15" hidden="false" customHeight="false" outlineLevel="0" collapsed="false">
      <c r="A136" s="52" t="n">
        <v>96</v>
      </c>
      <c r="B136" s="21" t="n">
        <f aca="true">NORMINV(RAND(),$B$6,$C$6)</f>
        <v>0.209121867227258</v>
      </c>
      <c r="C136" s="21" t="n">
        <f aca="true">MAX(0.03,NORMINV(RAND(),$B$7,$C$7))</f>
        <v>0.190161315497785</v>
      </c>
      <c r="D136" s="33" t="n">
        <f aca="true">MAX(0.08,NORMINV(RAND(),$B$8,$C$8))</f>
        <v>0.145951343155153</v>
      </c>
      <c r="E136" s="48" t="n">
        <f aca="true">MAX(4,NORMINV(RAND(),$B$9,$C$9))</f>
        <v>14.7044428987406</v>
      </c>
      <c r="F136" s="26" t="n">
        <f aca="false">$B$18*(1+(B136+$B$17)/2)^9</f>
        <v>8295.13577597353</v>
      </c>
      <c r="G136" s="26" t="n">
        <f aca="false">F136*C136</f>
        <v>1577.41393139186</v>
      </c>
      <c r="H136" s="26" t="n">
        <f aca="false">E136*G136/(1+D136)^9</f>
        <v>6806.1050116812</v>
      </c>
      <c r="I136" s="26" t="n">
        <f aca="false">$B$13*G136/$B$12*((1+$B$8)/(1+D136))^4.5</f>
        <v>2309.80464063379</v>
      </c>
      <c r="J136" s="26" t="n">
        <f aca="false">H136+I136+$B$14</f>
        <v>11202.3085303972</v>
      </c>
      <c r="K136" s="44" t="n">
        <f aca="false">J136/$B$15</f>
        <v>17.7814421117415</v>
      </c>
    </row>
    <row r="137" customFormat="false" ht="15" hidden="false" customHeight="false" outlineLevel="0" collapsed="false">
      <c r="A137" s="52" t="n">
        <v>97</v>
      </c>
      <c r="B137" s="21" t="n">
        <f aca="true">NORMINV(RAND(),$B$6,$C$6)</f>
        <v>0.092159957559849</v>
      </c>
      <c r="C137" s="21" t="n">
        <f aca="true">MAX(0.03,NORMINV(RAND(),$B$7,$C$7))</f>
        <v>0.172060763785879</v>
      </c>
      <c r="D137" s="33" t="n">
        <f aca="true">MAX(0.08,NORMINV(RAND(),$B$8,$C$8))</f>
        <v>0.149099867626724</v>
      </c>
      <c r="E137" s="48" t="n">
        <f aca="true">MAX(4,NORMINV(RAND(),$B$9,$C$9))</f>
        <v>13.1516354562441</v>
      </c>
      <c r="F137" s="26" t="n">
        <f aca="false">$B$18*(1+(B137+$B$17)/2)^9</f>
        <v>5140.83467576901</v>
      </c>
      <c r="G137" s="26" t="n">
        <f aca="false">F137*C137</f>
        <v>884.53594080975</v>
      </c>
      <c r="H137" s="26" t="n">
        <f aca="false">E137*G137/(1+D137)^9</f>
        <v>3330.23802115932</v>
      </c>
      <c r="I137" s="26" t="n">
        <f aca="false">$B$13*G137/$B$12*((1+$B$8)/(1+D137))^4.5</f>
        <v>1279.3308615095</v>
      </c>
      <c r="J137" s="26" t="n">
        <f aca="false">H137+I137+$B$14</f>
        <v>6695.96776075101</v>
      </c>
      <c r="K137" s="44" t="n">
        <f aca="false">J137/$B$15</f>
        <v>10.6285202551603</v>
      </c>
    </row>
    <row r="138" customFormat="false" ht="15" hidden="false" customHeight="false" outlineLevel="0" collapsed="false">
      <c r="A138" s="52" t="n">
        <v>98</v>
      </c>
      <c r="B138" s="21" t="n">
        <f aca="true">NORMINV(RAND(),$B$6,$C$6)</f>
        <v>0.220880416314202</v>
      </c>
      <c r="C138" s="21" t="n">
        <f aca="true">MAX(0.03,NORMINV(RAND(),$B$7,$C$7))</f>
        <v>0.222979044531129</v>
      </c>
      <c r="D138" s="33" t="n">
        <f aca="true">MAX(0.08,NORMINV(RAND(),$B$8,$C$8))</f>
        <v>0.140775927877646</v>
      </c>
      <c r="E138" s="48" t="n">
        <f aca="true">MAX(4,NORMINV(RAND(),$B$9,$C$9))</f>
        <v>8.44928560652997</v>
      </c>
      <c r="F138" s="26" t="n">
        <f aca="false">$B$18*(1+(B138+$B$17)/2)^9</f>
        <v>8691.90458419464</v>
      </c>
      <c r="G138" s="26" t="n">
        <f aca="false">F138*C138</f>
        <v>1938.11257933946</v>
      </c>
      <c r="H138" s="26" t="n">
        <f aca="false">E138*G138/(1+D138)^9</f>
        <v>5004.90520310268</v>
      </c>
      <c r="I138" s="26" t="n">
        <f aca="false">$B$13*G138/$B$12*((1+$B$8)/(1+D138))^4.5</f>
        <v>2896.3751400644</v>
      </c>
      <c r="J138" s="26" t="n">
        <f aca="false">H138+I138+$B$14</f>
        <v>9987.67922124927</v>
      </c>
      <c r="K138" s="44" t="n">
        <f aca="false">J138/$B$15</f>
        <v>15.8534590813481</v>
      </c>
    </row>
    <row r="139" customFormat="false" ht="15" hidden="false" customHeight="false" outlineLevel="0" collapsed="false">
      <c r="A139" s="52" t="n">
        <v>99</v>
      </c>
      <c r="B139" s="21" t="n">
        <f aca="true">NORMINV(RAND(),$B$6,$C$6)</f>
        <v>0.182575469862652</v>
      </c>
      <c r="C139" s="21" t="n">
        <f aca="true">MAX(0.03,NORMINV(RAND(),$B$7,$C$7))</f>
        <v>0.230613037223648</v>
      </c>
      <c r="D139" s="33" t="n">
        <f aca="true">MAX(0.08,NORMINV(RAND(),$B$8,$C$8))</f>
        <v>0.14254920853685</v>
      </c>
      <c r="E139" s="48" t="n">
        <f aca="true">MAX(4,NORMINV(RAND(),$B$9,$C$9))</f>
        <v>10.54855557131</v>
      </c>
      <c r="F139" s="26" t="n">
        <f aca="false">$B$18*(1+(B139+$B$17)/2)^9</f>
        <v>7457.99182354423</v>
      </c>
      <c r="G139" s="26" t="n">
        <f aca="false">F139*C139</f>
        <v>1719.91014601667</v>
      </c>
      <c r="H139" s="26" t="n">
        <f aca="false">E139*G139/(1+D139)^9</f>
        <v>5467.94993355224</v>
      </c>
      <c r="I139" s="26" t="n">
        <f aca="false">$B$13*G139/$B$12*((1+$B$8)/(1+D139))^4.5</f>
        <v>2552.38406555901</v>
      </c>
      <c r="J139" s="26" t="n">
        <f aca="false">H139+I139+$B$14</f>
        <v>10106.7328771934</v>
      </c>
      <c r="K139" s="44" t="n">
        <f aca="false">J139/$B$15</f>
        <v>16.0424331384023</v>
      </c>
    </row>
    <row r="140" customFormat="false" ht="15" hidden="false" customHeight="false" outlineLevel="0" collapsed="false">
      <c r="A140" s="52" t="n">
        <v>100</v>
      </c>
      <c r="B140" s="21" t="n">
        <f aca="true">NORMINV(RAND(),$B$6,$C$6)</f>
        <v>0.192099606455094</v>
      </c>
      <c r="C140" s="21" t="n">
        <f aca="true">MAX(0.03,NORMINV(RAND(),$B$7,$C$7))</f>
        <v>0.244760436585142</v>
      </c>
      <c r="D140" s="33" t="n">
        <f aca="true">MAX(0.08,NORMINV(RAND(),$B$8,$C$8))</f>
        <v>0.135918251103317</v>
      </c>
      <c r="E140" s="48" t="n">
        <f aca="true">MAX(4,NORMINV(RAND(),$B$9,$C$9))</f>
        <v>12.5762242327292</v>
      </c>
      <c r="F140" s="26" t="n">
        <f aca="false">$B$18*(1+(B140+$B$17)/2)^9</f>
        <v>7749.26810862969</v>
      </c>
      <c r="G140" s="26" t="n">
        <f aca="false">F140*C140</f>
        <v>1896.71424548352</v>
      </c>
      <c r="H140" s="26" t="n">
        <f aca="false">E140*G140/(1+D140)^9</f>
        <v>7575.79964494126</v>
      </c>
      <c r="I140" s="26" t="n">
        <f aca="false">$B$13*G140/$B$12*((1+$B$8)/(1+D140))^4.5</f>
        <v>2889.46498171655</v>
      </c>
      <c r="J140" s="26" t="n">
        <f aca="false">H140+I140+$B$14</f>
        <v>12551.66350474</v>
      </c>
      <c r="K140" s="44" t="n">
        <f aca="false">J140/$B$15</f>
        <v>19.9232754043492</v>
      </c>
    </row>
    <row r="141" customFormat="false" ht="15" hidden="false" customHeight="false" outlineLevel="0" collapsed="false">
      <c r="A141" s="52" t="n">
        <v>101</v>
      </c>
      <c r="B141" s="21" t="n">
        <f aca="true">NORMINV(RAND(),$B$6,$C$6)</f>
        <v>0.24214468736938</v>
      </c>
      <c r="C141" s="21" t="n">
        <f aca="true">MAX(0.03,NORMINV(RAND(),$B$7,$C$7))</f>
        <v>0.227526128707462</v>
      </c>
      <c r="D141" s="33" t="n">
        <f aca="true">MAX(0.08,NORMINV(RAND(),$B$8,$C$8))</f>
        <v>0.140765500706937</v>
      </c>
      <c r="E141" s="48" t="n">
        <f aca="true">MAX(4,NORMINV(RAND(),$B$9,$C$9))</f>
        <v>11.9482506279856</v>
      </c>
      <c r="F141" s="26" t="n">
        <f aca="false">$B$18*(1+(B141+$B$17)/2)^9</f>
        <v>9452.45935357671</v>
      </c>
      <c r="G141" s="26" t="n">
        <f aca="false">F141*C141</f>
        <v>2150.68148348395</v>
      </c>
      <c r="H141" s="26" t="n">
        <f aca="false">E141*G141/(1+D141)^9</f>
        <v>7854.39994667293</v>
      </c>
      <c r="I141" s="26" t="n">
        <f aca="false">$B$13*G141/$B$12*((1+$B$8)/(1+D141))^4.5</f>
        <v>3214.1768614266</v>
      </c>
      <c r="J141" s="26" t="n">
        <f aca="false">H141+I141+$B$14</f>
        <v>13154.9756861817</v>
      </c>
      <c r="K141" s="44" t="n">
        <f aca="false">J141/$B$15</f>
        <v>20.88091378759</v>
      </c>
    </row>
    <row r="142" customFormat="false" ht="15" hidden="false" customHeight="false" outlineLevel="0" collapsed="false">
      <c r="A142" s="52" t="n">
        <v>102</v>
      </c>
      <c r="B142" s="21" t="n">
        <f aca="true">NORMINV(RAND(),$B$6,$C$6)</f>
        <v>0.226519113788081</v>
      </c>
      <c r="C142" s="21" t="n">
        <f aca="true">MAX(0.03,NORMINV(RAND(),$B$7,$C$7))</f>
        <v>0.19450469448994</v>
      </c>
      <c r="D142" s="33" t="n">
        <f aca="true">MAX(0.08,NORMINV(RAND(),$B$8,$C$8))</f>
        <v>0.120571295283193</v>
      </c>
      <c r="E142" s="48" t="n">
        <f aca="true">MAX(4,NORMINV(RAND(),$B$9,$C$9))</f>
        <v>8.56623840425292</v>
      </c>
      <c r="F142" s="26" t="n">
        <f aca="false">$B$18*(1+(B142+$B$17)/2)^9</f>
        <v>8888.08652940038</v>
      </c>
      <c r="G142" s="26" t="n">
        <f aca="false">F142*C142</f>
        <v>1728.77455500117</v>
      </c>
      <c r="H142" s="26" t="n">
        <f aca="false">E142*G142/(1+D142)^9</f>
        <v>5315.85441920373</v>
      </c>
      <c r="I142" s="26" t="n">
        <f aca="false">$B$13*G142/$B$12*((1+$B$8)/(1+D142))^4.5</f>
        <v>2799.87098588017</v>
      </c>
      <c r="J142" s="26" t="n">
        <f aca="false">H142+I142+$B$14</f>
        <v>10202.1242831661</v>
      </c>
      <c r="K142" s="44" t="n">
        <f aca="false">J142/$B$15</f>
        <v>16.1938480685176</v>
      </c>
    </row>
    <row r="143" customFormat="false" ht="15" hidden="false" customHeight="false" outlineLevel="0" collapsed="false">
      <c r="A143" s="52" t="n">
        <v>103</v>
      </c>
      <c r="B143" s="21" t="n">
        <f aca="true">NORMINV(RAND(),$B$6,$C$6)</f>
        <v>0.222526626474319</v>
      </c>
      <c r="C143" s="21" t="n">
        <f aca="true">MAX(0.03,NORMINV(RAND(),$B$7,$C$7))</f>
        <v>0.171984671224171</v>
      </c>
      <c r="D143" s="33" t="n">
        <f aca="true">MAX(0.08,NORMINV(RAND(),$B$8,$C$8))</f>
        <v>0.135840735150785</v>
      </c>
      <c r="E143" s="48" t="n">
        <f aca="true">MAX(4,NORMINV(RAND(),$B$9,$C$9))</f>
        <v>10.2344321842798</v>
      </c>
      <c r="F143" s="26" t="n">
        <f aca="false">$B$18*(1+(B143+$B$17)/2)^9</f>
        <v>8748.77784041158</v>
      </c>
      <c r="G143" s="26" t="n">
        <f aca="false">F143*C143</f>
        <v>1504.6556804965</v>
      </c>
      <c r="H143" s="26" t="n">
        <f aca="false">E143*G143/(1+D143)^9</f>
        <v>4893.77414787853</v>
      </c>
      <c r="I143" s="26" t="n">
        <f aca="false">$B$13*G143/$B$12*((1+$B$8)/(1+D143))^4.5</f>
        <v>2292.90482261774</v>
      </c>
      <c r="J143" s="26" t="n">
        <f aca="false">H143+I143+$B$14</f>
        <v>9273.07784857847</v>
      </c>
      <c r="K143" s="44" t="n">
        <f aca="false">J143/$B$15</f>
        <v>14.7191711882198</v>
      </c>
    </row>
    <row r="144" customFormat="false" ht="15" hidden="false" customHeight="false" outlineLevel="0" collapsed="false">
      <c r="A144" s="52" t="n">
        <v>104</v>
      </c>
      <c r="B144" s="21" t="n">
        <f aca="true">NORMINV(RAND(),$B$6,$C$6)</f>
        <v>0.12330747562667</v>
      </c>
      <c r="C144" s="21" t="n">
        <f aca="true">MAX(0.03,NORMINV(RAND(),$B$7,$C$7))</f>
        <v>0.199305768880733</v>
      </c>
      <c r="D144" s="33" t="n">
        <f aca="true">MAX(0.08,NORMINV(RAND(),$B$8,$C$8))</f>
        <v>0.141118260371424</v>
      </c>
      <c r="E144" s="48" t="n">
        <f aca="true">MAX(4,NORMINV(RAND(),$B$9,$C$9))</f>
        <v>13.9942141257955</v>
      </c>
      <c r="F144" s="26" t="n">
        <f aca="false">$B$18*(1+(B144+$B$17)/2)^9</f>
        <v>5854.05946469892</v>
      </c>
      <c r="G144" s="26" t="n">
        <f aca="false">F144*C144</f>
        <v>1166.74782268535</v>
      </c>
      <c r="H144" s="26" t="n">
        <f aca="false">E144*G144/(1+D144)^9</f>
        <v>4976.79346607437</v>
      </c>
      <c r="I144" s="26" t="n">
        <f aca="false">$B$13*G144/$B$12*((1+$B$8)/(1+D144))^4.5</f>
        <v>1741.27125038467</v>
      </c>
      <c r="J144" s="26" t="n">
        <f aca="false">H144+I144+$B$14</f>
        <v>8804.46359454123</v>
      </c>
      <c r="K144" s="44" t="n">
        <f aca="false">J144/$B$15</f>
        <v>13.9753390389543</v>
      </c>
    </row>
    <row r="145" customFormat="false" ht="15" hidden="false" customHeight="false" outlineLevel="0" collapsed="false">
      <c r="A145" s="52" t="n">
        <v>105</v>
      </c>
      <c r="B145" s="21" t="n">
        <f aca="true">NORMINV(RAND(),$B$6,$C$6)</f>
        <v>0.213331095452586</v>
      </c>
      <c r="C145" s="21" t="n">
        <f aca="true">MAX(0.03,NORMINV(RAND(),$B$7,$C$7))</f>
        <v>0.251808962438628</v>
      </c>
      <c r="D145" s="33" t="n">
        <f aca="true">MAX(0.08,NORMINV(RAND(),$B$8,$C$8))</f>
        <v>0.149332232942503</v>
      </c>
      <c r="E145" s="48" t="n">
        <f aca="true">MAX(4,NORMINV(RAND(),$B$9,$C$9))</f>
        <v>12.6294288591659</v>
      </c>
      <c r="F145" s="26" t="n">
        <f aca="false">$B$18*(1+(B145+$B$17)/2)^9</f>
        <v>8435.27753438683</v>
      </c>
      <c r="G145" s="26" t="n">
        <f aca="false">F145*C145</f>
        <v>2124.07848381582</v>
      </c>
      <c r="H145" s="26" t="n">
        <f aca="false">E145*G145/(1+D145)^9</f>
        <v>7665.56182865917</v>
      </c>
      <c r="I145" s="26" t="n">
        <f aca="false">$B$13*G145/$B$12*((1+$B$8)/(1+D145))^4.5</f>
        <v>3069.32444459676</v>
      </c>
      <c r="J145" s="26" t="n">
        <f aca="false">H145+I145+$B$14</f>
        <v>12821.2851513381</v>
      </c>
      <c r="K145" s="44" t="n">
        <f aca="false">J145/$B$15</f>
        <v>20.3512462719653</v>
      </c>
    </row>
    <row r="146" customFormat="false" ht="15" hidden="false" customHeight="false" outlineLevel="0" collapsed="false">
      <c r="A146" s="52" t="n">
        <v>106</v>
      </c>
      <c r="B146" s="21" t="n">
        <f aca="true">NORMINV(RAND(),$B$6,$C$6)</f>
        <v>0.167036487875571</v>
      </c>
      <c r="C146" s="21" t="n">
        <f aca="true">MAX(0.03,NORMINV(RAND(),$B$7,$C$7))</f>
        <v>0.173759682611808</v>
      </c>
      <c r="D146" s="33" t="n">
        <f aca="true">MAX(0.08,NORMINV(RAND(),$B$8,$C$8))</f>
        <v>0.118644692386319</v>
      </c>
      <c r="E146" s="48" t="n">
        <f aca="true">MAX(4,NORMINV(RAND(),$B$9,$C$9))</f>
        <v>12.4576751206288</v>
      </c>
      <c r="F146" s="26" t="n">
        <f aca="false">$B$18*(1+(B146+$B$17)/2)^9</f>
        <v>7003.61286385589</v>
      </c>
      <c r="G146" s="26" t="n">
        <f aca="false">F146*C146</f>
        <v>1216.94554835958</v>
      </c>
      <c r="H146" s="26" t="n">
        <f aca="false">E146*G146/(1+D146)^9</f>
        <v>5526.86236817026</v>
      </c>
      <c r="I146" s="26" t="n">
        <f aca="false">$B$13*G146/$B$12*((1+$B$8)/(1+D146))^4.5</f>
        <v>1986.24938598254</v>
      </c>
      <c r="J146" s="26" t="n">
        <f aca="false">H146+I146+$B$14</f>
        <v>9599.510632235</v>
      </c>
      <c r="K146" s="44" t="n">
        <f aca="false">J146/$B$15</f>
        <v>15.2373184638651</v>
      </c>
    </row>
    <row r="147" customFormat="false" ht="15" hidden="false" customHeight="false" outlineLevel="0" collapsed="false">
      <c r="A147" s="52" t="n">
        <v>107</v>
      </c>
      <c r="B147" s="21" t="n">
        <f aca="true">NORMINV(RAND(),$B$6,$C$6)</f>
        <v>0.245816093318225</v>
      </c>
      <c r="C147" s="21" t="n">
        <f aca="true">MAX(0.03,NORMINV(RAND(),$B$7,$C$7))</f>
        <v>0.237529735880441</v>
      </c>
      <c r="D147" s="33" t="n">
        <f aca="true">MAX(0.08,NORMINV(RAND(),$B$8,$C$8))</f>
        <v>0.124006498498029</v>
      </c>
      <c r="E147" s="48" t="n">
        <f aca="true">MAX(4,NORMINV(RAND(),$B$9,$C$9))</f>
        <v>15.382312416685</v>
      </c>
      <c r="F147" s="26" t="n">
        <f aca="false">$B$18*(1+(B147+$B$17)/2)^9</f>
        <v>9589.59857702645</v>
      </c>
      <c r="G147" s="26" t="n">
        <f aca="false">F147*C147</f>
        <v>2277.81481720054</v>
      </c>
      <c r="H147" s="26" t="n">
        <f aca="false">E147*G147/(1+D147)^9</f>
        <v>12235.4695959861</v>
      </c>
      <c r="I147" s="26" t="n">
        <f aca="false">$B$13*G147/$B$12*((1+$B$8)/(1+D147))^4.5</f>
        <v>3638.61489020754</v>
      </c>
      <c r="J147" s="26" t="n">
        <f aca="false">H147+I147+$B$14</f>
        <v>17960.4833642758</v>
      </c>
      <c r="K147" s="44" t="n">
        <f aca="false">J147/$B$15</f>
        <v>28.5087037528188</v>
      </c>
    </row>
    <row r="148" customFormat="false" ht="15" hidden="false" customHeight="false" outlineLevel="0" collapsed="false">
      <c r="A148" s="52" t="n">
        <v>108</v>
      </c>
      <c r="B148" s="21" t="n">
        <f aca="true">NORMINV(RAND(),$B$6,$C$6)</f>
        <v>0.241806716199371</v>
      </c>
      <c r="C148" s="21" t="n">
        <f aca="true">MAX(0.03,NORMINV(RAND(),$B$7,$C$7))</f>
        <v>0.219571716804198</v>
      </c>
      <c r="D148" s="33" t="n">
        <f aca="true">MAX(0.08,NORMINV(RAND(),$B$8,$C$8))</f>
        <v>0.114846639724819</v>
      </c>
      <c r="E148" s="48" t="n">
        <f aca="true">MAX(4,NORMINV(RAND(),$B$9,$C$9))</f>
        <v>9.2197654314514</v>
      </c>
      <c r="F148" s="26" t="n">
        <f aca="false">$B$18*(1+(B148+$B$17)/2)^9</f>
        <v>9439.9230694985</v>
      </c>
      <c r="G148" s="26" t="n">
        <f aca="false">F148*C148</f>
        <v>2072.74011486934</v>
      </c>
      <c r="H148" s="26" t="n">
        <f aca="false">E148*G148/(1+D148)^9</f>
        <v>7183.37538154045</v>
      </c>
      <c r="I148" s="26" t="n">
        <f aca="false">$B$13*G148/$B$12*((1+$B$8)/(1+D148))^4.5</f>
        <v>3435.21678921021</v>
      </c>
      <c r="J148" s="26" t="n">
        <f aca="false">H148+I148+$B$14</f>
        <v>12704.9910488328</v>
      </c>
      <c r="K148" s="44" t="n">
        <f aca="false">J148/$B$15</f>
        <v>20.1666524584648</v>
      </c>
    </row>
    <row r="149" customFormat="false" ht="15" hidden="false" customHeight="false" outlineLevel="0" collapsed="false">
      <c r="A149" s="52" t="n">
        <v>109</v>
      </c>
      <c r="B149" s="21" t="n">
        <f aca="true">NORMINV(RAND(),$B$6,$C$6)</f>
        <v>0.222700142051499</v>
      </c>
      <c r="C149" s="21" t="n">
        <f aca="true">MAX(0.03,NORMINV(RAND(),$B$7,$C$7))</f>
        <v>0.177314055447283</v>
      </c>
      <c r="D149" s="33" t="n">
        <f aca="true">MAX(0.08,NORMINV(RAND(),$B$8,$C$8))</f>
        <v>0.138658704433632</v>
      </c>
      <c r="E149" s="48" t="n">
        <f aca="true">MAX(4,NORMINV(RAND(),$B$9,$C$9))</f>
        <v>12.3057514904812</v>
      </c>
      <c r="F149" s="26" t="n">
        <f aca="false">$B$18*(1+(B149+$B$17)/2)^9</f>
        <v>8754.79168263469</v>
      </c>
      <c r="G149" s="26" t="n">
        <f aca="false">F149*C149</f>
        <v>1552.3476178441</v>
      </c>
      <c r="H149" s="26" t="n">
        <f aca="false">E149*G149/(1+D149)^9</f>
        <v>5936.83509699964</v>
      </c>
      <c r="I149" s="26" t="n">
        <f aca="false">$B$13*G149/$B$12*((1+$B$8)/(1+D149))^4.5</f>
        <v>2339.35047186172</v>
      </c>
      <c r="J149" s="26" t="n">
        <f aca="false">H149+I149+$B$14</f>
        <v>10362.5844469435</v>
      </c>
      <c r="K149" s="44" t="n">
        <f aca="false">J149/$B$15</f>
        <v>16.4485467411802</v>
      </c>
    </row>
    <row r="150" customFormat="false" ht="15" hidden="false" customHeight="false" outlineLevel="0" collapsed="false">
      <c r="A150" s="52" t="n">
        <v>110</v>
      </c>
      <c r="B150" s="21" t="n">
        <f aca="true">NORMINV(RAND(),$B$6,$C$6)</f>
        <v>0.15376995543518</v>
      </c>
      <c r="C150" s="21" t="n">
        <f aca="true">MAX(0.03,NORMINV(RAND(),$B$7,$C$7))</f>
        <v>0.226189425640612</v>
      </c>
      <c r="D150" s="33" t="n">
        <f aca="true">MAX(0.08,NORMINV(RAND(),$B$8,$C$8))</f>
        <v>0.136336988449679</v>
      </c>
      <c r="E150" s="48" t="n">
        <f aca="true">MAX(4,NORMINV(RAND(),$B$9,$C$9))</f>
        <v>11.2256506156343</v>
      </c>
      <c r="F150" s="26" t="n">
        <f aca="false">$B$18*(1+(B150+$B$17)/2)^9</f>
        <v>6635.33548876862</v>
      </c>
      <c r="G150" s="26" t="n">
        <f aca="false">F150*C150</f>
        <v>1500.84272313734</v>
      </c>
      <c r="H150" s="26" t="n">
        <f aca="false">E150*G150/(1+D150)^9</f>
        <v>5333.13299479612</v>
      </c>
      <c r="I150" s="26" t="n">
        <f aca="false">$B$13*G150/$B$12*((1+$B$8)/(1+D150))^4.5</f>
        <v>2282.60317318179</v>
      </c>
      <c r="J150" s="26" t="n">
        <f aca="false">H150+I150+$B$14</f>
        <v>9702.1350460601</v>
      </c>
      <c r="K150" s="44" t="n">
        <f aca="false">J150/$B$15</f>
        <v>15.4002143588256</v>
      </c>
    </row>
    <row r="151" customFormat="false" ht="15" hidden="false" customHeight="false" outlineLevel="0" collapsed="false">
      <c r="A151" s="52" t="n">
        <v>111</v>
      </c>
      <c r="B151" s="21" t="n">
        <f aca="true">NORMINV(RAND(),$B$6,$C$6)</f>
        <v>0.200061996181174</v>
      </c>
      <c r="C151" s="21" t="n">
        <f aca="true">MAX(0.03,NORMINV(RAND(),$B$7,$C$7))</f>
        <v>0.204526826136865</v>
      </c>
      <c r="D151" s="33" t="n">
        <f aca="true">MAX(0.08,NORMINV(RAND(),$B$8,$C$8))</f>
        <v>0.141907428220551</v>
      </c>
      <c r="E151" s="48" t="n">
        <f aca="true">MAX(4,NORMINV(RAND(),$B$9,$C$9))</f>
        <v>13.5611330461105</v>
      </c>
      <c r="F151" s="26" t="n">
        <f aca="false">$B$18*(1+(B151+$B$17)/2)^9</f>
        <v>8000.49622672341</v>
      </c>
      <c r="G151" s="26" t="n">
        <f aca="false">F151*C151</f>
        <v>1636.3161007717</v>
      </c>
      <c r="H151" s="26" t="n">
        <f aca="false">E151*G151/(1+D151)^9</f>
        <v>6721.7924361171</v>
      </c>
      <c r="I151" s="26" t="n">
        <f aca="false">$B$13*G151/$B$12*((1+$B$8)/(1+D151))^4.5</f>
        <v>2434.47624193835</v>
      </c>
      <c r="J151" s="26" t="n">
        <f aca="false">H151+I151+$B$14</f>
        <v>11242.6675561376</v>
      </c>
      <c r="K151" s="44" t="n">
        <f aca="false">J151/$B$15</f>
        <v>17.8455040573613</v>
      </c>
    </row>
    <row r="152" customFormat="false" ht="15" hidden="false" customHeight="false" outlineLevel="0" collapsed="false">
      <c r="A152" s="52" t="n">
        <v>112</v>
      </c>
      <c r="B152" s="21" t="n">
        <f aca="true">NORMINV(RAND(),$B$6,$C$6)</f>
        <v>0.174922151822371</v>
      </c>
      <c r="C152" s="21" t="n">
        <f aca="true">MAX(0.03,NORMINV(RAND(),$B$7,$C$7))</f>
        <v>0.250212530611353</v>
      </c>
      <c r="D152" s="33" t="n">
        <f aca="true">MAX(0.08,NORMINV(RAND(),$B$8,$C$8))</f>
        <v>0.129753329214553</v>
      </c>
      <c r="E152" s="48" t="n">
        <f aca="true">MAX(4,NORMINV(RAND(),$B$9,$C$9))</f>
        <v>12.2180973793789</v>
      </c>
      <c r="F152" s="26" t="n">
        <f aca="false">$B$18*(1+(B152+$B$17)/2)^9</f>
        <v>7231.0263584784</v>
      </c>
      <c r="G152" s="26" t="n">
        <f aca="false">F152*C152</f>
        <v>1809.29340407228</v>
      </c>
      <c r="H152" s="26" t="n">
        <f aca="false">E152*G152/(1+D152)^9</f>
        <v>7373.26620278866</v>
      </c>
      <c r="I152" s="26" t="n">
        <f aca="false">$B$13*G152/$B$12*((1+$B$8)/(1+D152))^4.5</f>
        <v>2824.62009290925</v>
      </c>
      <c r="J152" s="26" t="n">
        <f aca="false">H152+I152+$B$14</f>
        <v>12284.2851737801</v>
      </c>
      <c r="K152" s="44" t="n">
        <f aca="false">J152/$B$15</f>
        <v>19.4988653552065</v>
      </c>
    </row>
    <row r="153" customFormat="false" ht="15" hidden="false" customHeight="false" outlineLevel="0" collapsed="false">
      <c r="A153" s="52" t="n">
        <v>113</v>
      </c>
      <c r="B153" s="21" t="n">
        <f aca="true">NORMINV(RAND(),$B$6,$C$6)</f>
        <v>0.216066059863162</v>
      </c>
      <c r="C153" s="21" t="n">
        <f aca="true">MAX(0.03,NORMINV(RAND(),$B$7,$C$7))</f>
        <v>0.23352145218665</v>
      </c>
      <c r="D153" s="33" t="n">
        <f aca="true">MAX(0.08,NORMINV(RAND(),$B$8,$C$8))</f>
        <v>0.149104859959067</v>
      </c>
      <c r="E153" s="48" t="n">
        <f aca="true">MAX(4,NORMINV(RAND(),$B$9,$C$9))</f>
        <v>12.7403949763141</v>
      </c>
      <c r="F153" s="26" t="n">
        <f aca="false">$B$18*(1+(B153+$B$17)/2)^9</f>
        <v>8527.45939932914</v>
      </c>
      <c r="G153" s="26" t="n">
        <f aca="false">F153*C153</f>
        <v>1991.34470239404</v>
      </c>
      <c r="H153" s="26" t="n">
        <f aca="false">E153*G153/(1+D153)^9</f>
        <v>7262.60429759569</v>
      </c>
      <c r="I153" s="26" t="n">
        <f aca="false">$B$13*G153/$B$12*((1+$B$8)/(1+D153))^4.5</f>
        <v>2880.08526286035</v>
      </c>
      <c r="J153" s="26" t="n">
        <f aca="false">H153+I153+$B$14</f>
        <v>12229.0884385382</v>
      </c>
      <c r="K153" s="44" t="n">
        <f aca="false">J153/$B$15</f>
        <v>19.4112514897432</v>
      </c>
    </row>
    <row r="154" customFormat="false" ht="15" hidden="false" customHeight="false" outlineLevel="0" collapsed="false">
      <c r="A154" s="52" t="n">
        <v>114</v>
      </c>
      <c r="B154" s="21" t="n">
        <f aca="true">NORMINV(RAND(),$B$6,$C$6)</f>
        <v>0.213402683680485</v>
      </c>
      <c r="C154" s="21" t="n">
        <f aca="true">MAX(0.03,NORMINV(RAND(),$B$7,$C$7))</f>
        <v>0.25938957066347</v>
      </c>
      <c r="D154" s="33" t="n">
        <f aca="true">MAX(0.08,NORMINV(RAND(),$B$8,$C$8))</f>
        <v>0.143642578340029</v>
      </c>
      <c r="E154" s="48" t="n">
        <f aca="true">MAX(4,NORMINV(RAND(),$B$9,$C$9))</f>
        <v>12.1325119644066</v>
      </c>
      <c r="F154" s="26" t="n">
        <f aca="false">$B$18*(1+(B154+$B$17)/2)^9</f>
        <v>8437.67907731539</v>
      </c>
      <c r="G154" s="26" t="n">
        <f aca="false">F154*C154</f>
        <v>2188.64595326098</v>
      </c>
      <c r="H154" s="26" t="n">
        <f aca="false">E154*G154/(1+D154)^9</f>
        <v>7934.38734099134</v>
      </c>
      <c r="I154" s="26" t="n">
        <f aca="false">$B$13*G154/$B$12*((1+$B$8)/(1+D154))^4.5</f>
        <v>3234.04806350317</v>
      </c>
      <c r="J154" s="26" t="n">
        <f aca="false">H154+I154+$B$14</f>
        <v>13254.8342825767</v>
      </c>
      <c r="K154" s="44" t="n">
        <f aca="false">J154/$B$15</f>
        <v>21.0394194961535</v>
      </c>
    </row>
    <row r="155" customFormat="false" ht="15" hidden="false" customHeight="false" outlineLevel="0" collapsed="false">
      <c r="A155" s="52" t="n">
        <v>115</v>
      </c>
      <c r="B155" s="21" t="n">
        <f aca="true">NORMINV(RAND(),$B$6,$C$6)</f>
        <v>0.177417261451344</v>
      </c>
      <c r="C155" s="21" t="n">
        <f aca="true">MAX(0.03,NORMINV(RAND(),$B$7,$C$7))</f>
        <v>0.170585876173332</v>
      </c>
      <c r="D155" s="33" t="n">
        <f aca="true">MAX(0.08,NORMINV(RAND(),$B$8,$C$8))</f>
        <v>0.131613623245434</v>
      </c>
      <c r="E155" s="48" t="n">
        <f aca="true">MAX(4,NORMINV(RAND(),$B$9,$C$9))</f>
        <v>9.57203854363164</v>
      </c>
      <c r="F155" s="26" t="n">
        <f aca="false">$B$18*(1+(B155+$B$17)/2)^9</f>
        <v>7304.33684954232</v>
      </c>
      <c r="G155" s="26" t="n">
        <f aca="false">F155*C155</f>
        <v>1246.01670134433</v>
      </c>
      <c r="H155" s="26" t="n">
        <f aca="false">E155*G155/(1+D155)^9</f>
        <v>3919.62751390389</v>
      </c>
      <c r="I155" s="26" t="n">
        <f aca="false">$B$13*G155/$B$12*((1+$B$8)/(1+D155))^4.5</f>
        <v>1930.89869719711</v>
      </c>
      <c r="J155" s="26" t="n">
        <f aca="false">H155+I155+$B$14</f>
        <v>7936.92508918318</v>
      </c>
      <c r="K155" s="44" t="n">
        <f aca="false">J155/$B$15</f>
        <v>12.5982937923543</v>
      </c>
    </row>
    <row r="156" customFormat="false" ht="15" hidden="false" customHeight="false" outlineLevel="0" collapsed="false">
      <c r="A156" s="52" t="n">
        <v>116</v>
      </c>
      <c r="B156" s="21" t="n">
        <f aca="true">NORMINV(RAND(),$B$6,$C$6)</f>
        <v>0.203725149463764</v>
      </c>
      <c r="C156" s="21" t="n">
        <f aca="true">MAX(0.03,NORMINV(RAND(),$B$7,$C$7))</f>
        <v>0.190297600599607</v>
      </c>
      <c r="D156" s="33" t="n">
        <f aca="true">MAX(0.08,NORMINV(RAND(),$B$8,$C$8))</f>
        <v>0.121527008939686</v>
      </c>
      <c r="E156" s="48" t="n">
        <f aca="true">MAX(4,NORMINV(RAND(),$B$9,$C$9))</f>
        <v>13.1773830125058</v>
      </c>
      <c r="F156" s="26" t="n">
        <f aca="false">$B$18*(1+(B156+$B$17)/2)^9</f>
        <v>8118.48745950352</v>
      </c>
      <c r="G156" s="26" t="n">
        <f aca="false">F156*C156</f>
        <v>1544.92868404152</v>
      </c>
      <c r="H156" s="26" t="n">
        <f aca="false">E156*G156/(1+D156)^9</f>
        <v>7251.86940027347</v>
      </c>
      <c r="I156" s="26" t="n">
        <f aca="false">$B$13*G156/$B$12*((1+$B$8)/(1+D156))^4.5</f>
        <v>2492.53921122187</v>
      </c>
      <c r="J156" s="26" t="n">
        <f aca="false">H156+I156+$B$14</f>
        <v>11830.8074895775</v>
      </c>
      <c r="K156" s="44" t="n">
        <f aca="false">J156/$B$15</f>
        <v>18.7790595072659</v>
      </c>
    </row>
    <row r="157" customFormat="false" ht="15" hidden="false" customHeight="false" outlineLevel="0" collapsed="false">
      <c r="A157" s="52" t="n">
        <v>117</v>
      </c>
      <c r="B157" s="21" t="n">
        <f aca="true">NORMINV(RAND(),$B$6,$C$6)</f>
        <v>0.131146588212842</v>
      </c>
      <c r="C157" s="21" t="n">
        <f aca="true">MAX(0.03,NORMINV(RAND(),$B$7,$C$7))</f>
        <v>0.266236581215248</v>
      </c>
      <c r="D157" s="33" t="n">
        <f aca="true">MAX(0.08,NORMINV(RAND(),$B$8,$C$8))</f>
        <v>0.127711498066386</v>
      </c>
      <c r="E157" s="48" t="n">
        <f aca="true">MAX(4,NORMINV(RAND(),$B$9,$C$9))</f>
        <v>7.48095587140311</v>
      </c>
      <c r="F157" s="26" t="n">
        <f aca="false">$B$18*(1+(B157+$B$17)/2)^9</f>
        <v>6046.86471449221</v>
      </c>
      <c r="G157" s="26" t="n">
        <f aca="false">F157*C157</f>
        <v>1609.89658865752</v>
      </c>
      <c r="H157" s="26" t="n">
        <f aca="false">E157*G157/(1+D157)^9</f>
        <v>4082.93998822563</v>
      </c>
      <c r="I157" s="26" t="n">
        <f aca="false">$B$13*G157/$B$12*((1+$B$8)/(1+D157))^4.5</f>
        <v>2533.86994493022</v>
      </c>
      <c r="J157" s="26" t="n">
        <f aca="false">H157+I157+$B$14</f>
        <v>8703.20881123804</v>
      </c>
      <c r="K157" s="44" t="n">
        <f aca="false">J157/$B$15</f>
        <v>13.8146171606953</v>
      </c>
    </row>
    <row r="158" customFormat="false" ht="15" hidden="false" customHeight="false" outlineLevel="0" collapsed="false">
      <c r="A158" s="52" t="n">
        <v>118</v>
      </c>
      <c r="B158" s="21" t="n">
        <f aca="true">NORMINV(RAND(),$B$6,$C$6)</f>
        <v>0.179228807792664</v>
      </c>
      <c r="C158" s="21" t="n">
        <f aca="true">MAX(0.03,NORMINV(RAND(),$B$7,$C$7))</f>
        <v>0.195158572780912</v>
      </c>
      <c r="D158" s="33" t="n">
        <f aca="true">MAX(0.08,NORMINV(RAND(),$B$8,$C$8))</f>
        <v>0.127318731874334</v>
      </c>
      <c r="E158" s="48" t="n">
        <f aca="true">MAX(4,NORMINV(RAND(),$B$9,$C$9))</f>
        <v>10.472162416636</v>
      </c>
      <c r="F158" s="26" t="n">
        <f aca="false">$B$18*(1+(B158+$B$17)/2)^9</f>
        <v>7357.97630863769</v>
      </c>
      <c r="G158" s="26" t="n">
        <f aca="false">F158*C158</f>
        <v>1435.97215494949</v>
      </c>
      <c r="H158" s="26" t="n">
        <f aca="false">E158*G158/(1+D158)^9</f>
        <v>5114.01357942925</v>
      </c>
      <c r="I158" s="26" t="n">
        <f aca="false">$B$13*G158/$B$12*((1+$B$8)/(1+D158))^4.5</f>
        <v>2263.67013642043</v>
      </c>
      <c r="J158" s="26" t="n">
        <f aca="false">H158+I158+$B$14</f>
        <v>9464.08259393187</v>
      </c>
      <c r="K158" s="44" t="n">
        <f aca="false">J158/$B$15</f>
        <v>15.0223533237014</v>
      </c>
    </row>
    <row r="159" customFormat="false" ht="15" hidden="false" customHeight="false" outlineLevel="0" collapsed="false">
      <c r="A159" s="52" t="n">
        <v>119</v>
      </c>
      <c r="B159" s="21" t="n">
        <f aca="true">NORMINV(RAND(),$B$6,$C$6)</f>
        <v>0.272437700936663</v>
      </c>
      <c r="C159" s="21" t="n">
        <f aca="true">MAX(0.03,NORMINV(RAND(),$B$7,$C$7))</f>
        <v>0.257430624793285</v>
      </c>
      <c r="D159" s="33" t="n">
        <f aca="true">MAX(0.08,NORMINV(RAND(),$B$8,$C$8))</f>
        <v>0.12160795415001</v>
      </c>
      <c r="E159" s="48" t="n">
        <f aca="true">MAX(4,NORMINV(RAND(),$B$9,$C$9))</f>
        <v>10.907984242107</v>
      </c>
      <c r="F159" s="26" t="n">
        <f aca="false">$B$18*(1+(B159+$B$17)/2)^9</f>
        <v>10638.0792468313</v>
      </c>
      <c r="G159" s="26" t="n">
        <f aca="false">F159*C159</f>
        <v>2738.56738711226</v>
      </c>
      <c r="H159" s="26" t="n">
        <f aca="false">E159*G159/(1+D159)^9</f>
        <v>10634.0380269829</v>
      </c>
      <c r="I159" s="26" t="n">
        <f aca="false">$B$13*G159/$B$12*((1+$B$8)/(1+D159))^4.5</f>
        <v>4416.88353494851</v>
      </c>
      <c r="J159" s="26" t="n">
        <f aca="false">H159+I159+$B$14</f>
        <v>17137.3204400136</v>
      </c>
      <c r="K159" s="44" t="n">
        <f aca="false">J159/$B$15</f>
        <v>27.2020959365295</v>
      </c>
    </row>
    <row r="160" customFormat="false" ht="15" hidden="false" customHeight="false" outlineLevel="0" collapsed="false">
      <c r="A160" s="52" t="n">
        <v>120</v>
      </c>
      <c r="B160" s="21" t="n">
        <f aca="true">NORMINV(RAND(),$B$6,$C$6)</f>
        <v>0.233612819298951</v>
      </c>
      <c r="C160" s="21" t="n">
        <f aca="true">MAX(0.03,NORMINV(RAND(),$B$7,$C$7))</f>
        <v>0.22251072060716</v>
      </c>
      <c r="D160" s="33" t="n">
        <f aca="true">MAX(0.08,NORMINV(RAND(),$B$8,$C$8))</f>
        <v>0.133351474557015</v>
      </c>
      <c r="E160" s="48" t="n">
        <f aca="true">MAX(4,NORMINV(RAND(),$B$9,$C$9))</f>
        <v>11.2444607376678</v>
      </c>
      <c r="F160" s="26" t="n">
        <f aca="false">$B$18*(1+(B160+$B$17)/2)^9</f>
        <v>9140.47605950217</v>
      </c>
      <c r="G160" s="26" t="n">
        <f aca="false">F160*C160</f>
        <v>2033.85391469232</v>
      </c>
      <c r="H160" s="26" t="n">
        <f aca="false">E160*G160/(1+D160)^9</f>
        <v>7412.70747480914</v>
      </c>
      <c r="I160" s="26" t="n">
        <f aca="false">$B$13*G160/$B$12*((1+$B$8)/(1+D160))^4.5</f>
        <v>3130.0867275718</v>
      </c>
      <c r="J160" s="26" t="n">
        <f aca="false">H160+I160+$B$14</f>
        <v>12629.1930804631</v>
      </c>
      <c r="K160" s="44" t="n">
        <f aca="false">J160/$B$15</f>
        <v>20.0463382229574</v>
      </c>
    </row>
    <row r="161" customFormat="false" ht="15" hidden="false" customHeight="false" outlineLevel="0" collapsed="false">
      <c r="A161" s="52" t="n">
        <v>121</v>
      </c>
      <c r="B161" s="21" t="n">
        <f aca="true">NORMINV(RAND(),$B$6,$C$6)</f>
        <v>0.221980544526733</v>
      </c>
      <c r="C161" s="21" t="n">
        <f aca="true">MAX(0.03,NORMINV(RAND(),$B$7,$C$7))</f>
        <v>0.17733916890396</v>
      </c>
      <c r="D161" s="33" t="n">
        <f aca="true">MAX(0.08,NORMINV(RAND(),$B$8,$C$8))</f>
        <v>0.143000328692109</v>
      </c>
      <c r="E161" s="48" t="n">
        <f aca="true">MAX(4,NORMINV(RAND(),$B$9,$C$9))</f>
        <v>11.4269874240045</v>
      </c>
      <c r="F161" s="26" t="n">
        <f aca="false">$B$18*(1+(B161+$B$17)/2)^9</f>
        <v>8729.87524966265</v>
      </c>
      <c r="G161" s="26" t="n">
        <f aca="false">F161*C161</f>
        <v>1548.14882141042</v>
      </c>
      <c r="H161" s="26" t="n">
        <f aca="false">E161*G161/(1+D161)^9</f>
        <v>5312.84637742275</v>
      </c>
      <c r="I161" s="26" t="n">
        <f aca="false">$B$13*G161/$B$12*((1+$B$8)/(1+D161))^4.5</f>
        <v>2293.40886035667</v>
      </c>
      <c r="J161" s="26" t="n">
        <f aca="false">H161+I161+$B$14</f>
        <v>9692.65411586161</v>
      </c>
      <c r="K161" s="44" t="n">
        <f aca="false">J161/$B$15</f>
        <v>15.3851652632724</v>
      </c>
    </row>
    <row r="162" customFormat="false" ht="15" hidden="false" customHeight="false" outlineLevel="0" collapsed="false">
      <c r="A162" s="52" t="n">
        <v>122</v>
      </c>
      <c r="B162" s="21" t="n">
        <f aca="true">NORMINV(RAND(),$B$6,$C$6)</f>
        <v>0.236991156408909</v>
      </c>
      <c r="C162" s="21" t="n">
        <f aca="true">MAX(0.03,NORMINV(RAND(),$B$7,$C$7))</f>
        <v>0.192737247547316</v>
      </c>
      <c r="D162" s="33" t="n">
        <f aca="true">MAX(0.08,NORMINV(RAND(),$B$8,$C$8))</f>
        <v>0.124799400044971</v>
      </c>
      <c r="E162" s="48" t="n">
        <f aca="true">MAX(4,NORMINV(RAND(),$B$9,$C$9))</f>
        <v>9.33854760723566</v>
      </c>
      <c r="F162" s="26" t="n">
        <f aca="false">$B$18*(1+(B162+$B$17)/2)^9</f>
        <v>9262.89906908812</v>
      </c>
      <c r="G162" s="26" t="n">
        <f aca="false">F162*C162</f>
        <v>1785.30567088464</v>
      </c>
      <c r="H162" s="26" t="n">
        <f aca="false">E162*G162/(1+D162)^9</f>
        <v>5785.17149109573</v>
      </c>
      <c r="I162" s="26" t="n">
        <f aca="false">$B$13*G162/$B$12*((1+$B$8)/(1+D162))^4.5</f>
        <v>2842.83805695566</v>
      </c>
      <c r="J162" s="26" t="n">
        <f aca="false">H162+I162+$B$14</f>
        <v>10714.4084261336</v>
      </c>
      <c r="K162" s="44" t="n">
        <f aca="false">J162/$B$15</f>
        <v>17.0069975017993</v>
      </c>
    </row>
    <row r="163" customFormat="false" ht="15" hidden="false" customHeight="false" outlineLevel="0" collapsed="false">
      <c r="A163" s="52" t="n">
        <v>123</v>
      </c>
      <c r="B163" s="21" t="n">
        <f aca="true">NORMINV(RAND(),$B$6,$C$6)</f>
        <v>0.244079192273227</v>
      </c>
      <c r="C163" s="21" t="n">
        <f aca="true">MAX(0.03,NORMINV(RAND(),$B$7,$C$7))</f>
        <v>0.224488410195915</v>
      </c>
      <c r="D163" s="33" t="n">
        <f aca="true">MAX(0.08,NORMINV(RAND(),$B$8,$C$8))</f>
        <v>0.122528967899564</v>
      </c>
      <c r="E163" s="48" t="n">
        <f aca="true">MAX(4,NORMINV(RAND(),$B$9,$C$9))</f>
        <v>13.5303059520327</v>
      </c>
      <c r="F163" s="26" t="n">
        <f aca="false">$B$18*(1+(B163+$B$17)/2)^9</f>
        <v>9524.50067585122</v>
      </c>
      <c r="G163" s="26" t="n">
        <f aca="false">F163*C163</f>
        <v>2138.14001463176</v>
      </c>
      <c r="H163" s="26" t="n">
        <f aca="false">E163*G163/(1+D163)^9</f>
        <v>10222.7030060844</v>
      </c>
      <c r="I163" s="26" t="n">
        <f aca="false">$B$13*G163/$B$12*((1+$B$8)/(1+D163))^4.5</f>
        <v>3435.7733938597</v>
      </c>
      <c r="J163" s="26" t="n">
        <f aca="false">H163+I163+$B$14</f>
        <v>15744.8752780263</v>
      </c>
      <c r="K163" s="44" t="n">
        <f aca="false">J163/$B$15</f>
        <v>24.9918655206767</v>
      </c>
    </row>
    <row r="164" customFormat="false" ht="15" hidden="false" customHeight="false" outlineLevel="0" collapsed="false">
      <c r="A164" s="52" t="n">
        <v>124</v>
      </c>
      <c r="B164" s="21" t="n">
        <f aca="true">NORMINV(RAND(),$B$6,$C$6)</f>
        <v>0.239865614683119</v>
      </c>
      <c r="C164" s="21" t="n">
        <f aca="true">MAX(0.03,NORMINV(RAND(),$B$7,$C$7))</f>
        <v>0.187117631348287</v>
      </c>
      <c r="D164" s="33" t="n">
        <f aca="true">MAX(0.08,NORMINV(RAND(),$B$8,$C$8))</f>
        <v>0.139114719212006</v>
      </c>
      <c r="E164" s="48" t="n">
        <f aca="true">MAX(4,NORMINV(RAND(),$B$9,$C$9))</f>
        <v>14.5479950042603</v>
      </c>
      <c r="F164" s="26" t="n">
        <f aca="false">$B$18*(1+(B164+$B$17)/2)^9</f>
        <v>9368.20802102904</v>
      </c>
      <c r="G164" s="26" t="n">
        <f aca="false">F164*C164</f>
        <v>1752.95689487297</v>
      </c>
      <c r="H164" s="26" t="n">
        <f aca="false">E164*G164/(1+D164)^9</f>
        <v>7897.09217290668</v>
      </c>
      <c r="I164" s="26" t="n">
        <f aca="false">$B$13*G164/$B$12*((1+$B$8)/(1+D164))^4.5</f>
        <v>2636.90830893525</v>
      </c>
      <c r="J164" s="26" t="n">
        <f aca="false">H164+I164+$B$14</f>
        <v>12620.3993599241</v>
      </c>
      <c r="K164" s="44" t="n">
        <f aca="false">J164/$B$15</f>
        <v>20.0323799363875</v>
      </c>
    </row>
    <row r="165" customFormat="false" ht="15" hidden="false" customHeight="false" outlineLevel="0" collapsed="false">
      <c r="A165" s="52" t="n">
        <v>125</v>
      </c>
      <c r="B165" s="21" t="n">
        <f aca="true">NORMINV(RAND(),$B$6,$C$6)</f>
        <v>0.204454202669292</v>
      </c>
      <c r="C165" s="21" t="n">
        <f aca="true">MAX(0.03,NORMINV(RAND(),$B$7,$C$7))</f>
        <v>0.178012580406352</v>
      </c>
      <c r="D165" s="33" t="n">
        <f aca="true">MAX(0.08,NORMINV(RAND(),$B$8,$C$8))</f>
        <v>0.137716763823194</v>
      </c>
      <c r="E165" s="48" t="n">
        <f aca="true">MAX(4,NORMINV(RAND(),$B$9,$C$9))</f>
        <v>11.1603875966359</v>
      </c>
      <c r="F165" s="26" t="n">
        <f aca="false">$B$18*(1+(B165+$B$17)/2)^9</f>
        <v>8142.1541713625</v>
      </c>
      <c r="G165" s="26" t="n">
        <f aca="false">F165*C165</f>
        <v>1449.40587411058</v>
      </c>
      <c r="H165" s="26" t="n">
        <f aca="false">E165*G165/(1+D165)^9</f>
        <v>5064.79508631194</v>
      </c>
      <c r="I165" s="26" t="n">
        <f aca="false">$B$13*G165/$B$12*((1+$B$8)/(1+D165))^4.5</f>
        <v>2192.36917685694</v>
      </c>
      <c r="J165" s="26" t="n">
        <f aca="false">H165+I165+$B$14</f>
        <v>9343.56314125107</v>
      </c>
      <c r="K165" s="44" t="n">
        <f aca="false">J165/$B$15</f>
        <v>14.8310526051604</v>
      </c>
    </row>
    <row r="166" customFormat="false" ht="15" hidden="false" customHeight="false" outlineLevel="0" collapsed="false">
      <c r="A166" s="52" t="n">
        <v>126</v>
      </c>
      <c r="B166" s="21" t="n">
        <f aca="true">NORMINV(RAND(),$B$6,$C$6)</f>
        <v>0.25120464555769</v>
      </c>
      <c r="C166" s="21" t="n">
        <f aca="true">MAX(0.03,NORMINV(RAND(),$B$7,$C$7))</f>
        <v>0.180083615546126</v>
      </c>
      <c r="D166" s="33" t="n">
        <f aca="true">MAX(0.08,NORMINV(RAND(),$B$8,$C$8))</f>
        <v>0.121650598774402</v>
      </c>
      <c r="E166" s="48" t="n">
        <f aca="true">MAX(4,NORMINV(RAND(),$B$9,$C$9))</f>
        <v>13.7671028541256</v>
      </c>
      <c r="F166" s="26" t="n">
        <f aca="false">$B$18*(1+(B166+$B$17)/2)^9</f>
        <v>9794.08217588057</v>
      </c>
      <c r="G166" s="26" t="n">
        <f aca="false">F166*C166</f>
        <v>1763.75372918844</v>
      </c>
      <c r="H166" s="26" t="n">
        <f aca="false">E166*G166/(1+D166)^9</f>
        <v>8640.96347453713</v>
      </c>
      <c r="I166" s="26" t="n">
        <f aca="false">$B$13*G166/$B$12*((1+$B$8)/(1+D166))^4.5</f>
        <v>2844.17396721962</v>
      </c>
      <c r="J166" s="26" t="n">
        <f aca="false">H166+I166+$B$14</f>
        <v>13571.5363198389</v>
      </c>
      <c r="K166" s="44" t="n">
        <f aca="false">J166/$B$15</f>
        <v>21.5421211426015</v>
      </c>
    </row>
    <row r="167" customFormat="false" ht="15" hidden="false" customHeight="false" outlineLevel="0" collapsed="false">
      <c r="A167" s="52" t="n">
        <v>127</v>
      </c>
      <c r="B167" s="21" t="n">
        <f aca="true">NORMINV(RAND(),$B$6,$C$6)</f>
        <v>0.143005299342706</v>
      </c>
      <c r="C167" s="21" t="n">
        <f aca="true">MAX(0.03,NORMINV(RAND(),$B$7,$C$7))</f>
        <v>0.230599044141965</v>
      </c>
      <c r="D167" s="33" t="n">
        <f aca="true">MAX(0.08,NORMINV(RAND(),$B$8,$C$8))</f>
        <v>0.114420443562534</v>
      </c>
      <c r="E167" s="48" t="n">
        <f aca="true">MAX(4,NORMINV(RAND(),$B$9,$C$9))</f>
        <v>9.78045359727091</v>
      </c>
      <c r="F167" s="26" t="n">
        <f aca="false">$B$18*(1+(B167+$B$17)/2)^9</f>
        <v>6349.26852950351</v>
      </c>
      <c r="G167" s="26" t="n">
        <f aca="false">F167*C167</f>
        <v>1464.13525390417</v>
      </c>
      <c r="H167" s="26" t="n">
        <f aca="false">E167*G167/(1+D167)^9</f>
        <v>5401.30324918543</v>
      </c>
      <c r="I167" s="26" t="n">
        <f aca="false">$B$13*G167/$B$12*((1+$B$8)/(1+D167))^4.5</f>
        <v>2430.73581044044</v>
      </c>
      <c r="J167" s="26" t="n">
        <f aca="false">H167+I167+$B$14</f>
        <v>9918.43793770806</v>
      </c>
      <c r="K167" s="44" t="n">
        <f aca="false">J167/$B$15</f>
        <v>15.7435522820763</v>
      </c>
    </row>
    <row r="168" customFormat="false" ht="15" hidden="false" customHeight="false" outlineLevel="0" collapsed="false">
      <c r="A168" s="52" t="n">
        <v>128</v>
      </c>
      <c r="B168" s="21" t="n">
        <f aca="true">NORMINV(RAND(),$B$6,$C$6)</f>
        <v>0.283358903307142</v>
      </c>
      <c r="C168" s="21" t="n">
        <f aca="true">MAX(0.03,NORMINV(RAND(),$B$7,$C$7))</f>
        <v>0.249574341767102</v>
      </c>
      <c r="D168" s="33" t="n">
        <f aca="true">MAX(0.08,NORMINV(RAND(),$B$8,$C$8))</f>
        <v>0.129726794778318</v>
      </c>
      <c r="E168" s="48" t="n">
        <f aca="true">MAX(4,NORMINV(RAND(),$B$9,$C$9))</f>
        <v>12.4917558410091</v>
      </c>
      <c r="F168" s="26" t="n">
        <f aca="false">$B$18*(1+(B168+$B$17)/2)^9</f>
        <v>11096.8691594752</v>
      </c>
      <c r="G168" s="26" t="n">
        <f aca="false">F168*C168</f>
        <v>2769.49381615168</v>
      </c>
      <c r="H168" s="26" t="n">
        <f aca="false">E168*G168/(1+D168)^9</f>
        <v>11541.5203559052</v>
      </c>
      <c r="I168" s="26" t="n">
        <f aca="false">$B$13*G168/$B$12*((1+$B$8)/(1+D168))^4.5</f>
        <v>4324.11609618316</v>
      </c>
      <c r="J168" s="26" t="n">
        <f aca="false">H168+I168+$B$14</f>
        <v>17952.0353301705</v>
      </c>
      <c r="K168" s="44" t="n">
        <f aca="false">J168/$B$15</f>
        <v>28.4952941748738</v>
      </c>
    </row>
    <row r="169" customFormat="false" ht="15" hidden="false" customHeight="false" outlineLevel="0" collapsed="false">
      <c r="A169" s="52" t="n">
        <v>129</v>
      </c>
      <c r="B169" s="21" t="n">
        <f aca="true">NORMINV(RAND(),$B$6,$C$6)</f>
        <v>0.134456857731873</v>
      </c>
      <c r="C169" s="21" t="n">
        <f aca="true">MAX(0.03,NORMINV(RAND(),$B$7,$C$7))</f>
        <v>0.2186183047326</v>
      </c>
      <c r="D169" s="33" t="n">
        <f aca="true">MAX(0.08,NORMINV(RAND(),$B$8,$C$8))</f>
        <v>0.138178865855152</v>
      </c>
      <c r="E169" s="48" t="n">
        <f aca="true">MAX(4,NORMINV(RAND(),$B$9,$C$9))</f>
        <v>9.9790038747176</v>
      </c>
      <c r="F169" s="26" t="n">
        <f aca="false">$B$18*(1+(B169+$B$17)/2)^9</f>
        <v>6129.96242592729</v>
      </c>
      <c r="G169" s="26" t="n">
        <f aca="false">F169*C169</f>
        <v>1340.12199363076</v>
      </c>
      <c r="H169" s="26" t="n">
        <f aca="false">E169*G169/(1+D169)^9</f>
        <v>4171.9286391166</v>
      </c>
      <c r="I169" s="26" t="n">
        <f aca="false">$B$13*G169/$B$12*((1+$B$8)/(1+D169))^4.5</f>
        <v>2023.36570976182</v>
      </c>
      <c r="J169" s="26" t="n">
        <f aca="false">H169+I169+$B$14</f>
        <v>8281.69322696061</v>
      </c>
      <c r="K169" s="44" t="n">
        <f aca="false">J169/$B$15</f>
        <v>13.1455448046994</v>
      </c>
    </row>
    <row r="170" customFormat="false" ht="15" hidden="false" customHeight="false" outlineLevel="0" collapsed="false">
      <c r="A170" s="52" t="n">
        <v>130</v>
      </c>
      <c r="B170" s="21" t="n">
        <f aca="true">NORMINV(RAND(),$B$6,$C$6)</f>
        <v>0.213554663059166</v>
      </c>
      <c r="C170" s="21" t="n">
        <f aca="true">MAX(0.03,NORMINV(RAND(),$B$7,$C$7))</f>
        <v>0.161448555234119</v>
      </c>
      <c r="D170" s="33" t="n">
        <f aca="true">MAX(0.08,NORMINV(RAND(),$B$8,$C$8))</f>
        <v>0.131399923228377</v>
      </c>
      <c r="E170" s="48" t="n">
        <f aca="true">MAX(4,NORMINV(RAND(),$B$9,$C$9))</f>
        <v>9.57091646620026</v>
      </c>
      <c r="F170" s="26" t="n">
        <f aca="false">$B$18*(1+(B170+$B$17)/2)^9</f>
        <v>8442.77948626042</v>
      </c>
      <c r="G170" s="26" t="n">
        <f aca="false">F170*C170</f>
        <v>1363.074550217</v>
      </c>
      <c r="H170" s="26" t="n">
        <f aca="false">E170*G170/(1+D170)^9</f>
        <v>4294.65053949823</v>
      </c>
      <c r="I170" s="26" t="n">
        <f aca="false">$B$13*G170/$B$12*((1+$B$8)/(1+D170))^4.5</f>
        <v>2114.09420294133</v>
      </c>
      <c r="J170" s="26" t="n">
        <f aca="false">H170+I170+$B$14</f>
        <v>8495.14362052175</v>
      </c>
      <c r="K170" s="44" t="n">
        <f aca="false">J170/$B$15</f>
        <v>13.4843549532091</v>
      </c>
    </row>
    <row r="171" customFormat="false" ht="15" hidden="false" customHeight="false" outlineLevel="0" collapsed="false">
      <c r="A171" s="52" t="n">
        <v>131</v>
      </c>
      <c r="B171" s="21" t="n">
        <f aca="true">NORMINV(RAND(),$B$6,$C$6)</f>
        <v>0.17354732576044</v>
      </c>
      <c r="C171" s="21" t="n">
        <f aca="true">MAX(0.03,NORMINV(RAND(),$B$7,$C$7))</f>
        <v>0.261412656295979</v>
      </c>
      <c r="D171" s="33" t="n">
        <f aca="true">MAX(0.08,NORMINV(RAND(),$B$8,$C$8))</f>
        <v>0.143655349798281</v>
      </c>
      <c r="E171" s="48" t="n">
        <f aca="true">MAX(4,NORMINV(RAND(),$B$9,$C$9))</f>
        <v>10.940427308658</v>
      </c>
      <c r="F171" s="26" t="n">
        <f aca="false">$B$18*(1+(B171+$B$17)/2)^9</f>
        <v>7190.91178554669</v>
      </c>
      <c r="G171" s="26" t="n">
        <f aca="false">F171*C171</f>
        <v>1879.79535104982</v>
      </c>
      <c r="H171" s="26" t="n">
        <f aca="false">E171*G171/(1+D171)^9</f>
        <v>6144.52567605136</v>
      </c>
      <c r="I171" s="26" t="n">
        <f aca="false">$B$13*G171/$B$12*((1+$B$8)/(1+D171))^4.5</f>
        <v>2777.53604194469</v>
      </c>
      <c r="J171" s="26" t="n">
        <f aca="false">H171+I171+$B$14</f>
        <v>11008.4605960782</v>
      </c>
      <c r="K171" s="44" t="n">
        <f aca="false">J171/$B$15</f>
        <v>17.473746977902</v>
      </c>
    </row>
    <row r="172" customFormat="false" ht="15" hidden="false" customHeight="false" outlineLevel="0" collapsed="false">
      <c r="A172" s="52" t="n">
        <v>132</v>
      </c>
      <c r="B172" s="21" t="n">
        <f aca="true">NORMINV(RAND(),$B$6,$C$6)</f>
        <v>0.218525265812456</v>
      </c>
      <c r="C172" s="21" t="n">
        <f aca="true">MAX(0.03,NORMINV(RAND(),$B$7,$C$7))</f>
        <v>0.198630290653891</v>
      </c>
      <c r="D172" s="33" t="n">
        <f aca="true">MAX(0.08,NORMINV(RAND(),$B$8,$C$8))</f>
        <v>0.146931634560476</v>
      </c>
      <c r="E172" s="48" t="n">
        <f aca="true">MAX(4,NORMINV(RAND(),$B$9,$C$9))</f>
        <v>10.9957168972118</v>
      </c>
      <c r="F172" s="26" t="n">
        <f aca="false">$B$18*(1+(B172+$B$17)/2)^9</f>
        <v>8611.11026221883</v>
      </c>
      <c r="G172" s="26" t="n">
        <f aca="false">F172*C172</f>
        <v>1710.42733423723</v>
      </c>
      <c r="H172" s="26" t="n">
        <f aca="false">E172*G172/(1+D172)^9</f>
        <v>5476.33987766945</v>
      </c>
      <c r="I172" s="26" t="n">
        <f aca="false">$B$13*G172/$B$12*((1+$B$8)/(1+D172))^4.5</f>
        <v>2494.9572846152</v>
      </c>
      <c r="J172" s="26" t="n">
        <f aca="false">H172+I172+$B$14</f>
        <v>10057.6960403668</v>
      </c>
      <c r="K172" s="44" t="n">
        <f aca="false">J172/$B$15</f>
        <v>15.9645968894712</v>
      </c>
    </row>
    <row r="173" customFormat="false" ht="15" hidden="false" customHeight="false" outlineLevel="0" collapsed="false">
      <c r="A173" s="52" t="n">
        <v>133</v>
      </c>
      <c r="B173" s="21" t="n">
        <f aca="true">NORMINV(RAND(),$B$6,$C$6)</f>
        <v>0.196557465791882</v>
      </c>
      <c r="C173" s="21" t="n">
        <f aca="true">MAX(0.03,NORMINV(RAND(),$B$7,$C$7))</f>
        <v>0.243357878689592</v>
      </c>
      <c r="D173" s="33" t="n">
        <f aca="true">MAX(0.08,NORMINV(RAND(),$B$8,$C$8))</f>
        <v>0.146652554586525</v>
      </c>
      <c r="E173" s="48" t="n">
        <f aca="true">MAX(4,NORMINV(RAND(),$B$9,$C$9))</f>
        <v>12.4972982335376</v>
      </c>
      <c r="F173" s="26" t="n">
        <f aca="false">$B$18*(1+(B173+$B$17)/2)^9</f>
        <v>7889.04355391748</v>
      </c>
      <c r="G173" s="26" t="n">
        <f aca="false">F173*C173</f>
        <v>1919.86090417115</v>
      </c>
      <c r="H173" s="26" t="n">
        <f aca="false">E173*G173/(1+D173)^9</f>
        <v>7001.63250557523</v>
      </c>
      <c r="I173" s="26" t="n">
        <f aca="false">$B$13*G173/$B$12*((1+$B$8)/(1+D173))^4.5</f>
        <v>2803.52123450268</v>
      </c>
      <c r="J173" s="26" t="n">
        <f aca="false">H173+I173+$B$14</f>
        <v>11891.5526181601</v>
      </c>
      <c r="K173" s="44" t="n">
        <f aca="false">J173/$B$15</f>
        <v>18.8754803462859</v>
      </c>
    </row>
    <row r="174" customFormat="false" ht="15" hidden="false" customHeight="false" outlineLevel="0" collapsed="false">
      <c r="A174" s="52" t="n">
        <v>134</v>
      </c>
      <c r="B174" s="21" t="n">
        <f aca="true">NORMINV(RAND(),$B$6,$C$6)</f>
        <v>0.202683525451051</v>
      </c>
      <c r="C174" s="21" t="n">
        <f aca="true">MAX(0.03,NORMINV(RAND(),$B$7,$C$7))</f>
        <v>0.205685236574495</v>
      </c>
      <c r="D174" s="33" t="n">
        <f aca="true">MAX(0.08,NORMINV(RAND(),$B$8,$C$8))</f>
        <v>0.137626844985531</v>
      </c>
      <c r="E174" s="48" t="n">
        <f aca="true">MAX(4,NORMINV(RAND(),$B$9,$C$9))</f>
        <v>11.8334810235108</v>
      </c>
      <c r="F174" s="26" t="n">
        <f aca="false">$B$18*(1+(B174+$B$17)/2)^9</f>
        <v>8084.78008682827</v>
      </c>
      <c r="G174" s="26" t="n">
        <f aca="false">F174*C174</f>
        <v>1662.91990481204</v>
      </c>
      <c r="H174" s="26" t="n">
        <f aca="false">E174*G174/(1+D174)^9</f>
        <v>6165.74224069363</v>
      </c>
      <c r="I174" s="26" t="n">
        <f aca="false">$B$13*G174/$B$12*((1+$B$8)/(1+D174))^4.5</f>
        <v>2516.22496769927</v>
      </c>
      <c r="J174" s="26" t="n">
        <f aca="false">H174+I174+$B$14</f>
        <v>10768.3660864751</v>
      </c>
      <c r="K174" s="44" t="n">
        <f aca="false">J174/$B$15</f>
        <v>17.0926445817065</v>
      </c>
    </row>
    <row r="175" customFormat="false" ht="15" hidden="false" customHeight="false" outlineLevel="0" collapsed="false">
      <c r="A175" s="52" t="n">
        <v>135</v>
      </c>
      <c r="B175" s="21" t="n">
        <f aca="true">NORMINV(RAND(),$B$6,$C$6)</f>
        <v>0.236559692260804</v>
      </c>
      <c r="C175" s="21" t="n">
        <f aca="true">MAX(0.03,NORMINV(RAND(),$B$7,$C$7))</f>
        <v>0.200688016537162</v>
      </c>
      <c r="D175" s="33" t="n">
        <f aca="true">MAX(0.08,NORMINV(RAND(),$B$8,$C$8))</f>
        <v>0.138695267176499</v>
      </c>
      <c r="E175" s="48" t="n">
        <f aca="true">MAX(4,NORMINV(RAND(),$B$9,$C$9))</f>
        <v>10.8486507182586</v>
      </c>
      <c r="F175" s="26" t="n">
        <f aca="false">$B$18*(1+(B175+$B$17)/2)^9</f>
        <v>9247.18307144894</v>
      </c>
      <c r="G175" s="26" t="n">
        <f aca="false">F175*C175</f>
        <v>1855.79882916511</v>
      </c>
      <c r="H175" s="26" t="n">
        <f aca="false">E175*G175/(1+D175)^9</f>
        <v>6255.1680692447</v>
      </c>
      <c r="I175" s="26" t="n">
        <f aca="false">$B$13*G175/$B$12*((1+$B$8)/(1+D175))^4.5</f>
        <v>2796.2400687469</v>
      </c>
      <c r="J175" s="26" t="n">
        <f aca="false">H175+I175+$B$14</f>
        <v>11137.8070160738</v>
      </c>
      <c r="K175" s="44" t="n">
        <f aca="false">J175/$B$15</f>
        <v>17.6790587556727</v>
      </c>
    </row>
    <row r="176" customFormat="false" ht="15" hidden="false" customHeight="false" outlineLevel="0" collapsed="false">
      <c r="A176" s="52" t="n">
        <v>136</v>
      </c>
      <c r="B176" s="21" t="n">
        <f aca="true">NORMINV(RAND(),$B$6,$C$6)</f>
        <v>0.201889890847287</v>
      </c>
      <c r="C176" s="21" t="n">
        <f aca="true">MAX(0.03,NORMINV(RAND(),$B$7,$C$7))</f>
        <v>0.209851613356317</v>
      </c>
      <c r="D176" s="33" t="n">
        <f aca="true">MAX(0.08,NORMINV(RAND(),$B$8,$C$8))</f>
        <v>0.137244699666087</v>
      </c>
      <c r="E176" s="48" t="n">
        <f aca="true">MAX(4,NORMINV(RAND(),$B$9,$C$9))</f>
        <v>10.4666000096853</v>
      </c>
      <c r="F176" s="26" t="n">
        <f aca="false">$B$18*(1+(B176+$B$17)/2)^9</f>
        <v>8059.18131163644</v>
      </c>
      <c r="G176" s="26" t="n">
        <f aca="false">F176*C176</f>
        <v>1691.23220057798</v>
      </c>
      <c r="H176" s="26" t="n">
        <f aca="false">E176*G176/(1+D176)^9</f>
        <v>5563.18591563719</v>
      </c>
      <c r="I176" s="26" t="n">
        <f aca="false">$B$13*G176/$B$12*((1+$B$8)/(1+D176))^4.5</f>
        <v>2562.93723647497</v>
      </c>
      <c r="J176" s="26" t="n">
        <f aca="false">H176+I176+$B$14</f>
        <v>10212.5220301944</v>
      </c>
      <c r="K176" s="44" t="n">
        <f aca="false">J176/$B$15</f>
        <v>16.2103524288799</v>
      </c>
    </row>
    <row r="177" customFormat="false" ht="15" hidden="false" customHeight="false" outlineLevel="0" collapsed="false">
      <c r="A177" s="52" t="n">
        <v>137</v>
      </c>
      <c r="B177" s="21" t="n">
        <f aca="true">NORMINV(RAND(),$B$6,$C$6)</f>
        <v>0.250723422498927</v>
      </c>
      <c r="C177" s="21" t="n">
        <f aca="true">MAX(0.03,NORMINV(RAND(),$B$7,$C$7))</f>
        <v>0.254834105287054</v>
      </c>
      <c r="D177" s="33" t="n">
        <f aca="true">MAX(0.08,NORMINV(RAND(),$B$8,$C$8))</f>
        <v>0.1253025654631</v>
      </c>
      <c r="E177" s="48" t="n">
        <f aca="true">MAX(4,NORMINV(RAND(),$B$9,$C$9))</f>
        <v>14.0076173604176</v>
      </c>
      <c r="F177" s="26" t="n">
        <f aca="false">$B$18*(1+(B177+$B$17)/2)^9</f>
        <v>9775.66452694302</v>
      </c>
      <c r="G177" s="26" t="n">
        <f aca="false">F177*C177</f>
        <v>2491.17272330991</v>
      </c>
      <c r="H177" s="26" t="n">
        <f aca="false">E177*G177/(1+D177)^9</f>
        <v>12059.9172827682</v>
      </c>
      <c r="I177" s="26" t="n">
        <f aca="false">$B$13*G177/$B$12*((1+$B$8)/(1+D177))^4.5</f>
        <v>3958.85256345225</v>
      </c>
      <c r="J177" s="26" t="n">
        <f aca="false">H177+I177+$B$14</f>
        <v>18105.1687243026</v>
      </c>
      <c r="K177" s="44" t="n">
        <f aca="false">J177/$B$15</f>
        <v>28.7383630544486</v>
      </c>
    </row>
    <row r="178" customFormat="false" ht="15" hidden="false" customHeight="false" outlineLevel="0" collapsed="false">
      <c r="A178" s="52" t="n">
        <v>138</v>
      </c>
      <c r="B178" s="21" t="n">
        <f aca="true">NORMINV(RAND(),$B$6,$C$6)</f>
        <v>0.230346073818883</v>
      </c>
      <c r="C178" s="21" t="n">
        <f aca="true">MAX(0.03,NORMINV(RAND(),$B$7,$C$7))</f>
        <v>0.235446236266961</v>
      </c>
      <c r="D178" s="33" t="n">
        <f aca="true">MAX(0.08,NORMINV(RAND(),$B$8,$C$8))</f>
        <v>0.136889363144056</v>
      </c>
      <c r="E178" s="48" t="n">
        <f aca="true">MAX(4,NORMINV(RAND(),$B$9,$C$9))</f>
        <v>7.23025195852002</v>
      </c>
      <c r="F178" s="26" t="n">
        <f aca="false">$B$18*(1+(B178+$B$17)/2)^9</f>
        <v>9023.4667874205</v>
      </c>
      <c r="G178" s="26" t="n">
        <f aca="false">F178*C178</f>
        <v>2124.54129317808</v>
      </c>
      <c r="H178" s="26" t="n">
        <f aca="false">E178*G178/(1+D178)^9</f>
        <v>4841.21956298506</v>
      </c>
      <c r="I178" s="26" t="n">
        <f aca="false">$B$13*G178/$B$12*((1+$B$8)/(1+D178))^4.5</f>
        <v>3224.11586401548</v>
      </c>
      <c r="J178" s="26" t="n">
        <f aca="false">H178+I178+$B$14</f>
        <v>10151.7343050827</v>
      </c>
      <c r="K178" s="44" t="n">
        <f aca="false">J178/$B$15</f>
        <v>16.1138639763218</v>
      </c>
    </row>
    <row r="179" customFormat="false" ht="15" hidden="false" customHeight="false" outlineLevel="0" collapsed="false">
      <c r="A179" s="52" t="n">
        <v>139</v>
      </c>
      <c r="B179" s="21" t="n">
        <f aca="true">NORMINV(RAND(),$B$6,$C$6)</f>
        <v>0.167215126372361</v>
      </c>
      <c r="C179" s="21" t="n">
        <f aca="true">MAX(0.03,NORMINV(RAND(),$B$7,$C$7))</f>
        <v>0.216923023613003</v>
      </c>
      <c r="D179" s="33" t="n">
        <f aca="true">MAX(0.08,NORMINV(RAND(),$B$8,$C$8))</f>
        <v>0.150785356385253</v>
      </c>
      <c r="E179" s="48" t="n">
        <f aca="true">MAX(4,NORMINV(RAND(),$B$9,$C$9))</f>
        <v>12.8282611636878</v>
      </c>
      <c r="F179" s="26" t="n">
        <f aca="false">$B$18*(1+(B179+$B$17)/2)^9</f>
        <v>7008.69336827503</v>
      </c>
      <c r="G179" s="26" t="n">
        <f aca="false">F179*C179</f>
        <v>1520.34695702262</v>
      </c>
      <c r="H179" s="26" t="n">
        <f aca="false">E179*G179/(1+D179)^9</f>
        <v>5510.12638075116</v>
      </c>
      <c r="I179" s="26" t="n">
        <f aca="false">$B$13*G179/$B$12*((1+$B$8)/(1+D179))^4.5</f>
        <v>2184.46764439726</v>
      </c>
      <c r="J179" s="26" t="n">
        <f aca="false">H179+I179+$B$14</f>
        <v>9780.99290323061</v>
      </c>
      <c r="K179" s="44" t="n">
        <f aca="false">J179/$B$15</f>
        <v>15.5253855606835</v>
      </c>
    </row>
    <row r="180" customFormat="false" ht="15" hidden="false" customHeight="false" outlineLevel="0" collapsed="false">
      <c r="A180" s="52" t="n">
        <v>140</v>
      </c>
      <c r="B180" s="21" t="n">
        <f aca="true">NORMINV(RAND(),$B$6,$C$6)</f>
        <v>0.167962155166357</v>
      </c>
      <c r="C180" s="21" t="n">
        <f aca="true">MAX(0.03,NORMINV(RAND(),$B$7,$C$7))</f>
        <v>0.18925501765671</v>
      </c>
      <c r="D180" s="33" t="n">
        <f aca="true">MAX(0.08,NORMINV(RAND(),$B$8,$C$8))</f>
        <v>0.140612547627671</v>
      </c>
      <c r="E180" s="48" t="n">
        <f aca="true">MAX(4,NORMINV(RAND(),$B$9,$C$9))</f>
        <v>11.9644498329779</v>
      </c>
      <c r="F180" s="26" t="n">
        <f aca="false">$B$18*(1+(B180+$B$17)/2)^9</f>
        <v>7029.97448617708</v>
      </c>
      <c r="G180" s="26" t="n">
        <f aca="false">F180*C180</f>
        <v>1330.45794550766</v>
      </c>
      <c r="H180" s="26" t="n">
        <f aca="false">E180*G180/(1+D180)^9</f>
        <v>4871.36398342442</v>
      </c>
      <c r="I180" s="26" t="n">
        <f aca="false">$B$13*G180/$B$12*((1+$B$8)/(1+D180))^4.5</f>
        <v>1989.5592536494</v>
      </c>
      <c r="J180" s="26" t="n">
        <f aca="false">H180+I180+$B$14</f>
        <v>8947.32211515601</v>
      </c>
      <c r="K180" s="44" t="n">
        <f aca="false">J180/$B$15</f>
        <v>14.2020985954857</v>
      </c>
    </row>
    <row r="181" customFormat="false" ht="15" hidden="false" customHeight="false" outlineLevel="0" collapsed="false">
      <c r="A181" s="52" t="n">
        <v>141</v>
      </c>
      <c r="B181" s="21" t="n">
        <f aca="true">NORMINV(RAND(),$B$6,$C$6)</f>
        <v>0.172981318358997</v>
      </c>
      <c r="C181" s="21" t="n">
        <f aca="true">MAX(0.03,NORMINV(RAND(),$B$7,$C$7))</f>
        <v>0.199249356253019</v>
      </c>
      <c r="D181" s="33" t="n">
        <f aca="true">MAX(0.08,NORMINV(RAND(),$B$8,$C$8))</f>
        <v>0.134602376427481</v>
      </c>
      <c r="E181" s="48" t="n">
        <f aca="true">MAX(4,NORMINV(RAND(),$B$9,$C$9))</f>
        <v>10.7616514778778</v>
      </c>
      <c r="F181" s="26" t="n">
        <f aca="false">$B$18*(1+(B181+$B$17)/2)^9</f>
        <v>7174.45443045877</v>
      </c>
      <c r="G181" s="26" t="n">
        <f aca="false">F181*C181</f>
        <v>1429.50542673553</v>
      </c>
      <c r="H181" s="26" t="n">
        <f aca="false">E181*G181/(1+D181)^9</f>
        <v>4937.09554194161</v>
      </c>
      <c r="I181" s="26" t="n">
        <f aca="false">$B$13*G181/$B$12*((1+$B$8)/(1+D181))^4.5</f>
        <v>2189.10496934336</v>
      </c>
      <c r="J181" s="26" t="n">
        <f aca="false">H181+I181+$B$14</f>
        <v>9212.59938936716</v>
      </c>
      <c r="K181" s="44" t="n">
        <f aca="false">J181/$B$15</f>
        <v>14.6231736339161</v>
      </c>
    </row>
    <row r="182" customFormat="false" ht="15" hidden="false" customHeight="false" outlineLevel="0" collapsed="false">
      <c r="A182" s="52" t="n">
        <v>142</v>
      </c>
      <c r="B182" s="21" t="n">
        <f aca="true">NORMINV(RAND(),$B$6,$C$6)</f>
        <v>0.195145693461312</v>
      </c>
      <c r="C182" s="21" t="n">
        <f aca="true">MAX(0.03,NORMINV(RAND(),$B$7,$C$7))</f>
        <v>0.228827852111616</v>
      </c>
      <c r="D182" s="33" t="n">
        <f aca="true">MAX(0.08,NORMINV(RAND(),$B$8,$C$8))</f>
        <v>0.133130992817569</v>
      </c>
      <c r="E182" s="48" t="n">
        <f aca="true">MAX(4,NORMINV(RAND(),$B$9,$C$9))</f>
        <v>12.8722332545832</v>
      </c>
      <c r="F182" s="26" t="n">
        <f aca="false">$B$18*(1+(B182+$B$17)/2)^9</f>
        <v>7844.53714481185</v>
      </c>
      <c r="G182" s="26" t="n">
        <f aca="false">F182*C182</f>
        <v>1795.04858565709</v>
      </c>
      <c r="H182" s="26" t="n">
        <f aca="false">E182*G182/(1+D182)^9</f>
        <v>7502.55251528685</v>
      </c>
      <c r="I182" s="26" t="n">
        <f aca="false">$B$13*G182/$B$12*((1+$B$8)/(1+D182))^4.5</f>
        <v>2764.98674590842</v>
      </c>
      <c r="J182" s="26" t="n">
        <f aca="false">H182+I182+$B$14</f>
        <v>12353.9381392775</v>
      </c>
      <c r="K182" s="44" t="n">
        <f aca="false">J182/$B$15</f>
        <v>19.6094256179007</v>
      </c>
    </row>
    <row r="183" customFormat="false" ht="15" hidden="false" customHeight="false" outlineLevel="0" collapsed="false">
      <c r="A183" s="52" t="n">
        <v>143</v>
      </c>
      <c r="B183" s="21" t="n">
        <f aca="true">NORMINV(RAND(),$B$6,$C$6)</f>
        <v>0.244376718721846</v>
      </c>
      <c r="C183" s="21" t="n">
        <f aca="true">MAX(0.03,NORMINV(RAND(),$B$7,$C$7))</f>
        <v>0.25053678687245</v>
      </c>
      <c r="D183" s="33" t="n">
        <f aca="true">MAX(0.08,NORMINV(RAND(),$B$8,$C$8))</f>
        <v>0.136234867487074</v>
      </c>
      <c r="E183" s="48" t="n">
        <f aca="true">MAX(4,NORMINV(RAND(),$B$9,$C$9))</f>
        <v>9.10642351267419</v>
      </c>
      <c r="F183" s="26" t="n">
        <f aca="false">$B$18*(1+(B183+$B$17)/2)^9</f>
        <v>9535.62381086798</v>
      </c>
      <c r="G183" s="26" t="n">
        <f aca="false">F183*C183</f>
        <v>2389.02455039929</v>
      </c>
      <c r="H183" s="26" t="n">
        <f aca="false">E183*G183/(1+D183)^9</f>
        <v>6892.16151439109</v>
      </c>
      <c r="I183" s="26" t="n">
        <f aca="false">$B$13*G183/$B$12*((1+$B$8)/(1+D183))^4.5</f>
        <v>3634.89178377385</v>
      </c>
      <c r="J183" s="26" t="n">
        <f aca="false">H183+I183+$B$14</f>
        <v>12613.4521762471</v>
      </c>
      <c r="K183" s="44" t="n">
        <f aca="false">J183/$B$15</f>
        <v>20.0213526607097</v>
      </c>
    </row>
    <row r="184" customFormat="false" ht="15" hidden="false" customHeight="false" outlineLevel="0" collapsed="false">
      <c r="A184" s="52" t="n">
        <v>144</v>
      </c>
      <c r="B184" s="21" t="n">
        <f aca="true">NORMINV(RAND(),$B$6,$C$6)</f>
        <v>0.243286777144414</v>
      </c>
      <c r="C184" s="21" t="n">
        <f aca="true">MAX(0.03,NORMINV(RAND(),$B$7,$C$7))</f>
        <v>0.208342756845119</v>
      </c>
      <c r="D184" s="33" t="n">
        <f aca="true">MAX(0.08,NORMINV(RAND(),$B$8,$C$8))</f>
        <v>0.118840392840583</v>
      </c>
      <c r="E184" s="48" t="n">
        <f aca="true">MAX(4,NORMINV(RAND(),$B$9,$C$9))</f>
        <v>11.3646735551301</v>
      </c>
      <c r="F184" s="26" t="n">
        <f aca="false">$B$18*(1+(B184+$B$17)/2)^9</f>
        <v>9494.93218925808</v>
      </c>
      <c r="G184" s="26" t="n">
        <f aca="false">F184*C184</f>
        <v>1978.20034836749</v>
      </c>
      <c r="H184" s="26" t="n">
        <f aca="false">E184*G184/(1+D184)^9</f>
        <v>8183.0274078364</v>
      </c>
      <c r="I184" s="26" t="n">
        <f aca="false">$B$13*G184/$B$12*((1+$B$8)/(1+D184))^4.5</f>
        <v>3226.1981331585</v>
      </c>
      <c r="J184" s="26" t="n">
        <f aca="false">H184+I184+$B$14</f>
        <v>13495.6244190771</v>
      </c>
      <c r="K184" s="44" t="n">
        <f aca="false">J184/$B$15</f>
        <v>21.4216260620271</v>
      </c>
    </row>
    <row r="185" customFormat="false" ht="15" hidden="false" customHeight="false" outlineLevel="0" collapsed="false">
      <c r="A185" s="52" t="n">
        <v>145</v>
      </c>
      <c r="B185" s="21" t="n">
        <f aca="true">NORMINV(RAND(),$B$6,$C$6)</f>
        <v>0.155983294961963</v>
      </c>
      <c r="C185" s="21" t="n">
        <f aca="true">MAX(0.03,NORMINV(RAND(),$B$7,$C$7))</f>
        <v>0.22310082734863</v>
      </c>
      <c r="D185" s="33" t="n">
        <f aca="true">MAX(0.08,NORMINV(RAND(),$B$8,$C$8))</f>
        <v>0.147898806758971</v>
      </c>
      <c r="E185" s="48" t="n">
        <f aca="true">MAX(4,NORMINV(RAND(),$B$9,$C$9))</f>
        <v>12.9781516996009</v>
      </c>
      <c r="F185" s="26" t="n">
        <f aca="false">$B$18*(1+(B185+$B$17)/2)^9</f>
        <v>6695.55434217891</v>
      </c>
      <c r="G185" s="26" t="n">
        <f aca="false">F185*C185</f>
        <v>1493.78371329783</v>
      </c>
      <c r="H185" s="26" t="n">
        <f aca="false">E185*G185/(1+D185)^9</f>
        <v>5602.32276842698</v>
      </c>
      <c r="I185" s="26" t="n">
        <f aca="false">$B$13*G185/$B$12*((1+$B$8)/(1+D185))^4.5</f>
        <v>2170.69536235489</v>
      </c>
      <c r="J185" s="26" t="n">
        <f aca="false">H185+I185+$B$14</f>
        <v>9859.41700886406</v>
      </c>
      <c r="K185" s="44" t="n">
        <f aca="false">J185/$B$15</f>
        <v>15.6498682680382</v>
      </c>
    </row>
    <row r="186" customFormat="false" ht="15" hidden="false" customHeight="false" outlineLevel="0" collapsed="false">
      <c r="A186" s="52" t="n">
        <v>146</v>
      </c>
      <c r="B186" s="21" t="n">
        <f aca="true">NORMINV(RAND(),$B$6,$C$6)</f>
        <v>0.195679736399033</v>
      </c>
      <c r="C186" s="21" t="n">
        <f aca="true">MAX(0.03,NORMINV(RAND(),$B$7,$C$7))</f>
        <v>0.176744556004845</v>
      </c>
      <c r="D186" s="33" t="n">
        <f aca="true">MAX(0.08,NORMINV(RAND(),$B$8,$C$8))</f>
        <v>0.115376111652189</v>
      </c>
      <c r="E186" s="48" t="n">
        <f aca="true">MAX(4,NORMINV(RAND(),$B$9,$C$9))</f>
        <v>13.4424048106231</v>
      </c>
      <c r="F186" s="26" t="n">
        <f aca="false">$B$18*(1+(B186+$B$17)/2)^9</f>
        <v>7861.34664221173</v>
      </c>
      <c r="G186" s="26" t="n">
        <f aca="false">F186*C186</f>
        <v>1389.45022187789</v>
      </c>
      <c r="H186" s="26" t="n">
        <f aca="false">E186*G186/(1+D186)^9</f>
        <v>6990.8166626947</v>
      </c>
      <c r="I186" s="26" t="n">
        <f aca="false">$B$13*G186/$B$12*((1+$B$8)/(1+D186))^4.5</f>
        <v>2297.86413117899</v>
      </c>
      <c r="J186" s="26" t="n">
        <f aca="false">H186+I186+$B$14</f>
        <v>11375.0796719559</v>
      </c>
      <c r="K186" s="44" t="n">
        <f aca="false">J186/$B$15</f>
        <v>18.0556820189776</v>
      </c>
    </row>
    <row r="187" customFormat="false" ht="15" hidden="false" customHeight="false" outlineLevel="0" collapsed="false">
      <c r="A187" s="52" t="n">
        <v>147</v>
      </c>
      <c r="B187" s="21" t="n">
        <f aca="true">NORMINV(RAND(),$B$6,$C$6)</f>
        <v>0.199605576750428</v>
      </c>
      <c r="C187" s="21" t="n">
        <f aca="true">MAX(0.03,NORMINV(RAND(),$B$7,$C$7))</f>
        <v>0.228029955459731</v>
      </c>
      <c r="D187" s="33" t="n">
        <f aca="true">MAX(0.08,NORMINV(RAND(),$B$8,$C$8))</f>
        <v>0.125092909210063</v>
      </c>
      <c r="E187" s="48" t="n">
        <f aca="true">MAX(4,NORMINV(RAND(),$B$9,$C$9))</f>
        <v>10.3071959182206</v>
      </c>
      <c r="F187" s="26" t="n">
        <f aca="false">$B$18*(1+(B187+$B$17)/2)^9</f>
        <v>7985.90214693271</v>
      </c>
      <c r="G187" s="26" t="n">
        <f aca="false">F187*C187</f>
        <v>1821.02491087083</v>
      </c>
      <c r="H187" s="26" t="n">
        <f aca="false">E187*G187/(1+D187)^9</f>
        <v>6497.71905480839</v>
      </c>
      <c r="I187" s="26" t="n">
        <f aca="false">$B$13*G187/$B$12*((1+$B$8)/(1+D187))^4.5</f>
        <v>2896.31318254363</v>
      </c>
      <c r="J187" s="26" t="n">
        <f aca="false">H187+I187+$B$14</f>
        <v>11480.4311154342</v>
      </c>
      <c r="K187" s="44" t="n">
        <f aca="false">J187/$B$15</f>
        <v>18.2229065324353</v>
      </c>
    </row>
    <row r="188" customFormat="false" ht="15" hidden="false" customHeight="false" outlineLevel="0" collapsed="false">
      <c r="A188" s="52" t="n">
        <v>148</v>
      </c>
      <c r="B188" s="21" t="n">
        <f aca="true">NORMINV(RAND(),$B$6,$C$6)</f>
        <v>0.2411710811245</v>
      </c>
      <c r="C188" s="21" t="n">
        <f aca="true">MAX(0.03,NORMINV(RAND(),$B$7,$C$7))</f>
        <v>0.208548181401791</v>
      </c>
      <c r="D188" s="33" t="n">
        <f aca="true">MAX(0.08,NORMINV(RAND(),$B$8,$C$8))</f>
        <v>0.126757621541438</v>
      </c>
      <c r="E188" s="48" t="n">
        <f aca="true">MAX(4,NORMINV(RAND(),$B$9,$C$9))</f>
        <v>10.6565702366693</v>
      </c>
      <c r="F188" s="26" t="n">
        <f aca="false">$B$18*(1+(B188+$B$17)/2)^9</f>
        <v>9416.38563811425</v>
      </c>
      <c r="G188" s="26" t="n">
        <f aca="false">F188*C188</f>
        <v>1963.77010020667</v>
      </c>
      <c r="H188" s="26" t="n">
        <f aca="false">E188*G188/(1+D188)^9</f>
        <v>7148.8067238012</v>
      </c>
      <c r="I188" s="26" t="n">
        <f aca="false">$B$13*G188/$B$12*((1+$B$8)/(1+D188))^4.5</f>
        <v>3102.63546133979</v>
      </c>
      <c r="J188" s="26" t="n">
        <f aca="false">H188+I188+$B$14</f>
        <v>12337.8410632232</v>
      </c>
      <c r="K188" s="44" t="n">
        <f aca="false">J188/$B$15</f>
        <v>19.5838747035289</v>
      </c>
    </row>
    <row r="189" customFormat="false" ht="15" hidden="false" customHeight="false" outlineLevel="0" collapsed="false">
      <c r="A189" s="52" t="n">
        <v>149</v>
      </c>
      <c r="B189" s="21" t="n">
        <f aca="true">NORMINV(RAND(),$B$6,$C$6)</f>
        <v>0.248489048395052</v>
      </c>
      <c r="C189" s="21" t="n">
        <f aca="true">MAX(0.03,NORMINV(RAND(),$B$7,$C$7))</f>
        <v>0.152614248141491</v>
      </c>
      <c r="D189" s="33" t="n">
        <f aca="true">MAX(0.08,NORMINV(RAND(),$B$8,$C$8))</f>
        <v>0.148467257864082</v>
      </c>
      <c r="E189" s="48" t="n">
        <f aca="true">MAX(4,NORMINV(RAND(),$B$9,$C$9))</f>
        <v>12.4415564315848</v>
      </c>
      <c r="F189" s="26" t="n">
        <f aca="false">$B$18*(1+(B189+$B$17)/2)^9</f>
        <v>9690.55194979469</v>
      </c>
      <c r="G189" s="26" t="n">
        <f aca="false">F189*C189</f>
        <v>1478.91629989398</v>
      </c>
      <c r="H189" s="26" t="n">
        <f aca="false">E189*G189/(1+D189)^9</f>
        <v>5293.5954126481</v>
      </c>
      <c r="I189" s="26" t="n">
        <f aca="false">$B$13*G189/$B$12*((1+$B$8)/(1+D189))^4.5</f>
        <v>2144.30812844274</v>
      </c>
      <c r="J189" s="26" t="n">
        <f aca="false">H189+I189+$B$14</f>
        <v>9524.30241917303</v>
      </c>
      <c r="K189" s="44" t="n">
        <f aca="false">J189/$B$15</f>
        <v>15.1179403478937</v>
      </c>
    </row>
    <row r="190" customFormat="false" ht="15" hidden="false" customHeight="false" outlineLevel="0" collapsed="false">
      <c r="A190" s="52" t="n">
        <v>150</v>
      </c>
      <c r="B190" s="21" t="n">
        <f aca="true">NORMINV(RAND(),$B$6,$C$6)</f>
        <v>0.168208907530837</v>
      </c>
      <c r="C190" s="21" t="n">
        <f aca="true">MAX(0.03,NORMINV(RAND(),$B$7,$C$7))</f>
        <v>0.211997822140568</v>
      </c>
      <c r="D190" s="33" t="n">
        <f aca="true">MAX(0.08,NORMINV(RAND(),$B$8,$C$8))</f>
        <v>0.144963658695069</v>
      </c>
      <c r="E190" s="48" t="n">
        <f aca="true">MAX(4,NORMINV(RAND(),$B$9,$C$9))</f>
        <v>8.92039605341214</v>
      </c>
      <c r="F190" s="26" t="n">
        <f aca="false">$B$18*(1+(B190+$B$17)/2)^9</f>
        <v>7037.01649753287</v>
      </c>
      <c r="G190" s="26" t="n">
        <f aca="false">F190*C190</f>
        <v>1491.83217184422</v>
      </c>
      <c r="H190" s="26" t="n">
        <f aca="false">E190*G190/(1+D190)^9</f>
        <v>3935.30850859718</v>
      </c>
      <c r="I190" s="26" t="n">
        <f aca="false">$B$13*G190/$B$12*((1+$B$8)/(1+D190))^4.5</f>
        <v>2192.98007850413</v>
      </c>
      <c r="J190" s="26" t="n">
        <f aca="false">H190+I190+$B$14</f>
        <v>8214.6874651835</v>
      </c>
      <c r="K190" s="44" t="n">
        <f aca="false">J190/$B$15</f>
        <v>13.0391864526722</v>
      </c>
    </row>
    <row r="191" customFormat="false" ht="15" hidden="false" customHeight="false" outlineLevel="0" collapsed="false">
      <c r="A191" s="52" t="n">
        <v>151</v>
      </c>
      <c r="B191" s="21" t="n">
        <f aca="true">NORMINV(RAND(),$B$6,$C$6)</f>
        <v>0.248481113368432</v>
      </c>
      <c r="C191" s="21" t="n">
        <f aca="true">MAX(0.03,NORMINV(RAND(),$B$7,$C$7))</f>
        <v>0.179932946898558</v>
      </c>
      <c r="D191" s="33" t="n">
        <f aca="true">MAX(0.08,NORMINV(RAND(),$B$8,$C$8))</f>
        <v>0.143831710399225</v>
      </c>
      <c r="E191" s="48" t="n">
        <f aca="true">MAX(4,NORMINV(RAND(),$B$9,$C$9))</f>
        <v>9.1511952308171</v>
      </c>
      <c r="F191" s="26" t="n">
        <f aca="false">$B$18*(1+(B191+$B$17)/2)^9</f>
        <v>9690.25086350797</v>
      </c>
      <c r="G191" s="26" t="n">
        <f aca="false">F191*C191</f>
        <v>1743.59539405728</v>
      </c>
      <c r="H191" s="26" t="n">
        <f aca="false">E191*G191/(1+D191)^9</f>
        <v>4760.6290565432</v>
      </c>
      <c r="I191" s="26" t="n">
        <f aca="false">$B$13*G191/$B$12*((1+$B$8)/(1+D191))^4.5</f>
        <v>2574.50355615648</v>
      </c>
      <c r="J191" s="26" t="n">
        <f aca="false">H191+I191+$B$14</f>
        <v>9421.53149078187</v>
      </c>
      <c r="K191" s="44" t="n">
        <f aca="false">J191/$B$15</f>
        <v>14.95481189013</v>
      </c>
    </row>
    <row r="192" customFormat="false" ht="15" hidden="false" customHeight="false" outlineLevel="0" collapsed="false">
      <c r="A192" s="52" t="n">
        <v>152</v>
      </c>
      <c r="B192" s="21" t="n">
        <f aca="true">NORMINV(RAND(),$B$6,$C$6)</f>
        <v>0.145807799405919</v>
      </c>
      <c r="C192" s="21" t="n">
        <f aca="true">MAX(0.03,NORMINV(RAND(),$B$7,$C$7))</f>
        <v>0.168606190404871</v>
      </c>
      <c r="D192" s="33" t="n">
        <f aca="true">MAX(0.08,NORMINV(RAND(),$B$8,$C$8))</f>
        <v>0.138030621644625</v>
      </c>
      <c r="E192" s="48" t="n">
        <f aca="true">MAX(4,NORMINV(RAND(),$B$9,$C$9))</f>
        <v>12.8792497992628</v>
      </c>
      <c r="F192" s="26" t="n">
        <f aca="false">$B$18*(1+(B192+$B$17)/2)^9</f>
        <v>6422.66802660837</v>
      </c>
      <c r="G192" s="26" t="n">
        <f aca="false">F192*C192</f>
        <v>1082.90158820161</v>
      </c>
      <c r="H192" s="26" t="n">
        <f aca="false">E192*G192/(1+D192)^9</f>
        <v>4356.06172498958</v>
      </c>
      <c r="I192" s="26" t="n">
        <f aca="false">$B$13*G192/$B$12*((1+$B$8)/(1+D192))^4.5</f>
        <v>1635.96347350867</v>
      </c>
      <c r="J192" s="26" t="n">
        <f aca="false">H192+I192+$B$14</f>
        <v>8078.42407658044</v>
      </c>
      <c r="K192" s="44" t="n">
        <f aca="false">J192/$B$15</f>
        <v>12.8228953596515</v>
      </c>
    </row>
    <row r="193" customFormat="false" ht="15" hidden="false" customHeight="false" outlineLevel="0" collapsed="false">
      <c r="A193" s="52" t="n">
        <v>153</v>
      </c>
      <c r="B193" s="21" t="n">
        <f aca="true">NORMINV(RAND(),$B$6,$C$6)</f>
        <v>0.163138426109132</v>
      </c>
      <c r="C193" s="21" t="n">
        <f aca="true">MAX(0.03,NORMINV(RAND(),$B$7,$C$7))</f>
        <v>0.240942439135572</v>
      </c>
      <c r="D193" s="33" t="n">
        <f aca="true">MAX(0.08,NORMINV(RAND(),$B$8,$C$8))</f>
        <v>0.13708182816337</v>
      </c>
      <c r="E193" s="48" t="n">
        <f aca="true">MAX(4,NORMINV(RAND(),$B$9,$C$9))</f>
        <v>9.97201557630813</v>
      </c>
      <c r="F193" s="26" t="n">
        <f aca="false">$B$18*(1+(B193+$B$17)/2)^9</f>
        <v>6893.56339471081</v>
      </c>
      <c r="G193" s="26" t="n">
        <f aca="false">F193*C193</f>
        <v>1660.95197865732</v>
      </c>
      <c r="H193" s="26" t="n">
        <f aca="false">E193*G193/(1+D193)^9</f>
        <v>5212.12176192465</v>
      </c>
      <c r="I193" s="26" t="n">
        <f aca="false">$B$13*G193/$B$12*((1+$B$8)/(1+D193))^4.5</f>
        <v>2518.67260697252</v>
      </c>
      <c r="J193" s="26" t="n">
        <f aca="false">H193+I193+$B$14</f>
        <v>9817.19324697936</v>
      </c>
      <c r="K193" s="44" t="n">
        <f aca="false">J193/$B$15</f>
        <v>15.5828464237768</v>
      </c>
    </row>
    <row r="194" customFormat="false" ht="15" hidden="false" customHeight="false" outlineLevel="0" collapsed="false">
      <c r="A194" s="52" t="n">
        <v>154</v>
      </c>
      <c r="B194" s="21" t="n">
        <f aca="true">NORMINV(RAND(),$B$6,$C$6)</f>
        <v>0.218943529092892</v>
      </c>
      <c r="C194" s="21" t="n">
        <f aca="true">MAX(0.03,NORMINV(RAND(),$B$7,$C$7))</f>
        <v>0.211413734162277</v>
      </c>
      <c r="D194" s="33" t="n">
        <f aca="true">MAX(0.08,NORMINV(RAND(),$B$8,$C$8))</f>
        <v>0.127208833086522</v>
      </c>
      <c r="E194" s="48" t="n">
        <f aca="true">MAX(4,NORMINV(RAND(),$B$9,$C$9))</f>
        <v>14.2250941125119</v>
      </c>
      <c r="F194" s="26" t="n">
        <f aca="false">$B$18*(1+(B194+$B$17)/2)^9</f>
        <v>8625.41000064273</v>
      </c>
      <c r="G194" s="26" t="n">
        <f aca="false">F194*C194</f>
        <v>1823.53013691653</v>
      </c>
      <c r="H194" s="26" t="n">
        <f aca="false">E194*G194/(1+D194)^9</f>
        <v>8829.34818059748</v>
      </c>
      <c r="I194" s="26" t="n">
        <f aca="false">$B$13*G194/$B$12*((1+$B$8)/(1+D194))^4.5</f>
        <v>2875.87892615991</v>
      </c>
      <c r="J194" s="26" t="n">
        <f aca="false">H194+I194+$B$14</f>
        <v>13791.6259848396</v>
      </c>
      <c r="K194" s="44" t="n">
        <f aca="false">J194/$B$15</f>
        <v>21.8914698172057</v>
      </c>
    </row>
    <row r="195" customFormat="false" ht="15" hidden="false" customHeight="false" outlineLevel="0" collapsed="false">
      <c r="A195" s="52" t="n">
        <v>155</v>
      </c>
      <c r="B195" s="21" t="n">
        <f aca="true">NORMINV(RAND(),$B$6,$C$6)</f>
        <v>0.242835076444799</v>
      </c>
      <c r="C195" s="21" t="n">
        <f aca="true">MAX(0.03,NORMINV(RAND(),$B$7,$C$7))</f>
        <v>0.202800864471564</v>
      </c>
      <c r="D195" s="33" t="n">
        <f aca="true">MAX(0.08,NORMINV(RAND(),$B$8,$C$8))</f>
        <v>0.141515114571452</v>
      </c>
      <c r="E195" s="48" t="n">
        <f aca="true">MAX(4,NORMINV(RAND(),$B$9,$C$9))</f>
        <v>13.9235420018406</v>
      </c>
      <c r="F195" s="26" t="n">
        <f aca="false">$B$18*(1+(B195+$B$17)/2)^9</f>
        <v>9478.11379109998</v>
      </c>
      <c r="G195" s="26" t="n">
        <f aca="false">F195*C195</f>
        <v>1922.16967039493</v>
      </c>
      <c r="H195" s="26" t="n">
        <f aca="false">E195*G195/(1+D195)^9</f>
        <v>8132.17008058047</v>
      </c>
      <c r="I195" s="26" t="n">
        <f aca="false">$B$13*G195/$B$12*((1+$B$8)/(1+D195))^4.5</f>
        <v>2864.18852472085</v>
      </c>
      <c r="J195" s="26" t="n">
        <f aca="false">H195+I195+$B$14</f>
        <v>13082.7574833835</v>
      </c>
      <c r="K195" s="44" t="n">
        <f aca="false">J195/$B$15</f>
        <v>20.7662817196564</v>
      </c>
    </row>
    <row r="196" customFormat="false" ht="15" hidden="false" customHeight="false" outlineLevel="0" collapsed="false">
      <c r="A196" s="52" t="n">
        <v>156</v>
      </c>
      <c r="B196" s="21" t="n">
        <f aca="true">NORMINV(RAND(),$B$6,$C$6)</f>
        <v>0.194463821344036</v>
      </c>
      <c r="C196" s="21" t="n">
        <f aca="true">MAX(0.03,NORMINV(RAND(),$B$7,$C$7))</f>
        <v>0.206657964433697</v>
      </c>
      <c r="D196" s="33" t="n">
        <f aca="true">MAX(0.08,NORMINV(RAND(),$B$8,$C$8))</f>
        <v>0.123674540719421</v>
      </c>
      <c r="E196" s="48" t="n">
        <f aca="true">MAX(4,NORMINV(RAND(),$B$9,$C$9))</f>
        <v>10.9240118759089</v>
      </c>
      <c r="F196" s="26" t="n">
        <f aca="false">$B$18*(1+(B196+$B$17)/2)^9</f>
        <v>7823.1210297111</v>
      </c>
      <c r="G196" s="26" t="n">
        <f aca="false">F196*C196</f>
        <v>1616.71026751854</v>
      </c>
      <c r="H196" s="26" t="n">
        <f aca="false">E196*G196/(1+D196)^9</f>
        <v>6183.71535567078</v>
      </c>
      <c r="I196" s="26" t="n">
        <f aca="false">$B$13*G196/$B$12*((1+$B$8)/(1+D196))^4.5</f>
        <v>2585.99177888056</v>
      </c>
      <c r="J196" s="26" t="n">
        <f aca="false">H196+I196+$B$14</f>
        <v>10856.1060126335</v>
      </c>
      <c r="K196" s="44" t="n">
        <f aca="false">J196/$B$15</f>
        <v>17.2319143057675</v>
      </c>
    </row>
    <row r="197" customFormat="false" ht="15" hidden="false" customHeight="false" outlineLevel="0" collapsed="false">
      <c r="A197" s="52" t="n">
        <v>157</v>
      </c>
      <c r="B197" s="21" t="n">
        <f aca="true">NORMINV(RAND(),$B$6,$C$6)</f>
        <v>0.285146931499893</v>
      </c>
      <c r="C197" s="21" t="n">
        <f aca="true">MAX(0.03,NORMINV(RAND(),$B$7,$C$7))</f>
        <v>0.220092155634297</v>
      </c>
      <c r="D197" s="33" t="n">
        <f aca="true">MAX(0.08,NORMINV(RAND(),$B$8,$C$8))</f>
        <v>0.136822029351295</v>
      </c>
      <c r="E197" s="48" t="n">
        <f aca="true">MAX(4,NORMINV(RAND(),$B$9,$C$9))</f>
        <v>12.8249807754493</v>
      </c>
      <c r="F197" s="26" t="n">
        <f aca="false">$B$18*(1+(B197+$B$17)/2)^9</f>
        <v>11173.6348769382</v>
      </c>
      <c r="G197" s="26" t="n">
        <f aca="false">F197*C197</f>
        <v>2459.22938633588</v>
      </c>
      <c r="H197" s="26" t="n">
        <f aca="false">E197*G197/(1+D197)^9</f>
        <v>9945.42703785923</v>
      </c>
      <c r="I197" s="26" t="n">
        <f aca="false">$B$13*G197/$B$12*((1+$B$8)/(1+D197))^4.5</f>
        <v>3733.01946647803</v>
      </c>
      <c r="J197" s="26" t="n">
        <f aca="false">H197+I197+$B$14</f>
        <v>15764.8453824195</v>
      </c>
      <c r="K197" s="44" t="n">
        <f aca="false">J197/$B$15</f>
        <v>25.0235640990785</v>
      </c>
    </row>
    <row r="198" customFormat="false" ht="15" hidden="false" customHeight="false" outlineLevel="0" collapsed="false">
      <c r="A198" s="52" t="n">
        <v>158</v>
      </c>
      <c r="B198" s="21" t="n">
        <f aca="true">NORMINV(RAND(),$B$6,$C$6)</f>
        <v>0.213891297324401</v>
      </c>
      <c r="C198" s="21" t="n">
        <f aca="true">MAX(0.03,NORMINV(RAND(),$B$7,$C$7))</f>
        <v>0.207413560913769</v>
      </c>
      <c r="D198" s="33" t="n">
        <f aca="true">MAX(0.08,NORMINV(RAND(),$B$8,$C$8))</f>
        <v>0.130394358967706</v>
      </c>
      <c r="E198" s="48" t="n">
        <f aca="true">MAX(4,NORMINV(RAND(),$B$9,$C$9))</f>
        <v>12.9963296404849</v>
      </c>
      <c r="F198" s="26" t="n">
        <f aca="false">$B$18*(1+(B198+$B$17)/2)^9</f>
        <v>8454.08664927189</v>
      </c>
      <c r="G198" s="26" t="n">
        <f aca="false">F198*C198</f>
        <v>1753.49221619904</v>
      </c>
      <c r="H198" s="26" t="n">
        <f aca="false">E198*G198/(1+D198)^9</f>
        <v>7562.31435628224</v>
      </c>
      <c r="I198" s="26" t="n">
        <f aca="false">$B$13*G198/$B$12*((1+$B$8)/(1+D198))^4.5</f>
        <v>2730.52592064882</v>
      </c>
      <c r="J198" s="26" t="n">
        <f aca="false">H198+I198+$B$14</f>
        <v>12379.2391550133</v>
      </c>
      <c r="K198" s="44" t="n">
        <f aca="false">J198/$B$15</f>
        <v>19.6495859603385</v>
      </c>
    </row>
    <row r="199" customFormat="false" ht="15" hidden="false" customHeight="false" outlineLevel="0" collapsed="false">
      <c r="A199" s="52" t="n">
        <v>159</v>
      </c>
      <c r="B199" s="21" t="n">
        <f aca="true">NORMINV(RAND(),$B$6,$C$6)</f>
        <v>0.110456293809549</v>
      </c>
      <c r="C199" s="21" t="n">
        <f aca="true">MAX(0.03,NORMINV(RAND(),$B$7,$C$7))</f>
        <v>0.235384195129138</v>
      </c>
      <c r="D199" s="33" t="n">
        <f aca="true">MAX(0.08,NORMINV(RAND(),$B$8,$C$8))</f>
        <v>0.15357882325227</v>
      </c>
      <c r="E199" s="48" t="n">
        <f aca="true">MAX(4,NORMINV(RAND(),$B$9,$C$9))</f>
        <v>15.9643046004019</v>
      </c>
      <c r="F199" s="26" t="n">
        <f aca="false">$B$18*(1+(B199+$B$17)/2)^9</f>
        <v>5549.78206559304</v>
      </c>
      <c r="G199" s="26" t="n">
        <f aca="false">F199*C199</f>
        <v>1306.33098465174</v>
      </c>
      <c r="H199" s="26" t="n">
        <f aca="false">E199*G199/(1+D199)^9</f>
        <v>5764.71391220411</v>
      </c>
      <c r="I199" s="26" t="n">
        <f aca="false">$B$13*G199/$B$12*((1+$B$8)/(1+D199))^4.5</f>
        <v>1856.59796092574</v>
      </c>
      <c r="J199" s="26" t="n">
        <f aca="false">H199+I199+$B$14</f>
        <v>9707.71075121204</v>
      </c>
      <c r="K199" s="44" t="n">
        <f aca="false">J199/$B$15</f>
        <v>15.4090646844636</v>
      </c>
    </row>
    <row r="200" customFormat="false" ht="15" hidden="false" customHeight="false" outlineLevel="0" collapsed="false">
      <c r="A200" s="52" t="n">
        <v>160</v>
      </c>
      <c r="B200" s="21" t="n">
        <f aca="true">NORMINV(RAND(),$B$6,$C$6)</f>
        <v>0.13691132570517</v>
      </c>
      <c r="C200" s="21" t="n">
        <f aca="true">MAX(0.03,NORMINV(RAND(),$B$7,$C$7))</f>
        <v>0.208407421166781</v>
      </c>
      <c r="D200" s="33" t="n">
        <f aca="true">MAX(0.08,NORMINV(RAND(),$B$8,$C$8))</f>
        <v>0.138891304819201</v>
      </c>
      <c r="E200" s="48" t="n">
        <f aca="true">MAX(4,NORMINV(RAND(),$B$9,$C$9))</f>
        <v>9.74862889449331</v>
      </c>
      <c r="F200" s="26" t="n">
        <f aca="false">$B$18*(1+(B200+$B$17)/2)^9</f>
        <v>6192.23070344305</v>
      </c>
      <c r="G200" s="26" t="n">
        <f aca="false">F200*C200</f>
        <v>1290.50683217433</v>
      </c>
      <c r="H200" s="26" t="n">
        <f aca="false">E200*G200/(1+D200)^9</f>
        <v>3902.68367127717</v>
      </c>
      <c r="I200" s="26" t="n">
        <f aca="false">$B$13*G200/$B$12*((1+$B$8)/(1+D200))^4.5</f>
        <v>1942.97601252714</v>
      </c>
      <c r="J200" s="26" t="n">
        <f aca="false">H200+I200+$B$14</f>
        <v>7932.0585618865</v>
      </c>
      <c r="K200" s="44" t="n">
        <f aca="false">J200/$B$15</f>
        <v>12.5905691458516</v>
      </c>
    </row>
    <row r="201" customFormat="false" ht="15" hidden="false" customHeight="false" outlineLevel="0" collapsed="false">
      <c r="A201" s="52" t="n">
        <v>161</v>
      </c>
      <c r="B201" s="21" t="n">
        <f aca="true">NORMINV(RAND(),$B$6,$C$6)</f>
        <v>0.190755410305249</v>
      </c>
      <c r="C201" s="21" t="n">
        <f aca="true">MAX(0.03,NORMINV(RAND(),$B$7,$C$7))</f>
        <v>0.22785321821011</v>
      </c>
      <c r="D201" s="33" t="n">
        <f aca="true">MAX(0.08,NORMINV(RAND(),$B$8,$C$8))</f>
        <v>0.132452319135483</v>
      </c>
      <c r="E201" s="48" t="n">
        <f aca="true">MAX(4,NORMINV(RAND(),$B$9,$C$9))</f>
        <v>12.7868999991877</v>
      </c>
      <c r="F201" s="26" t="n">
        <f aca="false">$B$18*(1+(B201+$B$17)/2)^9</f>
        <v>7707.55527756099</v>
      </c>
      <c r="G201" s="26" t="n">
        <f aca="false">F201*C201</f>
        <v>1756.19127452459</v>
      </c>
      <c r="H201" s="26" t="n">
        <f aca="false">E201*G201/(1+D201)^9</f>
        <v>7330.9077471128</v>
      </c>
      <c r="I201" s="26" t="n">
        <f aca="false">$B$13*G201/$B$12*((1+$B$8)/(1+D201))^4.5</f>
        <v>2712.43618027033</v>
      </c>
      <c r="J201" s="26" t="n">
        <f aca="false">H201+I201+$B$14</f>
        <v>12129.7428054653</v>
      </c>
      <c r="K201" s="44" t="n">
        <f aca="false">J201/$B$15</f>
        <v>19.2535600086751</v>
      </c>
    </row>
    <row r="202" customFormat="false" ht="15" hidden="false" customHeight="false" outlineLevel="0" collapsed="false">
      <c r="A202" s="52" t="n">
        <v>162</v>
      </c>
      <c r="B202" s="21" t="n">
        <f aca="true">NORMINV(RAND(),$B$6,$C$6)</f>
        <v>0.199994286527696</v>
      </c>
      <c r="C202" s="21" t="n">
        <f aca="true">MAX(0.03,NORMINV(RAND(),$B$7,$C$7))</f>
        <v>0.172207293246538</v>
      </c>
      <c r="D202" s="33" t="n">
        <f aca="true">MAX(0.08,NORMINV(RAND(),$B$8,$C$8))</f>
        <v>0.122808117495967</v>
      </c>
      <c r="E202" s="48" t="n">
        <f aca="true">MAX(4,NORMINV(RAND(),$B$9,$C$9))</f>
        <v>13.2663328784873</v>
      </c>
      <c r="F202" s="26" t="n">
        <f aca="false">$B$18*(1+(B202+$B$17)/2)^9</f>
        <v>7998.32970391412</v>
      </c>
      <c r="G202" s="26" t="n">
        <f aca="false">F202*C202</f>
        <v>1377.37070880443</v>
      </c>
      <c r="H202" s="26" t="n">
        <f aca="false">E202*G202/(1+D202)^9</f>
        <v>6442.46161348138</v>
      </c>
      <c r="I202" s="26" t="n">
        <f aca="false">$B$13*G202/$B$12*((1+$B$8)/(1+D202))^4.5</f>
        <v>2210.81943839996</v>
      </c>
      <c r="J202" s="26" t="n">
        <f aca="false">H202+I202+$B$14</f>
        <v>10739.6799299635</v>
      </c>
      <c r="K202" s="44" t="n">
        <f aca="false">J202/$B$15</f>
        <v>17.0471109999421</v>
      </c>
    </row>
    <row r="203" customFormat="false" ht="15" hidden="false" customHeight="false" outlineLevel="0" collapsed="false">
      <c r="A203" s="52" t="n">
        <v>163</v>
      </c>
      <c r="B203" s="21" t="n">
        <f aca="true">NORMINV(RAND(),$B$6,$C$6)</f>
        <v>0.206837537678241</v>
      </c>
      <c r="C203" s="21" t="n">
        <f aca="true">MAX(0.03,NORMINV(RAND(),$B$7,$C$7))</f>
        <v>0.230581223407868</v>
      </c>
      <c r="D203" s="33" t="n">
        <f aca="true">MAX(0.08,NORMINV(RAND(),$B$8,$C$8))</f>
        <v>0.127143397542098</v>
      </c>
      <c r="E203" s="48" t="n">
        <f aca="true">MAX(4,NORMINV(RAND(),$B$9,$C$9))</f>
        <v>10.5629692753962</v>
      </c>
      <c r="F203" s="26" t="n">
        <f aca="false">$B$18*(1+(B203+$B$17)/2)^9</f>
        <v>8219.9511336475</v>
      </c>
      <c r="G203" s="26" t="n">
        <f aca="false">F203*C203</f>
        <v>1895.36638874933</v>
      </c>
      <c r="H203" s="26" t="n">
        <f aca="false">E203*G203/(1+D203)^9</f>
        <v>6818.15152530123</v>
      </c>
      <c r="I203" s="26" t="n">
        <f aca="false">$B$13*G203/$B$12*((1+$B$8)/(1+D203))^4.5</f>
        <v>2989.95245092541</v>
      </c>
      <c r="J203" s="26" t="n">
        <f aca="false">H203+I203+$B$14</f>
        <v>11894.5028543088</v>
      </c>
      <c r="K203" s="44" t="n">
        <f aca="false">J203/$B$15</f>
        <v>18.8801632608077</v>
      </c>
    </row>
    <row r="204" customFormat="false" ht="15" hidden="false" customHeight="false" outlineLevel="0" collapsed="false">
      <c r="A204" s="52" t="n">
        <v>164</v>
      </c>
      <c r="B204" s="21" t="n">
        <f aca="true">NORMINV(RAND(),$B$6,$C$6)</f>
        <v>0.216085413357175</v>
      </c>
      <c r="C204" s="21" t="n">
        <f aca="true">MAX(0.03,NORMINV(RAND(),$B$7,$C$7))</f>
        <v>0.210864081007262</v>
      </c>
      <c r="D204" s="33" t="n">
        <f aca="true">MAX(0.08,NORMINV(RAND(),$B$8,$C$8))</f>
        <v>0.134087576042067</v>
      </c>
      <c r="E204" s="48" t="n">
        <f aca="true">MAX(4,NORMINV(RAND(),$B$9,$C$9))</f>
        <v>11.6784183541795</v>
      </c>
      <c r="F204" s="26" t="n">
        <f aca="false">$B$18*(1+(B204+$B$17)/2)^9</f>
        <v>8528.11488593624</v>
      </c>
      <c r="G204" s="26" t="n">
        <f aca="false">F204*C204</f>
        <v>1798.2731081473</v>
      </c>
      <c r="H204" s="26" t="n">
        <f aca="false">E204*G204/(1+D204)^9</f>
        <v>6767.37657554378</v>
      </c>
      <c r="I204" s="26" t="n">
        <f aca="false">$B$13*G204/$B$12*((1+$B$8)/(1+D204))^4.5</f>
        <v>2759.4552827944</v>
      </c>
      <c r="J204" s="26" t="n">
        <f aca="false">H204+I204+$B$14</f>
        <v>11613.2307364204</v>
      </c>
      <c r="K204" s="44" t="n">
        <f aca="false">J204/$B$15</f>
        <v>18.4336995816196</v>
      </c>
    </row>
    <row r="205" customFormat="false" ht="15" hidden="false" customHeight="false" outlineLevel="0" collapsed="false">
      <c r="A205" s="52" t="n">
        <v>165</v>
      </c>
      <c r="B205" s="21" t="n">
        <f aca="true">NORMINV(RAND(),$B$6,$C$6)</f>
        <v>0.183978874946405</v>
      </c>
      <c r="C205" s="21" t="n">
        <f aca="true">MAX(0.03,NORMINV(RAND(),$B$7,$C$7))</f>
        <v>0.211172422945912</v>
      </c>
      <c r="D205" s="33" t="n">
        <f aca="true">MAX(0.08,NORMINV(RAND(),$B$8,$C$8))</f>
        <v>0.140193074801929</v>
      </c>
      <c r="E205" s="48" t="n">
        <f aca="true">MAX(4,NORMINV(RAND(),$B$9,$C$9))</f>
        <v>11.152373135221</v>
      </c>
      <c r="F205" s="26" t="n">
        <f aca="false">$B$18*(1+(B205+$B$17)/2)^9</f>
        <v>7500.29115798663</v>
      </c>
      <c r="G205" s="26" t="n">
        <f aca="false">F205*C205</f>
        <v>1583.85465663184</v>
      </c>
      <c r="H205" s="26" t="n">
        <f aca="false">E205*G205/(1+D205)^9</f>
        <v>5423.46731624659</v>
      </c>
      <c r="I205" s="26" t="n">
        <f aca="false">$B$13*G205/$B$12*((1+$B$8)/(1+D205))^4.5</f>
        <v>2372.41089098191</v>
      </c>
      <c r="J205" s="26" t="n">
        <f aca="false">H205+I205+$B$14</f>
        <v>9882.2770853107</v>
      </c>
      <c r="K205" s="44" t="n">
        <f aca="false">J205/$B$15</f>
        <v>15.6861541036678</v>
      </c>
    </row>
    <row r="206" customFormat="false" ht="15" hidden="false" customHeight="false" outlineLevel="0" collapsed="false">
      <c r="A206" s="52" t="n">
        <v>166</v>
      </c>
      <c r="B206" s="21" t="n">
        <f aca="true">NORMINV(RAND(),$B$6,$C$6)</f>
        <v>0.216623049324903</v>
      </c>
      <c r="C206" s="21" t="n">
        <f aca="true">MAX(0.03,NORMINV(RAND(),$B$7,$C$7))</f>
        <v>0.231953140332233</v>
      </c>
      <c r="D206" s="33" t="n">
        <f aca="true">MAX(0.08,NORMINV(RAND(),$B$8,$C$8))</f>
        <v>0.136659689977484</v>
      </c>
      <c r="E206" s="48" t="n">
        <f aca="true">MAX(4,NORMINV(RAND(),$B$9,$C$9))</f>
        <v>9.85473914005892</v>
      </c>
      <c r="F206" s="26" t="n">
        <f aca="false">$B$18*(1+(B206+$B$17)/2)^9</f>
        <v>8546.34207822629</v>
      </c>
      <c r="G206" s="26" t="n">
        <f aca="false">F206*C206</f>
        <v>1982.35088339809</v>
      </c>
      <c r="H206" s="26" t="n">
        <f aca="false">E206*G206/(1+D206)^9</f>
        <v>6168.1018136189</v>
      </c>
      <c r="I206" s="26" t="n">
        <f aca="false">$B$13*G206/$B$12*((1+$B$8)/(1+D206))^4.5</f>
        <v>3011.06993935876</v>
      </c>
      <c r="J206" s="26" t="n">
        <f aca="false">H206+I206+$B$14</f>
        <v>11265.5706310598</v>
      </c>
      <c r="K206" s="44" t="n">
        <f aca="false">J206/$B$15</f>
        <v>17.8818581445394</v>
      </c>
    </row>
    <row r="207" customFormat="false" ht="15" hidden="false" customHeight="false" outlineLevel="0" collapsed="false">
      <c r="A207" s="52" t="n">
        <v>167</v>
      </c>
      <c r="B207" s="21" t="n">
        <f aca="true">NORMINV(RAND(),$B$6,$C$6)</f>
        <v>0.203851913905934</v>
      </c>
      <c r="C207" s="21" t="n">
        <f aca="true">MAX(0.03,NORMINV(RAND(),$B$7,$C$7))</f>
        <v>0.234506658439323</v>
      </c>
      <c r="D207" s="33" t="n">
        <f aca="true">MAX(0.08,NORMINV(RAND(),$B$8,$C$8))</f>
        <v>0.135134223755579</v>
      </c>
      <c r="E207" s="48" t="n">
        <f aca="true">MAX(4,NORMINV(RAND(),$B$9,$C$9))</f>
        <v>12.8683791639481</v>
      </c>
      <c r="F207" s="26" t="n">
        <f aca="false">$B$18*(1+(B207+$B$17)/2)^9</f>
        <v>8122.59812222425</v>
      </c>
      <c r="G207" s="26" t="n">
        <f aca="false">F207*C207</f>
        <v>1904.80334348833</v>
      </c>
      <c r="H207" s="26" t="n">
        <f aca="false">E207*G207/(1+D207)^9</f>
        <v>7833.37711224505</v>
      </c>
      <c r="I207" s="26" t="n">
        <f aca="false">$B$13*G207/$B$12*((1+$B$8)/(1+D207))^4.5</f>
        <v>2910.81794493433</v>
      </c>
      <c r="J207" s="26" t="n">
        <f aca="false">H207+I207+$B$14</f>
        <v>12830.5939352616</v>
      </c>
      <c r="K207" s="44" t="n">
        <f aca="false">J207/$B$15</f>
        <v>20.3660221194628</v>
      </c>
    </row>
    <row r="208" customFormat="false" ht="15" hidden="false" customHeight="false" outlineLevel="0" collapsed="false">
      <c r="A208" s="52" t="n">
        <v>168</v>
      </c>
      <c r="B208" s="21" t="n">
        <f aca="true">NORMINV(RAND(),$B$6,$C$6)</f>
        <v>0.185915734996364</v>
      </c>
      <c r="C208" s="21" t="n">
        <f aca="true">MAX(0.03,NORMINV(RAND(),$B$7,$C$7))</f>
        <v>0.187361347831824</v>
      </c>
      <c r="D208" s="33" t="n">
        <f aca="true">MAX(0.08,NORMINV(RAND(),$B$8,$C$8))</f>
        <v>0.121930481780224</v>
      </c>
      <c r="E208" s="48" t="n">
        <f aca="true">MAX(4,NORMINV(RAND(),$B$9,$C$9))</f>
        <v>12.0555367428223</v>
      </c>
      <c r="F208" s="26" t="n">
        <f aca="false">$B$18*(1+(B208+$B$17)/2)^9</f>
        <v>7559.01931604906</v>
      </c>
      <c r="G208" s="26" t="n">
        <f aca="false">F208*C208</f>
        <v>1416.26804734174</v>
      </c>
      <c r="H208" s="26" t="n">
        <f aca="false">E208*G208/(1+D208)^9</f>
        <v>6062.31474103636</v>
      </c>
      <c r="I208" s="26" t="n">
        <f aca="false">$B$13*G208/$B$12*((1+$B$8)/(1+D208))^4.5</f>
        <v>2281.26675446257</v>
      </c>
      <c r="J208" s="26" t="n">
        <f aca="false">H208+I208+$B$14</f>
        <v>10429.9803735811</v>
      </c>
      <c r="K208" s="44" t="n">
        <f aca="false">J208/$B$15</f>
        <v>16.5555244025097</v>
      </c>
    </row>
    <row r="209" customFormat="false" ht="15" hidden="false" customHeight="false" outlineLevel="0" collapsed="false">
      <c r="A209" s="52" t="n">
        <v>169</v>
      </c>
      <c r="B209" s="21" t="n">
        <f aca="true">NORMINV(RAND(),$B$6,$C$6)</f>
        <v>0.180302359358753</v>
      </c>
      <c r="C209" s="21" t="n">
        <f aca="true">MAX(0.03,NORMINV(RAND(),$B$7,$C$7))</f>
        <v>0.179095292394689</v>
      </c>
      <c r="D209" s="33" t="n">
        <f aca="true">MAX(0.08,NORMINV(RAND(),$B$8,$C$8))</f>
        <v>0.131349846027836</v>
      </c>
      <c r="E209" s="48" t="n">
        <f aca="true">MAX(4,NORMINV(RAND(),$B$9,$C$9))</f>
        <v>10.5957298371707</v>
      </c>
      <c r="F209" s="26" t="n">
        <f aca="false">$B$18*(1+(B209+$B$17)/2)^9</f>
        <v>7389.92888502</v>
      </c>
      <c r="G209" s="26" t="n">
        <f aca="false">F209*C209</f>
        <v>1323.50147443861</v>
      </c>
      <c r="H209" s="26" t="n">
        <f aca="false">E209*G209/(1+D209)^9</f>
        <v>4618.30921236578</v>
      </c>
      <c r="I209" s="26" t="n">
        <f aca="false">$B$13*G209/$B$12*((1+$B$8)/(1+D209))^4.5</f>
        <v>2053.1262630698</v>
      </c>
      <c r="J209" s="26" t="n">
        <f aca="false">H209+I209+$B$14</f>
        <v>8757.83435351777</v>
      </c>
      <c r="K209" s="44" t="n">
        <f aca="false">J209/$B$15</f>
        <v>13.9013243706631</v>
      </c>
    </row>
    <row r="210" customFormat="false" ht="15" hidden="false" customHeight="false" outlineLevel="0" collapsed="false">
      <c r="A210" s="52" t="n">
        <v>170</v>
      </c>
      <c r="B210" s="21" t="n">
        <f aca="true">NORMINV(RAND(),$B$6,$C$6)</f>
        <v>0.240947258268536</v>
      </c>
      <c r="C210" s="21" t="n">
        <f aca="true">MAX(0.03,NORMINV(RAND(),$B$7,$C$7))</f>
        <v>0.250087363774475</v>
      </c>
      <c r="D210" s="33" t="n">
        <f aca="true">MAX(0.08,NORMINV(RAND(),$B$8,$C$8))</f>
        <v>0.1350120384168</v>
      </c>
      <c r="E210" s="48" t="n">
        <f aca="true">MAX(4,NORMINV(RAND(),$B$9,$C$9))</f>
        <v>11.3623762519294</v>
      </c>
      <c r="F210" s="26" t="n">
        <f aca="false">$B$18*(1+(B210+$B$17)/2)^9</f>
        <v>9408.10995292546</v>
      </c>
      <c r="G210" s="26" t="n">
        <f aca="false">F210*C210</f>
        <v>2352.84941622752</v>
      </c>
      <c r="H210" s="26" t="n">
        <f aca="false">E210*G210/(1+D210)^9</f>
        <v>8551.83058049075</v>
      </c>
      <c r="I210" s="26" t="n">
        <f aca="false">$B$13*G210/$B$12*((1+$B$8)/(1+D210))^4.5</f>
        <v>3597.23993318659</v>
      </c>
      <c r="J210" s="26" t="n">
        <f aca="false">H210+I210+$B$14</f>
        <v>14235.4693917595</v>
      </c>
      <c r="K210" s="44" t="n">
        <f aca="false">J210/$B$15</f>
        <v>22.5959831615231</v>
      </c>
    </row>
    <row r="211" customFormat="false" ht="15" hidden="false" customHeight="false" outlineLevel="0" collapsed="false">
      <c r="A211" s="52" t="n">
        <v>171</v>
      </c>
      <c r="B211" s="21" t="n">
        <f aca="true">NORMINV(RAND(),$B$6,$C$6)</f>
        <v>0.151153764857137</v>
      </c>
      <c r="C211" s="21" t="n">
        <f aca="true">MAX(0.03,NORMINV(RAND(),$B$7,$C$7))</f>
        <v>0.205726959793556</v>
      </c>
      <c r="D211" s="33" t="n">
        <f aca="true">MAX(0.08,NORMINV(RAND(),$B$8,$C$8))</f>
        <v>0.140581737473217</v>
      </c>
      <c r="E211" s="48" t="n">
        <f aca="true">MAX(4,NORMINV(RAND(),$B$9,$C$9))</f>
        <v>13.2171973011385</v>
      </c>
      <c r="F211" s="26" t="n">
        <f aca="false">$B$18*(1+(B211+$B$17)/2)^9</f>
        <v>6564.77736019836</v>
      </c>
      <c r="G211" s="26" t="n">
        <f aca="false">F211*C211</f>
        <v>1350.55168803517</v>
      </c>
      <c r="H211" s="26" t="n">
        <f aca="false">E211*G211/(1+D211)^9</f>
        <v>5464.0273063732</v>
      </c>
      <c r="I211" s="26" t="n">
        <f aca="false">$B$13*G211/$B$12*((1+$B$8)/(1+D211))^4.5</f>
        <v>2019.85283109065</v>
      </c>
      <c r="J211" s="26" t="n">
        <f aca="false">H211+I211+$B$14</f>
        <v>9570.27901554603</v>
      </c>
      <c r="K211" s="44" t="n">
        <f aca="false">J211/$B$15</f>
        <v>15.1909190722953</v>
      </c>
    </row>
    <row r="212" customFormat="false" ht="15" hidden="false" customHeight="false" outlineLevel="0" collapsed="false">
      <c r="A212" s="52" t="n">
        <v>172</v>
      </c>
      <c r="B212" s="21" t="n">
        <f aca="true">NORMINV(RAND(),$B$6,$C$6)</f>
        <v>0.21849473817533</v>
      </c>
      <c r="C212" s="21" t="n">
        <f aca="true">MAX(0.03,NORMINV(RAND(),$B$7,$C$7))</f>
        <v>0.208761717870917</v>
      </c>
      <c r="D212" s="33" t="n">
        <f aca="true">MAX(0.08,NORMINV(RAND(),$B$8,$C$8))</f>
        <v>0.129899680413917</v>
      </c>
      <c r="E212" s="48" t="n">
        <f aca="true">MAX(4,NORMINV(RAND(),$B$9,$C$9))</f>
        <v>14.5476086552574</v>
      </c>
      <c r="F212" s="26" t="n">
        <f aca="false">$B$18*(1+(B212+$B$17)/2)^9</f>
        <v>8610.06739779406</v>
      </c>
      <c r="G212" s="26" t="n">
        <f aca="false">F212*C212</f>
        <v>1797.45246094787</v>
      </c>
      <c r="H212" s="26" t="n">
        <f aca="false">E212*G212/(1+D212)^9</f>
        <v>8711.44201722393</v>
      </c>
      <c r="I212" s="26" t="n">
        <f aca="false">$B$13*G212/$B$12*((1+$B$8)/(1+D212))^4.5</f>
        <v>2804.4991013646</v>
      </c>
      <c r="J212" s="26" t="n">
        <f aca="false">H212+I212+$B$14</f>
        <v>13602.3399966707</v>
      </c>
      <c r="K212" s="44" t="n">
        <f aca="false">J212/$B$15</f>
        <v>21.5910158677313</v>
      </c>
    </row>
    <row r="213" customFormat="false" ht="15" hidden="false" customHeight="false" outlineLevel="0" collapsed="false">
      <c r="A213" s="52" t="n">
        <v>173</v>
      </c>
      <c r="B213" s="21" t="n">
        <f aca="true">NORMINV(RAND(),$B$6,$C$6)</f>
        <v>0.264133711846526</v>
      </c>
      <c r="C213" s="21" t="n">
        <f aca="true">MAX(0.03,NORMINV(RAND(),$B$7,$C$7))</f>
        <v>0.234284235790936</v>
      </c>
      <c r="D213" s="33" t="n">
        <f aca="true">MAX(0.08,NORMINV(RAND(),$B$8,$C$8))</f>
        <v>0.125940617219029</v>
      </c>
      <c r="E213" s="48" t="n">
        <f aca="true">MAX(4,NORMINV(RAND(),$B$9,$C$9))</f>
        <v>14.6816381084609</v>
      </c>
      <c r="F213" s="26" t="n">
        <f aca="false">$B$18*(1+(B213+$B$17)/2)^9</f>
        <v>10300.6019932928</v>
      </c>
      <c r="G213" s="26" t="n">
        <f aca="false">F213*C213</f>
        <v>2413.26866618519</v>
      </c>
      <c r="H213" s="26" t="n">
        <f aca="false">E213*G213/(1+D213)^9</f>
        <v>12182.6232386719</v>
      </c>
      <c r="I213" s="26" t="n">
        <f aca="false">$B$13*G213/$B$12*((1+$B$8)/(1+D213))^4.5</f>
        <v>3825.28118744634</v>
      </c>
      <c r="J213" s="26" t="n">
        <f aca="false">H213+I213+$B$14</f>
        <v>18094.3033042004</v>
      </c>
      <c r="K213" s="44" t="n">
        <f aca="false">J213/$B$15</f>
        <v>28.7211163558737</v>
      </c>
    </row>
    <row r="214" customFormat="false" ht="15" hidden="false" customHeight="false" outlineLevel="0" collapsed="false">
      <c r="A214" s="52" t="n">
        <v>174</v>
      </c>
      <c r="B214" s="21" t="n">
        <f aca="true">NORMINV(RAND(),$B$6,$C$6)</f>
        <v>0.263645046395425</v>
      </c>
      <c r="C214" s="21" t="n">
        <f aca="true">MAX(0.03,NORMINV(RAND(),$B$7,$C$7))</f>
        <v>0.196655391892705</v>
      </c>
      <c r="D214" s="33" t="n">
        <f aca="true">MAX(0.08,NORMINV(RAND(),$B$8,$C$8))</f>
        <v>0.140134307495598</v>
      </c>
      <c r="E214" s="48" t="n">
        <f aca="true">MAX(4,NORMINV(RAND(),$B$9,$C$9))</f>
        <v>13.7867614722489</v>
      </c>
      <c r="F214" s="26" t="n">
        <f aca="false">$B$18*(1+(B214+$B$17)/2)^9</f>
        <v>10281.0423245274</v>
      </c>
      <c r="G214" s="26" t="n">
        <f aca="false">F214*C214</f>
        <v>2021.82240739543</v>
      </c>
      <c r="H214" s="26" t="n">
        <f aca="false">E214*G214/(1+D214)^9</f>
        <v>8562.51095631169</v>
      </c>
      <c r="I214" s="26" t="n">
        <f aca="false">$B$13*G214/$B$12*((1+$B$8)/(1+D214))^4.5</f>
        <v>3029.13284606605</v>
      </c>
      <c r="J214" s="26" t="n">
        <f aca="false">H214+I214+$B$14</f>
        <v>13678.0426804599</v>
      </c>
      <c r="K214" s="44" t="n">
        <f aca="false">J214/$B$15</f>
        <v>21.7111788578729</v>
      </c>
    </row>
    <row r="215" customFormat="false" ht="15" hidden="false" customHeight="false" outlineLevel="0" collapsed="false">
      <c r="A215" s="52" t="n">
        <v>175</v>
      </c>
      <c r="B215" s="21" t="n">
        <f aca="true">NORMINV(RAND(),$B$6,$C$6)</f>
        <v>0.15218160627357</v>
      </c>
      <c r="C215" s="21" t="n">
        <f aca="true">MAX(0.03,NORMINV(RAND(),$B$7,$C$7))</f>
        <v>0.215285084127471</v>
      </c>
      <c r="D215" s="33" t="n">
        <f aca="true">MAX(0.08,NORMINV(RAND(),$B$8,$C$8))</f>
        <v>0.126208202466781</v>
      </c>
      <c r="E215" s="48" t="n">
        <f aca="true">MAX(4,NORMINV(RAND(),$B$9,$C$9))</f>
        <v>6.94931436561627</v>
      </c>
      <c r="F215" s="26" t="n">
        <f aca="false">$B$18*(1+(B215+$B$17)/2)^9</f>
        <v>6592.41809309681</v>
      </c>
      <c r="G215" s="26" t="n">
        <f aca="false">F215*C215</f>
        <v>1419.24928377581</v>
      </c>
      <c r="H215" s="26" t="n">
        <f aca="false">E215*G215/(1+D215)^9</f>
        <v>3384.01646264021</v>
      </c>
      <c r="I215" s="26" t="n">
        <f aca="false">$B$13*G215/$B$12*((1+$B$8)/(1+D215))^4.5</f>
        <v>2247.25302980832</v>
      </c>
      <c r="J215" s="26" t="n">
        <f aca="false">H215+I215+$B$14</f>
        <v>7717.66837053072</v>
      </c>
      <c r="K215" s="44" t="n">
        <f aca="false">J215/$B$15</f>
        <v>12.2502672548107</v>
      </c>
    </row>
    <row r="216" customFormat="false" ht="15" hidden="false" customHeight="false" outlineLevel="0" collapsed="false">
      <c r="A216" s="52" t="n">
        <v>176</v>
      </c>
      <c r="B216" s="21" t="n">
        <f aca="true">NORMINV(RAND(),$B$6,$C$6)</f>
        <v>0.286890175340118</v>
      </c>
      <c r="C216" s="21" t="n">
        <f aca="true">MAX(0.03,NORMINV(RAND(),$B$7,$C$7))</f>
        <v>0.238044616284587</v>
      </c>
      <c r="D216" s="33" t="n">
        <f aca="true">MAX(0.08,NORMINV(RAND(),$B$8,$C$8))</f>
        <v>0.144529083412222</v>
      </c>
      <c r="E216" s="48" t="n">
        <f aca="true">MAX(4,NORMINV(RAND(),$B$9,$C$9))</f>
        <v>12.0555196422392</v>
      </c>
      <c r="F216" s="26" t="n">
        <f aca="false">$B$18*(1+(B216+$B$17)/2)^9</f>
        <v>11248.9319474457</v>
      </c>
      <c r="G216" s="26" t="n">
        <f aca="false">F216*C216</f>
        <v>2677.74768904115</v>
      </c>
      <c r="H216" s="26" t="n">
        <f aca="false">E216*G216/(1+D216)^9</f>
        <v>9578.86586615272</v>
      </c>
      <c r="I216" s="26" t="n">
        <f aca="false">$B$13*G216/$B$12*((1+$B$8)/(1+D216))^4.5</f>
        <v>3942.99551734828</v>
      </c>
      <c r="J216" s="26" t="n">
        <f aca="false">H216+I216+$B$14</f>
        <v>15608.2602615832</v>
      </c>
      <c r="K216" s="44" t="n">
        <f aca="false">J216/$B$15</f>
        <v>24.7750162882273</v>
      </c>
    </row>
    <row r="217" customFormat="false" ht="15" hidden="false" customHeight="false" outlineLevel="0" collapsed="false">
      <c r="A217" s="52" t="n">
        <v>177</v>
      </c>
      <c r="B217" s="21" t="n">
        <f aca="true">NORMINV(RAND(),$B$6,$C$6)</f>
        <v>0.259769428995936</v>
      </c>
      <c r="C217" s="21" t="n">
        <f aca="true">MAX(0.03,NORMINV(RAND(),$B$7,$C$7))</f>
        <v>0.222059736336445</v>
      </c>
      <c r="D217" s="33" t="n">
        <f aca="true">MAX(0.08,NORMINV(RAND(),$B$8,$C$8))</f>
        <v>0.111021573461879</v>
      </c>
      <c r="E217" s="48" t="n">
        <f aca="true">MAX(4,NORMINV(RAND(),$B$9,$C$9))</f>
        <v>10.8561249321289</v>
      </c>
      <c r="F217" s="26" t="n">
        <f aca="false">$B$18*(1+(B217+$B$17)/2)^9</f>
        <v>10127.0796377372</v>
      </c>
      <c r="G217" s="26" t="n">
        <f aca="false">F217*C217</f>
        <v>2248.81663421412</v>
      </c>
      <c r="H217" s="26" t="n">
        <f aca="false">E217*G217/(1+D217)^9</f>
        <v>9465.12708453839</v>
      </c>
      <c r="I217" s="26" t="n">
        <f aca="false">$B$13*G217/$B$12*((1+$B$8)/(1+D217))^4.5</f>
        <v>3785.12485253615</v>
      </c>
      <c r="J217" s="26" t="n">
        <f aca="false">H217+I217+$B$14</f>
        <v>15336.6508151567</v>
      </c>
      <c r="K217" s="44" t="n">
        <f aca="false">J217/$B$15</f>
        <v>24.3438901827885</v>
      </c>
    </row>
    <row r="218" customFormat="false" ht="15" hidden="false" customHeight="false" outlineLevel="0" collapsed="false">
      <c r="A218" s="52" t="n">
        <v>178</v>
      </c>
      <c r="B218" s="21" t="n">
        <f aca="true">NORMINV(RAND(),$B$6,$C$6)</f>
        <v>0.242929401175311</v>
      </c>
      <c r="C218" s="21" t="n">
        <f aca="true">MAX(0.03,NORMINV(RAND(),$B$7,$C$7))</f>
        <v>0.129668241248605</v>
      </c>
      <c r="D218" s="33" t="n">
        <f aca="true">MAX(0.08,NORMINV(RAND(),$B$8,$C$8))</f>
        <v>0.113083439443982</v>
      </c>
      <c r="E218" s="48" t="n">
        <f aca="true">MAX(4,NORMINV(RAND(),$B$9,$C$9))</f>
        <v>13.3098914809421</v>
      </c>
      <c r="F218" s="26" t="n">
        <f aca="false">$B$18*(1+(B218+$B$17)/2)^9</f>
        <v>9481.62364185931</v>
      </c>
      <c r="G218" s="26" t="n">
        <f aca="false">F218*C218</f>
        <v>1229.46546182109</v>
      </c>
      <c r="H218" s="26" t="n">
        <f aca="false">E218*G218/(1+D218)^9</f>
        <v>6239.37883891302</v>
      </c>
      <c r="I218" s="26" t="n">
        <f aca="false">$B$13*G218/$B$12*((1+$B$8)/(1+D218))^4.5</f>
        <v>2052.19660775246</v>
      </c>
      <c r="J218" s="26" t="n">
        <f aca="false">H218+I218+$B$14</f>
        <v>10377.9743247477</v>
      </c>
      <c r="K218" s="44" t="n">
        <f aca="false">J218/$B$15</f>
        <v>16.4729751186471</v>
      </c>
    </row>
    <row r="219" customFormat="false" ht="15" hidden="false" customHeight="false" outlineLevel="0" collapsed="false">
      <c r="A219" s="52" t="n">
        <v>179</v>
      </c>
      <c r="B219" s="21" t="n">
        <f aca="true">NORMINV(RAND(),$B$6,$C$6)</f>
        <v>0.13318705344233</v>
      </c>
      <c r="C219" s="21" t="n">
        <f aca="true">MAX(0.03,NORMINV(RAND(),$B$7,$C$7))</f>
        <v>0.236419198092368</v>
      </c>
      <c r="D219" s="33" t="n">
        <f aca="true">MAX(0.08,NORMINV(RAND(),$B$8,$C$8))</f>
        <v>0.136871179492211</v>
      </c>
      <c r="E219" s="48" t="n">
        <f aca="true">MAX(4,NORMINV(RAND(),$B$9,$C$9))</f>
        <v>13.0167461156041</v>
      </c>
      <c r="F219" s="26" t="n">
        <f aca="false">$B$18*(1+(B219+$B$17)/2)^9</f>
        <v>6097.9672847814</v>
      </c>
      <c r="G219" s="26" t="n">
        <f aca="false">F219*C219</f>
        <v>1441.67653546151</v>
      </c>
      <c r="H219" s="26" t="n">
        <f aca="false">E219*G219/(1+D219)^9</f>
        <v>5915.19344229172</v>
      </c>
      <c r="I219" s="26" t="n">
        <f aca="false">$B$13*G219/$B$12*((1+$B$8)/(1+D219))^4.5</f>
        <v>2187.9860668735</v>
      </c>
      <c r="J219" s="26" t="n">
        <f aca="false">H219+I219+$B$14</f>
        <v>10189.5783872474</v>
      </c>
      <c r="K219" s="44" t="n">
        <f aca="false">J219/$B$15</f>
        <v>16.1739339480118</v>
      </c>
    </row>
    <row r="220" customFormat="false" ht="15" hidden="false" customHeight="false" outlineLevel="0" collapsed="false">
      <c r="A220" s="52" t="n">
        <v>180</v>
      </c>
      <c r="B220" s="21" t="n">
        <f aca="true">NORMINV(RAND(),$B$6,$C$6)</f>
        <v>0.159604785166673</v>
      </c>
      <c r="C220" s="21" t="n">
        <f aca="true">MAX(0.03,NORMINV(RAND(),$B$7,$C$7))</f>
        <v>0.245714177265987</v>
      </c>
      <c r="D220" s="33" t="n">
        <f aca="true">MAX(0.08,NORMINV(RAND(),$B$8,$C$8))</f>
        <v>0.127160285882535</v>
      </c>
      <c r="E220" s="48" t="n">
        <f aca="true">MAX(4,NORMINV(RAND(),$B$9,$C$9))</f>
        <v>14.989581090212</v>
      </c>
      <c r="F220" s="26" t="n">
        <f aca="false">$B$18*(1+(B220+$B$17)/2)^9</f>
        <v>6795.13329817661</v>
      </c>
      <c r="G220" s="26" t="n">
        <f aca="false">F220*C220</f>
        <v>1669.66058777418</v>
      </c>
      <c r="H220" s="26" t="n">
        <f aca="false">E220*G220/(1+D220)^9</f>
        <v>8522.09919348094</v>
      </c>
      <c r="I220" s="26" t="n">
        <f aca="false">$B$13*G220/$B$12*((1+$B$8)/(1+D220))^4.5</f>
        <v>2633.72254100813</v>
      </c>
      <c r="J220" s="26" t="n">
        <f aca="false">H220+I220+$B$14</f>
        <v>13242.2206125713</v>
      </c>
      <c r="K220" s="44" t="n">
        <f aca="false">J220/$B$15</f>
        <v>21.0193977977322</v>
      </c>
    </row>
    <row r="221" customFormat="false" ht="15" hidden="false" customHeight="false" outlineLevel="0" collapsed="false">
      <c r="A221" s="52" t="n">
        <v>181</v>
      </c>
      <c r="B221" s="21" t="n">
        <f aca="true">NORMINV(RAND(),$B$6,$C$6)</f>
        <v>0.221262950413127</v>
      </c>
      <c r="C221" s="21" t="n">
        <f aca="true">MAX(0.03,NORMINV(RAND(),$B$7,$C$7))</f>
        <v>0.251069131502325</v>
      </c>
      <c r="D221" s="33" t="n">
        <f aca="true">MAX(0.08,NORMINV(RAND(),$B$8,$C$8))</f>
        <v>0.146390307929907</v>
      </c>
      <c r="E221" s="48" t="n">
        <f aca="true">MAX(4,NORMINV(RAND(),$B$9,$C$9))</f>
        <v>14.9317942737681</v>
      </c>
      <c r="F221" s="26" t="n">
        <f aca="false">$B$18*(1+(B221+$B$17)/2)^9</f>
        <v>8705.0909766141</v>
      </c>
      <c r="G221" s="26" t="n">
        <f aca="false">F221*C221</f>
        <v>2185.57963114723</v>
      </c>
      <c r="H221" s="26" t="n">
        <f aca="false">E221*G221/(1+D221)^9</f>
        <v>9543.02542710346</v>
      </c>
      <c r="I221" s="26" t="n">
        <f aca="false">$B$13*G221/$B$12*((1+$B$8)/(1+D221))^4.5</f>
        <v>3194.82987764248</v>
      </c>
      <c r="J221" s="26" t="n">
        <f aca="false">H221+I221+$B$14</f>
        <v>14824.2541828281</v>
      </c>
      <c r="K221" s="44" t="n">
        <f aca="false">J221/$B$15</f>
        <v>23.5305621949653</v>
      </c>
    </row>
    <row r="222" customFormat="false" ht="15" hidden="false" customHeight="false" outlineLevel="0" collapsed="false">
      <c r="A222" s="52" t="n">
        <v>182</v>
      </c>
      <c r="B222" s="21" t="n">
        <f aca="true">NORMINV(RAND(),$B$6,$C$6)</f>
        <v>0.204991293439137</v>
      </c>
      <c r="C222" s="21" t="n">
        <f aca="true">MAX(0.03,NORMINV(RAND(),$B$7,$C$7))</f>
        <v>0.17251825764557</v>
      </c>
      <c r="D222" s="33" t="n">
        <f aca="true">MAX(0.08,NORMINV(RAND(),$B$8,$C$8))</f>
        <v>0.121803855524651</v>
      </c>
      <c r="E222" s="48" t="n">
        <f aca="true">MAX(4,NORMINV(RAND(),$B$9,$C$9))</f>
        <v>11.659189192795</v>
      </c>
      <c r="F222" s="26" t="n">
        <f aca="false">$B$18*(1+(B222+$B$17)/2)^9</f>
        <v>8159.62856008569</v>
      </c>
      <c r="G222" s="26" t="n">
        <f aca="false">F222*C222</f>
        <v>1407.68490222101</v>
      </c>
      <c r="H222" s="26" t="n">
        <f aca="false">E222*G222/(1+D222)^9</f>
        <v>5833.39584042418</v>
      </c>
      <c r="I222" s="26" t="n">
        <f aca="false">$B$13*G222/$B$12*((1+$B$8)/(1+D222))^4.5</f>
        <v>2268.59334478703</v>
      </c>
      <c r="J222" s="26" t="n">
        <f aca="false">H222+I222+$B$14</f>
        <v>10188.3880632934</v>
      </c>
      <c r="K222" s="44" t="n">
        <f aca="false">J222/$B$15</f>
        <v>16.1720445449102</v>
      </c>
    </row>
    <row r="223" customFormat="false" ht="15" hidden="false" customHeight="false" outlineLevel="0" collapsed="false">
      <c r="A223" s="52" t="n">
        <v>183</v>
      </c>
      <c r="B223" s="21" t="n">
        <f aca="true">NORMINV(RAND(),$B$6,$C$6)</f>
        <v>0.243316764064104</v>
      </c>
      <c r="C223" s="21" t="n">
        <f aca="true">MAX(0.03,NORMINV(RAND(),$B$7,$C$7))</f>
        <v>0.237972185314259</v>
      </c>
      <c r="D223" s="33" t="n">
        <f aca="true">MAX(0.08,NORMINV(RAND(),$B$8,$C$8))</f>
        <v>0.116433008576552</v>
      </c>
      <c r="E223" s="48" t="n">
        <f aca="true">MAX(4,NORMINV(RAND(),$B$9,$C$9))</f>
        <v>14.4723572898912</v>
      </c>
      <c r="F223" s="26" t="n">
        <f aca="false">$B$18*(1+(B223+$B$17)/2)^9</f>
        <v>9496.04964564431</v>
      </c>
      <c r="G223" s="26" t="n">
        <f aca="false">F223*C223</f>
        <v>2259.79568602667</v>
      </c>
      <c r="H223" s="26" t="n">
        <f aca="false">E223*G223/(1+D223)^9</f>
        <v>12137.0861705502</v>
      </c>
      <c r="I223" s="26" t="n">
        <f aca="false">$B$13*G223/$B$12*((1+$B$8)/(1+D223))^4.5</f>
        <v>3721.34166770241</v>
      </c>
      <c r="J223" s="26" t="n">
        <f aca="false">H223+I223+$B$14</f>
        <v>17944.8267163348</v>
      </c>
      <c r="K223" s="44" t="n">
        <f aca="false">J223/$B$15</f>
        <v>28.4838519306901</v>
      </c>
    </row>
    <row r="224" customFormat="false" ht="15" hidden="false" customHeight="false" outlineLevel="0" collapsed="false">
      <c r="A224" s="52" t="n">
        <v>184</v>
      </c>
      <c r="B224" s="21" t="n">
        <f aca="true">NORMINV(RAND(),$B$6,$C$6)</f>
        <v>0.126818197797265</v>
      </c>
      <c r="C224" s="21" t="n">
        <f aca="true">MAX(0.03,NORMINV(RAND(),$B$7,$C$7))</f>
        <v>0.226791887272587</v>
      </c>
      <c r="D224" s="33" t="n">
        <f aca="true">MAX(0.08,NORMINV(RAND(),$B$8,$C$8))</f>
        <v>0.143959484388622</v>
      </c>
      <c r="E224" s="48" t="n">
        <f aca="true">MAX(4,NORMINV(RAND(),$B$9,$C$9))</f>
        <v>13.2756405746738</v>
      </c>
      <c r="F224" s="26" t="n">
        <f aca="false">$B$18*(1+(B224+$B$17)/2)^9</f>
        <v>5939.72036621872</v>
      </c>
      <c r="G224" s="26" t="n">
        <f aca="false">F224*C224</f>
        <v>1347.08039172617</v>
      </c>
      <c r="H224" s="26" t="n">
        <f aca="false">E224*G224/(1+D224)^9</f>
        <v>5330.31911890996</v>
      </c>
      <c r="I224" s="26" t="n">
        <f aca="false">$B$13*G224/$B$12*((1+$B$8)/(1+D224))^4.5</f>
        <v>1988.03029371275</v>
      </c>
      <c r="J224" s="26" t="n">
        <f aca="false">H224+I224+$B$14</f>
        <v>9404.7482907049</v>
      </c>
      <c r="K224" s="44" t="n">
        <f aca="false">J224/$B$15</f>
        <v>14.9281718900078</v>
      </c>
    </row>
    <row r="225" customFormat="false" ht="15" hidden="false" customHeight="false" outlineLevel="0" collapsed="false">
      <c r="A225" s="52" t="n">
        <v>185</v>
      </c>
      <c r="B225" s="21" t="n">
        <f aca="true">NORMINV(RAND(),$B$6,$C$6)</f>
        <v>0.202274897673065</v>
      </c>
      <c r="C225" s="21" t="n">
        <f aca="true">MAX(0.03,NORMINV(RAND(),$B$7,$C$7))</f>
        <v>0.256156282396517</v>
      </c>
      <c r="D225" s="33" t="n">
        <f aca="true">MAX(0.08,NORMINV(RAND(),$B$8,$C$8))</f>
        <v>0.117856024668698</v>
      </c>
      <c r="E225" s="48" t="n">
        <f aca="true">MAX(4,NORMINV(RAND(),$B$9,$C$9))</f>
        <v>9.10550302204318</v>
      </c>
      <c r="F225" s="26" t="n">
        <f aca="false">$B$18*(1+(B225+$B$17)/2)^9</f>
        <v>8071.59073887423</v>
      </c>
      <c r="G225" s="26" t="n">
        <f aca="false">F225*C225</f>
        <v>2067.58867669618</v>
      </c>
      <c r="H225" s="26" t="n">
        <f aca="false">E225*G225/(1+D225)^9</f>
        <v>6907.09201879364</v>
      </c>
      <c r="I225" s="26" t="n">
        <f aca="false">$B$13*G225/$B$12*((1+$B$8)/(1+D225))^4.5</f>
        <v>3385.36188574151</v>
      </c>
      <c r="J225" s="26" t="n">
        <f aca="false">H225+I225+$B$14</f>
        <v>12378.8527826173</v>
      </c>
      <c r="K225" s="44" t="n">
        <f aca="false">J225/$B$15</f>
        <v>19.6489726708212</v>
      </c>
    </row>
    <row r="226" customFormat="false" ht="15" hidden="false" customHeight="false" outlineLevel="0" collapsed="false">
      <c r="A226" s="52" t="n">
        <v>186</v>
      </c>
      <c r="B226" s="21" t="n">
        <f aca="true">NORMINV(RAND(),$B$6,$C$6)</f>
        <v>0.182200548360824</v>
      </c>
      <c r="C226" s="21" t="n">
        <f aca="true">MAX(0.03,NORMINV(RAND(),$B$7,$C$7))</f>
        <v>0.227221855596259</v>
      </c>
      <c r="D226" s="33" t="n">
        <f aca="true">MAX(0.08,NORMINV(RAND(),$B$8,$C$8))</f>
        <v>0.144776255948803</v>
      </c>
      <c r="E226" s="48" t="n">
        <f aca="true">MAX(4,NORMINV(RAND(),$B$9,$C$9))</f>
        <v>11.652387903275</v>
      </c>
      <c r="F226" s="26" t="n">
        <f aca="false">$B$18*(1+(B226+$B$17)/2)^9</f>
        <v>7446.72745373945</v>
      </c>
      <c r="G226" s="26" t="n">
        <f aca="false">F226*C226</f>
        <v>1692.05923015829</v>
      </c>
      <c r="H226" s="26" t="n">
        <f aca="false">E226*G226/(1+D226)^9</f>
        <v>5839.08742323736</v>
      </c>
      <c r="I226" s="26" t="n">
        <f aca="false">$B$13*G226/$B$12*((1+$B$8)/(1+D226))^4.5</f>
        <v>2489.14491221328</v>
      </c>
      <c r="J226" s="26" t="n">
        <f aca="false">H226+I226+$B$14</f>
        <v>10414.6312135328</v>
      </c>
      <c r="K226" s="44" t="n">
        <f aca="false">J226/$B$15</f>
        <v>16.5311606564013</v>
      </c>
    </row>
    <row r="227" customFormat="false" ht="15" hidden="false" customHeight="false" outlineLevel="0" collapsed="false">
      <c r="A227" s="52" t="n">
        <v>187</v>
      </c>
      <c r="B227" s="21" t="n">
        <f aca="true">NORMINV(RAND(),$B$6,$C$6)</f>
        <v>0.199683448112228</v>
      </c>
      <c r="C227" s="21" t="n">
        <f aca="true">MAX(0.03,NORMINV(RAND(),$B$7,$C$7))</f>
        <v>0.28430704337749</v>
      </c>
      <c r="D227" s="33" t="n">
        <f aca="true">MAX(0.08,NORMINV(RAND(),$B$8,$C$8))</f>
        <v>0.151632880659541</v>
      </c>
      <c r="E227" s="48" t="n">
        <f aca="true">MAX(4,NORMINV(RAND(),$B$9,$C$9))</f>
        <v>10.3938342172</v>
      </c>
      <c r="F227" s="26" t="n">
        <f aca="false">$B$18*(1+(B227+$B$17)/2)^9</f>
        <v>7988.39041987814</v>
      </c>
      <c r="G227" s="26" t="n">
        <f aca="false">F227*C227</f>
        <v>2271.15566162062</v>
      </c>
      <c r="H227" s="26" t="n">
        <f aca="false">E227*G227/(1+D227)^9</f>
        <v>6625.15711505488</v>
      </c>
      <c r="I227" s="26" t="n">
        <f aca="false">$B$13*G227/$B$12*((1+$B$8)/(1+D227))^4.5</f>
        <v>3252.4529827237</v>
      </c>
      <c r="J227" s="26" t="n">
        <f aca="false">H227+I227+$B$14</f>
        <v>11964.0089758608</v>
      </c>
      <c r="K227" s="44" t="n">
        <f aca="false">J227/$B$15</f>
        <v>18.9904904378742</v>
      </c>
    </row>
    <row r="228" customFormat="false" ht="15" hidden="false" customHeight="false" outlineLevel="0" collapsed="false">
      <c r="A228" s="52" t="n">
        <v>188</v>
      </c>
      <c r="B228" s="21" t="n">
        <f aca="true">NORMINV(RAND(),$B$6,$C$6)</f>
        <v>0.228178268390989</v>
      </c>
      <c r="C228" s="21" t="n">
        <f aca="true">MAX(0.03,NORMINV(RAND(),$B$7,$C$7))</f>
        <v>0.246018296209896</v>
      </c>
      <c r="D228" s="33" t="n">
        <f aca="true">MAX(0.08,NORMINV(RAND(),$B$8,$C$8))</f>
        <v>0.154937610607794</v>
      </c>
      <c r="E228" s="48" t="n">
        <f aca="true">MAX(4,NORMINV(RAND(),$B$9,$C$9))</f>
        <v>14.1730496893072</v>
      </c>
      <c r="F228" s="26" t="n">
        <f aca="false">$B$18*(1+(B228+$B$17)/2)^9</f>
        <v>8946.55647935536</v>
      </c>
      <c r="G228" s="26" t="n">
        <f aca="false">F228*C228</f>
        <v>2201.01658199661</v>
      </c>
      <c r="H228" s="26" t="n">
        <f aca="false">E228*G228/(1+D228)^9</f>
        <v>8532.17794798004</v>
      </c>
      <c r="I228" s="26" t="n">
        <f aca="false">$B$13*G228/$B$12*((1+$B$8)/(1+D228))^4.5</f>
        <v>3111.6255792967</v>
      </c>
      <c r="J228" s="26" t="n">
        <f aca="false">H228+I228+$B$14</f>
        <v>13730.2024053589</v>
      </c>
      <c r="K228" s="44" t="n">
        <f aca="false">J228/$B$15</f>
        <v>21.7939720719983</v>
      </c>
    </row>
    <row r="229" customFormat="false" ht="15" hidden="false" customHeight="false" outlineLevel="0" collapsed="false">
      <c r="A229" s="52" t="n">
        <v>189</v>
      </c>
      <c r="B229" s="21" t="n">
        <f aca="true">NORMINV(RAND(),$B$6,$C$6)</f>
        <v>0.170677168010317</v>
      </c>
      <c r="C229" s="21" t="n">
        <f aca="true">MAX(0.03,NORMINV(RAND(),$B$7,$C$7))</f>
        <v>0.154757384065223</v>
      </c>
      <c r="D229" s="33" t="n">
        <f aca="true">MAX(0.08,NORMINV(RAND(),$B$8,$C$8))</f>
        <v>0.126732837263834</v>
      </c>
      <c r="E229" s="48" t="n">
        <f aca="true">MAX(4,NORMINV(RAND(),$B$9,$C$9))</f>
        <v>12.9229849730765</v>
      </c>
      <c r="F229" s="26" t="n">
        <f aca="false">$B$18*(1+(B229+$B$17)/2)^9</f>
        <v>7107.80347087166</v>
      </c>
      <c r="G229" s="26" t="n">
        <f aca="false">F229*C229</f>
        <v>1099.98507160181</v>
      </c>
      <c r="H229" s="26" t="n">
        <f aca="false">E229*G229/(1+D229)^9</f>
        <v>4856.92130850548</v>
      </c>
      <c r="I229" s="26" t="n">
        <f aca="false">$B$13*G229/$B$12*((1+$B$8)/(1+D229))^4.5</f>
        <v>1738.08050277939</v>
      </c>
      <c r="J229" s="26" t="n">
        <f aca="false">H229+I229+$B$14</f>
        <v>8681.40068936706</v>
      </c>
      <c r="K229" s="44" t="n">
        <f aca="false">J229/$B$15</f>
        <v>13.7800010942334</v>
      </c>
    </row>
    <row r="230" customFormat="false" ht="15" hidden="false" customHeight="false" outlineLevel="0" collapsed="false">
      <c r="A230" s="52" t="n">
        <v>190</v>
      </c>
      <c r="B230" s="21" t="n">
        <f aca="true">NORMINV(RAND(),$B$6,$C$6)</f>
        <v>0.295262820978465</v>
      </c>
      <c r="C230" s="21" t="n">
        <f aca="true">MAX(0.03,NORMINV(RAND(),$B$7,$C$7))</f>
        <v>0.184091863287721</v>
      </c>
      <c r="D230" s="33" t="n">
        <f aca="true">MAX(0.08,NORMINV(RAND(),$B$8,$C$8))</f>
        <v>0.121147502456015</v>
      </c>
      <c r="E230" s="48" t="n">
        <f aca="true">MAX(4,NORMINV(RAND(),$B$9,$C$9))</f>
        <v>11.4812913865638</v>
      </c>
      <c r="F230" s="26" t="n">
        <f aca="false">$B$18*(1+(B230+$B$17)/2)^9</f>
        <v>11616.8995535726</v>
      </c>
      <c r="G230" s="26" t="n">
        <f aca="false">F230*C230</f>
        <v>2138.57668444348</v>
      </c>
      <c r="H230" s="26" t="n">
        <f aca="false">E230*G230/(1+D230)^9</f>
        <v>8773.05359806884</v>
      </c>
      <c r="I230" s="26" t="n">
        <f aca="false">$B$13*G230/$B$12*((1+$B$8)/(1+D230))^4.5</f>
        <v>3455.57094644835</v>
      </c>
      <c r="J230" s="26" t="n">
        <f aca="false">H230+I230+$B$14</f>
        <v>14315.0234225994</v>
      </c>
      <c r="K230" s="44" t="n">
        <f aca="false">J230/$B$15</f>
        <v>22.7222594009514</v>
      </c>
    </row>
    <row r="231" customFormat="false" ht="15" hidden="false" customHeight="false" outlineLevel="0" collapsed="false">
      <c r="A231" s="52" t="n">
        <v>191</v>
      </c>
      <c r="B231" s="21" t="n">
        <f aca="true">NORMINV(RAND(),$B$6,$C$6)</f>
        <v>0.22484232223947</v>
      </c>
      <c r="C231" s="21" t="n">
        <f aca="true">MAX(0.03,NORMINV(RAND(),$B$7,$C$7))</f>
        <v>0.240994344102887</v>
      </c>
      <c r="D231" s="33" t="n">
        <f aca="true">MAX(0.08,NORMINV(RAND(),$B$8,$C$8))</f>
        <v>0.140288292343962</v>
      </c>
      <c r="E231" s="48" t="n">
        <f aca="true">MAX(4,NORMINV(RAND(),$B$9,$C$9))</f>
        <v>9.57269849706455</v>
      </c>
      <c r="F231" s="26" t="n">
        <f aca="false">$B$18*(1+(B231+$B$17)/2)^9</f>
        <v>8829.34038904551</v>
      </c>
      <c r="G231" s="26" t="n">
        <f aca="false">F231*C231</f>
        <v>2127.82109591915</v>
      </c>
      <c r="H231" s="26" t="n">
        <f aca="false">E231*G231/(1+D231)^9</f>
        <v>6249.38819840208</v>
      </c>
      <c r="I231" s="26" t="n">
        <f aca="false">$B$13*G231/$B$12*((1+$B$8)/(1+D231))^4.5</f>
        <v>3186.00530557841</v>
      </c>
      <c r="J231" s="26" t="n">
        <f aca="false">H231+I231+$B$14</f>
        <v>11521.7923820627</v>
      </c>
      <c r="K231" s="44" t="n">
        <f aca="false">J231/$B$15</f>
        <v>18.2885593366074</v>
      </c>
    </row>
    <row r="232" customFormat="false" ht="15" hidden="false" customHeight="false" outlineLevel="0" collapsed="false">
      <c r="A232" s="52" t="n">
        <v>192</v>
      </c>
      <c r="B232" s="21" t="n">
        <f aca="true">NORMINV(RAND(),$B$6,$C$6)</f>
        <v>0.201321908164037</v>
      </c>
      <c r="C232" s="21" t="n">
        <f aca="true">MAX(0.03,NORMINV(RAND(),$B$7,$C$7))</f>
        <v>0.205610993865098</v>
      </c>
      <c r="D232" s="33" t="n">
        <f aca="true">MAX(0.08,NORMINV(RAND(),$B$8,$C$8))</f>
        <v>0.146155311079594</v>
      </c>
      <c r="E232" s="48" t="n">
        <f aca="true">MAX(4,NORMINV(RAND(),$B$9,$C$9))</f>
        <v>8.95833625051124</v>
      </c>
      <c r="F232" s="26" t="n">
        <f aca="false">$B$18*(1+(B232+$B$17)/2)^9</f>
        <v>8040.90522294385</v>
      </c>
      <c r="G232" s="26" t="n">
        <f aca="false">F232*C232</f>
        <v>1653.29851446454</v>
      </c>
      <c r="H232" s="26" t="n">
        <f aca="false">E232*G232/(1+D232)^9</f>
        <v>4338.97746389761</v>
      </c>
      <c r="I232" s="26" t="n">
        <f aca="false">$B$13*G232/$B$12*((1+$B$8)/(1+D232))^4.5</f>
        <v>2418.98421004376</v>
      </c>
      <c r="J232" s="26" t="n">
        <f aca="false">H232+I232+$B$14</f>
        <v>8844.36055202356</v>
      </c>
      <c r="K232" s="44" t="n">
        <f aca="false">J232/$B$15</f>
        <v>14.0386675428945</v>
      </c>
    </row>
    <row r="233" customFormat="false" ht="15" hidden="false" customHeight="false" outlineLevel="0" collapsed="false">
      <c r="A233" s="52" t="n">
        <v>193</v>
      </c>
      <c r="B233" s="21" t="n">
        <f aca="true">NORMINV(RAND(),$B$6,$C$6)</f>
        <v>0.238491987213093</v>
      </c>
      <c r="C233" s="21" t="n">
        <f aca="true">MAX(0.03,NORMINV(RAND(),$B$7,$C$7))</f>
        <v>0.227835134339898</v>
      </c>
      <c r="D233" s="33" t="n">
        <f aca="true">MAX(0.08,NORMINV(RAND(),$B$8,$C$8))</f>
        <v>0.122444607473101</v>
      </c>
      <c r="E233" s="48" t="n">
        <f aca="true">MAX(4,NORMINV(RAND(),$B$9,$C$9))</f>
        <v>10.3036157290433</v>
      </c>
      <c r="F233" s="26" t="n">
        <f aca="false">$B$18*(1+(B233+$B$17)/2)^9</f>
        <v>9317.75163623489</v>
      </c>
      <c r="G233" s="26" t="n">
        <f aca="false">F233*C233</f>
        <v>2122.91119578738</v>
      </c>
      <c r="H233" s="26" t="n">
        <f aca="false">E233*G233/(1+D233)^9</f>
        <v>7734.58863222497</v>
      </c>
      <c r="I233" s="26" t="n">
        <f aca="false">$B$13*G233/$B$12*((1+$B$8)/(1+D233))^4.5</f>
        <v>3412.45611995919</v>
      </c>
      <c r="J233" s="26" t="n">
        <f aca="false">H233+I233+$B$14</f>
        <v>13233.4436302664</v>
      </c>
      <c r="K233" s="44" t="n">
        <f aca="false">J233/$B$15</f>
        <v>21.0054660797879</v>
      </c>
    </row>
    <row r="234" customFormat="false" ht="15" hidden="false" customHeight="false" outlineLevel="0" collapsed="false">
      <c r="A234" s="52" t="n">
        <v>194</v>
      </c>
      <c r="B234" s="21" t="n">
        <f aca="true">NORMINV(RAND(),$B$6,$C$6)</f>
        <v>0.280619143228158</v>
      </c>
      <c r="C234" s="21" t="n">
        <f aca="true">MAX(0.03,NORMINV(RAND(),$B$7,$C$7))</f>
        <v>0.237857693747589</v>
      </c>
      <c r="D234" s="33" t="n">
        <f aca="true">MAX(0.08,NORMINV(RAND(),$B$8,$C$8))</f>
        <v>0.129405304465839</v>
      </c>
      <c r="E234" s="48" t="n">
        <f aca="true">MAX(4,NORMINV(RAND(),$B$9,$C$9))</f>
        <v>10.8250414026771</v>
      </c>
      <c r="F234" s="26" t="n">
        <f aca="false">$B$18*(1+(B234+$B$17)/2)^9</f>
        <v>10980.1519163003</v>
      </c>
      <c r="G234" s="26" t="n">
        <f aca="false">F234*C234</f>
        <v>2611.71361180936</v>
      </c>
      <c r="H234" s="26" t="n">
        <f aca="false">E234*G234/(1+D234)^9</f>
        <v>9455.98359836668</v>
      </c>
      <c r="I234" s="26" t="n">
        <f aca="false">$B$13*G234/$B$12*((1+$B$8)/(1+D234))^4.5</f>
        <v>4082.99385852938</v>
      </c>
      <c r="J234" s="26" t="n">
        <f aca="false">H234+I234+$B$14</f>
        <v>15625.3763349783</v>
      </c>
      <c r="K234" s="44" t="n">
        <f aca="false">J234/$B$15</f>
        <v>24.8021846586956</v>
      </c>
    </row>
    <row r="235" customFormat="false" ht="15" hidden="false" customHeight="false" outlineLevel="0" collapsed="false">
      <c r="A235" s="52" t="n">
        <v>195</v>
      </c>
      <c r="B235" s="21" t="n">
        <f aca="true">NORMINV(RAND(),$B$6,$C$6)</f>
        <v>0.196145218942705</v>
      </c>
      <c r="C235" s="21" t="n">
        <f aca="true">MAX(0.03,NORMINV(RAND(),$B$7,$C$7))</f>
        <v>0.185193300220491</v>
      </c>
      <c r="D235" s="33" t="n">
        <f aca="true">MAX(0.08,NORMINV(RAND(),$B$8,$C$8))</f>
        <v>0.148542679536659</v>
      </c>
      <c r="E235" s="48" t="n">
        <f aca="true">MAX(4,NORMINV(RAND(),$B$9,$C$9))</f>
        <v>10.2056589799571</v>
      </c>
      <c r="F235" s="26" t="n">
        <f aca="false">$B$18*(1+(B235+$B$17)/2)^9</f>
        <v>7876.02424533701</v>
      </c>
      <c r="G235" s="26" t="n">
        <f aca="false">F235*C235</f>
        <v>1458.58692261056</v>
      </c>
      <c r="H235" s="26" t="n">
        <f aca="false">E235*G235/(1+D235)^9</f>
        <v>4280.05278346211</v>
      </c>
      <c r="I235" s="26" t="n">
        <f aca="false">$B$13*G235/$B$12*((1+$B$8)/(1+D235))^4.5</f>
        <v>2114.2073209523</v>
      </c>
      <c r="J235" s="26" t="n">
        <f aca="false">H235+I235+$B$14</f>
        <v>8480.65898249661</v>
      </c>
      <c r="K235" s="44" t="n">
        <f aca="false">J235/$B$15</f>
        <v>13.4613634642803</v>
      </c>
    </row>
    <row r="236" customFormat="false" ht="15" hidden="false" customHeight="false" outlineLevel="0" collapsed="false">
      <c r="A236" s="52" t="n">
        <v>196</v>
      </c>
      <c r="B236" s="21" t="n">
        <f aca="true">NORMINV(RAND(),$B$6,$C$6)</f>
        <v>0.212233282945159</v>
      </c>
      <c r="C236" s="21" t="n">
        <f aca="true">MAX(0.03,NORMINV(RAND(),$B$7,$C$7))</f>
        <v>0.262194041720518</v>
      </c>
      <c r="D236" s="33" t="n">
        <f aca="true">MAX(0.08,NORMINV(RAND(),$B$8,$C$8))</f>
        <v>0.125878473884977</v>
      </c>
      <c r="E236" s="48" t="n">
        <f aca="true">MAX(4,NORMINV(RAND(),$B$9,$C$9))</f>
        <v>12.5263767835005</v>
      </c>
      <c r="F236" s="26" t="n">
        <f aca="false">$B$18*(1+(B236+$B$17)/2)^9</f>
        <v>8398.52565940687</v>
      </c>
      <c r="G236" s="26" t="n">
        <f aca="false">F236*C236</f>
        <v>2202.04338713336</v>
      </c>
      <c r="H236" s="26" t="n">
        <f aca="false">E236*G236/(1+D236)^9</f>
        <v>9489.15849472933</v>
      </c>
      <c r="I236" s="26" t="n">
        <f aca="false">$B$13*G236/$B$12*((1+$B$8)/(1+D236))^4.5</f>
        <v>3491.33425156638</v>
      </c>
      <c r="J236" s="26" t="n">
        <f aca="false">H236+I236+$B$14</f>
        <v>15066.8916243779</v>
      </c>
      <c r="K236" s="44" t="n">
        <f aca="false">J236/$B$15</f>
        <v>23.915700991076</v>
      </c>
    </row>
    <row r="237" customFormat="false" ht="15" hidden="false" customHeight="false" outlineLevel="0" collapsed="false">
      <c r="A237" s="52" t="n">
        <v>197</v>
      </c>
      <c r="B237" s="21" t="n">
        <f aca="true">NORMINV(RAND(),$B$6,$C$6)</f>
        <v>0.242564142326949</v>
      </c>
      <c r="C237" s="21" t="n">
        <f aca="true">MAX(0.03,NORMINV(RAND(),$B$7,$C$7))</f>
        <v>0.201274600093076</v>
      </c>
      <c r="D237" s="33" t="n">
        <f aca="true">MAX(0.08,NORMINV(RAND(),$B$8,$C$8))</f>
        <v>0.135996941992927</v>
      </c>
      <c r="E237" s="48" t="n">
        <f aca="true">MAX(4,NORMINV(RAND(),$B$9,$C$9))</f>
        <v>7.30353612149615</v>
      </c>
      <c r="F237" s="26" t="n">
        <f aca="false">$B$18*(1+(B237+$B$17)/2)^9</f>
        <v>9468.0386754031</v>
      </c>
      <c r="G237" s="26" t="n">
        <f aca="false">F237*C237</f>
        <v>1905.67569805753</v>
      </c>
      <c r="H237" s="26" t="n">
        <f aca="false">E237*G237/(1+D237)^9</f>
        <v>4417.61350119527</v>
      </c>
      <c r="I237" s="26" t="n">
        <f aca="false">$B$13*G237/$B$12*((1+$B$8)/(1+D237))^4.5</f>
        <v>2902.21206839895</v>
      </c>
      <c r="J237" s="26" t="n">
        <f aca="false">H237+I237+$B$14</f>
        <v>9406.22444767641</v>
      </c>
      <c r="K237" s="44" t="n">
        <f aca="false">J237/$B$15</f>
        <v>14.9305149963118</v>
      </c>
    </row>
    <row r="238" customFormat="false" ht="15" hidden="false" customHeight="false" outlineLevel="0" collapsed="false">
      <c r="A238" s="52" t="n">
        <v>198</v>
      </c>
      <c r="B238" s="21" t="n">
        <f aca="true">NORMINV(RAND(),$B$6,$C$6)</f>
        <v>0.198760851545613</v>
      </c>
      <c r="C238" s="21" t="n">
        <f aca="true">MAX(0.03,NORMINV(RAND(),$B$7,$C$7))</f>
        <v>0.22292947418435</v>
      </c>
      <c r="D238" s="33" t="n">
        <f aca="true">MAX(0.08,NORMINV(RAND(),$B$8,$C$8))</f>
        <v>0.137856825392183</v>
      </c>
      <c r="E238" s="48" t="n">
        <f aca="true">MAX(4,NORMINV(RAND(),$B$9,$C$9))</f>
        <v>14.2877738874355</v>
      </c>
      <c r="F238" s="26" t="n">
        <f aca="false">$B$18*(1+(B238+$B$17)/2)^9</f>
        <v>7958.95434545001</v>
      </c>
      <c r="G238" s="26" t="n">
        <f aca="false">F238*C238</f>
        <v>1774.28550728842</v>
      </c>
      <c r="H238" s="26" t="n">
        <f aca="false">E238*G238/(1+D238)^9</f>
        <v>7928.6546791005</v>
      </c>
      <c r="I238" s="26" t="n">
        <f aca="false">$B$13*G238/$B$12*((1+$B$8)/(1+D238))^4.5</f>
        <v>2682.29535916999</v>
      </c>
      <c r="J238" s="26" t="n">
        <f aca="false">H238+I238+$B$14</f>
        <v>12697.3489163527</v>
      </c>
      <c r="K238" s="44" t="n">
        <f aca="false">J238/$B$15</f>
        <v>20.1545220894487</v>
      </c>
    </row>
    <row r="239" customFormat="false" ht="15" hidden="false" customHeight="false" outlineLevel="0" collapsed="false">
      <c r="A239" s="52" t="n">
        <v>199</v>
      </c>
      <c r="B239" s="21" t="n">
        <f aca="true">NORMINV(RAND(),$B$6,$C$6)</f>
        <v>0.221565744909315</v>
      </c>
      <c r="C239" s="21" t="n">
        <f aca="true">MAX(0.03,NORMINV(RAND(),$B$7,$C$7))</f>
        <v>0.248521760839433</v>
      </c>
      <c r="D239" s="33" t="n">
        <f aca="true">MAX(0.08,NORMINV(RAND(),$B$8,$C$8))</f>
        <v>0.121090367711474</v>
      </c>
      <c r="E239" s="48" t="n">
        <f aca="true">MAX(4,NORMINV(RAND(),$B$9,$C$9))</f>
        <v>11.7517570904821</v>
      </c>
      <c r="F239" s="26" t="n">
        <f aca="false">$B$18*(1+(B239+$B$17)/2)^9</f>
        <v>8715.54125805915</v>
      </c>
      <c r="G239" s="26" t="n">
        <f aca="false">F239*C239</f>
        <v>2166.00166012159</v>
      </c>
      <c r="H239" s="26" t="n">
        <f aca="false">E239*G239/(1+D239)^9</f>
        <v>9099.04893258758</v>
      </c>
      <c r="I239" s="26" t="n">
        <f aca="false">$B$13*G239/$B$12*((1+$B$8)/(1+D239))^4.5</f>
        <v>3500.6876965386</v>
      </c>
      <c r="J239" s="26" t="n">
        <f aca="false">H239+I239+$B$14</f>
        <v>14686.1355072084</v>
      </c>
      <c r="K239" s="44" t="n">
        <f aca="false">J239/$B$15</f>
        <v>23.3113262019181</v>
      </c>
    </row>
    <row r="240" customFormat="false" ht="15" hidden="false" customHeight="false" outlineLevel="0" collapsed="false">
      <c r="A240" s="52" t="n">
        <v>200</v>
      </c>
      <c r="B240" s="21" t="n">
        <f aca="true">NORMINV(RAND(),$B$6,$C$6)</f>
        <v>0.23795763039014</v>
      </c>
      <c r="C240" s="21" t="n">
        <f aca="true">MAX(0.03,NORMINV(RAND(),$B$7,$C$7))</f>
        <v>0.224356235341174</v>
      </c>
      <c r="D240" s="33" t="n">
        <f aca="true">MAX(0.08,NORMINV(RAND(),$B$8,$C$8))</f>
        <v>0.132225671213429</v>
      </c>
      <c r="E240" s="48" t="n">
        <f aca="true">MAX(4,NORMINV(RAND(),$B$9,$C$9))</f>
        <v>11.5797753986026</v>
      </c>
      <c r="F240" s="26" t="n">
        <f aca="false">$B$18*(1+(B240+$B$17)/2)^9</f>
        <v>9298.18888160745</v>
      </c>
      <c r="G240" s="26" t="n">
        <f aca="false">F240*C240</f>
        <v>2086.10665296861</v>
      </c>
      <c r="H240" s="26" t="n">
        <f aca="false">E240*G240/(1+D240)^9</f>
        <v>7900.22874888737</v>
      </c>
      <c r="I240" s="26" t="n">
        <f aca="false">$B$13*G240/$B$12*((1+$B$8)/(1+D240))^4.5</f>
        <v>3224.89365370666</v>
      </c>
      <c r="J240" s="26" t="n">
        <f aca="false">H240+I240+$B$14</f>
        <v>13211.5212806762</v>
      </c>
      <c r="K240" s="44" t="n">
        <f aca="false">J240/$B$15</f>
        <v>20.9706686994861</v>
      </c>
    </row>
    <row r="241" customFormat="false" ht="15" hidden="false" customHeight="false" outlineLevel="0" collapsed="false">
      <c r="A241" s="52" t="n">
        <v>201</v>
      </c>
      <c r="B241" s="21" t="n">
        <f aca="true">NORMINV(RAND(),$B$6,$C$6)</f>
        <v>0.1824628679419</v>
      </c>
      <c r="C241" s="21" t="n">
        <f aca="true">MAX(0.03,NORMINV(RAND(),$B$7,$C$7))</f>
        <v>0.248963889786601</v>
      </c>
      <c r="D241" s="33" t="n">
        <f aca="true">MAX(0.08,NORMINV(RAND(),$B$8,$C$8))</f>
        <v>0.144031313595439</v>
      </c>
      <c r="E241" s="48" t="n">
        <f aca="true">MAX(4,NORMINV(RAND(),$B$9,$C$9))</f>
        <v>11.5925801736021</v>
      </c>
      <c r="F241" s="26" t="n">
        <f aca="false">$B$18*(1+(B241+$B$17)/2)^9</f>
        <v>7454.60715264258</v>
      </c>
      <c r="G241" s="26" t="n">
        <f aca="false">F241*C241</f>
        <v>1855.92799355291</v>
      </c>
      <c r="H241" s="26" t="n">
        <f aca="false">E241*G241/(1+D241)^9</f>
        <v>6409.14392402916</v>
      </c>
      <c r="I241" s="26" t="n">
        <f aca="false">$B$13*G241/$B$12*((1+$B$8)/(1+D241))^4.5</f>
        <v>2738.21722176296</v>
      </c>
      <c r="J241" s="26" t="n">
        <f aca="false">H241+I241+$B$14</f>
        <v>11233.7600238743</v>
      </c>
      <c r="K241" s="44" t="n">
        <f aca="false">J241/$B$15</f>
        <v>17.8313651172608</v>
      </c>
    </row>
    <row r="242" customFormat="false" ht="15" hidden="false" customHeight="false" outlineLevel="0" collapsed="false">
      <c r="A242" s="52" t="n">
        <v>202</v>
      </c>
      <c r="B242" s="21" t="n">
        <f aca="true">NORMINV(RAND(),$B$6,$C$6)</f>
        <v>0.133184887776885</v>
      </c>
      <c r="C242" s="21" t="n">
        <f aca="true">MAX(0.03,NORMINV(RAND(),$B$7,$C$7))</f>
        <v>0.22499480418309</v>
      </c>
      <c r="D242" s="33" t="n">
        <f aca="true">MAX(0.08,NORMINV(RAND(),$B$8,$C$8))</f>
        <v>0.134180585106149</v>
      </c>
      <c r="E242" s="48" t="n">
        <f aca="true">MAX(4,NORMINV(RAND(),$B$9,$C$9))</f>
        <v>11.3887566016328</v>
      </c>
      <c r="F242" s="26" t="n">
        <f aca="false">$B$18*(1+(B242+$B$17)/2)^9</f>
        <v>6097.91284375609</v>
      </c>
      <c r="G242" s="26" t="n">
        <f aca="false">F242*C242</f>
        <v>1371.99870620645</v>
      </c>
      <c r="H242" s="26" t="n">
        <f aca="false">E242*G242/(1+D242)^9</f>
        <v>5031.41493238801</v>
      </c>
      <c r="I242" s="26" t="n">
        <f aca="false">$B$13*G242/$B$12*((1+$B$8)/(1+D242))^4.5</f>
        <v>2104.55917101997</v>
      </c>
      <c r="J242" s="26" t="n">
        <f aca="false">H242+I242+$B$14</f>
        <v>9222.37298149017</v>
      </c>
      <c r="K242" s="44" t="n">
        <f aca="false">J242/$B$15</f>
        <v>14.6386872722066</v>
      </c>
    </row>
    <row r="243" customFormat="false" ht="15" hidden="false" customHeight="false" outlineLevel="0" collapsed="false">
      <c r="A243" s="52" t="n">
        <v>203</v>
      </c>
      <c r="B243" s="21" t="n">
        <f aca="true">NORMINV(RAND(),$B$6,$C$6)</f>
        <v>0.221119671610836</v>
      </c>
      <c r="C243" s="21" t="n">
        <f aca="true">MAX(0.03,NORMINV(RAND(),$B$7,$C$7))</f>
        <v>0.224300426910122</v>
      </c>
      <c r="D243" s="33" t="n">
        <f aca="true">MAX(0.08,NORMINV(RAND(),$B$8,$C$8))</f>
        <v>0.113072672703765</v>
      </c>
      <c r="E243" s="48" t="n">
        <f aca="true">MAX(4,NORMINV(RAND(),$B$9,$C$9))</f>
        <v>10.9504692058777</v>
      </c>
      <c r="F243" s="26" t="n">
        <f aca="false">$B$18*(1+(B243+$B$17)/2)^9</f>
        <v>8700.14990936334</v>
      </c>
      <c r="G243" s="26" t="n">
        <f aca="false">F243*C243</f>
        <v>1951.44733885226</v>
      </c>
      <c r="H243" s="26" t="n">
        <f aca="false">E243*G243/(1+D243)^9</f>
        <v>8148.50395141782</v>
      </c>
      <c r="I243" s="26" t="n">
        <f aca="false">$B$13*G243/$B$12*((1+$B$8)/(1+D243))^4.5</f>
        <v>3257.45460693643</v>
      </c>
      <c r="J243" s="26" t="n">
        <f aca="false">H243+I243+$B$14</f>
        <v>13492.3574364364</v>
      </c>
      <c r="K243" s="44" t="n">
        <f aca="false">J243/$B$15</f>
        <v>21.4164403752959</v>
      </c>
    </row>
    <row r="244" customFormat="false" ht="15" hidden="false" customHeight="false" outlineLevel="0" collapsed="false">
      <c r="A244" s="52" t="n">
        <v>204</v>
      </c>
      <c r="B244" s="21" t="n">
        <f aca="true">NORMINV(RAND(),$B$6,$C$6)</f>
        <v>0.271772556812709</v>
      </c>
      <c r="C244" s="21" t="n">
        <f aca="true">MAX(0.03,NORMINV(RAND(),$B$7,$C$7))</f>
        <v>0.234953313920698</v>
      </c>
      <c r="D244" s="33" t="n">
        <f aca="true">MAX(0.08,NORMINV(RAND(),$B$8,$C$8))</f>
        <v>0.130309257580653</v>
      </c>
      <c r="E244" s="48" t="n">
        <f aca="true">MAX(4,NORMINV(RAND(),$B$9,$C$9))</f>
        <v>9.36824083309556</v>
      </c>
      <c r="F244" s="26" t="n">
        <f aca="false">$B$18*(1+(B244+$B$17)/2)^9</f>
        <v>10610.6900095934</v>
      </c>
      <c r="G244" s="26" t="n">
        <f aca="false">F244*C244</f>
        <v>2493.01678073921</v>
      </c>
      <c r="H244" s="26" t="n">
        <f aca="false">E244*G244/(1+D244)^9</f>
        <v>7755.46222770814</v>
      </c>
      <c r="I244" s="26" t="n">
        <f aca="false">$B$13*G244/$B$12*((1+$B$8)/(1+D244))^4.5</f>
        <v>3883.42390210464</v>
      </c>
      <c r="J244" s="26" t="n">
        <f aca="false">H244+I244+$B$14</f>
        <v>13725.285007895</v>
      </c>
      <c r="K244" s="44" t="n">
        <f aca="false">J244/$B$15</f>
        <v>21.7861666791984</v>
      </c>
    </row>
    <row r="245" customFormat="false" ht="15" hidden="false" customHeight="false" outlineLevel="0" collapsed="false">
      <c r="A245" s="52" t="n">
        <v>205</v>
      </c>
      <c r="B245" s="21" t="n">
        <f aca="true">NORMINV(RAND(),$B$6,$C$6)</f>
        <v>0.192659933427257</v>
      </c>
      <c r="C245" s="21" t="n">
        <f aca="true">MAX(0.03,NORMINV(RAND(),$B$7,$C$7))</f>
        <v>0.261696915681559</v>
      </c>
      <c r="D245" s="33" t="n">
        <f aca="true">MAX(0.08,NORMINV(RAND(),$B$8,$C$8))</f>
        <v>0.148755155474202</v>
      </c>
      <c r="E245" s="48" t="n">
        <f aca="true">MAX(4,NORMINV(RAND(),$B$9,$C$9))</f>
        <v>11.4356386908024</v>
      </c>
      <c r="F245" s="26" t="n">
        <f aca="false">$B$18*(1+(B245+$B$17)/2)^9</f>
        <v>7766.71523872778</v>
      </c>
      <c r="G245" s="26" t="n">
        <f aca="false">F245*C245</f>
        <v>2032.52542295202</v>
      </c>
      <c r="H245" s="26" t="n">
        <f aca="false">E245*G245/(1+D245)^9</f>
        <v>6671.894198084</v>
      </c>
      <c r="I245" s="26" t="n">
        <f aca="false">$B$13*G245/$B$12*((1+$B$8)/(1+D245))^4.5</f>
        <v>2943.67415096664</v>
      </c>
      <c r="J245" s="26" t="n">
        <f aca="false">H245+I245+$B$14</f>
        <v>11701.9672271328</v>
      </c>
      <c r="K245" s="44" t="n">
        <f aca="false">J245/$B$15</f>
        <v>18.5745511541791</v>
      </c>
    </row>
    <row r="246" customFormat="false" ht="15" hidden="false" customHeight="false" outlineLevel="0" collapsed="false">
      <c r="A246" s="52" t="n">
        <v>206</v>
      </c>
      <c r="B246" s="21" t="n">
        <f aca="true">NORMINV(RAND(),$B$6,$C$6)</f>
        <v>0.192271589704822</v>
      </c>
      <c r="C246" s="21" t="n">
        <f aca="true">MAX(0.03,NORMINV(RAND(),$B$7,$C$7))</f>
        <v>0.184236928100311</v>
      </c>
      <c r="D246" s="33" t="n">
        <f aca="true">MAX(0.08,NORMINV(RAND(),$B$8,$C$8))</f>
        <v>0.128820818535976</v>
      </c>
      <c r="E246" s="48" t="n">
        <f aca="true">MAX(4,NORMINV(RAND(),$B$9,$C$9))</f>
        <v>12.6882268040167</v>
      </c>
      <c r="F246" s="26" t="n">
        <f aca="false">$B$18*(1+(B246+$B$17)/2)^9</f>
        <v>7754.61951215919</v>
      </c>
      <c r="G246" s="26" t="n">
        <f aca="false">F246*C246</f>
        <v>1428.68727750694</v>
      </c>
      <c r="H246" s="26" t="n">
        <f aca="false">E246*G246/(1+D246)^9</f>
        <v>6091.34246490769</v>
      </c>
      <c r="I246" s="26" t="n">
        <f aca="false">$B$13*G246/$B$12*((1+$B$8)/(1+D246))^4.5</f>
        <v>2238.73149413549</v>
      </c>
      <c r="J246" s="26" t="n">
        <f aca="false">H246+I246+$B$14</f>
        <v>10416.4728371254</v>
      </c>
      <c r="K246" s="44" t="n">
        <f aca="false">J246/$B$15</f>
        <v>16.534083868453</v>
      </c>
    </row>
    <row r="247" customFormat="false" ht="15" hidden="false" customHeight="false" outlineLevel="0" collapsed="false">
      <c r="A247" s="52" t="n">
        <v>207</v>
      </c>
      <c r="B247" s="21" t="n">
        <f aca="true">NORMINV(RAND(),$B$6,$C$6)</f>
        <v>0.266032927467694</v>
      </c>
      <c r="C247" s="21" t="n">
        <f aca="true">MAX(0.03,NORMINV(RAND(),$B$7,$C$7))</f>
        <v>0.236110446716426</v>
      </c>
      <c r="D247" s="33" t="n">
        <f aca="true">MAX(0.08,NORMINV(RAND(),$B$8,$C$8))</f>
        <v>0.123438644725085</v>
      </c>
      <c r="E247" s="48" t="n">
        <f aca="true">MAX(4,NORMINV(RAND(),$B$9,$C$9))</f>
        <v>13.7346103893062</v>
      </c>
      <c r="F247" s="26" t="n">
        <f aca="false">$B$18*(1+(B247+$B$17)/2)^9</f>
        <v>10376.9358203837</v>
      </c>
      <c r="G247" s="26" t="n">
        <f aca="false">F247*C247</f>
        <v>2450.10295209849</v>
      </c>
      <c r="H247" s="26" t="n">
        <f aca="false">E247*G247/(1+D247)^9</f>
        <v>11804.7405813511</v>
      </c>
      <c r="I247" s="26" t="n">
        <f aca="false">$B$13*G247/$B$12*((1+$B$8)/(1+D247))^4.5</f>
        <v>3922.74065760369</v>
      </c>
      <c r="J247" s="26" t="n">
        <f aca="false">H247+I247+$B$14</f>
        <v>17813.880117037</v>
      </c>
      <c r="K247" s="44" t="n">
        <f aca="false">J247/$B$15</f>
        <v>28.276000185773</v>
      </c>
    </row>
    <row r="248" customFormat="false" ht="15" hidden="false" customHeight="false" outlineLevel="0" collapsed="false">
      <c r="A248" s="52" t="n">
        <v>208</v>
      </c>
      <c r="B248" s="21" t="n">
        <f aca="true">NORMINV(RAND(),$B$6,$C$6)</f>
        <v>0.140444148330559</v>
      </c>
      <c r="C248" s="21" t="n">
        <f aca="true">MAX(0.03,NORMINV(RAND(),$B$7,$C$7))</f>
        <v>0.219028609515186</v>
      </c>
      <c r="D248" s="33" t="n">
        <f aca="true">MAX(0.08,NORMINV(RAND(),$B$8,$C$8))</f>
        <v>0.140027239431022</v>
      </c>
      <c r="E248" s="48" t="n">
        <f aca="true">MAX(4,NORMINV(RAND(),$B$9,$C$9))</f>
        <v>13.816073724748</v>
      </c>
      <c r="F248" s="26" t="n">
        <f aca="false">$B$18*(1+(B248+$B$17)/2)^9</f>
        <v>6282.84320293244</v>
      </c>
      <c r="G248" s="26" t="n">
        <f aca="false">F248*C248</f>
        <v>1376.12241054023</v>
      </c>
      <c r="H248" s="26" t="n">
        <f aca="false">E248*G248/(1+D248)^9</f>
        <v>5845.27104809308</v>
      </c>
      <c r="I248" s="26" t="n">
        <f aca="false">$B$13*G248/$B$12*((1+$B$8)/(1+D248))^4.5</f>
        <v>2062.60429749436</v>
      </c>
      <c r="J248" s="26" t="n">
        <f aca="false">H248+I248+$B$14</f>
        <v>9994.27422366963</v>
      </c>
      <c r="K248" s="44" t="n">
        <f aca="false">J248/$B$15</f>
        <v>15.8639273391581</v>
      </c>
    </row>
    <row r="249" customFormat="false" ht="15" hidden="false" customHeight="false" outlineLevel="0" collapsed="false">
      <c r="A249" s="52" t="n">
        <v>209</v>
      </c>
      <c r="B249" s="21" t="n">
        <f aca="true">NORMINV(RAND(),$B$6,$C$6)</f>
        <v>0.23816441578602</v>
      </c>
      <c r="C249" s="21" t="n">
        <f aca="true">MAX(0.03,NORMINV(RAND(),$B$7,$C$7))</f>
        <v>0.183514028792405</v>
      </c>
      <c r="D249" s="33" t="n">
        <f aca="true">MAX(0.08,NORMINV(RAND(),$B$8,$C$8))</f>
        <v>0.142195893439057</v>
      </c>
      <c r="E249" s="48" t="n">
        <f aca="true">MAX(4,NORMINV(RAND(),$B$9,$C$9))</f>
        <v>9.81106629246785</v>
      </c>
      <c r="F249" s="26" t="n">
        <f aca="false">$B$18*(1+(B249+$B$17)/2)^9</f>
        <v>9305.75494141983</v>
      </c>
      <c r="G249" s="26" t="n">
        <f aca="false">F249*C249</f>
        <v>1707.73658025478</v>
      </c>
      <c r="H249" s="26" t="n">
        <f aca="false">E249*G249/(1+D249)^9</f>
        <v>5063.74400262774</v>
      </c>
      <c r="I249" s="26" t="n">
        <f aca="false">$B$13*G249/$B$12*((1+$B$8)/(1+D249))^4.5</f>
        <v>2537.84786872129</v>
      </c>
      <c r="J249" s="26" t="n">
        <f aca="false">H249+I249+$B$14</f>
        <v>9687.99074943122</v>
      </c>
      <c r="K249" s="44" t="n">
        <f aca="false">J249/$B$15</f>
        <v>15.3777630943353</v>
      </c>
    </row>
    <row r="250" customFormat="false" ht="15" hidden="false" customHeight="false" outlineLevel="0" collapsed="false">
      <c r="A250" s="52" t="n">
        <v>210</v>
      </c>
      <c r="B250" s="21" t="n">
        <f aca="true">NORMINV(RAND(),$B$6,$C$6)</f>
        <v>0.20373342185285</v>
      </c>
      <c r="C250" s="21" t="n">
        <f aca="true">MAX(0.03,NORMINV(RAND(),$B$7,$C$7))</f>
        <v>0.22477475533486</v>
      </c>
      <c r="D250" s="33" t="n">
        <f aca="true">MAX(0.08,NORMINV(RAND(),$B$8,$C$8))</f>
        <v>0.115672366522901</v>
      </c>
      <c r="E250" s="48" t="n">
        <f aca="true">MAX(4,NORMINV(RAND(),$B$9,$C$9))</f>
        <v>10.9928527815853</v>
      </c>
      <c r="F250" s="26" t="n">
        <f aca="false">$B$18*(1+(B250+$B$17)/2)^9</f>
        <v>8118.755656563</v>
      </c>
      <c r="G250" s="26" t="n">
        <f aca="false">F250*C250</f>
        <v>1824.89131632746</v>
      </c>
      <c r="H250" s="26" t="n">
        <f aca="false">E250*G250/(1+D250)^9</f>
        <v>7490.61246195798</v>
      </c>
      <c r="I250" s="26" t="n">
        <f aca="false">$B$13*G250/$B$12*((1+$B$8)/(1+D250))^4.5</f>
        <v>3014.38929703387</v>
      </c>
      <c r="J250" s="26" t="n">
        <f aca="false">H250+I250+$B$14</f>
        <v>12591.400637074</v>
      </c>
      <c r="K250" s="44" t="n">
        <f aca="false">J250/$B$15</f>
        <v>19.9863502175779</v>
      </c>
    </row>
    <row r="251" customFormat="false" ht="15" hidden="false" customHeight="false" outlineLevel="0" collapsed="false">
      <c r="A251" s="52" t="n">
        <v>211</v>
      </c>
      <c r="B251" s="21" t="n">
        <f aca="true">NORMINV(RAND(),$B$6,$C$6)</f>
        <v>0.165942129135159</v>
      </c>
      <c r="C251" s="21" t="n">
        <f aca="true">MAX(0.03,NORMINV(RAND(),$B$7,$C$7))</f>
        <v>0.216965020068665</v>
      </c>
      <c r="D251" s="33" t="n">
        <f aca="true">MAX(0.08,NORMINV(RAND(),$B$8,$C$8))</f>
        <v>0.150898731082349</v>
      </c>
      <c r="E251" s="48" t="n">
        <f aca="true">MAX(4,NORMINV(RAND(),$B$9,$C$9))</f>
        <v>13.5900418135908</v>
      </c>
      <c r="F251" s="26" t="n">
        <f aca="false">$B$18*(1+(B251+$B$17)/2)^9</f>
        <v>6972.56053632532</v>
      </c>
      <c r="G251" s="26" t="n">
        <f aca="false">F251*C251</f>
        <v>1512.80173669381</v>
      </c>
      <c r="H251" s="26" t="n">
        <f aca="false">E251*G251/(1+D251)^9</f>
        <v>5803.21694381805</v>
      </c>
      <c r="I251" s="26" t="n">
        <f aca="false">$B$13*G251/$B$12*((1+$B$8)/(1+D251))^4.5</f>
        <v>2172.66311857404</v>
      </c>
      <c r="J251" s="26" t="n">
        <f aca="false">H251+I251+$B$14</f>
        <v>10062.2789404743</v>
      </c>
      <c r="K251" s="44" t="n">
        <f aca="false">J251/$B$15</f>
        <v>15.9718713340862</v>
      </c>
    </row>
    <row r="252" customFormat="false" ht="15" hidden="false" customHeight="false" outlineLevel="0" collapsed="false">
      <c r="A252" s="52" t="n">
        <v>212</v>
      </c>
      <c r="B252" s="21" t="n">
        <f aca="true">NORMINV(RAND(),$B$6,$C$6)</f>
        <v>0.190139205709347</v>
      </c>
      <c r="C252" s="21" t="n">
        <f aca="true">MAX(0.03,NORMINV(RAND(),$B$7,$C$7))</f>
        <v>0.200271626979858</v>
      </c>
      <c r="D252" s="33" t="n">
        <f aca="true">MAX(0.08,NORMINV(RAND(),$B$8,$C$8))</f>
        <v>0.137587480668307</v>
      </c>
      <c r="E252" s="48" t="n">
        <f aca="true">MAX(4,NORMINV(RAND(),$B$9,$C$9))</f>
        <v>11.5467788830972</v>
      </c>
      <c r="F252" s="26" t="n">
        <f aca="false">$B$18*(1+(B252+$B$17)/2)^9</f>
        <v>7688.5001456615</v>
      </c>
      <c r="G252" s="26" t="n">
        <f aca="false">F252*C252</f>
        <v>1539.7884332065</v>
      </c>
      <c r="H252" s="26" t="n">
        <f aca="false">E252*G252/(1+D252)^9</f>
        <v>5572.61021653784</v>
      </c>
      <c r="I252" s="26" t="n">
        <f aca="false">$B$13*G252/$B$12*((1+$B$8)/(1+D252))^4.5</f>
        <v>2330.27305556131</v>
      </c>
      <c r="J252" s="26" t="n">
        <f aca="false">H252+I252+$B$14</f>
        <v>9989.28215018134</v>
      </c>
      <c r="K252" s="44" t="n">
        <f aca="false">J252/$B$15</f>
        <v>15.8560034129863</v>
      </c>
    </row>
    <row r="253" customFormat="false" ht="15" hidden="false" customHeight="false" outlineLevel="0" collapsed="false">
      <c r="A253" s="52" t="n">
        <v>213</v>
      </c>
      <c r="B253" s="21" t="n">
        <f aca="true">NORMINV(RAND(),$B$6,$C$6)</f>
        <v>0.137579818643126</v>
      </c>
      <c r="C253" s="21" t="n">
        <f aca="true">MAX(0.03,NORMINV(RAND(),$B$7,$C$7))</f>
        <v>0.197765238674155</v>
      </c>
      <c r="D253" s="33" t="n">
        <f aca="true">MAX(0.08,NORMINV(RAND(),$B$8,$C$8))</f>
        <v>0.147719449001601</v>
      </c>
      <c r="E253" s="48" t="n">
        <f aca="true">MAX(4,NORMINV(RAND(),$B$9,$C$9))</f>
        <v>11.3433060788305</v>
      </c>
      <c r="F253" s="26" t="n">
        <f aca="false">$B$18*(1+(B253+$B$17)/2)^9</f>
        <v>6209.28706371421</v>
      </c>
      <c r="G253" s="26" t="n">
        <f aca="false">F253*C253</f>
        <v>1227.98113815178</v>
      </c>
      <c r="H253" s="26" t="n">
        <f aca="false">E253*G253/(1+D253)^9</f>
        <v>4030.97102591459</v>
      </c>
      <c r="I253" s="26" t="n">
        <f aca="false">$B$13*G253/$B$12*((1+$B$8)/(1+D253))^4.5</f>
        <v>1785.69893320316</v>
      </c>
      <c r="J253" s="26" t="n">
        <f aca="false">H253+I253+$B$14</f>
        <v>7903.06883719994</v>
      </c>
      <c r="K253" s="44" t="n">
        <f aca="false">J253/$B$15</f>
        <v>12.5445537098412</v>
      </c>
    </row>
    <row r="254" customFormat="false" ht="15" hidden="false" customHeight="false" outlineLevel="0" collapsed="false">
      <c r="A254" s="52" t="n">
        <v>214</v>
      </c>
      <c r="B254" s="21" t="n">
        <f aca="true">NORMINV(RAND(),$B$6,$C$6)</f>
        <v>0.197634200400692</v>
      </c>
      <c r="C254" s="21" t="n">
        <f aca="true">MAX(0.03,NORMINV(RAND(),$B$7,$C$7))</f>
        <v>0.225094055825211</v>
      </c>
      <c r="D254" s="33" t="n">
        <f aca="true">MAX(0.08,NORMINV(RAND(),$B$8,$C$8))</f>
        <v>0.137198912145159</v>
      </c>
      <c r="E254" s="48" t="n">
        <f aca="true">MAX(4,NORMINV(RAND(),$B$9,$C$9))</f>
        <v>17.735363212725</v>
      </c>
      <c r="F254" s="26" t="n">
        <f aca="false">$B$18*(1+(B254+$B$17)/2)^9</f>
        <v>7923.13855704903</v>
      </c>
      <c r="G254" s="26" t="n">
        <f aca="false">F254*C254</f>
        <v>1783.45139267127</v>
      </c>
      <c r="H254" s="26" t="n">
        <f aca="false">E254*G254/(1+D254)^9</f>
        <v>9944.2822910494</v>
      </c>
      <c r="I254" s="26" t="n">
        <f aca="false">$B$13*G254/$B$12*((1+$B$8)/(1+D254))^4.5</f>
        <v>2703.17831943052</v>
      </c>
      <c r="J254" s="26" t="n">
        <f aca="false">H254+I254+$B$14</f>
        <v>14733.8594885621</v>
      </c>
      <c r="K254" s="44" t="n">
        <f aca="false">J254/$B$15</f>
        <v>23.3870785532732</v>
      </c>
    </row>
    <row r="255" customFormat="false" ht="15" hidden="false" customHeight="false" outlineLevel="0" collapsed="false">
      <c r="A255" s="52" t="n">
        <v>215</v>
      </c>
      <c r="B255" s="21" t="n">
        <f aca="true">NORMINV(RAND(),$B$6,$C$6)</f>
        <v>0.223600403690091</v>
      </c>
      <c r="C255" s="21" t="n">
        <f aca="true">MAX(0.03,NORMINV(RAND(),$B$7,$C$7))</f>
        <v>0.209443204378675</v>
      </c>
      <c r="D255" s="33" t="n">
        <f aca="true">MAX(0.08,NORMINV(RAND(),$B$8,$C$8))</f>
        <v>0.131688285905247</v>
      </c>
      <c r="E255" s="48" t="n">
        <f aca="true">MAX(4,NORMINV(RAND(),$B$9,$C$9))</f>
        <v>12.3639950894517</v>
      </c>
      <c r="F255" s="26" t="n">
        <f aca="false">$B$18*(1+(B255+$B$17)/2)^9</f>
        <v>8786.05270326923</v>
      </c>
      <c r="G255" s="26" t="n">
        <f aca="false">F255*C255</f>
        <v>1840.17903201262</v>
      </c>
      <c r="H255" s="26" t="n">
        <f aca="false">E255*G255/(1+D255)^9</f>
        <v>7472.69947617948</v>
      </c>
      <c r="I255" s="26" t="n">
        <f aca="false">$B$13*G255/$B$12*((1+$B$8)/(1+D255))^4.5</f>
        <v>2850.80008938082</v>
      </c>
      <c r="J255" s="26" t="n">
        <f aca="false">H255+I255+$B$14</f>
        <v>12409.8984436425</v>
      </c>
      <c r="K255" s="44" t="n">
        <f aca="false">J255/$B$15</f>
        <v>19.6982514978452</v>
      </c>
    </row>
    <row r="256" customFormat="false" ht="15" hidden="false" customHeight="false" outlineLevel="0" collapsed="false">
      <c r="A256" s="52" t="n">
        <v>216</v>
      </c>
      <c r="B256" s="21" t="n">
        <f aca="true">NORMINV(RAND(),$B$6,$C$6)</f>
        <v>0.258093568590414</v>
      </c>
      <c r="C256" s="21" t="n">
        <f aca="true">MAX(0.03,NORMINV(RAND(),$B$7,$C$7))</f>
        <v>0.222234545333037</v>
      </c>
      <c r="D256" s="33" t="n">
        <f aca="true">MAX(0.08,NORMINV(RAND(),$B$8,$C$8))</f>
        <v>0.144102488326193</v>
      </c>
      <c r="E256" s="48" t="n">
        <f aca="true">MAX(4,NORMINV(RAND(),$B$9,$C$9))</f>
        <v>12.1556258635182</v>
      </c>
      <c r="F256" s="26" t="n">
        <f aca="false">$B$18*(1+(B256+$B$17)/2)^9</f>
        <v>10061.1416276984</v>
      </c>
      <c r="G256" s="26" t="n">
        <f aca="false">F256*C256</f>
        <v>2235.93323516284</v>
      </c>
      <c r="H256" s="26" t="n">
        <f aca="false">E256*G256/(1+D256)^9</f>
        <v>8091.92380091959</v>
      </c>
      <c r="I256" s="26" t="n">
        <f aca="false">$B$13*G256/$B$12*((1+$B$8)/(1+D256))^4.5</f>
        <v>3297.94967326332</v>
      </c>
      <c r="J256" s="26" t="n">
        <f aca="false">H256+I256+$B$14</f>
        <v>13476.2723522651</v>
      </c>
      <c r="K256" s="44" t="n">
        <f aca="false">J256/$B$15</f>
        <v>21.3909084956589</v>
      </c>
    </row>
    <row r="257" customFormat="false" ht="15" hidden="false" customHeight="false" outlineLevel="0" collapsed="false">
      <c r="A257" s="52" t="n">
        <v>217</v>
      </c>
      <c r="B257" s="21" t="n">
        <f aca="true">NORMINV(RAND(),$B$6,$C$6)</f>
        <v>0.242401763133564</v>
      </c>
      <c r="C257" s="21" t="n">
        <f aca="true">MAX(0.03,NORMINV(RAND(),$B$7,$C$7))</f>
        <v>0.262236746015763</v>
      </c>
      <c r="D257" s="33" t="n">
        <f aca="true">MAX(0.08,NORMINV(RAND(),$B$8,$C$8))</f>
        <v>0.123521800341858</v>
      </c>
      <c r="E257" s="48" t="n">
        <f aca="true">MAX(4,NORMINV(RAND(),$B$9,$C$9))</f>
        <v>12.891342194719</v>
      </c>
      <c r="F257" s="26" t="n">
        <f aca="false">$B$18*(1+(B257+$B$17)/2)^9</f>
        <v>9462.00491059015</v>
      </c>
      <c r="G257" s="26" t="n">
        <f aca="false">F257*C257</f>
        <v>2481.28537853833</v>
      </c>
      <c r="H257" s="26" t="n">
        <f aca="false">E257*G257/(1+D257)^9</f>
        <v>11213.5034178107</v>
      </c>
      <c r="I257" s="26" t="n">
        <f aca="false">$B$13*G257/$B$12*((1+$B$8)/(1+D257))^4.5</f>
        <v>3971.34235887073</v>
      </c>
      <c r="J257" s="26" t="n">
        <f aca="false">H257+I257+$B$14</f>
        <v>17271.2446547636</v>
      </c>
      <c r="K257" s="44" t="n">
        <f aca="false">J257/$B$15</f>
        <v>27.4146740551803</v>
      </c>
    </row>
    <row r="258" customFormat="false" ht="15" hidden="false" customHeight="false" outlineLevel="0" collapsed="false">
      <c r="A258" s="52" t="n">
        <v>218</v>
      </c>
      <c r="B258" s="21" t="n">
        <f aca="true">NORMINV(RAND(),$B$6,$C$6)</f>
        <v>0.170538055066326</v>
      </c>
      <c r="C258" s="21" t="n">
        <f aca="true">MAX(0.03,NORMINV(RAND(),$B$7,$C$7))</f>
        <v>0.221628424787604</v>
      </c>
      <c r="D258" s="33" t="n">
        <f aca="true">MAX(0.08,NORMINV(RAND(),$B$8,$C$8))</f>
        <v>0.134276071480348</v>
      </c>
      <c r="E258" s="48" t="n">
        <f aca="true">MAX(4,NORMINV(RAND(),$B$9,$C$9))</f>
        <v>12.3496476650361</v>
      </c>
      <c r="F258" s="26" t="n">
        <f aca="false">$B$18*(1+(B258+$B$17)/2)^9</f>
        <v>7103.79709941969</v>
      </c>
      <c r="G258" s="26" t="n">
        <f aca="false">F258*C258</f>
        <v>1574.40336115514</v>
      </c>
      <c r="H258" s="26" t="n">
        <f aca="false">E258*G258/(1+D258)^9</f>
        <v>6256.07061741698</v>
      </c>
      <c r="I258" s="26" t="n">
        <f aca="false">$B$13*G258/$B$12*((1+$B$8)/(1+D258))^4.5</f>
        <v>2414.12036641129</v>
      </c>
      <c r="J258" s="26" t="n">
        <f aca="false">H258+I258+$B$14</f>
        <v>10756.5898619105</v>
      </c>
      <c r="K258" s="44" t="n">
        <f aca="false">J258/$B$15</f>
        <v>17.0739521617626</v>
      </c>
    </row>
    <row r="259" customFormat="false" ht="15" hidden="false" customHeight="false" outlineLevel="0" collapsed="false">
      <c r="A259" s="52" t="n">
        <v>219</v>
      </c>
      <c r="B259" s="21" t="n">
        <f aca="true">NORMINV(RAND(),$B$6,$C$6)</f>
        <v>0.138995014643448</v>
      </c>
      <c r="C259" s="21" t="n">
        <f aca="true">MAX(0.03,NORMINV(RAND(),$B$7,$C$7))</f>
        <v>0.211789885073033</v>
      </c>
      <c r="D259" s="33" t="n">
        <f aca="true">MAX(0.08,NORMINV(RAND(),$B$8,$C$8))</f>
        <v>0.129843647794326</v>
      </c>
      <c r="E259" s="48" t="n">
        <f aca="true">MAX(4,NORMINV(RAND(),$B$9,$C$9))</f>
        <v>9.60492667766256</v>
      </c>
      <c r="F259" s="26" t="n">
        <f aca="false">$B$18*(1+(B259+$B$17)/2)^9</f>
        <v>6245.53313955176</v>
      </c>
      <c r="G259" s="26" t="n">
        <f aca="false">F259*C259</f>
        <v>1322.74074584549</v>
      </c>
      <c r="H259" s="26" t="n">
        <f aca="false">E259*G259/(1+D259)^9</f>
        <v>4234.51476305752</v>
      </c>
      <c r="I259" s="26" t="n">
        <f aca="false">$B$13*G259/$B$12*((1+$B$8)/(1+D259))^4.5</f>
        <v>2064.28445882047</v>
      </c>
      <c r="J259" s="26" t="n">
        <f aca="false">H259+I259+$B$14</f>
        <v>8385.19809996018</v>
      </c>
      <c r="K259" s="44" t="n">
        <f aca="false">J259/$B$15</f>
        <v>13.309838253905</v>
      </c>
    </row>
    <row r="260" customFormat="false" ht="15" hidden="false" customHeight="false" outlineLevel="0" collapsed="false">
      <c r="A260" s="52" t="n">
        <v>220</v>
      </c>
      <c r="B260" s="21" t="n">
        <f aca="true">NORMINV(RAND(),$B$6,$C$6)</f>
        <v>0.157489603832459</v>
      </c>
      <c r="C260" s="21" t="n">
        <f aca="true">MAX(0.03,NORMINV(RAND(),$B$7,$C$7))</f>
        <v>0.215127946027525</v>
      </c>
      <c r="D260" s="33" t="n">
        <f aca="true">MAX(0.08,NORMINV(RAND(),$B$8,$C$8))</f>
        <v>0.146212244022035</v>
      </c>
      <c r="E260" s="48" t="n">
        <f aca="true">MAX(4,NORMINV(RAND(),$B$9,$C$9))</f>
        <v>11.3760376777373</v>
      </c>
      <c r="F260" s="26" t="n">
        <f aca="false">$B$18*(1+(B260+$B$17)/2)^9</f>
        <v>6736.8141620529</v>
      </c>
      <c r="G260" s="26" t="n">
        <f aca="false">F260*C260</f>
        <v>1449.27699345158</v>
      </c>
      <c r="H260" s="26" t="n">
        <f aca="false">E260*G260/(1+D260)^9</f>
        <v>4827.8862563665</v>
      </c>
      <c r="I260" s="26" t="n">
        <f aca="false">$B$13*G260/$B$12*((1+$B$8)/(1+D260))^4.5</f>
        <v>2120.00107578387</v>
      </c>
      <c r="J260" s="26" t="n">
        <f aca="false">H260+I260+$B$14</f>
        <v>9034.28621023256</v>
      </c>
      <c r="K260" s="44" t="n">
        <f aca="false">J260/$B$15</f>
        <v>14.340136841639</v>
      </c>
    </row>
    <row r="261" customFormat="false" ht="15" hidden="false" customHeight="false" outlineLevel="0" collapsed="false">
      <c r="A261" s="52" t="n">
        <v>221</v>
      </c>
      <c r="B261" s="21" t="n">
        <f aca="true">NORMINV(RAND(),$B$6,$C$6)</f>
        <v>0.209275194095509</v>
      </c>
      <c r="C261" s="21" t="n">
        <f aca="true">MAX(0.03,NORMINV(RAND(),$B$7,$C$7))</f>
        <v>0.198083560502586</v>
      </c>
      <c r="D261" s="33" t="n">
        <f aca="true">MAX(0.08,NORMINV(RAND(),$B$8,$C$8))</f>
        <v>0.124755102147299</v>
      </c>
      <c r="E261" s="48" t="n">
        <f aca="true">MAX(4,NORMINV(RAND(),$B$9,$C$9))</f>
        <v>15.1112464375322</v>
      </c>
      <c r="F261" s="26" t="n">
        <f aca="false">$B$18*(1+(B261+$B$17)/2)^9</f>
        <v>8300.20407837656</v>
      </c>
      <c r="G261" s="26" t="n">
        <f aca="false">F261*C261</f>
        <v>1644.13397674291</v>
      </c>
      <c r="H261" s="26" t="n">
        <f aca="false">E261*G261/(1+D261)^9</f>
        <v>8624.13895523397</v>
      </c>
      <c r="I261" s="26" t="n">
        <f aca="false">$B$13*G261/$B$12*((1+$B$8)/(1+D261))^4.5</f>
        <v>2618.50681827265</v>
      </c>
      <c r="J261" s="26" t="n">
        <f aca="false">H261+I261+$B$14</f>
        <v>13329.0446515888</v>
      </c>
      <c r="K261" s="44" t="n">
        <f aca="false">J261/$B$15</f>
        <v>21.1572137326807</v>
      </c>
    </row>
    <row r="262" customFormat="false" ht="15" hidden="false" customHeight="false" outlineLevel="0" collapsed="false">
      <c r="A262" s="52" t="n">
        <v>222</v>
      </c>
      <c r="B262" s="21" t="n">
        <f aca="true">NORMINV(RAND(),$B$6,$C$6)</f>
        <v>0.134494339999983</v>
      </c>
      <c r="C262" s="21" t="n">
        <f aca="true">MAX(0.03,NORMINV(RAND(),$B$7,$C$7))</f>
        <v>0.264122637328283</v>
      </c>
      <c r="D262" s="33" t="n">
        <f aca="true">MAX(0.08,NORMINV(RAND(),$B$8,$C$8))</f>
        <v>0.134863211979119</v>
      </c>
      <c r="E262" s="48" t="n">
        <f aca="true">MAX(4,NORMINV(RAND(),$B$9,$C$9))</f>
        <v>10.9854793296071</v>
      </c>
      <c r="F262" s="26" t="n">
        <f aca="false">$B$18*(1+(B262+$B$17)/2)^9</f>
        <v>6130.90912623996</v>
      </c>
      <c r="G262" s="26" t="n">
        <f aca="false">F262*C262</f>
        <v>1619.31188764254</v>
      </c>
      <c r="H262" s="26" t="n">
        <f aca="false">E262*G262/(1+D262)^9</f>
        <v>5697.15260921854</v>
      </c>
      <c r="I262" s="26" t="n">
        <f aca="false">$B$13*G262/$B$12*((1+$B$8)/(1+D262))^4.5</f>
        <v>2477.20558955143</v>
      </c>
      <c r="J262" s="26" t="n">
        <f aca="false">H262+I262+$B$14</f>
        <v>10260.7570768522</v>
      </c>
      <c r="K262" s="44" t="n">
        <f aca="false">J262/$B$15</f>
        <v>16.2869159950034</v>
      </c>
    </row>
    <row r="263" customFormat="false" ht="15" hidden="false" customHeight="false" outlineLevel="0" collapsed="false">
      <c r="A263" s="52" t="n">
        <v>223</v>
      </c>
      <c r="B263" s="21" t="n">
        <f aca="true">NORMINV(RAND(),$B$6,$C$6)</f>
        <v>0.129580773763518</v>
      </c>
      <c r="C263" s="21" t="n">
        <f aca="true">MAX(0.03,NORMINV(RAND(),$B$7,$C$7))</f>
        <v>0.224383313727496</v>
      </c>
      <c r="D263" s="33" t="n">
        <f aca="true">MAX(0.08,NORMINV(RAND(),$B$8,$C$8))</f>
        <v>0.143338737940134</v>
      </c>
      <c r="E263" s="48" t="n">
        <f aca="true">MAX(4,NORMINV(RAND(),$B$9,$C$9))</f>
        <v>10.5138836907895</v>
      </c>
      <c r="F263" s="26" t="n">
        <f aca="false">$B$18*(1+(B263+$B$17)/2)^9</f>
        <v>6007.90808210641</v>
      </c>
      <c r="G263" s="26" t="n">
        <f aca="false">F263*C263</f>
        <v>1348.07432403324</v>
      </c>
      <c r="H263" s="26" t="n">
        <f aca="false">E263*G263/(1+D263)^9</f>
        <v>4245.24482346436</v>
      </c>
      <c r="I263" s="26" t="n">
        <f aca="false">$B$13*G263/$B$12*((1+$B$8)/(1+D263))^4.5</f>
        <v>1994.36242503646</v>
      </c>
      <c r="J263" s="26" t="n">
        <f aca="false">H263+I263+$B$14</f>
        <v>8326.00612658301</v>
      </c>
      <c r="K263" s="44" t="n">
        <f aca="false">J263/$B$15</f>
        <v>13.215882740608</v>
      </c>
    </row>
    <row r="264" customFormat="false" ht="15" hidden="false" customHeight="false" outlineLevel="0" collapsed="false">
      <c r="A264" s="52" t="n">
        <v>224</v>
      </c>
      <c r="B264" s="21" t="n">
        <f aca="true">NORMINV(RAND(),$B$6,$C$6)</f>
        <v>0.188391841106664</v>
      </c>
      <c r="C264" s="21" t="n">
        <f aca="true">MAX(0.03,NORMINV(RAND(),$B$7,$C$7))</f>
        <v>0.180301636215076</v>
      </c>
      <c r="D264" s="33" t="n">
        <f aca="true">MAX(0.08,NORMINV(RAND(),$B$8,$C$8))</f>
        <v>0.129710543807672</v>
      </c>
      <c r="E264" s="48" t="n">
        <f aca="true">MAX(4,NORMINV(RAND(),$B$9,$C$9))</f>
        <v>9.79299209160253</v>
      </c>
      <c r="F264" s="26" t="n">
        <f aca="false">$B$18*(1+(B264+$B$17)/2)^9</f>
        <v>7634.69324539835</v>
      </c>
      <c r="G264" s="26" t="n">
        <f aca="false">F264*C264</f>
        <v>1376.54768414551</v>
      </c>
      <c r="H264" s="26" t="n">
        <f aca="false">E264*G264/(1+D264)^9</f>
        <v>4497.81951839589</v>
      </c>
      <c r="I264" s="26" t="n">
        <f aca="false">$B$13*G264/$B$12*((1+$B$8)/(1+D264))^4.5</f>
        <v>2149.39541868244</v>
      </c>
      <c r="J264" s="26" t="n">
        <f aca="false">H264+I264+$B$14</f>
        <v>8733.61381516053</v>
      </c>
      <c r="K264" s="44" t="n">
        <f aca="false">J264/$B$15</f>
        <v>13.8628790716834</v>
      </c>
    </row>
    <row r="265" customFormat="false" ht="15" hidden="false" customHeight="false" outlineLevel="0" collapsed="false">
      <c r="A265" s="52" t="n">
        <v>225</v>
      </c>
      <c r="B265" s="21" t="n">
        <f aca="true">NORMINV(RAND(),$B$6,$C$6)</f>
        <v>0.222059315525639</v>
      </c>
      <c r="C265" s="21" t="n">
        <f aca="true">MAX(0.03,NORMINV(RAND(),$B$7,$C$7))</f>
        <v>0.240322488931998</v>
      </c>
      <c r="D265" s="33" t="n">
        <f aca="true">MAX(0.08,NORMINV(RAND(),$B$8,$C$8))</f>
        <v>0.132264050518333</v>
      </c>
      <c r="E265" s="48" t="n">
        <f aca="true">MAX(4,NORMINV(RAND(),$B$9,$C$9))</f>
        <v>10.4333116982754</v>
      </c>
      <c r="F265" s="26" t="n">
        <f aca="false">$B$18*(1+(B265+$B$17)/2)^9</f>
        <v>8732.59966001336</v>
      </c>
      <c r="G265" s="26" t="n">
        <f aca="false">F265*C265</f>
        <v>2098.64008514113</v>
      </c>
      <c r="H265" s="26" t="n">
        <f aca="false">E265*G265/(1+D265)^9</f>
        <v>7158.6425634342</v>
      </c>
      <c r="I265" s="26" t="n">
        <f aca="false">$B$13*G265/$B$12*((1+$B$8)/(1+D265))^4.5</f>
        <v>3243.77414807778</v>
      </c>
      <c r="J265" s="26" t="n">
        <f aca="false">H265+I265+$B$14</f>
        <v>12488.8155895942</v>
      </c>
      <c r="K265" s="44" t="n">
        <f aca="false">J265/$B$15</f>
        <v>19.8235168088796</v>
      </c>
    </row>
    <row r="266" customFormat="false" ht="15" hidden="false" customHeight="false" outlineLevel="0" collapsed="false">
      <c r="A266" s="52" t="n">
        <v>226</v>
      </c>
      <c r="B266" s="21" t="n">
        <f aca="true">NORMINV(RAND(),$B$6,$C$6)</f>
        <v>0.289389225317205</v>
      </c>
      <c r="C266" s="21" t="n">
        <f aca="true">MAX(0.03,NORMINV(RAND(),$B$7,$C$7))</f>
        <v>0.188418675806382</v>
      </c>
      <c r="D266" s="33" t="n">
        <f aca="true">MAX(0.08,NORMINV(RAND(),$B$8,$C$8))</f>
        <v>0.145695056232815</v>
      </c>
      <c r="E266" s="48" t="n">
        <f aca="true">MAX(4,NORMINV(RAND(),$B$9,$C$9))</f>
        <v>11.7573539898195</v>
      </c>
      <c r="F266" s="26" t="n">
        <f aca="false">$B$18*(1+(B266+$B$17)/2)^9</f>
        <v>11357.6618056441</v>
      </c>
      <c r="G266" s="26" t="n">
        <f aca="false">F266*C266</f>
        <v>2139.99559767619</v>
      </c>
      <c r="H266" s="26" t="n">
        <f aca="false">E266*G266/(1+D266)^9</f>
        <v>7397.77506825744</v>
      </c>
      <c r="I266" s="26" t="n">
        <f aca="false">$B$13*G266/$B$12*((1+$B$8)/(1+D266))^4.5</f>
        <v>3136.74765794597</v>
      </c>
      <c r="J266" s="26" t="n">
        <f aca="false">H266+I266+$B$14</f>
        <v>12620.9216042856</v>
      </c>
      <c r="K266" s="44" t="n">
        <f aca="false">J266/$B$15</f>
        <v>20.0332088956914</v>
      </c>
    </row>
    <row r="267" customFormat="false" ht="15" hidden="false" customHeight="false" outlineLevel="0" collapsed="false">
      <c r="A267" s="52" t="n">
        <v>227</v>
      </c>
      <c r="B267" s="21" t="n">
        <f aca="true">NORMINV(RAND(),$B$6,$C$6)</f>
        <v>0.255206585000776</v>
      </c>
      <c r="C267" s="21" t="n">
        <f aca="true">MAX(0.03,NORMINV(RAND(),$B$7,$C$7))</f>
        <v>0.225077893721623</v>
      </c>
      <c r="D267" s="33" t="n">
        <f aca="true">MAX(0.08,NORMINV(RAND(),$B$8,$C$8))</f>
        <v>0.133119958848395</v>
      </c>
      <c r="E267" s="48" t="n">
        <f aca="true">MAX(4,NORMINV(RAND(),$B$9,$C$9))</f>
        <v>11.3868658049466</v>
      </c>
      <c r="F267" s="26" t="n">
        <f aca="false">$B$18*(1+(B267+$B$17)/2)^9</f>
        <v>9948.44557449053</v>
      </c>
      <c r="G267" s="26" t="n">
        <f aca="false">F267*C267</f>
        <v>2239.17517571053</v>
      </c>
      <c r="H267" s="26" t="n">
        <f aca="false">E267*G267/(1+D267)^9</f>
        <v>8279.59835302154</v>
      </c>
      <c r="I267" s="26" t="n">
        <f aca="false">$B$13*G267/$B$12*((1+$B$8)/(1+D267))^4.5</f>
        <v>3449.24423579859</v>
      </c>
      <c r="J267" s="26" t="n">
        <f aca="false">H267+I267+$B$14</f>
        <v>13815.2414669023</v>
      </c>
      <c r="K267" s="44" t="n">
        <f aca="false">J267/$B$15</f>
        <v>21.9289547093688</v>
      </c>
    </row>
    <row r="268" customFormat="false" ht="15" hidden="false" customHeight="false" outlineLevel="0" collapsed="false">
      <c r="A268" s="52" t="n">
        <v>228</v>
      </c>
      <c r="B268" s="21" t="n">
        <f aca="true">NORMINV(RAND(),$B$6,$C$6)</f>
        <v>0.188147648184432</v>
      </c>
      <c r="C268" s="21" t="n">
        <f aca="true">MAX(0.03,NORMINV(RAND(),$B$7,$C$7))</f>
        <v>0.190818328209023</v>
      </c>
      <c r="D268" s="33" t="n">
        <f aca="true">MAX(0.08,NORMINV(RAND(),$B$8,$C$8))</f>
        <v>0.142449083822411</v>
      </c>
      <c r="E268" s="48" t="n">
        <f aca="true">MAX(4,NORMINV(RAND(),$B$9,$C$9))</f>
        <v>15.0881748510635</v>
      </c>
      <c r="F268" s="26" t="n">
        <f aca="false">$B$18*(1+(B268+$B$17)/2)^9</f>
        <v>7627.2004900481</v>
      </c>
      <c r="G268" s="26" t="n">
        <f aca="false">F268*C268</f>
        <v>1455.40964642602</v>
      </c>
      <c r="H268" s="26" t="n">
        <f aca="false">E268*G268/(1+D268)^9</f>
        <v>6623.54168490122</v>
      </c>
      <c r="I268" s="26" t="n">
        <f aca="false">$B$13*G268/$B$12*((1+$B$8)/(1+D268))^4.5</f>
        <v>2160.71151127946</v>
      </c>
      <c r="J268" s="26" t="n">
        <f aca="false">H268+I268+$B$14</f>
        <v>10870.6520742629</v>
      </c>
      <c r="K268" s="44" t="n">
        <f aca="false">J268/$B$15</f>
        <v>17.2550032924807</v>
      </c>
    </row>
    <row r="269" customFormat="false" ht="15" hidden="false" customHeight="false" outlineLevel="0" collapsed="false">
      <c r="A269" s="52" t="n">
        <v>229</v>
      </c>
      <c r="B269" s="21" t="n">
        <f aca="true">NORMINV(RAND(),$B$6,$C$6)</f>
        <v>0.219765630873589</v>
      </c>
      <c r="C269" s="21" t="n">
        <f aca="true">MAX(0.03,NORMINV(RAND(),$B$7,$C$7))</f>
        <v>0.201364960847318</v>
      </c>
      <c r="D269" s="33" t="n">
        <f aca="true">MAX(0.08,NORMINV(RAND(),$B$8,$C$8))</f>
        <v>0.120483478433732</v>
      </c>
      <c r="E269" s="48" t="n">
        <f aca="true">MAX(4,NORMINV(RAND(),$B$9,$C$9))</f>
        <v>11.172681635067</v>
      </c>
      <c r="F269" s="26" t="n">
        <f aca="false">$B$18*(1+(B269+$B$17)/2)^9</f>
        <v>8653.57784831843</v>
      </c>
      <c r="G269" s="26" t="n">
        <f aca="false">F269*C269</f>
        <v>1742.52736461586</v>
      </c>
      <c r="H269" s="26" t="n">
        <f aca="false">E269*G269/(1+D269)^9</f>
        <v>6993.39269632897</v>
      </c>
      <c r="I269" s="26" t="n">
        <f aca="false">$B$13*G269/$B$12*((1+$B$8)/(1+D269))^4.5</f>
        <v>2823.14008023499</v>
      </c>
      <c r="J269" s="26" t="n">
        <f aca="false">H269+I269+$B$14</f>
        <v>11902.9316546461</v>
      </c>
      <c r="K269" s="44" t="n">
        <f aca="false">J269/$B$15</f>
        <v>18.8935423089621</v>
      </c>
    </row>
    <row r="270" customFormat="false" ht="15" hidden="false" customHeight="false" outlineLevel="0" collapsed="false">
      <c r="A270" s="52" t="n">
        <v>230</v>
      </c>
      <c r="B270" s="21" t="n">
        <f aca="true">NORMINV(RAND(),$B$6,$C$6)</f>
        <v>0.195161581846081</v>
      </c>
      <c r="C270" s="21" t="n">
        <f aca="true">MAX(0.03,NORMINV(RAND(),$B$7,$C$7))</f>
        <v>0.216850344952312</v>
      </c>
      <c r="D270" s="33" t="n">
        <f aca="true">MAX(0.08,NORMINV(RAND(),$B$8,$C$8))</f>
        <v>0.125784112163698</v>
      </c>
      <c r="E270" s="48" t="n">
        <f aca="true">MAX(4,NORMINV(RAND(),$B$9,$C$9))</f>
        <v>12.5935604240838</v>
      </c>
      <c r="F270" s="26" t="n">
        <f aca="false">$B$18*(1+(B270+$B$17)/2)^9</f>
        <v>7845.03678498094</v>
      </c>
      <c r="G270" s="26" t="n">
        <f aca="false">F270*C270</f>
        <v>1701.1989329867</v>
      </c>
      <c r="H270" s="26" t="n">
        <f aca="false">E270*G270/(1+D270)^9</f>
        <v>7375.77388205521</v>
      </c>
      <c r="I270" s="26" t="n">
        <f aca="false">$B$13*G270/$B$12*((1+$B$8)/(1+D270))^4.5</f>
        <v>2698.26413676662</v>
      </c>
      <c r="J270" s="26" t="n">
        <f aca="false">H270+I270+$B$14</f>
        <v>12160.436896904</v>
      </c>
      <c r="K270" s="44" t="n">
        <f aca="false">J270/$B$15</f>
        <v>19.3022807887365</v>
      </c>
    </row>
    <row r="271" customFormat="false" ht="15" hidden="false" customHeight="false" outlineLevel="0" collapsed="false">
      <c r="A271" s="52" t="n">
        <v>231</v>
      </c>
      <c r="B271" s="21" t="n">
        <f aca="true">NORMINV(RAND(),$B$6,$C$6)</f>
        <v>0.186897128844648</v>
      </c>
      <c r="C271" s="21" t="n">
        <f aca="true">MAX(0.03,NORMINV(RAND(),$B$7,$C$7))</f>
        <v>0.233557874327289</v>
      </c>
      <c r="D271" s="33" t="n">
        <f aca="true">MAX(0.08,NORMINV(RAND(),$B$8,$C$8))</f>
        <v>0.124830869865828</v>
      </c>
      <c r="E271" s="48" t="n">
        <f aca="true">MAX(4,NORMINV(RAND(),$B$9,$C$9))</f>
        <v>11.670383944962</v>
      </c>
      <c r="F271" s="26" t="n">
        <f aca="false">$B$18*(1+(B271+$B$17)/2)^9</f>
        <v>7588.93221209524</v>
      </c>
      <c r="G271" s="26" t="n">
        <f aca="false">F271*C271</f>
        <v>1772.45487587085</v>
      </c>
      <c r="H271" s="26" t="n">
        <f aca="false">E271*G271/(1+D271)^9</f>
        <v>7175.88205803431</v>
      </c>
      <c r="I271" s="26" t="n">
        <f aca="false">$B$13*G271/$B$12*((1+$B$8)/(1+D271))^4.5</f>
        <v>2822.01973163869</v>
      </c>
      <c r="J271" s="26" t="n">
        <f aca="false">H271+I271+$B$14</f>
        <v>12084.3006677552</v>
      </c>
      <c r="K271" s="44" t="n">
        <f aca="false">J271/$B$15</f>
        <v>19.1814296313575</v>
      </c>
    </row>
    <row r="272" customFormat="false" ht="15" hidden="false" customHeight="false" outlineLevel="0" collapsed="false">
      <c r="A272" s="52" t="n">
        <v>232</v>
      </c>
      <c r="B272" s="21" t="n">
        <f aca="true">NORMINV(RAND(),$B$6,$C$6)</f>
        <v>0.155268592261138</v>
      </c>
      <c r="C272" s="21" t="n">
        <f aca="true">MAX(0.03,NORMINV(RAND(),$B$7,$C$7))</f>
        <v>0.176934046150938</v>
      </c>
      <c r="D272" s="33" t="n">
        <f aca="true">MAX(0.08,NORMINV(RAND(),$B$8,$C$8))</f>
        <v>0.150703369281501</v>
      </c>
      <c r="E272" s="48" t="n">
        <f aca="true">MAX(4,NORMINV(RAND(),$B$9,$C$9))</f>
        <v>12.3202079984869</v>
      </c>
      <c r="F272" s="26" t="n">
        <f aca="false">$B$18*(1+(B272+$B$17)/2)^9</f>
        <v>6676.05636777369</v>
      </c>
      <c r="G272" s="26" t="n">
        <f aca="false">F272*C272</f>
        <v>1181.22166548193</v>
      </c>
      <c r="H272" s="26" t="n">
        <f aca="false">E272*G272/(1+D272)^9</f>
        <v>4114.13919762882</v>
      </c>
      <c r="I272" s="26" t="n">
        <f aca="false">$B$13*G272/$B$12*((1+$B$8)/(1+D272))^4.5</f>
        <v>1697.74926496967</v>
      </c>
      <c r="J272" s="26" t="n">
        <f aca="false">H272+I272+$B$14</f>
        <v>7898.28734068068</v>
      </c>
      <c r="K272" s="44" t="n">
        <f aca="false">J272/$B$15</f>
        <v>12.5369640328265</v>
      </c>
    </row>
    <row r="273" customFormat="false" ht="15" hidden="false" customHeight="false" outlineLevel="0" collapsed="false">
      <c r="A273" s="52" t="n">
        <v>233</v>
      </c>
      <c r="B273" s="21" t="n">
        <f aca="true">NORMINV(RAND(),$B$6,$C$6)</f>
        <v>0.179248416606741</v>
      </c>
      <c r="C273" s="21" t="n">
        <f aca="true">MAX(0.03,NORMINV(RAND(),$B$7,$C$7))</f>
        <v>0.198904694147021</v>
      </c>
      <c r="D273" s="33" t="n">
        <f aca="true">MAX(0.08,NORMINV(RAND(),$B$8,$C$8))</f>
        <v>0.139775060701303</v>
      </c>
      <c r="E273" s="48" t="n">
        <f aca="true">MAX(4,NORMINV(RAND(),$B$9,$C$9))</f>
        <v>7.90757854301158</v>
      </c>
      <c r="F273" s="26" t="n">
        <f aca="false">$B$18*(1+(B273+$B$17)/2)^9</f>
        <v>7358.55883134233</v>
      </c>
      <c r="G273" s="26" t="n">
        <f aca="false">F273*C273</f>
        <v>1463.65189371101</v>
      </c>
      <c r="H273" s="26" t="n">
        <f aca="false">E273*G273/(1+D273)^9</f>
        <v>3565.4057731569</v>
      </c>
      <c r="I273" s="26" t="n">
        <f aca="false">$B$13*G273/$B$12*((1+$B$8)/(1+D273))^4.5</f>
        <v>2195.98314468194</v>
      </c>
      <c r="J273" s="26" t="n">
        <f aca="false">H273+I273+$B$14</f>
        <v>7847.78779592103</v>
      </c>
      <c r="K273" s="44" t="n">
        <f aca="false">J273/$B$15</f>
        <v>12.4568060252715</v>
      </c>
    </row>
    <row r="274" customFormat="false" ht="15" hidden="false" customHeight="false" outlineLevel="0" collapsed="false">
      <c r="A274" s="52" t="n">
        <v>234</v>
      </c>
      <c r="B274" s="21" t="n">
        <f aca="true">NORMINV(RAND(),$B$6,$C$6)</f>
        <v>0.179343467037264</v>
      </c>
      <c r="C274" s="21" t="n">
        <f aca="true">MAX(0.03,NORMINV(RAND(),$B$7,$C$7))</f>
        <v>0.182368412359004</v>
      </c>
      <c r="D274" s="33" t="n">
        <f aca="true">MAX(0.08,NORMINV(RAND(),$B$8,$C$8))</f>
        <v>0.134162809738002</v>
      </c>
      <c r="E274" s="48" t="n">
        <f aca="true">MAX(4,NORMINV(RAND(),$B$9,$C$9))</f>
        <v>11.580529410899</v>
      </c>
      <c r="F274" s="26" t="n">
        <f aca="false">$B$18*(1+(B274+$B$17)/2)^9</f>
        <v>7361.38309324631</v>
      </c>
      <c r="G274" s="26" t="n">
        <f aca="false">F274*C274</f>
        <v>1342.48374748174</v>
      </c>
      <c r="H274" s="26" t="n">
        <f aca="false">E274*G274/(1+D274)^9</f>
        <v>5006.78370645458</v>
      </c>
      <c r="I274" s="26" t="n">
        <f aca="false">$B$13*G274/$B$12*((1+$B$8)/(1+D274))^4.5</f>
        <v>2059.43033184913</v>
      </c>
      <c r="J274" s="26" t="n">
        <f aca="false">H274+I274+$B$14</f>
        <v>9152.6129163859</v>
      </c>
      <c r="K274" s="44" t="n">
        <f aca="false">J274/$B$15</f>
        <v>14.5279570101364</v>
      </c>
    </row>
    <row r="275" customFormat="false" ht="15" hidden="false" customHeight="false" outlineLevel="0" collapsed="false">
      <c r="A275" s="52" t="n">
        <v>235</v>
      </c>
      <c r="B275" s="21" t="n">
        <f aca="true">NORMINV(RAND(),$B$6,$C$6)</f>
        <v>0.158712569904866</v>
      </c>
      <c r="C275" s="21" t="n">
        <f aca="true">MAX(0.03,NORMINV(RAND(),$B$7,$C$7))</f>
        <v>0.195422432920194</v>
      </c>
      <c r="D275" s="33" t="n">
        <f aca="true">MAX(0.08,NORMINV(RAND(),$B$8,$C$8))</f>
        <v>0.151067495804067</v>
      </c>
      <c r="E275" s="48" t="n">
        <f aca="true">MAX(4,NORMINV(RAND(),$B$9,$C$9))</f>
        <v>11.8393639410227</v>
      </c>
      <c r="F275" s="26" t="n">
        <f aca="false">$B$18*(1+(B275+$B$17)/2)^9</f>
        <v>6770.47891302304</v>
      </c>
      <c r="G275" s="26" t="n">
        <f aca="false">F275*C275</f>
        <v>1323.10346121783</v>
      </c>
      <c r="H275" s="26" t="n">
        <f aca="false">E275*G275/(1+D275)^9</f>
        <v>4415.85763314204</v>
      </c>
      <c r="I275" s="26" t="n">
        <f aca="false">$B$13*G275/$B$12*((1+$B$8)/(1+D275))^4.5</f>
        <v>1898.96791651849</v>
      </c>
      <c r="J275" s="26" t="n">
        <f aca="false">H275+I275+$B$14</f>
        <v>8401.22442774272</v>
      </c>
      <c r="K275" s="44" t="n">
        <f aca="false">J275/$B$15</f>
        <v>13.3352768694329</v>
      </c>
    </row>
    <row r="276" customFormat="false" ht="15" hidden="false" customHeight="false" outlineLevel="0" collapsed="false">
      <c r="A276" s="52" t="n">
        <v>236</v>
      </c>
      <c r="B276" s="21" t="n">
        <f aca="true">NORMINV(RAND(),$B$6,$C$6)</f>
        <v>0.208244074713916</v>
      </c>
      <c r="C276" s="21" t="n">
        <f aca="true">MAX(0.03,NORMINV(RAND(),$B$7,$C$7))</f>
        <v>0.197988798583413</v>
      </c>
      <c r="D276" s="33" t="n">
        <f aca="true">MAX(0.08,NORMINV(RAND(),$B$8,$C$8))</f>
        <v>0.131196789460059</v>
      </c>
      <c r="E276" s="48" t="n">
        <f aca="true">MAX(4,NORMINV(RAND(),$B$9,$C$9))</f>
        <v>10.4832420975388</v>
      </c>
      <c r="F276" s="26" t="n">
        <f aca="false">$B$18*(1+(B276+$B$17)/2)^9</f>
        <v>8266.17279091007</v>
      </c>
      <c r="G276" s="26" t="n">
        <f aca="false">F276*C276</f>
        <v>1636.60961975518</v>
      </c>
      <c r="H276" s="26" t="n">
        <f aca="false">E276*G276/(1+D276)^9</f>
        <v>5657.14408713539</v>
      </c>
      <c r="I276" s="26" t="n">
        <f aca="false">$B$13*G276/$B$12*((1+$B$8)/(1+D276))^4.5</f>
        <v>2540.39202429831</v>
      </c>
      <c r="J276" s="26" t="n">
        <f aca="false">H276+I276+$B$14</f>
        <v>10283.9349895159</v>
      </c>
      <c r="K276" s="44" t="n">
        <f aca="false">J276/$B$15</f>
        <v>16.3237063325649</v>
      </c>
    </row>
    <row r="277" customFormat="false" ht="15" hidden="false" customHeight="false" outlineLevel="0" collapsed="false">
      <c r="A277" s="52" t="n">
        <v>237</v>
      </c>
      <c r="B277" s="21" t="n">
        <f aca="true">NORMINV(RAND(),$B$6,$C$6)</f>
        <v>0.232430632403777</v>
      </c>
      <c r="C277" s="21" t="n">
        <f aca="true">MAX(0.03,NORMINV(RAND(),$B$7,$C$7))</f>
        <v>0.189843909159026</v>
      </c>
      <c r="D277" s="33" t="n">
        <f aca="true">MAX(0.08,NORMINV(RAND(),$B$8,$C$8))</f>
        <v>0.126287033279614</v>
      </c>
      <c r="E277" s="48" t="n">
        <f aca="true">MAX(4,NORMINV(RAND(),$B$9,$C$9))</f>
        <v>14.1921319712472</v>
      </c>
      <c r="F277" s="26" t="n">
        <f aca="false">$B$18*(1+(B277+$B$17)/2)^9</f>
        <v>9097.97734030423</v>
      </c>
      <c r="G277" s="26" t="n">
        <f aca="false">F277*C277</f>
        <v>1727.19558372359</v>
      </c>
      <c r="H277" s="26" t="n">
        <f aca="false">E277*G277/(1+D277)^9</f>
        <v>8405.18742478243</v>
      </c>
      <c r="I277" s="26" t="n">
        <f aca="false">$B$13*G277/$B$12*((1+$B$8)/(1+D277))^4.5</f>
        <v>2733.99690333063</v>
      </c>
      <c r="J277" s="26" t="n">
        <f aca="false">H277+I277+$B$14</f>
        <v>13225.5832061953</v>
      </c>
      <c r="K277" s="44" t="n">
        <f aca="false">J277/$B$15</f>
        <v>20.992989216183</v>
      </c>
    </row>
    <row r="278" customFormat="false" ht="15" hidden="false" customHeight="false" outlineLevel="0" collapsed="false">
      <c r="A278" s="52" t="n">
        <v>238</v>
      </c>
      <c r="B278" s="21" t="n">
        <f aca="true">NORMINV(RAND(),$B$6,$C$6)</f>
        <v>0.175048299089091</v>
      </c>
      <c r="C278" s="21" t="n">
        <f aca="true">MAX(0.03,NORMINV(RAND(),$B$7,$C$7))</f>
        <v>0.144279945906368</v>
      </c>
      <c r="D278" s="33" t="n">
        <f aca="true">MAX(0.08,NORMINV(RAND(),$B$8,$C$8))</f>
        <v>0.1362950815547</v>
      </c>
      <c r="E278" s="48" t="n">
        <f aca="true">MAX(4,NORMINV(RAND(),$B$9,$C$9))</f>
        <v>10.7924782612494</v>
      </c>
      <c r="F278" s="26" t="n">
        <f aca="false">$B$18*(1+(B278+$B$17)/2)^9</f>
        <v>7234.71701793812</v>
      </c>
      <c r="G278" s="26" t="n">
        <f aca="false">F278*C278</f>
        <v>1043.82457999599</v>
      </c>
      <c r="H278" s="26" t="n">
        <f aca="false">E278*G278/(1+D278)^9</f>
        <v>3567.2090438019</v>
      </c>
      <c r="I278" s="26" t="n">
        <f aca="false">$B$13*G278/$B$12*((1+$B$8)/(1+D278))^4.5</f>
        <v>1587.7964512541</v>
      </c>
      <c r="J278" s="26" t="n">
        <f aca="false">H278+I278+$B$14</f>
        <v>7241.40437313819</v>
      </c>
      <c r="K278" s="44" t="n">
        <f aca="false">J278/$B$15</f>
        <v>11.4942926557749</v>
      </c>
    </row>
    <row r="279" customFormat="false" ht="15" hidden="false" customHeight="false" outlineLevel="0" collapsed="false">
      <c r="A279" s="52" t="n">
        <v>239</v>
      </c>
      <c r="B279" s="21" t="n">
        <f aca="true">NORMINV(RAND(),$B$6,$C$6)</f>
        <v>0.183146308132544</v>
      </c>
      <c r="C279" s="21" t="n">
        <f aca="true">MAX(0.03,NORMINV(RAND(),$B$7,$C$7))</f>
        <v>0.223943232984183</v>
      </c>
      <c r="D279" s="33" t="n">
        <f aca="true">MAX(0.08,NORMINV(RAND(),$B$8,$C$8))</f>
        <v>0.13735178749909</v>
      </c>
      <c r="E279" s="48" t="n">
        <f aca="true">MAX(4,NORMINV(RAND(),$B$9,$C$9))</f>
        <v>11.1834493945617</v>
      </c>
      <c r="F279" s="26" t="n">
        <f aca="false">$B$18*(1+(B279+$B$17)/2)^9</f>
        <v>7475.17152271556</v>
      </c>
      <c r="G279" s="26" t="n">
        <f aca="false">F279*C279</f>
        <v>1674.01407790822</v>
      </c>
      <c r="H279" s="26" t="n">
        <f aca="false">E279*G279/(1+D279)^9</f>
        <v>5878.70344283665</v>
      </c>
      <c r="I279" s="26" t="n">
        <f aca="false">$B$13*G279/$B$12*((1+$B$8)/(1+D279))^4.5</f>
        <v>2535.76976350648</v>
      </c>
      <c r="J279" s="26" t="n">
        <f aca="false">H279+I279+$B$14</f>
        <v>10500.8720844253</v>
      </c>
      <c r="K279" s="44" t="n">
        <f aca="false">J279/$B$15</f>
        <v>16.6680509276592</v>
      </c>
    </row>
    <row r="280" customFormat="false" ht="15" hidden="false" customHeight="false" outlineLevel="0" collapsed="false">
      <c r="A280" s="52" t="n">
        <v>240</v>
      </c>
      <c r="B280" s="21" t="n">
        <f aca="true">NORMINV(RAND(),$B$6,$C$6)</f>
        <v>0.187165105811851</v>
      </c>
      <c r="C280" s="21" t="n">
        <f aca="true">MAX(0.03,NORMINV(RAND(),$B$7,$C$7))</f>
        <v>0.194219233751638</v>
      </c>
      <c r="D280" s="33" t="n">
        <f aca="true">MAX(0.08,NORMINV(RAND(),$B$8,$C$8))</f>
        <v>0.117890787333589</v>
      </c>
      <c r="E280" s="48" t="n">
        <f aca="true">MAX(4,NORMINV(RAND(),$B$9,$C$9))</f>
        <v>13.1337807334045</v>
      </c>
      <c r="F280" s="26" t="n">
        <f aca="false">$B$18*(1+(B280+$B$17)/2)^9</f>
        <v>7597.11841977505</v>
      </c>
      <c r="G280" s="26" t="n">
        <f aca="false">F280*C280</f>
        <v>1475.50651820917</v>
      </c>
      <c r="H280" s="26" t="n">
        <f aca="false">E280*G280/(1+D280)^9</f>
        <v>7107.8212919009</v>
      </c>
      <c r="I280" s="26" t="n">
        <f aca="false">$B$13*G280/$B$12*((1+$B$8)/(1+D280))^4.5</f>
        <v>2415.5793804031</v>
      </c>
      <c r="J280" s="26" t="n">
        <f aca="false">H280+I280+$B$14</f>
        <v>11609.7995503862</v>
      </c>
      <c r="K280" s="44" t="n">
        <f aca="false">J280/$B$15</f>
        <v>18.4282532545813</v>
      </c>
    </row>
    <row r="281" customFormat="false" ht="15" hidden="false" customHeight="false" outlineLevel="0" collapsed="false">
      <c r="A281" s="52" t="n">
        <v>241</v>
      </c>
      <c r="B281" s="21" t="n">
        <f aca="true">NORMINV(RAND(),$B$6,$C$6)</f>
        <v>0.183659875017032</v>
      </c>
      <c r="C281" s="21" t="n">
        <f aca="true">MAX(0.03,NORMINV(RAND(),$B$7,$C$7))</f>
        <v>0.208970846281699</v>
      </c>
      <c r="D281" s="33" t="n">
        <f aca="true">MAX(0.08,NORMINV(RAND(),$B$8,$C$8))</f>
        <v>0.108117540212921</v>
      </c>
      <c r="E281" s="48" t="n">
        <f aca="true">MAX(4,NORMINV(RAND(),$B$9,$C$9))</f>
        <v>12.1773101668395</v>
      </c>
      <c r="F281" s="26" t="n">
        <f aca="false">$B$18*(1+(B281+$B$17)/2)^9</f>
        <v>7490.65765781381</v>
      </c>
      <c r="G281" s="26" t="n">
        <f aca="false">F281*C281</f>
        <v>1565.32906995984</v>
      </c>
      <c r="H281" s="26" t="n">
        <f aca="false">E281*G281/(1+D281)^9</f>
        <v>7566.31738859209</v>
      </c>
      <c r="I281" s="26" t="n">
        <f aca="false">$B$13*G281/$B$12*((1+$B$8)/(1+D281))^4.5</f>
        <v>2665.91806218604</v>
      </c>
      <c r="J281" s="26" t="n">
        <f aca="false">H281+I281+$B$14</f>
        <v>12318.6343288603</v>
      </c>
      <c r="K281" s="44" t="n">
        <f aca="false">J281/$B$15</f>
        <v>19.5533878235878</v>
      </c>
    </row>
    <row r="282" customFormat="false" ht="15" hidden="false" customHeight="false" outlineLevel="0" collapsed="false">
      <c r="A282" s="52" t="n">
        <v>242</v>
      </c>
      <c r="B282" s="21" t="n">
        <f aca="true">NORMINV(RAND(),$B$6,$C$6)</f>
        <v>0.174493825348377</v>
      </c>
      <c r="C282" s="21" t="n">
        <f aca="true">MAX(0.03,NORMINV(RAND(),$B$7,$C$7))</f>
        <v>0.148870100308753</v>
      </c>
      <c r="D282" s="33" t="n">
        <f aca="true">MAX(0.08,NORMINV(RAND(),$B$8,$C$8))</f>
        <v>0.146970960835019</v>
      </c>
      <c r="E282" s="48" t="n">
        <f aca="true">MAX(4,NORMINV(RAND(),$B$9,$C$9))</f>
        <v>8.46307118157772</v>
      </c>
      <c r="F282" s="26" t="n">
        <f aca="false">$B$18*(1+(B282+$B$17)/2)^9</f>
        <v>7218.50740157772</v>
      </c>
      <c r="G282" s="26" t="n">
        <f aca="false">F282*C282</f>
        <v>1074.61992095235</v>
      </c>
      <c r="H282" s="26" t="n">
        <f aca="false">E282*G282/(1+D282)^9</f>
        <v>2647.34826879503</v>
      </c>
      <c r="I282" s="26" t="n">
        <f aca="false">$B$13*G282/$B$12*((1+$B$8)/(1+D282))^4.5</f>
        <v>1567.27917906079</v>
      </c>
      <c r="J282" s="26" t="n">
        <f aca="false">H282+I282+$B$14</f>
        <v>6301.02632593802</v>
      </c>
      <c r="K282" s="44" t="n">
        <f aca="false">J282/$B$15</f>
        <v>10.0016290887905</v>
      </c>
    </row>
    <row r="283" customFormat="false" ht="15" hidden="false" customHeight="false" outlineLevel="0" collapsed="false">
      <c r="A283" s="52" t="n">
        <v>243</v>
      </c>
      <c r="B283" s="21" t="n">
        <f aca="true">NORMINV(RAND(),$B$6,$C$6)</f>
        <v>0.180347628821915</v>
      </c>
      <c r="C283" s="21" t="n">
        <f aca="true">MAX(0.03,NORMINV(RAND(),$B$7,$C$7))</f>
        <v>0.244518921055824</v>
      </c>
      <c r="D283" s="33" t="n">
        <f aca="true">MAX(0.08,NORMINV(RAND(),$B$8,$C$8))</f>
        <v>0.119882855114031</v>
      </c>
      <c r="E283" s="48" t="n">
        <f aca="true">MAX(4,NORMINV(RAND(),$B$9,$C$9))</f>
        <v>10.1804461604827</v>
      </c>
      <c r="F283" s="26" t="n">
        <f aca="false">$B$18*(1+(B283+$B$17)/2)^9</f>
        <v>7391.27896541138</v>
      </c>
      <c r="G283" s="26" t="n">
        <f aca="false">F283*C283</f>
        <v>1807.307557845</v>
      </c>
      <c r="H283" s="26" t="n">
        <f aca="false">E283*G283/(1+D283)^9</f>
        <v>6641.18400978297</v>
      </c>
      <c r="I283" s="26" t="n">
        <f aca="false">$B$13*G283/$B$12*((1+$B$8)/(1+D283))^4.5</f>
        <v>2935.16663321199</v>
      </c>
      <c r="J283" s="26" t="n">
        <f aca="false">H283+I283+$B$14</f>
        <v>11662.7495210772</v>
      </c>
      <c r="K283" s="44" t="n">
        <f aca="false">J283/$B$15</f>
        <v>18.5123008271066</v>
      </c>
    </row>
    <row r="284" customFormat="false" ht="15" hidden="false" customHeight="false" outlineLevel="0" collapsed="false">
      <c r="A284" s="52" t="n">
        <v>244</v>
      </c>
      <c r="B284" s="21" t="n">
        <f aca="true">NORMINV(RAND(),$B$6,$C$6)</f>
        <v>0.232334010291561</v>
      </c>
      <c r="C284" s="21" t="n">
        <f aca="true">MAX(0.03,NORMINV(RAND(),$B$7,$C$7))</f>
        <v>0.184641159223807</v>
      </c>
      <c r="D284" s="33" t="n">
        <f aca="true">MAX(0.08,NORMINV(RAND(),$B$8,$C$8))</f>
        <v>0.144100622598397</v>
      </c>
      <c r="E284" s="48" t="n">
        <f aca="true">MAX(4,NORMINV(RAND(),$B$9,$C$9))</f>
        <v>11.0512415444438</v>
      </c>
      <c r="F284" s="26" t="n">
        <f aca="false">$B$18*(1+(B284+$B$17)/2)^9</f>
        <v>9094.51162598097</v>
      </c>
      <c r="G284" s="26" t="n">
        <f aca="false">F284*C284</f>
        <v>1679.22116919552</v>
      </c>
      <c r="H284" s="26" t="n">
        <f aca="false">E284*G284/(1+D284)^9</f>
        <v>5525.1105796364</v>
      </c>
      <c r="I284" s="26" t="n">
        <f aca="false">$B$13*G284/$B$12*((1+$B$8)/(1+D284))^4.5</f>
        <v>2476.83046113458</v>
      </c>
      <c r="J284" s="26" t="n">
        <f aca="false">H284+I284+$B$14</f>
        <v>10088.3399188532</v>
      </c>
      <c r="K284" s="44" t="n">
        <f aca="false">J284/$B$15</f>
        <v>16.0132379664336</v>
      </c>
    </row>
    <row r="285" customFormat="false" ht="15" hidden="false" customHeight="false" outlineLevel="0" collapsed="false">
      <c r="A285" s="52" t="n">
        <v>245</v>
      </c>
      <c r="B285" s="21" t="n">
        <f aca="true">NORMINV(RAND(),$B$6,$C$6)</f>
        <v>0.184048454590362</v>
      </c>
      <c r="C285" s="21" t="n">
        <f aca="true">MAX(0.03,NORMINV(RAND(),$B$7,$C$7))</f>
        <v>0.189855998177138</v>
      </c>
      <c r="D285" s="33" t="n">
        <f aca="true">MAX(0.08,NORMINV(RAND(),$B$8,$C$8))</f>
        <v>0.14493505395321</v>
      </c>
      <c r="E285" s="48" t="n">
        <f aca="true">MAX(4,NORMINV(RAND(),$B$9,$C$9))</f>
        <v>7.83596533551529</v>
      </c>
      <c r="F285" s="26" t="n">
        <f aca="false">$B$18*(1+(B285+$B$17)/2)^9</f>
        <v>7502.39386071971</v>
      </c>
      <c r="G285" s="26" t="n">
        <f aca="false">F285*C285</f>
        <v>1424.37447514498</v>
      </c>
      <c r="H285" s="26" t="n">
        <f aca="false">E285*G285/(1+D285)^9</f>
        <v>3301.33061288607</v>
      </c>
      <c r="I285" s="26" t="n">
        <f aca="false">$B$13*G285/$B$12*((1+$B$8)/(1+D285))^4.5</f>
        <v>2094.05327332224</v>
      </c>
      <c r="J285" s="26" t="n">
        <f aca="false">H285+I285+$B$14</f>
        <v>7481.7827642905</v>
      </c>
      <c r="K285" s="44" t="n">
        <f aca="false">J285/$B$15</f>
        <v>11.875845657604</v>
      </c>
    </row>
    <row r="286" customFormat="false" ht="15" hidden="false" customHeight="false" outlineLevel="0" collapsed="false">
      <c r="A286" s="52" t="n">
        <v>246</v>
      </c>
      <c r="B286" s="21" t="n">
        <f aca="true">NORMINV(RAND(),$B$6,$C$6)</f>
        <v>0.216681204874283</v>
      </c>
      <c r="C286" s="21" t="n">
        <f aca="true">MAX(0.03,NORMINV(RAND(),$B$7,$C$7))</f>
        <v>0.208542589698913</v>
      </c>
      <c r="D286" s="33" t="n">
        <f aca="true">MAX(0.08,NORMINV(RAND(),$B$8,$C$8))</f>
        <v>0.134223032912404</v>
      </c>
      <c r="E286" s="48" t="n">
        <f aca="true">MAX(4,NORMINV(RAND(),$B$9,$C$9))</f>
        <v>11.808488856307</v>
      </c>
      <c r="F286" s="26" t="n">
        <f aca="false">$B$18*(1+(B286+$B$17)/2)^9</f>
        <v>8548.31576947364</v>
      </c>
      <c r="G286" s="26" t="n">
        <f aca="false">F286*C286</f>
        <v>1782.68790813009</v>
      </c>
      <c r="H286" s="26" t="n">
        <f aca="false">E286*G286/(1+D286)^9</f>
        <v>6776.15734026068</v>
      </c>
      <c r="I286" s="26" t="n">
        <f aca="false">$B$13*G286/$B$12*((1+$B$8)/(1+D286))^4.5</f>
        <v>2734.06991748898</v>
      </c>
      <c r="J286" s="26" t="n">
        <f aca="false">H286+I286+$B$14</f>
        <v>11596.6261358319</v>
      </c>
      <c r="K286" s="44" t="n">
        <f aca="false">J286/$B$15</f>
        <v>18.407343072749</v>
      </c>
    </row>
    <row r="287" customFormat="false" ht="15" hidden="false" customHeight="false" outlineLevel="0" collapsed="false">
      <c r="A287" s="52" t="n">
        <v>247</v>
      </c>
      <c r="B287" s="21" t="n">
        <f aca="true">NORMINV(RAND(),$B$6,$C$6)</f>
        <v>0.157585112016945</v>
      </c>
      <c r="C287" s="21" t="n">
        <f aca="true">MAX(0.03,NORMINV(RAND(),$B$7,$C$7))</f>
        <v>0.187769023302168</v>
      </c>
      <c r="D287" s="33" t="n">
        <f aca="true">MAX(0.08,NORMINV(RAND(),$B$8,$C$8))</f>
        <v>0.134165008198402</v>
      </c>
      <c r="E287" s="48" t="n">
        <f aca="true">MAX(4,NORMINV(RAND(),$B$9,$C$9))</f>
        <v>13.3496702987872</v>
      </c>
      <c r="F287" s="26" t="n">
        <f aca="false">$B$18*(1+(B287+$B$17)/2)^9</f>
        <v>6739.43786196318</v>
      </c>
      <c r="G287" s="26" t="n">
        <f aca="false">F287*C287</f>
        <v>1265.45766494647</v>
      </c>
      <c r="H287" s="26" t="n">
        <f aca="false">E287*G287/(1+D287)^9</f>
        <v>5440.41417829358</v>
      </c>
      <c r="I287" s="26" t="n">
        <f aca="false">$B$13*G287/$B$12*((1+$B$8)/(1+D287))^4.5</f>
        <v>1941.25193038617</v>
      </c>
      <c r="J287" s="26" t="n">
        <f aca="false">H287+I287+$B$14</f>
        <v>9468.06498676194</v>
      </c>
      <c r="K287" s="44" t="n">
        <f aca="false">J287/$B$15</f>
        <v>15.0286745821618</v>
      </c>
    </row>
    <row r="288" customFormat="false" ht="15" hidden="false" customHeight="false" outlineLevel="0" collapsed="false">
      <c r="A288" s="52" t="n">
        <v>248</v>
      </c>
      <c r="B288" s="21" t="n">
        <f aca="true">NORMINV(RAND(),$B$6,$C$6)</f>
        <v>0.18412496031853</v>
      </c>
      <c r="C288" s="21" t="n">
        <f aca="true">MAX(0.03,NORMINV(RAND(),$B$7,$C$7))</f>
        <v>0.209564475676747</v>
      </c>
      <c r="D288" s="33" t="n">
        <f aca="true">MAX(0.08,NORMINV(RAND(),$B$8,$C$8))</f>
        <v>0.143268601847467</v>
      </c>
      <c r="E288" s="48" t="n">
        <f aca="true">MAX(4,NORMINV(RAND(),$B$9,$C$9))</f>
        <v>9.47261505927974</v>
      </c>
      <c r="F288" s="26" t="n">
        <f aca="false">$B$18*(1+(B288+$B$17)/2)^9</f>
        <v>7504.70647511706</v>
      </c>
      <c r="G288" s="26" t="n">
        <f aca="false">F288*C288</f>
        <v>1572.71987756579</v>
      </c>
      <c r="H288" s="26" t="n">
        <f aca="false">E288*G288/(1+D288)^9</f>
        <v>4464.643406827</v>
      </c>
      <c r="I288" s="26" t="n">
        <f aca="false">$B$13*G288/$B$12*((1+$B$8)/(1+D288))^4.5</f>
        <v>2327.34898443201</v>
      </c>
      <c r="J288" s="26" t="n">
        <f aca="false">H288+I288+$B$14</f>
        <v>8878.39126934121</v>
      </c>
      <c r="K288" s="44" t="n">
        <f aca="false">J288/$B$15</f>
        <v>14.0926845545099</v>
      </c>
    </row>
    <row r="289" customFormat="false" ht="15" hidden="false" customHeight="false" outlineLevel="0" collapsed="false">
      <c r="A289" s="52" t="n">
        <v>249</v>
      </c>
      <c r="B289" s="21" t="n">
        <f aca="true">NORMINV(RAND(),$B$6,$C$6)</f>
        <v>0.266063654188917</v>
      </c>
      <c r="C289" s="21" t="n">
        <f aca="true">MAX(0.03,NORMINV(RAND(),$B$7,$C$7))</f>
        <v>0.159003524961218</v>
      </c>
      <c r="D289" s="33" t="n">
        <f aca="true">MAX(0.08,NORMINV(RAND(),$B$8,$C$8))</f>
        <v>0.132329661153099</v>
      </c>
      <c r="E289" s="48" t="n">
        <f aca="true">MAX(4,NORMINV(RAND(),$B$9,$C$9))</f>
        <v>10.6034356422998</v>
      </c>
      <c r="F289" s="26" t="n">
        <f aca="false">$B$18*(1+(B289+$B$17)/2)^9</f>
        <v>10378.1749198729</v>
      </c>
      <c r="G289" s="26" t="n">
        <f aca="false">F289*C289</f>
        <v>1650.1663949239</v>
      </c>
      <c r="H289" s="26" t="n">
        <f aca="false">E289*G289/(1+D289)^9</f>
        <v>5717.66083417636</v>
      </c>
      <c r="I289" s="26" t="n">
        <f aca="false">$B$13*G289/$B$12*((1+$B$8)/(1+D289))^4.5</f>
        <v>2549.92343415351</v>
      </c>
      <c r="J289" s="26" t="n">
        <f aca="false">H289+I289+$B$14</f>
        <v>10353.9831464121</v>
      </c>
      <c r="K289" s="44" t="n">
        <f aca="false">J289/$B$15</f>
        <v>16.4348938831937</v>
      </c>
    </row>
    <row r="290" customFormat="false" ht="15" hidden="false" customHeight="false" outlineLevel="0" collapsed="false">
      <c r="A290" s="52" t="n">
        <v>250</v>
      </c>
      <c r="B290" s="21" t="n">
        <f aca="true">NORMINV(RAND(),$B$6,$C$6)</f>
        <v>0.171623285415559</v>
      </c>
      <c r="C290" s="21" t="n">
        <f aca="true">MAX(0.03,NORMINV(RAND(),$B$7,$C$7))</f>
        <v>0.236143427545113</v>
      </c>
      <c r="D290" s="33" t="n">
        <f aca="true">MAX(0.08,NORMINV(RAND(),$B$8,$C$8))</f>
        <v>0.132928280070065</v>
      </c>
      <c r="E290" s="48" t="n">
        <f aca="true">MAX(4,NORMINV(RAND(),$B$9,$C$9))</f>
        <v>13.257508676471</v>
      </c>
      <c r="F290" s="26" t="n">
        <f aca="false">$B$18*(1+(B290+$B$17)/2)^9</f>
        <v>7135.10442047817</v>
      </c>
      <c r="G290" s="26" t="n">
        <f aca="false">F290*C290</f>
        <v>1684.908013744</v>
      </c>
      <c r="H290" s="26" t="n">
        <f aca="false">E290*G290/(1+D290)^9</f>
        <v>7264.67777772842</v>
      </c>
      <c r="I290" s="26" t="n">
        <f aca="false">$B$13*G290/$B$12*((1+$B$8)/(1+D290))^4.5</f>
        <v>2597.42307439736</v>
      </c>
      <c r="J290" s="26" t="n">
        <f aca="false">H290+I290+$B$14</f>
        <v>11948.499730208</v>
      </c>
      <c r="K290" s="44" t="n">
        <f aca="false">J290/$B$15</f>
        <v>18.9658725876317</v>
      </c>
    </row>
    <row r="291" customFormat="false" ht="15" hidden="false" customHeight="false" outlineLevel="0" collapsed="false">
      <c r="A291" s="52" t="n">
        <v>251</v>
      </c>
      <c r="B291" s="21" t="n">
        <f aca="true">NORMINV(RAND(),$B$6,$C$6)</f>
        <v>0.131859767456272</v>
      </c>
      <c r="C291" s="21" t="n">
        <f aca="true">MAX(0.03,NORMINV(RAND(),$B$7,$C$7))</f>
        <v>0.265811861906947</v>
      </c>
      <c r="D291" s="33" t="n">
        <f aca="true">MAX(0.08,NORMINV(RAND(),$B$8,$C$8))</f>
        <v>0.13593972983886</v>
      </c>
      <c r="E291" s="48" t="n">
        <f aca="true">MAX(4,NORMINV(RAND(),$B$9,$C$9))</f>
        <v>11.8440229959562</v>
      </c>
      <c r="F291" s="26" t="n">
        <f aca="false">$B$18*(1+(B291+$B$17)/2)^9</f>
        <v>6064.68253900023</v>
      </c>
      <c r="G291" s="26" t="n">
        <f aca="false">F291*C291</f>
        <v>1612.0645575662</v>
      </c>
      <c r="H291" s="26" t="n">
        <f aca="false">E291*G291/(1+D291)^9</f>
        <v>6062.95112373921</v>
      </c>
      <c r="I291" s="26" t="n">
        <f aca="false">$B$13*G291/$B$12*((1+$B$8)/(1+D291))^4.5</f>
        <v>2455.61911789285</v>
      </c>
      <c r="J291" s="26" t="n">
        <f aca="false">H291+I291+$B$14</f>
        <v>10604.9691197142</v>
      </c>
      <c r="K291" s="44" t="n">
        <f aca="false">J291/$B$15</f>
        <v>16.8332843170067</v>
      </c>
    </row>
    <row r="292" customFormat="false" ht="15" hidden="false" customHeight="false" outlineLevel="0" collapsed="false">
      <c r="A292" s="52" t="n">
        <v>252</v>
      </c>
      <c r="B292" s="21" t="n">
        <f aca="true">NORMINV(RAND(),$B$6,$C$6)</f>
        <v>0.225667634684963</v>
      </c>
      <c r="C292" s="21" t="n">
        <f aca="true">MAX(0.03,NORMINV(RAND(),$B$7,$C$7))</f>
        <v>0.186637759643209</v>
      </c>
      <c r="D292" s="33" t="n">
        <f aca="true">MAX(0.08,NORMINV(RAND(),$B$8,$C$8))</f>
        <v>0.129698979193893</v>
      </c>
      <c r="E292" s="48" t="n">
        <f aca="true">MAX(4,NORMINV(RAND(),$B$9,$C$9))</f>
        <v>11.0099920778983</v>
      </c>
      <c r="F292" s="26" t="n">
        <f aca="false">$B$18*(1+(B292+$B$17)/2)^9</f>
        <v>8858.21181195349</v>
      </c>
      <c r="G292" s="26" t="n">
        <f aca="false">F292*C292</f>
        <v>1653.27680702801</v>
      </c>
      <c r="H292" s="26" t="n">
        <f aca="false">E292*G292/(1+D292)^9</f>
        <v>6073.90441105977</v>
      </c>
      <c r="I292" s="26" t="n">
        <f aca="false">$B$13*G292/$B$12*((1+$B$8)/(1+D292))^4.5</f>
        <v>2581.61002084245</v>
      </c>
      <c r="J292" s="26" t="n">
        <f aca="false">H292+I292+$B$14</f>
        <v>10741.9133099844</v>
      </c>
      <c r="K292" s="44" t="n">
        <f aca="false">J292/$B$15</f>
        <v>17.0506560475943</v>
      </c>
    </row>
    <row r="293" customFormat="false" ht="15" hidden="false" customHeight="false" outlineLevel="0" collapsed="false">
      <c r="A293" s="52" t="n">
        <v>253</v>
      </c>
      <c r="B293" s="21" t="n">
        <f aca="true">NORMINV(RAND(),$B$6,$C$6)</f>
        <v>0.135060748325797</v>
      </c>
      <c r="C293" s="21" t="n">
        <f aca="true">MAX(0.03,NORMINV(RAND(),$B$7,$C$7))</f>
        <v>0.23239070143393</v>
      </c>
      <c r="D293" s="33" t="n">
        <f aca="true">MAX(0.08,NORMINV(RAND(),$B$8,$C$8))</f>
        <v>0.145775924375103</v>
      </c>
      <c r="E293" s="48" t="n">
        <f aca="true">MAX(4,NORMINV(RAND(),$B$9,$C$9))</f>
        <v>15.577801940606</v>
      </c>
      <c r="F293" s="26" t="n">
        <f aca="false">$B$18*(1+(B293+$B$17)/2)^9</f>
        <v>6145.23089171255</v>
      </c>
      <c r="G293" s="26" t="n">
        <f aca="false">F293*C293</f>
        <v>1428.09451739854</v>
      </c>
      <c r="H293" s="26" t="n">
        <f aca="false">E293*G293/(1+D293)^9</f>
        <v>6536.81054590742</v>
      </c>
      <c r="I293" s="26" t="n">
        <f aca="false">$B$13*G293/$B$12*((1+$B$8)/(1+D293))^4.5</f>
        <v>2092.59755915471</v>
      </c>
      <c r="J293" s="26" t="n">
        <f aca="false">H293+I293+$B$14</f>
        <v>10715.8069831443</v>
      </c>
      <c r="K293" s="44" t="n">
        <f aca="false">J293/$B$15</f>
        <v>17.0092174335624</v>
      </c>
    </row>
    <row r="294" customFormat="false" ht="15" hidden="false" customHeight="false" outlineLevel="0" collapsed="false">
      <c r="A294" s="52" t="n">
        <v>254</v>
      </c>
      <c r="B294" s="21" t="n">
        <f aca="true">NORMINV(RAND(),$B$6,$C$6)</f>
        <v>0.223732907131414</v>
      </c>
      <c r="C294" s="21" t="n">
        <f aca="true">MAX(0.03,NORMINV(RAND(),$B$7,$C$7))</f>
        <v>0.225342176383496</v>
      </c>
      <c r="D294" s="33" t="n">
        <f aca="true">MAX(0.08,NORMINV(RAND(),$B$8,$C$8))</f>
        <v>0.131850216746131</v>
      </c>
      <c r="E294" s="48" t="n">
        <f aca="true">MAX(4,NORMINV(RAND(),$B$9,$C$9))</f>
        <v>8.60300316136562</v>
      </c>
      <c r="F294" s="26" t="n">
        <f aca="false">$B$18*(1+(B294+$B$17)/2)^9</f>
        <v>8790.66216885313</v>
      </c>
      <c r="G294" s="26" t="n">
        <f aca="false">F294*C294</f>
        <v>1980.90694498143</v>
      </c>
      <c r="H294" s="26" t="n">
        <f aca="false">E294*G294/(1+D294)^9</f>
        <v>5590.02219133723</v>
      </c>
      <c r="I294" s="26" t="n">
        <f aca="false">$B$13*G294/$B$12*((1+$B$8)/(1+D294))^4.5</f>
        <v>3066.84015081811</v>
      </c>
      <c r="J294" s="26" t="n">
        <f aca="false">H294+I294+$B$14</f>
        <v>10743.2612202375</v>
      </c>
      <c r="K294" s="44" t="n">
        <f aca="false">J294/$B$15</f>
        <v>17.0527955876786</v>
      </c>
    </row>
    <row r="295" customFormat="false" ht="15" hidden="false" customHeight="false" outlineLevel="0" collapsed="false">
      <c r="A295" s="52" t="n">
        <v>255</v>
      </c>
      <c r="B295" s="21" t="n">
        <f aca="true">NORMINV(RAND(),$B$6,$C$6)</f>
        <v>0.192782302113673</v>
      </c>
      <c r="C295" s="21" t="n">
        <f aca="true">MAX(0.03,NORMINV(RAND(),$B$7,$C$7))</f>
        <v>0.176469057414612</v>
      </c>
      <c r="D295" s="33" t="n">
        <f aca="true">MAX(0.08,NORMINV(RAND(),$B$8,$C$8))</f>
        <v>0.120619438155206</v>
      </c>
      <c r="E295" s="48" t="n">
        <f aca="true">MAX(4,NORMINV(RAND(),$B$9,$C$9))</f>
        <v>12.6929981719303</v>
      </c>
      <c r="F295" s="26" t="n">
        <f aca="false">$B$18*(1+(B295+$B$17)/2)^9</f>
        <v>7770.5301246437</v>
      </c>
      <c r="G295" s="26" t="n">
        <f aca="false">F295*C295</f>
        <v>1371.25812670772</v>
      </c>
      <c r="H295" s="26" t="n">
        <f aca="false">E295*G295/(1+D295)^9</f>
        <v>6245.39727005617</v>
      </c>
      <c r="I295" s="26" t="n">
        <f aca="false">$B$13*G295/$B$12*((1+$B$8)/(1+D295))^4.5</f>
        <v>2220.41887944376</v>
      </c>
      <c r="J295" s="26" t="n">
        <f aca="false">H295+I295+$B$14</f>
        <v>10552.2150275821</v>
      </c>
      <c r="K295" s="44" t="n">
        <f aca="false">J295/$B$15</f>
        <v>16.7495476628288</v>
      </c>
    </row>
    <row r="296" customFormat="false" ht="15" hidden="false" customHeight="false" outlineLevel="0" collapsed="false">
      <c r="A296" s="52" t="n">
        <v>256</v>
      </c>
      <c r="B296" s="21" t="n">
        <f aca="true">NORMINV(RAND(),$B$6,$C$6)</f>
        <v>0.195487452068383</v>
      </c>
      <c r="C296" s="21" t="n">
        <f aca="true">MAX(0.03,NORMINV(RAND(),$B$7,$C$7))</f>
        <v>0.210789756196353</v>
      </c>
      <c r="D296" s="33" t="n">
        <f aca="true">MAX(0.08,NORMINV(RAND(),$B$8,$C$8))</f>
        <v>0.127034725454717</v>
      </c>
      <c r="E296" s="48" t="n">
        <f aca="true">MAX(4,NORMINV(RAND(),$B$9,$C$9))</f>
        <v>12.6522151821919</v>
      </c>
      <c r="F296" s="26" t="n">
        <f aca="false">$B$18*(1+(B296+$B$17)/2)^9</f>
        <v>7855.29062932473</v>
      </c>
      <c r="G296" s="26" t="n">
        <f aca="false">F296*C296</f>
        <v>1655.81479660686</v>
      </c>
      <c r="H296" s="26" t="n">
        <f aca="false">E296*G296/(1+D296)^9</f>
        <v>7140.73065024574</v>
      </c>
      <c r="I296" s="26" t="n">
        <f aca="false">$B$13*G296/$B$12*((1+$B$8)/(1+D296))^4.5</f>
        <v>2613.19187380802</v>
      </c>
      <c r="J296" s="26" t="n">
        <f aca="false">H296+I296+$B$14</f>
        <v>11840.321402136</v>
      </c>
      <c r="K296" s="44" t="n">
        <f aca="false">J296/$B$15</f>
        <v>18.7941609557714</v>
      </c>
    </row>
    <row r="297" customFormat="false" ht="15" hidden="false" customHeight="false" outlineLevel="0" collapsed="false">
      <c r="A297" s="52" t="n">
        <v>257</v>
      </c>
      <c r="B297" s="21" t="n">
        <f aca="true">NORMINV(RAND(),$B$6,$C$6)</f>
        <v>0.211734705440999</v>
      </c>
      <c r="C297" s="21" t="n">
        <f aca="true">MAX(0.03,NORMINV(RAND(),$B$7,$C$7))</f>
        <v>0.196151055402114</v>
      </c>
      <c r="D297" s="33" t="n">
        <f aca="true">MAX(0.08,NORMINV(RAND(),$B$8,$C$8))</f>
        <v>0.139933695595303</v>
      </c>
      <c r="E297" s="48" t="n">
        <f aca="true">MAX(4,NORMINV(RAND(),$B$9,$C$9))</f>
        <v>11.8965186270118</v>
      </c>
      <c r="F297" s="26" t="n">
        <f aca="false">$B$18*(1+(B297+$B$17)/2)^9</f>
        <v>8381.88164730301</v>
      </c>
      <c r="G297" s="26" t="n">
        <f aca="false">F297*C297</f>
        <v>1644.11493137409</v>
      </c>
      <c r="H297" s="26" t="n">
        <f aca="false">E297*G297/(1+D297)^9</f>
        <v>6017.77216243182</v>
      </c>
      <c r="I297" s="26" t="n">
        <f aca="false">$B$13*G297/$B$12*((1+$B$8)/(1+D297))^4.5</f>
        <v>2465.19564083265</v>
      </c>
      <c r="J297" s="26" t="n">
        <f aca="false">H297+I297+$B$14</f>
        <v>10569.3666813467</v>
      </c>
      <c r="K297" s="44" t="n">
        <f aca="false">J297/$B$15</f>
        <v>16.7767725100741</v>
      </c>
    </row>
    <row r="298" customFormat="false" ht="15" hidden="false" customHeight="false" outlineLevel="0" collapsed="false">
      <c r="A298" s="52" t="n">
        <v>258</v>
      </c>
      <c r="B298" s="21" t="n">
        <f aca="true">NORMINV(RAND(),$B$6,$C$6)</f>
        <v>0.225579397256504</v>
      </c>
      <c r="C298" s="21" t="n">
        <f aca="true">MAX(0.03,NORMINV(RAND(),$B$7,$C$7))</f>
        <v>0.20802176946227</v>
      </c>
      <c r="D298" s="33" t="n">
        <f aca="true">MAX(0.08,NORMINV(RAND(),$B$8,$C$8))</f>
        <v>0.136943152060878</v>
      </c>
      <c r="E298" s="48" t="n">
        <f aca="true">MAX(4,NORMINV(RAND(),$B$9,$C$9))</f>
        <v>13.1039925798778</v>
      </c>
      <c r="F298" s="26" t="n">
        <f aca="false">$B$18*(1+(B298+$B$17)/2)^9</f>
        <v>8855.12105238083</v>
      </c>
      <c r="G298" s="26" t="n">
        <f aca="false">F298*C298</f>
        <v>1842.05795011886</v>
      </c>
      <c r="H298" s="26" t="n">
        <f aca="false">E298*G298/(1+D298)^9</f>
        <v>7604.28132300547</v>
      </c>
      <c r="I298" s="26" t="n">
        <f aca="false">$B$13*G298/$B$12*((1+$B$8)/(1+D298))^4.5</f>
        <v>2794.8357580956</v>
      </c>
      <c r="J298" s="26" t="n">
        <f aca="false">H298+I298+$B$14</f>
        <v>12485.5159591833</v>
      </c>
      <c r="K298" s="44" t="n">
        <f aca="false">J298/$B$15</f>
        <v>19.8182793002909</v>
      </c>
    </row>
    <row r="299" customFormat="false" ht="15" hidden="false" customHeight="false" outlineLevel="0" collapsed="false">
      <c r="A299" s="52" t="n">
        <v>259</v>
      </c>
      <c r="B299" s="21" t="n">
        <f aca="true">NORMINV(RAND(),$B$6,$C$6)</f>
        <v>0.198430280841409</v>
      </c>
      <c r="C299" s="21" t="n">
        <f aca="true">MAX(0.03,NORMINV(RAND(),$B$7,$C$7))</f>
        <v>0.242938133665652</v>
      </c>
      <c r="D299" s="33" t="n">
        <f aca="true">MAX(0.08,NORMINV(RAND(),$B$8,$C$8))</f>
        <v>0.125477858755427</v>
      </c>
      <c r="E299" s="48" t="n">
        <f aca="true">MAX(4,NORMINV(RAND(),$B$9,$C$9))</f>
        <v>11.7797816935242</v>
      </c>
      <c r="F299" s="26" t="n">
        <f aca="false">$B$18*(1+(B299+$B$17)/2)^9</f>
        <v>7948.4307472268</v>
      </c>
      <c r="G299" s="26" t="n">
        <f aca="false">F299*C299</f>
        <v>1930.97693130196</v>
      </c>
      <c r="H299" s="26" t="n">
        <f aca="false">E299*G299/(1+D299)^9</f>
        <v>7850.21816942277</v>
      </c>
      <c r="I299" s="26" t="n">
        <f aca="false">$B$13*G299/$B$12*((1+$B$8)/(1+D299))^4.5</f>
        <v>3066.4660678096</v>
      </c>
      <c r="J299" s="26" t="n">
        <f aca="false">H299+I299+$B$14</f>
        <v>13003.0831153146</v>
      </c>
      <c r="K299" s="44" t="n">
        <f aca="false">J299/$B$15</f>
        <v>20.6398144687533</v>
      </c>
    </row>
    <row r="300" customFormat="false" ht="15" hidden="false" customHeight="false" outlineLevel="0" collapsed="false">
      <c r="A300" s="52" t="n">
        <v>260</v>
      </c>
      <c r="B300" s="21" t="n">
        <f aca="true">NORMINV(RAND(),$B$6,$C$6)</f>
        <v>0.178795124157946</v>
      </c>
      <c r="C300" s="21" t="n">
        <f aca="true">MAX(0.03,NORMINV(RAND(),$B$7,$C$7))</f>
        <v>0.193841004368573</v>
      </c>
      <c r="D300" s="33" t="n">
        <f aca="true">MAX(0.08,NORMINV(RAND(),$B$8,$C$8))</f>
        <v>0.128444262407687</v>
      </c>
      <c r="E300" s="48" t="n">
        <f aca="true">MAX(4,NORMINV(RAND(),$B$9,$C$9))</f>
        <v>13.0355877305064</v>
      </c>
      <c r="F300" s="26" t="n">
        <f aca="false">$B$18*(1+(B300+$B$17)/2)^9</f>
        <v>7345.10326190207</v>
      </c>
      <c r="G300" s="26" t="n">
        <f aca="false">F300*C300</f>
        <v>1423.78219347798</v>
      </c>
      <c r="H300" s="26" t="n">
        <f aca="false">E300*G300/(1+D300)^9</f>
        <v>6255.37225652578</v>
      </c>
      <c r="I300" s="26" t="n">
        <f aca="false">$B$13*G300/$B$12*((1+$B$8)/(1+D300))^4.5</f>
        <v>2234.3974563876</v>
      </c>
      <c r="J300" s="26" t="n">
        <f aca="false">H300+I300+$B$14</f>
        <v>10576.1685909956</v>
      </c>
      <c r="K300" s="44" t="n">
        <f aca="false">J300/$B$15</f>
        <v>16.7875691920565</v>
      </c>
    </row>
    <row r="301" customFormat="false" ht="15" hidden="false" customHeight="false" outlineLevel="0" collapsed="false">
      <c r="A301" s="52" t="n">
        <v>261</v>
      </c>
      <c r="B301" s="21" t="n">
        <f aca="true">NORMINV(RAND(),$B$6,$C$6)</f>
        <v>0.188879859898624</v>
      </c>
      <c r="C301" s="21" t="n">
        <f aca="true">MAX(0.03,NORMINV(RAND(),$B$7,$C$7))</f>
        <v>0.184914472679454</v>
      </c>
      <c r="D301" s="33" t="n">
        <f aca="true">MAX(0.08,NORMINV(RAND(),$B$8,$C$8))</f>
        <v>0.12730913720835</v>
      </c>
      <c r="E301" s="48" t="n">
        <f aca="true">MAX(4,NORMINV(RAND(),$B$9,$C$9))</f>
        <v>14.1497339512715</v>
      </c>
      <c r="F301" s="26" t="n">
        <f aca="false">$B$18*(1+(B301+$B$17)/2)^9</f>
        <v>7649.68710029566</v>
      </c>
      <c r="G301" s="26" t="n">
        <f aca="false">F301*C301</f>
        <v>1414.53785631399</v>
      </c>
      <c r="H301" s="26" t="n">
        <f aca="false">E301*G301/(1+D301)^9</f>
        <v>6807.31119596852</v>
      </c>
      <c r="I301" s="26" t="n">
        <f aca="false">$B$13*G301/$B$12*((1+$B$8)/(1+D301))^4.5</f>
        <v>2229.96645967643</v>
      </c>
      <c r="J301" s="26" t="n">
        <f aca="false">H301+I301+$B$14</f>
        <v>11123.6765337271</v>
      </c>
      <c r="K301" s="44" t="n">
        <f aca="false">J301/$B$15</f>
        <v>17.6566294186145</v>
      </c>
    </row>
    <row r="302" customFormat="false" ht="15" hidden="false" customHeight="false" outlineLevel="0" collapsed="false">
      <c r="A302" s="52" t="n">
        <v>262</v>
      </c>
      <c r="B302" s="21" t="n">
        <f aca="true">NORMINV(RAND(),$B$6,$C$6)</f>
        <v>0.236150504249797</v>
      </c>
      <c r="C302" s="21" t="n">
        <f aca="true">MAX(0.03,NORMINV(RAND(),$B$7,$C$7))</f>
        <v>0.215516380220709</v>
      </c>
      <c r="D302" s="33" t="n">
        <f aca="true">MAX(0.08,NORMINV(RAND(),$B$8,$C$8))</f>
        <v>0.138625162502915</v>
      </c>
      <c r="E302" s="48" t="n">
        <f aca="true">MAX(4,NORMINV(RAND(),$B$9,$C$9))</f>
        <v>8.30169805905421</v>
      </c>
      <c r="F302" s="26" t="n">
        <f aca="false">$B$18*(1+(B302+$B$17)/2)^9</f>
        <v>9232.30038038687</v>
      </c>
      <c r="G302" s="26" t="n">
        <f aca="false">F302*C302</f>
        <v>1989.71195909125</v>
      </c>
      <c r="H302" s="26" t="n">
        <f aca="false">E302*G302/(1+D302)^9</f>
        <v>5134.87824442005</v>
      </c>
      <c r="I302" s="26" t="n">
        <f aca="false">$B$13*G302/$B$12*((1+$B$8)/(1+D302))^4.5</f>
        <v>2998.84550165722</v>
      </c>
      <c r="J302" s="26" t="n">
        <f aca="false">H302+I302+$B$14</f>
        <v>10220.1226241595</v>
      </c>
      <c r="K302" s="44" t="n">
        <f aca="false">J302/$B$15</f>
        <v>16.2224168637452</v>
      </c>
    </row>
    <row r="303" customFormat="false" ht="15" hidden="false" customHeight="false" outlineLevel="0" collapsed="false">
      <c r="A303" s="52" t="n">
        <v>263</v>
      </c>
      <c r="B303" s="21" t="n">
        <f aca="true">NORMINV(RAND(),$B$6,$C$6)</f>
        <v>0.214925054293297</v>
      </c>
      <c r="C303" s="21" t="n">
        <f aca="true">MAX(0.03,NORMINV(RAND(),$B$7,$C$7))</f>
        <v>0.196154693638111</v>
      </c>
      <c r="D303" s="33" t="n">
        <f aca="true">MAX(0.08,NORMINV(RAND(),$B$8,$C$8))</f>
        <v>0.130701004657329</v>
      </c>
      <c r="E303" s="48" t="n">
        <f aca="true">MAX(4,NORMINV(RAND(),$B$9,$C$9))</f>
        <v>8.72268239422753</v>
      </c>
      <c r="F303" s="26" t="n">
        <f aca="false">$B$18*(1+(B303+$B$17)/2)^9</f>
        <v>8488.89355763487</v>
      </c>
      <c r="G303" s="26" t="n">
        <f aca="false">F303*C303</f>
        <v>1665.1363151244</v>
      </c>
      <c r="H303" s="26" t="n">
        <f aca="false">E303*G303/(1+D303)^9</f>
        <v>4808.05967754689</v>
      </c>
      <c r="I303" s="26" t="n">
        <f aca="false">$B$13*G303/$B$12*((1+$B$8)/(1+D303))^4.5</f>
        <v>2589.77580757607</v>
      </c>
      <c r="J303" s="26" t="n">
        <f aca="false">H303+I303+$B$14</f>
        <v>9484.23436320515</v>
      </c>
      <c r="K303" s="44" t="n">
        <f aca="false">J303/$B$15</f>
        <v>15.0543402590558</v>
      </c>
    </row>
    <row r="304" customFormat="false" ht="15" hidden="false" customHeight="false" outlineLevel="0" collapsed="false">
      <c r="A304" s="52" t="n">
        <v>264</v>
      </c>
      <c r="B304" s="21" t="n">
        <f aca="true">NORMINV(RAND(),$B$6,$C$6)</f>
        <v>0.15142835153013</v>
      </c>
      <c r="C304" s="21" t="n">
        <f aca="true">MAX(0.03,NORMINV(RAND(),$B$7,$C$7))</f>
        <v>0.204208496657303</v>
      </c>
      <c r="D304" s="33" t="n">
        <f aca="true">MAX(0.08,NORMINV(RAND(),$B$8,$C$8))</f>
        <v>0.141137437095845</v>
      </c>
      <c r="E304" s="48" t="n">
        <f aca="true">MAX(4,NORMINV(RAND(),$B$9,$C$9))</f>
        <v>11.8023870250322</v>
      </c>
      <c r="F304" s="26" t="n">
        <f aca="false">$B$18*(1+(B304+$B$17)/2)^9</f>
        <v>6572.15144793756</v>
      </c>
      <c r="G304" s="26" t="n">
        <f aca="false">F304*C304</f>
        <v>1342.08916698744</v>
      </c>
      <c r="H304" s="26" t="n">
        <f aca="false">E304*G304/(1+D304)^9</f>
        <v>4827.3594940803</v>
      </c>
      <c r="I304" s="26" t="n">
        <f aca="false">$B$13*G304/$B$12*((1+$B$8)/(1+D304))^4.5</f>
        <v>2002.8017341709</v>
      </c>
      <c r="J304" s="26" t="n">
        <f aca="false">H304+I304+$B$14</f>
        <v>8916.56010633339</v>
      </c>
      <c r="K304" s="44" t="n">
        <f aca="false">J304/$B$15</f>
        <v>14.153270010053</v>
      </c>
    </row>
    <row r="305" customFormat="false" ht="15" hidden="false" customHeight="false" outlineLevel="0" collapsed="false">
      <c r="A305" s="52" t="n">
        <v>265</v>
      </c>
      <c r="B305" s="21" t="n">
        <f aca="true">NORMINV(RAND(),$B$6,$C$6)</f>
        <v>0.195113503297504</v>
      </c>
      <c r="C305" s="21" t="n">
        <f aca="true">MAX(0.03,NORMINV(RAND(),$B$7,$C$7))</f>
        <v>0.189157430708234</v>
      </c>
      <c r="D305" s="33" t="n">
        <f aca="true">MAX(0.08,NORMINV(RAND(),$B$8,$C$8))</f>
        <v>0.135050660000307</v>
      </c>
      <c r="E305" s="48" t="n">
        <f aca="true">MAX(4,NORMINV(RAND(),$B$9,$C$9))</f>
        <v>9.47586898558307</v>
      </c>
      <c r="F305" s="26" t="n">
        <f aca="false">$B$18*(1+(B305+$B$17)/2)^9</f>
        <v>7843.52495121836</v>
      </c>
      <c r="G305" s="26" t="n">
        <f aca="false">F305*C305</f>
        <v>1483.66102746839</v>
      </c>
      <c r="H305" s="26" t="n">
        <f aca="false">E305*G305/(1+D305)^9</f>
        <v>4495.89879395986</v>
      </c>
      <c r="I305" s="26" t="n">
        <f aca="false">$B$13*G305/$B$12*((1+$B$8)/(1+D305))^4.5</f>
        <v>2268.00215151046</v>
      </c>
      <c r="J305" s="26" t="n">
        <f aca="false">H305+I305+$B$14</f>
        <v>8850.29982355251</v>
      </c>
      <c r="K305" s="44" t="n">
        <f aca="false">J305/$B$15</f>
        <v>14.0480949580199</v>
      </c>
    </row>
    <row r="306" customFormat="false" ht="15" hidden="false" customHeight="false" outlineLevel="0" collapsed="false">
      <c r="A306" s="52" t="n">
        <v>266</v>
      </c>
      <c r="B306" s="21" t="n">
        <f aca="true">NORMINV(RAND(),$B$6,$C$6)</f>
        <v>0.201773834770632</v>
      </c>
      <c r="C306" s="21" t="n">
        <f aca="true">MAX(0.03,NORMINV(RAND(),$B$7,$C$7))</f>
        <v>0.213544379425985</v>
      </c>
      <c r="D306" s="33" t="n">
        <f aca="true">MAX(0.08,NORMINV(RAND(),$B$8,$C$8))</f>
        <v>0.133339892213721</v>
      </c>
      <c r="E306" s="48" t="n">
        <f aca="true">MAX(4,NORMINV(RAND(),$B$9,$C$9))</f>
        <v>14.1051853775652</v>
      </c>
      <c r="F306" s="26" t="n">
        <f aca="false">$B$18*(1+(B306+$B$17)/2)^9</f>
        <v>8055.44395414407</v>
      </c>
      <c r="G306" s="26" t="n">
        <f aca="false">F306*C306</f>
        <v>1720.1947801885</v>
      </c>
      <c r="H306" s="26" t="n">
        <f aca="false">E306*G306/(1+D306)^9</f>
        <v>7865.29185660467</v>
      </c>
      <c r="I306" s="26" t="n">
        <f aca="false">$B$13*G306/$B$12*((1+$B$8)/(1+D306))^4.5</f>
        <v>2647.48929810256</v>
      </c>
      <c r="J306" s="26" t="n">
        <f aca="false">H306+I306+$B$14</f>
        <v>12599.1800327894</v>
      </c>
      <c r="K306" s="44" t="n">
        <f aca="false">J306/$B$15</f>
        <v>19.9986984647451</v>
      </c>
    </row>
    <row r="307" customFormat="false" ht="15" hidden="false" customHeight="false" outlineLevel="0" collapsed="false">
      <c r="A307" s="52" t="n">
        <v>267</v>
      </c>
      <c r="B307" s="21" t="n">
        <f aca="true">NORMINV(RAND(),$B$6,$C$6)</f>
        <v>0.202544286199109</v>
      </c>
      <c r="C307" s="21" t="n">
        <f aca="true">MAX(0.03,NORMINV(RAND(),$B$7,$C$7))</f>
        <v>0.216638878648838</v>
      </c>
      <c r="D307" s="33" t="n">
        <f aca="true">MAX(0.08,NORMINV(RAND(),$B$8,$C$8))</f>
        <v>0.144501231135205</v>
      </c>
      <c r="E307" s="48" t="n">
        <f aca="true">MAX(4,NORMINV(RAND(),$B$9,$C$9))</f>
        <v>14.6871449204836</v>
      </c>
      <c r="F307" s="26" t="n">
        <f aca="false">$B$18*(1+(B307+$B$17)/2)^9</f>
        <v>8080.28368779607</v>
      </c>
      <c r="G307" s="26" t="n">
        <f aca="false">F307*C307</f>
        <v>1750.50359728864</v>
      </c>
      <c r="H307" s="26" t="n">
        <f aca="false">E307*G307/(1+D307)^9</f>
        <v>7630.51780572746</v>
      </c>
      <c r="I307" s="26" t="n">
        <f aca="false">$B$13*G307/$B$12*((1+$B$8)/(1+D307))^4.5</f>
        <v>2577.90671098418</v>
      </c>
      <c r="J307" s="26" t="n">
        <f aca="false">H307+I307+$B$14</f>
        <v>12294.8233947938</v>
      </c>
      <c r="K307" s="44" t="n">
        <f aca="false">J307/$B$15</f>
        <v>19.5155926901489</v>
      </c>
    </row>
    <row r="308" customFormat="false" ht="15" hidden="false" customHeight="false" outlineLevel="0" collapsed="false">
      <c r="A308" s="52" t="n">
        <v>268</v>
      </c>
      <c r="B308" s="21" t="n">
        <f aca="true">NORMINV(RAND(),$B$6,$C$6)</f>
        <v>0.0685103673167053</v>
      </c>
      <c r="C308" s="21" t="n">
        <f aca="true">MAX(0.03,NORMINV(RAND(),$B$7,$C$7))</f>
        <v>0.209026867317873</v>
      </c>
      <c r="D308" s="33" t="n">
        <f aca="true">MAX(0.08,NORMINV(RAND(),$B$8,$C$8))</f>
        <v>0.132257815188155</v>
      </c>
      <c r="E308" s="48" t="n">
        <f aca="true">MAX(4,NORMINV(RAND(),$B$9,$C$9))</f>
        <v>11.2935693349857</v>
      </c>
      <c r="F308" s="26" t="n">
        <f aca="false">$B$18*(1+(B308+$B$17)/2)^9</f>
        <v>4652.0235819491</v>
      </c>
      <c r="G308" s="26" t="n">
        <f aca="false">F308*C308</f>
        <v>972.397916023691</v>
      </c>
      <c r="H308" s="26" t="n">
        <f aca="false">E308*G308/(1+D308)^9</f>
        <v>3590.6022518903</v>
      </c>
      <c r="I308" s="26" t="n">
        <f aca="false">$B$13*G308/$B$12*((1+$B$8)/(1+D308))^4.5</f>
        <v>1503.02922894575</v>
      </c>
      <c r="J308" s="26" t="n">
        <f aca="false">H308+I308+$B$14</f>
        <v>7180.03035891825</v>
      </c>
      <c r="K308" s="44" t="n">
        <f aca="false">J308/$B$15</f>
        <v>11.3968735855845</v>
      </c>
    </row>
    <row r="309" customFormat="false" ht="15" hidden="false" customHeight="false" outlineLevel="0" collapsed="false">
      <c r="A309" s="52" t="n">
        <v>269</v>
      </c>
      <c r="B309" s="21" t="n">
        <f aca="true">NORMINV(RAND(),$B$6,$C$6)</f>
        <v>0.19772589885747</v>
      </c>
      <c r="C309" s="21" t="n">
        <f aca="true">MAX(0.03,NORMINV(RAND(),$B$7,$C$7))</f>
        <v>0.215943887946422</v>
      </c>
      <c r="D309" s="33" t="n">
        <f aca="true">MAX(0.08,NORMINV(RAND(),$B$8,$C$8))</f>
        <v>0.154588230773815</v>
      </c>
      <c r="E309" s="48" t="n">
        <f aca="true">MAX(4,NORMINV(RAND(),$B$9,$C$9))</f>
        <v>12.1370278864985</v>
      </c>
      <c r="F309" s="26" t="n">
        <f aca="false">$B$18*(1+(B309+$B$17)/2)^9</f>
        <v>7926.04824911104</v>
      </c>
      <c r="G309" s="26" t="n">
        <f aca="false">F309*C309</f>
        <v>1711.58167496397</v>
      </c>
      <c r="H309" s="26" t="n">
        <f aca="false">E309*G309/(1+D309)^9</f>
        <v>5697.25740815354</v>
      </c>
      <c r="I309" s="26" t="n">
        <f aca="false">$B$13*G309/$B$12*((1+$B$8)/(1+D309))^4.5</f>
        <v>2422.99734555425</v>
      </c>
      <c r="J309" s="26" t="n">
        <f aca="false">H309+I309+$B$14</f>
        <v>10206.65363179</v>
      </c>
      <c r="K309" s="44" t="n">
        <f aca="false">J309/$B$15</f>
        <v>16.2010375107777</v>
      </c>
    </row>
    <row r="310" customFormat="false" ht="15" hidden="false" customHeight="false" outlineLevel="0" collapsed="false">
      <c r="A310" s="52" t="n">
        <v>270</v>
      </c>
      <c r="B310" s="21" t="n">
        <f aca="true">NORMINV(RAND(),$B$6,$C$6)</f>
        <v>0.175167959696307</v>
      </c>
      <c r="C310" s="21" t="n">
        <f aca="true">MAX(0.03,NORMINV(RAND(),$B$7,$C$7))</f>
        <v>0.232248543251419</v>
      </c>
      <c r="D310" s="33" t="n">
        <f aca="true">MAX(0.08,NORMINV(RAND(),$B$8,$C$8))</f>
        <v>0.148462499745711</v>
      </c>
      <c r="E310" s="48" t="n">
        <f aca="true">MAX(4,NORMINV(RAND(),$B$9,$C$9))</f>
        <v>9.01067717604975</v>
      </c>
      <c r="F310" s="26" t="n">
        <f aca="false">$B$18*(1+(B310+$B$17)/2)^9</f>
        <v>7238.21944615343</v>
      </c>
      <c r="G310" s="26" t="n">
        <f aca="false">F310*C310</f>
        <v>1681.06592210323</v>
      </c>
      <c r="H310" s="26" t="n">
        <f aca="false">E310*G310/(1+D310)^9</f>
        <v>4358.03591109335</v>
      </c>
      <c r="I310" s="26" t="n">
        <f aca="false">$B$13*G310/$B$12*((1+$B$8)/(1+D310))^4.5</f>
        <v>2437.45405142874</v>
      </c>
      <c r="J310" s="26" t="n">
        <f aca="false">H310+I310+$B$14</f>
        <v>8881.88884060428</v>
      </c>
      <c r="K310" s="44" t="n">
        <f aca="false">J310/$B$15</f>
        <v>14.0982362549274</v>
      </c>
    </row>
    <row r="311" customFormat="false" ht="15" hidden="false" customHeight="false" outlineLevel="0" collapsed="false">
      <c r="A311" s="52" t="n">
        <v>271</v>
      </c>
      <c r="B311" s="21" t="n">
        <f aca="true">NORMINV(RAND(),$B$6,$C$6)</f>
        <v>0.2120764693579</v>
      </c>
      <c r="C311" s="21" t="n">
        <f aca="true">MAX(0.03,NORMINV(RAND(),$B$7,$C$7))</f>
        <v>0.165086068635575</v>
      </c>
      <c r="D311" s="33" t="n">
        <f aca="true">MAX(0.08,NORMINV(RAND(),$B$8,$C$8))</f>
        <v>0.122381283076182</v>
      </c>
      <c r="E311" s="48" t="n">
        <f aca="true">MAX(4,NORMINV(RAND(),$B$9,$C$9))</f>
        <v>9.50749353106707</v>
      </c>
      <c r="F311" s="26" t="n">
        <f aca="false">$B$18*(1+(B311+$B$17)/2)^9</f>
        <v>8393.28758757166</v>
      </c>
      <c r="G311" s="26" t="n">
        <f aca="false">F311*C311</f>
        <v>1385.61485075998</v>
      </c>
      <c r="H311" s="26" t="n">
        <f aca="false">E311*G311/(1+D311)^9</f>
        <v>4660.63214493218</v>
      </c>
      <c r="I311" s="26" t="n">
        <f aca="false">$B$13*G311/$B$12*((1+$B$8)/(1+D311))^4.5</f>
        <v>2227.86072225732</v>
      </c>
      <c r="J311" s="26" t="n">
        <f aca="false">H311+I311+$B$14</f>
        <v>8974.89174527169</v>
      </c>
      <c r="K311" s="44" t="n">
        <f aca="false">J311/$B$15</f>
        <v>14.2458599131297</v>
      </c>
    </row>
    <row r="312" customFormat="false" ht="15" hidden="false" customHeight="false" outlineLevel="0" collapsed="false">
      <c r="A312" s="52" t="n">
        <v>272</v>
      </c>
      <c r="B312" s="21" t="n">
        <f aca="true">NORMINV(RAND(),$B$6,$C$6)</f>
        <v>0.132068507702462</v>
      </c>
      <c r="C312" s="21" t="n">
        <f aca="true">MAX(0.03,NORMINV(RAND(),$B$7,$C$7))</f>
        <v>0.202688180510208</v>
      </c>
      <c r="D312" s="33" t="n">
        <f aca="true">MAX(0.08,NORMINV(RAND(),$B$8,$C$8))</f>
        <v>0.137108345732662</v>
      </c>
      <c r="E312" s="48" t="n">
        <f aca="true">MAX(4,NORMINV(RAND(),$B$9,$C$9))</f>
        <v>14.8718554013742</v>
      </c>
      <c r="F312" s="26" t="n">
        <f aca="false">$B$18*(1+(B312+$B$17)/2)^9</f>
        <v>6069.90645447657</v>
      </c>
      <c r="G312" s="26" t="n">
        <f aca="false">F312*C312</f>
        <v>1230.29829512502</v>
      </c>
      <c r="H312" s="26" t="n">
        <f aca="false">E312*G312/(1+D312)^9</f>
        <v>5756.5058872556</v>
      </c>
      <c r="I312" s="26" t="n">
        <f aca="false">$B$13*G312/$B$12*((1+$B$8)/(1+D312))^4.5</f>
        <v>1865.43228546251</v>
      </c>
      <c r="J312" s="26" t="n">
        <f aca="false">H312+I312+$B$14</f>
        <v>9708.3370508003</v>
      </c>
      <c r="K312" s="44" t="n">
        <f aca="false">J312/$B$15</f>
        <v>15.4100588107941</v>
      </c>
    </row>
    <row r="313" customFormat="false" ht="15" hidden="false" customHeight="false" outlineLevel="0" collapsed="false">
      <c r="A313" s="52" t="n">
        <v>273</v>
      </c>
      <c r="B313" s="21" t="n">
        <f aca="true">NORMINV(RAND(),$B$6,$C$6)</f>
        <v>0.191078552991955</v>
      </c>
      <c r="C313" s="21" t="n">
        <f aca="true">MAX(0.03,NORMINV(RAND(),$B$7,$C$7))</f>
        <v>0.203158025921454</v>
      </c>
      <c r="D313" s="33" t="n">
        <f aca="true">MAX(0.08,NORMINV(RAND(),$B$8,$C$8))</f>
        <v>0.121193240589228</v>
      </c>
      <c r="E313" s="48" t="n">
        <f aca="true">MAX(4,NORMINV(RAND(),$B$9,$C$9))</f>
        <v>8.40886562865139</v>
      </c>
      <c r="F313" s="26" t="n">
        <f aca="false">$B$18*(1+(B313+$B$17)/2)^9</f>
        <v>7717.56471267085</v>
      </c>
      <c r="G313" s="26" t="n">
        <f aca="false">F313*C313</f>
        <v>1567.88521194728</v>
      </c>
      <c r="H313" s="26" t="n">
        <f aca="false">E313*G313/(1+D313)^9</f>
        <v>4708.98643114076</v>
      </c>
      <c r="I313" s="26" t="n">
        <f aca="false">$B$13*G313/$B$12*((1+$B$8)/(1+D313))^4.5</f>
        <v>2532.9669518544</v>
      </c>
      <c r="J313" s="26" t="n">
        <f aca="false">H313+I313+$B$14</f>
        <v>9328.35226107735</v>
      </c>
      <c r="K313" s="44" t="n">
        <f aca="false">J313/$B$15</f>
        <v>14.8069083509164</v>
      </c>
    </row>
    <row r="314" customFormat="false" ht="15" hidden="false" customHeight="false" outlineLevel="0" collapsed="false">
      <c r="A314" s="52" t="n">
        <v>274</v>
      </c>
      <c r="B314" s="21" t="n">
        <f aca="true">NORMINV(RAND(),$B$6,$C$6)</f>
        <v>0.199759792408025</v>
      </c>
      <c r="C314" s="21" t="n">
        <f aca="true">MAX(0.03,NORMINV(RAND(),$B$7,$C$7))</f>
        <v>0.212429728532984</v>
      </c>
      <c r="D314" s="33" t="n">
        <f aca="true">MAX(0.08,NORMINV(RAND(),$B$8,$C$8))</f>
        <v>0.147887066875449</v>
      </c>
      <c r="E314" s="48" t="n">
        <f aca="true">MAX(4,NORMINV(RAND(),$B$9,$C$9))</f>
        <v>14.5508552545365</v>
      </c>
      <c r="F314" s="26" t="n">
        <f aca="false">$B$18*(1+(B314+$B$17)/2)^9</f>
        <v>7990.83056651208</v>
      </c>
      <c r="G314" s="26" t="n">
        <f aca="false">F314*C314</f>
        <v>1697.48996799724</v>
      </c>
      <c r="H314" s="26" t="n">
        <f aca="false">E314*G314/(1+D314)^9</f>
        <v>7138.4393178626</v>
      </c>
      <c r="I314" s="26" t="n">
        <f aca="false">$B$13*G314/$B$12*((1+$B$8)/(1+D314))^4.5</f>
        <v>2466.82511983935</v>
      </c>
      <c r="J314" s="26" t="n">
        <f aca="false">H314+I314+$B$14</f>
        <v>11691.6633157841</v>
      </c>
      <c r="K314" s="44" t="n">
        <f aca="false">J314/$B$15</f>
        <v>18.5581957393399</v>
      </c>
    </row>
    <row r="315" customFormat="false" ht="15" hidden="false" customHeight="false" outlineLevel="0" collapsed="false">
      <c r="A315" s="52" t="n">
        <v>275</v>
      </c>
      <c r="B315" s="21" t="n">
        <f aca="true">NORMINV(RAND(),$B$6,$C$6)</f>
        <v>0.163012297919286</v>
      </c>
      <c r="C315" s="21" t="n">
        <f aca="true">MAX(0.03,NORMINV(RAND(),$B$7,$C$7))</f>
        <v>0.237003458486399</v>
      </c>
      <c r="D315" s="33" t="n">
        <f aca="true">MAX(0.08,NORMINV(RAND(),$B$8,$C$8))</f>
        <v>0.127517343944067</v>
      </c>
      <c r="E315" s="48" t="n">
        <f aca="true">MAX(4,NORMINV(RAND(),$B$9,$C$9))</f>
        <v>10.7855478190936</v>
      </c>
      <c r="F315" s="26" t="n">
        <f aca="false">$B$18*(1+(B315+$B$17)/2)^9</f>
        <v>6890.02838292269</v>
      </c>
      <c r="G315" s="26" t="n">
        <f aca="false">F315*C315</f>
        <v>1632.96055582213</v>
      </c>
      <c r="H315" s="26" t="n">
        <f aca="false">E315*G315/(1+D315)^9</f>
        <v>5980.10518918664</v>
      </c>
      <c r="I315" s="26" t="n">
        <f aca="false">$B$13*G315/$B$12*((1+$B$8)/(1+D315))^4.5</f>
        <v>2572.16327328131</v>
      </c>
      <c r="J315" s="26" t="n">
        <f aca="false">H315+I315+$B$14</f>
        <v>10638.6673405501</v>
      </c>
      <c r="K315" s="44" t="n">
        <f aca="false">J315/$B$15</f>
        <v>16.8867735564288</v>
      </c>
    </row>
    <row r="316" customFormat="false" ht="15" hidden="false" customHeight="false" outlineLevel="0" collapsed="false">
      <c r="A316" s="52" t="n">
        <v>276</v>
      </c>
      <c r="B316" s="21" t="n">
        <f aca="true">NORMINV(RAND(),$B$6,$C$6)</f>
        <v>0.168994365682177</v>
      </c>
      <c r="C316" s="21" t="n">
        <f aca="true">MAX(0.03,NORMINV(RAND(),$B$7,$C$7))</f>
        <v>0.211725193313874</v>
      </c>
      <c r="D316" s="33" t="n">
        <f aca="true">MAX(0.08,NORMINV(RAND(),$B$8,$C$8))</f>
        <v>0.120598352543722</v>
      </c>
      <c r="E316" s="48" t="n">
        <f aca="true">MAX(4,NORMINV(RAND(),$B$9,$C$9))</f>
        <v>13.0093272825003</v>
      </c>
      <c r="F316" s="26" t="n">
        <f aca="false">$B$18*(1+(B316+$B$17)/2)^9</f>
        <v>7059.47428070863</v>
      </c>
      <c r="G316" s="26" t="n">
        <f aca="false">F316*C316</f>
        <v>1494.66855677736</v>
      </c>
      <c r="H316" s="26" t="n">
        <f aca="false">E316*G316/(1+D316)^9</f>
        <v>6978.30458153411</v>
      </c>
      <c r="I316" s="26" t="n">
        <f aca="false">$B$13*G316/$B$12*((1+$B$8)/(1+D316))^4.5</f>
        <v>2420.4569810512</v>
      </c>
      <c r="J316" s="26" t="n">
        <f aca="false">H316+I316+$B$14</f>
        <v>11485.1604406675</v>
      </c>
      <c r="K316" s="44" t="n">
        <f aca="false">J316/$B$15</f>
        <v>18.2304133978849</v>
      </c>
    </row>
    <row r="317" customFormat="false" ht="15" hidden="false" customHeight="false" outlineLevel="0" collapsed="false">
      <c r="A317" s="52" t="n">
        <v>277</v>
      </c>
      <c r="B317" s="21" t="n">
        <f aca="true">NORMINV(RAND(),$B$6,$C$6)</f>
        <v>0.189244036358607</v>
      </c>
      <c r="C317" s="21" t="n">
        <f aca="true">MAX(0.03,NORMINV(RAND(),$B$7,$C$7))</f>
        <v>0.230572473125991</v>
      </c>
      <c r="D317" s="33" t="n">
        <f aca="true">MAX(0.08,NORMINV(RAND(),$B$8,$C$8))</f>
        <v>0.140030863416612</v>
      </c>
      <c r="E317" s="48" t="n">
        <f aca="true">MAX(4,NORMINV(RAND(),$B$9,$C$9))</f>
        <v>9.72053454008537</v>
      </c>
      <c r="F317" s="26" t="n">
        <f aca="false">$B$18*(1+(B317+$B$17)/2)^9</f>
        <v>7660.89308037276</v>
      </c>
      <c r="G317" s="26" t="n">
        <f aca="false">F317*C317</f>
        <v>1766.39106389534</v>
      </c>
      <c r="H317" s="26" t="n">
        <f aca="false">E317*G317/(1+D317)^9</f>
        <v>5278.70663403465</v>
      </c>
      <c r="I317" s="26" t="n">
        <f aca="false">$B$13*G317/$B$12*((1+$B$8)/(1+D317))^4.5</f>
        <v>2647.52150981794</v>
      </c>
      <c r="J317" s="26" t="n">
        <f aca="false">H317+I317+$B$14</f>
        <v>10012.6270219348</v>
      </c>
      <c r="K317" s="44" t="n">
        <f aca="false">J317/$B$15</f>
        <v>15.8930587649758</v>
      </c>
    </row>
    <row r="318" customFormat="false" ht="15" hidden="false" customHeight="false" outlineLevel="0" collapsed="false">
      <c r="A318" s="52" t="n">
        <v>278</v>
      </c>
      <c r="B318" s="21" t="n">
        <f aca="true">NORMINV(RAND(),$B$6,$C$6)</f>
        <v>0.23105698644626</v>
      </c>
      <c r="C318" s="21" t="n">
        <f aca="true">MAX(0.03,NORMINV(RAND(),$B$7,$C$7))</f>
        <v>0.176065056539241</v>
      </c>
      <c r="D318" s="33" t="n">
        <f aca="true">MAX(0.08,NORMINV(RAND(),$B$8,$C$8))</f>
        <v>0.132239814108199</v>
      </c>
      <c r="E318" s="48" t="n">
        <f aca="true">MAX(4,NORMINV(RAND(),$B$9,$C$9))</f>
        <v>10.2497641944501</v>
      </c>
      <c r="F318" s="26" t="n">
        <f aca="false">$B$18*(1+(B318+$B$17)/2)^9</f>
        <v>9048.81649958618</v>
      </c>
      <c r="G318" s="26" t="n">
        <f aca="false">F318*C318</f>
        <v>1593.18038861286</v>
      </c>
      <c r="H318" s="26" t="n">
        <f aca="false">E318*G318/(1+D318)^9</f>
        <v>5339.89877794802</v>
      </c>
      <c r="I318" s="26" t="n">
        <f aca="false">$B$13*G318/$B$12*((1+$B$8)/(1+D318))^4.5</f>
        <v>2462.74490635495</v>
      </c>
      <c r="J318" s="26" t="n">
        <f aca="false">H318+I318+$B$14</f>
        <v>9889.04256238516</v>
      </c>
      <c r="K318" s="44" t="n">
        <f aca="false">J318/$B$15</f>
        <v>15.6968929561669</v>
      </c>
    </row>
    <row r="319" customFormat="false" ht="15" hidden="false" customHeight="false" outlineLevel="0" collapsed="false">
      <c r="A319" s="52" t="n">
        <v>279</v>
      </c>
      <c r="B319" s="21" t="n">
        <f aca="true">NORMINV(RAND(),$B$6,$C$6)</f>
        <v>0.176811700951221</v>
      </c>
      <c r="C319" s="21" t="n">
        <f aca="true">MAX(0.03,NORMINV(RAND(),$B$7,$C$7))</f>
        <v>0.186527908617616</v>
      </c>
      <c r="D319" s="33" t="n">
        <f aca="true">MAX(0.08,NORMINV(RAND(),$B$8,$C$8))</f>
        <v>0.134528373197281</v>
      </c>
      <c r="E319" s="48" t="n">
        <f aca="true">MAX(4,NORMINV(RAND(),$B$9,$C$9))</f>
        <v>11.8869184418192</v>
      </c>
      <c r="F319" s="26" t="n">
        <f aca="false">$B$18*(1+(B319+$B$17)/2)^9</f>
        <v>7286.48402146994</v>
      </c>
      <c r="G319" s="26" t="n">
        <f aca="false">F319*C319</f>
        <v>1359.13262570046</v>
      </c>
      <c r="H319" s="26" t="n">
        <f aca="false">E319*G319/(1+D319)^9</f>
        <v>5187.91517830688</v>
      </c>
      <c r="I319" s="26" t="n">
        <f aca="false">$B$13*G319/$B$12*((1+$B$8)/(1+D319))^4.5</f>
        <v>2081.94901164887</v>
      </c>
      <c r="J319" s="26" t="n">
        <f aca="false">H319+I319+$B$14</f>
        <v>9356.26306803794</v>
      </c>
      <c r="K319" s="44" t="n">
        <f aca="false">J319/$B$15</f>
        <v>14.8512112191078</v>
      </c>
    </row>
    <row r="320" customFormat="false" ht="15" hidden="false" customHeight="false" outlineLevel="0" collapsed="false">
      <c r="A320" s="52" t="n">
        <v>280</v>
      </c>
      <c r="B320" s="21" t="n">
        <f aca="true">NORMINV(RAND(),$B$6,$C$6)</f>
        <v>0.117109170502335</v>
      </c>
      <c r="C320" s="21" t="n">
        <f aca="true">MAX(0.03,NORMINV(RAND(),$B$7,$C$7))</f>
        <v>0.199538065862829</v>
      </c>
      <c r="D320" s="33" t="n">
        <f aca="true">MAX(0.08,NORMINV(RAND(),$B$8,$C$8))</f>
        <v>0.122859895694684</v>
      </c>
      <c r="E320" s="48" t="n">
        <f aca="true">MAX(4,NORMINV(RAND(),$B$9,$C$9))</f>
        <v>11.3559079581162</v>
      </c>
      <c r="F320" s="26" t="n">
        <f aca="false">$B$18*(1+(B320+$B$17)/2)^9</f>
        <v>5705.49953347435</v>
      </c>
      <c r="G320" s="26" t="n">
        <f aca="false">F320*C320</f>
        <v>1138.46434169075</v>
      </c>
      <c r="H320" s="26" t="n">
        <f aca="false">E320*G320/(1+D320)^9</f>
        <v>4556.28791316279</v>
      </c>
      <c r="I320" s="26" t="n">
        <f aca="false">$B$13*G320/$B$12*((1+$B$8)/(1+D320))^4.5</f>
        <v>1826.97137288883</v>
      </c>
      <c r="J320" s="26" t="n">
        <f aca="false">H320+I320+$B$14</f>
        <v>8469.65816413381</v>
      </c>
      <c r="K320" s="44" t="n">
        <f aca="false">J320/$B$15</f>
        <v>13.4439018478314</v>
      </c>
    </row>
    <row r="321" customFormat="false" ht="15" hidden="false" customHeight="false" outlineLevel="0" collapsed="false">
      <c r="A321" s="52" t="n">
        <v>281</v>
      </c>
      <c r="B321" s="21" t="n">
        <f aca="true">NORMINV(RAND(),$B$6,$C$6)</f>
        <v>0.309838076518508</v>
      </c>
      <c r="C321" s="21" t="n">
        <f aca="true">MAX(0.03,NORMINV(RAND(),$B$7,$C$7))</f>
        <v>0.224894154392164</v>
      </c>
      <c r="D321" s="33" t="n">
        <f aca="true">MAX(0.08,NORMINV(RAND(),$B$8,$C$8))</f>
        <v>0.137890435301244</v>
      </c>
      <c r="E321" s="48" t="n">
        <f aca="true">MAX(4,NORMINV(RAND(),$B$9,$C$9))</f>
        <v>9.29016152925917</v>
      </c>
      <c r="F321" s="26" t="n">
        <f aca="false">$B$18*(1+(B321+$B$17)/2)^9</f>
        <v>12283.0551954399</v>
      </c>
      <c r="G321" s="26" t="n">
        <f aca="false">F321*C321</f>
        <v>2762.38731153072</v>
      </c>
      <c r="H321" s="26" t="n">
        <f aca="false">E321*G321/(1+D321)^9</f>
        <v>8024.23822229583</v>
      </c>
      <c r="I321" s="26" t="n">
        <f aca="false">$B$13*G321/$B$12*((1+$B$8)/(1+D321))^4.5</f>
        <v>4175.51393804697</v>
      </c>
      <c r="J321" s="26" t="n">
        <f aca="false">H321+I321+$B$14</f>
        <v>14286.151038425</v>
      </c>
      <c r="K321" s="44" t="n">
        <f aca="false">J321/$B$15</f>
        <v>22.6764302197222</v>
      </c>
    </row>
    <row r="322" customFormat="false" ht="15" hidden="false" customHeight="false" outlineLevel="0" collapsed="false">
      <c r="A322" s="52" t="n">
        <v>282</v>
      </c>
      <c r="B322" s="21" t="n">
        <f aca="true">NORMINV(RAND(),$B$6,$C$6)</f>
        <v>0.214192561988791</v>
      </c>
      <c r="C322" s="21" t="n">
        <f aca="true">MAX(0.03,NORMINV(RAND(),$B$7,$C$7))</f>
        <v>0.196426334065747</v>
      </c>
      <c r="D322" s="33" t="n">
        <f aca="true">MAX(0.08,NORMINV(RAND(),$B$8,$C$8))</f>
        <v>0.14697634723874</v>
      </c>
      <c r="E322" s="48" t="n">
        <f aca="true">MAX(4,NORMINV(RAND(),$B$9,$C$9))</f>
        <v>13.5564615575245</v>
      </c>
      <c r="F322" s="26" t="n">
        <f aca="false">$B$18*(1+(B322+$B$17)/2)^9</f>
        <v>8464.2171990118</v>
      </c>
      <c r="G322" s="26" t="n">
        <f aca="false">F322*C322</f>
        <v>1662.59515513813</v>
      </c>
      <c r="H322" s="26" t="n">
        <f aca="false">E322*G322/(1+D322)^9</f>
        <v>6560.58700070483</v>
      </c>
      <c r="I322" s="26" t="n">
        <f aca="false">$B$13*G322/$B$12*((1+$B$8)/(1+D322))^4.5</f>
        <v>2424.76028287303</v>
      </c>
      <c r="J322" s="26" t="n">
        <f aca="false">H322+I322+$B$14</f>
        <v>11071.7461616601</v>
      </c>
      <c r="K322" s="44" t="n">
        <f aca="false">J322/$B$15</f>
        <v>17.5742002566033</v>
      </c>
    </row>
    <row r="323" customFormat="false" ht="15" hidden="false" customHeight="false" outlineLevel="0" collapsed="false">
      <c r="A323" s="52" t="n">
        <v>283</v>
      </c>
      <c r="B323" s="21" t="n">
        <f aca="true">NORMINV(RAND(),$B$6,$C$6)</f>
        <v>0.231530315689115</v>
      </c>
      <c r="C323" s="21" t="n">
        <f aca="true">MAX(0.03,NORMINV(RAND(),$B$7,$C$7))</f>
        <v>0.225188093157733</v>
      </c>
      <c r="D323" s="33" t="n">
        <f aca="true">MAX(0.08,NORMINV(RAND(),$B$8,$C$8))</f>
        <v>0.133228771175797</v>
      </c>
      <c r="E323" s="48" t="n">
        <f aca="true">MAX(4,NORMINV(RAND(),$B$9,$C$9))</f>
        <v>10.1862524796156</v>
      </c>
      <c r="F323" s="26" t="n">
        <f aca="false">$B$18*(1+(B323+$B$17)/2)^9</f>
        <v>9065.72955177518</v>
      </c>
      <c r="G323" s="26" t="n">
        <f aca="false">F323*C323</f>
        <v>2041.49435084796</v>
      </c>
      <c r="H323" s="26" t="n">
        <f aca="false">E323*G323/(1+D323)^9</f>
        <v>6746.90025522463</v>
      </c>
      <c r="I323" s="26" t="n">
        <f aca="false">$B$13*G323/$B$12*((1+$B$8)/(1+D323))^4.5</f>
        <v>3143.37645737523</v>
      </c>
      <c r="J323" s="26" t="n">
        <f aca="false">H323+I323+$B$14</f>
        <v>11976.6755906821</v>
      </c>
      <c r="K323" s="44" t="n">
        <f aca="false">J323/$B$15</f>
        <v>19.0105961756858</v>
      </c>
    </row>
    <row r="324" customFormat="false" ht="15" hidden="false" customHeight="false" outlineLevel="0" collapsed="false">
      <c r="A324" s="52" t="n">
        <v>284</v>
      </c>
      <c r="B324" s="21" t="n">
        <f aca="true">NORMINV(RAND(),$B$6,$C$6)</f>
        <v>0.12567143398884</v>
      </c>
      <c r="C324" s="21" t="n">
        <f aca="true">MAX(0.03,NORMINV(RAND(),$B$7,$C$7))</f>
        <v>0.18023556779871</v>
      </c>
      <c r="D324" s="33" t="n">
        <f aca="true">MAX(0.08,NORMINV(RAND(),$B$8,$C$8))</f>
        <v>0.131464747684585</v>
      </c>
      <c r="E324" s="48" t="n">
        <f aca="true">MAX(4,NORMINV(RAND(),$B$9,$C$9))</f>
        <v>12.8455660549267</v>
      </c>
      <c r="F324" s="26" t="n">
        <f aca="false">$B$18*(1+(B324+$B$17)/2)^9</f>
        <v>5911.61784201526</v>
      </c>
      <c r="G324" s="26" t="n">
        <f aca="false">F324*C324</f>
        <v>1065.48379836461</v>
      </c>
      <c r="H324" s="26" t="n">
        <f aca="false">E324*G324/(1+D324)^9</f>
        <v>4503.29968980323</v>
      </c>
      <c r="I324" s="26" t="n">
        <f aca="false">$B$13*G324/$B$12*((1+$B$8)/(1+D324))^4.5</f>
        <v>1652.1124538376</v>
      </c>
      <c r="J324" s="26" t="n">
        <f aca="false">H324+I324+$B$14</f>
        <v>8241.81102172302</v>
      </c>
      <c r="K324" s="44" t="n">
        <f aca="false">J324/$B$15</f>
        <v>13.0822397170207</v>
      </c>
    </row>
    <row r="325" customFormat="false" ht="15" hidden="false" customHeight="false" outlineLevel="0" collapsed="false">
      <c r="A325" s="52" t="n">
        <v>285</v>
      </c>
      <c r="B325" s="21" t="n">
        <f aca="true">NORMINV(RAND(),$B$6,$C$6)</f>
        <v>0.257753005102578</v>
      </c>
      <c r="C325" s="21" t="n">
        <f aca="true">MAX(0.03,NORMINV(RAND(),$B$7,$C$7))</f>
        <v>0.247945108013431</v>
      </c>
      <c r="D325" s="33" t="n">
        <f aca="true">MAX(0.08,NORMINV(RAND(),$B$8,$C$8))</f>
        <v>0.147336609052256</v>
      </c>
      <c r="E325" s="48" t="n">
        <f aca="true">MAX(4,NORMINV(RAND(),$B$9,$C$9))</f>
        <v>11.4157877561268</v>
      </c>
      <c r="F325" s="26" t="n">
        <f aca="false">$B$18*(1+(B325+$B$17)/2)^9</f>
        <v>10047.7886496572</v>
      </c>
      <c r="G325" s="26" t="n">
        <f aca="false">F325*C325</f>
        <v>2491.30004203538</v>
      </c>
      <c r="H325" s="26" t="n">
        <f aca="false">E325*G325/(1+D325)^9</f>
        <v>8254.94644670509</v>
      </c>
      <c r="I325" s="26" t="n">
        <f aca="false">$B$13*G325/$B$12*((1+$B$8)/(1+D325))^4.5</f>
        <v>3628.22810570189</v>
      </c>
      <c r="J325" s="26" t="n">
        <f aca="false">H325+I325+$B$14</f>
        <v>13969.5734304892</v>
      </c>
      <c r="K325" s="44" t="n">
        <f aca="false">J325/$B$15</f>
        <v>22.1739260801415</v>
      </c>
    </row>
    <row r="326" customFormat="false" ht="15" hidden="false" customHeight="false" outlineLevel="0" collapsed="false">
      <c r="A326" s="52" t="n">
        <v>286</v>
      </c>
      <c r="B326" s="21" t="n">
        <f aca="true">NORMINV(RAND(),$B$6,$C$6)</f>
        <v>0.268579737993559</v>
      </c>
      <c r="C326" s="21" t="n">
        <f aca="true">MAX(0.03,NORMINV(RAND(),$B$7,$C$7))</f>
        <v>0.211196104301805</v>
      </c>
      <c r="D326" s="33" t="n">
        <f aca="true">MAX(0.08,NORMINV(RAND(),$B$8,$C$8))</f>
        <v>0.134317370194988</v>
      </c>
      <c r="E326" s="48" t="n">
        <f aca="true">MAX(4,NORMINV(RAND(),$B$9,$C$9))</f>
        <v>13.5776424630317</v>
      </c>
      <c r="F326" s="26" t="n">
        <f aca="false">$B$18*(1+(B326+$B$17)/2)^9</f>
        <v>10480.0870767934</v>
      </c>
      <c r="G326" s="26" t="n">
        <f aca="false">F326*C326</f>
        <v>2213.35356336245</v>
      </c>
      <c r="H326" s="26" t="n">
        <f aca="false">E326*G326/(1+D326)^9</f>
        <v>9666.38121969881</v>
      </c>
      <c r="I326" s="26" t="n">
        <f aca="false">$B$13*G326/$B$12*((1+$B$8)/(1+D326))^4.5</f>
        <v>3393.30229305766</v>
      </c>
      <c r="J326" s="26" t="n">
        <f aca="false">H326+I326+$B$14</f>
        <v>15146.0823908387</v>
      </c>
      <c r="K326" s="44" t="n">
        <f aca="false">J326/$B$15</f>
        <v>24.0414006203788</v>
      </c>
    </row>
    <row r="327" customFormat="false" ht="15" hidden="false" customHeight="false" outlineLevel="0" collapsed="false">
      <c r="A327" s="52" t="n">
        <v>287</v>
      </c>
      <c r="B327" s="21" t="n">
        <f aca="true">NORMINV(RAND(),$B$6,$C$6)</f>
        <v>0.108502868520085</v>
      </c>
      <c r="C327" s="21" t="n">
        <f aca="true">MAX(0.03,NORMINV(RAND(),$B$7,$C$7))</f>
        <v>0.142703606088534</v>
      </c>
      <c r="D327" s="33" t="n">
        <f aca="true">MAX(0.08,NORMINV(RAND(),$B$8,$C$8))</f>
        <v>0.148941389881054</v>
      </c>
      <c r="E327" s="48" t="n">
        <f aca="true">MAX(4,NORMINV(RAND(),$B$9,$C$9))</f>
        <v>12.3580293147049</v>
      </c>
      <c r="F327" s="26" t="n">
        <f aca="false">$B$18*(1+(B327+$B$17)/2)^9</f>
        <v>5504.78341142424</v>
      </c>
      <c r="G327" s="26" t="n">
        <f aca="false">F327*C327</f>
        <v>785.55244354658</v>
      </c>
      <c r="H327" s="26" t="n">
        <f aca="false">E327*G327/(1+D327)^9</f>
        <v>2782.55354867287</v>
      </c>
      <c r="I327" s="26" t="n">
        <f aca="false">$B$13*G327/$B$12*((1+$B$8)/(1+D327))^4.5</f>
        <v>1136.87345223486</v>
      </c>
      <c r="J327" s="26" t="n">
        <f aca="false">H327+I327+$B$14</f>
        <v>6005.82587898992</v>
      </c>
      <c r="K327" s="44" t="n">
        <f aca="false">J327/$B$15</f>
        <v>9.53305695077765</v>
      </c>
    </row>
    <row r="328" customFormat="false" ht="15" hidden="false" customHeight="false" outlineLevel="0" collapsed="false">
      <c r="A328" s="52" t="n">
        <v>288</v>
      </c>
      <c r="B328" s="21" t="n">
        <f aca="true">NORMINV(RAND(),$B$6,$C$6)</f>
        <v>0.172473716257608</v>
      </c>
      <c r="C328" s="21" t="n">
        <f aca="true">MAX(0.03,NORMINV(RAND(),$B$7,$C$7))</f>
        <v>0.236728257569781</v>
      </c>
      <c r="D328" s="33" t="n">
        <f aca="true">MAX(0.08,NORMINV(RAND(),$B$8,$C$8))</f>
        <v>0.118815035673245</v>
      </c>
      <c r="E328" s="48" t="n">
        <f aca="true">MAX(4,NORMINV(RAND(),$B$9,$C$9))</f>
        <v>10.3972398012208</v>
      </c>
      <c r="F328" s="26" t="n">
        <f aca="false">$B$18*(1+(B328+$B$17)/2)^9</f>
        <v>7159.72376565874</v>
      </c>
      <c r="G328" s="26" t="n">
        <f aca="false">F328*C328</f>
        <v>1694.90893172535</v>
      </c>
      <c r="H328" s="26" t="n">
        <f aca="false">E328*G328/(1+D328)^9</f>
        <v>6415.63696834039</v>
      </c>
      <c r="I328" s="26" t="n">
        <f aca="false">$B$13*G328/$B$12*((1+$B$8)/(1+D328))^4.5</f>
        <v>2764.46708110253</v>
      </c>
      <c r="J328" s="26" t="n">
        <f aca="false">H328+I328+$B$14</f>
        <v>11266.5029275251</v>
      </c>
      <c r="K328" s="44" t="n">
        <f aca="false">J328/$B$15</f>
        <v>17.8833379801986</v>
      </c>
    </row>
    <row r="329" customFormat="false" ht="15" hidden="false" customHeight="false" outlineLevel="0" collapsed="false">
      <c r="A329" s="52" t="n">
        <v>289</v>
      </c>
      <c r="B329" s="21" t="n">
        <f aca="true">NORMINV(RAND(),$B$6,$C$6)</f>
        <v>0.21320996633993</v>
      </c>
      <c r="C329" s="21" t="n">
        <f aca="true">MAX(0.03,NORMINV(RAND(),$B$7,$C$7))</f>
        <v>0.232727569286167</v>
      </c>
      <c r="D329" s="33" t="n">
        <f aca="true">MAX(0.08,NORMINV(RAND(),$B$8,$C$8))</f>
        <v>0.125523614448521</v>
      </c>
      <c r="E329" s="48" t="n">
        <f aca="true">MAX(4,NORMINV(RAND(),$B$9,$C$9))</f>
        <v>13.831830607873</v>
      </c>
      <c r="F329" s="26" t="n">
        <f aca="false">$B$18*(1+(B329+$B$17)/2)^9</f>
        <v>8431.2154460609</v>
      </c>
      <c r="G329" s="26" t="n">
        <f aca="false">F329*C329</f>
        <v>1962.17627688974</v>
      </c>
      <c r="H329" s="26" t="n">
        <f aca="false">E329*G329/(1+D329)^9</f>
        <v>9363.24054425103</v>
      </c>
      <c r="I329" s="26" t="n">
        <f aca="false">$B$13*G329/$B$12*((1+$B$8)/(1+D329))^4.5</f>
        <v>3115.44184030889</v>
      </c>
      <c r="J329" s="26" t="n">
        <f aca="false">H329+I329+$B$14</f>
        <v>14565.0812626421</v>
      </c>
      <c r="K329" s="44" t="n">
        <f aca="false">J329/$B$15</f>
        <v>23.1191766073684</v>
      </c>
    </row>
    <row r="330" customFormat="false" ht="15" hidden="false" customHeight="false" outlineLevel="0" collapsed="false">
      <c r="A330" s="52" t="n">
        <v>290</v>
      </c>
      <c r="B330" s="21" t="n">
        <f aca="true">NORMINV(RAND(),$B$6,$C$6)</f>
        <v>0.162584781124048</v>
      </c>
      <c r="C330" s="21" t="n">
        <f aca="true">MAX(0.03,NORMINV(RAND(),$B$7,$C$7))</f>
        <v>0.184704657706617</v>
      </c>
      <c r="D330" s="33" t="n">
        <f aca="true">MAX(0.08,NORMINV(RAND(),$B$8,$C$8))</f>
        <v>0.120862364834251</v>
      </c>
      <c r="E330" s="48" t="n">
        <f aca="true">MAX(4,NORMINV(RAND(),$B$9,$C$9))</f>
        <v>8.48582049248018</v>
      </c>
      <c r="F330" s="26" t="n">
        <f aca="false">$B$18*(1+(B330+$B$17)/2)^9</f>
        <v>6878.05829605908</v>
      </c>
      <c r="G330" s="26" t="n">
        <f aca="false">F330*C330</f>
        <v>1270.40940325975</v>
      </c>
      <c r="H330" s="26" t="n">
        <f aca="false">E330*G330/(1+D330)^9</f>
        <v>3860.70800545727</v>
      </c>
      <c r="I330" s="26" t="n">
        <f aca="false">$B$13*G330/$B$12*((1+$B$8)/(1+D330))^4.5</f>
        <v>2055.11337609706</v>
      </c>
      <c r="J330" s="26" t="n">
        <f aca="false">H330+I330+$B$14</f>
        <v>8002.22025963652</v>
      </c>
      <c r="K330" s="44" t="n">
        <f aca="false">J330/$B$15</f>
        <v>12.701936920058</v>
      </c>
    </row>
    <row r="331" customFormat="false" ht="15" hidden="false" customHeight="false" outlineLevel="0" collapsed="false">
      <c r="A331" s="52" t="n">
        <v>291</v>
      </c>
      <c r="B331" s="21" t="n">
        <f aca="true">NORMINV(RAND(),$B$6,$C$6)</f>
        <v>0.172571829192029</v>
      </c>
      <c r="C331" s="21" t="n">
        <f aca="true">MAX(0.03,NORMINV(RAND(),$B$7,$C$7))</f>
        <v>0.147526481292938</v>
      </c>
      <c r="D331" s="33" t="n">
        <f aca="true">MAX(0.08,NORMINV(RAND(),$B$8,$C$8))</f>
        <v>0.13984889191846</v>
      </c>
      <c r="E331" s="48" t="n">
        <f aca="true">MAX(4,NORMINV(RAND(),$B$9,$C$9))</f>
        <v>13.0079295297419</v>
      </c>
      <c r="F331" s="26" t="n">
        <f aca="false">$B$18*(1+(B331+$B$17)/2)^9</f>
        <v>7162.56891520094</v>
      </c>
      <c r="G331" s="26" t="n">
        <f aca="false">F331*C331</f>
        <v>1056.66858907777</v>
      </c>
      <c r="H331" s="26" t="n">
        <f aca="false">E331*G331/(1+D331)^9</f>
        <v>4231.76401023065</v>
      </c>
      <c r="I331" s="26" t="n">
        <f aca="false">$B$13*G331/$B$12*((1+$B$8)/(1+D331))^4.5</f>
        <v>1584.90563590983</v>
      </c>
      <c r="J331" s="26" t="n">
        <f aca="false">H331+I331+$B$14</f>
        <v>7903.06852422268</v>
      </c>
      <c r="K331" s="44" t="n">
        <f aca="false">J331/$B$15</f>
        <v>12.5445532130519</v>
      </c>
    </row>
    <row r="332" customFormat="false" ht="15" hidden="false" customHeight="false" outlineLevel="0" collapsed="false">
      <c r="A332" s="52" t="n">
        <v>292</v>
      </c>
      <c r="B332" s="21" t="n">
        <f aca="true">NORMINV(RAND(),$B$6,$C$6)</f>
        <v>0.283384901600082</v>
      </c>
      <c r="C332" s="21" t="n">
        <f aca="true">MAX(0.03,NORMINV(RAND(),$B$7,$C$7))</f>
        <v>0.226452456248504</v>
      </c>
      <c r="D332" s="33" t="n">
        <f aca="true">MAX(0.08,NORMINV(RAND(),$B$8,$C$8))</f>
        <v>0.142157787978069</v>
      </c>
      <c r="E332" s="48" t="n">
        <f aca="true">MAX(4,NORMINV(RAND(),$B$9,$C$9))</f>
        <v>9.18023106676754</v>
      </c>
      <c r="F332" s="26" t="n">
        <f aca="false">$B$18*(1+(B332+$B$17)/2)^9</f>
        <v>11097.9819812602</v>
      </c>
      <c r="G332" s="26" t="n">
        <f aca="false">F332*C332</f>
        <v>2513.16527905802</v>
      </c>
      <c r="H332" s="26" t="n">
        <f aca="false">E332*G332/(1+D332)^9</f>
        <v>6974.92777517359</v>
      </c>
      <c r="I332" s="26" t="n">
        <f aca="false">$B$13*G332/$B$12*((1+$B$8)/(1+D332))^4.5</f>
        <v>3735.34702261845</v>
      </c>
      <c r="J332" s="26" t="n">
        <f aca="false">H332+I332+$B$14</f>
        <v>12796.6736758742</v>
      </c>
      <c r="K332" s="44" t="n">
        <f aca="false">J332/$B$15</f>
        <v>20.3121804378956</v>
      </c>
    </row>
    <row r="333" customFormat="false" ht="15" hidden="false" customHeight="false" outlineLevel="0" collapsed="false">
      <c r="A333" s="52" t="n">
        <v>293</v>
      </c>
      <c r="B333" s="21" t="n">
        <f aca="true">NORMINV(RAND(),$B$6,$C$6)</f>
        <v>0.226526991628642</v>
      </c>
      <c r="C333" s="21" t="n">
        <f aca="true">MAX(0.03,NORMINV(RAND(),$B$7,$C$7))</f>
        <v>0.156418919715492</v>
      </c>
      <c r="D333" s="33" t="n">
        <f aca="true">MAX(0.08,NORMINV(RAND(),$B$8,$C$8))</f>
        <v>0.12763697289855</v>
      </c>
      <c r="E333" s="48" t="n">
        <f aca="true">MAX(4,NORMINV(RAND(),$B$9,$C$9))</f>
        <v>12.8780791076911</v>
      </c>
      <c r="F333" s="26" t="n">
        <f aca="false">$B$18*(1+(B333+$B$17)/2)^9</f>
        <v>8888.3633463514</v>
      </c>
      <c r="G333" s="26" t="n">
        <f aca="false">F333*C333</f>
        <v>1390.30819267507</v>
      </c>
      <c r="H333" s="26" t="n">
        <f aca="false">E333*G333/(1+D333)^9</f>
        <v>6073.49120588241</v>
      </c>
      <c r="I333" s="26" t="n">
        <f aca="false">$B$13*G333/$B$12*((1+$B$8)/(1+D333))^4.5</f>
        <v>2188.90331266186</v>
      </c>
      <c r="J333" s="26" t="n">
        <f aca="false">H333+I333+$B$14</f>
        <v>10348.7933966265</v>
      </c>
      <c r="K333" s="44" t="n">
        <f aca="false">J333/$B$15</f>
        <v>16.4266561851214</v>
      </c>
    </row>
    <row r="334" customFormat="false" ht="15" hidden="false" customHeight="false" outlineLevel="0" collapsed="false">
      <c r="A334" s="52" t="n">
        <v>294</v>
      </c>
      <c r="B334" s="21" t="n">
        <f aca="true">NORMINV(RAND(),$B$6,$C$6)</f>
        <v>0.21358697555998</v>
      </c>
      <c r="C334" s="21" t="n">
        <f aca="true">MAX(0.03,NORMINV(RAND(),$B$7,$C$7))</f>
        <v>0.228100712577478</v>
      </c>
      <c r="D334" s="33" t="n">
        <f aca="true">MAX(0.08,NORMINV(RAND(),$B$8,$C$8))</f>
        <v>0.133825896472722</v>
      </c>
      <c r="E334" s="48" t="n">
        <f aca="true">MAX(4,NORMINV(RAND(),$B$9,$C$9))</f>
        <v>13.8877306626852</v>
      </c>
      <c r="F334" s="26" t="n">
        <f aca="false">$B$18*(1+(B334+$B$17)/2)^9</f>
        <v>8443.86424295429</v>
      </c>
      <c r="G334" s="26" t="n">
        <f aca="false">F334*C334</f>
        <v>1926.05145072536</v>
      </c>
      <c r="H334" s="26" t="n">
        <f aca="false">E334*G334/(1+D334)^9</f>
        <v>8637.37591680083</v>
      </c>
      <c r="I334" s="26" t="n">
        <f aca="false">$B$13*G334/$B$12*((1+$B$8)/(1+D334))^4.5</f>
        <v>2958.60228651483</v>
      </c>
      <c r="J334" s="26" t="n">
        <f aca="false">H334+I334+$B$14</f>
        <v>13682.3770813978</v>
      </c>
      <c r="K334" s="44" t="n">
        <f aca="false">J334/$B$15</f>
        <v>21.7180588593617</v>
      </c>
    </row>
    <row r="335" customFormat="false" ht="15" hidden="false" customHeight="false" outlineLevel="0" collapsed="false">
      <c r="A335" s="52" t="n">
        <v>295</v>
      </c>
      <c r="B335" s="21" t="n">
        <f aca="true">NORMINV(RAND(),$B$6,$C$6)</f>
        <v>0.230462573621434</v>
      </c>
      <c r="C335" s="21" t="n">
        <f aca="true">MAX(0.03,NORMINV(RAND(),$B$7,$C$7))</f>
        <v>0.258184789211036</v>
      </c>
      <c r="D335" s="33" t="n">
        <f aca="true">MAX(0.08,NORMINV(RAND(),$B$8,$C$8))</f>
        <v>0.131779762138891</v>
      </c>
      <c r="E335" s="48" t="n">
        <f aca="true">MAX(4,NORMINV(RAND(),$B$9,$C$9))</f>
        <v>12.3842532841941</v>
      </c>
      <c r="F335" s="26" t="n">
        <f aca="false">$B$18*(1+(B335+$B$17)/2)^9</f>
        <v>9027.61660601502</v>
      </c>
      <c r="G335" s="26" t="n">
        <f aca="false">F335*C335</f>
        <v>2330.79329050204</v>
      </c>
      <c r="H335" s="26" t="n">
        <f aca="false">E335*G335/(1+D335)^9</f>
        <v>9473.62675437261</v>
      </c>
      <c r="I335" s="26" t="n">
        <f aca="false">$B$13*G335/$B$12*((1+$B$8)/(1+D335))^4.5</f>
        <v>3609.54516390405</v>
      </c>
      <c r="J335" s="26" t="n">
        <f aca="false">H335+I335+$B$14</f>
        <v>15169.5707963589</v>
      </c>
      <c r="K335" s="44" t="n">
        <f aca="false">J335/$B$15</f>
        <v>24.0786838037442</v>
      </c>
    </row>
    <row r="336" customFormat="false" ht="15" hidden="false" customHeight="false" outlineLevel="0" collapsed="false">
      <c r="A336" s="52" t="n">
        <v>296</v>
      </c>
      <c r="B336" s="21" t="n">
        <f aca="true">NORMINV(RAND(),$B$6,$C$6)</f>
        <v>0.226010634955723</v>
      </c>
      <c r="C336" s="21" t="n">
        <f aca="true">MAX(0.03,NORMINV(RAND(),$B$7,$C$7))</f>
        <v>0.198922206934403</v>
      </c>
      <c r="D336" s="33" t="n">
        <f aca="true">MAX(0.08,NORMINV(RAND(),$B$8,$C$8))</f>
        <v>0.134603134732214</v>
      </c>
      <c r="E336" s="48" t="n">
        <f aca="true">MAX(4,NORMINV(RAND(),$B$9,$C$9))</f>
        <v>11.0144764328898</v>
      </c>
      <c r="F336" s="26" t="n">
        <f aca="false">$B$18*(1+(B336+$B$17)/2)^9</f>
        <v>8870.23545430753</v>
      </c>
      <c r="G336" s="26" t="n">
        <f aca="false">F336*C336</f>
        <v>1764.48681259864</v>
      </c>
      <c r="H336" s="26" t="n">
        <f aca="false">E336*G336/(1+D336)^9</f>
        <v>6237.1539368633</v>
      </c>
      <c r="I336" s="26" t="n">
        <f aca="false">$B$13*G336/$B$12*((1+$B$8)/(1+D336))^4.5</f>
        <v>2702.07804775268</v>
      </c>
      <c r="J336" s="26" t="n">
        <f aca="false">H336+I336+$B$14</f>
        <v>11025.6308626982</v>
      </c>
      <c r="K336" s="44" t="n">
        <f aca="false">J336/$B$15</f>
        <v>17.5010013693622</v>
      </c>
    </row>
    <row r="337" customFormat="false" ht="15" hidden="false" customHeight="false" outlineLevel="0" collapsed="false">
      <c r="A337" s="52" t="n">
        <v>297</v>
      </c>
      <c r="B337" s="21" t="n">
        <f aca="true">NORMINV(RAND(),$B$6,$C$6)</f>
        <v>0.169639223616619</v>
      </c>
      <c r="C337" s="21" t="n">
        <f aca="true">MAX(0.03,NORMINV(RAND(),$B$7,$C$7))</f>
        <v>0.238829916554594</v>
      </c>
      <c r="D337" s="33" t="n">
        <f aca="true">MAX(0.08,NORMINV(RAND(),$B$8,$C$8))</f>
        <v>0.130018964921213</v>
      </c>
      <c r="E337" s="48" t="n">
        <f aca="true">MAX(4,NORMINV(RAND(),$B$9,$C$9))</f>
        <v>11.0571643017318</v>
      </c>
      <c r="F337" s="26" t="n">
        <f aca="false">$B$18*(1+(B337+$B$17)/2)^9</f>
        <v>7077.95962761167</v>
      </c>
      <c r="G337" s="26" t="n">
        <f aca="false">F337*C337</f>
        <v>1690.42850723928</v>
      </c>
      <c r="H337" s="26" t="n">
        <f aca="false">E337*G337/(1+D337)^9</f>
        <v>6221.12576200761</v>
      </c>
      <c r="I337" s="26" t="n">
        <f aca="false">$B$13*G337/$B$12*((1+$B$8)/(1+D337))^4.5</f>
        <v>2636.26091741329</v>
      </c>
      <c r="J337" s="26" t="n">
        <f aca="false">H337+I337+$B$14</f>
        <v>10943.7855575031</v>
      </c>
      <c r="K337" s="44" t="n">
        <f aca="false">J337/$B$15</f>
        <v>17.3710881865129</v>
      </c>
    </row>
    <row r="338" customFormat="false" ht="15" hidden="false" customHeight="false" outlineLevel="0" collapsed="false">
      <c r="A338" s="52" t="n">
        <v>298</v>
      </c>
      <c r="B338" s="21" t="n">
        <f aca="true">NORMINV(RAND(),$B$6,$C$6)</f>
        <v>0.170044507795614</v>
      </c>
      <c r="C338" s="21" t="n">
        <f aca="true">MAX(0.03,NORMINV(RAND(),$B$7,$C$7))</f>
        <v>0.203598521998453</v>
      </c>
      <c r="D338" s="33" t="n">
        <f aca="true">MAX(0.08,NORMINV(RAND(),$B$8,$C$8))</f>
        <v>0.129638400912172</v>
      </c>
      <c r="E338" s="48" t="n">
        <f aca="true">MAX(4,NORMINV(RAND(),$B$9,$C$9))</f>
        <v>12.8963921848735</v>
      </c>
      <c r="F338" s="26" t="n">
        <f aca="false">$B$18*(1+(B338+$B$17)/2)^9</f>
        <v>7089.5994153665</v>
      </c>
      <c r="G338" s="26" t="n">
        <f aca="false">F338*C338</f>
        <v>1443.43196252971</v>
      </c>
      <c r="H338" s="26" t="n">
        <f aca="false">E338*G338/(1+D338)^9</f>
        <v>6214.54766475744</v>
      </c>
      <c r="I338" s="26" t="n">
        <f aca="false">$B$13*G338/$B$12*((1+$B$8)/(1+D338))^4.5</f>
        <v>2254.47894159548</v>
      </c>
      <c r="J338" s="26" t="n">
        <f aca="false">H338+I338+$B$14</f>
        <v>10555.4254844351</v>
      </c>
      <c r="K338" s="44" t="n">
        <f aca="false">J338/$B$15</f>
        <v>16.7546436260875</v>
      </c>
    </row>
    <row r="339" customFormat="false" ht="15" hidden="false" customHeight="false" outlineLevel="0" collapsed="false">
      <c r="A339" s="52" t="n">
        <v>299</v>
      </c>
      <c r="B339" s="21" t="n">
        <f aca="true">NORMINV(RAND(),$B$6,$C$6)</f>
        <v>0.232159112470229</v>
      </c>
      <c r="C339" s="21" t="n">
        <f aca="true">MAX(0.03,NORMINV(RAND(),$B$7,$C$7))</f>
        <v>0.214282920355464</v>
      </c>
      <c r="D339" s="33" t="n">
        <f aca="true">MAX(0.08,NORMINV(RAND(),$B$8,$C$8))</f>
        <v>0.146258915746137</v>
      </c>
      <c r="E339" s="48" t="n">
        <f aca="true">MAX(4,NORMINV(RAND(),$B$9,$C$9))</f>
        <v>11.8370276286823</v>
      </c>
      <c r="F339" s="26" t="n">
        <f aca="false">$B$18*(1+(B339+$B$17)/2)^9</f>
        <v>9088.24124439087</v>
      </c>
      <c r="G339" s="26" t="n">
        <f aca="false">F339*C339</f>
        <v>1947.45487474305</v>
      </c>
      <c r="H339" s="26" t="n">
        <f aca="false">E339*G339/(1+D339)^9</f>
        <v>6747.8516219442</v>
      </c>
      <c r="I339" s="26" t="n">
        <f aca="false">$B$13*G339/$B$12*((1+$B$8)/(1+D339))^4.5</f>
        <v>2848.21330915145</v>
      </c>
      <c r="J339" s="26" t="n">
        <f aca="false">H339+I339+$B$14</f>
        <v>11682.4638091778</v>
      </c>
      <c r="K339" s="44" t="n">
        <f aca="false">J339/$B$15</f>
        <v>18.5435933479013</v>
      </c>
    </row>
    <row r="340" customFormat="false" ht="15" hidden="false" customHeight="false" outlineLevel="0" collapsed="false">
      <c r="A340" s="52" t="n">
        <v>300</v>
      </c>
      <c r="B340" s="21" t="n">
        <f aca="true">NORMINV(RAND(),$B$6,$C$6)</f>
        <v>0.24913787798764</v>
      </c>
      <c r="C340" s="21" t="n">
        <f aca="true">MAX(0.03,NORMINV(RAND(),$B$7,$C$7))</f>
        <v>0.197749886068547</v>
      </c>
      <c r="D340" s="33" t="n">
        <f aca="true">MAX(0.08,NORMINV(RAND(),$B$8,$C$8))</f>
        <v>0.135886276127679</v>
      </c>
      <c r="E340" s="48" t="n">
        <f aca="true">MAX(4,NORMINV(RAND(),$B$9,$C$9))</f>
        <v>11.9151617056118</v>
      </c>
      <c r="F340" s="26" t="n">
        <f aca="false">$B$18*(1+(B340+$B$17)/2)^9</f>
        <v>9715.1992673211</v>
      </c>
      <c r="G340" s="26" t="n">
        <f aca="false">F340*C340</f>
        <v>1921.17954824598</v>
      </c>
      <c r="H340" s="26" t="n">
        <f aca="false">E340*G340/(1+D340)^9</f>
        <v>7272.00592251268</v>
      </c>
      <c r="I340" s="26" t="n">
        <f aca="false">$B$13*G340/$B$12*((1+$B$8)/(1+D340))^4.5</f>
        <v>2927.1063192889</v>
      </c>
      <c r="J340" s="26" t="n">
        <f aca="false">H340+I340+$B$14</f>
        <v>12285.5111198838</v>
      </c>
      <c r="K340" s="44" t="n">
        <f aca="false">J340/$B$15</f>
        <v>19.5008113014028</v>
      </c>
    </row>
    <row r="341" customFormat="false" ht="15" hidden="false" customHeight="false" outlineLevel="0" collapsed="false">
      <c r="A341" s="52" t="n">
        <v>301</v>
      </c>
      <c r="B341" s="21" t="n">
        <f aca="true">NORMINV(RAND(),$B$6,$C$6)</f>
        <v>0.148032898714617</v>
      </c>
      <c r="C341" s="21" t="n">
        <f aca="true">MAX(0.03,NORMINV(RAND(),$B$7,$C$7))</f>
        <v>0.190205336459152</v>
      </c>
      <c r="D341" s="33" t="n">
        <f aca="true">MAX(0.08,NORMINV(RAND(),$B$8,$C$8))</f>
        <v>0.13585711070703</v>
      </c>
      <c r="E341" s="48" t="n">
        <f aca="true">MAX(4,NORMINV(RAND(),$B$9,$C$9))</f>
        <v>14.8944202700975</v>
      </c>
      <c r="F341" s="26" t="n">
        <f aca="false">$B$18*(1+(B341+$B$17)/2)^9</f>
        <v>6481.48111760804</v>
      </c>
      <c r="G341" s="26" t="n">
        <f aca="false">F341*C341</f>
        <v>1232.81229672828</v>
      </c>
      <c r="H341" s="26" t="n">
        <f aca="false">E341*G341/(1+D341)^9</f>
        <v>5834.5484592804</v>
      </c>
      <c r="I341" s="26" t="n">
        <f aca="false">$B$13*G341/$B$12*((1+$B$8)/(1+D341))^4.5</f>
        <v>1878.52803475599</v>
      </c>
      <c r="J341" s="26" t="n">
        <f aca="false">H341+I341+$B$14</f>
        <v>9799.47537211859</v>
      </c>
      <c r="K341" s="44" t="n">
        <f aca="false">J341/$B$15</f>
        <v>15.5547228128866</v>
      </c>
    </row>
    <row r="342" customFormat="false" ht="15" hidden="false" customHeight="false" outlineLevel="0" collapsed="false">
      <c r="A342" s="52" t="n">
        <v>302</v>
      </c>
      <c r="B342" s="21" t="n">
        <f aca="true">NORMINV(RAND(),$B$6,$C$6)</f>
        <v>0.171273479661391</v>
      </c>
      <c r="C342" s="21" t="n">
        <f aca="true">MAX(0.03,NORMINV(RAND(),$B$7,$C$7))</f>
        <v>0.201531568939236</v>
      </c>
      <c r="D342" s="33" t="n">
        <f aca="true">MAX(0.08,NORMINV(RAND(),$B$8,$C$8))</f>
        <v>0.136807247319361</v>
      </c>
      <c r="E342" s="48" t="n">
        <f aca="true">MAX(4,NORMINV(RAND(),$B$9,$C$9))</f>
        <v>15.0878390064246</v>
      </c>
      <c r="F342" s="26" t="n">
        <f aca="false">$B$18*(1+(B342+$B$17)/2)^9</f>
        <v>7124.99966380119</v>
      </c>
      <c r="G342" s="26" t="n">
        <f aca="false">F342*C342</f>
        <v>1435.91236093738</v>
      </c>
      <c r="H342" s="26" t="n">
        <f aca="false">E342*G342/(1+D342)^9</f>
        <v>6832.40297046627</v>
      </c>
      <c r="I342" s="26" t="n">
        <f aca="false">$B$13*G342/$B$12*((1+$B$8)/(1+D342))^4.5</f>
        <v>2179.7895244817</v>
      </c>
      <c r="J342" s="26" t="n">
        <f aca="false">H342+I342+$B$14</f>
        <v>11098.5913730302</v>
      </c>
      <c r="K342" s="44" t="n">
        <f aca="false">J342/$B$15</f>
        <v>17.6168117032225</v>
      </c>
    </row>
    <row r="343" customFormat="false" ht="15" hidden="false" customHeight="false" outlineLevel="0" collapsed="false">
      <c r="A343" s="52" t="n">
        <v>303</v>
      </c>
      <c r="B343" s="21" t="n">
        <f aca="true">NORMINV(RAND(),$B$6,$C$6)</f>
        <v>0.176383574669181</v>
      </c>
      <c r="C343" s="21" t="n">
        <f aca="true">MAX(0.03,NORMINV(RAND(),$B$7,$C$7))</f>
        <v>0.199029046656386</v>
      </c>
      <c r="D343" s="33" t="n">
        <f aca="true">MAX(0.08,NORMINV(RAND(),$B$8,$C$8))</f>
        <v>0.132068324177322</v>
      </c>
      <c r="E343" s="48" t="n">
        <f aca="true">MAX(4,NORMINV(RAND(),$B$9,$C$9))</f>
        <v>10.5434655681595</v>
      </c>
      <c r="F343" s="26" t="n">
        <f aca="false">$B$18*(1+(B343+$B$17)/2)^9</f>
        <v>7273.88563423737</v>
      </c>
      <c r="G343" s="26" t="n">
        <f aca="false">F343*C343</f>
        <v>1447.71452326985</v>
      </c>
      <c r="H343" s="26" t="n">
        <f aca="false">E343*G343/(1+D343)^9</f>
        <v>4998.18775448891</v>
      </c>
      <c r="I343" s="26" t="n">
        <f aca="false">$B$13*G343/$B$12*((1+$B$8)/(1+D343))^4.5</f>
        <v>2239.40908091083</v>
      </c>
      <c r="J343" s="26" t="n">
        <f aca="false">H343+I343+$B$14</f>
        <v>9323.99571348194</v>
      </c>
      <c r="K343" s="44" t="n">
        <f aca="false">J343/$B$15</f>
        <v>14.7999931960031</v>
      </c>
    </row>
    <row r="344" customFormat="false" ht="15" hidden="false" customHeight="false" outlineLevel="0" collapsed="false">
      <c r="A344" s="52" t="n">
        <v>304</v>
      </c>
      <c r="B344" s="21" t="n">
        <f aca="true">NORMINV(RAND(),$B$6,$C$6)</f>
        <v>0.15543081953482</v>
      </c>
      <c r="C344" s="21" t="n">
        <f aca="true">MAX(0.03,NORMINV(RAND(),$B$7,$C$7))</f>
        <v>0.191296482454074</v>
      </c>
      <c r="D344" s="33" t="n">
        <f aca="true">MAX(0.08,NORMINV(RAND(),$B$8,$C$8))</f>
        <v>0.135814428271325</v>
      </c>
      <c r="E344" s="48" t="n">
        <f aca="true">MAX(4,NORMINV(RAND(),$B$9,$C$9))</f>
        <v>9.95960614050366</v>
      </c>
      <c r="F344" s="26" t="n">
        <f aca="false">$B$18*(1+(B344+$B$17)/2)^9</f>
        <v>6680.47769519542</v>
      </c>
      <c r="G344" s="26" t="n">
        <f aca="false">F344*C344</f>
        <v>1277.95188420379</v>
      </c>
      <c r="H344" s="26" t="n">
        <f aca="false">E344*G344/(1+D344)^9</f>
        <v>4045.66795782384</v>
      </c>
      <c r="I344" s="26" t="n">
        <f aca="false">$B$13*G344/$B$12*((1+$B$8)/(1+D344))^4.5</f>
        <v>1947.63991052819</v>
      </c>
      <c r="J344" s="26" t="n">
        <f aca="false">H344+I344+$B$14</f>
        <v>8079.70674643422</v>
      </c>
      <c r="K344" s="44" t="n">
        <f aca="false">J344/$B$15</f>
        <v>12.8249313435464</v>
      </c>
    </row>
    <row r="345" customFormat="false" ht="15" hidden="false" customHeight="false" outlineLevel="0" collapsed="false">
      <c r="A345" s="52" t="n">
        <v>305</v>
      </c>
      <c r="B345" s="21" t="n">
        <f aca="true">NORMINV(RAND(),$B$6,$C$6)</f>
        <v>0.18607154118836</v>
      </c>
      <c r="C345" s="21" t="n">
        <f aca="true">MAX(0.03,NORMINV(RAND(),$B$7,$C$7))</f>
        <v>0.177928995552696</v>
      </c>
      <c r="D345" s="33" t="n">
        <f aca="true">MAX(0.08,NORMINV(RAND(),$B$8,$C$8))</f>
        <v>0.139093138149652</v>
      </c>
      <c r="E345" s="48" t="n">
        <f aca="true">MAX(4,NORMINV(RAND(),$B$9,$C$9))</f>
        <v>15.1431254329327</v>
      </c>
      <c r="F345" s="26" t="n">
        <f aca="false">$B$18*(1+(B345+$B$17)/2)^9</f>
        <v>7563.76128057587</v>
      </c>
      <c r="G345" s="26" t="n">
        <f aca="false">F345*C345</f>
        <v>1345.81244725323</v>
      </c>
      <c r="H345" s="26" t="n">
        <f aca="false">E345*G345/(1+D345)^9</f>
        <v>6311.99925815604</v>
      </c>
      <c r="I345" s="26" t="n">
        <f aca="false">$B$13*G345/$B$12*((1+$B$8)/(1+D345))^4.5</f>
        <v>2024.62855804994</v>
      </c>
      <c r="J345" s="26" t="n">
        <f aca="false">H345+I345+$B$14</f>
        <v>10423.0266942882</v>
      </c>
      <c r="K345" s="44" t="n">
        <f aca="false">J345/$B$15</f>
        <v>16.5444868163304</v>
      </c>
    </row>
    <row r="346" customFormat="false" ht="15" hidden="false" customHeight="false" outlineLevel="0" collapsed="false">
      <c r="A346" s="52" t="n">
        <v>306</v>
      </c>
      <c r="B346" s="21" t="n">
        <f aca="true">NORMINV(RAND(),$B$6,$C$6)</f>
        <v>0.183552405657583</v>
      </c>
      <c r="C346" s="21" t="n">
        <f aca="true">MAX(0.03,NORMINV(RAND(),$B$7,$C$7))</f>
        <v>0.225613666823197</v>
      </c>
      <c r="D346" s="33" t="n">
        <f aca="true">MAX(0.08,NORMINV(RAND(),$B$8,$C$8))</f>
        <v>0.124016669753493</v>
      </c>
      <c r="E346" s="48" t="n">
        <f aca="true">MAX(4,NORMINV(RAND(),$B$9,$C$9))</f>
        <v>10.9305489442908</v>
      </c>
      <c r="F346" s="26" t="n">
        <f aca="false">$B$18*(1+(B346+$B$17)/2)^9</f>
        <v>7487.41466119592</v>
      </c>
      <c r="G346" s="26" t="n">
        <f aca="false">F346*C346</f>
        <v>1689.26307673817</v>
      </c>
      <c r="H346" s="26" t="n">
        <f aca="false">E346*G346/(1+D346)^9</f>
        <v>6447.39820398682</v>
      </c>
      <c r="I346" s="26" t="n">
        <f aca="false">$B$13*G346/$B$12*((1+$B$8)/(1+D346))^4.5</f>
        <v>2698.34380285129</v>
      </c>
      <c r="J346" s="26" t="n">
        <f aca="false">H346+I346+$B$14</f>
        <v>11232.1408849203</v>
      </c>
      <c r="K346" s="44" t="n">
        <f aca="false">J346/$B$15</f>
        <v>17.8287950554291</v>
      </c>
    </row>
    <row r="347" customFormat="false" ht="15" hidden="false" customHeight="false" outlineLevel="0" collapsed="false">
      <c r="A347" s="52" t="n">
        <v>307</v>
      </c>
      <c r="B347" s="21" t="n">
        <f aca="true">NORMINV(RAND(),$B$6,$C$6)</f>
        <v>0.246485864502987</v>
      </c>
      <c r="C347" s="21" t="n">
        <f aca="true">MAX(0.03,NORMINV(RAND(),$B$7,$C$7))</f>
        <v>0.18609409995121</v>
      </c>
      <c r="D347" s="33" t="n">
        <f aca="true">MAX(0.08,NORMINV(RAND(),$B$8,$C$8))</f>
        <v>0.142193117830254</v>
      </c>
      <c r="E347" s="48" t="n">
        <f aca="true">MAX(4,NORMINV(RAND(),$B$9,$C$9))</f>
        <v>12.8287967239371</v>
      </c>
      <c r="F347" s="26" t="n">
        <f aca="false">$B$18*(1+(B347+$B$17)/2)^9</f>
        <v>9614.80662092198</v>
      </c>
      <c r="G347" s="26" t="n">
        <f aca="false">F347*C347</f>
        <v>1789.25878432541</v>
      </c>
      <c r="H347" s="26" t="n">
        <f aca="false">E347*G347/(1+D347)^9</f>
        <v>6937.50374170909</v>
      </c>
      <c r="I347" s="26" t="n">
        <f aca="false">$B$13*G347/$B$12*((1+$B$8)/(1+D347))^4.5</f>
        <v>2659.02616416619</v>
      </c>
      <c r="J347" s="26" t="n">
        <f aca="false">H347+I347+$B$14</f>
        <v>11682.9287839575</v>
      </c>
      <c r="K347" s="44" t="n">
        <f aca="false">J347/$B$15</f>
        <v>18.5443314031071</v>
      </c>
    </row>
    <row r="348" customFormat="false" ht="15" hidden="false" customHeight="false" outlineLevel="0" collapsed="false">
      <c r="A348" s="52" t="n">
        <v>308</v>
      </c>
      <c r="B348" s="21" t="n">
        <f aca="true">NORMINV(RAND(),$B$6,$C$6)</f>
        <v>0.176271417204075</v>
      </c>
      <c r="C348" s="21" t="n">
        <f aca="true">MAX(0.03,NORMINV(RAND(),$B$7,$C$7))</f>
        <v>0.145886276882579</v>
      </c>
      <c r="D348" s="33" t="n">
        <f aca="true">MAX(0.08,NORMINV(RAND(),$B$8,$C$8))</f>
        <v>0.148577968093198</v>
      </c>
      <c r="E348" s="48" t="n">
        <f aca="true">MAX(4,NORMINV(RAND(),$B$9,$C$9))</f>
        <v>11.6653561098419</v>
      </c>
      <c r="F348" s="26" t="n">
        <f aca="false">$B$18*(1+(B348+$B$17)/2)^9</f>
        <v>7270.58840105169</v>
      </c>
      <c r="G348" s="26" t="n">
        <f aca="false">F348*C348</f>
        <v>1060.67907257509</v>
      </c>
      <c r="H348" s="26" t="n">
        <f aca="false">E348*G348/(1+D348)^9</f>
        <v>3556.62165498154</v>
      </c>
      <c r="I348" s="26" t="n">
        <f aca="false">$B$13*G348/$B$12*((1+$B$8)/(1+D348))^4.5</f>
        <v>1537.23127672025</v>
      </c>
      <c r="J348" s="26" t="n">
        <f aca="false">H348+I348+$B$14</f>
        <v>7180.25180978398</v>
      </c>
      <c r="K348" s="44" t="n">
        <f aca="false">J348/$B$15</f>
        <v>11.3972250948952</v>
      </c>
    </row>
    <row r="349" customFormat="false" ht="15" hidden="false" customHeight="false" outlineLevel="0" collapsed="false">
      <c r="A349" s="52" t="n">
        <v>309</v>
      </c>
      <c r="B349" s="21" t="n">
        <f aca="true">NORMINV(RAND(),$B$6,$C$6)</f>
        <v>0.220452319740526</v>
      </c>
      <c r="C349" s="21" t="n">
        <f aca="true">MAX(0.03,NORMINV(RAND(),$B$7,$C$7))</f>
        <v>0.206879763824457</v>
      </c>
      <c r="D349" s="33" t="n">
        <f aca="true">MAX(0.08,NORMINV(RAND(),$B$8,$C$8))</f>
        <v>0.143344904429853</v>
      </c>
      <c r="E349" s="48" t="n">
        <f aca="true">MAX(4,NORMINV(RAND(),$B$9,$C$9))</f>
        <v>10.2802111942632</v>
      </c>
      <c r="F349" s="26" t="n">
        <f aca="false">$B$18*(1+(B349+$B$17)/2)^9</f>
        <v>8677.16865650291</v>
      </c>
      <c r="G349" s="26" t="n">
        <f aca="false">F349*C349</f>
        <v>1795.1306023223</v>
      </c>
      <c r="H349" s="26" t="n">
        <f aca="false">E349*G349/(1+D349)^9</f>
        <v>5527.16897867671</v>
      </c>
      <c r="I349" s="26" t="n">
        <f aca="false">$B$13*G349/$B$12*((1+$B$8)/(1+D349))^4.5</f>
        <v>2655.68008201001</v>
      </c>
      <c r="J349" s="26" t="n">
        <f aca="false">H349+I349+$B$14</f>
        <v>10269.2479387689</v>
      </c>
      <c r="K349" s="44" t="n">
        <f aca="false">J349/$B$15</f>
        <v>16.3003935536015</v>
      </c>
    </row>
    <row r="350" customFormat="false" ht="15" hidden="false" customHeight="false" outlineLevel="0" collapsed="false">
      <c r="A350" s="52" t="n">
        <v>310</v>
      </c>
      <c r="B350" s="21" t="n">
        <f aca="true">NORMINV(RAND(),$B$6,$C$6)</f>
        <v>0.164548877134965</v>
      </c>
      <c r="C350" s="21" t="n">
        <f aca="true">MAX(0.03,NORMINV(RAND(),$B$7,$C$7))</f>
        <v>0.179028853111229</v>
      </c>
      <c r="D350" s="33" t="n">
        <f aca="true">MAX(0.08,NORMINV(RAND(),$B$8,$C$8))</f>
        <v>0.134620660612641</v>
      </c>
      <c r="E350" s="48" t="n">
        <f aca="true">MAX(4,NORMINV(RAND(),$B$9,$C$9))</f>
        <v>12.6210214115881</v>
      </c>
      <c r="F350" s="26" t="n">
        <f aca="false">$B$18*(1+(B350+$B$17)/2)^9</f>
        <v>6933.2042547269</v>
      </c>
      <c r="G350" s="26" t="n">
        <f aca="false">F350*C350</f>
        <v>1241.24360610965</v>
      </c>
      <c r="H350" s="26" t="n">
        <f aca="false">E350*G350/(1+D350)^9</f>
        <v>5026.84322116484</v>
      </c>
      <c r="I350" s="26" t="n">
        <f aca="false">$B$13*G350/$B$12*((1+$B$8)/(1+D350))^4.5</f>
        <v>1900.66820176043</v>
      </c>
      <c r="J350" s="26" t="n">
        <f aca="false">H350+I350+$B$14</f>
        <v>9013.91030100746</v>
      </c>
      <c r="K350" s="44" t="n">
        <f aca="false">J350/$B$15</f>
        <v>14.3077941285833</v>
      </c>
    </row>
    <row r="351" customFormat="false" ht="15" hidden="false" customHeight="false" outlineLevel="0" collapsed="false">
      <c r="A351" s="52" t="n">
        <v>311</v>
      </c>
      <c r="B351" s="21" t="n">
        <f aca="true">NORMINV(RAND(),$B$6,$C$6)</f>
        <v>0.143392294193666</v>
      </c>
      <c r="C351" s="21" t="n">
        <f aca="true">MAX(0.03,NORMINV(RAND(),$B$7,$C$7))</f>
        <v>0.20831822656343</v>
      </c>
      <c r="D351" s="33" t="n">
        <f aca="true">MAX(0.08,NORMINV(RAND(),$B$8,$C$8))</f>
        <v>0.12727533852857</v>
      </c>
      <c r="E351" s="48" t="n">
        <f aca="true">MAX(4,NORMINV(RAND(),$B$9,$C$9))</f>
        <v>13.3884969369198</v>
      </c>
      <c r="F351" s="26" t="n">
        <f aca="false">$B$18*(1+(B351+$B$17)/2)^9</f>
        <v>6359.35962425558</v>
      </c>
      <c r="G351" s="26" t="n">
        <f aca="false">F351*C351</f>
        <v>1324.770519004</v>
      </c>
      <c r="H351" s="26" t="n">
        <f aca="false">E351*G351/(1+D351)^9</f>
        <v>6033.95996468175</v>
      </c>
      <c r="I351" s="26" t="n">
        <f aca="false">$B$13*G351/$B$12*((1+$B$8)/(1+D351))^4.5</f>
        <v>2088.73337474097</v>
      </c>
      <c r="J351" s="26" t="n">
        <f aca="false">H351+I351+$B$14</f>
        <v>10209.0922175049</v>
      </c>
      <c r="K351" s="44" t="n">
        <f aca="false">J351/$B$15</f>
        <v>16.2049082817538</v>
      </c>
    </row>
    <row r="352" customFormat="false" ht="15" hidden="false" customHeight="false" outlineLevel="0" collapsed="false">
      <c r="A352" s="52" t="n">
        <v>312</v>
      </c>
      <c r="B352" s="21" t="n">
        <f aca="true">NORMINV(RAND(),$B$6,$C$6)</f>
        <v>0.264493152820167</v>
      </c>
      <c r="C352" s="21" t="n">
        <f aca="true">MAX(0.03,NORMINV(RAND(),$B$7,$C$7))</f>
        <v>0.189751062742201</v>
      </c>
      <c r="D352" s="33" t="n">
        <f aca="true">MAX(0.08,NORMINV(RAND(),$B$8,$C$8))</f>
        <v>0.13472687042318</v>
      </c>
      <c r="E352" s="48" t="n">
        <f aca="true">MAX(4,NORMINV(RAND(),$B$9,$C$9))</f>
        <v>15.8210343384695</v>
      </c>
      <c r="F352" s="26" t="n">
        <f aca="false">$B$18*(1+(B352+$B$17)/2)^9</f>
        <v>10315.0103379579</v>
      </c>
      <c r="G352" s="26" t="n">
        <f aca="false">F352*C352</f>
        <v>1957.28417382429</v>
      </c>
      <c r="H352" s="26" t="n">
        <f aca="false">E352*G352/(1+D352)^9</f>
        <v>9928.11286409682</v>
      </c>
      <c r="I352" s="26" t="n">
        <f aca="false">$B$13*G352/$B$12*((1+$B$8)/(1+D352))^4.5</f>
        <v>2995.85118690386</v>
      </c>
      <c r="J352" s="26" t="n">
        <f aca="false">H352+I352+$B$14</f>
        <v>15010.3629290829</v>
      </c>
      <c r="K352" s="44" t="n">
        <f aca="false">J352/$B$15</f>
        <v>23.8259729033062</v>
      </c>
    </row>
    <row r="353" customFormat="false" ht="15" hidden="false" customHeight="false" outlineLevel="0" collapsed="false">
      <c r="A353" s="52" t="n">
        <v>313</v>
      </c>
      <c r="B353" s="21" t="n">
        <f aca="true">NORMINV(RAND(),$B$6,$C$6)</f>
        <v>0.223917336463464</v>
      </c>
      <c r="C353" s="21" t="n">
        <f aca="true">MAX(0.03,NORMINV(RAND(),$B$7,$C$7))</f>
        <v>0.23268638475093</v>
      </c>
      <c r="D353" s="33" t="n">
        <f aca="true">MAX(0.08,NORMINV(RAND(),$B$8,$C$8))</f>
        <v>0.132424171695562</v>
      </c>
      <c r="E353" s="48" t="n">
        <f aca="true">MAX(4,NORMINV(RAND(),$B$9,$C$9))</f>
        <v>13.7261067677499</v>
      </c>
      <c r="F353" s="26" t="n">
        <f aca="false">$B$18*(1+(B353+$B$17)/2)^9</f>
        <v>8797.08158539832</v>
      </c>
      <c r="G353" s="26" t="n">
        <f aca="false">F353*C353</f>
        <v>2046.96111046531</v>
      </c>
      <c r="H353" s="26" t="n">
        <f aca="false">E353*G353/(1+D353)^9</f>
        <v>9174.33906646842</v>
      </c>
      <c r="I353" s="26" t="n">
        <f aca="false">$B$13*G353/$B$12*((1+$B$8)/(1+D353))^4.5</f>
        <v>3161.88362367762</v>
      </c>
      <c r="J353" s="26" t="n">
        <f aca="false">H353+I353+$B$14</f>
        <v>14422.6215682282</v>
      </c>
      <c r="K353" s="44" t="n">
        <f aca="false">J353/$B$15</f>
        <v>22.8930501082988</v>
      </c>
    </row>
    <row r="354" customFormat="false" ht="15" hidden="false" customHeight="false" outlineLevel="0" collapsed="false">
      <c r="A354" s="52" t="n">
        <v>314</v>
      </c>
      <c r="B354" s="21" t="n">
        <f aca="true">NORMINV(RAND(),$B$6,$C$6)</f>
        <v>0.226556462780608</v>
      </c>
      <c r="C354" s="21" t="n">
        <f aca="true">MAX(0.03,NORMINV(RAND(),$B$7,$C$7))</f>
        <v>0.228650696148989</v>
      </c>
      <c r="D354" s="33" t="n">
        <f aca="true">MAX(0.08,NORMINV(RAND(),$B$8,$C$8))</f>
        <v>0.162471835581192</v>
      </c>
      <c r="E354" s="48" t="n">
        <f aca="true">MAX(4,NORMINV(RAND(),$B$9,$C$9))</f>
        <v>15.4159391004877</v>
      </c>
      <c r="F354" s="26" t="n">
        <f aca="false">$B$18*(1+(B354+$B$17)/2)^9</f>
        <v>8889.3989918126</v>
      </c>
      <c r="G354" s="26" t="n">
        <f aca="false">F354*C354</f>
        <v>2032.56726782407</v>
      </c>
      <c r="H354" s="26" t="n">
        <f aca="false">E354*G354/(1+D354)^9</f>
        <v>8083.00704333568</v>
      </c>
      <c r="I354" s="26" t="n">
        <f aca="false">$B$13*G354/$B$12*((1+$B$8)/(1+D354))^4.5</f>
        <v>2790.62401762091</v>
      </c>
      <c r="J354" s="26" t="n">
        <f aca="false">H354+I354+$B$14</f>
        <v>12960.0299390388</v>
      </c>
      <c r="K354" s="44" t="n">
        <f aca="false">J354/$B$15</f>
        <v>20.5714760937124</v>
      </c>
    </row>
    <row r="355" customFormat="false" ht="15" hidden="false" customHeight="false" outlineLevel="0" collapsed="false">
      <c r="A355" s="52" t="n">
        <v>315</v>
      </c>
      <c r="B355" s="21" t="n">
        <f aca="true">NORMINV(RAND(),$B$6,$C$6)</f>
        <v>0.233368608294067</v>
      </c>
      <c r="C355" s="21" t="n">
        <f aca="true">MAX(0.03,NORMINV(RAND(),$B$7,$C$7))</f>
        <v>0.234775077064246</v>
      </c>
      <c r="D355" s="33" t="n">
        <f aca="true">MAX(0.08,NORMINV(RAND(),$B$8,$C$8))</f>
        <v>0.131195536544406</v>
      </c>
      <c r="E355" s="48" t="n">
        <f aca="true">MAX(4,NORMINV(RAND(),$B$9,$C$9))</f>
        <v>9.3476931880909</v>
      </c>
      <c r="F355" s="26" t="n">
        <f aca="false">$B$18*(1+(B355+$B$17)/2)^9</f>
        <v>9131.68242693703</v>
      </c>
      <c r="G355" s="26" t="n">
        <f aca="false">F355*C355</f>
        <v>2143.89144551036</v>
      </c>
      <c r="H355" s="26" t="n">
        <f aca="false">E355*G355/(1+D355)^9</f>
        <v>6607.97049879774</v>
      </c>
      <c r="I355" s="26" t="n">
        <f aca="false">$B$13*G355/$B$12*((1+$B$8)/(1+D355))^4.5</f>
        <v>3327.82589634924</v>
      </c>
      <c r="J355" s="26" t="n">
        <f aca="false">H355+I355+$B$14</f>
        <v>12022.1952732292</v>
      </c>
      <c r="K355" s="44" t="n">
        <f aca="false">J355/$B$15</f>
        <v>19.0828496400463</v>
      </c>
    </row>
    <row r="356" customFormat="false" ht="15" hidden="false" customHeight="false" outlineLevel="0" collapsed="false">
      <c r="A356" s="52" t="n">
        <v>316</v>
      </c>
      <c r="B356" s="21" t="n">
        <f aca="true">NORMINV(RAND(),$B$6,$C$6)</f>
        <v>0.191287070445213</v>
      </c>
      <c r="C356" s="21" t="n">
        <f aca="true">MAX(0.03,NORMINV(RAND(),$B$7,$C$7))</f>
        <v>0.268995864541879</v>
      </c>
      <c r="D356" s="33" t="n">
        <f aca="true">MAX(0.08,NORMINV(RAND(),$B$8,$C$8))</f>
        <v>0.147717909959874</v>
      </c>
      <c r="E356" s="48" t="n">
        <f aca="true">MAX(4,NORMINV(RAND(),$B$9,$C$9))</f>
        <v>13.569845089657</v>
      </c>
      <c r="F356" s="26" t="n">
        <f aca="false">$B$18*(1+(B356+$B$17)/2)^9</f>
        <v>7724.02973098724</v>
      </c>
      <c r="G356" s="26" t="n">
        <f aca="false">F356*C356</f>
        <v>2077.73205523409</v>
      </c>
      <c r="H356" s="26" t="n">
        <f aca="false">E356*G356/(1+D356)^9</f>
        <v>8159.20793009237</v>
      </c>
      <c r="I356" s="26" t="n">
        <f aca="false">$B$13*G356/$B$12*((1+$B$8)/(1+D356))^4.5</f>
        <v>3021.40333252812</v>
      </c>
      <c r="J356" s="26" t="n">
        <f aca="false">H356+I356+$B$14</f>
        <v>13267.0101407027</v>
      </c>
      <c r="K356" s="44" t="n">
        <f aca="false">J356/$B$15</f>
        <v>21.0587462550836</v>
      </c>
    </row>
    <row r="357" customFormat="false" ht="15" hidden="false" customHeight="false" outlineLevel="0" collapsed="false">
      <c r="A357" s="52" t="n">
        <v>317</v>
      </c>
      <c r="B357" s="21" t="n">
        <f aca="true">NORMINV(RAND(),$B$6,$C$6)</f>
        <v>0.208805506554726</v>
      </c>
      <c r="C357" s="21" t="n">
        <f aca="true">MAX(0.03,NORMINV(RAND(),$B$7,$C$7))</f>
        <v>0.157918940629466</v>
      </c>
      <c r="D357" s="33" t="n">
        <f aca="true">MAX(0.08,NORMINV(RAND(),$B$8,$C$8))</f>
        <v>0.124361847646795</v>
      </c>
      <c r="E357" s="48" t="n">
        <f aca="true">MAX(4,NORMINV(RAND(),$B$9,$C$9))</f>
        <v>13.8363993208992</v>
      </c>
      <c r="F357" s="26" t="n">
        <f aca="false">$B$18*(1+(B357+$B$17)/2)^9</f>
        <v>8284.68699606507</v>
      </c>
      <c r="G357" s="26" t="n">
        <f aca="false">F357*C357</f>
        <v>1308.30899386531</v>
      </c>
      <c r="H357" s="26" t="n">
        <f aca="false">E357*G357/(1+D357)^9</f>
        <v>6303.45286499683</v>
      </c>
      <c r="I357" s="26" t="n">
        <f aca="false">$B$13*G357/$B$12*((1+$B$8)/(1+D357))^4.5</f>
        <v>2086.94139251412</v>
      </c>
      <c r="J357" s="26" t="n">
        <f aca="false">H357+I357+$B$14</f>
        <v>10476.7931355931</v>
      </c>
      <c r="K357" s="44" t="n">
        <f aca="false">J357/$B$15</f>
        <v>16.6298303739574</v>
      </c>
    </row>
    <row r="358" customFormat="false" ht="15" hidden="false" customHeight="false" outlineLevel="0" collapsed="false">
      <c r="A358" s="52" t="n">
        <v>318</v>
      </c>
      <c r="B358" s="21" t="n">
        <f aca="true">NORMINV(RAND(),$B$6,$C$6)</f>
        <v>0.226304911242116</v>
      </c>
      <c r="C358" s="21" t="n">
        <f aca="true">MAX(0.03,NORMINV(RAND(),$B$7,$C$7))</f>
        <v>0.187865635281151</v>
      </c>
      <c r="D358" s="33" t="n">
        <f aca="true">MAX(0.08,NORMINV(RAND(),$B$8,$C$8))</f>
        <v>0.157642576889103</v>
      </c>
      <c r="E358" s="48" t="n">
        <f aca="true">MAX(4,NORMINV(RAND(),$B$9,$C$9))</f>
        <v>15.2510139084291</v>
      </c>
      <c r="F358" s="26" t="n">
        <f aca="false">$B$18*(1+(B358+$B$17)/2)^9</f>
        <v>8880.56267017329</v>
      </c>
      <c r="G358" s="26" t="n">
        <f aca="false">F358*C358</f>
        <v>1668.35254768618</v>
      </c>
      <c r="H358" s="26" t="n">
        <f aca="false">E358*G358/(1+D358)^9</f>
        <v>6814.21958328612</v>
      </c>
      <c r="I358" s="26" t="n">
        <f aca="false">$B$13*G358/$B$12*((1+$B$8)/(1+D358))^4.5</f>
        <v>2333.8879210619</v>
      </c>
      <c r="J358" s="26" t="n">
        <f aca="false">H358+I358+$B$14</f>
        <v>11234.5063824302</v>
      </c>
      <c r="K358" s="44" t="n">
        <f aca="false">J358/$B$15</f>
        <v>17.8325498133813</v>
      </c>
    </row>
    <row r="359" customFormat="false" ht="15" hidden="false" customHeight="false" outlineLevel="0" collapsed="false">
      <c r="A359" s="52" t="n">
        <v>319</v>
      </c>
      <c r="B359" s="21" t="n">
        <f aca="true">NORMINV(RAND(),$B$6,$C$6)</f>
        <v>0.207596191191369</v>
      </c>
      <c r="C359" s="21" t="n">
        <f aca="true">MAX(0.03,NORMINV(RAND(),$B$7,$C$7))</f>
        <v>0.253806310920174</v>
      </c>
      <c r="D359" s="33" t="n">
        <f aca="true">MAX(0.08,NORMINV(RAND(),$B$8,$C$8))</f>
        <v>0.147993681032817</v>
      </c>
      <c r="E359" s="48" t="n">
        <f aca="true">MAX(4,NORMINV(RAND(),$B$9,$C$9))</f>
        <v>11.7589830768703</v>
      </c>
      <c r="F359" s="26" t="n">
        <f aca="false">$B$18*(1+(B359+$B$17)/2)^9</f>
        <v>8244.85340452838</v>
      </c>
      <c r="G359" s="26" t="n">
        <f aca="false">F359*C359</f>
        <v>2092.59582668099</v>
      </c>
      <c r="H359" s="26" t="n">
        <f aca="false">E359*G359/(1+D359)^9</f>
        <v>7105.58177957568</v>
      </c>
      <c r="I359" s="26" t="n">
        <f aca="false">$B$13*G359/$B$12*((1+$B$8)/(1+D359))^4.5</f>
        <v>3039.72989147663</v>
      </c>
      <c r="J359" s="26" t="n">
        <f aca="false">H359+I359+$B$14</f>
        <v>12231.7105491345</v>
      </c>
      <c r="K359" s="44" t="n">
        <f aca="false">J359/$B$15</f>
        <v>19.4154135700548</v>
      </c>
    </row>
    <row r="360" customFormat="false" ht="15" hidden="false" customHeight="false" outlineLevel="0" collapsed="false">
      <c r="A360" s="52" t="n">
        <v>320</v>
      </c>
      <c r="B360" s="21" t="n">
        <f aca="true">NORMINV(RAND(),$B$6,$C$6)</f>
        <v>0.146308114205199</v>
      </c>
      <c r="C360" s="21" t="n">
        <f aca="true">MAX(0.03,NORMINV(RAND(),$B$7,$C$7))</f>
        <v>0.210124642650433</v>
      </c>
      <c r="D360" s="33" t="n">
        <f aca="true">MAX(0.08,NORMINV(RAND(),$B$8,$C$8))</f>
        <v>0.135919791988477</v>
      </c>
      <c r="E360" s="48" t="n">
        <f aca="true">MAX(4,NORMINV(RAND(),$B$9,$C$9))</f>
        <v>13.6912997354599</v>
      </c>
      <c r="F360" s="26" t="n">
        <f aca="false">$B$18*(1+(B360+$B$17)/2)^9</f>
        <v>6435.85068070013</v>
      </c>
      <c r="G360" s="26" t="n">
        <f aca="false">F360*C360</f>
        <v>1352.33082443366</v>
      </c>
      <c r="H360" s="26" t="n">
        <f aca="false">E360*G360/(1+D360)^9</f>
        <v>5880.28838720508</v>
      </c>
      <c r="I360" s="26" t="n">
        <f aca="false">$B$13*G360/$B$12*((1+$B$8)/(1+D360))^4.5</f>
        <v>2060.13568868919</v>
      </c>
      <c r="J360" s="26" t="n">
        <f aca="false">H360+I360+$B$14</f>
        <v>10026.8229539765</v>
      </c>
      <c r="K360" s="44" t="n">
        <f aca="false">J360/$B$15</f>
        <v>15.9155919904388</v>
      </c>
    </row>
    <row r="361" customFormat="false" ht="15" hidden="false" customHeight="false" outlineLevel="0" collapsed="false">
      <c r="A361" s="52" t="n">
        <v>321</v>
      </c>
      <c r="B361" s="21" t="n">
        <f aca="true">NORMINV(RAND(),$B$6,$C$6)</f>
        <v>0.196206659184047</v>
      </c>
      <c r="C361" s="21" t="n">
        <f aca="true">MAX(0.03,NORMINV(RAND(),$B$7,$C$7))</f>
        <v>0.198483062356845</v>
      </c>
      <c r="D361" s="33" t="n">
        <f aca="true">MAX(0.08,NORMINV(RAND(),$B$8,$C$8))</f>
        <v>0.147490071013198</v>
      </c>
      <c r="E361" s="48" t="n">
        <f aca="true">MAX(4,NORMINV(RAND(),$B$9,$C$9))</f>
        <v>9.15759963197469</v>
      </c>
      <c r="F361" s="26" t="n">
        <f aca="false">$B$18*(1+(B361+$B$17)/2)^9</f>
        <v>7877.96339868461</v>
      </c>
      <c r="G361" s="26" t="n">
        <f aca="false">F361*C361</f>
        <v>1563.64230050606</v>
      </c>
      <c r="H361" s="26" t="n">
        <f aca="false">E361*G361/(1+D361)^9</f>
        <v>4151.24758291289</v>
      </c>
      <c r="I361" s="26" t="n">
        <f aca="false">$B$13*G361/$B$12*((1+$B$8)/(1+D361))^4.5</f>
        <v>2275.854930134</v>
      </c>
      <c r="J361" s="26" t="n">
        <f aca="false">H361+I361+$B$14</f>
        <v>8513.50139112908</v>
      </c>
      <c r="K361" s="44" t="n">
        <f aca="false">J361/$B$15</f>
        <v>13.5134942716335</v>
      </c>
    </row>
    <row r="362" customFormat="false" ht="15" hidden="false" customHeight="false" outlineLevel="0" collapsed="false">
      <c r="A362" s="52" t="n">
        <v>322</v>
      </c>
      <c r="B362" s="21" t="n">
        <f aca="true">NORMINV(RAND(),$B$6,$C$6)</f>
        <v>0.161727990073621</v>
      </c>
      <c r="C362" s="21" t="n">
        <f aca="true">MAX(0.03,NORMINV(RAND(),$B$7,$C$7))</f>
        <v>0.231225389368772</v>
      </c>
      <c r="D362" s="33" t="n">
        <f aca="true">MAX(0.08,NORMINV(RAND(),$B$8,$C$8))</f>
        <v>0.138148920264443</v>
      </c>
      <c r="E362" s="48" t="n">
        <f aca="true">MAX(4,NORMINV(RAND(),$B$9,$C$9))</f>
        <v>11.8384314994726</v>
      </c>
      <c r="F362" s="26" t="n">
        <f aca="false">$B$18*(1+(B362+$B$17)/2)^9</f>
        <v>6854.12454592981</v>
      </c>
      <c r="G362" s="26" t="n">
        <f aca="false">F362*C362</f>
        <v>1584.84761691468</v>
      </c>
      <c r="H362" s="26" t="n">
        <f aca="false">E362*G362/(1+D362)^9</f>
        <v>5854.50067217271</v>
      </c>
      <c r="I362" s="26" t="n">
        <f aca="false">$B$13*G362/$B$12*((1+$B$8)/(1+D362))^4.5</f>
        <v>2393.14482387993</v>
      </c>
      <c r="J362" s="26" t="n">
        <f aca="false">H362+I362+$B$14</f>
        <v>10334.0443741348</v>
      </c>
      <c r="K362" s="44" t="n">
        <f aca="false">J362/$B$15</f>
        <v>16.4032450383093</v>
      </c>
    </row>
    <row r="363" customFormat="false" ht="15" hidden="false" customHeight="false" outlineLevel="0" collapsed="false">
      <c r="A363" s="52" t="n">
        <v>323</v>
      </c>
      <c r="B363" s="21" t="n">
        <f aca="true">NORMINV(RAND(),$B$6,$C$6)</f>
        <v>0.195621197213637</v>
      </c>
      <c r="C363" s="21" t="n">
        <f aca="true">MAX(0.03,NORMINV(RAND(),$B$7,$C$7))</f>
        <v>0.179066630280273</v>
      </c>
      <c r="D363" s="33" t="n">
        <f aca="true">MAX(0.08,NORMINV(RAND(),$B$8,$C$8))</f>
        <v>0.130271953374714</v>
      </c>
      <c r="E363" s="48" t="n">
        <f aca="true">MAX(4,NORMINV(RAND(),$B$9,$C$9))</f>
        <v>10.6156673160965</v>
      </c>
      <c r="F363" s="26" t="n">
        <f aca="false">$B$18*(1+(B363+$B$17)/2)^9</f>
        <v>7859.50250586669</v>
      </c>
      <c r="G363" s="26" t="n">
        <f aca="false">F363*C363</f>
        <v>1407.37462940491</v>
      </c>
      <c r="H363" s="26" t="n">
        <f aca="false">E363*G363/(1+D363)^9</f>
        <v>4962.6135538404</v>
      </c>
      <c r="I363" s="26" t="n">
        <f aca="false">$B$13*G363/$B$12*((1+$B$8)/(1+D363))^4.5</f>
        <v>2192.62224574344</v>
      </c>
      <c r="J363" s="26" t="n">
        <f aca="false">H363+I363+$B$14</f>
        <v>9241.63467766604</v>
      </c>
      <c r="K363" s="44" t="n">
        <f aca="false">J363/$B$15</f>
        <v>14.6692613931207</v>
      </c>
    </row>
    <row r="364" customFormat="false" ht="15" hidden="false" customHeight="false" outlineLevel="0" collapsed="false">
      <c r="A364" s="52" t="n">
        <v>324</v>
      </c>
      <c r="B364" s="21" t="n">
        <f aca="true">NORMINV(RAND(),$B$6,$C$6)</f>
        <v>0.268052670962701</v>
      </c>
      <c r="C364" s="21" t="n">
        <f aca="true">MAX(0.03,NORMINV(RAND(),$B$7,$C$7))</f>
        <v>0.204066201623135</v>
      </c>
      <c r="D364" s="33" t="n">
        <f aca="true">MAX(0.08,NORMINV(RAND(),$B$8,$C$8))</f>
        <v>0.14336056886189</v>
      </c>
      <c r="E364" s="48" t="n">
        <f aca="true">MAX(4,NORMINV(RAND(),$B$9,$C$9))</f>
        <v>8.5366253606532</v>
      </c>
      <c r="F364" s="26" t="n">
        <f aca="false">$B$18*(1+(B364+$B$17)/2)^9</f>
        <v>10458.6652578482</v>
      </c>
      <c r="G364" s="26" t="n">
        <f aca="false">F364*C364</f>
        <v>2134.26009321692</v>
      </c>
      <c r="H364" s="26" t="n">
        <f aca="false">E364*G364/(1+D364)^9</f>
        <v>5456.12951552164</v>
      </c>
      <c r="I364" s="26" t="n">
        <f aca="false">$B$13*G364/$B$12*((1+$B$8)/(1+D364))^4.5</f>
        <v>3157.18677231893</v>
      </c>
      <c r="J364" s="26" t="n">
        <f aca="false">H364+I364+$B$14</f>
        <v>10699.7151659228</v>
      </c>
      <c r="K364" s="44" t="n">
        <f aca="false">J364/$B$15</f>
        <v>16.9836748665441</v>
      </c>
    </row>
    <row r="365" customFormat="false" ht="15" hidden="false" customHeight="false" outlineLevel="0" collapsed="false">
      <c r="A365" s="52" t="n">
        <v>325</v>
      </c>
      <c r="B365" s="21" t="n">
        <f aca="true">NORMINV(RAND(),$B$6,$C$6)</f>
        <v>0.140258352341246</v>
      </c>
      <c r="C365" s="21" t="n">
        <f aca="true">MAX(0.03,NORMINV(RAND(),$B$7,$C$7))</f>
        <v>0.177970961733109</v>
      </c>
      <c r="D365" s="33" t="n">
        <f aca="true">MAX(0.08,NORMINV(RAND(),$B$8,$C$8))</f>
        <v>0.120527819421589</v>
      </c>
      <c r="E365" s="48" t="n">
        <f aca="true">MAX(4,NORMINV(RAND(),$B$9,$C$9))</f>
        <v>13.0874225388883</v>
      </c>
      <c r="F365" s="26" t="n">
        <f aca="false">$B$18*(1+(B365+$B$17)/2)^9</f>
        <v>6278.04856809737</v>
      </c>
      <c r="G365" s="26" t="n">
        <f aca="false">F365*C365</f>
        <v>1117.31034147146</v>
      </c>
      <c r="H365" s="26" t="n">
        <f aca="false">E365*G365/(1+D365)^9</f>
        <v>5250.78400133699</v>
      </c>
      <c r="I365" s="26" t="n">
        <f aca="false">$B$13*G365/$B$12*((1+$B$8)/(1+D365))^4.5</f>
        <v>1809.87800468009</v>
      </c>
      <c r="J365" s="26" t="n">
        <f aca="false">H365+I365+$B$14</f>
        <v>9147.06088409927</v>
      </c>
      <c r="K365" s="44" t="n">
        <f aca="false">J365/$B$15</f>
        <v>14.519144260475</v>
      </c>
    </row>
    <row r="366" customFormat="false" ht="15" hidden="false" customHeight="false" outlineLevel="0" collapsed="false">
      <c r="A366" s="52" t="n">
        <v>326</v>
      </c>
      <c r="B366" s="21" t="n">
        <f aca="true">NORMINV(RAND(),$B$6,$C$6)</f>
        <v>0.18165668133582</v>
      </c>
      <c r="C366" s="21" t="n">
        <f aca="true">MAX(0.03,NORMINV(RAND(),$B$7,$C$7))</f>
        <v>0.251276699459085</v>
      </c>
      <c r="D366" s="33" t="n">
        <f aca="true">MAX(0.08,NORMINV(RAND(),$B$8,$C$8))</f>
        <v>0.120297910843746</v>
      </c>
      <c r="E366" s="48" t="n">
        <f aca="true">MAX(4,NORMINV(RAND(),$B$9,$C$9))</f>
        <v>12.2253235307276</v>
      </c>
      <c r="F366" s="26" t="n">
        <f aca="false">$B$18*(1+(B366+$B$17)/2)^9</f>
        <v>7430.41406204758</v>
      </c>
      <c r="G366" s="26" t="n">
        <f aca="false">F366*C366</f>
        <v>1867.08992112569</v>
      </c>
      <c r="H366" s="26" t="n">
        <f aca="false">E366*G366/(1+D366)^9</f>
        <v>8211.52578306024</v>
      </c>
      <c r="I366" s="26" t="n">
        <f aca="false">$B$13*G366/$B$12*((1+$B$8)/(1+D366))^4.5</f>
        <v>3027.20439660829</v>
      </c>
      <c r="J366" s="26" t="n">
        <f aca="false">H366+I366+$B$14</f>
        <v>13325.1290577507</v>
      </c>
      <c r="K366" s="44" t="n">
        <f aca="false">J366/$B$15</f>
        <v>21.1509985043662</v>
      </c>
    </row>
    <row r="367" customFormat="false" ht="15" hidden="false" customHeight="false" outlineLevel="0" collapsed="false">
      <c r="A367" s="52" t="n">
        <v>327</v>
      </c>
      <c r="B367" s="21" t="n">
        <f aca="true">NORMINV(RAND(),$B$6,$C$6)</f>
        <v>0.239586116094796</v>
      </c>
      <c r="C367" s="21" t="n">
        <f aca="true">MAX(0.03,NORMINV(RAND(),$B$7,$C$7))</f>
        <v>0.191427357366709</v>
      </c>
      <c r="D367" s="33" t="n">
        <f aca="true">MAX(0.08,NORMINV(RAND(),$B$8,$C$8))</f>
        <v>0.125284128778957</v>
      </c>
      <c r="E367" s="48" t="n">
        <f aca="true">MAX(4,NORMINV(RAND(),$B$9,$C$9))</f>
        <v>8.82256338669391</v>
      </c>
      <c r="F367" s="26" t="n">
        <f aca="false">$B$18*(1+(B367+$B$17)/2)^9</f>
        <v>9357.92178160751</v>
      </c>
      <c r="G367" s="26" t="n">
        <f aca="false">F367*C367</f>
        <v>1791.36223709749</v>
      </c>
      <c r="H367" s="26" t="n">
        <f aca="false">E367*G367/(1+D367)^9</f>
        <v>5462.8397418118</v>
      </c>
      <c r="I367" s="26" t="n">
        <f aca="false">$B$13*G367/$B$12*((1+$B$8)/(1+D367))^4.5</f>
        <v>2846.9570951817</v>
      </c>
      <c r="J367" s="26" t="n">
        <f aca="false">H367+I367+$B$14</f>
        <v>10396.1957150757</v>
      </c>
      <c r="K367" s="44" t="n">
        <f aca="false">J367/$B$15</f>
        <v>16.5018979604376</v>
      </c>
    </row>
    <row r="368" customFormat="false" ht="15" hidden="false" customHeight="false" outlineLevel="0" collapsed="false">
      <c r="A368" s="52" t="n">
        <v>328</v>
      </c>
      <c r="B368" s="21" t="n">
        <f aca="true">NORMINV(RAND(),$B$6,$C$6)</f>
        <v>0.15650581427984</v>
      </c>
      <c r="C368" s="21" t="n">
        <f aca="true">MAX(0.03,NORMINV(RAND(),$B$7,$C$7))</f>
        <v>0.226939746819042</v>
      </c>
      <c r="D368" s="33" t="n">
        <f aca="true">MAX(0.08,NORMINV(RAND(),$B$8,$C$8))</f>
        <v>0.131010262540712</v>
      </c>
      <c r="E368" s="48" t="n">
        <f aca="true">MAX(4,NORMINV(RAND(),$B$9,$C$9))</f>
        <v>15.0250669088442</v>
      </c>
      <c r="F368" s="26" t="n">
        <f aca="false">$B$18*(1+(B368+$B$17)/2)^9</f>
        <v>6709.84133047285</v>
      </c>
      <c r="G368" s="26" t="n">
        <f aca="false">F368*C368</f>
        <v>1522.72969273345</v>
      </c>
      <c r="H368" s="26" t="n">
        <f aca="false">E368*G368/(1+D368)^9</f>
        <v>7555.10179651409</v>
      </c>
      <c r="I368" s="26" t="n">
        <f aca="false">$B$13*G368/$B$12*((1+$B$8)/(1+D368))^4.5</f>
        <v>2365.37901409431</v>
      </c>
      <c r="J368" s="26" t="n">
        <f aca="false">H368+I368+$B$14</f>
        <v>12006.8796886906</v>
      </c>
      <c r="K368" s="44" t="n">
        <f aca="false">J368/$B$15</f>
        <v>19.0585391883978</v>
      </c>
    </row>
    <row r="369" customFormat="false" ht="15" hidden="false" customHeight="false" outlineLevel="0" collapsed="false">
      <c r="A369" s="52" t="n">
        <v>329</v>
      </c>
      <c r="B369" s="21" t="n">
        <f aca="true">NORMINV(RAND(),$B$6,$C$6)</f>
        <v>0.203870746118799</v>
      </c>
      <c r="C369" s="21" t="n">
        <f aca="true">MAX(0.03,NORMINV(RAND(),$B$7,$C$7))</f>
        <v>0.172383138252706</v>
      </c>
      <c r="D369" s="33" t="n">
        <f aca="true">MAX(0.08,NORMINV(RAND(),$B$8,$C$8))</f>
        <v>0.139542362472362</v>
      </c>
      <c r="E369" s="48" t="n">
        <f aca="true">MAX(4,NORMINV(RAND(),$B$9,$C$9))</f>
        <v>12.3283676124967</v>
      </c>
      <c r="F369" s="26" t="n">
        <f aca="false">$B$18*(1+(B369+$B$17)/2)^9</f>
        <v>8123.20896292611</v>
      </c>
      <c r="G369" s="26" t="n">
        <f aca="false">F369*C369</f>
        <v>1400.30425371171</v>
      </c>
      <c r="H369" s="26" t="n">
        <f aca="false">E369*G369/(1+D369)^9</f>
        <v>5327.87112951894</v>
      </c>
      <c r="I369" s="26" t="n">
        <f aca="false">$B$13*G369/$B$12*((1+$B$8)/(1+D369))^4.5</f>
        <v>2102.87108898686</v>
      </c>
      <c r="J369" s="26" t="n">
        <f aca="false">H369+I369+$B$14</f>
        <v>9517.14109658799</v>
      </c>
      <c r="K369" s="44" t="n">
        <f aca="false">J369/$B$15</f>
        <v>15.1065731691873</v>
      </c>
    </row>
    <row r="370" customFormat="false" ht="15" hidden="false" customHeight="false" outlineLevel="0" collapsed="false">
      <c r="A370" s="52" t="n">
        <v>330</v>
      </c>
      <c r="B370" s="21" t="n">
        <f aca="true">NORMINV(RAND(),$B$6,$C$6)</f>
        <v>0.267021056421179</v>
      </c>
      <c r="C370" s="21" t="n">
        <f aca="true">MAX(0.03,NORMINV(RAND(),$B$7,$C$7))</f>
        <v>0.213712705249914</v>
      </c>
      <c r="D370" s="33" t="n">
        <f aca="true">MAX(0.08,NORMINV(RAND(),$B$8,$C$8))</f>
        <v>0.134874460521923</v>
      </c>
      <c r="E370" s="48" t="n">
        <f aca="true">MAX(4,NORMINV(RAND(),$B$9,$C$9))</f>
        <v>10.3899741793677</v>
      </c>
      <c r="F370" s="26" t="n">
        <f aca="false">$B$18*(1+(B370+$B$17)/2)^9</f>
        <v>10416.8495033043</v>
      </c>
      <c r="G370" s="26" t="n">
        <f aca="false">F370*C370</f>
        <v>2226.21308753239</v>
      </c>
      <c r="H370" s="26" t="n">
        <f aca="false">E370*G370/(1+D370)^9</f>
        <v>7407.1441397278</v>
      </c>
      <c r="I370" s="26" t="n">
        <f aca="false">$B$13*G370/$B$12*((1+$B$8)/(1+D370))^4.5</f>
        <v>3405.48449993734</v>
      </c>
      <c r="J370" s="26" t="n">
        <f aca="false">H370+I370+$B$14</f>
        <v>12899.0275177473</v>
      </c>
      <c r="K370" s="44" t="n">
        <f aca="false">J370/$B$15</f>
        <v>20.4746468535672</v>
      </c>
    </row>
    <row r="371" customFormat="false" ht="15" hidden="false" customHeight="false" outlineLevel="0" collapsed="false">
      <c r="A371" s="52" t="n">
        <v>331</v>
      </c>
      <c r="B371" s="21" t="n">
        <f aca="true">NORMINV(RAND(),$B$6,$C$6)</f>
        <v>0.212290620693694</v>
      </c>
      <c r="C371" s="21" t="n">
        <f aca="true">MAX(0.03,NORMINV(RAND(),$B$7,$C$7))</f>
        <v>0.172436168663696</v>
      </c>
      <c r="D371" s="33" t="n">
        <f aca="true">MAX(0.08,NORMINV(RAND(),$B$8,$C$8))</f>
        <v>0.129498759687555</v>
      </c>
      <c r="E371" s="48" t="n">
        <f aca="true">MAX(4,NORMINV(RAND(),$B$9,$C$9))</f>
        <v>12.0026096277895</v>
      </c>
      <c r="F371" s="26" t="n">
        <f aca="false">$B$18*(1+(B371+$B$17)/2)^9</f>
        <v>8400.44164765566</v>
      </c>
      <c r="G371" s="26" t="n">
        <f aca="false">F371*C371</f>
        <v>1448.53997280469</v>
      </c>
      <c r="H371" s="26" t="n">
        <f aca="false">E371*G371/(1+D371)^9</f>
        <v>5810.77875921928</v>
      </c>
      <c r="I371" s="26" t="n">
        <f aca="false">$B$13*G371/$B$12*((1+$B$8)/(1+D371))^4.5</f>
        <v>2263.71604919218</v>
      </c>
      <c r="J371" s="26" t="n">
        <f aca="false">H371+I371+$B$14</f>
        <v>10160.8936864937</v>
      </c>
      <c r="K371" s="44" t="n">
        <f aca="false">J371/$B$15</f>
        <v>16.1284026769741</v>
      </c>
    </row>
    <row r="372" customFormat="false" ht="15" hidden="false" customHeight="false" outlineLevel="0" collapsed="false">
      <c r="A372" s="52" t="n">
        <v>332</v>
      </c>
      <c r="B372" s="21" t="n">
        <f aca="true">NORMINV(RAND(),$B$6,$C$6)</f>
        <v>0.172930369583376</v>
      </c>
      <c r="C372" s="21" t="n">
        <f aca="true">MAX(0.03,NORMINV(RAND(),$B$7,$C$7))</f>
        <v>0.171832335943352</v>
      </c>
      <c r="D372" s="33" t="n">
        <f aca="true">MAX(0.08,NORMINV(RAND(),$B$8,$C$8))</f>
        <v>0.138279218849934</v>
      </c>
      <c r="E372" s="48" t="n">
        <f aca="true">MAX(4,NORMINV(RAND(),$B$9,$C$9))</f>
        <v>11.4040048004552</v>
      </c>
      <c r="F372" s="26" t="n">
        <f aca="false">$B$18*(1+(B372+$B$17)/2)^9</f>
        <v>7172.97467648354</v>
      </c>
      <c r="G372" s="26" t="n">
        <f aca="false">F372*C372</f>
        <v>1232.54899432268</v>
      </c>
      <c r="H372" s="26" t="n">
        <f aca="false">E372*G372/(1+D372)^9</f>
        <v>4381.49498187258</v>
      </c>
      <c r="I372" s="26" t="n">
        <f aca="false">$B$13*G372/$B$12*((1+$B$8)/(1+D372))^4.5</f>
        <v>1860.20984176774</v>
      </c>
      <c r="J372" s="26" t="n">
        <f aca="false">H372+I372+$B$14</f>
        <v>8328.10370172251</v>
      </c>
      <c r="K372" s="44" t="n">
        <f aca="false">J372/$B$15</f>
        <v>13.2192122249564</v>
      </c>
    </row>
    <row r="373" customFormat="false" ht="15" hidden="false" customHeight="false" outlineLevel="0" collapsed="false">
      <c r="A373" s="52" t="n">
        <v>333</v>
      </c>
      <c r="B373" s="21" t="n">
        <f aca="true">NORMINV(RAND(),$B$6,$C$6)</f>
        <v>0.236105953208737</v>
      </c>
      <c r="C373" s="21" t="n">
        <f aca="true">MAX(0.03,NORMINV(RAND(),$B$7,$C$7))</f>
        <v>0.246880813693128</v>
      </c>
      <c r="D373" s="33" t="n">
        <f aca="true">MAX(0.08,NORMINV(RAND(),$B$8,$C$8))</f>
        <v>0.142689009322253</v>
      </c>
      <c r="E373" s="48" t="n">
        <f aca="true">MAX(4,NORMINV(RAND(),$B$9,$C$9))</f>
        <v>12.8310363725606</v>
      </c>
      <c r="F373" s="26" t="n">
        <f aca="false">$B$18*(1+(B373+$B$17)/2)^9</f>
        <v>9230.68128803285</v>
      </c>
      <c r="G373" s="26" t="n">
        <f aca="false">F373*C373</f>
        <v>2278.87810733149</v>
      </c>
      <c r="H373" s="26" t="n">
        <f aca="false">E373*G373/(1+D373)^9</f>
        <v>8802.99347891872</v>
      </c>
      <c r="I373" s="26" t="n">
        <f aca="false">$B$13*G373/$B$12*((1+$B$8)/(1+D373))^4.5</f>
        <v>3380.04318048666</v>
      </c>
      <c r="J373" s="26" t="n">
        <f aca="false">H373+I373+$B$14</f>
        <v>14269.4355374876</v>
      </c>
      <c r="K373" s="44" t="n">
        <f aca="false">J373/$B$15</f>
        <v>22.6498976785517</v>
      </c>
    </row>
    <row r="374" customFormat="false" ht="15" hidden="false" customHeight="false" outlineLevel="0" collapsed="false">
      <c r="A374" s="52" t="n">
        <v>334</v>
      </c>
      <c r="B374" s="21" t="n">
        <f aca="true">NORMINV(RAND(),$B$6,$C$6)</f>
        <v>0.237782249986676</v>
      </c>
      <c r="C374" s="21" t="n">
        <f aca="true">MAX(0.03,NORMINV(RAND(),$B$7,$C$7))</f>
        <v>0.235894057121504</v>
      </c>
      <c r="D374" s="33" t="n">
        <f aca="true">MAX(0.08,NORMINV(RAND(),$B$8,$C$8))</f>
        <v>0.122860901732276</v>
      </c>
      <c r="E374" s="48" t="n">
        <f aca="true">MAX(4,NORMINV(RAND(),$B$9,$C$9))</f>
        <v>12.580990977516</v>
      </c>
      <c r="F374" s="26" t="n">
        <f aca="false">$B$18*(1+(B374+$B$17)/2)^9</f>
        <v>9291.7761833818</v>
      </c>
      <c r="G374" s="26" t="n">
        <f aca="false">F374*C374</f>
        <v>2191.8747817629</v>
      </c>
      <c r="H374" s="26" t="n">
        <f aca="false">E374*G374/(1+D374)^9</f>
        <v>9718.44882423205</v>
      </c>
      <c r="I374" s="26" t="n">
        <f aca="false">$B$13*G374/$B$12*((1+$B$8)/(1+D374))^4.5</f>
        <v>3517.43676744142</v>
      </c>
      <c r="J374" s="26" t="n">
        <f aca="false">H374+I374+$B$14</f>
        <v>15322.2844697557</v>
      </c>
      <c r="K374" s="44" t="n">
        <f aca="false">J374/$B$15</f>
        <v>24.3210864599296</v>
      </c>
    </row>
    <row r="375" customFormat="false" ht="15" hidden="false" customHeight="false" outlineLevel="0" collapsed="false">
      <c r="A375" s="52" t="n">
        <v>335</v>
      </c>
      <c r="B375" s="21" t="n">
        <f aca="true">NORMINV(RAND(),$B$6,$C$6)</f>
        <v>0.203642372099201</v>
      </c>
      <c r="C375" s="21" t="n">
        <f aca="true">MAX(0.03,NORMINV(RAND(),$B$7,$C$7))</f>
        <v>0.227907768847174</v>
      </c>
      <c r="D375" s="33" t="n">
        <f aca="true">MAX(0.08,NORMINV(RAND(),$B$8,$C$8))</f>
        <v>0.132429386236756</v>
      </c>
      <c r="E375" s="48" t="n">
        <f aca="true">MAX(4,NORMINV(RAND(),$B$9,$C$9))</f>
        <v>11.7610753881167</v>
      </c>
      <c r="F375" s="26" t="n">
        <f aca="false">$B$18*(1+(B375+$B$17)/2)^9</f>
        <v>8115.80418889442</v>
      </c>
      <c r="G375" s="26" t="n">
        <f aca="false">F375*C375</f>
        <v>1849.65482509148</v>
      </c>
      <c r="H375" s="26" t="n">
        <f aca="false">E375*G375/(1+D375)^9</f>
        <v>7102.93021046744</v>
      </c>
      <c r="I375" s="26" t="n">
        <f aca="false">$B$13*G375/$B$12*((1+$B$8)/(1+D375))^4.5</f>
        <v>2857.05091588773</v>
      </c>
      <c r="J375" s="26" t="n">
        <f aca="false">H375+I375+$B$14</f>
        <v>12046.3800044374</v>
      </c>
      <c r="K375" s="44" t="n">
        <f aca="false">J375/$B$15</f>
        <v>19.1212381022815</v>
      </c>
    </row>
    <row r="376" customFormat="false" ht="15" hidden="false" customHeight="false" outlineLevel="0" collapsed="false">
      <c r="A376" s="52" t="n">
        <v>336</v>
      </c>
      <c r="B376" s="21" t="n">
        <f aca="true">NORMINV(RAND(),$B$6,$C$6)</f>
        <v>0.256065390900038</v>
      </c>
      <c r="C376" s="21" t="n">
        <f aca="true">MAX(0.03,NORMINV(RAND(),$B$7,$C$7))</f>
        <v>0.195608149939073</v>
      </c>
      <c r="D376" s="33" t="n">
        <f aca="true">MAX(0.08,NORMINV(RAND(),$B$8,$C$8))</f>
        <v>0.141866974473906</v>
      </c>
      <c r="E376" s="48" t="n">
        <f aca="true">MAX(4,NORMINV(RAND(),$B$9,$C$9))</f>
        <v>11.1651588943348</v>
      </c>
      <c r="F376" s="26" t="n">
        <f aca="false">$B$18*(1+(B376+$B$17)/2)^9</f>
        <v>9981.85201258328</v>
      </c>
      <c r="G376" s="26" t="n">
        <f aca="false">F376*C376</f>
        <v>1952.53160514703</v>
      </c>
      <c r="H376" s="26" t="n">
        <f aca="false">E376*G376/(1+D376)^9</f>
        <v>6605.76880431648</v>
      </c>
      <c r="I376" s="26" t="n">
        <f aca="false">$B$13*G376/$B$12*((1+$B$8)/(1+D376))^4.5</f>
        <v>2905.39808134803</v>
      </c>
      <c r="J376" s="26" t="n">
        <f aca="false">H376+I376+$B$14</f>
        <v>11597.5657637467</v>
      </c>
      <c r="K376" s="44" t="n">
        <f aca="false">J376/$B$15</f>
        <v>18.4088345456297</v>
      </c>
    </row>
    <row r="377" customFormat="false" ht="15" hidden="false" customHeight="false" outlineLevel="0" collapsed="false">
      <c r="A377" s="52" t="n">
        <v>337</v>
      </c>
      <c r="B377" s="21" t="n">
        <f aca="true">NORMINV(RAND(),$B$6,$C$6)</f>
        <v>0.205319177852419</v>
      </c>
      <c r="C377" s="21" t="n">
        <f aca="true">MAX(0.03,NORMINV(RAND(),$B$7,$C$7))</f>
        <v>0.179874146557911</v>
      </c>
      <c r="D377" s="33" t="n">
        <f aca="true">MAX(0.08,NORMINV(RAND(),$B$8,$C$8))</f>
        <v>0.12743925917823</v>
      </c>
      <c r="E377" s="48" t="n">
        <f aca="true">MAX(4,NORMINV(RAND(),$B$9,$C$9))</f>
        <v>12.3529351445823</v>
      </c>
      <c r="F377" s="26" t="n">
        <f aca="false">$B$18*(1+(B377+$B$17)/2)^9</f>
        <v>8170.31274524989</v>
      </c>
      <c r="G377" s="26" t="n">
        <f aca="false">F377*C377</f>
        <v>1469.62803216305</v>
      </c>
      <c r="H377" s="26" t="n">
        <f aca="false">E377*G377/(1+D377)^9</f>
        <v>6167.92673798017</v>
      </c>
      <c r="I377" s="26" t="n">
        <f aca="false">$B$13*G377/$B$12*((1+$B$8)/(1+D377))^4.5</f>
        <v>2315.611056703</v>
      </c>
      <c r="J377" s="26" t="n">
        <f aca="false">H377+I377+$B$14</f>
        <v>10569.9366727654</v>
      </c>
      <c r="K377" s="44" t="n">
        <f aca="false">J377/$B$15</f>
        <v>16.7776772583577</v>
      </c>
    </row>
    <row r="378" customFormat="false" ht="15" hidden="false" customHeight="false" outlineLevel="0" collapsed="false">
      <c r="A378" s="52" t="n">
        <v>338</v>
      </c>
      <c r="B378" s="21" t="n">
        <f aca="true">NORMINV(RAND(),$B$6,$C$6)</f>
        <v>0.25348758352008</v>
      </c>
      <c r="C378" s="21" t="n">
        <f aca="true">MAX(0.03,NORMINV(RAND(),$B$7,$C$7))</f>
        <v>0.215311813562699</v>
      </c>
      <c r="D378" s="33" t="n">
        <f aca="true">MAX(0.08,NORMINV(RAND(),$B$8,$C$8))</f>
        <v>0.121031492502445</v>
      </c>
      <c r="E378" s="48" t="n">
        <f aca="true">MAX(4,NORMINV(RAND(),$B$9,$C$9))</f>
        <v>13.054856677428</v>
      </c>
      <c r="F378" s="26" t="n">
        <f aca="false">$B$18*(1+(B378+$B$17)/2)^9</f>
        <v>9881.8770333963</v>
      </c>
      <c r="G378" s="26" t="n">
        <f aca="false">F378*C378</f>
        <v>2127.68486546415</v>
      </c>
      <c r="H378" s="26" t="n">
        <f aca="false">E378*G378/(1+D378)^9</f>
        <v>9933.88422738978</v>
      </c>
      <c r="I378" s="26" t="n">
        <f aca="false">$B$13*G378/$B$12*((1+$B$8)/(1+D378))^4.5</f>
        <v>3439.57293950672</v>
      </c>
      <c r="J378" s="26" t="n">
        <f aca="false">H378+I378+$B$14</f>
        <v>15459.8560449787</v>
      </c>
      <c r="K378" s="44" t="n">
        <f aca="false">J378/$B$15</f>
        <v>24.5394540396487</v>
      </c>
    </row>
    <row r="379" customFormat="false" ht="15" hidden="false" customHeight="false" outlineLevel="0" collapsed="false">
      <c r="A379" s="52" t="n">
        <v>339</v>
      </c>
      <c r="B379" s="21" t="n">
        <f aca="true">NORMINV(RAND(),$B$6,$C$6)</f>
        <v>0.19453671160918</v>
      </c>
      <c r="C379" s="21" t="n">
        <f aca="true">MAX(0.03,NORMINV(RAND(),$B$7,$C$7))</f>
        <v>0.204517843495457</v>
      </c>
      <c r="D379" s="33" t="n">
        <f aca="true">MAX(0.08,NORMINV(RAND(),$B$8,$C$8))</f>
        <v>0.139549551199054</v>
      </c>
      <c r="E379" s="48" t="n">
        <f aca="true">MAX(4,NORMINV(RAND(),$B$9,$C$9))</f>
        <v>11.9638914169971</v>
      </c>
      <c r="F379" s="26" t="n">
        <f aca="false">$B$18*(1+(B379+$B$17)/2)^9</f>
        <v>7825.40787032032</v>
      </c>
      <c r="G379" s="26" t="n">
        <f aca="false">F379*C379</f>
        <v>1600.43554211029</v>
      </c>
      <c r="H379" s="26" t="n">
        <f aca="false">E379*G379/(1+D379)^9</f>
        <v>5908.96912213781</v>
      </c>
      <c r="I379" s="26" t="n">
        <f aca="false">$B$13*G379/$B$12*((1+$B$8)/(1+D379))^4.5</f>
        <v>2403.34490458978</v>
      </c>
      <c r="J379" s="26" t="n">
        <f aca="false">H379+I379+$B$14</f>
        <v>10398.7129048098</v>
      </c>
      <c r="K379" s="44" t="n">
        <f aca="false">J379/$B$15</f>
        <v>16.5058934996981</v>
      </c>
    </row>
    <row r="380" customFormat="false" ht="15" hidden="false" customHeight="false" outlineLevel="0" collapsed="false">
      <c r="A380" s="52" t="n">
        <v>340</v>
      </c>
      <c r="B380" s="21" t="n">
        <f aca="true">NORMINV(RAND(),$B$6,$C$6)</f>
        <v>0.217390539578826</v>
      </c>
      <c r="C380" s="21" t="n">
        <f aca="true">MAX(0.03,NORMINV(RAND(),$B$7,$C$7))</f>
        <v>0.212905168797653</v>
      </c>
      <c r="D380" s="33" t="n">
        <f aca="true">MAX(0.08,NORMINV(RAND(),$B$8,$C$8))</f>
        <v>0.124031349475758</v>
      </c>
      <c r="E380" s="48" t="n">
        <f aca="true">MAX(4,NORMINV(RAND(),$B$9,$C$9))</f>
        <v>9.08197408304215</v>
      </c>
      <c r="F380" s="26" t="n">
        <f aca="false">$B$18*(1+(B380+$B$17)/2)^9</f>
        <v>8572.42190087088</v>
      </c>
      <c r="G380" s="26" t="n">
        <f aca="false">F380*C380</f>
        <v>1825.11293180961</v>
      </c>
      <c r="H380" s="26" t="n">
        <f aca="false">E380*G380/(1+D380)^9</f>
        <v>5787.142612561</v>
      </c>
      <c r="I380" s="26" t="n">
        <f aca="false">$B$13*G380/$B$12*((1+$B$8)/(1+D380))^4.5</f>
        <v>2915.17219344823</v>
      </c>
      <c r="J380" s="26" t="n">
        <f aca="false">H380+I380+$B$14</f>
        <v>10788.7136840914</v>
      </c>
      <c r="K380" s="44" t="n">
        <f aca="false">J380/$B$15</f>
        <v>17.1249423557007</v>
      </c>
    </row>
    <row r="381" customFormat="false" ht="15" hidden="false" customHeight="false" outlineLevel="0" collapsed="false">
      <c r="A381" s="52" t="n">
        <v>341</v>
      </c>
      <c r="B381" s="21" t="n">
        <f aca="true">NORMINV(RAND(),$B$6,$C$6)</f>
        <v>0.280388503825847</v>
      </c>
      <c r="C381" s="21" t="n">
        <f aca="true">MAX(0.03,NORMINV(RAND(),$B$7,$C$7))</f>
        <v>0.243026290725214</v>
      </c>
      <c r="D381" s="33" t="n">
        <f aca="true">MAX(0.08,NORMINV(RAND(),$B$8,$C$8))</f>
        <v>0.144612890069319</v>
      </c>
      <c r="E381" s="48" t="n">
        <f aca="true">MAX(4,NORMINV(RAND(),$B$9,$C$9))</f>
        <v>15.1166614908587</v>
      </c>
      <c r="F381" s="26" t="n">
        <f aca="false">$B$18*(1+(B381+$B$17)/2)^9</f>
        <v>10970.3763675372</v>
      </c>
      <c r="G381" s="26" t="n">
        <f aca="false">F381*C381</f>
        <v>2666.08987646211</v>
      </c>
      <c r="H381" s="26" t="n">
        <f aca="false">E381*G381/(1+D381)^9</f>
        <v>11950.9652084428</v>
      </c>
      <c r="I381" s="26" t="n">
        <f aca="false">$B$13*G381/$B$12*((1+$B$8)/(1+D381))^4.5</f>
        <v>3924.53600941072</v>
      </c>
      <c r="J381" s="26" t="n">
        <f aca="false">H381+I381+$B$14</f>
        <v>17961.9000959358</v>
      </c>
      <c r="K381" s="44" t="n">
        <f aca="false">J381/$B$15</f>
        <v>28.5109525332314</v>
      </c>
    </row>
    <row r="382" customFormat="false" ht="15" hidden="false" customHeight="false" outlineLevel="0" collapsed="false">
      <c r="A382" s="52" t="n">
        <v>342</v>
      </c>
      <c r="B382" s="21" t="n">
        <f aca="true">NORMINV(RAND(),$B$6,$C$6)</f>
        <v>0.201045319991015</v>
      </c>
      <c r="C382" s="21" t="n">
        <f aca="true">MAX(0.03,NORMINV(RAND(),$B$7,$C$7))</f>
        <v>0.181514487508711</v>
      </c>
      <c r="D382" s="33" t="n">
        <f aca="true">MAX(0.08,NORMINV(RAND(),$B$8,$C$8))</f>
        <v>0.131060309842323</v>
      </c>
      <c r="E382" s="48" t="n">
        <f aca="true">MAX(4,NORMINV(RAND(),$B$9,$C$9))</f>
        <v>10.4395414416427</v>
      </c>
      <c r="F382" s="26" t="n">
        <f aca="false">$B$18*(1+(B382+$B$17)/2)^9</f>
        <v>8032.01873723412</v>
      </c>
      <c r="G382" s="26" t="n">
        <f aca="false">F382*C382</f>
        <v>1457.92776474942</v>
      </c>
      <c r="H382" s="26" t="n">
        <f aca="false">E382*G382/(1+D382)^9</f>
        <v>5023.95295960818</v>
      </c>
      <c r="I382" s="26" t="n">
        <f aca="false">$B$13*G382/$B$12*((1+$B$8)/(1+D382))^4.5</f>
        <v>2264.26603789805</v>
      </c>
      <c r="J382" s="26" t="n">
        <f aca="false">H382+I382+$B$14</f>
        <v>9374.61787558841</v>
      </c>
      <c r="K382" s="44" t="n">
        <f aca="false">J382/$B$15</f>
        <v>14.8803458342673</v>
      </c>
    </row>
    <row r="383" customFormat="false" ht="15" hidden="false" customHeight="false" outlineLevel="0" collapsed="false">
      <c r="A383" s="52" t="n">
        <v>343</v>
      </c>
      <c r="B383" s="21" t="n">
        <f aca="true">NORMINV(RAND(),$B$6,$C$6)</f>
        <v>0.210321477299761</v>
      </c>
      <c r="C383" s="21" t="n">
        <f aca="true">MAX(0.03,NORMINV(RAND(),$B$7,$C$7))</f>
        <v>0.218319307646022</v>
      </c>
      <c r="D383" s="33" t="n">
        <f aca="true">MAX(0.08,NORMINV(RAND(),$B$8,$C$8))</f>
        <v>0.133753123447042</v>
      </c>
      <c r="E383" s="48" t="n">
        <f aca="true">MAX(4,NORMINV(RAND(),$B$9,$C$9))</f>
        <v>13.864783767045</v>
      </c>
      <c r="F383" s="26" t="n">
        <f aca="false">$B$18*(1+(B383+$B$17)/2)^9</f>
        <v>8334.86307780274</v>
      </c>
      <c r="G383" s="26" t="n">
        <f aca="false">F383*C383</f>
        <v>1819.66153647028</v>
      </c>
      <c r="H383" s="26" t="n">
        <f aca="false">E383*G383/(1+D383)^9</f>
        <v>8151.49463675618</v>
      </c>
      <c r="I383" s="26" t="n">
        <f aca="false">$B$13*G383/$B$12*((1+$B$8)/(1+D383))^4.5</f>
        <v>2795.98449743188</v>
      </c>
      <c r="J383" s="26" t="n">
        <f aca="false">H383+I383+$B$14</f>
        <v>13033.8780122703</v>
      </c>
      <c r="K383" s="44" t="n">
        <f aca="false">J383/$B$15</f>
        <v>20.6886952575718</v>
      </c>
    </row>
    <row r="384" customFormat="false" ht="15" hidden="false" customHeight="false" outlineLevel="0" collapsed="false">
      <c r="A384" s="52" t="n">
        <v>344</v>
      </c>
      <c r="B384" s="21" t="n">
        <f aca="true">NORMINV(RAND(),$B$6,$C$6)</f>
        <v>0.237184104675508</v>
      </c>
      <c r="C384" s="21" t="n">
        <f aca="true">MAX(0.03,NORMINV(RAND(),$B$7,$C$7))</f>
        <v>0.245286062009144</v>
      </c>
      <c r="D384" s="33" t="n">
        <f aca="true">MAX(0.08,NORMINV(RAND(),$B$8,$C$8))</f>
        <v>0.132747216350539</v>
      </c>
      <c r="E384" s="48" t="n">
        <f aca="true">MAX(4,NORMINV(RAND(),$B$9,$C$9))</f>
        <v>14.4837586976576</v>
      </c>
      <c r="F384" s="26" t="n">
        <f aca="false">$B$18*(1+(B384+$B$17)/2)^9</f>
        <v>9269.93485155324</v>
      </c>
      <c r="G384" s="26" t="n">
        <f aca="false">F384*C384</f>
        <v>2273.78581481881</v>
      </c>
      <c r="H384" s="26" t="n">
        <f aca="false">E384*G384/(1+D384)^9</f>
        <v>10725.9014200865</v>
      </c>
      <c r="I384" s="26" t="n">
        <f aca="false">$B$13*G384/$B$12*((1+$B$8)/(1+D384))^4.5</f>
        <v>3507.74823593925</v>
      </c>
      <c r="J384" s="26" t="n">
        <f aca="false">H384+I384+$B$14</f>
        <v>16320.048534108</v>
      </c>
      <c r="K384" s="44" t="n">
        <f aca="false">J384/$B$15</f>
        <v>25.9048389430285</v>
      </c>
    </row>
    <row r="385" customFormat="false" ht="15" hidden="false" customHeight="false" outlineLevel="0" collapsed="false">
      <c r="A385" s="52" t="n">
        <v>345</v>
      </c>
      <c r="B385" s="21" t="n">
        <f aca="true">NORMINV(RAND(),$B$6,$C$6)</f>
        <v>0.127625133372855</v>
      </c>
      <c r="C385" s="21" t="n">
        <f aca="true">MAX(0.03,NORMINV(RAND(),$B$7,$C$7))</f>
        <v>0.199118644581261</v>
      </c>
      <c r="D385" s="33" t="n">
        <f aca="true">MAX(0.08,NORMINV(RAND(),$B$8,$C$8))</f>
        <v>0.145942796521836</v>
      </c>
      <c r="E385" s="48" t="n">
        <f aca="true">MAX(4,NORMINV(RAND(),$B$9,$C$9))</f>
        <v>12.6103232546717</v>
      </c>
      <c r="F385" s="26" t="n">
        <f aca="false">$B$18*(1+(B385+$B$17)/2)^9</f>
        <v>5959.56619567346</v>
      </c>
      <c r="G385" s="26" t="n">
        <f aca="false">F385*C385</f>
        <v>1186.6607431748</v>
      </c>
      <c r="H385" s="26" t="n">
        <f aca="false">E385*G385/(1+D385)^9</f>
        <v>4391.23161330122</v>
      </c>
      <c r="I385" s="26" t="n">
        <f aca="false">$B$13*G385/$B$12*((1+$B$8)/(1+D385))^4.5</f>
        <v>1737.68370453326</v>
      </c>
      <c r="J385" s="26" t="n">
        <f aca="false">H385+I385+$B$14</f>
        <v>8215.31419591667</v>
      </c>
      <c r="K385" s="44" t="n">
        <f aca="false">J385/$B$15</f>
        <v>13.0401812633598</v>
      </c>
    </row>
    <row r="386" customFormat="false" ht="15" hidden="false" customHeight="false" outlineLevel="0" collapsed="false">
      <c r="A386" s="52" t="n">
        <v>346</v>
      </c>
      <c r="B386" s="21" t="n">
        <f aca="true">NORMINV(RAND(),$B$6,$C$6)</f>
        <v>0.211186465052827</v>
      </c>
      <c r="C386" s="21" t="n">
        <f aca="true">MAX(0.03,NORMINV(RAND(),$B$7,$C$7))</f>
        <v>0.216824036807077</v>
      </c>
      <c r="D386" s="33" t="n">
        <f aca="true">MAX(0.08,NORMINV(RAND(),$B$8,$C$8))</f>
        <v>0.135930025933043</v>
      </c>
      <c r="E386" s="48" t="n">
        <f aca="true">MAX(4,NORMINV(RAND(),$B$9,$C$9))</f>
        <v>11.5257227540941</v>
      </c>
      <c r="F386" s="26" t="n">
        <f aca="false">$B$18*(1+(B386+$B$17)/2)^9</f>
        <v>8363.61359093011</v>
      </c>
      <c r="G386" s="26" t="n">
        <f aca="false">F386*C386</f>
        <v>1813.43246108</v>
      </c>
      <c r="H386" s="26" t="n">
        <f aca="false">E386*G386/(1+D386)^9</f>
        <v>6637.51231480353</v>
      </c>
      <c r="I386" s="26" t="n">
        <f aca="false">$B$13*G386/$B$12*((1+$B$8)/(1+D386))^4.5</f>
        <v>2762.46418838842</v>
      </c>
      <c r="J386" s="26" t="n">
        <f aca="false">H386+I386+$B$14</f>
        <v>11486.3753812741</v>
      </c>
      <c r="K386" s="44" t="n">
        <f aca="false">J386/$B$15</f>
        <v>18.2323418750383</v>
      </c>
    </row>
    <row r="387" customFormat="false" ht="15" hidden="false" customHeight="false" outlineLevel="0" collapsed="false">
      <c r="A387" s="52" t="n">
        <v>347</v>
      </c>
      <c r="B387" s="21" t="n">
        <f aca="true">NORMINV(RAND(),$B$6,$C$6)</f>
        <v>0.220764206559263</v>
      </c>
      <c r="C387" s="21" t="n">
        <f aca="true">MAX(0.03,NORMINV(RAND(),$B$7,$C$7))</f>
        <v>0.212129979538904</v>
      </c>
      <c r="D387" s="33" t="n">
        <f aca="true">MAX(0.08,NORMINV(RAND(),$B$8,$C$8))</f>
        <v>0.148491853130516</v>
      </c>
      <c r="E387" s="48" t="n">
        <f aca="true">MAX(4,NORMINV(RAND(),$B$9,$C$9))</f>
        <v>14.7755984235204</v>
      </c>
      <c r="F387" s="26" t="n">
        <f aca="false">$B$18*(1+(B387+$B$17)/2)^9</f>
        <v>8687.90221743198</v>
      </c>
      <c r="G387" s="26" t="n">
        <f aca="false">F387*C387</f>
        <v>1842.96451961984</v>
      </c>
      <c r="H387" s="26" t="n">
        <f aca="false">E387*G387/(1+D387)^9</f>
        <v>7832.6872101455</v>
      </c>
      <c r="I387" s="26" t="n">
        <f aca="false">$B$13*G387/$B$12*((1+$B$8)/(1+D387))^4.5</f>
        <v>2671.89088144688</v>
      </c>
      <c r="J387" s="26" t="n">
        <f aca="false">H387+I387+$B$14</f>
        <v>12590.9769696746</v>
      </c>
      <c r="K387" s="44" t="n">
        <f aca="false">J387/$B$15</f>
        <v>19.9856777296422</v>
      </c>
    </row>
    <row r="388" customFormat="false" ht="15" hidden="false" customHeight="false" outlineLevel="0" collapsed="false">
      <c r="A388" s="52" t="n">
        <v>348</v>
      </c>
      <c r="B388" s="21" t="n">
        <f aca="true">NORMINV(RAND(),$B$6,$C$6)</f>
        <v>0.250629043667112</v>
      </c>
      <c r="C388" s="21" t="n">
        <f aca="true">MAX(0.03,NORMINV(RAND(),$B$7,$C$7))</f>
        <v>0.201069466916905</v>
      </c>
      <c r="D388" s="33" t="n">
        <f aca="true">MAX(0.08,NORMINV(RAND(),$B$8,$C$8))</f>
        <v>0.127158282074705</v>
      </c>
      <c r="E388" s="48" t="n">
        <f aca="true">MAX(4,NORMINV(RAND(),$B$9,$C$9))</f>
        <v>8.33783815261597</v>
      </c>
      <c r="F388" s="26" t="n">
        <f aca="false">$B$18*(1+(B388+$B$17)/2)^9</f>
        <v>9772.05601853092</v>
      </c>
      <c r="G388" s="26" t="n">
        <f aca="false">F388*C388</f>
        <v>1964.86209432815</v>
      </c>
      <c r="H388" s="26" t="n">
        <f aca="false">E388*G388/(1+D388)^9</f>
        <v>5578.55060293403</v>
      </c>
      <c r="I388" s="26" t="n">
        <f aca="false">$B$13*G388/$B$12*((1+$B$8)/(1+D388))^4.5</f>
        <v>3099.39817974811</v>
      </c>
      <c r="J388" s="26" t="n">
        <f aca="false">H388+I388+$B$14</f>
        <v>10764.3476607643</v>
      </c>
      <c r="K388" s="44" t="n">
        <f aca="false">J388/$B$15</f>
        <v>17.0862661281974</v>
      </c>
    </row>
    <row r="389" customFormat="false" ht="15" hidden="false" customHeight="false" outlineLevel="0" collapsed="false">
      <c r="A389" s="52" t="n">
        <v>349</v>
      </c>
      <c r="B389" s="21" t="n">
        <f aca="true">NORMINV(RAND(),$B$6,$C$6)</f>
        <v>0.219497865276994</v>
      </c>
      <c r="C389" s="21" t="n">
        <f aca="true">MAX(0.03,NORMINV(RAND(),$B$7,$C$7))</f>
        <v>0.163376295246574</v>
      </c>
      <c r="D389" s="33" t="n">
        <f aca="true">MAX(0.08,NORMINV(RAND(),$B$8,$C$8))</f>
        <v>0.137088140051224</v>
      </c>
      <c r="E389" s="48" t="n">
        <f aca="true">MAX(4,NORMINV(RAND(),$B$9,$C$9))</f>
        <v>13.4155956203532</v>
      </c>
      <c r="F389" s="26" t="n">
        <f aca="false">$B$18*(1+(B389+$B$17)/2)^9</f>
        <v>8644.39437332657</v>
      </c>
      <c r="G389" s="26" t="n">
        <f aca="false">F389*C389</f>
        <v>1412.28912736443</v>
      </c>
      <c r="H389" s="26" t="n">
        <f aca="false">E389*G389/(1+D389)^9</f>
        <v>5961.92359964436</v>
      </c>
      <c r="I389" s="26" t="n">
        <f aca="false">$B$13*G389/$B$12*((1+$B$8)/(1+D389))^4.5</f>
        <v>2141.54601192805</v>
      </c>
      <c r="J389" s="26" t="n">
        <f aca="false">H389+I389+$B$14</f>
        <v>10189.8684896546</v>
      </c>
      <c r="K389" s="44" t="n">
        <f aca="false">J389/$B$15</f>
        <v>16.1743944280232</v>
      </c>
    </row>
    <row r="390" customFormat="false" ht="15" hidden="false" customHeight="false" outlineLevel="0" collapsed="false">
      <c r="A390" s="52" t="n">
        <v>350</v>
      </c>
      <c r="B390" s="21" t="n">
        <f aca="true">NORMINV(RAND(),$B$6,$C$6)</f>
        <v>0.113283758260433</v>
      </c>
      <c r="C390" s="21" t="n">
        <f aca="true">MAX(0.03,NORMINV(RAND(),$B$7,$C$7))</f>
        <v>0.215839907749219</v>
      </c>
      <c r="D390" s="33" t="n">
        <f aca="true">MAX(0.08,NORMINV(RAND(),$B$8,$C$8))</f>
        <v>0.126338573737829</v>
      </c>
      <c r="E390" s="48" t="n">
        <f aca="true">MAX(4,NORMINV(RAND(),$B$9,$C$9))</f>
        <v>12.3462523158635</v>
      </c>
      <c r="F390" s="26" t="n">
        <f aca="false">$B$18*(1+(B390+$B$17)/2)^9</f>
        <v>5615.49405298102</v>
      </c>
      <c r="G390" s="26" t="n">
        <f aca="false">F390*C390</f>
        <v>1212.04771836171</v>
      </c>
      <c r="H390" s="26" t="n">
        <f aca="false">E390*G390/(1+D390)^9</f>
        <v>5129.01828891826</v>
      </c>
      <c r="I390" s="26" t="n">
        <f aca="false">$B$13*G390/$B$12*((1+$B$8)/(1+D390))^4.5</f>
        <v>1918.16864333351</v>
      </c>
      <c r="J390" s="26" t="n">
        <f aca="false">H390+I390+$B$14</f>
        <v>9133.58581033396</v>
      </c>
      <c r="K390" s="44" t="n">
        <f aca="false">J390/$B$15</f>
        <v>14.4977552544984</v>
      </c>
    </row>
    <row r="391" customFormat="false" ht="15" hidden="false" customHeight="false" outlineLevel="0" collapsed="false">
      <c r="A391" s="52" t="n">
        <v>351</v>
      </c>
      <c r="B391" s="21" t="n">
        <f aca="true">NORMINV(RAND(),$B$6,$C$6)</f>
        <v>0.233880291710601</v>
      </c>
      <c r="C391" s="21" t="n">
        <f aca="true">MAX(0.03,NORMINV(RAND(),$B$7,$C$7))</f>
        <v>0.174116670230953</v>
      </c>
      <c r="D391" s="33" t="n">
        <f aca="true">MAX(0.08,NORMINV(RAND(),$B$8,$C$8))</f>
        <v>0.12348429378955</v>
      </c>
      <c r="E391" s="48" t="n">
        <f aca="true">MAX(4,NORMINV(RAND(),$B$9,$C$9))</f>
        <v>10.1117021905031</v>
      </c>
      <c r="F391" s="26" t="n">
        <f aca="false">$B$18*(1+(B391+$B$17)/2)^9</f>
        <v>9150.11593276733</v>
      </c>
      <c r="G391" s="26" t="n">
        <f aca="false">F391*C391</f>
        <v>1593.18771844064</v>
      </c>
      <c r="H391" s="26" t="n">
        <f aca="false">E391*G391/(1+D391)^9</f>
        <v>5649.21588416027</v>
      </c>
      <c r="I391" s="26" t="n">
        <f aca="false">$B$13*G391/$B$12*((1+$B$8)/(1+D391))^4.5</f>
        <v>2550.30900220865</v>
      </c>
      <c r="J391" s="26" t="n">
        <f aca="false">H391+I391+$B$14</f>
        <v>10285.9237644511</v>
      </c>
      <c r="K391" s="44" t="n">
        <f aca="false">J391/$B$15</f>
        <v>16.3268631181764</v>
      </c>
    </row>
    <row r="392" customFormat="false" ht="15" hidden="false" customHeight="false" outlineLevel="0" collapsed="false">
      <c r="A392" s="52" t="n">
        <v>352</v>
      </c>
      <c r="B392" s="21" t="n">
        <f aca="true">NORMINV(RAND(),$B$6,$C$6)</f>
        <v>0.241395936012128</v>
      </c>
      <c r="C392" s="21" t="n">
        <f aca="true">MAX(0.03,NORMINV(RAND(),$B$7,$C$7))</f>
        <v>0.241334321513159</v>
      </c>
      <c r="D392" s="33" t="n">
        <f aca="true">MAX(0.08,NORMINV(RAND(),$B$8,$C$8))</f>
        <v>0.149090736235854</v>
      </c>
      <c r="E392" s="48" t="n">
        <f aca="true">MAX(4,NORMINV(RAND(),$B$9,$C$9))</f>
        <v>14.106348702235</v>
      </c>
      <c r="F392" s="26" t="n">
        <f aca="false">$B$18*(1+(B392+$B$17)/2)^9</f>
        <v>9424.70599683261</v>
      </c>
      <c r="G392" s="26" t="n">
        <f aca="false">F392*C392</f>
        <v>2274.5050272066</v>
      </c>
      <c r="H392" s="26" t="n">
        <f aca="false">E392*G392/(1+D392)^9</f>
        <v>9185.70735294877</v>
      </c>
      <c r="I392" s="26" t="n">
        <f aca="false">$B$13*G392/$B$12*((1+$B$8)/(1+D392))^4.5</f>
        <v>3289.80248130302</v>
      </c>
      <c r="J392" s="26" t="n">
        <f aca="false">H392+I392+$B$14</f>
        <v>14561.908712334</v>
      </c>
      <c r="K392" s="44" t="n">
        <f aca="false">J392/$B$15</f>
        <v>23.1141408132285</v>
      </c>
    </row>
    <row r="393" customFormat="false" ht="15" hidden="false" customHeight="false" outlineLevel="0" collapsed="false">
      <c r="A393" s="52" t="n">
        <v>353</v>
      </c>
      <c r="B393" s="21" t="n">
        <f aca="true">NORMINV(RAND(),$B$6,$C$6)</f>
        <v>0.214870903115938</v>
      </c>
      <c r="C393" s="21" t="n">
        <f aca="true">MAX(0.03,NORMINV(RAND(),$B$7,$C$7))</f>
        <v>0.184264048938938</v>
      </c>
      <c r="D393" s="33" t="n">
        <f aca="true">MAX(0.08,NORMINV(RAND(),$B$8,$C$8))</f>
        <v>0.138173932768015</v>
      </c>
      <c r="E393" s="48" t="n">
        <f aca="true">MAX(4,NORMINV(RAND(),$B$9,$C$9))</f>
        <v>12.7455819528352</v>
      </c>
      <c r="F393" s="26" t="n">
        <f aca="false">$B$18*(1+(B393+$B$17)/2)^9</f>
        <v>8487.06711459835</v>
      </c>
      <c r="G393" s="26" t="n">
        <f aca="false">F393*C393</f>
        <v>1563.8613501524</v>
      </c>
      <c r="H393" s="26" t="n">
        <f aca="false">E393*G393/(1+D393)^9</f>
        <v>6218.42215980666</v>
      </c>
      <c r="I393" s="26" t="n">
        <f aca="false">$B$13*G393/$B$12*((1+$B$8)/(1+D393))^4.5</f>
        <v>2361.22171106521</v>
      </c>
      <c r="J393" s="26" t="n">
        <f aca="false">H393+I393+$B$14</f>
        <v>10666.0427489541</v>
      </c>
      <c r="K393" s="44" t="n">
        <f aca="false">J393/$B$15</f>
        <v>16.9302265856414</v>
      </c>
    </row>
    <row r="394" customFormat="false" ht="15" hidden="false" customHeight="false" outlineLevel="0" collapsed="false">
      <c r="A394" s="52" t="n">
        <v>354</v>
      </c>
      <c r="B394" s="21" t="n">
        <f aca="true">NORMINV(RAND(),$B$6,$C$6)</f>
        <v>0.247530650847953</v>
      </c>
      <c r="C394" s="21" t="n">
        <f aca="true">MAX(0.03,NORMINV(RAND(),$B$7,$C$7))</f>
        <v>0.235793989126335</v>
      </c>
      <c r="D394" s="33" t="n">
        <f aca="true">MAX(0.08,NORMINV(RAND(),$B$8,$C$8))</f>
        <v>0.133671584427161</v>
      </c>
      <c r="E394" s="48" t="n">
        <f aca="true">MAX(4,NORMINV(RAND(),$B$9,$C$9))</f>
        <v>11.0728076916662</v>
      </c>
      <c r="F394" s="26" t="n">
        <f aca="false">$B$18*(1+(B394+$B$17)/2)^9</f>
        <v>9654.24664973595</v>
      </c>
      <c r="G394" s="26" t="n">
        <f aca="false">F394*C394</f>
        <v>2276.4133295508</v>
      </c>
      <c r="H394" s="26" t="n">
        <f aca="false">E394*G394/(1+D394)^9</f>
        <v>8149.36044417021</v>
      </c>
      <c r="I394" s="26" t="n">
        <f aca="false">$B$13*G394/$B$12*((1+$B$8)/(1+D394))^4.5</f>
        <v>3498.93458506039</v>
      </c>
      <c r="J394" s="26" t="n">
        <f aca="false">H394+I394+$B$14</f>
        <v>13734.6939073128</v>
      </c>
      <c r="K394" s="44" t="n">
        <f aca="false">J394/$B$15</f>
        <v>21.801101440179</v>
      </c>
    </row>
    <row r="395" customFormat="false" ht="15" hidden="false" customHeight="false" outlineLevel="0" collapsed="false">
      <c r="A395" s="52" t="n">
        <v>355</v>
      </c>
      <c r="B395" s="21" t="n">
        <f aca="true">NORMINV(RAND(),$B$6,$C$6)</f>
        <v>0.2467450473626</v>
      </c>
      <c r="C395" s="21" t="n">
        <f aca="true">MAX(0.03,NORMINV(RAND(),$B$7,$C$7))</f>
        <v>0.263230813900743</v>
      </c>
      <c r="D395" s="33" t="n">
        <f aca="true">MAX(0.08,NORMINV(RAND(),$B$8,$C$8))</f>
        <v>0.133203688644274</v>
      </c>
      <c r="E395" s="48" t="n">
        <f aca="true">MAX(4,NORMINV(RAND(),$B$9,$C$9))</f>
        <v>11.3184724940904</v>
      </c>
      <c r="F395" s="26" t="n">
        <f aca="false">$B$18*(1+(B395+$B$17)/2)^9</f>
        <v>9624.57722983828</v>
      </c>
      <c r="G395" s="26" t="n">
        <f aca="false">F395*C395</f>
        <v>2533.48529766089</v>
      </c>
      <c r="H395" s="26" t="n">
        <f aca="false">E395*G395/(1+D395)^9</f>
        <v>9305.38599143751</v>
      </c>
      <c r="I395" s="26" t="n">
        <f aca="false">$B$13*G395/$B$12*((1+$B$8)/(1+D395))^4.5</f>
        <v>3901.30459178874</v>
      </c>
      <c r="J395" s="26" t="n">
        <f aca="false">H395+I395+$B$14</f>
        <v>15293.0894613084</v>
      </c>
      <c r="K395" s="44" t="n">
        <f aca="false">J395/$B$15</f>
        <v>24.2747451766801</v>
      </c>
    </row>
    <row r="396" customFormat="false" ht="15" hidden="false" customHeight="false" outlineLevel="0" collapsed="false">
      <c r="A396" s="52" t="n">
        <v>356</v>
      </c>
      <c r="B396" s="21" t="n">
        <f aca="true">NORMINV(RAND(),$B$6,$C$6)</f>
        <v>0.309169512756459</v>
      </c>
      <c r="C396" s="21" t="n">
        <f aca="true">MAX(0.03,NORMINV(RAND(),$B$7,$C$7))</f>
        <v>0.148214324490623</v>
      </c>
      <c r="D396" s="33" t="n">
        <f aca="true">MAX(0.08,NORMINV(RAND(),$B$8,$C$8))</f>
        <v>0.12703420713577</v>
      </c>
      <c r="E396" s="48" t="n">
        <f aca="true">MAX(4,NORMINV(RAND(),$B$9,$C$9))</f>
        <v>13.3971558647768</v>
      </c>
      <c r="F396" s="26" t="n">
        <f aca="false">$B$18*(1+(B396+$B$17)/2)^9</f>
        <v>12251.7715446321</v>
      </c>
      <c r="G396" s="26" t="n">
        <f aca="false">F396*C396</f>
        <v>1815.88804330108</v>
      </c>
      <c r="H396" s="26" t="n">
        <f aca="false">E396*G396/(1+D396)^9</f>
        <v>8292.16241078357</v>
      </c>
      <c r="I396" s="26" t="n">
        <f aca="false">$B$13*G396/$B$12*((1+$B$8)/(1+D396))^4.5</f>
        <v>2865.82394885891</v>
      </c>
      <c r="J396" s="26" t="n">
        <f aca="false">H396+I396+$B$14</f>
        <v>13244.3852377247</v>
      </c>
      <c r="K396" s="44" t="n">
        <f aca="false">J396/$B$15</f>
        <v>21.0228337106741</v>
      </c>
    </row>
    <row r="397" customFormat="false" ht="15" hidden="false" customHeight="false" outlineLevel="0" collapsed="false">
      <c r="A397" s="52" t="n">
        <v>357</v>
      </c>
      <c r="B397" s="21" t="n">
        <f aca="true">NORMINV(RAND(),$B$6,$C$6)</f>
        <v>0.190015294498485</v>
      </c>
      <c r="C397" s="21" t="n">
        <f aca="true">MAX(0.03,NORMINV(RAND(),$B$7,$C$7))</f>
        <v>0.201859223606697</v>
      </c>
      <c r="D397" s="33" t="n">
        <f aca="true">MAX(0.08,NORMINV(RAND(),$B$8,$C$8))</f>
        <v>0.132747487970594</v>
      </c>
      <c r="E397" s="48" t="n">
        <f aca="true">MAX(4,NORMINV(RAND(),$B$9,$C$9))</f>
        <v>11.2307312695636</v>
      </c>
      <c r="F397" s="26" t="n">
        <f aca="false">$B$18*(1+(B397+$B$17)/2)^9</f>
        <v>7684.67345248663</v>
      </c>
      <c r="G397" s="26" t="n">
        <f aca="false">F397*C397</f>
        <v>1551.22221678995</v>
      </c>
      <c r="H397" s="26" t="n">
        <f aca="false">E397*G397/(1+D397)^9</f>
        <v>5673.93141646865</v>
      </c>
      <c r="I397" s="26" t="n">
        <f aca="false">$B$13*G397/$B$12*((1+$B$8)/(1+D397))^4.5</f>
        <v>2393.05350908952</v>
      </c>
      <c r="J397" s="26" t="n">
        <f aca="false">H397+I397+$B$14</f>
        <v>10153.3838036404</v>
      </c>
      <c r="K397" s="44" t="n">
        <f aca="false">J397/$B$15</f>
        <v>16.1164822280006</v>
      </c>
    </row>
    <row r="398" customFormat="false" ht="15" hidden="false" customHeight="false" outlineLevel="0" collapsed="false">
      <c r="A398" s="52" t="n">
        <v>358</v>
      </c>
      <c r="B398" s="21" t="n">
        <f aca="true">NORMINV(RAND(),$B$6,$C$6)</f>
        <v>0.200361592603754</v>
      </c>
      <c r="C398" s="21" t="n">
        <f aca="true">MAX(0.03,NORMINV(RAND(),$B$7,$C$7))</f>
        <v>0.248012276966924</v>
      </c>
      <c r="D398" s="33" t="n">
        <f aca="true">MAX(0.08,NORMINV(RAND(),$B$8,$C$8))</f>
        <v>0.134247531936031</v>
      </c>
      <c r="E398" s="48" t="n">
        <f aca="true">MAX(4,NORMINV(RAND(),$B$9,$C$9))</f>
        <v>14.2755878908926</v>
      </c>
      <c r="F398" s="26" t="n">
        <f aca="false">$B$18*(1+(B398+$B$17)/2)^9</f>
        <v>8010.08875060257</v>
      </c>
      <c r="G398" s="26" t="n">
        <f aca="false">F398*C398</f>
        <v>1986.60034974409</v>
      </c>
      <c r="H398" s="26" t="n">
        <f aca="false">E398*G398/(1+D398)^9</f>
        <v>9127.12342266115</v>
      </c>
      <c r="I398" s="26" t="n">
        <f aca="false">$B$13*G398/$B$12*((1+$B$8)/(1+D398))^4.5</f>
        <v>3046.50989265274</v>
      </c>
      <c r="J398" s="26" t="n">
        <f aca="false">H398+I398+$B$14</f>
        <v>14260.0321933961</v>
      </c>
      <c r="K398" s="44" t="n">
        <f aca="false">J398/$B$15</f>
        <v>22.6349717355493</v>
      </c>
    </row>
    <row r="399" customFormat="false" ht="15" hidden="false" customHeight="false" outlineLevel="0" collapsed="false">
      <c r="A399" s="52" t="n">
        <v>359</v>
      </c>
      <c r="B399" s="21" t="n">
        <f aca="true">NORMINV(RAND(),$B$6,$C$6)</f>
        <v>0.166106796454987</v>
      </c>
      <c r="C399" s="21" t="n">
        <f aca="true">MAX(0.03,NORMINV(RAND(),$B$7,$C$7))</f>
        <v>0.18122411062463</v>
      </c>
      <c r="D399" s="33" t="n">
        <f aca="true">MAX(0.08,NORMINV(RAND(),$B$8,$C$8))</f>
        <v>0.145307382251502</v>
      </c>
      <c r="E399" s="48" t="n">
        <f aca="true">MAX(4,NORMINV(RAND(),$B$9,$C$9))</f>
        <v>11.9212919564263</v>
      </c>
      <c r="F399" s="26" t="n">
        <f aca="false">$B$18*(1+(B399+$B$17)/2)^9</f>
        <v>6977.22512011761</v>
      </c>
      <c r="G399" s="26" t="n">
        <f aca="false">F399*C399</f>
        <v>1264.44141702114</v>
      </c>
      <c r="H399" s="26" t="n">
        <f aca="false">E399*G399/(1+D399)^9</f>
        <v>4445.52950061488</v>
      </c>
      <c r="I399" s="26" t="n">
        <f aca="false">$B$13*G399/$B$12*((1+$B$8)/(1+D399))^4.5</f>
        <v>1856.20877303595</v>
      </c>
      <c r="J399" s="26" t="n">
        <f aca="false">H399+I399+$B$14</f>
        <v>8388.13715173302</v>
      </c>
      <c r="K399" s="44" t="n">
        <f aca="false">J399/$B$15</f>
        <v>13.3145034154492</v>
      </c>
    </row>
    <row r="400" customFormat="false" ht="15" hidden="false" customHeight="false" outlineLevel="0" collapsed="false">
      <c r="A400" s="52" t="n">
        <v>360</v>
      </c>
      <c r="B400" s="21" t="n">
        <f aca="true">NORMINV(RAND(),$B$6,$C$6)</f>
        <v>0.212997064418181</v>
      </c>
      <c r="C400" s="21" t="n">
        <f aca="true">MAX(0.03,NORMINV(RAND(),$B$7,$C$7))</f>
        <v>0.13239658186157</v>
      </c>
      <c r="D400" s="33" t="n">
        <f aca="true">MAX(0.08,NORMINV(RAND(),$B$8,$C$8))</f>
        <v>0.131919466796109</v>
      </c>
      <c r="E400" s="48" t="n">
        <f aca="true">MAX(4,NORMINV(RAND(),$B$9,$C$9))</f>
        <v>8.47902267736618</v>
      </c>
      <c r="F400" s="26" t="n">
        <f aca="false">$B$18*(1+(B400+$B$17)/2)^9</f>
        <v>8424.07995249798</v>
      </c>
      <c r="G400" s="26" t="n">
        <f aca="false">F400*C400</f>
        <v>1115.31939103931</v>
      </c>
      <c r="H400" s="26" t="n">
        <f aca="false">E400*G400/(1+D400)^9</f>
        <v>3100.31119678184</v>
      </c>
      <c r="I400" s="26" t="n">
        <f aca="false">$B$13*G400/$B$12*((1+$B$8)/(1+D400))^4.5</f>
        <v>1726.26215984823</v>
      </c>
      <c r="J400" s="26" t="n">
        <f aca="false">H400+I400+$B$14</f>
        <v>6912.97223471226</v>
      </c>
      <c r="K400" s="44" t="n">
        <f aca="false">J400/$B$15</f>
        <v>10.9729718011306</v>
      </c>
    </row>
    <row r="401" customFormat="false" ht="15" hidden="false" customHeight="false" outlineLevel="0" collapsed="false">
      <c r="A401" s="52" t="n">
        <v>361</v>
      </c>
      <c r="B401" s="21" t="n">
        <f aca="true">NORMINV(RAND(),$B$6,$C$6)</f>
        <v>0.304620175961829</v>
      </c>
      <c r="C401" s="21" t="n">
        <f aca="true">MAX(0.03,NORMINV(RAND(),$B$7,$C$7))</f>
        <v>0.192306505690471</v>
      </c>
      <c r="D401" s="33" t="n">
        <f aca="true">MAX(0.08,NORMINV(RAND(),$B$8,$C$8))</f>
        <v>0.137589233218473</v>
      </c>
      <c r="E401" s="48" t="n">
        <f aca="true">MAX(4,NORMINV(RAND(),$B$9,$C$9))</f>
        <v>10.9193267081499</v>
      </c>
      <c r="F401" s="26" t="n">
        <f aca="false">$B$18*(1+(B401+$B$17)/2)^9</f>
        <v>12040.7714789652</v>
      </c>
      <c r="G401" s="26" t="n">
        <f aca="false">F401*C401</f>
        <v>2315.51868893727</v>
      </c>
      <c r="H401" s="26" t="n">
        <f aca="false">E401*G401/(1+D401)^9</f>
        <v>7924.55518273146</v>
      </c>
      <c r="I401" s="26" t="n">
        <f aca="false">$B$13*G401/$B$12*((1+$B$8)/(1+D401))^4.5</f>
        <v>3504.21738937703</v>
      </c>
      <c r="J401" s="26" t="n">
        <f aca="false">H401+I401+$B$14</f>
        <v>13515.1714501907</v>
      </c>
      <c r="K401" s="44" t="n">
        <f aca="false">J401/$B$15</f>
        <v>21.4526530955408</v>
      </c>
    </row>
    <row r="402" customFormat="false" ht="15" hidden="false" customHeight="false" outlineLevel="0" collapsed="false">
      <c r="A402" s="52" t="n">
        <v>362</v>
      </c>
      <c r="B402" s="21" t="n">
        <f aca="true">NORMINV(RAND(),$B$6,$C$6)</f>
        <v>0.199003951015272</v>
      </c>
      <c r="C402" s="21" t="n">
        <f aca="true">MAX(0.03,NORMINV(RAND(),$B$7,$C$7))</f>
        <v>0.177352769474637</v>
      </c>
      <c r="D402" s="33" t="n">
        <f aca="true">MAX(0.08,NORMINV(RAND(),$B$8,$C$8))</f>
        <v>0.124592833169175</v>
      </c>
      <c r="E402" s="48" t="n">
        <f aca="true">MAX(4,NORMINV(RAND(),$B$9,$C$9))</f>
        <v>10.6406980749976</v>
      </c>
      <c r="F402" s="26" t="n">
        <f aca="false">$B$18*(1+(B402+$B$17)/2)^9</f>
        <v>7966.70122965443</v>
      </c>
      <c r="G402" s="26" t="n">
        <f aca="false">F402*C402</f>
        <v>1412.91652665621</v>
      </c>
      <c r="H402" s="26" t="n">
        <f aca="false">E402*G402/(1+D402)^9</f>
        <v>5225.51167010286</v>
      </c>
      <c r="I402" s="26" t="n">
        <f aca="false">$B$13*G402/$B$12*((1+$B$8)/(1+D402))^4.5</f>
        <v>2251.72309180574</v>
      </c>
      <c r="J402" s="26" t="n">
        <f aca="false">H402+I402+$B$14</f>
        <v>9563.63363999079</v>
      </c>
      <c r="K402" s="44" t="n">
        <f aca="false">J402/$B$15</f>
        <v>15.1803708571282</v>
      </c>
    </row>
    <row r="403" customFormat="false" ht="15" hidden="false" customHeight="false" outlineLevel="0" collapsed="false">
      <c r="A403" s="52" t="n">
        <v>363</v>
      </c>
      <c r="B403" s="21" t="n">
        <f aca="true">NORMINV(RAND(),$B$6,$C$6)</f>
        <v>0.197042115470368</v>
      </c>
      <c r="C403" s="21" t="n">
        <f aca="true">MAX(0.03,NORMINV(RAND(),$B$7,$C$7))</f>
        <v>0.198553102402486</v>
      </c>
      <c r="D403" s="33" t="n">
        <f aca="true">MAX(0.08,NORMINV(RAND(),$B$8,$C$8))</f>
        <v>0.106884128653267</v>
      </c>
      <c r="E403" s="48" t="n">
        <f aca="true">MAX(4,NORMINV(RAND(),$B$9,$C$9))</f>
        <v>13.4023304938279</v>
      </c>
      <c r="F403" s="26" t="n">
        <f aca="false">$B$18*(1+(B403+$B$17)/2)^9</f>
        <v>7904.37390314421</v>
      </c>
      <c r="G403" s="26" t="n">
        <f aca="false">F403*C403</f>
        <v>1569.43796101853</v>
      </c>
      <c r="H403" s="26" t="n">
        <f aca="false">E403*G403/(1+D403)^9</f>
        <v>8433.44532968506</v>
      </c>
      <c r="I403" s="26" t="n">
        <f aca="false">$B$13*G403/$B$12*((1+$B$8)/(1+D403))^4.5</f>
        <v>2686.34514232223</v>
      </c>
      <c r="J403" s="26" t="n">
        <f aca="false">H403+I403+$B$14</f>
        <v>13206.1893500895</v>
      </c>
      <c r="K403" s="44" t="n">
        <f aca="false">J403/$B$15</f>
        <v>20.9622053176024</v>
      </c>
    </row>
    <row r="404" customFormat="false" ht="15" hidden="false" customHeight="false" outlineLevel="0" collapsed="false">
      <c r="A404" s="52" t="n">
        <v>364</v>
      </c>
      <c r="B404" s="21" t="n">
        <f aca="true">NORMINV(RAND(),$B$6,$C$6)</f>
        <v>0.232925872417748</v>
      </c>
      <c r="C404" s="21" t="n">
        <f aca="true">MAX(0.03,NORMINV(RAND(),$B$7,$C$7))</f>
        <v>0.211082381191143</v>
      </c>
      <c r="D404" s="33" t="n">
        <f aca="true">MAX(0.08,NORMINV(RAND(),$B$8,$C$8))</f>
        <v>0.130590313489556</v>
      </c>
      <c r="E404" s="48" t="n">
        <f aca="true">MAX(4,NORMINV(RAND(),$B$9,$C$9))</f>
        <v>11.4918064281786</v>
      </c>
      <c r="F404" s="26" t="n">
        <f aca="false">$B$18*(1+(B404+$B$17)/2)^9</f>
        <v>9115.75941617306</v>
      </c>
      <c r="G404" s="26" t="n">
        <f aca="false">F404*C404</f>
        <v>1924.1762039314</v>
      </c>
      <c r="H404" s="26" t="n">
        <f aca="false">E404*G404/(1+D404)^9</f>
        <v>7326.31857040512</v>
      </c>
      <c r="I404" s="26" t="n">
        <f aca="false">$B$13*G404/$B$12*((1+$B$8)/(1+D404))^4.5</f>
        <v>2993.97759929465</v>
      </c>
      <c r="J404" s="26" t="n">
        <f aca="false">H404+I404+$B$14</f>
        <v>12406.695047782</v>
      </c>
      <c r="K404" s="44" t="n">
        <f aca="false">J404/$B$15</f>
        <v>19.693166742511</v>
      </c>
    </row>
    <row r="405" customFormat="false" ht="15" hidden="false" customHeight="false" outlineLevel="0" collapsed="false">
      <c r="A405" s="52" t="n">
        <v>365</v>
      </c>
      <c r="B405" s="21" t="n">
        <f aca="true">NORMINV(RAND(),$B$6,$C$6)</f>
        <v>0.259698017727157</v>
      </c>
      <c r="C405" s="21" t="n">
        <f aca="true">MAX(0.03,NORMINV(RAND(),$B$7,$C$7))</f>
        <v>0.179459446458635</v>
      </c>
      <c r="D405" s="33" t="n">
        <f aca="true">MAX(0.08,NORMINV(RAND(),$B$8,$C$8))</f>
        <v>0.135839681507054</v>
      </c>
      <c r="E405" s="48" t="n">
        <f aca="true">MAX(4,NORMINV(RAND(),$B$9,$C$9))</f>
        <v>14.5821047338665</v>
      </c>
      <c r="F405" s="26" t="n">
        <f aca="false">$B$18*(1+(B405+$B$17)/2)^9</f>
        <v>10124.2620908808</v>
      </c>
      <c r="G405" s="26" t="n">
        <f aca="false">F405*C405</f>
        <v>1816.89447063161</v>
      </c>
      <c r="H405" s="26" t="n">
        <f aca="false">E405*G405/(1+D405)^9</f>
        <v>8419.69932870219</v>
      </c>
      <c r="I405" s="26" t="n">
        <f aca="false">$B$13*G405/$B$12*((1+$B$8)/(1+D405))^4.5</f>
        <v>2768.72877838009</v>
      </c>
      <c r="J405" s="26" t="n">
        <f aca="false">H405+I405+$B$14</f>
        <v>13274.8269851645</v>
      </c>
      <c r="K405" s="44" t="n">
        <f aca="false">J405/$B$15</f>
        <v>21.0711539447055</v>
      </c>
    </row>
    <row r="406" customFormat="false" ht="15" hidden="false" customHeight="false" outlineLevel="0" collapsed="false">
      <c r="A406" s="52" t="n">
        <v>366</v>
      </c>
      <c r="B406" s="21" t="n">
        <f aca="true">NORMINV(RAND(),$B$6,$C$6)</f>
        <v>0.202710998298838</v>
      </c>
      <c r="C406" s="21" t="n">
        <f aca="true">MAX(0.03,NORMINV(RAND(),$B$7,$C$7))</f>
        <v>0.201757536556804</v>
      </c>
      <c r="D406" s="33" t="n">
        <f aca="true">MAX(0.08,NORMINV(RAND(),$B$8,$C$8))</f>
        <v>0.121043671004273</v>
      </c>
      <c r="E406" s="48" t="n">
        <f aca="true">MAX(4,NORMINV(RAND(),$B$9,$C$9))</f>
        <v>11.423903409484</v>
      </c>
      <c r="F406" s="26" t="n">
        <f aca="false">$B$18*(1+(B406+$B$17)/2)^9</f>
        <v>8085.66751947965</v>
      </c>
      <c r="G406" s="26" t="n">
        <f aca="false">F406*C406</f>
        <v>1631.34436014758</v>
      </c>
      <c r="H406" s="26" t="n">
        <f aca="false">E406*G406/(1+D406)^9</f>
        <v>6664.34371610494</v>
      </c>
      <c r="I406" s="26" t="n">
        <f aca="false">$B$13*G406/$B$12*((1+$B$8)/(1+D406))^4.5</f>
        <v>2637.06985338068</v>
      </c>
      <c r="J406" s="26" t="n">
        <f aca="false">H406+I406+$B$14</f>
        <v>11387.8124475678</v>
      </c>
      <c r="K406" s="44" t="n">
        <f aca="false">J406/$B$15</f>
        <v>18.0758927739172</v>
      </c>
    </row>
    <row r="407" customFormat="false" ht="15" hidden="false" customHeight="false" outlineLevel="0" collapsed="false">
      <c r="A407" s="52" t="n">
        <v>367</v>
      </c>
      <c r="B407" s="21" t="n">
        <f aca="true">NORMINV(RAND(),$B$6,$C$6)</f>
        <v>0.128966012883048</v>
      </c>
      <c r="C407" s="21" t="n">
        <f aca="true">MAX(0.03,NORMINV(RAND(),$B$7,$C$7))</f>
        <v>0.204686256082873</v>
      </c>
      <c r="D407" s="33" t="n">
        <f aca="true">MAX(0.08,NORMINV(RAND(),$B$8,$C$8))</f>
        <v>0.136459593869733</v>
      </c>
      <c r="E407" s="48" t="n">
        <f aca="true">MAX(4,NORMINV(RAND(),$B$9,$C$9))</f>
        <v>9.94401657946575</v>
      </c>
      <c r="F407" s="26" t="n">
        <f aca="false">$B$18*(1+(B407+$B$17)/2)^9</f>
        <v>5992.6742518686</v>
      </c>
      <c r="G407" s="26" t="n">
        <f aca="false">F407*C407</f>
        <v>1226.61805653921</v>
      </c>
      <c r="H407" s="26" t="n">
        <f aca="false">E407*G407/(1+D407)^9</f>
        <v>3857.31583264888</v>
      </c>
      <c r="I407" s="26" t="n">
        <f aca="false">$B$13*G407/$B$12*((1+$B$8)/(1+D407))^4.5</f>
        <v>1864.63458471933</v>
      </c>
      <c r="J407" s="26" t="n">
        <f aca="false">H407+I407+$B$14</f>
        <v>7808.3492954504</v>
      </c>
      <c r="K407" s="44" t="n">
        <f aca="false">J407/$B$15</f>
        <v>12.3942052308736</v>
      </c>
    </row>
    <row r="408" customFormat="false" ht="15" hidden="false" customHeight="false" outlineLevel="0" collapsed="false">
      <c r="A408" s="52" t="n">
        <v>368</v>
      </c>
      <c r="B408" s="21" t="n">
        <f aca="true">NORMINV(RAND(),$B$6,$C$6)</f>
        <v>0.173102133010381</v>
      </c>
      <c r="C408" s="21" t="n">
        <f aca="true">MAX(0.03,NORMINV(RAND(),$B$7,$C$7))</f>
        <v>0.265445127909602</v>
      </c>
      <c r="D408" s="33" t="n">
        <f aca="true">MAX(0.08,NORMINV(RAND(),$B$8,$C$8))</f>
        <v>0.127065795820238</v>
      </c>
      <c r="E408" s="48" t="n">
        <f aca="true">MAX(4,NORMINV(RAND(),$B$9,$C$9))</f>
        <v>11.5843065677037</v>
      </c>
      <c r="F408" s="26" t="n">
        <f aca="false">$B$18*(1+(B408+$B$17)/2)^9</f>
        <v>7177.96445050585</v>
      </c>
      <c r="G408" s="26" t="n">
        <f aca="false">F408*C408</f>
        <v>1905.3556916951</v>
      </c>
      <c r="H408" s="26" t="n">
        <f aca="false">E408*G408/(1+D408)^9</f>
        <v>7521.46906563613</v>
      </c>
      <c r="I408" s="26" t="n">
        <f aca="false">$B$13*G408/$B$12*((1+$B$8)/(1+D408))^4.5</f>
        <v>3006.64203484531</v>
      </c>
      <c r="J408" s="26" t="n">
        <f aca="false">H408+I408+$B$14</f>
        <v>12614.5099785636</v>
      </c>
      <c r="K408" s="44" t="n">
        <f aca="false">J408/$B$15</f>
        <v>20.0230317120058</v>
      </c>
    </row>
    <row r="409" customFormat="false" ht="15" hidden="false" customHeight="false" outlineLevel="0" collapsed="false">
      <c r="A409" s="52" t="n">
        <v>369</v>
      </c>
      <c r="B409" s="21" t="n">
        <f aca="true">NORMINV(RAND(),$B$6,$C$6)</f>
        <v>0.218830253449747</v>
      </c>
      <c r="C409" s="21" t="n">
        <f aca="true">MAX(0.03,NORMINV(RAND(),$B$7,$C$7))</f>
        <v>0.263647693025356</v>
      </c>
      <c r="D409" s="33" t="n">
        <f aca="true">MAX(0.08,NORMINV(RAND(),$B$8,$C$8))</f>
        <v>0.141412016916755</v>
      </c>
      <c r="E409" s="48" t="n">
        <f aca="true">MAX(4,NORMINV(RAND(),$B$9,$C$9))</f>
        <v>15.3904200208911</v>
      </c>
      <c r="F409" s="26" t="n">
        <f aca="false">$B$18*(1+(B409+$B$17)/2)^9</f>
        <v>8621.53520876276</v>
      </c>
      <c r="G409" s="26" t="n">
        <f aca="false">F409*C409</f>
        <v>2273.04786812719</v>
      </c>
      <c r="H409" s="26" t="n">
        <f aca="false">E409*G409/(1+D409)^9</f>
        <v>10638.4189480639</v>
      </c>
      <c r="I409" s="26" t="n">
        <f aca="false">$B$13*G409/$B$12*((1+$B$8)/(1+D409))^4.5</f>
        <v>3388.4023754578</v>
      </c>
      <c r="J409" s="26" t="n">
        <f aca="false">H409+I409+$B$14</f>
        <v>16113.2202016039</v>
      </c>
      <c r="K409" s="44" t="n">
        <f aca="false">J409/$B$15</f>
        <v>25.5765400025459</v>
      </c>
    </row>
    <row r="410" customFormat="false" ht="15" hidden="false" customHeight="false" outlineLevel="0" collapsed="false">
      <c r="A410" s="52" t="n">
        <v>370</v>
      </c>
      <c r="B410" s="21" t="n">
        <f aca="true">NORMINV(RAND(),$B$6,$C$6)</f>
        <v>0.113993536603417</v>
      </c>
      <c r="C410" s="21" t="n">
        <f aca="true">MAX(0.03,NORMINV(RAND(),$B$7,$C$7))</f>
        <v>0.226088691607504</v>
      </c>
      <c r="D410" s="33" t="n">
        <f aca="true">MAX(0.08,NORMINV(RAND(),$B$8,$C$8))</f>
        <v>0.130270206850877</v>
      </c>
      <c r="E410" s="48" t="n">
        <f aca="true">MAX(4,NORMINV(RAND(),$B$9,$C$9))</f>
        <v>14.8964846260874</v>
      </c>
      <c r="F410" s="26" t="n">
        <f aca="false">$B$18*(1+(B410+$B$17)/2)^9</f>
        <v>5632.09794000338</v>
      </c>
      <c r="G410" s="26" t="n">
        <f aca="false">F410*C410</f>
        <v>1273.35365426068</v>
      </c>
      <c r="H410" s="26" t="n">
        <f aca="false">E410*G410/(1+D410)^9</f>
        <v>6300.75091675201</v>
      </c>
      <c r="I410" s="26" t="n">
        <f aca="false">$B$13*G410/$B$12*((1+$B$8)/(1+D410))^4.5</f>
        <v>1983.83778196934</v>
      </c>
      <c r="J410" s="26" t="n">
        <f aca="false">H410+I410+$B$14</f>
        <v>10370.9875768035</v>
      </c>
      <c r="K410" s="44" t="n">
        <f aca="false">J410/$B$15</f>
        <v>16.4618850425453</v>
      </c>
    </row>
    <row r="411" customFormat="false" ht="15" hidden="false" customHeight="false" outlineLevel="0" collapsed="false">
      <c r="A411" s="52" t="n">
        <v>371</v>
      </c>
      <c r="B411" s="21" t="n">
        <f aca="true">NORMINV(RAND(),$B$6,$C$6)</f>
        <v>0.2308724162412</v>
      </c>
      <c r="C411" s="21" t="n">
        <f aca="true">MAX(0.03,NORMINV(RAND(),$B$7,$C$7))</f>
        <v>0.231880885387141</v>
      </c>
      <c r="D411" s="33" t="n">
        <f aca="true">MAX(0.08,NORMINV(RAND(),$B$8,$C$8))</f>
        <v>0.123630497439341</v>
      </c>
      <c r="E411" s="48" t="n">
        <f aca="true">MAX(4,NORMINV(RAND(),$B$9,$C$9))</f>
        <v>12.958818264679</v>
      </c>
      <c r="F411" s="26" t="n">
        <f aca="false">$B$18*(1+(B411+$B$17)/2)^9</f>
        <v>9042.22902137917</v>
      </c>
      <c r="G411" s="26" t="n">
        <f aca="false">F411*C411</f>
        <v>2096.7200713507</v>
      </c>
      <c r="H411" s="26" t="n">
        <f aca="false">E411*G411/(1+D411)^9</f>
        <v>9516.87111137539</v>
      </c>
      <c r="I411" s="26" t="n">
        <f aca="false">$B$13*G411/$B$12*((1+$B$8)/(1+D411))^4.5</f>
        <v>3354.3779824792</v>
      </c>
      <c r="J411" s="26" t="n">
        <f aca="false">H411+I411+$B$14</f>
        <v>14957.6479719368</v>
      </c>
      <c r="K411" s="44" t="n">
        <f aca="false">J411/$B$15</f>
        <v>23.7422983681536</v>
      </c>
    </row>
    <row r="412" customFormat="false" ht="15" hidden="false" customHeight="false" outlineLevel="0" collapsed="false">
      <c r="A412" s="52" t="n">
        <v>372</v>
      </c>
      <c r="B412" s="21" t="n">
        <f aca="true">NORMINV(RAND(),$B$6,$C$6)</f>
        <v>0.138313222923565</v>
      </c>
      <c r="C412" s="21" t="n">
        <f aca="true">MAX(0.03,NORMINV(RAND(),$B$7,$C$7))</f>
        <v>0.198256832801205</v>
      </c>
      <c r="D412" s="33" t="n">
        <f aca="true">MAX(0.08,NORMINV(RAND(),$B$8,$C$8))</f>
        <v>0.123095331369639</v>
      </c>
      <c r="E412" s="48" t="n">
        <f aca="true">MAX(4,NORMINV(RAND(),$B$9,$C$9))</f>
        <v>9.71730764693295</v>
      </c>
      <c r="F412" s="26" t="n">
        <f aca="false">$B$18*(1+(B412+$B$17)/2)^9</f>
        <v>6228.04764317247</v>
      </c>
      <c r="G412" s="26" t="n">
        <f aca="false">F412*C412</f>
        <v>1234.75300027038</v>
      </c>
      <c r="H412" s="26" t="n">
        <f aca="false">E412*G412/(1+D412)^9</f>
        <v>4220.62187429197</v>
      </c>
      <c r="I412" s="26" t="n">
        <f aca="false">$B$13*G412/$B$12*((1+$B$8)/(1+D412))^4.5</f>
        <v>1979.62381523456</v>
      </c>
      <c r="J412" s="26" t="n">
        <f aca="false">H412+I412+$B$14</f>
        <v>8286.64456760872</v>
      </c>
      <c r="K412" s="44" t="n">
        <f aca="false">J412/$B$15</f>
        <v>13.1534040755694</v>
      </c>
    </row>
    <row r="413" customFormat="false" ht="15" hidden="false" customHeight="false" outlineLevel="0" collapsed="false">
      <c r="A413" s="52" t="n">
        <v>373</v>
      </c>
      <c r="B413" s="21" t="n">
        <f aca="true">NORMINV(RAND(),$B$6,$C$6)</f>
        <v>0.203465273947129</v>
      </c>
      <c r="C413" s="21" t="n">
        <f aca="true">MAX(0.03,NORMINV(RAND(),$B$7,$C$7))</f>
        <v>0.225646866402084</v>
      </c>
      <c r="D413" s="33" t="n">
        <f aca="true">MAX(0.08,NORMINV(RAND(),$B$8,$C$8))</f>
        <v>0.156651650711088</v>
      </c>
      <c r="E413" s="48" t="n">
        <f aca="true">MAX(4,NORMINV(RAND(),$B$9,$C$9))</f>
        <v>13.394419638452</v>
      </c>
      <c r="F413" s="26" t="n">
        <f aca="false">$B$18*(1+(B413+$B$17)/2)^9</f>
        <v>8110.06610900463</v>
      </c>
      <c r="G413" s="26" t="n">
        <f aca="false">F413*C413</f>
        <v>1830.01100381064</v>
      </c>
      <c r="H413" s="26" t="n">
        <f aca="false">E413*G413/(1+D413)^9</f>
        <v>6615.37342462728</v>
      </c>
      <c r="I413" s="26" t="n">
        <f aca="false">$B$13*G413/$B$12*((1+$B$8)/(1+D413))^4.5</f>
        <v>2569.91914978091</v>
      </c>
      <c r="J413" s="26" t="n">
        <f aca="false">H413+I413+$B$14</f>
        <v>11271.6914524904</v>
      </c>
      <c r="K413" s="44" t="n">
        <f aca="false">J413/$B$15</f>
        <v>17.8915737341117</v>
      </c>
    </row>
    <row r="414" customFormat="false" ht="15" hidden="false" customHeight="false" outlineLevel="0" collapsed="false">
      <c r="A414" s="52" t="n">
        <v>374</v>
      </c>
      <c r="B414" s="21" t="n">
        <f aca="true">NORMINV(RAND(),$B$6,$C$6)</f>
        <v>0.159248283490732</v>
      </c>
      <c r="C414" s="21" t="n">
        <f aca="true">MAX(0.03,NORMINV(RAND(),$B$7,$C$7))</f>
        <v>0.163216331377207</v>
      </c>
      <c r="D414" s="33" t="n">
        <f aca="true">MAX(0.08,NORMINV(RAND(),$B$8,$C$8))</f>
        <v>0.132768561055242</v>
      </c>
      <c r="E414" s="48" t="n">
        <f aca="true">MAX(4,NORMINV(RAND(),$B$9,$C$9))</f>
        <v>13.3904858617607</v>
      </c>
      <c r="F414" s="26" t="n">
        <f aca="false">$B$18*(1+(B414+$B$17)/2)^9</f>
        <v>6785.27261058233</v>
      </c>
      <c r="G414" s="26" t="n">
        <f aca="false">F414*C414</f>
        <v>1107.46730289349</v>
      </c>
      <c r="H414" s="26" t="n">
        <f aca="false">E414*G414/(1+D414)^9</f>
        <v>4828.99287399041</v>
      </c>
      <c r="I414" s="26" t="n">
        <f aca="false">$B$13*G414/$B$12*((1+$B$8)/(1+D414))^4.5</f>
        <v>1708.33464864944</v>
      </c>
      <c r="J414" s="26" t="n">
        <f aca="false">H414+I414+$B$14</f>
        <v>8623.72640072205</v>
      </c>
      <c r="K414" s="44" t="n">
        <f aca="false">J414/$B$15</f>
        <v>13.6884546043207</v>
      </c>
    </row>
    <row r="415" customFormat="false" ht="15" hidden="false" customHeight="false" outlineLevel="0" collapsed="false">
      <c r="A415" s="52" t="n">
        <v>375</v>
      </c>
      <c r="B415" s="21" t="n">
        <f aca="true">NORMINV(RAND(),$B$6,$C$6)</f>
        <v>0.127646144479882</v>
      </c>
      <c r="C415" s="21" t="n">
        <f aca="true">MAX(0.03,NORMINV(RAND(),$B$7,$C$7))</f>
        <v>0.272687626067372</v>
      </c>
      <c r="D415" s="33" t="n">
        <f aca="true">MAX(0.08,NORMINV(RAND(),$B$8,$C$8))</f>
        <v>0.140818156437715</v>
      </c>
      <c r="E415" s="48" t="n">
        <f aca="true">MAX(4,NORMINV(RAND(),$B$9,$C$9))</f>
        <v>15.4700878944621</v>
      </c>
      <c r="F415" s="26" t="n">
        <f aca="false">$B$18*(1+(B415+$B$17)/2)^9</f>
        <v>5960.08373068282</v>
      </c>
      <c r="G415" s="26" t="n">
        <f aca="false">F415*C415</f>
        <v>1625.24108368266</v>
      </c>
      <c r="H415" s="26" t="n">
        <f aca="false">E415*G415/(1+D415)^9</f>
        <v>7681.79570360882</v>
      </c>
      <c r="I415" s="26" t="n">
        <f aca="false">$B$13*G415/$B$12*((1+$B$8)/(1+D415))^4.5</f>
        <v>2428.40579335438</v>
      </c>
      <c r="J415" s="26" t="n">
        <f aca="false">H415+I415+$B$14</f>
        <v>12196.6003750454</v>
      </c>
      <c r="K415" s="44" t="n">
        <f aca="false">J415/$B$15</f>
        <v>19.3596831349927</v>
      </c>
    </row>
    <row r="416" customFormat="false" ht="15" hidden="false" customHeight="false" outlineLevel="0" collapsed="false">
      <c r="A416" s="52" t="n">
        <v>376</v>
      </c>
      <c r="B416" s="21" t="n">
        <f aca="true">NORMINV(RAND(),$B$6,$C$6)</f>
        <v>0.166066866948907</v>
      </c>
      <c r="C416" s="21" t="n">
        <f aca="true">MAX(0.03,NORMINV(RAND(),$B$7,$C$7))</f>
        <v>0.217822950876713</v>
      </c>
      <c r="D416" s="33" t="n">
        <f aca="true">MAX(0.08,NORMINV(RAND(),$B$8,$C$8))</f>
        <v>0.12927254271242</v>
      </c>
      <c r="E416" s="48" t="n">
        <f aca="true">MAX(4,NORMINV(RAND(),$B$9,$C$9))</f>
        <v>9.89305519662024</v>
      </c>
      <c r="F416" s="26" t="n">
        <f aca="false">$B$18*(1+(B416+$B$17)/2)^9</f>
        <v>6976.09376955399</v>
      </c>
      <c r="G416" s="26" t="n">
        <f aca="false">F416*C416</f>
        <v>1519.55333047691</v>
      </c>
      <c r="H416" s="26" t="n">
        <f aca="false">E416*G416/(1+D416)^9</f>
        <v>5033.35381665335</v>
      </c>
      <c r="I416" s="26" t="n">
        <f aca="false">$B$13*G416/$B$12*((1+$B$8)/(1+D416))^4.5</f>
        <v>2376.83407819214</v>
      </c>
      <c r="J416" s="26" t="n">
        <f aca="false">H416+I416+$B$14</f>
        <v>9496.58677292768</v>
      </c>
      <c r="K416" s="44" t="n">
        <f aca="false">J416/$B$15</f>
        <v>15.0739472586154</v>
      </c>
    </row>
    <row r="417" customFormat="false" ht="15" hidden="false" customHeight="false" outlineLevel="0" collapsed="false">
      <c r="A417" s="52" t="n">
        <v>377</v>
      </c>
      <c r="B417" s="21" t="n">
        <f aca="true">NORMINV(RAND(),$B$6,$C$6)</f>
        <v>0.267927979324557</v>
      </c>
      <c r="C417" s="21" t="n">
        <f aca="true">MAX(0.03,NORMINV(RAND(),$B$7,$C$7))</f>
        <v>0.234495237663831</v>
      </c>
      <c r="D417" s="33" t="n">
        <f aca="true">MAX(0.08,NORMINV(RAND(),$B$8,$C$8))</f>
        <v>0.135705654463114</v>
      </c>
      <c r="E417" s="48" t="n">
        <f aca="true">MAX(4,NORMINV(RAND(),$B$9,$C$9))</f>
        <v>11.615478504986</v>
      </c>
      <c r="F417" s="26" t="n">
        <f aca="false">$B$18*(1+(B417+$B$17)/2)^9</f>
        <v>10453.6030571491</v>
      </c>
      <c r="G417" s="26" t="n">
        <f aca="false">F417*C417</f>
        <v>2451.32013332951</v>
      </c>
      <c r="H417" s="26" t="n">
        <f aca="false">E417*G417/(1+D417)^9</f>
        <v>9058.26548593118</v>
      </c>
      <c r="I417" s="26" t="n">
        <f aca="false">$B$13*G417/$B$12*((1+$B$8)/(1+D417))^4.5</f>
        <v>3737.50140220922</v>
      </c>
      <c r="J417" s="26" t="n">
        <f aca="false">H417+I417+$B$14</f>
        <v>14882.1657662226</v>
      </c>
      <c r="K417" s="44" t="n">
        <f aca="false">J417/$B$15</f>
        <v>23.6224853432105</v>
      </c>
    </row>
    <row r="418" customFormat="false" ht="15" hidden="false" customHeight="false" outlineLevel="0" collapsed="false">
      <c r="A418" s="52" t="n">
        <v>378</v>
      </c>
      <c r="B418" s="21" t="n">
        <f aca="true">NORMINV(RAND(),$B$6,$C$6)</f>
        <v>0.16551039710351</v>
      </c>
      <c r="C418" s="21" t="n">
        <f aca="true">MAX(0.03,NORMINV(RAND(),$B$7,$C$7))</f>
        <v>0.153589495905394</v>
      </c>
      <c r="D418" s="33" t="n">
        <f aca="true">MAX(0.08,NORMINV(RAND(),$B$8,$C$8))</f>
        <v>0.120033220129651</v>
      </c>
      <c r="E418" s="48" t="n">
        <f aca="true">MAX(4,NORMINV(RAND(),$B$9,$C$9))</f>
        <v>9.81426448980234</v>
      </c>
      <c r="F418" s="26" t="n">
        <f aca="false">$B$18*(1+(B418+$B$17)/2)^9</f>
        <v>6960.34388362175</v>
      </c>
      <c r="G418" s="26" t="n">
        <f aca="false">F418*C418</f>
        <v>1069.03570841365</v>
      </c>
      <c r="H418" s="26" t="n">
        <f aca="false">E418*G418/(1+D418)^9</f>
        <v>3782.43813642142</v>
      </c>
      <c r="I418" s="26" t="n">
        <f aca="false">$B$13*G418/$B$12*((1+$B$8)/(1+D418))^4.5</f>
        <v>1735.1240211185</v>
      </c>
      <c r="J418" s="26" t="n">
        <f aca="false">H418+I418+$B$14</f>
        <v>7603.96103562212</v>
      </c>
      <c r="K418" s="44" t="n">
        <f aca="false">J418/$B$15</f>
        <v>12.0697794216224</v>
      </c>
    </row>
    <row r="419" customFormat="false" ht="15" hidden="false" customHeight="false" outlineLevel="0" collapsed="false">
      <c r="A419" s="52" t="n">
        <v>379</v>
      </c>
      <c r="B419" s="21" t="n">
        <f aca="true">NORMINV(RAND(),$B$6,$C$6)</f>
        <v>0.173682631765031</v>
      </c>
      <c r="C419" s="21" t="n">
        <f aca="true">MAX(0.03,NORMINV(RAND(),$B$7,$C$7))</f>
        <v>0.201684338136716</v>
      </c>
      <c r="D419" s="33" t="n">
        <f aca="true">MAX(0.08,NORMINV(RAND(),$B$8,$C$8))</f>
        <v>0.132552412602918</v>
      </c>
      <c r="E419" s="48" t="n">
        <f aca="true">MAX(4,NORMINV(RAND(),$B$9,$C$9))</f>
        <v>10.3931477404962</v>
      </c>
      <c r="F419" s="26" t="n">
        <f aca="false">$B$18*(1+(B419+$B$17)/2)^9</f>
        <v>7194.85093877916</v>
      </c>
      <c r="G419" s="26" t="n">
        <f aca="false">F419*C419</f>
        <v>1451.08874958</v>
      </c>
      <c r="H419" s="26" t="n">
        <f aca="false">E419*G419/(1+D419)^9</f>
        <v>4919.44704328761</v>
      </c>
      <c r="I419" s="26" t="n">
        <f aca="false">$B$13*G419/$B$12*((1+$B$8)/(1+D419))^4.5</f>
        <v>2240.31434795753</v>
      </c>
      <c r="J419" s="26" t="n">
        <f aca="false">H419+I419+$B$14</f>
        <v>9246.16026932733</v>
      </c>
      <c r="K419" s="44" t="n">
        <f aca="false">J419/$B$15</f>
        <v>14.6764448719481</v>
      </c>
    </row>
    <row r="420" customFormat="false" ht="15" hidden="false" customHeight="false" outlineLevel="0" collapsed="false">
      <c r="A420" s="52" t="n">
        <v>380</v>
      </c>
      <c r="B420" s="21" t="n">
        <f aca="true">NORMINV(RAND(),$B$6,$C$6)</f>
        <v>0.207292395862126</v>
      </c>
      <c r="C420" s="21" t="n">
        <f aca="true">MAX(0.03,NORMINV(RAND(),$B$7,$C$7))</f>
        <v>0.184563627027975</v>
      </c>
      <c r="D420" s="33" t="n">
        <f aca="true">MAX(0.08,NORMINV(RAND(),$B$8,$C$8))</f>
        <v>0.13034703977453</v>
      </c>
      <c r="E420" s="48" t="n">
        <f aca="true">MAX(4,NORMINV(RAND(),$B$9,$C$9))</f>
        <v>12.61768609503</v>
      </c>
      <c r="F420" s="26" t="n">
        <f aca="false">$B$18*(1+(B420+$B$17)/2)^9</f>
        <v>8234.87349688953</v>
      </c>
      <c r="G420" s="26" t="n">
        <f aca="false">F420*C420</f>
        <v>1519.85812070248</v>
      </c>
      <c r="H420" s="26" t="n">
        <f aca="false">E420*G420/(1+D420)^9</f>
        <v>6366.14542856747</v>
      </c>
      <c r="I420" s="26" t="n">
        <f aca="false">$B$13*G420/$B$12*((1+$B$8)/(1+D420))^4.5</f>
        <v>2367.1584044273</v>
      </c>
      <c r="J420" s="26" t="n">
        <f aca="false">H420+I420+$B$14</f>
        <v>10819.702711077</v>
      </c>
      <c r="K420" s="44" t="n">
        <f aca="false">J420/$B$15</f>
        <v>17.1741312874237</v>
      </c>
    </row>
    <row r="421" customFormat="false" ht="15" hidden="false" customHeight="false" outlineLevel="0" collapsed="false">
      <c r="A421" s="52" t="n">
        <v>381</v>
      </c>
      <c r="B421" s="21" t="n">
        <f aca="true">NORMINV(RAND(),$B$6,$C$6)</f>
        <v>0.223671981959477</v>
      </c>
      <c r="C421" s="21" t="n">
        <f aca="true">MAX(0.03,NORMINV(RAND(),$B$7,$C$7))</f>
        <v>0.172947682743995</v>
      </c>
      <c r="D421" s="33" t="n">
        <f aca="true">MAX(0.08,NORMINV(RAND(),$B$8,$C$8))</f>
        <v>0.135097876082236</v>
      </c>
      <c r="E421" s="48" t="n">
        <f aca="true">MAX(4,NORMINV(RAND(),$B$9,$C$9))</f>
        <v>11.3525533126258</v>
      </c>
      <c r="F421" s="26" t="n">
        <f aca="false">$B$18*(1+(B421+$B$17)/2)^9</f>
        <v>8788.54246656725</v>
      </c>
      <c r="G421" s="26" t="n">
        <f aca="false">F421*C421</f>
        <v>1519.95805429</v>
      </c>
      <c r="H421" s="26" t="n">
        <f aca="false">E421*G421/(1+D421)^9</f>
        <v>5516.01392204306</v>
      </c>
      <c r="I421" s="26" t="n">
        <f aca="false">$B$13*G421/$B$12*((1+$B$8)/(1+D421))^4.5</f>
        <v>2323.05280412775</v>
      </c>
      <c r="J421" s="26" t="n">
        <f aca="false">H421+I421+$B$14</f>
        <v>9925.465604253</v>
      </c>
      <c r="K421" s="44" t="n">
        <f aca="false">J421/$B$15</f>
        <v>15.7547073083381</v>
      </c>
    </row>
    <row r="422" customFormat="false" ht="15" hidden="false" customHeight="false" outlineLevel="0" collapsed="false">
      <c r="A422" s="52" t="n">
        <v>382</v>
      </c>
      <c r="B422" s="21" t="n">
        <f aca="true">NORMINV(RAND(),$B$6,$C$6)</f>
        <v>0.194270268629511</v>
      </c>
      <c r="C422" s="21" t="n">
        <f aca="true">MAX(0.03,NORMINV(RAND(),$B$7,$C$7))</f>
        <v>0.129173784987174</v>
      </c>
      <c r="D422" s="33" t="n">
        <f aca="true">MAX(0.08,NORMINV(RAND(),$B$8,$C$8))</f>
        <v>0.132690126679268</v>
      </c>
      <c r="E422" s="48" t="n">
        <f aca="true">MAX(4,NORMINV(RAND(),$B$9,$C$9))</f>
        <v>11.2659716933308</v>
      </c>
      <c r="F422" s="26" t="n">
        <f aca="false">$B$18*(1+(B422+$B$17)/2)^9</f>
        <v>7817.05143890093</v>
      </c>
      <c r="G422" s="26" t="n">
        <f aca="false">F422*C422</f>
        <v>1009.75812180227</v>
      </c>
      <c r="H422" s="26" t="n">
        <f aca="false">E422*G422/(1+D422)^9</f>
        <v>3706.68752596003</v>
      </c>
      <c r="I422" s="26" t="n">
        <f aca="false">$B$13*G422/$B$12*((1+$B$8)/(1+D422))^4.5</f>
        <v>1558.09780678913</v>
      </c>
      <c r="J422" s="26" t="n">
        <f aca="false">H422+I422+$B$14</f>
        <v>7351.18421083136</v>
      </c>
      <c r="K422" s="44" t="n">
        <f aca="false">J422/$B$15</f>
        <v>11.668546366399</v>
      </c>
    </row>
    <row r="423" customFormat="false" ht="15" hidden="false" customHeight="false" outlineLevel="0" collapsed="false">
      <c r="A423" s="52" t="n">
        <v>383</v>
      </c>
      <c r="B423" s="21" t="n">
        <f aca="true">NORMINV(RAND(),$B$6,$C$6)</f>
        <v>0.208349338943247</v>
      </c>
      <c r="C423" s="21" t="n">
        <f aca="true">MAX(0.03,NORMINV(RAND(),$B$7,$C$7))</f>
        <v>0.185595414662409</v>
      </c>
      <c r="D423" s="33" t="n">
        <f aca="true">MAX(0.08,NORMINV(RAND(),$B$8,$C$8))</f>
        <v>0.13937023169262</v>
      </c>
      <c r="E423" s="48" t="n">
        <f aca="true">MAX(4,NORMINV(RAND(),$B$9,$C$9))</f>
        <v>10.5362921448964</v>
      </c>
      <c r="F423" s="26" t="n">
        <f aca="false">$B$18*(1+(B423+$B$17)/2)^9</f>
        <v>8269.64126058197</v>
      </c>
      <c r="G423" s="26" t="n">
        <f aca="false">F423*C423</f>
        <v>1534.80749886708</v>
      </c>
      <c r="H423" s="26" t="n">
        <f aca="false">E423*G423/(1+D423)^9</f>
        <v>4997.55865796815</v>
      </c>
      <c r="I423" s="26" t="n">
        <f aca="false">$B$13*G423/$B$12*((1+$B$8)/(1+D423))^4.5</f>
        <v>2306.42524339084</v>
      </c>
      <c r="J423" s="26" t="n">
        <f aca="false">H423+I423+$B$14</f>
        <v>9390.38277944118</v>
      </c>
      <c r="K423" s="44" t="n">
        <f aca="false">J423/$B$15</f>
        <v>14.9053694911765</v>
      </c>
    </row>
    <row r="424" customFormat="false" ht="15" hidden="false" customHeight="false" outlineLevel="0" collapsed="false">
      <c r="A424" s="52" t="n">
        <v>384</v>
      </c>
      <c r="B424" s="21" t="n">
        <f aca="true">NORMINV(RAND(),$B$6,$C$6)</f>
        <v>0.207630864545543</v>
      </c>
      <c r="C424" s="21" t="n">
        <f aca="true">MAX(0.03,NORMINV(RAND(),$B$7,$C$7))</f>
        <v>0.208515063477689</v>
      </c>
      <c r="D424" s="33" t="n">
        <f aca="true">MAX(0.08,NORMINV(RAND(),$B$8,$C$8))</f>
        <v>0.133730086668625</v>
      </c>
      <c r="E424" s="48" t="n">
        <f aca="true">MAX(4,NORMINV(RAND(),$B$9,$C$9))</f>
        <v>13.884149769609</v>
      </c>
      <c r="F424" s="26" t="n">
        <f aca="false">$B$18*(1+(B424+$B$17)/2)^9</f>
        <v>8245.99313384705</v>
      </c>
      <c r="G424" s="26" t="n">
        <f aca="false">F424*C424</f>
        <v>1719.41378174071</v>
      </c>
      <c r="H424" s="26" t="n">
        <f aca="false">E424*G424/(1+D424)^9</f>
        <v>7714.58636382343</v>
      </c>
      <c r="I424" s="26" t="n">
        <f aca="false">$B$13*G424/$B$12*((1+$B$8)/(1+D424))^4.5</f>
        <v>2642.19129741136</v>
      </c>
      <c r="J424" s="26" t="n">
        <f aca="false">H424+I424+$B$14</f>
        <v>12443.176539317</v>
      </c>
      <c r="K424" s="44" t="n">
        <f aca="false">J424/$B$15</f>
        <v>19.7510738719317</v>
      </c>
    </row>
    <row r="425" customFormat="false" ht="15" hidden="false" customHeight="false" outlineLevel="0" collapsed="false">
      <c r="A425" s="52" t="n">
        <v>385</v>
      </c>
      <c r="B425" s="21" t="n">
        <f aca="true">NORMINV(RAND(),$B$6,$C$6)</f>
        <v>0.212445563676728</v>
      </c>
      <c r="C425" s="21" t="n">
        <f aca="true">MAX(0.03,NORMINV(RAND(),$B$7,$C$7))</f>
        <v>0.195856889295877</v>
      </c>
      <c r="D425" s="33" t="n">
        <f aca="true">MAX(0.08,NORMINV(RAND(),$B$8,$C$8))</f>
        <v>0.155705755440293</v>
      </c>
      <c r="E425" s="48" t="n">
        <f aca="true">MAX(4,NORMINV(RAND(),$B$9,$C$9))</f>
        <v>11.633791228014</v>
      </c>
      <c r="F425" s="26" t="n">
        <f aca="false">$B$18*(1+(B425+$B$17)/2)^9</f>
        <v>8405.62113919361</v>
      </c>
      <c r="G425" s="26" t="n">
        <f aca="false">F425*C425</f>
        <v>1646.29880892213</v>
      </c>
      <c r="H425" s="26" t="n">
        <f aca="false">E425*G425/(1+D425)^9</f>
        <v>5207.20223880069</v>
      </c>
      <c r="I425" s="26" t="n">
        <f aca="false">$B$13*G425/$B$12*((1+$B$8)/(1+D425))^4.5</f>
        <v>2320.45579762036</v>
      </c>
      <c r="J425" s="26" t="n">
        <f aca="false">H425+I425+$B$14</f>
        <v>9614.05691450324</v>
      </c>
      <c r="K425" s="44" t="n">
        <f aca="false">J425/$B$15</f>
        <v>15.2604078007988</v>
      </c>
    </row>
    <row r="426" customFormat="false" ht="15" hidden="false" customHeight="false" outlineLevel="0" collapsed="false">
      <c r="A426" s="52" t="n">
        <v>386</v>
      </c>
      <c r="B426" s="21" t="n">
        <f aca="true">NORMINV(RAND(),$B$6,$C$6)</f>
        <v>0.221223599879469</v>
      </c>
      <c r="C426" s="21" t="n">
        <f aca="true">MAX(0.03,NORMINV(RAND(),$B$7,$C$7))</f>
        <v>0.222466859501654</v>
      </c>
      <c r="D426" s="33" t="n">
        <f aca="true">MAX(0.08,NORMINV(RAND(),$B$8,$C$8))</f>
        <v>0.115568330911132</v>
      </c>
      <c r="E426" s="48" t="n">
        <f aca="true">MAX(4,NORMINV(RAND(),$B$9,$C$9))</f>
        <v>12.0186777385044</v>
      </c>
      <c r="F426" s="26" t="n">
        <f aca="false">$B$18*(1+(B426+$B$17)/2)^9</f>
        <v>8703.73369821795</v>
      </c>
      <c r="G426" s="26" t="n">
        <f aca="false">F426*C426</f>
        <v>1936.29230178126</v>
      </c>
      <c r="H426" s="26" t="n">
        <f aca="false">E426*G426/(1+D426)^9</f>
        <v>8696.85075424833</v>
      </c>
      <c r="I426" s="26" t="n">
        <f aca="false">$B$13*G426/$B$12*((1+$B$8)/(1+D426))^4.5</f>
        <v>3199.74597292072</v>
      </c>
      <c r="J426" s="26" t="n">
        <f aca="false">H426+I426+$B$14</f>
        <v>13982.9956052512</v>
      </c>
      <c r="K426" s="44" t="n">
        <f aca="false">J426/$B$15</f>
        <v>22.1952311194464</v>
      </c>
    </row>
    <row r="427" customFormat="false" ht="15" hidden="false" customHeight="false" outlineLevel="0" collapsed="false">
      <c r="A427" s="52" t="n">
        <v>387</v>
      </c>
      <c r="B427" s="21" t="n">
        <f aca="true">NORMINV(RAND(),$B$6,$C$6)</f>
        <v>0.282166356453108</v>
      </c>
      <c r="C427" s="21" t="n">
        <f aca="true">MAX(0.03,NORMINV(RAND(),$B$7,$C$7))</f>
        <v>0.193967294714886</v>
      </c>
      <c r="D427" s="33" t="n">
        <f aca="true">MAX(0.08,NORMINV(RAND(),$B$8,$C$8))</f>
        <v>0.133251794423481</v>
      </c>
      <c r="E427" s="48" t="n">
        <f aca="true">MAX(4,NORMINV(RAND(),$B$9,$C$9))</f>
        <v>11.2767476413999</v>
      </c>
      <c r="F427" s="26" t="n">
        <f aca="false">$B$18*(1+(B427+$B$17)/2)^9</f>
        <v>11045.9303036644</v>
      </c>
      <c r="G427" s="26" t="n">
        <f aca="false">F427*C427</f>
        <v>2142.54921861096</v>
      </c>
      <c r="H427" s="26" t="n">
        <f aca="false">E427*G427/(1+D427)^9</f>
        <v>7837.48874687115</v>
      </c>
      <c r="I427" s="26" t="n">
        <f aca="false">$B$13*G427/$B$12*((1+$B$8)/(1+D427))^4.5</f>
        <v>3298.67338424171</v>
      </c>
      <c r="J427" s="26" t="n">
        <f aca="false">H427+I427+$B$14</f>
        <v>13222.561009195</v>
      </c>
      <c r="K427" s="44" t="n">
        <f aca="false">J427/$B$15</f>
        <v>20.9881920780874</v>
      </c>
    </row>
    <row r="428" customFormat="false" ht="15" hidden="false" customHeight="false" outlineLevel="0" collapsed="false">
      <c r="A428" s="52" t="n">
        <v>388</v>
      </c>
      <c r="B428" s="21" t="n">
        <f aca="true">NORMINV(RAND(),$B$6,$C$6)</f>
        <v>0.200230287480778</v>
      </c>
      <c r="C428" s="21" t="n">
        <f aca="true">MAX(0.03,NORMINV(RAND(),$B$7,$C$7))</f>
        <v>0.224893646145265</v>
      </c>
      <c r="D428" s="33" t="n">
        <f aca="true">MAX(0.08,NORMINV(RAND(),$B$8,$C$8))</f>
        <v>0.139274148922196</v>
      </c>
      <c r="E428" s="48" t="n">
        <f aca="true">MAX(4,NORMINV(RAND(),$B$9,$C$9))</f>
        <v>12.6613494660536</v>
      </c>
      <c r="F428" s="26" t="n">
        <f aca="false">$B$18*(1+(B428+$B$17)/2)^9</f>
        <v>8005.88334545909</v>
      </c>
      <c r="G428" s="26" t="n">
        <f aca="false">F428*C428</f>
        <v>1800.47229617395</v>
      </c>
      <c r="H428" s="26" t="n">
        <f aca="false">E428*G428/(1+D428)^9</f>
        <v>7050.37557072378</v>
      </c>
      <c r="I428" s="26" t="n">
        <f aca="false">$B$13*G428/$B$12*((1+$B$8)/(1+D428))^4.5</f>
        <v>2706.67884241468</v>
      </c>
      <c r="J428" s="26" t="n">
        <f aca="false">H428+I428+$B$14</f>
        <v>11843.4532912207</v>
      </c>
      <c r="K428" s="44" t="n">
        <f aca="false">J428/$B$15</f>
        <v>18.7991322082868</v>
      </c>
    </row>
    <row r="429" customFormat="false" ht="15" hidden="false" customHeight="false" outlineLevel="0" collapsed="false">
      <c r="A429" s="52" t="n">
        <v>389</v>
      </c>
      <c r="B429" s="21" t="n">
        <f aca="true">NORMINV(RAND(),$B$6,$C$6)</f>
        <v>0.167031422311826</v>
      </c>
      <c r="C429" s="21" t="n">
        <f aca="true">MAX(0.03,NORMINV(RAND(),$B$7,$C$7))</f>
        <v>0.205889127312284</v>
      </c>
      <c r="D429" s="33" t="n">
        <f aca="true">MAX(0.08,NORMINV(RAND(),$B$8,$C$8))</f>
        <v>0.128331131116484</v>
      </c>
      <c r="E429" s="48" t="n">
        <f aca="true">MAX(4,NORMINV(RAND(),$B$9,$C$9))</f>
        <v>10.0950744385685</v>
      </c>
      <c r="F429" s="26" t="n">
        <f aca="false">$B$18*(1+(B429+$B$17)/2)^9</f>
        <v>7003.46884624035</v>
      </c>
      <c r="G429" s="26" t="n">
        <f aca="false">F429*C429</f>
        <v>1441.93808891119</v>
      </c>
      <c r="H429" s="26" t="n">
        <f aca="false">E429*G429/(1+D429)^9</f>
        <v>4910.51456519365</v>
      </c>
      <c r="I429" s="26" t="n">
        <f aca="false">$B$13*G429/$B$12*((1+$B$8)/(1+D429))^4.5</f>
        <v>2263.91138873103</v>
      </c>
      <c r="J429" s="26" t="n">
        <f aca="false">H429+I429+$B$14</f>
        <v>9260.82483200687</v>
      </c>
      <c r="K429" s="44" t="n">
        <f aca="false">J429/$B$15</f>
        <v>14.6997219555665</v>
      </c>
    </row>
    <row r="430" customFormat="false" ht="15" hidden="false" customHeight="false" outlineLevel="0" collapsed="false">
      <c r="A430" s="52" t="n">
        <v>390</v>
      </c>
      <c r="B430" s="21" t="n">
        <f aca="true">NORMINV(RAND(),$B$6,$C$6)</f>
        <v>0.208847545289307</v>
      </c>
      <c r="C430" s="21" t="n">
        <f aca="true">MAX(0.03,NORMINV(RAND(),$B$7,$C$7))</f>
        <v>0.21530083265284</v>
      </c>
      <c r="D430" s="33" t="n">
        <f aca="true">MAX(0.08,NORMINV(RAND(),$B$8,$C$8))</f>
        <v>0.126460334597785</v>
      </c>
      <c r="E430" s="48" t="n">
        <f aca="true">MAX(4,NORMINV(RAND(),$B$9,$C$9))</f>
        <v>7.21795784135558</v>
      </c>
      <c r="F430" s="26" t="n">
        <f aca="false">$B$18*(1+(B430+$B$17)/2)^9</f>
        <v>8286.07477963731</v>
      </c>
      <c r="G430" s="26" t="n">
        <f aca="false">F430*C430</f>
        <v>1783.99879947961</v>
      </c>
      <c r="H430" s="26" t="n">
        <f aca="false">E430*G430/(1+D430)^9</f>
        <v>4409.26057313564</v>
      </c>
      <c r="I430" s="26" t="n">
        <f aca="false">$B$13*G430/$B$12*((1+$B$8)/(1+D430))^4.5</f>
        <v>2821.95685267449</v>
      </c>
      <c r="J430" s="26" t="n">
        <f aca="false">H430+I430+$B$14</f>
        <v>9317.61630389232</v>
      </c>
      <c r="K430" s="44" t="n">
        <f aca="false">J430/$B$15</f>
        <v>14.7898671490354</v>
      </c>
    </row>
    <row r="431" customFormat="false" ht="15" hidden="false" customHeight="false" outlineLevel="0" collapsed="false">
      <c r="A431" s="52" t="n">
        <v>391</v>
      </c>
      <c r="B431" s="21" t="n">
        <f aca="true">NORMINV(RAND(),$B$6,$C$6)</f>
        <v>0.174674226991841</v>
      </c>
      <c r="C431" s="21" t="n">
        <f aca="true">MAX(0.03,NORMINV(RAND(),$B$7,$C$7))</f>
        <v>0.21797569308707</v>
      </c>
      <c r="D431" s="33" t="n">
        <f aca="true">MAX(0.08,NORMINV(RAND(),$B$8,$C$8))</f>
        <v>0.137105963133758</v>
      </c>
      <c r="E431" s="48" t="n">
        <f aca="true">MAX(4,NORMINV(RAND(),$B$9,$C$9))</f>
        <v>10.4717333231943</v>
      </c>
      <c r="F431" s="26" t="n">
        <f aca="false">$B$18*(1+(B431+$B$17)/2)^9</f>
        <v>7223.77775920447</v>
      </c>
      <c r="G431" s="26" t="n">
        <f aca="false">F431*C431</f>
        <v>1574.60796376955</v>
      </c>
      <c r="H431" s="26" t="n">
        <f aca="false">E431*G431/(1+D431)^9</f>
        <v>5187.79234606481</v>
      </c>
      <c r="I431" s="26" t="n">
        <f aca="false">$B$13*G431/$B$12*((1+$B$8)/(1+D431))^4.5</f>
        <v>2387.51223190075</v>
      </c>
      <c r="J431" s="26" t="n">
        <f aca="false">H431+I431+$B$14</f>
        <v>9661.70345604776</v>
      </c>
      <c r="K431" s="44" t="n">
        <f aca="false">J431/$B$15</f>
        <v>15.3360372318218</v>
      </c>
    </row>
    <row r="432" customFormat="false" ht="15" hidden="false" customHeight="false" outlineLevel="0" collapsed="false">
      <c r="A432" s="52" t="n">
        <v>392</v>
      </c>
      <c r="B432" s="21" t="n">
        <f aca="true">NORMINV(RAND(),$B$6,$C$6)</f>
        <v>0.236907174576191</v>
      </c>
      <c r="C432" s="21" t="n">
        <f aca="true">MAX(0.03,NORMINV(RAND(),$B$7,$C$7))</f>
        <v>0.191948044477396</v>
      </c>
      <c r="D432" s="33" t="n">
        <f aca="true">MAX(0.08,NORMINV(RAND(),$B$8,$C$8))</f>
        <v>0.121949676771255</v>
      </c>
      <c r="E432" s="48" t="n">
        <f aca="true">MAX(4,NORMINV(RAND(),$B$9,$C$9))</f>
        <v>14.7232617842396</v>
      </c>
      <c r="F432" s="26" t="n">
        <f aca="false">$B$18*(1+(B432+$B$17)/2)^9</f>
        <v>9259.83818761308</v>
      </c>
      <c r="G432" s="26" t="n">
        <f aca="false">F432*C432</f>
        <v>1777.40783228945</v>
      </c>
      <c r="H432" s="26" t="n">
        <f aca="false">E432*G432/(1+D432)^9</f>
        <v>9290.32107587848</v>
      </c>
      <c r="I432" s="26" t="n">
        <f aca="false">$B$13*G432/$B$12*((1+$B$8)/(1+D432))^4.5</f>
        <v>2862.75556704473</v>
      </c>
      <c r="J432" s="26" t="n">
        <f aca="false">H432+I432+$B$14</f>
        <v>14239.4755210054</v>
      </c>
      <c r="K432" s="44" t="n">
        <f aca="false">J432/$B$15</f>
        <v>22.602342096834</v>
      </c>
    </row>
    <row r="433" customFormat="false" ht="15" hidden="false" customHeight="false" outlineLevel="0" collapsed="false">
      <c r="A433" s="52" t="n">
        <v>393</v>
      </c>
      <c r="B433" s="21" t="n">
        <f aca="true">NORMINV(RAND(),$B$6,$C$6)</f>
        <v>0.165362976135828</v>
      </c>
      <c r="C433" s="21" t="n">
        <f aca="true">MAX(0.03,NORMINV(RAND(),$B$7,$C$7))</f>
        <v>0.216339338349254</v>
      </c>
      <c r="D433" s="33" t="n">
        <f aca="true">MAX(0.08,NORMINV(RAND(),$B$8,$C$8))</f>
        <v>0.139044778286627</v>
      </c>
      <c r="E433" s="48" t="n">
        <f aca="true">MAX(4,NORMINV(RAND(),$B$9,$C$9))</f>
        <v>14.0931963737554</v>
      </c>
      <c r="F433" s="26" t="n">
        <f aca="false">$B$18*(1+(B433+$B$17)/2)^9</f>
        <v>6956.1766957392</v>
      </c>
      <c r="G433" s="26" t="n">
        <f aca="false">F433*C433</f>
        <v>1504.89466379672</v>
      </c>
      <c r="H433" s="26" t="n">
        <f aca="false">E433*G433/(1+D433)^9</f>
        <v>6571.25663448746</v>
      </c>
      <c r="I433" s="26" t="n">
        <f aca="false">$B$13*G433/$B$12*((1+$B$8)/(1+D433))^4.5</f>
        <v>2264.38303265252</v>
      </c>
      <c r="J433" s="26" t="n">
        <f aca="false">H433+I433+$B$14</f>
        <v>10922.0385452222</v>
      </c>
      <c r="K433" s="44" t="n">
        <f aca="false">J433/$B$15</f>
        <v>17.3365691194003</v>
      </c>
    </row>
    <row r="434" customFormat="false" ht="15" hidden="false" customHeight="false" outlineLevel="0" collapsed="false">
      <c r="A434" s="52" t="n">
        <v>394</v>
      </c>
      <c r="B434" s="21" t="n">
        <f aca="true">NORMINV(RAND(),$B$6,$C$6)</f>
        <v>0.234487399272738</v>
      </c>
      <c r="C434" s="21" t="n">
        <f aca="true">MAX(0.03,NORMINV(RAND(),$B$7,$C$7))</f>
        <v>0.207777835444425</v>
      </c>
      <c r="D434" s="33" t="n">
        <f aca="true">MAX(0.08,NORMINV(RAND(),$B$8,$C$8))</f>
        <v>0.130057894394111</v>
      </c>
      <c r="E434" s="48" t="n">
        <f aca="true">MAX(4,NORMINV(RAND(),$B$9,$C$9))</f>
        <v>10.6029810677865</v>
      </c>
      <c r="F434" s="26" t="n">
        <f aca="false">$B$18*(1+(B434+$B$17)/2)^9</f>
        <v>9172.03001233459</v>
      </c>
      <c r="G434" s="26" t="n">
        <f aca="false">F434*C434</f>
        <v>1905.74454259418</v>
      </c>
      <c r="H434" s="26" t="n">
        <f aca="false">E434*G434/(1+D434)^9</f>
        <v>6723.36097180882</v>
      </c>
      <c r="I434" s="26" t="n">
        <f aca="false">$B$13*G434/$B$12*((1+$B$8)/(1+D434))^4.5</f>
        <v>2971.59036913579</v>
      </c>
      <c r="J434" s="26" t="n">
        <f aca="false">H434+I434+$B$14</f>
        <v>11781.3502190268</v>
      </c>
      <c r="K434" s="44" t="n">
        <f aca="false">J434/$B$15</f>
        <v>18.7005559032171</v>
      </c>
    </row>
    <row r="435" customFormat="false" ht="15" hidden="false" customHeight="false" outlineLevel="0" collapsed="false">
      <c r="A435" s="52" t="n">
        <v>395</v>
      </c>
      <c r="B435" s="21" t="n">
        <f aca="true">NORMINV(RAND(),$B$6,$C$6)</f>
        <v>0.214760513452616</v>
      </c>
      <c r="C435" s="21" t="n">
        <f aca="true">MAX(0.03,NORMINV(RAND(),$B$7,$C$7))</f>
        <v>0.257134700393854</v>
      </c>
      <c r="D435" s="33" t="n">
        <f aca="true">MAX(0.08,NORMINV(RAND(),$B$8,$C$8))</f>
        <v>0.132545852376263</v>
      </c>
      <c r="E435" s="48" t="n">
        <f aca="true">MAX(4,NORMINV(RAND(),$B$9,$C$9))</f>
        <v>7.60514846018749</v>
      </c>
      <c r="F435" s="26" t="n">
        <f aca="false">$B$18*(1+(B435+$B$17)/2)^9</f>
        <v>8483.34490835036</v>
      </c>
      <c r="G435" s="26" t="n">
        <f aca="false">F435*C435</f>
        <v>2181.36235134639</v>
      </c>
      <c r="H435" s="26" t="n">
        <f aca="false">E435*G435/(1+D435)^9</f>
        <v>5411.69565003315</v>
      </c>
      <c r="I435" s="26" t="n">
        <f aca="false">$B$13*G435/$B$12*((1+$B$8)/(1+D435))^4.5</f>
        <v>3367.86069065397</v>
      </c>
      <c r="J435" s="26" t="n">
        <f aca="false">H435+I435+$B$14</f>
        <v>10865.9552187693</v>
      </c>
      <c r="K435" s="44" t="n">
        <f aca="false">J435/$B$15</f>
        <v>17.2475479663005</v>
      </c>
    </row>
    <row r="436" customFormat="false" ht="15" hidden="false" customHeight="false" outlineLevel="0" collapsed="false">
      <c r="A436" s="52" t="n">
        <v>396</v>
      </c>
      <c r="B436" s="21" t="n">
        <f aca="true">NORMINV(RAND(),$B$6,$C$6)</f>
        <v>0.235892551674571</v>
      </c>
      <c r="C436" s="21" t="n">
        <f aca="true">MAX(0.03,NORMINV(RAND(),$B$7,$C$7))</f>
        <v>0.191149598811003</v>
      </c>
      <c r="D436" s="33" t="n">
        <f aca="true">MAX(0.08,NORMINV(RAND(),$B$8,$C$8))</f>
        <v>0.132803389869185</v>
      </c>
      <c r="E436" s="48" t="n">
        <f aca="true">MAX(4,NORMINV(RAND(),$B$9,$C$9))</f>
        <v>11.3423970139183</v>
      </c>
      <c r="F436" s="26" t="n">
        <f aca="false">$B$18*(1+(B436+$B$17)/2)^9</f>
        <v>9222.92926074737</v>
      </c>
      <c r="G436" s="26" t="n">
        <f aca="false">F436*C436</f>
        <v>1762.95922805412</v>
      </c>
      <c r="H436" s="26" t="n">
        <f aca="false">E436*G436/(1+D436)^9</f>
        <v>6509.62923690682</v>
      </c>
      <c r="I436" s="26" t="n">
        <f aca="false">$B$13*G436/$B$12*((1+$B$8)/(1+D436))^4.5</f>
        <v>2719.0939715739</v>
      </c>
      <c r="J436" s="26" t="n">
        <f aca="false">H436+I436+$B$14</f>
        <v>11315.1220865629</v>
      </c>
      <c r="K436" s="44" t="n">
        <f aca="false">J436/$B$15</f>
        <v>17.9605112485126</v>
      </c>
    </row>
    <row r="437" customFormat="false" ht="15" hidden="false" customHeight="false" outlineLevel="0" collapsed="false">
      <c r="A437" s="52" t="n">
        <v>397</v>
      </c>
      <c r="B437" s="21" t="n">
        <f aca="true">NORMINV(RAND(),$B$6,$C$6)</f>
        <v>0.229784834774366</v>
      </c>
      <c r="C437" s="21" t="n">
        <f aca="true">MAX(0.03,NORMINV(RAND(),$B$7,$C$7))</f>
        <v>0.237346333421352</v>
      </c>
      <c r="D437" s="33" t="n">
        <f aca="true">MAX(0.08,NORMINV(RAND(),$B$8,$C$8))</f>
        <v>0.138140868133939</v>
      </c>
      <c r="E437" s="48" t="n">
        <f aca="true">MAX(4,NORMINV(RAND(),$B$9,$C$9))</f>
        <v>10.2970408132331</v>
      </c>
      <c r="F437" s="26" t="n">
        <f aca="false">$B$18*(1+(B437+$B$17)/2)^9</f>
        <v>9003.49874324939</v>
      </c>
      <c r="G437" s="26" t="n">
        <f aca="false">F437*C437</f>
        <v>2136.94741467399</v>
      </c>
      <c r="H437" s="26" t="n">
        <f aca="false">E437*G437/(1+D437)^9</f>
        <v>6866.60563842006</v>
      </c>
      <c r="I437" s="26" t="n">
        <f aca="false">$B$13*G437/$B$12*((1+$B$8)/(1+D437))^4.5</f>
        <v>3226.92693300817</v>
      </c>
      <c r="J437" s="26" t="n">
        <f aca="false">H437+I437+$B$14</f>
        <v>12179.9314495104</v>
      </c>
      <c r="K437" s="44" t="n">
        <f aca="false">J437/$B$15</f>
        <v>19.3332245230324</v>
      </c>
    </row>
    <row r="438" customFormat="false" ht="15" hidden="false" customHeight="false" outlineLevel="0" collapsed="false">
      <c r="A438" s="52" t="n">
        <v>398</v>
      </c>
      <c r="B438" s="21" t="n">
        <f aca="true">NORMINV(RAND(),$B$6,$C$6)</f>
        <v>0.215046484309356</v>
      </c>
      <c r="C438" s="21" t="n">
        <f aca="true">MAX(0.03,NORMINV(RAND(),$B$7,$C$7))</f>
        <v>0.194147919579639</v>
      </c>
      <c r="D438" s="33" t="n">
        <f aca="true">MAX(0.08,NORMINV(RAND(),$B$8,$C$8))</f>
        <v>0.125219043762422</v>
      </c>
      <c r="E438" s="48" t="n">
        <f aca="true">MAX(4,NORMINV(RAND(),$B$9,$C$9))</f>
        <v>9.9180424291436</v>
      </c>
      <c r="F438" s="26" t="n">
        <f aca="false">$B$18*(1+(B438+$B$17)/2)^9</f>
        <v>8492.99049148122</v>
      </c>
      <c r="G438" s="26" t="n">
        <f aca="false">F438*C438</f>
        <v>1648.89643493074</v>
      </c>
      <c r="H438" s="26" t="n">
        <f aca="false">E438*G438/(1+D438)^9</f>
        <v>5655.69104297744</v>
      </c>
      <c r="I438" s="26" t="n">
        <f aca="false">$B$13*G438/$B$12*((1+$B$8)/(1+D438))^4.5</f>
        <v>2621.2227305551</v>
      </c>
      <c r="J438" s="26" t="n">
        <f aca="false">H438+I438+$B$14</f>
        <v>10363.3126516147</v>
      </c>
      <c r="K438" s="44" t="n">
        <f aca="false">J438/$B$15</f>
        <v>16.4497026216107</v>
      </c>
    </row>
    <row r="439" customFormat="false" ht="15" hidden="false" customHeight="false" outlineLevel="0" collapsed="false">
      <c r="A439" s="52" t="n">
        <v>399</v>
      </c>
      <c r="B439" s="21" t="n">
        <f aca="true">NORMINV(RAND(),$B$6,$C$6)</f>
        <v>0.235743733590244</v>
      </c>
      <c r="C439" s="21" t="n">
        <f aca="true">MAX(0.03,NORMINV(RAND(),$B$7,$C$7))</f>
        <v>0.204511422926026</v>
      </c>
      <c r="D439" s="33" t="n">
        <f aca="true">MAX(0.08,NORMINV(RAND(),$B$8,$C$8))</f>
        <v>0.127655424664992</v>
      </c>
      <c r="E439" s="48" t="n">
        <f aca="true">MAX(4,NORMINV(RAND(),$B$9,$C$9))</f>
        <v>16.3061226104488</v>
      </c>
      <c r="F439" s="26" t="n">
        <f aca="false">$B$18*(1+(B439+$B$17)/2)^9</f>
        <v>9217.52671825338</v>
      </c>
      <c r="G439" s="26" t="n">
        <f aca="false">F439*C439</f>
        <v>1885.08950500866</v>
      </c>
      <c r="H439" s="26" t="n">
        <f aca="false">E439*G439/(1+D439)^9</f>
        <v>10425.453560104</v>
      </c>
      <c r="I439" s="26" t="n">
        <f aca="false">$B$13*G439/$B$12*((1+$B$8)/(1+D439))^4.5</f>
        <v>2967.66922704749</v>
      </c>
      <c r="J439" s="26" t="n">
        <f aca="false">H439+I439+$B$14</f>
        <v>15479.5216652337</v>
      </c>
      <c r="K439" s="44" t="n">
        <f aca="false">J439/$B$15</f>
        <v>24.5706693098947</v>
      </c>
    </row>
    <row r="440" customFormat="false" ht="15" hidden="false" customHeight="false" outlineLevel="0" collapsed="false">
      <c r="A440" s="52" t="n">
        <v>400</v>
      </c>
      <c r="B440" s="21" t="n">
        <f aca="true">NORMINV(RAND(),$B$6,$C$6)</f>
        <v>0.254967585939189</v>
      </c>
      <c r="C440" s="21" t="n">
        <f aca="true">MAX(0.03,NORMINV(RAND(),$B$7,$C$7))</f>
        <v>0.231079419684616</v>
      </c>
      <c r="D440" s="33" t="n">
        <f aca="true">MAX(0.08,NORMINV(RAND(),$B$8,$C$8))</f>
        <v>0.142310981738819</v>
      </c>
      <c r="E440" s="48" t="n">
        <f aca="true">MAX(4,NORMINV(RAND(),$B$9,$C$9))</f>
        <v>11.8394225228223</v>
      </c>
      <c r="F440" s="26" t="n">
        <f aca="false">$B$18*(1+(B440+$B$17)/2)^9</f>
        <v>9939.1665145274</v>
      </c>
      <c r="G440" s="26" t="n">
        <f aca="false">F440*C440</f>
        <v>2296.73683032576</v>
      </c>
      <c r="H440" s="26" t="n">
        <f aca="false">E440*G440/(1+D440)^9</f>
        <v>8210.74542564701</v>
      </c>
      <c r="I440" s="26" t="n">
        <f aca="false">$B$13*G440/$B$12*((1+$B$8)/(1+D440))^4.5</f>
        <v>3411.60725510026</v>
      </c>
      <c r="J440" s="26" t="n">
        <f aca="false">H440+I440+$B$14</f>
        <v>13708.7515588295</v>
      </c>
      <c r="K440" s="44" t="n">
        <f aca="false">J440/$B$15</f>
        <v>21.7599231092531</v>
      </c>
    </row>
    <row r="441" customFormat="false" ht="15" hidden="false" customHeight="false" outlineLevel="0" collapsed="false">
      <c r="A441" s="52" t="n">
        <v>401</v>
      </c>
      <c r="B441" s="21" t="n">
        <f aca="true">NORMINV(RAND(),$B$6,$C$6)</f>
        <v>0.267392500274906</v>
      </c>
      <c r="C441" s="21" t="n">
        <f aca="true">MAX(0.03,NORMINV(RAND(),$B$7,$C$7))</f>
        <v>0.208897626676801</v>
      </c>
      <c r="D441" s="33" t="n">
        <f aca="true">MAX(0.08,NORMINV(RAND(),$B$8,$C$8))</f>
        <v>0.138438664904322</v>
      </c>
      <c r="E441" s="48" t="n">
        <f aca="true">MAX(4,NORMINV(RAND(),$B$9,$C$9))</f>
        <v>12.3143137211546</v>
      </c>
      <c r="F441" s="26" t="n">
        <f aca="false">$B$18*(1+(B441+$B$17)/2)^9</f>
        <v>10431.8885600723</v>
      </c>
      <c r="G441" s="26" t="n">
        <f aca="false">F441*C441</f>
        <v>2179.19676195597</v>
      </c>
      <c r="H441" s="26" t="n">
        <f aca="false">E441*G441/(1+D441)^9</f>
        <v>8354.48959838148</v>
      </c>
      <c r="I441" s="26" t="n">
        <f aca="false">$B$13*G441/$B$12*((1+$B$8)/(1+D441))^4.5</f>
        <v>3286.85431726206</v>
      </c>
      <c r="J441" s="26" t="n">
        <f aca="false">H441+I441+$B$14</f>
        <v>13727.7427937257</v>
      </c>
      <c r="K441" s="44" t="n">
        <f aca="false">J441/$B$15</f>
        <v>21.7900679265488</v>
      </c>
    </row>
    <row r="442" customFormat="false" ht="15" hidden="false" customHeight="false" outlineLevel="0" collapsed="false">
      <c r="A442" s="52" t="n">
        <v>402</v>
      </c>
      <c r="B442" s="21" t="n">
        <f aca="true">NORMINV(RAND(),$B$6,$C$6)</f>
        <v>0.206343633165309</v>
      </c>
      <c r="C442" s="21" t="n">
        <f aca="true">MAX(0.03,NORMINV(RAND(),$B$7,$C$7))</f>
        <v>0.19884702333133</v>
      </c>
      <c r="D442" s="33" t="n">
        <f aca="true">MAX(0.08,NORMINV(RAND(),$B$8,$C$8))</f>
        <v>0.144677533603676</v>
      </c>
      <c r="E442" s="48" t="n">
        <f aca="true">MAX(4,NORMINV(RAND(),$B$9,$C$9))</f>
        <v>12.1315129495479</v>
      </c>
      <c r="F442" s="26" t="n">
        <f aca="false">$B$18*(1+(B442+$B$17)/2)^9</f>
        <v>8203.77501615924</v>
      </c>
      <c r="G442" s="26" t="n">
        <f aca="false">F442*C442</f>
        <v>1631.2962420432</v>
      </c>
      <c r="H442" s="26" t="n">
        <f aca="false">E442*G442/(1+D442)^9</f>
        <v>5865.42343648092</v>
      </c>
      <c r="I442" s="26" t="n">
        <f aca="false">$B$13*G442/$B$12*((1+$B$8)/(1+D442))^4.5</f>
        <v>2400.68952887694</v>
      </c>
      <c r="J442" s="26" t="n">
        <f aca="false">H442+I442+$B$14</f>
        <v>10352.5118434401</v>
      </c>
      <c r="K442" s="44" t="n">
        <f aca="false">J442/$B$15</f>
        <v>16.4325584816509</v>
      </c>
    </row>
    <row r="443" customFormat="false" ht="15" hidden="false" customHeight="false" outlineLevel="0" collapsed="false">
      <c r="A443" s="52" t="n">
        <v>403</v>
      </c>
      <c r="B443" s="21" t="n">
        <f aca="true">NORMINV(RAND(),$B$6,$C$6)</f>
        <v>0.130128447201827</v>
      </c>
      <c r="C443" s="21" t="n">
        <f aca="true">MAX(0.03,NORMINV(RAND(),$B$7,$C$7))</f>
        <v>0.181572022027573</v>
      </c>
      <c r="D443" s="33" t="n">
        <f aca="true">MAX(0.08,NORMINV(RAND(),$B$8,$C$8))</f>
        <v>0.143342407132038</v>
      </c>
      <c r="E443" s="48" t="n">
        <f aca="true">MAX(4,NORMINV(RAND(),$B$9,$C$9))</f>
        <v>11.9538702425997</v>
      </c>
      <c r="F443" s="26" t="n">
        <f aca="false">$B$18*(1+(B443+$B$17)/2)^9</f>
        <v>6021.50846215921</v>
      </c>
      <c r="G443" s="26" t="n">
        <f aca="false">F443*C443</f>
        <v>1093.33746713039</v>
      </c>
      <c r="H443" s="26" t="n">
        <f aca="false">E443*G443/(1+D443)^9</f>
        <v>3914.49696303639</v>
      </c>
      <c r="I443" s="26" t="n">
        <f aca="false">$B$13*G443/$B$12*((1+$B$8)/(1+D443))^4.5</f>
        <v>1617.47734096898</v>
      </c>
      <c r="J443" s="26" t="n">
        <f aca="false">H443+I443+$B$14</f>
        <v>7618.37318208755</v>
      </c>
      <c r="K443" s="44" t="n">
        <f aca="false">J443/$B$15</f>
        <v>12.0926558445834</v>
      </c>
    </row>
    <row r="444" customFormat="false" ht="15" hidden="false" customHeight="false" outlineLevel="0" collapsed="false">
      <c r="A444" s="52" t="n">
        <v>404</v>
      </c>
      <c r="B444" s="21" t="n">
        <f aca="true">NORMINV(RAND(),$B$6,$C$6)</f>
        <v>0.125370512218669</v>
      </c>
      <c r="C444" s="21" t="n">
        <f aca="true">MAX(0.03,NORMINV(RAND(),$B$7,$C$7))</f>
        <v>0.176020076960971</v>
      </c>
      <c r="D444" s="33" t="n">
        <f aca="true">MAX(0.08,NORMINV(RAND(),$B$8,$C$8))</f>
        <v>0.118107235465324</v>
      </c>
      <c r="E444" s="48" t="n">
        <f aca="true">MAX(4,NORMINV(RAND(),$B$9,$C$9))</f>
        <v>10.708855267887</v>
      </c>
      <c r="F444" s="26" t="n">
        <f aca="false">$B$18*(1+(B444+$B$17)/2)^9</f>
        <v>5904.26307538005</v>
      </c>
      <c r="G444" s="26" t="n">
        <f aca="false">F444*C444</f>
        <v>1039.26884092621</v>
      </c>
      <c r="H444" s="26" t="n">
        <f aca="false">E444*G444/(1+D444)^9</f>
        <v>4074.92701612523</v>
      </c>
      <c r="I444" s="26" t="n">
        <f aca="false">$B$13*G444/$B$12*((1+$B$8)/(1+D444))^4.5</f>
        <v>1699.92485736313</v>
      </c>
      <c r="J444" s="26" t="n">
        <f aca="false">H444+I444+$B$14</f>
        <v>7861.25075157056</v>
      </c>
      <c r="K444" s="44" t="n">
        <f aca="false">J444/$B$15</f>
        <v>12.4781757961437</v>
      </c>
    </row>
    <row r="445" customFormat="false" ht="15" hidden="false" customHeight="false" outlineLevel="0" collapsed="false">
      <c r="A445" s="52" t="n">
        <v>405</v>
      </c>
      <c r="B445" s="21" t="n">
        <f aca="true">NORMINV(RAND(),$B$6,$C$6)</f>
        <v>0.209047990078523</v>
      </c>
      <c r="C445" s="21" t="n">
        <f aca="true">MAX(0.03,NORMINV(RAND(),$B$7,$C$7))</f>
        <v>0.170044334160621</v>
      </c>
      <c r="D445" s="33" t="n">
        <f aca="true">MAX(0.08,NORMINV(RAND(),$B$8,$C$8))</f>
        <v>0.15476004031533</v>
      </c>
      <c r="E445" s="48" t="n">
        <f aca="true">MAX(4,NORMINV(RAND(),$B$9,$C$9))</f>
        <v>11.0640460174316</v>
      </c>
      <c r="F445" s="26" t="n">
        <f aca="false">$B$18*(1+(B445+$B$17)/2)^9</f>
        <v>8292.69470915909</v>
      </c>
      <c r="G445" s="26" t="n">
        <f aca="false">F445*C445</f>
        <v>1410.12575021626</v>
      </c>
      <c r="H445" s="26" t="n">
        <f aca="false">E445*G445/(1+D445)^9</f>
        <v>4273.12988442995</v>
      </c>
      <c r="I445" s="26" t="n">
        <f aca="false">$B$13*G445/$B$12*((1+$B$8)/(1+D445))^4.5</f>
        <v>1994.90564885483</v>
      </c>
      <c r="J445" s="26" t="n">
        <f aca="false">H445+I445+$B$14</f>
        <v>8354.43441136697</v>
      </c>
      <c r="K445" s="44" t="n">
        <f aca="false">J445/$B$15</f>
        <v>13.2610070021698</v>
      </c>
    </row>
    <row r="446" customFormat="false" ht="15" hidden="false" customHeight="false" outlineLevel="0" collapsed="false">
      <c r="A446" s="52" t="n">
        <v>406</v>
      </c>
      <c r="B446" s="21" t="n">
        <f aca="true">NORMINV(RAND(),$B$6,$C$6)</f>
        <v>0.133672481681889</v>
      </c>
      <c r="C446" s="21" t="n">
        <f aca="true">MAX(0.03,NORMINV(RAND(),$B$7,$C$7))</f>
        <v>0.216217092455283</v>
      </c>
      <c r="D446" s="33" t="n">
        <f aca="true">MAX(0.08,NORMINV(RAND(),$B$8,$C$8))</f>
        <v>0.135059716669259</v>
      </c>
      <c r="E446" s="48" t="n">
        <f aca="true">MAX(4,NORMINV(RAND(),$B$9,$C$9))</f>
        <v>14.1790952583264</v>
      </c>
      <c r="F446" s="26" t="n">
        <f aca="false">$B$18*(1+(B446+$B$17)/2)^9</f>
        <v>6110.18100528017</v>
      </c>
      <c r="G446" s="26" t="n">
        <f aca="false">F446*C446</f>
        <v>1321.12557133718</v>
      </c>
      <c r="H446" s="26" t="n">
        <f aca="false">E446*G446/(1+D446)^9</f>
        <v>5989.96412893432</v>
      </c>
      <c r="I446" s="26" t="n">
        <f aca="false">$B$13*G446/$B$12*((1+$B$8)/(1+D446))^4.5</f>
        <v>2019.46940689374</v>
      </c>
      <c r="J446" s="26" t="n">
        <f aca="false">H446+I446+$B$14</f>
        <v>10095.8324139102</v>
      </c>
      <c r="K446" s="44" t="n">
        <f aca="false">J446/$B$15</f>
        <v>16.0251308157305</v>
      </c>
    </row>
    <row r="447" customFormat="false" ht="15" hidden="false" customHeight="false" outlineLevel="0" collapsed="false">
      <c r="A447" s="52" t="n">
        <v>407</v>
      </c>
      <c r="B447" s="21" t="n">
        <f aca="true">NORMINV(RAND(),$B$6,$C$6)</f>
        <v>0.159619591015746</v>
      </c>
      <c r="C447" s="21" t="n">
        <f aca="true">MAX(0.03,NORMINV(RAND(),$B$7,$C$7))</f>
        <v>0.280492749034749</v>
      </c>
      <c r="D447" s="33" t="n">
        <f aca="true">MAX(0.08,NORMINV(RAND(),$B$8,$C$8))</f>
        <v>0.145477440851931</v>
      </c>
      <c r="E447" s="48" t="n">
        <f aca="true">MAX(4,NORMINV(RAND(),$B$9,$C$9))</f>
        <v>15.0459537576868</v>
      </c>
      <c r="F447" s="26" t="n">
        <f aca="false">$B$18*(1+(B447+$B$17)/2)^9</f>
        <v>6795.54309713153</v>
      </c>
      <c r="G447" s="26" t="n">
        <f aca="false">F447*C447</f>
        <v>1906.10056449853</v>
      </c>
      <c r="H447" s="26" t="n">
        <f aca="false">E447*G447/(1+D447)^9</f>
        <v>8446.69217882626</v>
      </c>
      <c r="I447" s="26" t="n">
        <f aca="false">$B$13*G447/$B$12*((1+$B$8)/(1+D447))^4.5</f>
        <v>2796.29995518685</v>
      </c>
      <c r="J447" s="26" t="n">
        <f aca="false">H447+I447+$B$14</f>
        <v>13329.3910120953</v>
      </c>
      <c r="K447" s="44" t="n">
        <f aca="false">J447/$B$15</f>
        <v>21.1577635112624</v>
      </c>
    </row>
    <row r="448" customFormat="false" ht="15" hidden="false" customHeight="false" outlineLevel="0" collapsed="false">
      <c r="A448" s="52" t="n">
        <v>408</v>
      </c>
      <c r="B448" s="21" t="n">
        <f aca="true">NORMINV(RAND(),$B$6,$C$6)</f>
        <v>0.224034143862917</v>
      </c>
      <c r="C448" s="21" t="n">
        <f aca="true">MAX(0.03,NORMINV(RAND(),$B$7,$C$7))</f>
        <v>0.227753332336977</v>
      </c>
      <c r="D448" s="33" t="n">
        <f aca="true">MAX(0.08,NORMINV(RAND(),$B$8,$C$8))</f>
        <v>0.122060324901741</v>
      </c>
      <c r="E448" s="48" t="n">
        <f aca="true">MAX(4,NORMINV(RAND(),$B$9,$C$9))</f>
        <v>11.8221119929637</v>
      </c>
      <c r="F448" s="26" t="n">
        <f aca="false">$B$18*(1+(B448+$B$17)/2)^9</f>
        <v>8801.14944587795</v>
      </c>
      <c r="G448" s="26" t="n">
        <f aca="false">F448*C448</f>
        <v>2004.49111469444</v>
      </c>
      <c r="H448" s="26" t="n">
        <f aca="false">E448*G448/(1+D448)^9</f>
        <v>8405.30249040186</v>
      </c>
      <c r="I448" s="26" t="n">
        <f aca="false">$B$13*G448/$B$12*((1+$B$8)/(1+D448))^4.5</f>
        <v>3227.07148026685</v>
      </c>
      <c r="J448" s="26" t="n">
        <f aca="false">H448+I448+$B$14</f>
        <v>13718.7728487509</v>
      </c>
      <c r="K448" s="44" t="n">
        <f aca="false">J448/$B$15</f>
        <v>21.7758299186522</v>
      </c>
    </row>
    <row r="449" customFormat="false" ht="15" hidden="false" customHeight="false" outlineLevel="0" collapsed="false">
      <c r="A449" s="52" t="n">
        <v>409</v>
      </c>
      <c r="B449" s="21" t="n">
        <f aca="true">NORMINV(RAND(),$B$6,$C$6)</f>
        <v>0.238240593999806</v>
      </c>
      <c r="C449" s="21" t="n">
        <f aca="true">MAX(0.03,NORMINV(RAND(),$B$7,$C$7))</f>
        <v>0.200780133612809</v>
      </c>
      <c r="D449" s="33" t="n">
        <f aca="true">MAX(0.08,NORMINV(RAND(),$B$8,$C$8))</f>
        <v>0.135124239069962</v>
      </c>
      <c r="E449" s="48" t="n">
        <f aca="true">MAX(4,NORMINV(RAND(),$B$9,$C$9))</f>
        <v>11.2298991730817</v>
      </c>
      <c r="F449" s="26" t="n">
        <f aca="false">$B$18*(1+(B449+$B$17)/2)^9</f>
        <v>9308.54360107802</v>
      </c>
      <c r="G449" s="26" t="n">
        <f aca="false">F449*C449</f>
        <v>1868.97062796511</v>
      </c>
      <c r="H449" s="26" t="n">
        <f aca="false">E449*G449/(1+D449)^9</f>
        <v>6707.91815795973</v>
      </c>
      <c r="I449" s="26" t="n">
        <f aca="false">$B$13*G449/$B$12*((1+$B$8)/(1+D449))^4.5</f>
        <v>2856.17336956371</v>
      </c>
      <c r="J449" s="26" t="n">
        <f aca="false">H449+I449+$B$14</f>
        <v>11650.4904056056</v>
      </c>
      <c r="K449" s="44" t="n">
        <f aca="false">J449/$B$15</f>
        <v>18.4928419136597</v>
      </c>
    </row>
    <row r="450" customFormat="false" ht="15" hidden="false" customHeight="false" outlineLevel="0" collapsed="false">
      <c r="A450" s="52" t="n">
        <v>410</v>
      </c>
      <c r="B450" s="21" t="n">
        <f aca="true">NORMINV(RAND(),$B$6,$C$6)</f>
        <v>0.187045830005338</v>
      </c>
      <c r="C450" s="21" t="n">
        <f aca="true">MAX(0.03,NORMINV(RAND(),$B$7,$C$7))</f>
        <v>0.170041553829891</v>
      </c>
      <c r="D450" s="33" t="n">
        <f aca="true">MAX(0.08,NORMINV(RAND(),$B$8,$C$8))</f>
        <v>0.123383326849009</v>
      </c>
      <c r="E450" s="48" t="n">
        <f aca="true">MAX(4,NORMINV(RAND(),$B$9,$C$9))</f>
        <v>7.15049271610256</v>
      </c>
      <c r="F450" s="26" t="n">
        <f aca="false">$B$18*(1+(B450+$B$17)/2)^9</f>
        <v>7593.47379256305</v>
      </c>
      <c r="G450" s="26" t="n">
        <f aca="false">F450*C450</f>
        <v>1291.20608265398</v>
      </c>
      <c r="H450" s="26" t="n">
        <f aca="false">E450*G450/(1+D450)^9</f>
        <v>3240.259312026</v>
      </c>
      <c r="I450" s="26" t="n">
        <f aca="false">$B$13*G450/$B$12*((1+$B$8)/(1+D450))^4.5</f>
        <v>2067.74538104679</v>
      </c>
      <c r="J450" s="26" t="n">
        <f aca="false">H450+I450+$B$14</f>
        <v>7394.40357115498</v>
      </c>
      <c r="K450" s="44" t="n">
        <f aca="false">J450/$B$15</f>
        <v>11.7371485256428</v>
      </c>
    </row>
    <row r="451" customFormat="false" ht="15" hidden="false" customHeight="false" outlineLevel="0" collapsed="false">
      <c r="A451" s="52" t="n">
        <v>411</v>
      </c>
      <c r="B451" s="21" t="n">
        <f aca="true">NORMINV(RAND(),$B$6,$C$6)</f>
        <v>0.170981853638055</v>
      </c>
      <c r="C451" s="21" t="n">
        <f aca="true">MAX(0.03,NORMINV(RAND(),$B$7,$C$7))</f>
        <v>0.218839416760613</v>
      </c>
      <c r="D451" s="33" t="n">
        <f aca="true">MAX(0.08,NORMINV(RAND(),$B$8,$C$8))</f>
        <v>0.143709627298501</v>
      </c>
      <c r="E451" s="48" t="n">
        <f aca="true">MAX(4,NORMINV(RAND(),$B$9,$C$9))</f>
        <v>10.8774163585385</v>
      </c>
      <c r="F451" s="26" t="n">
        <f aca="false">$B$18*(1+(B451+$B$17)/2)^9</f>
        <v>7116.58525627933</v>
      </c>
      <c r="G451" s="26" t="n">
        <f aca="false">F451*C451</f>
        <v>1557.38936681135</v>
      </c>
      <c r="H451" s="26" t="n">
        <f aca="false">E451*G451/(1+D451)^9</f>
        <v>5059.18972341317</v>
      </c>
      <c r="I451" s="26" t="n">
        <f aca="false">$B$13*G451/$B$12*((1+$B$8)/(1+D451))^4.5</f>
        <v>2300.66607063445</v>
      </c>
      <c r="J451" s="26" t="n">
        <f aca="false">H451+I451+$B$14</f>
        <v>9446.25467212981</v>
      </c>
      <c r="K451" s="44" t="n">
        <f aca="false">J451/$B$15</f>
        <v>14.9940550351267</v>
      </c>
    </row>
    <row r="452" customFormat="false" ht="15" hidden="false" customHeight="false" outlineLevel="0" collapsed="false">
      <c r="A452" s="52" t="n">
        <v>412</v>
      </c>
      <c r="B452" s="21" t="n">
        <f aca="true">NORMINV(RAND(),$B$6,$C$6)</f>
        <v>0.12761676791688</v>
      </c>
      <c r="C452" s="21" t="n">
        <f aca="true">MAX(0.03,NORMINV(RAND(),$B$7,$C$7))</f>
        <v>0.192532342823576</v>
      </c>
      <c r="D452" s="33" t="n">
        <f aca="true">MAX(0.08,NORMINV(RAND(),$B$8,$C$8))</f>
        <v>0.120506103065974</v>
      </c>
      <c r="E452" s="48" t="n">
        <f aca="true">MAX(4,NORMINV(RAND(),$B$9,$C$9))</f>
        <v>10.7507526348847</v>
      </c>
      <c r="F452" s="26" t="n">
        <f aca="false">$B$18*(1+(B452+$B$17)/2)^9</f>
        <v>5959.36015309236</v>
      </c>
      <c r="G452" s="26" t="n">
        <f aca="false">F452*C452</f>
        <v>1147.36957200434</v>
      </c>
      <c r="H452" s="26" t="n">
        <f aca="false">E452*G452/(1+D452)^9</f>
        <v>4430.10643450089</v>
      </c>
      <c r="I452" s="26" t="n">
        <f aca="false">$B$13*G452/$B$12*((1+$B$8)/(1+D452))^4.5</f>
        <v>1858.73162429746</v>
      </c>
      <c r="J452" s="26" t="n">
        <f aca="false">H452+I452+$B$14</f>
        <v>8375.23693688055</v>
      </c>
      <c r="K452" s="44" t="n">
        <f aca="false">J452/$B$15</f>
        <v>13.2940268839374</v>
      </c>
    </row>
    <row r="453" customFormat="false" ht="15" hidden="false" customHeight="false" outlineLevel="0" collapsed="false">
      <c r="A453" s="52" t="n">
        <v>413</v>
      </c>
      <c r="B453" s="21" t="n">
        <f aca="true">NORMINV(RAND(),$B$6,$C$6)</f>
        <v>0.27945352446432</v>
      </c>
      <c r="C453" s="21" t="n">
        <f aca="true">MAX(0.03,NORMINV(RAND(),$B$7,$C$7))</f>
        <v>0.234176507651415</v>
      </c>
      <c r="D453" s="33" t="n">
        <f aca="true">MAX(0.08,NORMINV(RAND(),$B$8,$C$8))</f>
        <v>0.162155384586645</v>
      </c>
      <c r="E453" s="48" t="n">
        <f aca="true">MAX(4,NORMINV(RAND(),$B$9,$C$9))</f>
        <v>10.4827903155596</v>
      </c>
      <c r="F453" s="26" t="n">
        <f aca="false">$B$18*(1+(B453+$B$17)/2)^9</f>
        <v>10930.8268810313</v>
      </c>
      <c r="G453" s="26" t="n">
        <f aca="false">F453*C453</f>
        <v>2559.74286474212</v>
      </c>
      <c r="H453" s="26" t="n">
        <f aca="false">E453*G453/(1+D453)^9</f>
        <v>6938.97704945422</v>
      </c>
      <c r="I453" s="26" t="n">
        <f aca="false">$B$13*G453/$B$12*((1+$B$8)/(1+D453))^4.5</f>
        <v>3518.7209358772</v>
      </c>
      <c r="J453" s="26" t="n">
        <f aca="false">H453+I453+$B$14</f>
        <v>12544.0968634136</v>
      </c>
      <c r="K453" s="44" t="n">
        <f aca="false">J453/$B$15</f>
        <v>19.9112648625613</v>
      </c>
    </row>
    <row r="454" customFormat="false" ht="15" hidden="false" customHeight="false" outlineLevel="0" collapsed="false">
      <c r="A454" s="52" t="n">
        <v>414</v>
      </c>
      <c r="B454" s="21" t="n">
        <f aca="true">NORMINV(RAND(),$B$6,$C$6)</f>
        <v>0.19933129802387</v>
      </c>
      <c r="C454" s="21" t="n">
        <f aca="true">MAX(0.03,NORMINV(RAND(),$B$7,$C$7))</f>
        <v>0.189317934956842</v>
      </c>
      <c r="D454" s="33" t="n">
        <f aca="true">MAX(0.08,NORMINV(RAND(),$B$8,$C$8))</f>
        <v>0.131634955474815</v>
      </c>
      <c r="E454" s="48" t="n">
        <f aca="true">MAX(4,NORMINV(RAND(),$B$9,$C$9))</f>
        <v>12.0960100277399</v>
      </c>
      <c r="F454" s="26" t="n">
        <f aca="false">$B$18*(1+(B454+$B$17)/2)^9</f>
        <v>7977.14343092735</v>
      </c>
      <c r="G454" s="26" t="n">
        <f aca="false">F454*C454</f>
        <v>1510.21632119771</v>
      </c>
      <c r="H454" s="26" t="n">
        <f aca="false">E454*G454/(1+D454)^9</f>
        <v>6002.3886334708</v>
      </c>
      <c r="I454" s="26" t="n">
        <f aca="false">$B$13*G454/$B$12*((1+$B$8)/(1+D454))^4.5</f>
        <v>2340.11900924308</v>
      </c>
      <c r="J454" s="26" t="n">
        <f aca="false">H454+I454+$B$14</f>
        <v>10428.9065207961</v>
      </c>
      <c r="K454" s="44" t="n">
        <f aca="false">J454/$B$15</f>
        <v>16.5538198742795</v>
      </c>
    </row>
    <row r="455" customFormat="false" ht="15" hidden="false" customHeight="false" outlineLevel="0" collapsed="false">
      <c r="A455" s="52" t="n">
        <v>415</v>
      </c>
      <c r="B455" s="21" t="n">
        <f aca="true">NORMINV(RAND(),$B$6,$C$6)</f>
        <v>0.267309007519277</v>
      </c>
      <c r="C455" s="21" t="n">
        <f aca="true">MAX(0.03,NORMINV(RAND(),$B$7,$C$7))</f>
        <v>0.159594034712498</v>
      </c>
      <c r="D455" s="33" t="n">
        <f aca="true">MAX(0.08,NORMINV(RAND(),$B$8,$C$8))</f>
        <v>0.143804550262943</v>
      </c>
      <c r="E455" s="48" t="n">
        <f aca="true">MAX(4,NORMINV(RAND(),$B$9,$C$9))</f>
        <v>13.024371217323</v>
      </c>
      <c r="F455" s="26" t="n">
        <f aca="false">$B$18*(1+(B455+$B$17)/2)^9</f>
        <v>10428.5064163509</v>
      </c>
      <c r="G455" s="26" t="n">
        <f aca="false">F455*C455</f>
        <v>1664.32741501062</v>
      </c>
      <c r="H455" s="26" t="n">
        <f aca="false">E455*G455/(1+D455)^9</f>
        <v>6468.88087458948</v>
      </c>
      <c r="I455" s="26" t="n">
        <f aca="false">$B$13*G455/$B$12*((1+$B$8)/(1+D455))^4.5</f>
        <v>2457.72312427512</v>
      </c>
      <c r="J455" s="26" t="n">
        <f aca="false">H455+I455+$B$14</f>
        <v>11013.0028769468</v>
      </c>
      <c r="K455" s="44" t="n">
        <f aca="false">J455/$B$15</f>
        <v>17.4809569475346</v>
      </c>
    </row>
    <row r="456" customFormat="false" ht="15" hidden="false" customHeight="false" outlineLevel="0" collapsed="false">
      <c r="A456" s="52" t="n">
        <v>416</v>
      </c>
      <c r="B456" s="21" t="n">
        <f aca="true">NORMINV(RAND(),$B$6,$C$6)</f>
        <v>0.174840325562072</v>
      </c>
      <c r="C456" s="21" t="n">
        <f aca="true">MAX(0.03,NORMINV(RAND(),$B$7,$C$7))</f>
        <v>0.159077767974513</v>
      </c>
      <c r="D456" s="33" t="n">
        <f aca="true">MAX(0.08,NORMINV(RAND(),$B$8,$C$8))</f>
        <v>0.133918515667776</v>
      </c>
      <c r="E456" s="48" t="n">
        <f aca="true">MAX(4,NORMINV(RAND(),$B$9,$C$9))</f>
        <v>9.64978395272084</v>
      </c>
      <c r="F456" s="26" t="n">
        <f aca="false">$B$18*(1+(B456+$B$17)/2)^9</f>
        <v>7228.63328270847</v>
      </c>
      <c r="G456" s="26" t="n">
        <f aca="false">F456*C456</f>
        <v>1149.91484811954</v>
      </c>
      <c r="H456" s="26" t="n">
        <f aca="false">E456*G456/(1+D456)^9</f>
        <v>3580.52449919536</v>
      </c>
      <c r="I456" s="26" t="n">
        <f aca="false">$B$13*G456/$B$12*((1+$B$8)/(1+D456))^4.5</f>
        <v>1765.73184257256</v>
      </c>
      <c r="J456" s="26" t="n">
        <f aca="false">H456+I456+$B$14</f>
        <v>7432.65521985011</v>
      </c>
      <c r="K456" s="44" t="n">
        <f aca="false">J456/$B$15</f>
        <v>11.7978654283335</v>
      </c>
    </row>
    <row r="457" customFormat="false" ht="15" hidden="false" customHeight="false" outlineLevel="0" collapsed="false">
      <c r="A457" s="52" t="n">
        <v>417</v>
      </c>
      <c r="B457" s="21" t="n">
        <f aca="true">NORMINV(RAND(),$B$6,$C$6)</f>
        <v>0.206823193918406</v>
      </c>
      <c r="C457" s="21" t="n">
        <f aca="true">MAX(0.03,NORMINV(RAND(),$B$7,$C$7))</f>
        <v>0.170297169515291</v>
      </c>
      <c r="D457" s="33" t="n">
        <f aca="true">MAX(0.08,NORMINV(RAND(),$B$8,$C$8))</f>
        <v>0.137347318353563</v>
      </c>
      <c r="E457" s="48" t="n">
        <f aca="true">MAX(4,NORMINV(RAND(),$B$9,$C$9))</f>
        <v>12.8745370708888</v>
      </c>
      <c r="F457" s="26" t="n">
        <f aca="false">$B$18*(1+(B457+$B$17)/2)^9</f>
        <v>8219.48095444776</v>
      </c>
      <c r="G457" s="26" t="n">
        <f aca="false">F457*C457</f>
        <v>1399.7543414273</v>
      </c>
      <c r="H457" s="26" t="n">
        <f aca="false">E457*G457/(1+D457)^9</f>
        <v>5659.07531049192</v>
      </c>
      <c r="I457" s="26" t="n">
        <f aca="false">$B$13*G457/$B$12*((1+$B$8)/(1+D457))^4.5</f>
        <v>2120.36299208584</v>
      </c>
      <c r="J457" s="26" t="n">
        <f aca="false">H457+I457+$B$14</f>
        <v>9865.83718065996</v>
      </c>
      <c r="K457" s="44" t="n">
        <f aca="false">J457/$B$15</f>
        <v>15.6600590169206</v>
      </c>
    </row>
    <row r="458" customFormat="false" ht="15" hidden="false" customHeight="false" outlineLevel="0" collapsed="false">
      <c r="A458" s="52" t="n">
        <v>418</v>
      </c>
      <c r="B458" s="21" t="n">
        <f aca="true">NORMINV(RAND(),$B$6,$C$6)</f>
        <v>0.291381788959471</v>
      </c>
      <c r="C458" s="21" t="n">
        <f aca="true">MAX(0.03,NORMINV(RAND(),$B$7,$C$7))</f>
        <v>0.192528207944296</v>
      </c>
      <c r="D458" s="33" t="n">
        <f aca="true">MAX(0.08,NORMINV(RAND(),$B$8,$C$8))</f>
        <v>0.144203364527183</v>
      </c>
      <c r="E458" s="48" t="n">
        <f aca="true">MAX(4,NORMINV(RAND(),$B$9,$C$9))</f>
        <v>13.6359939600426</v>
      </c>
      <c r="F458" s="26" t="n">
        <f aca="false">$B$18*(1+(B458+$B$17)/2)^9</f>
        <v>11445.0235326908</v>
      </c>
      <c r="G458" s="26" t="n">
        <f aca="false">F458*C458</f>
        <v>2203.48987062925</v>
      </c>
      <c r="H458" s="26" t="n">
        <f aca="false">E458*G458/(1+D458)^9</f>
        <v>8938.58705798461</v>
      </c>
      <c r="I458" s="26" t="n">
        <f aca="false">$B$13*G458/$B$12*((1+$B$8)/(1+D458))^4.5</f>
        <v>3248.8072422367</v>
      </c>
      <c r="J458" s="26" t="n">
        <f aca="false">H458+I458+$B$14</f>
        <v>14273.7931783035</v>
      </c>
      <c r="K458" s="44" t="n">
        <f aca="false">J458/$B$15</f>
        <v>22.6568145687357</v>
      </c>
    </row>
    <row r="459" customFormat="false" ht="15" hidden="false" customHeight="false" outlineLevel="0" collapsed="false">
      <c r="A459" s="52" t="n">
        <v>419</v>
      </c>
      <c r="B459" s="21" t="n">
        <f aca="true">NORMINV(RAND(),$B$6,$C$6)</f>
        <v>0.202720535925668</v>
      </c>
      <c r="C459" s="21" t="n">
        <f aca="true">MAX(0.03,NORMINV(RAND(),$B$7,$C$7))</f>
        <v>0.258646939813196</v>
      </c>
      <c r="D459" s="33" t="n">
        <f aca="true">MAX(0.08,NORMINV(RAND(),$B$8,$C$8))</f>
        <v>0.140030418952689</v>
      </c>
      <c r="E459" s="48" t="n">
        <f aca="true">MAX(4,NORMINV(RAND(),$B$9,$C$9))</f>
        <v>10.398856465258</v>
      </c>
      <c r="F459" s="26" t="n">
        <f aca="false">$B$18*(1+(B459+$B$17)/2)^9</f>
        <v>8085.97562578805</v>
      </c>
      <c r="G459" s="26" t="n">
        <f aca="false">F459*C459</f>
        <v>2091.41285101417</v>
      </c>
      <c r="H459" s="26" t="n">
        <f aca="false">E459*G459/(1+D459)^9</f>
        <v>6686.16977051374</v>
      </c>
      <c r="I459" s="26" t="n">
        <f aca="false">$B$13*G459/$B$12*((1+$B$8)/(1+D459))^4.5</f>
        <v>3134.6797073766</v>
      </c>
      <c r="J459" s="26" t="n">
        <f aca="false">H459+I459+$B$14</f>
        <v>11907.2483559725</v>
      </c>
      <c r="K459" s="44" t="n">
        <f aca="false">J459/$B$15</f>
        <v>18.9003942158294</v>
      </c>
    </row>
    <row r="460" customFormat="false" ht="15" hidden="false" customHeight="false" outlineLevel="0" collapsed="false">
      <c r="A460" s="52" t="n">
        <v>420</v>
      </c>
      <c r="B460" s="21" t="n">
        <f aca="true">NORMINV(RAND(),$B$6,$C$6)</f>
        <v>0.186567562517229</v>
      </c>
      <c r="C460" s="21" t="n">
        <f aca="true">MAX(0.03,NORMINV(RAND(),$B$7,$C$7))</f>
        <v>0.186860494702489</v>
      </c>
      <c r="D460" s="33" t="n">
        <f aca="true">MAX(0.08,NORMINV(RAND(),$B$8,$C$8))</f>
        <v>0.138183101852459</v>
      </c>
      <c r="E460" s="48" t="n">
        <f aca="true">MAX(4,NORMINV(RAND(),$B$9,$C$9))</f>
        <v>11.7054984634635</v>
      </c>
      <c r="F460" s="26" t="n">
        <f aca="false">$B$18*(1+(B460+$B$17)/2)^9</f>
        <v>7578.87531343097</v>
      </c>
      <c r="G460" s="26" t="n">
        <f aca="false">F460*C460</f>
        <v>1416.19239035619</v>
      </c>
      <c r="H460" s="26" t="n">
        <f aca="false">E460*G460/(1+D460)^9</f>
        <v>5171.33850881647</v>
      </c>
      <c r="I460" s="26" t="n">
        <f aca="false">$B$13*G460/$B$12*((1+$B$8)/(1+D460))^4.5</f>
        <v>2138.18379579492</v>
      </c>
      <c r="J460" s="26" t="n">
        <f aca="false">H460+I460+$B$14</f>
        <v>9395.92118269358</v>
      </c>
      <c r="K460" s="44" t="n">
        <f aca="false">J460/$B$15</f>
        <v>14.9141606074501</v>
      </c>
    </row>
    <row r="461" customFormat="false" ht="15" hidden="false" customHeight="false" outlineLevel="0" collapsed="false">
      <c r="A461" s="52" t="n">
        <v>421</v>
      </c>
      <c r="B461" s="21" t="n">
        <f aca="true">NORMINV(RAND(),$B$6,$C$6)</f>
        <v>0.21437894031915</v>
      </c>
      <c r="C461" s="21" t="n">
        <f aca="true">MAX(0.03,NORMINV(RAND(),$B$7,$C$7))</f>
        <v>0.208736493546902</v>
      </c>
      <c r="D461" s="33" t="n">
        <f aca="true">MAX(0.08,NORMINV(RAND(),$B$8,$C$8))</f>
        <v>0.134761112485705</v>
      </c>
      <c r="E461" s="48" t="n">
        <f aca="true">MAX(4,NORMINV(RAND(),$B$9,$C$9))</f>
        <v>12.9806798092446</v>
      </c>
      <c r="F461" s="26" t="n">
        <f aca="false">$B$18*(1+(B461+$B$17)/2)^9</f>
        <v>8470.48989683829</v>
      </c>
      <c r="G461" s="26" t="n">
        <f aca="false">F461*C461</f>
        <v>1768.10035969049</v>
      </c>
      <c r="H461" s="26" t="n">
        <f aca="false">E461*G461/(1+D461)^9</f>
        <v>7356.38330976162</v>
      </c>
      <c r="I461" s="26" t="n">
        <f aca="false">$B$13*G461/$B$12*((1+$B$8)/(1+D461))^4.5</f>
        <v>2705.9158780699</v>
      </c>
      <c r="J461" s="26" t="n">
        <f aca="false">H461+I461+$B$14</f>
        <v>12148.6980659137</v>
      </c>
      <c r="K461" s="44" t="n">
        <f aca="false">J461/$B$15</f>
        <v>19.2836477236726</v>
      </c>
    </row>
    <row r="462" customFormat="false" ht="15" hidden="false" customHeight="false" outlineLevel="0" collapsed="false">
      <c r="A462" s="52" t="n">
        <v>422</v>
      </c>
      <c r="B462" s="21" t="n">
        <f aca="true">NORMINV(RAND(),$B$6,$C$6)</f>
        <v>0.139814151649948</v>
      </c>
      <c r="C462" s="21" t="n">
        <f aca="true">MAX(0.03,NORMINV(RAND(),$B$7,$C$7))</f>
        <v>0.195877857927543</v>
      </c>
      <c r="D462" s="33" t="n">
        <f aca="true">MAX(0.08,NORMINV(RAND(),$B$8,$C$8))</f>
        <v>0.145474135030117</v>
      </c>
      <c r="E462" s="48" t="n">
        <f aca="true">MAX(4,NORMINV(RAND(),$B$9,$C$9))</f>
        <v>12.5547866167667</v>
      </c>
      <c r="F462" s="26" t="n">
        <f aca="false">$B$18*(1+(B462+$B$17)/2)^9</f>
        <v>6266.5987450004</v>
      </c>
      <c r="G462" s="26" t="n">
        <f aca="false">F462*C462</f>
        <v>1227.48793866211</v>
      </c>
      <c r="H462" s="26" t="n">
        <f aca="false">E462*G462/(1+D462)^9</f>
        <v>4538.98747512734</v>
      </c>
      <c r="I462" s="26" t="n">
        <f aca="false">$B$13*G462/$B$12*((1+$B$8)/(1+D462))^4.5</f>
        <v>1800.78066640464</v>
      </c>
      <c r="J462" s="26" t="n">
        <f aca="false">H462+I462+$B$14</f>
        <v>8426.16701961417</v>
      </c>
      <c r="K462" s="44" t="n">
        <f aca="false">J462/$B$15</f>
        <v>13.3748682851019</v>
      </c>
    </row>
    <row r="463" customFormat="false" ht="15" hidden="false" customHeight="false" outlineLevel="0" collapsed="false">
      <c r="A463" s="52" t="n">
        <v>423</v>
      </c>
      <c r="B463" s="21" t="n">
        <f aca="true">NORMINV(RAND(),$B$6,$C$6)</f>
        <v>0.28914973239056</v>
      </c>
      <c r="C463" s="21" t="n">
        <f aca="true">MAX(0.03,NORMINV(RAND(),$B$7,$C$7))</f>
        <v>0.222106779411334</v>
      </c>
      <c r="D463" s="33" t="n">
        <f aca="true">MAX(0.08,NORMINV(RAND(),$B$8,$C$8))</f>
        <v>0.134770220177388</v>
      </c>
      <c r="E463" s="48" t="n">
        <f aca="true">MAX(4,NORMINV(RAND(),$B$9,$C$9))</f>
        <v>9.05130453751738</v>
      </c>
      <c r="F463" s="26" t="n">
        <f aca="false">$B$18*(1+(B463+$B$17)/2)^9</f>
        <v>11347.2015135506</v>
      </c>
      <c r="G463" s="26" t="n">
        <f aca="false">F463*C463</f>
        <v>2520.29038350613</v>
      </c>
      <c r="H463" s="26" t="n">
        <f aca="false">E463*G463/(1+D463)^9</f>
        <v>7311.22903488578</v>
      </c>
      <c r="I463" s="26" t="n">
        <f aca="false">$B$13*G463/$B$12*((1+$B$8)/(1+D463))^4.5</f>
        <v>3856.93460474683</v>
      </c>
      <c r="J463" s="26" t="n">
        <f aca="false">H463+I463+$B$14</f>
        <v>13254.5625177148</v>
      </c>
      <c r="K463" s="44" t="n">
        <f aca="false">J463/$B$15</f>
        <v>21.0389881233568</v>
      </c>
    </row>
    <row r="464" customFormat="false" ht="15" hidden="false" customHeight="false" outlineLevel="0" collapsed="false">
      <c r="A464" s="52" t="n">
        <v>424</v>
      </c>
      <c r="B464" s="21" t="n">
        <f aca="true">NORMINV(RAND(),$B$6,$C$6)</f>
        <v>0.202686172300661</v>
      </c>
      <c r="C464" s="21" t="n">
        <f aca="true">MAX(0.03,NORMINV(RAND(),$B$7,$C$7))</f>
        <v>0.21893661625162</v>
      </c>
      <c r="D464" s="33" t="n">
        <f aca="true">MAX(0.08,NORMINV(RAND(),$B$8,$C$8))</f>
        <v>0.135066400094352</v>
      </c>
      <c r="E464" s="48" t="n">
        <f aca="true">MAX(4,NORMINV(RAND(),$B$9,$C$9))</f>
        <v>10.4875732128961</v>
      </c>
      <c r="F464" s="26" t="n">
        <f aca="false">$B$18*(1+(B464+$B$17)/2)^9</f>
        <v>8084.86558205037</v>
      </c>
      <c r="G464" s="26" t="n">
        <f aca="false">F464*C464</f>
        <v>1770.07311338329</v>
      </c>
      <c r="H464" s="26" t="n">
        <f aca="false">E464*G464/(1+D464)^9</f>
        <v>5935.73903560254</v>
      </c>
      <c r="I464" s="26" t="n">
        <f aca="false">$B$13*G464/$B$12*((1+$B$8)/(1+D464))^4.5</f>
        <v>2705.65786020599</v>
      </c>
      <c r="J464" s="26" t="n">
        <f aca="false">H464+I464+$B$14</f>
        <v>10727.7957738907</v>
      </c>
      <c r="K464" s="44" t="n">
        <f aca="false">J464/$B$15</f>
        <v>17.028247260144</v>
      </c>
    </row>
    <row r="465" customFormat="false" ht="15" hidden="false" customHeight="false" outlineLevel="0" collapsed="false">
      <c r="A465" s="52" t="n">
        <v>425</v>
      </c>
      <c r="B465" s="21" t="n">
        <f aca="true">NORMINV(RAND(),$B$6,$C$6)</f>
        <v>0.238061614974353</v>
      </c>
      <c r="C465" s="21" t="n">
        <f aca="true">MAX(0.03,NORMINV(RAND(),$B$7,$C$7))</f>
        <v>0.255644554735697</v>
      </c>
      <c r="D465" s="33" t="n">
        <f aca="true">MAX(0.08,NORMINV(RAND(),$B$8,$C$8))</f>
        <v>0.124757198707944</v>
      </c>
      <c r="E465" s="48" t="n">
        <f aca="true">MAX(4,NORMINV(RAND(),$B$9,$C$9))</f>
        <v>9.8591536704715</v>
      </c>
      <c r="F465" s="26" t="n">
        <f aca="false">$B$18*(1+(B465+$B$17)/2)^9</f>
        <v>9301.99288424203</v>
      </c>
      <c r="G465" s="26" t="n">
        <f aca="false">F465*C465</f>
        <v>2378.00382904668</v>
      </c>
      <c r="H465" s="26" t="n">
        <f aca="false">E465*G465/(1+D465)^9</f>
        <v>8138.10244378047</v>
      </c>
      <c r="I465" s="26" t="n">
        <f aca="false">$B$13*G465/$B$12*((1+$B$8)/(1+D465))^4.5</f>
        <v>3787.26253310193</v>
      </c>
      <c r="J465" s="26" t="n">
        <f aca="false">H465+I465+$B$14</f>
        <v>14011.7638549646</v>
      </c>
      <c r="K465" s="44" t="n">
        <f aca="false">J465/$B$15</f>
        <v>22.2408950078803</v>
      </c>
    </row>
    <row r="466" customFormat="false" ht="15" hidden="false" customHeight="false" outlineLevel="0" collapsed="false">
      <c r="A466" s="52" t="n">
        <v>426</v>
      </c>
      <c r="B466" s="21" t="n">
        <f aca="true">NORMINV(RAND(),$B$6,$C$6)</f>
        <v>0.139232337761699</v>
      </c>
      <c r="C466" s="21" t="n">
        <f aca="true">MAX(0.03,NORMINV(RAND(),$B$7,$C$7))</f>
        <v>0.20570938067423</v>
      </c>
      <c r="D466" s="33" t="n">
        <f aca="true">MAX(0.08,NORMINV(RAND(),$B$8,$C$8))</f>
        <v>0.124291910663356</v>
      </c>
      <c r="E466" s="48" t="n">
        <f aca="true">MAX(4,NORMINV(RAND(),$B$9,$C$9))</f>
        <v>8.80580764622116</v>
      </c>
      <c r="F466" s="26" t="n">
        <f aca="false">$B$18*(1+(B466+$B$17)/2)^9</f>
        <v>6251.62985106808</v>
      </c>
      <c r="G466" s="26" t="n">
        <f aca="false">F466*C466</f>
        <v>1286.01890486774</v>
      </c>
      <c r="H466" s="26" t="n">
        <f aca="false">E466*G466/(1+D466)^9</f>
        <v>3945.52477035246</v>
      </c>
      <c r="I466" s="26" t="n">
        <f aca="false">$B$13*G466/$B$12*((1+$B$8)/(1+D466))^4.5</f>
        <v>2051.95978301549</v>
      </c>
      <c r="J466" s="26" t="n">
        <f aca="false">H466+I466+$B$14</f>
        <v>8083.88343145014</v>
      </c>
      <c r="K466" s="44" t="n">
        <f aca="false">J466/$B$15</f>
        <v>12.8315610023018</v>
      </c>
    </row>
    <row r="467" customFormat="false" ht="15" hidden="false" customHeight="false" outlineLevel="0" collapsed="false">
      <c r="A467" s="52" t="n">
        <v>427</v>
      </c>
      <c r="B467" s="21" t="n">
        <f aca="true">NORMINV(RAND(),$B$6,$C$6)</f>
        <v>0.212187983937128</v>
      </c>
      <c r="C467" s="21" t="n">
        <f aca="true">MAX(0.03,NORMINV(RAND(),$B$7,$C$7))</f>
        <v>0.182619172638448</v>
      </c>
      <c r="D467" s="33" t="n">
        <f aca="true">MAX(0.08,NORMINV(RAND(),$B$8,$C$8))</f>
        <v>0.119399936937187</v>
      </c>
      <c r="E467" s="48" t="n">
        <f aca="true">MAX(4,NORMINV(RAND(),$B$9,$C$9))</f>
        <v>13.5807209211318</v>
      </c>
      <c r="F467" s="26" t="n">
        <f aca="false">$B$18*(1+(B467+$B$17)/2)^9</f>
        <v>8397.01223030079</v>
      </c>
      <c r="G467" s="26" t="n">
        <f aca="false">F467*C467</f>
        <v>1533.45542613246</v>
      </c>
      <c r="H467" s="26" t="n">
        <f aca="false">E467*G467/(1+D467)^9</f>
        <v>7546.16815166301</v>
      </c>
      <c r="I467" s="26" t="n">
        <f aca="false">$B$13*G467/$B$12*((1+$B$8)/(1+D467))^4.5</f>
        <v>2495.2541322065</v>
      </c>
      <c r="J467" s="26" t="n">
        <f aca="false">H467+I467+$B$14</f>
        <v>12127.8211619517</v>
      </c>
      <c r="K467" s="44" t="n">
        <f aca="false">J467/$B$15</f>
        <v>19.2505097808757</v>
      </c>
    </row>
    <row r="468" customFormat="false" ht="15" hidden="false" customHeight="false" outlineLevel="0" collapsed="false">
      <c r="A468" s="52" t="n">
        <v>428</v>
      </c>
      <c r="B468" s="21" t="n">
        <f aca="true">NORMINV(RAND(),$B$6,$C$6)</f>
        <v>0.210913597630614</v>
      </c>
      <c r="C468" s="21" t="n">
        <f aca="true">MAX(0.03,NORMINV(RAND(),$B$7,$C$7))</f>
        <v>0.197555372885095</v>
      </c>
      <c r="D468" s="33" t="n">
        <f aca="true">MAX(0.08,NORMINV(RAND(),$B$8,$C$8))</f>
        <v>0.13767865561972</v>
      </c>
      <c r="E468" s="48" t="n">
        <f aca="true">MAX(4,NORMINV(RAND(),$B$9,$C$9))</f>
        <v>11.6805265342671</v>
      </c>
      <c r="F468" s="26" t="n">
        <f aca="false">$B$18*(1+(B468+$B$17)/2)^9</f>
        <v>8354.5345043953</v>
      </c>
      <c r="G468" s="26" t="n">
        <f aca="false">F468*C468</f>
        <v>1650.4831792972</v>
      </c>
      <c r="H468" s="26" t="n">
        <f aca="false">E468*G468/(1+D468)^9</f>
        <v>6038.05453248964</v>
      </c>
      <c r="I468" s="26" t="n">
        <f aca="false">$B$13*G468/$B$12*((1+$B$8)/(1+D468))^4.5</f>
        <v>2496.89474304337</v>
      </c>
      <c r="J468" s="26" t="n">
        <f aca="false">H468+I468+$B$14</f>
        <v>10621.3481536152</v>
      </c>
      <c r="K468" s="44" t="n">
        <f aca="false">J468/$B$15</f>
        <v>16.8592827835162</v>
      </c>
    </row>
    <row r="469" customFormat="false" ht="15" hidden="false" customHeight="false" outlineLevel="0" collapsed="false">
      <c r="A469" s="52" t="n">
        <v>429</v>
      </c>
      <c r="B469" s="21" t="n">
        <f aca="true">NORMINV(RAND(),$B$6,$C$6)</f>
        <v>0.148446797866092</v>
      </c>
      <c r="C469" s="21" t="n">
        <f aca="true">MAX(0.03,NORMINV(RAND(),$B$7,$C$7))</f>
        <v>0.248456380823111</v>
      </c>
      <c r="D469" s="33" t="n">
        <f aca="true">MAX(0.08,NORMINV(RAND(),$B$8,$C$8))</f>
        <v>0.136716195355384</v>
      </c>
      <c r="E469" s="48" t="n">
        <f aca="true">MAX(4,NORMINV(RAND(),$B$9,$C$9))</f>
        <v>9.09170786580556</v>
      </c>
      <c r="F469" s="26" t="n">
        <f aca="false">$B$18*(1+(B469+$B$17)/2)^9</f>
        <v>6492.47381457297</v>
      </c>
      <c r="G469" s="26" t="n">
        <f aca="false">F469*C469</f>
        <v>1613.09654655762</v>
      </c>
      <c r="H469" s="26" t="n">
        <f aca="false">E469*G469/(1+D469)^9</f>
        <v>4628.46948870202</v>
      </c>
      <c r="I469" s="26" t="n">
        <f aca="false">$B$13*G469/$B$12*((1+$B$8)/(1+D469))^4.5</f>
        <v>2449.64710914287</v>
      </c>
      <c r="J469" s="26" t="n">
        <f aca="false">H469+I469+$B$14</f>
        <v>9164.51547592709</v>
      </c>
      <c r="K469" s="44" t="n">
        <f aca="false">J469/$B$15</f>
        <v>14.546849961789</v>
      </c>
    </row>
    <row r="470" customFormat="false" ht="15" hidden="false" customHeight="false" outlineLevel="0" collapsed="false">
      <c r="A470" s="52" t="n">
        <v>430</v>
      </c>
      <c r="B470" s="21" t="n">
        <f aca="true">NORMINV(RAND(),$B$6,$C$6)</f>
        <v>0.244692298023446</v>
      </c>
      <c r="C470" s="21" t="n">
        <f aca="true">MAX(0.03,NORMINV(RAND(),$B$7,$C$7))</f>
        <v>0.199630219112487</v>
      </c>
      <c r="D470" s="33" t="n">
        <f aca="true">MAX(0.08,NORMINV(RAND(),$B$8,$C$8))</f>
        <v>0.134057086498603</v>
      </c>
      <c r="E470" s="48" t="n">
        <f aca="true">MAX(4,NORMINV(RAND(),$B$9,$C$9))</f>
        <v>11.2920871583946</v>
      </c>
      <c r="F470" s="26" t="n">
        <f aca="false">$B$18*(1+(B470+$B$17)/2)^9</f>
        <v>9547.43447591269</v>
      </c>
      <c r="G470" s="26" t="n">
        <f aca="false">F470*C470</f>
        <v>1905.95643638856</v>
      </c>
      <c r="H470" s="26" t="n">
        <f aca="false">E470*G470/(1+D470)^9</f>
        <v>6937.01990707168</v>
      </c>
      <c r="I470" s="26" t="n">
        <f aca="false">$B$13*G470/$B$12*((1+$B$8)/(1+D470))^4.5</f>
        <v>2925.04951976562</v>
      </c>
      <c r="J470" s="26" t="n">
        <f aca="false">H470+I470+$B$14</f>
        <v>11948.4683049195</v>
      </c>
      <c r="K470" s="44" t="n">
        <f aca="false">J470/$B$15</f>
        <v>18.9658227062214</v>
      </c>
    </row>
    <row r="471" customFormat="false" ht="15" hidden="false" customHeight="false" outlineLevel="0" collapsed="false">
      <c r="A471" s="52" t="n">
        <v>431</v>
      </c>
      <c r="B471" s="21" t="n">
        <f aca="true">NORMINV(RAND(),$B$6,$C$6)</f>
        <v>0.179268839438063</v>
      </c>
      <c r="C471" s="21" t="n">
        <f aca="true">MAX(0.03,NORMINV(RAND(),$B$7,$C$7))</f>
        <v>0.204114674915844</v>
      </c>
      <c r="D471" s="33" t="n">
        <f aca="true">MAX(0.08,NORMINV(RAND(),$B$8,$C$8))</f>
        <v>0.131776347823591</v>
      </c>
      <c r="E471" s="48" t="n">
        <f aca="true">MAX(4,NORMINV(RAND(),$B$9,$C$9))</f>
        <v>11.9912194743359</v>
      </c>
      <c r="F471" s="26" t="n">
        <f aca="false">$B$18*(1+(B471+$B$17)/2)^9</f>
        <v>7359.16557979054</v>
      </c>
      <c r="G471" s="26" t="n">
        <f aca="false">F471*C471</f>
        <v>1502.11368997081</v>
      </c>
      <c r="H471" s="26" t="n">
        <f aca="false">E471*G471/(1+D471)^9</f>
        <v>5911.81224794041</v>
      </c>
      <c r="I471" s="26" t="n">
        <f aca="false">$B$13*G471/$B$12*((1+$B$8)/(1+D471))^4.5</f>
        <v>2326.25554284169</v>
      </c>
      <c r="J471" s="26" t="n">
        <f aca="false">H471+I471+$B$14</f>
        <v>10324.4666688643</v>
      </c>
      <c r="K471" s="44" t="n">
        <f aca="false">J471/$B$15</f>
        <v>16.3880423315306</v>
      </c>
    </row>
    <row r="472" customFormat="false" ht="15" hidden="false" customHeight="false" outlineLevel="0" collapsed="false">
      <c r="A472" s="52" t="n">
        <v>432</v>
      </c>
      <c r="B472" s="21" t="n">
        <f aca="true">NORMINV(RAND(),$B$6,$C$6)</f>
        <v>0.181117065769767</v>
      </c>
      <c r="C472" s="21" t="n">
        <f aca="true">MAX(0.03,NORMINV(RAND(),$B$7,$C$7))</f>
        <v>0.215147709420204</v>
      </c>
      <c r="D472" s="33" t="n">
        <f aca="true">MAX(0.08,NORMINV(RAND(),$B$8,$C$8))</f>
        <v>0.135340110107686</v>
      </c>
      <c r="E472" s="48" t="n">
        <f aca="true">MAX(4,NORMINV(RAND(),$B$9,$C$9))</f>
        <v>10.8785583557876</v>
      </c>
      <c r="F472" s="26" t="n">
        <f aca="false">$B$18*(1+(B472+$B$17)/2)^9</f>
        <v>7414.25959650892</v>
      </c>
      <c r="G472" s="26" t="n">
        <f aca="false">F472*C472</f>
        <v>1595.16096923566</v>
      </c>
      <c r="H472" s="26" t="n">
        <f aca="false">E472*G472/(1+D472)^9</f>
        <v>5536.58573875524</v>
      </c>
      <c r="I472" s="26" t="n">
        <f aca="false">$B$13*G472/$B$12*((1+$B$8)/(1+D472))^4.5</f>
        <v>2435.65054290059</v>
      </c>
      <c r="J472" s="26" t="n">
        <f aca="false">H472+I472+$B$14</f>
        <v>10058.635159738</v>
      </c>
      <c r="K472" s="44" t="n">
        <f aca="false">J472/$B$15</f>
        <v>15.9660875551397</v>
      </c>
    </row>
    <row r="473" customFormat="false" ht="15" hidden="false" customHeight="false" outlineLevel="0" collapsed="false">
      <c r="A473" s="52" t="n">
        <v>433</v>
      </c>
      <c r="B473" s="21" t="n">
        <f aca="true">NORMINV(RAND(),$B$6,$C$6)</f>
        <v>0.228352008204797</v>
      </c>
      <c r="C473" s="21" t="n">
        <f aca="true">MAX(0.03,NORMINV(RAND(),$B$7,$C$7))</f>
        <v>0.208858313618509</v>
      </c>
      <c r="D473" s="33" t="n">
        <f aca="true">MAX(0.08,NORMINV(RAND(),$B$8,$C$8))</f>
        <v>0.136555077512505</v>
      </c>
      <c r="E473" s="48" t="n">
        <f aca="true">MAX(4,NORMINV(RAND(),$B$9,$C$9))</f>
        <v>9.28917378065748</v>
      </c>
      <c r="F473" s="26" t="n">
        <f aca="false">$B$18*(1+(B473+$B$17)/2)^9</f>
        <v>8952.69894235995</v>
      </c>
      <c r="G473" s="26" t="n">
        <f aca="false">F473*C473</f>
        <v>1869.84560343551</v>
      </c>
      <c r="H473" s="26" t="n">
        <f aca="false">E473*G473/(1+D473)^9</f>
        <v>5488.68689193075</v>
      </c>
      <c r="I473" s="26" t="n">
        <f aca="false">$B$13*G473/$B$12*((1+$B$8)/(1+D473))^4.5</f>
        <v>2841.35786929211</v>
      </c>
      <c r="J473" s="26" t="n">
        <f aca="false">H473+I473+$B$14</f>
        <v>10416.4436393051</v>
      </c>
      <c r="K473" s="44" t="n">
        <f aca="false">J473/$B$15</f>
        <v>16.5340375227064</v>
      </c>
    </row>
    <row r="474" customFormat="false" ht="15" hidden="false" customHeight="false" outlineLevel="0" collapsed="false">
      <c r="A474" s="52" t="n">
        <v>434</v>
      </c>
      <c r="B474" s="21" t="n">
        <f aca="true">NORMINV(RAND(),$B$6,$C$6)</f>
        <v>0.179685135558824</v>
      </c>
      <c r="C474" s="21" t="n">
        <f aca="true">MAX(0.03,NORMINV(RAND(),$B$7,$C$7))</f>
        <v>0.149511462145806</v>
      </c>
      <c r="D474" s="33" t="n">
        <f aca="true">MAX(0.08,NORMINV(RAND(),$B$8,$C$8))</f>
        <v>0.122167931381102</v>
      </c>
      <c r="E474" s="48" t="n">
        <f aca="true">MAX(4,NORMINV(RAND(),$B$9,$C$9))</f>
        <v>11.0965979426594</v>
      </c>
      <c r="F474" s="26" t="n">
        <f aca="false">$B$18*(1+(B474+$B$17)/2)^9</f>
        <v>7371.54315076039</v>
      </c>
      <c r="G474" s="26" t="n">
        <f aca="false">F474*C474</f>
        <v>1102.13019474109</v>
      </c>
      <c r="H474" s="26" t="n">
        <f aca="false">E474*G474/(1+D474)^9</f>
        <v>4334.13135730691</v>
      </c>
      <c r="I474" s="26" t="n">
        <f aca="false">$B$13*G474/$B$12*((1+$B$8)/(1+D474))^4.5</f>
        <v>1773.57655083295</v>
      </c>
      <c r="J474" s="26" t="n">
        <f aca="false">H474+I474+$B$14</f>
        <v>8194.10678622205</v>
      </c>
      <c r="K474" s="44" t="n">
        <f aca="false">J474/$B$15</f>
        <v>13.006518708289</v>
      </c>
    </row>
    <row r="475" customFormat="false" ht="15" hidden="false" customHeight="false" outlineLevel="0" collapsed="false">
      <c r="A475" s="52" t="n">
        <v>435</v>
      </c>
      <c r="B475" s="21" t="n">
        <f aca="true">NORMINV(RAND(),$B$6,$C$6)</f>
        <v>0.24909892779941</v>
      </c>
      <c r="C475" s="21" t="n">
        <f aca="true">MAX(0.03,NORMINV(RAND(),$B$7,$C$7))</f>
        <v>0.190731439898361</v>
      </c>
      <c r="D475" s="33" t="n">
        <f aca="true">MAX(0.08,NORMINV(RAND(),$B$8,$C$8))</f>
        <v>0.138462957713841</v>
      </c>
      <c r="E475" s="48" t="n">
        <f aca="true">MAX(4,NORMINV(RAND(),$B$9,$C$9))</f>
        <v>13.843130632939</v>
      </c>
      <c r="F475" s="26" t="n">
        <f aca="false">$B$18*(1+(B475+$B$17)/2)^9</f>
        <v>9713.71808221354</v>
      </c>
      <c r="G475" s="26" t="n">
        <f aca="false">F475*C475</f>
        <v>1852.71143658733</v>
      </c>
      <c r="H475" s="26" t="n">
        <f aca="false">E475*G475/(1+D475)^9</f>
        <v>7983.10716210162</v>
      </c>
      <c r="I475" s="26" t="n">
        <f aca="false">$B$13*G475/$B$12*((1+$B$8)/(1+D475))^4.5</f>
        <v>2794.15240351286</v>
      </c>
      <c r="J475" s="26" t="n">
        <f aca="false">H475+I475+$B$14</f>
        <v>12863.6584436967</v>
      </c>
      <c r="K475" s="44" t="n">
        <f aca="false">J475/$B$15</f>
        <v>20.4185054661852</v>
      </c>
    </row>
    <row r="476" customFormat="false" ht="15" hidden="false" customHeight="false" outlineLevel="0" collapsed="false">
      <c r="A476" s="52" t="n">
        <v>436</v>
      </c>
      <c r="B476" s="21" t="n">
        <f aca="true">NORMINV(RAND(),$B$6,$C$6)</f>
        <v>0.0876079428823908</v>
      </c>
      <c r="C476" s="21" t="n">
        <f aca="true">MAX(0.03,NORMINV(RAND(),$B$7,$C$7))</f>
        <v>0.231230866394341</v>
      </c>
      <c r="D476" s="33" t="n">
        <f aca="true">MAX(0.08,NORMINV(RAND(),$B$8,$C$8))</f>
        <v>0.153459393892182</v>
      </c>
      <c r="E476" s="48" t="n">
        <f aca="true">MAX(4,NORMINV(RAND(),$B$9,$C$9))</f>
        <v>10.9795006340283</v>
      </c>
      <c r="F476" s="26" t="n">
        <f aca="false">$B$18*(1+(B476+$B$17)/2)^9</f>
        <v>5043.34938648828</v>
      </c>
      <c r="G476" s="26" t="n">
        <f aca="false">F476*C476</f>
        <v>1166.17804816705</v>
      </c>
      <c r="H476" s="26" t="n">
        <f aca="false">E476*G476/(1+D476)^9</f>
        <v>3542.63702545084</v>
      </c>
      <c r="I476" s="26" t="n">
        <f aca="false">$B$13*G476/$B$12*((1+$B$8)/(1+D476))^4.5</f>
        <v>1658.18065418173</v>
      </c>
      <c r="J476" s="26" t="n">
        <f aca="false">H476+I476+$B$14</f>
        <v>7287.21655771475</v>
      </c>
      <c r="K476" s="44" t="n">
        <f aca="false">J476/$B$15</f>
        <v>11.567010409071</v>
      </c>
    </row>
    <row r="477" customFormat="false" ht="15" hidden="false" customHeight="false" outlineLevel="0" collapsed="false">
      <c r="A477" s="52" t="n">
        <v>437</v>
      </c>
      <c r="B477" s="21" t="n">
        <f aca="true">NORMINV(RAND(),$B$6,$C$6)</f>
        <v>0.169843990041722</v>
      </c>
      <c r="C477" s="21" t="n">
        <f aca="true">MAX(0.03,NORMINV(RAND(),$B$7,$C$7))</f>
        <v>0.285630966968015</v>
      </c>
      <c r="D477" s="33" t="n">
        <f aca="true">MAX(0.08,NORMINV(RAND(),$B$8,$C$8))</f>
        <v>0.141358142605641</v>
      </c>
      <c r="E477" s="48" t="n">
        <f aca="true">MAX(4,NORMINV(RAND(),$B$9,$C$9))</f>
        <v>11.2222447606608</v>
      </c>
      <c r="F477" s="26" t="n">
        <f aca="false">$B$18*(1+(B477+$B$17)/2)^9</f>
        <v>7083.83840765738</v>
      </c>
      <c r="G477" s="26" t="n">
        <f aca="false">F477*C477</f>
        <v>2023.36361422434</v>
      </c>
      <c r="H477" s="26" t="n">
        <f aca="false">E477*G477/(1+D477)^9</f>
        <v>6908.06156083881</v>
      </c>
      <c r="I477" s="26" t="n">
        <f aca="false">$B$13*G477/$B$12*((1+$B$8)/(1+D477))^4.5</f>
        <v>3016.84208282667</v>
      </c>
      <c r="J477" s="26" t="n">
        <f aca="false">H477+I477+$B$14</f>
        <v>12011.3025217477</v>
      </c>
      <c r="K477" s="44" t="n">
        <f aca="false">J477/$B$15</f>
        <v>19.0655595583296</v>
      </c>
    </row>
    <row r="478" customFormat="false" ht="15" hidden="false" customHeight="false" outlineLevel="0" collapsed="false">
      <c r="A478" s="52" t="n">
        <v>438</v>
      </c>
      <c r="B478" s="21" t="n">
        <f aca="true">NORMINV(RAND(),$B$6,$C$6)</f>
        <v>0.173827337507438</v>
      </c>
      <c r="C478" s="21" t="n">
        <f aca="true">MAX(0.03,NORMINV(RAND(),$B$7,$C$7))</f>
        <v>0.233788339978596</v>
      </c>
      <c r="D478" s="33" t="n">
        <f aca="true">MAX(0.08,NORMINV(RAND(),$B$8,$C$8))</f>
        <v>0.128251101381852</v>
      </c>
      <c r="E478" s="48" t="n">
        <f aca="true">MAX(4,NORMINV(RAND(),$B$9,$C$9))</f>
        <v>12.1102853211545</v>
      </c>
      <c r="F478" s="26" t="n">
        <f aca="false">$B$18*(1+(B478+$B$17)/2)^9</f>
        <v>7199.06586833744</v>
      </c>
      <c r="G478" s="26" t="n">
        <f aca="false">F478*C478</f>
        <v>1683.05765875518</v>
      </c>
      <c r="H478" s="26" t="n">
        <f aca="false">E478*G478/(1+D478)^9</f>
        <v>6880.20652053058</v>
      </c>
      <c r="I478" s="26" t="n">
        <f aca="false">$B$13*G478/$B$12*((1+$B$8)/(1+D478))^4.5</f>
        <v>2643.32415806812</v>
      </c>
      <c r="J478" s="26" t="n">
        <f aca="false">H478+I478+$B$14</f>
        <v>11609.9295566809</v>
      </c>
      <c r="K478" s="44" t="n">
        <f aca="false">J478/$B$15</f>
        <v>18.4284596137792</v>
      </c>
    </row>
    <row r="479" customFormat="false" ht="15" hidden="false" customHeight="false" outlineLevel="0" collapsed="false">
      <c r="A479" s="52" t="n">
        <v>439</v>
      </c>
      <c r="B479" s="21" t="n">
        <f aca="true">NORMINV(RAND(),$B$6,$C$6)</f>
        <v>0.224334241316535</v>
      </c>
      <c r="C479" s="21" t="n">
        <f aca="true">MAX(0.03,NORMINV(RAND(),$B$7,$C$7))</f>
        <v>0.216758626733068</v>
      </c>
      <c r="D479" s="33" t="n">
        <f aca="true">MAX(0.08,NORMINV(RAND(),$B$8,$C$8))</f>
        <v>0.132624367554118</v>
      </c>
      <c r="E479" s="48" t="n">
        <f aca="true">MAX(4,NORMINV(RAND(),$B$9,$C$9))</f>
        <v>10.1492920241701</v>
      </c>
      <c r="F479" s="26" t="n">
        <f aca="false">$B$18*(1+(B479+$B$17)/2)^9</f>
        <v>8811.6081167047</v>
      </c>
      <c r="G479" s="26" t="n">
        <f aca="false">F479*C479</f>
        <v>1909.99207468686</v>
      </c>
      <c r="H479" s="26" t="n">
        <f aca="false">E479*G479/(1+D479)^9</f>
        <v>6319.66715787678</v>
      </c>
      <c r="I479" s="26" t="n">
        <f aca="false">$B$13*G479/$B$12*((1+$B$8)/(1+D479))^4.5</f>
        <v>2947.96545087693</v>
      </c>
      <c r="J479" s="26" t="n">
        <f aca="false">H479+I479+$B$14</f>
        <v>11354.0314868359</v>
      </c>
      <c r="K479" s="44" t="n">
        <f aca="false">J479/$B$15</f>
        <v>18.0222722013268</v>
      </c>
    </row>
    <row r="480" customFormat="false" ht="15" hidden="false" customHeight="false" outlineLevel="0" collapsed="false">
      <c r="A480" s="52" t="n">
        <v>440</v>
      </c>
      <c r="B480" s="21" t="n">
        <f aca="true">NORMINV(RAND(),$B$6,$C$6)</f>
        <v>0.287762300656959</v>
      </c>
      <c r="C480" s="21" t="n">
        <f aca="true">MAX(0.03,NORMINV(RAND(),$B$7,$C$7))</f>
        <v>0.241915603034843</v>
      </c>
      <c r="D480" s="33" t="n">
        <f aca="true">MAX(0.08,NORMINV(RAND(),$B$8,$C$8))</f>
        <v>0.139675466945494</v>
      </c>
      <c r="E480" s="48" t="n">
        <f aca="true">MAX(4,NORMINV(RAND(),$B$9,$C$9))</f>
        <v>11.7806163325655</v>
      </c>
      <c r="F480" s="26" t="n">
        <f aca="false">$B$18*(1+(B480+$B$17)/2)^9</f>
        <v>11286.7712204437</v>
      </c>
      <c r="G480" s="26" t="n">
        <f aca="false">F480*C480</f>
        <v>2730.44606610995</v>
      </c>
      <c r="H480" s="26" t="n">
        <f aca="false">E480*G480/(1+D480)^9</f>
        <v>9916.78318791457</v>
      </c>
      <c r="I480" s="26" t="n">
        <f aca="false">$B$13*G480/$B$12*((1+$B$8)/(1+D480))^4.5</f>
        <v>4098.22296445237</v>
      </c>
      <c r="J480" s="26" t="n">
        <f aca="false">H480+I480+$B$14</f>
        <v>16101.4050304491</v>
      </c>
      <c r="K480" s="44" t="n">
        <f aca="false">J480/$B$15</f>
        <v>25.5577857626177</v>
      </c>
    </row>
    <row r="481" customFormat="false" ht="15" hidden="false" customHeight="false" outlineLevel="0" collapsed="false">
      <c r="A481" s="52" t="n">
        <v>441</v>
      </c>
      <c r="B481" s="21" t="n">
        <f aca="true">NORMINV(RAND(),$B$6,$C$6)</f>
        <v>0.205037210374663</v>
      </c>
      <c r="C481" s="21" t="n">
        <f aca="true">MAX(0.03,NORMINV(RAND(),$B$7,$C$7))</f>
        <v>0.184074661280838</v>
      </c>
      <c r="D481" s="33" t="n">
        <f aca="true">MAX(0.08,NORMINV(RAND(),$B$8,$C$8))</f>
        <v>0.126586227269431</v>
      </c>
      <c r="E481" s="48" t="n">
        <f aca="true">MAX(4,NORMINV(RAND(),$B$9,$C$9))</f>
        <v>13.9886460660539</v>
      </c>
      <c r="F481" s="26" t="n">
        <f aca="false">$B$18*(1+(B481+$B$17)/2)^9</f>
        <v>8161.1240252415</v>
      </c>
      <c r="G481" s="26" t="n">
        <f aca="false">F481*C481</f>
        <v>1502.25614061724</v>
      </c>
      <c r="H481" s="26" t="n">
        <f aca="false">E481*G481/(1+D481)^9</f>
        <v>7188.52407422288</v>
      </c>
      <c r="I481" s="26" t="n">
        <f aca="false">$B$13*G481/$B$12*((1+$B$8)/(1+D481))^4.5</f>
        <v>2375.09725125156</v>
      </c>
      <c r="J481" s="26" t="n">
        <f aca="false">H481+I481+$B$14</f>
        <v>11650.0202035566</v>
      </c>
      <c r="K481" s="44" t="n">
        <f aca="false">J481/$B$15</f>
        <v>18.492095561201</v>
      </c>
    </row>
    <row r="482" customFormat="false" ht="15" hidden="false" customHeight="false" outlineLevel="0" collapsed="false">
      <c r="A482" s="52" t="n">
        <v>442</v>
      </c>
      <c r="B482" s="21" t="n">
        <f aca="true">NORMINV(RAND(),$B$6,$C$6)</f>
        <v>0.153549996970764</v>
      </c>
      <c r="C482" s="21" t="n">
        <f aca="true">MAX(0.03,NORMINV(RAND(),$B$7,$C$7))</f>
        <v>0.263517201537217</v>
      </c>
      <c r="D482" s="33" t="n">
        <f aca="true">MAX(0.08,NORMINV(RAND(),$B$8,$C$8))</f>
        <v>0.116580605896909</v>
      </c>
      <c r="E482" s="48" t="n">
        <f aca="true">MAX(4,NORMINV(RAND(),$B$9,$C$9))</f>
        <v>11.6590780126653</v>
      </c>
      <c r="F482" s="26" t="n">
        <f aca="false">$B$18*(1+(B482+$B$17)/2)^9</f>
        <v>6629.37740733697</v>
      </c>
      <c r="G482" s="26" t="n">
        <f aca="false">F482*C482</f>
        <v>1746.95498231549</v>
      </c>
      <c r="H482" s="26" t="n">
        <f aca="false">E482*G482/(1+D482)^9</f>
        <v>7549.79570311244</v>
      </c>
      <c r="I482" s="26" t="n">
        <f aca="false">$B$13*G482/$B$12*((1+$B$8)/(1+D482))^4.5</f>
        <v>2875.10513925975</v>
      </c>
      <c r="J482" s="26" t="n">
        <f aca="false">H482+I482+$B$14</f>
        <v>12511.2997204544</v>
      </c>
      <c r="K482" s="44" t="n">
        <f aca="false">J482/$B$15</f>
        <v>19.8592059054831</v>
      </c>
    </row>
    <row r="483" customFormat="false" ht="15" hidden="false" customHeight="false" outlineLevel="0" collapsed="false">
      <c r="A483" s="52" t="n">
        <v>443</v>
      </c>
      <c r="B483" s="21" t="n">
        <f aca="true">NORMINV(RAND(),$B$6,$C$6)</f>
        <v>0.232853877075957</v>
      </c>
      <c r="C483" s="21" t="n">
        <f aca="true">MAX(0.03,NORMINV(RAND(),$B$7,$C$7))</f>
        <v>0.225894540070901</v>
      </c>
      <c r="D483" s="33" t="n">
        <f aca="true">MAX(0.08,NORMINV(RAND(),$B$8,$C$8))</f>
        <v>0.141383895066873</v>
      </c>
      <c r="E483" s="48" t="n">
        <f aca="true">MAX(4,NORMINV(RAND(),$B$9,$C$9))</f>
        <v>13.884934891696</v>
      </c>
      <c r="F483" s="26" t="n">
        <f aca="false">$B$18*(1+(B483+$B$17)/2)^9</f>
        <v>9113.17243559535</v>
      </c>
      <c r="G483" s="26" t="n">
        <f aca="false">F483*C483</f>
        <v>2058.61589592562</v>
      </c>
      <c r="H483" s="26" t="n">
        <f aca="false">E483*G483/(1+D483)^9</f>
        <v>8694.27767286206</v>
      </c>
      <c r="I483" s="26" t="n">
        <f aca="false">$B$13*G483/$B$12*((1+$B$8)/(1+D483))^4.5</f>
        <v>3069.09172775332</v>
      </c>
      <c r="J483" s="26" t="n">
        <f aca="false">H483+I483+$B$14</f>
        <v>13849.7682786976</v>
      </c>
      <c r="K483" s="44" t="n">
        <f aca="false">J483/$B$15</f>
        <v>21.9837591725358</v>
      </c>
    </row>
    <row r="484" customFormat="false" ht="15" hidden="false" customHeight="false" outlineLevel="0" collapsed="false">
      <c r="A484" s="52" t="n">
        <v>444</v>
      </c>
      <c r="B484" s="21" t="n">
        <f aca="true">NORMINV(RAND(),$B$6,$C$6)</f>
        <v>0.201415273858527</v>
      </c>
      <c r="C484" s="21" t="n">
        <f aca="true">MAX(0.03,NORMINV(RAND(),$B$7,$C$7))</f>
        <v>0.177723403048245</v>
      </c>
      <c r="D484" s="33" t="n">
        <f aca="true">MAX(0.08,NORMINV(RAND(),$B$8,$C$8))</f>
        <v>0.108198719935819</v>
      </c>
      <c r="E484" s="48" t="n">
        <f aca="true">MAX(4,NORMINV(RAND(),$B$9,$C$9))</f>
        <v>12.8621197085131</v>
      </c>
      <c r="F484" s="26" t="n">
        <f aca="false">$B$18*(1+(B484+$B$17)/2)^9</f>
        <v>8043.90693639515</v>
      </c>
      <c r="G484" s="26" t="n">
        <f aca="false">F484*C484</f>
        <v>1429.59051453953</v>
      </c>
      <c r="H484" s="26" t="n">
        <f aca="false">E484*G484/(1+D484)^9</f>
        <v>7293.99409862895</v>
      </c>
      <c r="I484" s="26" t="n">
        <f aca="false">$B$13*G484/$B$12*((1+$B$8)/(1+D484))^4.5</f>
        <v>2433.93870759771</v>
      </c>
      <c r="J484" s="26" t="n">
        <f aca="false">H484+I484+$B$14</f>
        <v>11814.3316843089</v>
      </c>
      <c r="K484" s="44" t="n">
        <f aca="false">J484/$B$15</f>
        <v>18.7529074354109</v>
      </c>
    </row>
    <row r="485" customFormat="false" ht="15" hidden="false" customHeight="false" outlineLevel="0" collapsed="false">
      <c r="A485" s="52" t="n">
        <v>445</v>
      </c>
      <c r="B485" s="21" t="n">
        <f aca="true">NORMINV(RAND(),$B$6,$C$6)</f>
        <v>0.166157297637519</v>
      </c>
      <c r="C485" s="21" t="n">
        <f aca="true">MAX(0.03,NORMINV(RAND(),$B$7,$C$7))</f>
        <v>0.19810674437966</v>
      </c>
      <c r="D485" s="33" t="n">
        <f aca="true">MAX(0.08,NORMINV(RAND(),$B$8,$C$8))</f>
        <v>0.147551841130545</v>
      </c>
      <c r="E485" s="48" t="n">
        <f aca="true">MAX(4,NORMINV(RAND(),$B$9,$C$9))</f>
        <v>11.8014788113996</v>
      </c>
      <c r="F485" s="26" t="n">
        <f aca="false">$B$18*(1+(B485+$B$17)/2)^9</f>
        <v>6978.65623894324</v>
      </c>
      <c r="G485" s="26" t="n">
        <f aca="false">F485*C485</f>
        <v>1382.51886764185</v>
      </c>
      <c r="H485" s="26" t="n">
        <f aca="false">E485*G485/(1+D485)^9</f>
        <v>4727.77359959076</v>
      </c>
      <c r="I485" s="26" t="n">
        <f aca="false">$B$13*G485/$B$12*((1+$B$8)/(1+D485))^4.5</f>
        <v>2011.74546924969</v>
      </c>
      <c r="J485" s="26" t="n">
        <f aca="false">H485+I485+$B$14</f>
        <v>8825.91794692263</v>
      </c>
      <c r="K485" s="44" t="n">
        <f aca="false">J485/$B$15</f>
        <v>14.0093935665439</v>
      </c>
    </row>
    <row r="486" customFormat="false" ht="15" hidden="false" customHeight="false" outlineLevel="0" collapsed="false">
      <c r="A486" s="52" t="n">
        <v>446</v>
      </c>
      <c r="B486" s="21" t="n">
        <f aca="true">NORMINV(RAND(),$B$6,$C$6)</f>
        <v>0.274965477235011</v>
      </c>
      <c r="C486" s="21" t="n">
        <f aca="true">MAX(0.03,NORMINV(RAND(),$B$7,$C$7))</f>
        <v>0.229379966865194</v>
      </c>
      <c r="D486" s="33" t="n">
        <f aca="true">MAX(0.08,NORMINV(RAND(),$B$8,$C$8))</f>
        <v>0.141723846907823</v>
      </c>
      <c r="E486" s="48" t="n">
        <f aca="true">MAX(4,NORMINV(RAND(),$B$9,$C$9))</f>
        <v>12.3360662237131</v>
      </c>
      <c r="F486" s="26" t="n">
        <f aca="false">$B$18*(1+(B486+$B$17)/2)^9</f>
        <v>10742.7419026222</v>
      </c>
      <c r="G486" s="26" t="n">
        <f aca="false">F486*C486</f>
        <v>2464.16978166481</v>
      </c>
      <c r="H486" s="26" t="n">
        <f aca="false">E486*G486/(1+D486)^9</f>
        <v>9221.41718316394</v>
      </c>
      <c r="I486" s="26" t="n">
        <f aca="false">$B$13*G486/$B$12*((1+$B$8)/(1+D486))^4.5</f>
        <v>3668.79276652056</v>
      </c>
      <c r="J486" s="26" t="n">
        <f aca="false">H486+I486+$B$14</f>
        <v>14976.6088277667</v>
      </c>
      <c r="K486" s="44" t="n">
        <f aca="false">J486/$B$15</f>
        <v>23.772394964709</v>
      </c>
    </row>
    <row r="487" customFormat="false" ht="15" hidden="false" customHeight="false" outlineLevel="0" collapsed="false">
      <c r="A487" s="52" t="n">
        <v>447</v>
      </c>
      <c r="B487" s="21" t="n">
        <f aca="true">NORMINV(RAND(),$B$6,$C$6)</f>
        <v>0.1954495494535</v>
      </c>
      <c r="C487" s="21" t="n">
        <f aca="true">MAX(0.03,NORMINV(RAND(),$B$7,$C$7))</f>
        <v>0.175364300207643</v>
      </c>
      <c r="D487" s="33" t="n">
        <f aca="true">MAX(0.08,NORMINV(RAND(),$B$8,$C$8))</f>
        <v>0.127106646368869</v>
      </c>
      <c r="E487" s="48" t="n">
        <f aca="true">MAX(4,NORMINV(RAND(),$B$9,$C$9))</f>
        <v>10.0370155703199</v>
      </c>
      <c r="F487" s="26" t="n">
        <f aca="false">$B$18*(1+(B487+$B$17)/2)^9</f>
        <v>7854.0973723409</v>
      </c>
      <c r="G487" s="26" t="n">
        <f aca="false">F487*C487</f>
        <v>1377.32828946325</v>
      </c>
      <c r="H487" s="26" t="n">
        <f aca="false">E487*G487/(1+D487)^9</f>
        <v>4709.30662836664</v>
      </c>
      <c r="I487" s="26" t="n">
        <f aca="false">$B$13*G487/$B$12*((1+$B$8)/(1+D487))^4.5</f>
        <v>2173.06290173112</v>
      </c>
      <c r="J487" s="26" t="n">
        <f aca="false">H487+I487+$B$14</f>
        <v>8968.76840817995</v>
      </c>
      <c r="K487" s="44" t="n">
        <f aca="false">J487/$B$15</f>
        <v>14.2361403304444</v>
      </c>
    </row>
    <row r="488" customFormat="false" ht="15" hidden="false" customHeight="false" outlineLevel="0" collapsed="false">
      <c r="A488" s="52" t="n">
        <v>448</v>
      </c>
      <c r="B488" s="21" t="n">
        <f aca="true">NORMINV(RAND(),$B$6,$C$6)</f>
        <v>0.231969785043078</v>
      </c>
      <c r="C488" s="21" t="n">
        <f aca="true">MAX(0.03,NORMINV(RAND(),$B$7,$C$7))</f>
        <v>0.188956688942299</v>
      </c>
      <c r="D488" s="33" t="n">
        <f aca="true">MAX(0.08,NORMINV(RAND(),$B$8,$C$8))</f>
        <v>0.137764986878716</v>
      </c>
      <c r="E488" s="48" t="n">
        <f aca="true">MAX(4,NORMINV(RAND(),$B$9,$C$9))</f>
        <v>16.0609524084423</v>
      </c>
      <c r="F488" s="26" t="n">
        <f aca="false">$B$18*(1+(B488+$B$17)/2)^9</f>
        <v>9081.45786891187</v>
      </c>
      <c r="G488" s="26" t="n">
        <f aca="false">F488*C488</f>
        <v>1716.00220967858</v>
      </c>
      <c r="H488" s="26" t="n">
        <f aca="false">E488*G488/(1+D488)^9</f>
        <v>8626.13110355484</v>
      </c>
      <c r="I488" s="26" t="n">
        <f aca="false">$B$13*G488/$B$12*((1+$B$8)/(1+D488))^4.5</f>
        <v>2595.12737748517</v>
      </c>
      <c r="J488" s="26" t="n">
        <f aca="false">H488+I488+$B$14</f>
        <v>13307.6573591222</v>
      </c>
      <c r="K488" s="44" t="n">
        <f aca="false">J488/$B$15</f>
        <v>21.1232656494003</v>
      </c>
    </row>
    <row r="489" customFormat="false" ht="15" hidden="false" customHeight="false" outlineLevel="0" collapsed="false">
      <c r="A489" s="52" t="n">
        <v>449</v>
      </c>
      <c r="B489" s="21" t="n">
        <f aca="true">NORMINV(RAND(),$B$6,$C$6)</f>
        <v>0.177821920554465</v>
      </c>
      <c r="C489" s="21" t="n">
        <f aca="true">MAX(0.03,NORMINV(RAND(),$B$7,$C$7))</f>
        <v>0.201811378683951</v>
      </c>
      <c r="D489" s="33" t="n">
        <f aca="true">MAX(0.08,NORMINV(RAND(),$B$8,$C$8))</f>
        <v>0.148641423288013</v>
      </c>
      <c r="E489" s="48" t="n">
        <f aca="true">MAX(4,NORMINV(RAND(),$B$9,$C$9))</f>
        <v>9.50220117481369</v>
      </c>
      <c r="F489" s="26" t="n">
        <f aca="false">$B$18*(1+(B489+$B$17)/2)^9</f>
        <v>7316.28846611249</v>
      </c>
      <c r="G489" s="26" t="n">
        <f aca="false">F489*C489</f>
        <v>1476.51026219565</v>
      </c>
      <c r="H489" s="26" t="n">
        <f aca="false">E489*G489/(1+D489)^9</f>
        <v>4030.88514314172</v>
      </c>
      <c r="I489" s="26" t="n">
        <f aca="false">$B$13*G489/$B$12*((1+$B$8)/(1+D489))^4.5</f>
        <v>2139.35922705336</v>
      </c>
      <c r="J489" s="26" t="n">
        <f aca="false">H489+I489+$B$14</f>
        <v>8256.64324827727</v>
      </c>
      <c r="K489" s="44" t="n">
        <f aca="false">J489/$B$15</f>
        <v>13.1057829337735</v>
      </c>
    </row>
    <row r="490" customFormat="false" ht="15" hidden="false" customHeight="false" outlineLevel="0" collapsed="false">
      <c r="A490" s="52" t="n">
        <v>450</v>
      </c>
      <c r="B490" s="21" t="n">
        <f aca="true">NORMINV(RAND(),$B$6,$C$6)</f>
        <v>0.20799062783364</v>
      </c>
      <c r="C490" s="21" t="n">
        <f aca="true">MAX(0.03,NORMINV(RAND(),$B$7,$C$7))</f>
        <v>0.201532341436429</v>
      </c>
      <c r="D490" s="33" t="n">
        <f aca="true">MAX(0.08,NORMINV(RAND(),$B$8,$C$8))</f>
        <v>0.133182116777594</v>
      </c>
      <c r="E490" s="48" t="n">
        <f aca="true">MAX(4,NORMINV(RAND(),$B$9,$C$9))</f>
        <v>9.59265909839746</v>
      </c>
      <c r="F490" s="26" t="n">
        <f aca="false">$B$18*(1+(B490+$B$17)/2)^9</f>
        <v>8257.82698847488</v>
      </c>
      <c r="G490" s="26" t="n">
        <f aca="false">F490*C490</f>
        <v>1664.21920816427</v>
      </c>
      <c r="H490" s="26" t="n">
        <f aca="false">E490*G490/(1+D490)^9</f>
        <v>5181.45978835871</v>
      </c>
      <c r="I490" s="26" t="n">
        <f aca="false">$B$13*G490/$B$12*((1+$B$8)/(1+D490))^4.5</f>
        <v>2562.94451370483</v>
      </c>
      <c r="J490" s="26" t="n">
        <f aca="false">H490+I490+$B$14</f>
        <v>9830.80318014574</v>
      </c>
      <c r="K490" s="44" t="n">
        <f aca="false">J490/$B$15</f>
        <v>15.6044494922948</v>
      </c>
    </row>
    <row r="491" customFormat="false" ht="15" hidden="false" customHeight="false" outlineLevel="0" collapsed="false">
      <c r="A491" s="52" t="n">
        <v>451</v>
      </c>
      <c r="B491" s="21" t="n">
        <f aca="true">NORMINV(RAND(),$B$6,$C$6)</f>
        <v>0.19678846279463</v>
      </c>
      <c r="C491" s="21" t="n">
        <f aca="true">MAX(0.03,NORMINV(RAND(),$B$7,$C$7))</f>
        <v>0.226906821087471</v>
      </c>
      <c r="D491" s="33" t="n">
        <f aca="true">MAX(0.08,NORMINV(RAND(),$B$8,$C$8))</f>
        <v>0.129428399975358</v>
      </c>
      <c r="E491" s="48" t="n">
        <f aca="true">MAX(4,NORMINV(RAND(),$B$9,$C$9))</f>
        <v>12.0945954867454</v>
      </c>
      <c r="F491" s="26" t="n">
        <f aca="false">$B$18*(1+(B491+$B$17)/2)^9</f>
        <v>7896.34710890334</v>
      </c>
      <c r="G491" s="26" t="n">
        <f aca="false">F491*C491</f>
        <v>1791.7350206845</v>
      </c>
      <c r="H491" s="26" t="n">
        <f aca="false">E491*G491/(1+D491)^9</f>
        <v>7246.64177718275</v>
      </c>
      <c r="I491" s="26" t="n">
        <f aca="false">$B$13*G491/$B$12*((1+$B$8)/(1+D491))^4.5</f>
        <v>2800.83156608542</v>
      </c>
      <c r="J491" s="26" t="n">
        <f aca="false">H491+I491+$B$14</f>
        <v>12133.8722213504</v>
      </c>
      <c r="K491" s="44" t="n">
        <f aca="false">J491/$B$15</f>
        <v>19.2601146370641</v>
      </c>
    </row>
    <row r="492" customFormat="false" ht="15" hidden="false" customHeight="false" outlineLevel="0" collapsed="false">
      <c r="A492" s="52" t="n">
        <v>452</v>
      </c>
      <c r="B492" s="21" t="n">
        <f aca="true">NORMINV(RAND(),$B$6,$C$6)</f>
        <v>0.196369755106394</v>
      </c>
      <c r="C492" s="21" t="n">
        <f aca="true">MAX(0.03,NORMINV(RAND(),$B$7,$C$7))</f>
        <v>0.190268865033953</v>
      </c>
      <c r="D492" s="33" t="n">
        <f aca="true">MAX(0.08,NORMINV(RAND(),$B$8,$C$8))</f>
        <v>0.152980678168599</v>
      </c>
      <c r="E492" s="48" t="n">
        <f aca="true">MAX(4,NORMINV(RAND(),$B$9,$C$9))</f>
        <v>13.2737950803051</v>
      </c>
      <c r="F492" s="26" t="n">
        <f aca="false">$B$18*(1+(B492+$B$17)/2)^9</f>
        <v>7883.11302836857</v>
      </c>
      <c r="G492" s="26" t="n">
        <f aca="false">F492*C492</f>
        <v>1499.91096884206</v>
      </c>
      <c r="H492" s="26" t="n">
        <f aca="false">E492*G492/(1+D492)^9</f>
        <v>5529.2003324787</v>
      </c>
      <c r="I492" s="26" t="n">
        <f aca="false">$B$13*G492/$B$12*((1+$B$8)/(1+D492))^4.5</f>
        <v>2136.70087198803</v>
      </c>
      <c r="J492" s="26" t="n">
        <f aca="false">H492+I492+$B$14</f>
        <v>9752.30008254893</v>
      </c>
      <c r="K492" s="44" t="n">
        <f aca="false">J492/$B$15</f>
        <v>15.4798414008713</v>
      </c>
    </row>
    <row r="493" customFormat="false" ht="15" hidden="false" customHeight="false" outlineLevel="0" collapsed="false">
      <c r="A493" s="52" t="n">
        <v>453</v>
      </c>
      <c r="B493" s="21" t="n">
        <f aca="true">NORMINV(RAND(),$B$6,$C$6)</f>
        <v>0.216032761316393</v>
      </c>
      <c r="C493" s="21" t="n">
        <f aca="true">MAX(0.03,NORMINV(RAND(),$B$7,$C$7))</f>
        <v>0.19139541223532</v>
      </c>
      <c r="D493" s="33" t="n">
        <f aca="true">MAX(0.08,NORMINV(RAND(),$B$8,$C$8))</f>
        <v>0.132576913665757</v>
      </c>
      <c r="E493" s="48" t="n">
        <f aca="true">MAX(4,NORMINV(RAND(),$B$9,$C$9))</f>
        <v>10.4823872250392</v>
      </c>
      <c r="F493" s="26" t="n">
        <f aca="false">$B$18*(1+(B493+$B$17)/2)^9</f>
        <v>8526.33171029544</v>
      </c>
      <c r="G493" s="26" t="n">
        <f aca="false">F493*C493</f>
        <v>1631.90077254708</v>
      </c>
      <c r="H493" s="26" t="n">
        <f aca="false">E493*G493/(1+D493)^9</f>
        <v>5578.8489631509</v>
      </c>
      <c r="I493" s="26" t="n">
        <f aca="false">$B$13*G493/$B$12*((1+$B$8)/(1+D493))^4.5</f>
        <v>2519.22208483949</v>
      </c>
      <c r="J493" s="26" t="n">
        <f aca="false">H493+I493+$B$14</f>
        <v>10184.4699260726</v>
      </c>
      <c r="K493" s="44" t="n">
        <f aca="false">J493/$B$15</f>
        <v>16.1658252794803</v>
      </c>
    </row>
    <row r="494" customFormat="false" ht="15" hidden="false" customHeight="false" outlineLevel="0" collapsed="false">
      <c r="A494" s="52" t="n">
        <v>454</v>
      </c>
      <c r="B494" s="21" t="n">
        <f aca="true">NORMINV(RAND(),$B$6,$C$6)</f>
        <v>0.244005412201806</v>
      </c>
      <c r="C494" s="21" t="n">
        <f aca="true">MAX(0.03,NORMINV(RAND(),$B$7,$C$7))</f>
        <v>0.246538347064197</v>
      </c>
      <c r="D494" s="33" t="n">
        <f aca="true">MAX(0.08,NORMINV(RAND(),$B$8,$C$8))</f>
        <v>0.127331930063961</v>
      </c>
      <c r="E494" s="48" t="n">
        <f aca="true">MAX(4,NORMINV(RAND(),$B$9,$C$9))</f>
        <v>17.0964234566445</v>
      </c>
      <c r="F494" s="26" t="n">
        <f aca="false">$B$18*(1+(B494+$B$17)/2)^9</f>
        <v>9521.74416616452</v>
      </c>
      <c r="G494" s="26" t="n">
        <f aca="false">F494*C494</f>
        <v>2347.47506789437</v>
      </c>
      <c r="H494" s="26" t="n">
        <f aca="false">E494*G494/(1+D494)^9</f>
        <v>13647.087720263</v>
      </c>
      <c r="I494" s="26" t="n">
        <f aca="false">$B$13*G494/$B$12*((1+$B$8)/(1+D494))^4.5</f>
        <v>3700.37067848338</v>
      </c>
      <c r="J494" s="26" t="n">
        <f aca="false">H494+I494+$B$14</f>
        <v>19433.8572768286</v>
      </c>
      <c r="K494" s="44" t="n">
        <f aca="false">J494/$B$15</f>
        <v>30.8473925029025</v>
      </c>
    </row>
    <row r="495" customFormat="false" ht="15" hidden="false" customHeight="false" outlineLevel="0" collapsed="false">
      <c r="A495" s="52" t="n">
        <v>455</v>
      </c>
      <c r="B495" s="21" t="n">
        <f aca="true">NORMINV(RAND(),$B$6,$C$6)</f>
        <v>0.193799108903553</v>
      </c>
      <c r="C495" s="21" t="n">
        <f aca="true">MAX(0.03,NORMINV(RAND(),$B$7,$C$7))</f>
        <v>0.203001977396777</v>
      </c>
      <c r="D495" s="33" t="n">
        <f aca="true">MAX(0.08,NORMINV(RAND(),$B$8,$C$8))</f>
        <v>0.123398140673003</v>
      </c>
      <c r="E495" s="48" t="n">
        <f aca="true">MAX(4,NORMINV(RAND(),$B$9,$C$9))</f>
        <v>12.4575863375962</v>
      </c>
      <c r="F495" s="26" t="n">
        <f aca="false">$B$18*(1+(B495+$B$17)/2)^9</f>
        <v>7802.29390437828</v>
      </c>
      <c r="G495" s="26" t="n">
        <f aca="false">F495*C495</f>
        <v>1583.88109081961</v>
      </c>
      <c r="H495" s="26" t="n">
        <f aca="false">E495*G495/(1+D495)^9</f>
        <v>6923.93804309398</v>
      </c>
      <c r="I495" s="26" t="n">
        <f aca="false">$B$13*G495/$B$12*((1+$B$8)/(1+D495))^4.5</f>
        <v>2536.28643530619</v>
      </c>
      <c r="J495" s="26" t="n">
        <f aca="false">H495+I495+$B$14</f>
        <v>11546.6233564824</v>
      </c>
      <c r="K495" s="44" t="n">
        <f aca="false">J495/$B$15</f>
        <v>18.327973581718</v>
      </c>
    </row>
    <row r="496" customFormat="false" ht="15" hidden="false" customHeight="false" outlineLevel="0" collapsed="false">
      <c r="A496" s="52" t="n">
        <v>456</v>
      </c>
      <c r="B496" s="21" t="n">
        <f aca="true">NORMINV(RAND(),$B$6,$C$6)</f>
        <v>0.200373310056751</v>
      </c>
      <c r="C496" s="21" t="n">
        <f aca="true">MAX(0.03,NORMINV(RAND(),$B$7,$C$7))</f>
        <v>0.210931207574798</v>
      </c>
      <c r="D496" s="33" t="n">
        <f aca="true">MAX(0.08,NORMINV(RAND(),$B$8,$C$8))</f>
        <v>0.132979280962861</v>
      </c>
      <c r="E496" s="48" t="n">
        <f aca="true">MAX(4,NORMINV(RAND(),$B$9,$C$9))</f>
        <v>10.693221084237</v>
      </c>
      <c r="F496" s="26" t="n">
        <f aca="false">$B$18*(1+(B496+$B$17)/2)^9</f>
        <v>8010.46412944945</v>
      </c>
      <c r="G496" s="26" t="n">
        <f aca="false">F496*C496</f>
        <v>1689.65687205937</v>
      </c>
      <c r="H496" s="26" t="n">
        <f aca="false">E496*G496/(1+D496)^9</f>
        <v>5873.66744382134</v>
      </c>
      <c r="I496" s="26" t="n">
        <f aca="false">$B$13*G496/$B$12*((1+$B$8)/(1+D496))^4.5</f>
        <v>2604.21623353901</v>
      </c>
      <c r="J496" s="26" t="n">
        <f aca="false">H496+I496+$B$14</f>
        <v>10564.2825554425</v>
      </c>
      <c r="K496" s="44" t="n">
        <f aca="false">J496/$B$15</f>
        <v>16.7687024689564</v>
      </c>
    </row>
    <row r="497" customFormat="false" ht="15" hidden="false" customHeight="false" outlineLevel="0" collapsed="false">
      <c r="A497" s="52" t="n">
        <v>457</v>
      </c>
      <c r="B497" s="21" t="n">
        <f aca="true">NORMINV(RAND(),$B$6,$C$6)</f>
        <v>0.189386384033853</v>
      </c>
      <c r="C497" s="21" t="n">
        <f aca="true">MAX(0.03,NORMINV(RAND(),$B$7,$C$7))</f>
        <v>0.20754885311733</v>
      </c>
      <c r="D497" s="33" t="n">
        <f aca="true">MAX(0.08,NORMINV(RAND(),$B$8,$C$8))</f>
        <v>0.130228856786615</v>
      </c>
      <c r="E497" s="48" t="n">
        <f aca="true">MAX(4,NORMINV(RAND(),$B$9,$C$9))</f>
        <v>10.2430923427008</v>
      </c>
      <c r="F497" s="26" t="n">
        <f aca="false">$B$18*(1+(B497+$B$17)/2)^9</f>
        <v>7665.27718890649</v>
      </c>
      <c r="G497" s="26" t="n">
        <f aca="false">F497*C497</f>
        <v>1590.91948938397</v>
      </c>
      <c r="H497" s="26" t="n">
        <f aca="false">E497*G497/(1+D497)^9</f>
        <v>5414.79185856964</v>
      </c>
      <c r="I497" s="26" t="n">
        <f aca="false">$B$13*G497/$B$12*((1+$B$8)/(1+D497))^4.5</f>
        <v>2479.00166840899</v>
      </c>
      <c r="J497" s="26" t="n">
        <f aca="false">H497+I497+$B$14</f>
        <v>9980.19240506082</v>
      </c>
      <c r="K497" s="44" t="n">
        <f aca="false">J497/$B$15</f>
        <v>15.8415752461283</v>
      </c>
    </row>
    <row r="498" customFormat="false" ht="15" hidden="false" customHeight="false" outlineLevel="0" collapsed="false">
      <c r="A498" s="52" t="n">
        <v>458</v>
      </c>
      <c r="B498" s="21" t="n">
        <f aca="true">NORMINV(RAND(),$B$6,$C$6)</f>
        <v>0.167257027621077</v>
      </c>
      <c r="C498" s="21" t="n">
        <f aca="true">MAX(0.03,NORMINV(RAND(),$B$7,$C$7))</f>
        <v>0.210999615495418</v>
      </c>
      <c r="D498" s="33" t="n">
        <f aca="true">MAX(0.08,NORMINV(RAND(),$B$8,$C$8))</f>
        <v>0.136712890524272</v>
      </c>
      <c r="E498" s="48" t="n">
        <f aca="true">MAX(4,NORMINV(RAND(),$B$9,$C$9))</f>
        <v>13.5519652401479</v>
      </c>
      <c r="F498" s="26" t="n">
        <f aca="false">$B$18*(1+(B498+$B$17)/2)^9</f>
        <v>7009.88552000125</v>
      </c>
      <c r="G498" s="26" t="n">
        <f aca="false">F498*C498</f>
        <v>1479.08314938716</v>
      </c>
      <c r="H498" s="26" t="n">
        <f aca="false">E498*G498/(1+D498)^9</f>
        <v>6326.12550082511</v>
      </c>
      <c r="I498" s="26" t="n">
        <f aca="false">$B$13*G498/$B$12*((1+$B$8)/(1+D498))^4.5</f>
        <v>2246.16385931265</v>
      </c>
      <c r="J498" s="26" t="n">
        <f aca="false">H498+I498+$B$14</f>
        <v>10658.6882382199</v>
      </c>
      <c r="K498" s="44" t="n">
        <f aca="false">J498/$B$15</f>
        <v>16.9185527590793</v>
      </c>
    </row>
    <row r="499" customFormat="false" ht="15" hidden="false" customHeight="false" outlineLevel="0" collapsed="false">
      <c r="A499" s="52" t="n">
        <v>459</v>
      </c>
      <c r="B499" s="21" t="n">
        <f aca="true">NORMINV(RAND(),$B$6,$C$6)</f>
        <v>0.141129801055971</v>
      </c>
      <c r="C499" s="21" t="n">
        <f aca="true">MAX(0.03,NORMINV(RAND(),$B$7,$C$7))</f>
        <v>0.262209257055564</v>
      </c>
      <c r="D499" s="33" t="n">
        <f aca="true">MAX(0.08,NORMINV(RAND(),$B$8,$C$8))</f>
        <v>0.139173845253406</v>
      </c>
      <c r="E499" s="48" t="n">
        <f aca="true">MAX(4,NORMINV(RAND(),$B$9,$C$9))</f>
        <v>10.3013785747599</v>
      </c>
      <c r="F499" s="26" t="n">
        <f aca="false">$B$18*(1+(B499+$B$17)/2)^9</f>
        <v>6300.56527839492</v>
      </c>
      <c r="G499" s="26" t="n">
        <f aca="false">F499*C499</f>
        <v>1652.06654067802</v>
      </c>
      <c r="H499" s="26" t="n">
        <f aca="false">E499*G499/(1+D499)^9</f>
        <v>5267.60056848197</v>
      </c>
      <c r="I499" s="26" t="n">
        <f aca="false">$B$13*G499/$B$12*((1+$B$8)/(1+D499))^4.5</f>
        <v>2484.56229464478</v>
      </c>
      <c r="J499" s="26" t="n">
        <f aca="false">H499+I499+$B$14</f>
        <v>9838.56174120895</v>
      </c>
      <c r="K499" s="44" t="n">
        <f aca="false">J499/$B$15</f>
        <v>15.6167646685856</v>
      </c>
    </row>
    <row r="500" customFormat="false" ht="15" hidden="false" customHeight="false" outlineLevel="0" collapsed="false">
      <c r="A500" s="52" t="n">
        <v>460</v>
      </c>
      <c r="B500" s="21" t="n">
        <f aca="true">NORMINV(RAND(),$B$6,$C$6)</f>
        <v>0.193550293098914</v>
      </c>
      <c r="C500" s="21" t="n">
        <f aca="true">MAX(0.03,NORMINV(RAND(),$B$7,$C$7))</f>
        <v>0.198149057101544</v>
      </c>
      <c r="D500" s="33" t="n">
        <f aca="true">MAX(0.08,NORMINV(RAND(),$B$8,$C$8))</f>
        <v>0.135249775951568</v>
      </c>
      <c r="E500" s="48" t="n">
        <f aca="true">MAX(4,NORMINV(RAND(),$B$9,$C$9))</f>
        <v>8.36819176756939</v>
      </c>
      <c r="F500" s="26" t="n">
        <f aca="false">$B$18*(1+(B500+$B$17)/2)^9</f>
        <v>7794.51056123212</v>
      </c>
      <c r="G500" s="26" t="n">
        <f aca="false">F500*C500</f>
        <v>1544.47491827617</v>
      </c>
      <c r="H500" s="26" t="n">
        <f aca="false">E500*G500/(1+D500)^9</f>
        <v>4126.5742153109</v>
      </c>
      <c r="I500" s="26" t="n">
        <f aca="false">$B$13*G500/$B$12*((1+$B$8)/(1+D500))^4.5</f>
        <v>2359.10258428977</v>
      </c>
      <c r="J500" s="26" t="n">
        <f aca="false">H500+I500+$B$14</f>
        <v>8572.07567768287</v>
      </c>
      <c r="K500" s="44" t="n">
        <f aca="false">J500/$B$15</f>
        <v>13.6064693296553</v>
      </c>
    </row>
    <row r="501" customFormat="false" ht="15" hidden="false" customHeight="false" outlineLevel="0" collapsed="false">
      <c r="A501" s="52" t="n">
        <v>461</v>
      </c>
      <c r="B501" s="21" t="n">
        <f aca="true">NORMINV(RAND(),$B$6,$C$6)</f>
        <v>0.21673884878092</v>
      </c>
      <c r="C501" s="21" t="n">
        <f aca="true">MAX(0.03,NORMINV(RAND(),$B$7,$C$7))</f>
        <v>0.229636593993543</v>
      </c>
      <c r="D501" s="33" t="n">
        <f aca="true">MAX(0.08,NORMINV(RAND(),$B$8,$C$8))</f>
        <v>0.13396196598274</v>
      </c>
      <c r="E501" s="48" t="n">
        <f aca="true">MAX(4,NORMINV(RAND(),$B$9,$C$9))</f>
        <v>14.4679047676172</v>
      </c>
      <c r="F501" s="26" t="n">
        <f aca="false">$B$18*(1+(B501+$B$17)/2)^9</f>
        <v>8550.2724963349</v>
      </c>
      <c r="G501" s="26" t="n">
        <f aca="false">F501*C501</f>
        <v>1963.45545377501</v>
      </c>
      <c r="H501" s="26" t="n">
        <f aca="false">E501*G501/(1+D501)^9</f>
        <v>9163.05514333558</v>
      </c>
      <c r="I501" s="26" t="n">
        <f aca="false">$B$13*G501/$B$12*((1+$B$8)/(1+D501))^4.5</f>
        <v>3014.43021307023</v>
      </c>
      <c r="J501" s="26" t="n">
        <f aca="false">H501+I501+$B$14</f>
        <v>14263.884234488</v>
      </c>
      <c r="K501" s="44" t="n">
        <f aca="false">J501/$B$15</f>
        <v>22.6410860864889</v>
      </c>
    </row>
    <row r="502" customFormat="false" ht="15" hidden="false" customHeight="false" outlineLevel="0" collapsed="false">
      <c r="A502" s="52" t="n">
        <v>462</v>
      </c>
      <c r="B502" s="21" t="n">
        <f aca="true">NORMINV(RAND(),$B$6,$C$6)</f>
        <v>0.158144459351224</v>
      </c>
      <c r="C502" s="21" t="n">
        <f aca="true">MAX(0.03,NORMINV(RAND(),$B$7,$C$7))</f>
        <v>0.208567479313879</v>
      </c>
      <c r="D502" s="33" t="n">
        <f aca="true">MAX(0.08,NORMINV(RAND(),$B$8,$C$8))</f>
        <v>0.143397209954345</v>
      </c>
      <c r="E502" s="48" t="n">
        <f aca="true">MAX(4,NORMINV(RAND(),$B$9,$C$9))</f>
        <v>10.4713267283525</v>
      </c>
      <c r="F502" s="26" t="n">
        <f aca="false">$B$18*(1+(B502+$B$17)/2)^9</f>
        <v>6754.82190527809</v>
      </c>
      <c r="G502" s="26" t="n">
        <f aca="false">F502*C502</f>
        <v>1408.83617799802</v>
      </c>
      <c r="H502" s="26" t="n">
        <f aca="false">E502*G502/(1+D502)^9</f>
        <v>4416.59984599013</v>
      </c>
      <c r="I502" s="26" t="n">
        <f aca="false">$B$13*G502/$B$12*((1+$B$8)/(1+D502))^4.5</f>
        <v>2083.77487476066</v>
      </c>
      <c r="J502" s="26" t="n">
        <f aca="false">H502+I502+$B$14</f>
        <v>8586.77359883298</v>
      </c>
      <c r="K502" s="44" t="n">
        <f aca="false">J502/$B$15</f>
        <v>13.629799363227</v>
      </c>
    </row>
    <row r="503" customFormat="false" ht="15" hidden="false" customHeight="false" outlineLevel="0" collapsed="false">
      <c r="A503" s="52" t="n">
        <v>463</v>
      </c>
      <c r="B503" s="21" t="n">
        <f aca="true">NORMINV(RAND(),$B$6,$C$6)</f>
        <v>0.152932490470817</v>
      </c>
      <c r="C503" s="21" t="n">
        <f aca="true">MAX(0.03,NORMINV(RAND(),$B$7,$C$7))</f>
        <v>0.226443508080607</v>
      </c>
      <c r="D503" s="33" t="n">
        <f aca="true">MAX(0.08,NORMINV(RAND(),$B$8,$C$8))</f>
        <v>0.144806647365063</v>
      </c>
      <c r="E503" s="48" t="n">
        <f aca="true">MAX(4,NORMINV(RAND(),$B$9,$C$9))</f>
        <v>10.1981581201482</v>
      </c>
      <c r="F503" s="26" t="n">
        <f aca="false">$B$18*(1+(B503+$B$17)/2)^9</f>
        <v>6612.67622915034</v>
      </c>
      <c r="G503" s="26" t="n">
        <f aca="false">F503*C503</f>
        <v>1497.39760313004</v>
      </c>
      <c r="H503" s="26" t="n">
        <f aca="false">E503*G503/(1+D503)^9</f>
        <v>4521.36525274729</v>
      </c>
      <c r="I503" s="26" t="n">
        <f aca="false">$B$13*G503/$B$12*((1+$B$8)/(1+D503))^4.5</f>
        <v>2202.52005047169</v>
      </c>
      <c r="J503" s="26" t="n">
        <f aca="false">H503+I503+$B$14</f>
        <v>8810.28418130117</v>
      </c>
      <c r="K503" s="44" t="n">
        <f aca="false">J503/$B$15</f>
        <v>13.9845780655574</v>
      </c>
    </row>
    <row r="504" customFormat="false" ht="15" hidden="false" customHeight="false" outlineLevel="0" collapsed="false">
      <c r="A504" s="52" t="n">
        <v>464</v>
      </c>
      <c r="B504" s="21" t="n">
        <f aca="true">NORMINV(RAND(),$B$6,$C$6)</f>
        <v>0.229233065299815</v>
      </c>
      <c r="C504" s="21" t="n">
        <f aca="true">MAX(0.03,NORMINV(RAND(),$B$7,$C$7))</f>
        <v>0.21952422011957</v>
      </c>
      <c r="D504" s="33" t="n">
        <f aca="true">MAX(0.08,NORMINV(RAND(),$B$8,$C$8))</f>
        <v>0.120568858569441</v>
      </c>
      <c r="E504" s="48" t="n">
        <f aca="true">MAX(4,NORMINV(RAND(),$B$9,$C$9))</f>
        <v>16.5566575842405</v>
      </c>
      <c r="F504" s="26" t="n">
        <f aca="false">$B$18*(1+(B504+$B$17)/2)^9</f>
        <v>8983.90591110895</v>
      </c>
      <c r="G504" s="26" t="n">
        <f aca="false">F504*C504</f>
        <v>1972.18493876378</v>
      </c>
      <c r="H504" s="26" t="n">
        <f aca="false">E504*G504/(1+D504)^9</f>
        <v>11721.2347628062</v>
      </c>
      <c r="I504" s="26" t="n">
        <f aca="false">$B$13*G504/$B$12*((1+$B$8)/(1+D504))^4.5</f>
        <v>3194.12233752222</v>
      </c>
      <c r="J504" s="26" t="n">
        <f aca="false">H504+I504+$B$14</f>
        <v>17001.7559784106</v>
      </c>
      <c r="K504" s="44" t="n">
        <f aca="false">J504/$B$15</f>
        <v>26.9869142514454</v>
      </c>
    </row>
    <row r="505" customFormat="false" ht="15" hidden="false" customHeight="false" outlineLevel="0" collapsed="false">
      <c r="A505" s="52" t="n">
        <v>465</v>
      </c>
      <c r="B505" s="21" t="n">
        <f aca="true">NORMINV(RAND(),$B$6,$C$6)</f>
        <v>0.17452664410976</v>
      </c>
      <c r="C505" s="21" t="n">
        <f aca="true">MAX(0.03,NORMINV(RAND(),$B$7,$C$7))</f>
        <v>0.189901323187877</v>
      </c>
      <c r="D505" s="33" t="n">
        <f aca="true">MAX(0.08,NORMINV(RAND(),$B$8,$C$8))</f>
        <v>0.132231586339909</v>
      </c>
      <c r="E505" s="48" t="n">
        <f aca="true">MAX(4,NORMINV(RAND(),$B$9,$C$9))</f>
        <v>11.3359743682409</v>
      </c>
      <c r="F505" s="26" t="n">
        <f aca="false">$B$18*(1+(B505+$B$17)/2)^9</f>
        <v>7219.46593338009</v>
      </c>
      <c r="G505" s="26" t="n">
        <f aca="false">F505*C505</f>
        <v>1370.98613345868</v>
      </c>
      <c r="H505" s="26" t="n">
        <f aca="false">E505*G505/(1+D505)^9</f>
        <v>5082.46644166326</v>
      </c>
      <c r="I505" s="26" t="n">
        <f aca="false">$B$13*G505/$B$12*((1+$B$8)/(1+D505))^4.5</f>
        <v>2119.34540071908</v>
      </c>
      <c r="J505" s="26" t="n">
        <f aca="false">H505+I505+$B$14</f>
        <v>9288.21072046453</v>
      </c>
      <c r="K505" s="44" t="n">
        <f aca="false">J505/$B$15</f>
        <v>14.743191619785</v>
      </c>
    </row>
    <row r="506" customFormat="false" ht="15" hidden="false" customHeight="false" outlineLevel="0" collapsed="false">
      <c r="A506" s="52" t="n">
        <v>466</v>
      </c>
      <c r="B506" s="21" t="n">
        <f aca="true">NORMINV(RAND(),$B$6,$C$6)</f>
        <v>0.113104291796413</v>
      </c>
      <c r="C506" s="21" t="n">
        <f aca="true">MAX(0.03,NORMINV(RAND(),$B$7,$C$7))</f>
        <v>0.200671374014296</v>
      </c>
      <c r="D506" s="33" t="n">
        <f aca="true">MAX(0.08,NORMINV(RAND(),$B$8,$C$8))</f>
        <v>0.142265301613081</v>
      </c>
      <c r="E506" s="48" t="n">
        <f aca="true">MAX(4,NORMINV(RAND(),$B$9,$C$9))</f>
        <v>10.3824293376834</v>
      </c>
      <c r="F506" s="26" t="n">
        <f aca="false">$B$18*(1+(B506+$B$17)/2)^9</f>
        <v>5611.30268120217</v>
      </c>
      <c r="G506" s="26" t="n">
        <f aca="false">F506*C506</f>
        <v>1126.02781904694</v>
      </c>
      <c r="H506" s="26" t="n">
        <f aca="false">E506*G506/(1+D506)^9</f>
        <v>3531.38642745718</v>
      </c>
      <c r="I506" s="26" t="n">
        <f aca="false">$B$13*G506/$B$12*((1+$B$8)/(1+D506))^4.5</f>
        <v>1672.91959509579</v>
      </c>
      <c r="J506" s="26" t="n">
        <f aca="false">H506+I506+$B$14</f>
        <v>7290.70490063516</v>
      </c>
      <c r="K506" s="44" t="n">
        <f aca="false">J506/$B$15</f>
        <v>11.5725474613257</v>
      </c>
    </row>
    <row r="507" customFormat="false" ht="15" hidden="false" customHeight="false" outlineLevel="0" collapsed="false">
      <c r="A507" s="52" t="n">
        <v>467</v>
      </c>
      <c r="B507" s="21" t="n">
        <f aca="true">NORMINV(RAND(),$B$6,$C$6)</f>
        <v>0.165843618715127</v>
      </c>
      <c r="C507" s="21" t="n">
        <f aca="true">MAX(0.03,NORMINV(RAND(),$B$7,$C$7))</f>
        <v>0.219874315312179</v>
      </c>
      <c r="D507" s="33" t="n">
        <f aca="true">MAX(0.08,NORMINV(RAND(),$B$8,$C$8))</f>
        <v>0.125321044397138</v>
      </c>
      <c r="E507" s="48" t="n">
        <f aca="true">MAX(4,NORMINV(RAND(),$B$9,$C$9))</f>
        <v>9.58300262982996</v>
      </c>
      <c r="F507" s="26" t="n">
        <f aca="false">$B$18*(1+(B507+$B$17)/2)^9</f>
        <v>6969.77132555297</v>
      </c>
      <c r="G507" s="26" t="n">
        <f aca="false">F507*C507</f>
        <v>1532.47369808841</v>
      </c>
      <c r="H507" s="26" t="n">
        <f aca="false">E507*G507/(1+D507)^9</f>
        <v>5074.65674423286</v>
      </c>
      <c r="I507" s="26" t="n">
        <f aca="false">$B$13*G507/$B$12*((1+$B$8)/(1+D507))^4.5</f>
        <v>2435.15396479736</v>
      </c>
      <c r="J507" s="26" t="n">
        <f aca="false">H507+I507+$B$14</f>
        <v>9596.20958711242</v>
      </c>
      <c r="K507" s="44" t="n">
        <f aca="false">J507/$B$15</f>
        <v>15.2320787097022</v>
      </c>
    </row>
    <row r="508" customFormat="false" ht="15" hidden="false" customHeight="false" outlineLevel="0" collapsed="false">
      <c r="A508" s="52" t="n">
        <v>468</v>
      </c>
      <c r="B508" s="21" t="n">
        <f aca="true">NORMINV(RAND(),$B$6,$C$6)</f>
        <v>0.207027339552765</v>
      </c>
      <c r="C508" s="21" t="n">
        <f aca="true">MAX(0.03,NORMINV(RAND(),$B$7,$C$7))</f>
        <v>0.152191044961974</v>
      </c>
      <c r="D508" s="33" t="n">
        <f aca="true">MAX(0.08,NORMINV(RAND(),$B$8,$C$8))</f>
        <v>0.141468298110759</v>
      </c>
      <c r="E508" s="48" t="n">
        <f aca="true">MAX(4,NORMINV(RAND(),$B$9,$C$9))</f>
        <v>13.4494745663031</v>
      </c>
      <c r="F508" s="26" t="n">
        <f aca="false">$B$18*(1+(B508+$B$17)/2)^9</f>
        <v>8226.1749683224</v>
      </c>
      <c r="G508" s="26" t="n">
        <f aca="false">F508*C508</f>
        <v>1251.95016446902</v>
      </c>
      <c r="H508" s="26" t="n">
        <f aca="false">E508*G508/(1+D508)^9</f>
        <v>5118.20492251273</v>
      </c>
      <c r="I508" s="26" t="n">
        <f aca="false">$B$13*G508/$B$12*((1+$B$8)/(1+D508))^4.5</f>
        <v>1865.85149647766</v>
      </c>
      <c r="J508" s="26" t="n">
        <f aca="false">H508+I508+$B$14</f>
        <v>9070.45529707258</v>
      </c>
      <c r="K508" s="44" t="n">
        <f aca="false">J508/$B$15</f>
        <v>14.3975480905914</v>
      </c>
    </row>
    <row r="509" customFormat="false" ht="15" hidden="false" customHeight="false" outlineLevel="0" collapsed="false">
      <c r="A509" s="52" t="n">
        <v>469</v>
      </c>
      <c r="B509" s="21" t="n">
        <f aca="true">NORMINV(RAND(),$B$6,$C$6)</f>
        <v>0.194960841149336</v>
      </c>
      <c r="C509" s="21" t="n">
        <f aca="true">MAX(0.03,NORMINV(RAND(),$B$7,$C$7))</f>
        <v>0.179650721956726</v>
      </c>
      <c r="D509" s="33" t="n">
        <f aca="true">MAX(0.08,NORMINV(RAND(),$B$8,$C$8))</f>
        <v>0.137654018078392</v>
      </c>
      <c r="E509" s="48" t="n">
        <f aca="true">MAX(4,NORMINV(RAND(),$B$9,$C$9))</f>
        <v>7.31972781987302</v>
      </c>
      <c r="F509" s="26" t="n">
        <f aca="false">$B$18*(1+(B509+$B$17)/2)^9</f>
        <v>7838.72619444619</v>
      </c>
      <c r="G509" s="26" t="n">
        <f aca="false">F509*C509</f>
        <v>1408.23282005336</v>
      </c>
      <c r="H509" s="26" t="n">
        <f aca="false">E509*G509/(1+D509)^9</f>
        <v>3229.0706609008</v>
      </c>
      <c r="I509" s="26" t="n">
        <f aca="false">$B$13*G509/$B$12*((1+$B$8)/(1+D509))^4.5</f>
        <v>2130.61959741076</v>
      </c>
      <c r="J509" s="26" t="n">
        <f aca="false">H509+I509+$B$14</f>
        <v>7446.08913639375</v>
      </c>
      <c r="K509" s="44" t="n">
        <f aca="false">J509/$B$15</f>
        <v>11.8191891053869</v>
      </c>
    </row>
    <row r="510" customFormat="false" ht="15" hidden="false" customHeight="false" outlineLevel="0" collapsed="false">
      <c r="A510" s="52" t="n">
        <v>470</v>
      </c>
      <c r="B510" s="21" t="n">
        <f aca="true">NORMINV(RAND(),$B$6,$C$6)</f>
        <v>0.250035806294506</v>
      </c>
      <c r="C510" s="21" t="n">
        <f aca="true">MAX(0.03,NORMINV(RAND(),$B$7,$C$7))</f>
        <v>0.196896912050547</v>
      </c>
      <c r="D510" s="33" t="n">
        <f aca="true">MAX(0.08,NORMINV(RAND(),$B$8,$C$8))</f>
        <v>0.154242570085649</v>
      </c>
      <c r="E510" s="48" t="n">
        <f aca="true">MAX(4,NORMINV(RAND(),$B$9,$C$9))</f>
        <v>8.85943172198446</v>
      </c>
      <c r="F510" s="26" t="n">
        <f aca="false">$B$18*(1+(B510+$B$17)/2)^9</f>
        <v>9749.40110264943</v>
      </c>
      <c r="G510" s="26" t="n">
        <f aca="false">F510*C510</f>
        <v>1919.62697145387</v>
      </c>
      <c r="H510" s="26" t="n">
        <f aca="false">E510*G510/(1+D510)^9</f>
        <v>4676.80131190841</v>
      </c>
      <c r="I510" s="26" t="n">
        <f aca="false">$B$13*G510/$B$12*((1+$B$8)/(1+D510))^4.5</f>
        <v>2721.18035603846</v>
      </c>
      <c r="J510" s="26" t="n">
        <f aca="false">H510+I510+$B$14</f>
        <v>9484.38054602906</v>
      </c>
      <c r="K510" s="44" t="n">
        <f aca="false">J510/$B$15</f>
        <v>15.0545722952842</v>
      </c>
    </row>
    <row r="511" customFormat="false" ht="15" hidden="false" customHeight="false" outlineLevel="0" collapsed="false">
      <c r="A511" s="52" t="n">
        <v>471</v>
      </c>
      <c r="B511" s="21" t="n">
        <f aca="true">NORMINV(RAND(),$B$6,$C$6)</f>
        <v>0.134704302638042</v>
      </c>
      <c r="C511" s="21" t="n">
        <f aca="true">MAX(0.03,NORMINV(RAND(),$B$7,$C$7))</f>
        <v>0.23020524533837</v>
      </c>
      <c r="D511" s="33" t="n">
        <f aca="true">MAX(0.08,NORMINV(RAND(),$B$8,$C$8))</f>
        <v>0.126909151886436</v>
      </c>
      <c r="E511" s="48" t="n">
        <f aca="true">MAX(4,NORMINV(RAND(),$B$9,$C$9))</f>
        <v>12.8719527176397</v>
      </c>
      <c r="F511" s="26" t="n">
        <f aca="false">$B$18*(1+(B511+$B$17)/2)^9</f>
        <v>6136.21461574247</v>
      </c>
      <c r="G511" s="26" t="n">
        <f aca="false">F511*C511</f>
        <v>1412.58879106589</v>
      </c>
      <c r="H511" s="26" t="n">
        <f aca="false">E511*G511/(1+D511)^9</f>
        <v>6203.83214036172</v>
      </c>
      <c r="I511" s="26" t="n">
        <f aca="false">$B$13*G511/$B$12*((1+$B$8)/(1+D511))^4.5</f>
        <v>2230.45290389458</v>
      </c>
      <c r="J511" s="26" t="n">
        <f aca="false">H511+I511+$B$14</f>
        <v>10520.6839223385</v>
      </c>
      <c r="K511" s="44" t="n">
        <f aca="false">J511/$B$15</f>
        <v>16.6994982894262</v>
      </c>
    </row>
    <row r="512" customFormat="false" ht="15" hidden="false" customHeight="false" outlineLevel="0" collapsed="false">
      <c r="A512" s="52" t="n">
        <v>472</v>
      </c>
      <c r="B512" s="21" t="n">
        <f aca="true">NORMINV(RAND(),$B$6,$C$6)</f>
        <v>0.185253930831195</v>
      </c>
      <c r="C512" s="21" t="n">
        <f aca="true">MAX(0.03,NORMINV(RAND(),$B$7,$C$7))</f>
        <v>0.171091942831765</v>
      </c>
      <c r="D512" s="33" t="n">
        <f aca="true">MAX(0.08,NORMINV(RAND(),$B$8,$C$8))</f>
        <v>0.152413865675639</v>
      </c>
      <c r="E512" s="48" t="n">
        <f aca="true">MAX(4,NORMINV(RAND(),$B$9,$C$9))</f>
        <v>14.8603411257216</v>
      </c>
      <c r="F512" s="26" t="n">
        <f aca="false">$B$18*(1+(B512+$B$17)/2)^9</f>
        <v>7538.9067309153</v>
      </c>
      <c r="G512" s="26" t="n">
        <f aca="false">F512*C512</f>
        <v>1289.84619941977</v>
      </c>
      <c r="H512" s="26" t="n">
        <f aca="false">E512*G512/(1+D512)^9</f>
        <v>5346.75682207775</v>
      </c>
      <c r="I512" s="26" t="n">
        <f aca="false">$B$13*G512/$B$12*((1+$B$8)/(1+D512))^4.5</f>
        <v>1841.52309209711</v>
      </c>
      <c r="J512" s="26" t="n">
        <f aca="false">H512+I512+$B$14</f>
        <v>9274.67879225704</v>
      </c>
      <c r="K512" s="44" t="n">
        <f aca="false">J512/$B$15</f>
        <v>14.721712368662</v>
      </c>
    </row>
    <row r="513" customFormat="false" ht="15" hidden="false" customHeight="false" outlineLevel="0" collapsed="false">
      <c r="A513" s="52" t="n">
        <v>473</v>
      </c>
      <c r="B513" s="21" t="n">
        <f aca="true">NORMINV(RAND(),$B$6,$C$6)</f>
        <v>0.179986924524657</v>
      </c>
      <c r="C513" s="21" t="n">
        <f aca="true">MAX(0.03,NORMINV(RAND(),$B$7,$C$7))</f>
        <v>0.192847447058669</v>
      </c>
      <c r="D513" s="33" t="n">
        <f aca="true">MAX(0.08,NORMINV(RAND(),$B$8,$C$8))</f>
        <v>0.121672755437134</v>
      </c>
      <c r="E513" s="48" t="n">
        <f aca="true">MAX(4,NORMINV(RAND(),$B$9,$C$9))</f>
        <v>12.4888492940609</v>
      </c>
      <c r="F513" s="26" t="n">
        <f aca="false">$B$18*(1+(B513+$B$17)/2)^9</f>
        <v>7380.52769141659</v>
      </c>
      <c r="G513" s="26" t="n">
        <f aca="false">F513*C513</f>
        <v>1423.3159232355</v>
      </c>
      <c r="H513" s="26" t="n">
        <f aca="false">E513*G513/(1+D513)^9</f>
        <v>6324.52903928403</v>
      </c>
      <c r="I513" s="26" t="n">
        <f aca="false">$B$13*G513/$B$12*((1+$B$8)/(1+D513))^4.5</f>
        <v>2294.99062284646</v>
      </c>
      <c r="J513" s="26" t="n">
        <f aca="false">H513+I513+$B$14</f>
        <v>10705.9185402127</v>
      </c>
      <c r="K513" s="44" t="n">
        <f aca="false">J513/$B$15</f>
        <v>16.9935214924011</v>
      </c>
    </row>
    <row r="514" customFormat="false" ht="15" hidden="false" customHeight="false" outlineLevel="0" collapsed="false">
      <c r="A514" s="52" t="n">
        <v>474</v>
      </c>
      <c r="B514" s="21" t="n">
        <f aca="true">NORMINV(RAND(),$B$6,$C$6)</f>
        <v>0.187582248061633</v>
      </c>
      <c r="C514" s="21" t="n">
        <f aca="true">MAX(0.03,NORMINV(RAND(),$B$7,$C$7))</f>
        <v>0.184202062989623</v>
      </c>
      <c r="D514" s="33" t="n">
        <f aca="true">MAX(0.08,NORMINV(RAND(),$B$8,$C$8))</f>
        <v>0.143948952897703</v>
      </c>
      <c r="E514" s="48" t="n">
        <f aca="true">MAX(4,NORMINV(RAND(),$B$9,$C$9))</f>
        <v>14.1105689587549</v>
      </c>
      <c r="F514" s="26" t="n">
        <f aca="false">$B$18*(1+(B514+$B$17)/2)^9</f>
        <v>7609.87697454823</v>
      </c>
      <c r="G514" s="26" t="n">
        <f aca="false">F514*C514</f>
        <v>1401.75503780901</v>
      </c>
      <c r="H514" s="26" t="n">
        <f aca="false">E514*G514/(1+D514)^9</f>
        <v>5895.99145014149</v>
      </c>
      <c r="I514" s="26" t="n">
        <f aca="false">$B$13*G514/$B$12*((1+$B$8)/(1+D514))^4.5</f>
        <v>2068.80520842333</v>
      </c>
      <c r="J514" s="26" t="n">
        <f aca="false">H514+I514+$B$14</f>
        <v>10051.195536647</v>
      </c>
      <c r="K514" s="44" t="n">
        <f aca="false">J514/$B$15</f>
        <v>15.9542786295984</v>
      </c>
    </row>
    <row r="515" customFormat="false" ht="15" hidden="false" customHeight="false" outlineLevel="0" collapsed="false">
      <c r="A515" s="52" t="n">
        <v>475</v>
      </c>
      <c r="B515" s="21" t="n">
        <f aca="true">NORMINV(RAND(),$B$6,$C$6)</f>
        <v>0.248437166676198</v>
      </c>
      <c r="C515" s="21" t="n">
        <f aca="true">MAX(0.03,NORMINV(RAND(),$B$7,$C$7))</f>
        <v>0.214277846323105</v>
      </c>
      <c r="D515" s="33" t="n">
        <f aca="true">MAX(0.08,NORMINV(RAND(),$B$8,$C$8))</f>
        <v>0.158098079276854</v>
      </c>
      <c r="E515" s="48" t="n">
        <f aca="true">MAX(4,NORMINV(RAND(),$B$9,$C$9))</f>
        <v>13.5669587619218</v>
      </c>
      <c r="F515" s="26" t="n">
        <f aca="false">$B$18*(1+(B515+$B$17)/2)^9</f>
        <v>9688.5835027802</v>
      </c>
      <c r="G515" s="26" t="n">
        <f aca="false">F515*C515</f>
        <v>2076.04880689731</v>
      </c>
      <c r="H515" s="26" t="n">
        <f aca="false">E515*G515/(1+D515)^9</f>
        <v>7516.43649087072</v>
      </c>
      <c r="I515" s="26" t="n">
        <f aca="false">$B$13*G515/$B$12*((1+$B$8)/(1+D515))^4.5</f>
        <v>2899.08468499946</v>
      </c>
      <c r="J515" s="26" t="n">
        <f aca="false">H515+I515+$B$14</f>
        <v>12501.9200539524</v>
      </c>
      <c r="K515" s="44" t="n">
        <f aca="false">J515/$B$15</f>
        <v>19.8443175459561</v>
      </c>
    </row>
    <row r="516" customFormat="false" ht="15" hidden="false" customHeight="false" outlineLevel="0" collapsed="false">
      <c r="A516" s="52" t="n">
        <v>476</v>
      </c>
      <c r="B516" s="21" t="n">
        <f aca="true">NORMINV(RAND(),$B$6,$C$6)</f>
        <v>0.249894198677052</v>
      </c>
      <c r="C516" s="21" t="n">
        <f aca="true">MAX(0.03,NORMINV(RAND(),$B$7,$C$7))</f>
        <v>0.267586352691415</v>
      </c>
      <c r="D516" s="33" t="n">
        <f aca="true">MAX(0.08,NORMINV(RAND(),$B$8,$C$8))</f>
        <v>0.128905990724315</v>
      </c>
      <c r="E516" s="48" t="n">
        <f aca="true">MAX(4,NORMINV(RAND(),$B$9,$C$9))</f>
        <v>10.4604987881136</v>
      </c>
      <c r="F516" s="26" t="n">
        <f aca="false">$B$18*(1+(B516+$B$17)/2)^9</f>
        <v>9744.00021037731</v>
      </c>
      <c r="G516" s="26" t="n">
        <f aca="false">F516*C516</f>
        <v>2607.36147691925</v>
      </c>
      <c r="H516" s="26" t="n">
        <f aca="false">E516*G516/(1+D516)^9</f>
        <v>9158.69589252777</v>
      </c>
      <c r="I516" s="26" t="n">
        <f aca="false">$B$13*G516/$B$12*((1+$B$8)/(1+D516))^4.5</f>
        <v>4084.30930048072</v>
      </c>
      <c r="J516" s="26" t="n">
        <f aca="false">H516+I516+$B$14</f>
        <v>15329.4040710907</v>
      </c>
      <c r="K516" s="44" t="n">
        <f aca="false">J516/$B$15</f>
        <v>24.3323874144297</v>
      </c>
    </row>
    <row r="517" customFormat="false" ht="15" hidden="false" customHeight="false" outlineLevel="0" collapsed="false">
      <c r="A517" s="52" t="n">
        <v>477</v>
      </c>
      <c r="B517" s="21" t="n">
        <f aca="true">NORMINV(RAND(),$B$6,$C$6)</f>
        <v>0.182045811060307</v>
      </c>
      <c r="C517" s="21" t="n">
        <f aca="true">MAX(0.03,NORMINV(RAND(),$B$7,$C$7))</f>
        <v>0.199151316538977</v>
      </c>
      <c r="D517" s="33" t="n">
        <f aca="true">MAX(0.08,NORMINV(RAND(),$B$8,$C$8))</f>
        <v>0.157905368224584</v>
      </c>
      <c r="E517" s="48" t="n">
        <f aca="true">MAX(4,NORMINV(RAND(),$B$9,$C$9))</f>
        <v>12.8374104218858</v>
      </c>
      <c r="F517" s="26" t="n">
        <f aca="false">$B$18*(1+(B517+$B$17)/2)^9</f>
        <v>7442.08284264837</v>
      </c>
      <c r="G517" s="26" t="n">
        <f aca="false">F517*C517</f>
        <v>1482.10059590555</v>
      </c>
      <c r="H517" s="26" t="n">
        <f aca="false">E517*G517/(1+D517)^9</f>
        <v>5085.07662515848</v>
      </c>
      <c r="I517" s="26" t="n">
        <f aca="false">$B$13*G517/$B$12*((1+$B$8)/(1+D517))^4.5</f>
        <v>2071.22012355256</v>
      </c>
      <c r="J517" s="26" t="n">
        <f aca="false">H517+I517+$B$14</f>
        <v>9242.69562679323</v>
      </c>
      <c r="K517" s="44" t="n">
        <f aca="false">J517/$B$15</f>
        <v>14.6709454393543</v>
      </c>
    </row>
    <row r="518" customFormat="false" ht="15" hidden="false" customHeight="false" outlineLevel="0" collapsed="false">
      <c r="A518" s="52" t="n">
        <v>478</v>
      </c>
      <c r="B518" s="21" t="n">
        <f aca="true">NORMINV(RAND(),$B$6,$C$6)</f>
        <v>0.288845934744697</v>
      </c>
      <c r="C518" s="21" t="n">
        <f aca="true">MAX(0.03,NORMINV(RAND(),$B$7,$C$7))</f>
        <v>0.220466884397964</v>
      </c>
      <c r="D518" s="33" t="n">
        <f aca="true">MAX(0.08,NORMINV(RAND(),$B$8,$C$8))</f>
        <v>0.146141120700036</v>
      </c>
      <c r="E518" s="48" t="n">
        <f aca="true">MAX(4,NORMINV(RAND(),$B$9,$C$9))</f>
        <v>9.33272650118772</v>
      </c>
      <c r="F518" s="26" t="n">
        <f aca="false">$B$18*(1+(B518+$B$17)/2)^9</f>
        <v>11333.944916611</v>
      </c>
      <c r="G518" s="26" t="n">
        <f aca="false">F518*C518</f>
        <v>2498.75952370338</v>
      </c>
      <c r="H518" s="26" t="n">
        <f aca="false">E518*G518/(1+D518)^9</f>
        <v>6832.66539568629</v>
      </c>
      <c r="I518" s="26" t="n">
        <f aca="false">$B$13*G518/$B$12*((1+$B$8)/(1+D518))^4.5</f>
        <v>3656.20397717299</v>
      </c>
      <c r="J518" s="26" t="n">
        <f aca="false">H518+I518+$B$14</f>
        <v>12575.2682509415</v>
      </c>
      <c r="K518" s="44" t="n">
        <f aca="false">J518/$B$15</f>
        <v>19.9607432554627</v>
      </c>
    </row>
    <row r="519" customFormat="false" ht="15" hidden="false" customHeight="false" outlineLevel="0" collapsed="false">
      <c r="A519" s="52" t="n">
        <v>479</v>
      </c>
      <c r="B519" s="21" t="n">
        <f aca="true">NORMINV(RAND(),$B$6,$C$6)</f>
        <v>0.244416811274679</v>
      </c>
      <c r="C519" s="21" t="n">
        <f aca="true">MAX(0.03,NORMINV(RAND(),$B$7,$C$7))</f>
        <v>0.203435772344689</v>
      </c>
      <c r="D519" s="33" t="n">
        <f aca="true">MAX(0.08,NORMINV(RAND(),$B$8,$C$8))</f>
        <v>0.155810853543264</v>
      </c>
      <c r="E519" s="48" t="n">
        <f aca="true">MAX(4,NORMINV(RAND(),$B$9,$C$9))</f>
        <v>13.1554869729298</v>
      </c>
      <c r="F519" s="26" t="n">
        <f aca="false">$B$18*(1+(B519+$B$17)/2)^9</f>
        <v>9537.1235680762</v>
      </c>
      <c r="G519" s="26" t="n">
        <f aca="false">F519*C519</f>
        <v>1940.19209901832</v>
      </c>
      <c r="H519" s="26" t="n">
        <f aca="false">E519*G519/(1+D519)^9</f>
        <v>6933.79097545503</v>
      </c>
      <c r="I519" s="26" t="n">
        <f aca="false">$B$13*G519/$B$12*((1+$B$8)/(1+D519))^4.5</f>
        <v>2733.57914458843</v>
      </c>
      <c r="J519" s="26" t="n">
        <f aca="false">H519+I519+$B$14</f>
        <v>11753.7689981257</v>
      </c>
      <c r="K519" s="44" t="n">
        <f aca="false">J519/$B$15</f>
        <v>18.656776187501</v>
      </c>
    </row>
    <row r="520" customFormat="false" ht="15" hidden="false" customHeight="false" outlineLevel="0" collapsed="false">
      <c r="A520" s="52" t="n">
        <v>480</v>
      </c>
      <c r="B520" s="21" t="n">
        <f aca="true">NORMINV(RAND(),$B$6,$C$6)</f>
        <v>0.117852089261533</v>
      </c>
      <c r="C520" s="21" t="n">
        <f aca="true">MAX(0.03,NORMINV(RAND(),$B$7,$C$7))</f>
        <v>0.238347039429928</v>
      </c>
      <c r="D520" s="33" t="n">
        <f aca="true">MAX(0.08,NORMINV(RAND(),$B$8,$C$8))</f>
        <v>0.134392258166505</v>
      </c>
      <c r="E520" s="48" t="n">
        <f aca="true">MAX(4,NORMINV(RAND(),$B$9,$C$9))</f>
        <v>10.950942075477</v>
      </c>
      <c r="F520" s="26" t="n">
        <f aca="false">$B$18*(1+(B520+$B$17)/2)^9</f>
        <v>5723.12709820231</v>
      </c>
      <c r="G520" s="26" t="n">
        <f aca="false">F520*C520</f>
        <v>1364.09040013771</v>
      </c>
      <c r="H520" s="26" t="n">
        <f aca="false">E520*G520/(1+D520)^9</f>
        <v>4802.03530704793</v>
      </c>
      <c r="I520" s="26" t="n">
        <f aca="false">$B$13*G520/$B$12*((1+$B$8)/(1+D520))^4.5</f>
        <v>2090.67192930003</v>
      </c>
      <c r="J520" s="26" t="n">
        <f aca="false">H520+I520+$B$14</f>
        <v>8979.10611443015</v>
      </c>
      <c r="K520" s="44" t="n">
        <f aca="false">J520/$B$15</f>
        <v>14.2525493879844</v>
      </c>
    </row>
    <row r="521" customFormat="false" ht="15" hidden="false" customHeight="false" outlineLevel="0" collapsed="false">
      <c r="A521" s="52" t="n">
        <v>481</v>
      </c>
      <c r="B521" s="21" t="n">
        <f aca="true">NORMINV(RAND(),$B$6,$C$6)</f>
        <v>0.19044190630499</v>
      </c>
      <c r="C521" s="21" t="n">
        <f aca="true">MAX(0.03,NORMINV(RAND(),$B$7,$C$7))</f>
        <v>0.209802142053654</v>
      </c>
      <c r="D521" s="33" t="n">
        <f aca="true">MAX(0.08,NORMINV(RAND(),$B$8,$C$8))</f>
        <v>0.130913717266227</v>
      </c>
      <c r="E521" s="48" t="n">
        <f aca="true">MAX(4,NORMINV(RAND(),$B$9,$C$9))</f>
        <v>15.0064163844005</v>
      </c>
      <c r="F521" s="26" t="n">
        <f aca="false">$B$18*(1+(B521+$B$17)/2)^9</f>
        <v>7697.85543347743</v>
      </c>
      <c r="G521" s="26" t="n">
        <f aca="false">F521*C521</f>
        <v>1615.02655916292</v>
      </c>
      <c r="H521" s="26" t="n">
        <f aca="false">E521*G521/(1+D521)^9</f>
        <v>8009.2419802804</v>
      </c>
      <c r="I521" s="26" t="n">
        <f aca="false">$B$13*G521/$B$12*((1+$B$8)/(1+D521))^4.5</f>
        <v>2509.71510113502</v>
      </c>
      <c r="J521" s="26" t="n">
        <f aca="false">H521+I521+$B$14</f>
        <v>12605.3559594976</v>
      </c>
      <c r="K521" s="44" t="n">
        <f aca="false">J521/$B$15</f>
        <v>20.0085015230121</v>
      </c>
    </row>
    <row r="522" customFormat="false" ht="15" hidden="false" customHeight="false" outlineLevel="0" collapsed="false">
      <c r="A522" s="52" t="n">
        <v>482</v>
      </c>
      <c r="B522" s="21" t="n">
        <f aca="true">NORMINV(RAND(),$B$6,$C$6)</f>
        <v>0.284758221800464</v>
      </c>
      <c r="C522" s="21" t="n">
        <f aca="true">MAX(0.03,NORMINV(RAND(),$B$7,$C$7))</f>
        <v>0.211644629892893</v>
      </c>
      <c r="D522" s="33" t="n">
        <f aca="true">MAX(0.08,NORMINV(RAND(),$B$8,$C$8))</f>
        <v>0.136900445966352</v>
      </c>
      <c r="E522" s="48" t="n">
        <f aca="true">MAX(4,NORMINV(RAND(),$B$9,$C$9))</f>
        <v>12.0553020984831</v>
      </c>
      <c r="F522" s="26" t="n">
        <f aca="false">$B$18*(1+(B522+$B$17)/2)^9</f>
        <v>11156.9063001163</v>
      </c>
      <c r="G522" s="26" t="n">
        <f aca="false">F522*C522</f>
        <v>2361.2993046378</v>
      </c>
      <c r="H522" s="26" t="n">
        <f aca="false">E522*G522/(1+D522)^9</f>
        <v>8970.71802209206</v>
      </c>
      <c r="I522" s="26" t="n">
        <f aca="false">$B$13*G522/$B$12*((1+$B$8)/(1+D522))^4.5</f>
        <v>3583.25282356817</v>
      </c>
      <c r="J522" s="26" t="n">
        <f aca="false">H522+I522+$B$14</f>
        <v>14640.3697237424</v>
      </c>
      <c r="K522" s="44" t="n">
        <f aca="false">J522/$B$15</f>
        <v>23.2386821011784</v>
      </c>
    </row>
    <row r="523" customFormat="false" ht="15" hidden="false" customHeight="false" outlineLevel="0" collapsed="false">
      <c r="A523" s="52" t="n">
        <v>483</v>
      </c>
      <c r="B523" s="21" t="n">
        <f aca="true">NORMINV(RAND(),$B$6,$C$6)</f>
        <v>0.182929465648724</v>
      </c>
      <c r="C523" s="21" t="n">
        <f aca="true">MAX(0.03,NORMINV(RAND(),$B$7,$C$7))</f>
        <v>0.197139406204097</v>
      </c>
      <c r="D523" s="33" t="n">
        <f aca="true">MAX(0.08,NORMINV(RAND(),$B$8,$C$8))</f>
        <v>0.141646855207929</v>
      </c>
      <c r="E523" s="48" t="n">
        <f aca="true">MAX(4,NORMINV(RAND(),$B$9,$C$9))</f>
        <v>14.0120903963307</v>
      </c>
      <c r="F523" s="26" t="n">
        <f aca="false">$B$18*(1+(B523+$B$17)/2)^9</f>
        <v>7468.64138726194</v>
      </c>
      <c r="G523" s="26" t="n">
        <f aca="false">F523*C523</f>
        <v>1472.36352823616</v>
      </c>
      <c r="H523" s="26" t="n">
        <f aca="false">E523*G523/(1+D523)^9</f>
        <v>6262.27188665086</v>
      </c>
      <c r="I523" s="26" t="n">
        <f aca="false">$B$13*G523/$B$12*((1+$B$8)/(1+D523))^4.5</f>
        <v>2192.80189721201</v>
      </c>
      <c r="J523" s="26" t="n">
        <f aca="false">H523+I523+$B$14</f>
        <v>10541.4726619451</v>
      </c>
      <c r="K523" s="44" t="n">
        <f aca="false">J523/$B$15</f>
        <v>16.7324962888017</v>
      </c>
    </row>
    <row r="524" customFormat="false" ht="15" hidden="false" customHeight="false" outlineLevel="0" collapsed="false">
      <c r="A524" s="52" t="n">
        <v>484</v>
      </c>
      <c r="B524" s="21" t="n">
        <f aca="true">NORMINV(RAND(),$B$6,$C$6)</f>
        <v>0.186207948261037</v>
      </c>
      <c r="C524" s="21" t="n">
        <f aca="true">MAX(0.03,NORMINV(RAND(),$B$7,$C$7))</f>
        <v>0.255115202077049</v>
      </c>
      <c r="D524" s="33" t="n">
        <f aca="true">MAX(0.08,NORMINV(RAND(),$B$8,$C$8))</f>
        <v>0.130756810233383</v>
      </c>
      <c r="E524" s="48" t="n">
        <f aca="true">MAX(4,NORMINV(RAND(),$B$9,$C$9))</f>
        <v>12.516788677259</v>
      </c>
      <c r="F524" s="26" t="n">
        <f aca="false">$B$18*(1+(B524+$B$17)/2)^9</f>
        <v>7567.91500320927</v>
      </c>
      <c r="G524" s="26" t="n">
        <f aca="false">F524*C524</f>
        <v>1930.69016534566</v>
      </c>
      <c r="H524" s="26" t="n">
        <f aca="false">E524*G524/(1+D524)^9</f>
        <v>7996.18062596816</v>
      </c>
      <c r="I524" s="26" t="n">
        <f aca="false">$B$13*G524/$B$12*((1+$B$8)/(1+D524))^4.5</f>
        <v>3002.12318428069</v>
      </c>
      <c r="J524" s="26" t="n">
        <f aca="false">H524+I524+$B$14</f>
        <v>13084.702688331</v>
      </c>
      <c r="K524" s="44" t="n">
        <f aca="false">J524/$B$15</f>
        <v>20.7693693465572</v>
      </c>
    </row>
    <row r="525" customFormat="false" ht="15" hidden="false" customHeight="false" outlineLevel="0" collapsed="false">
      <c r="A525" s="52" t="n">
        <v>485</v>
      </c>
      <c r="B525" s="21" t="n">
        <f aca="true">NORMINV(RAND(),$B$6,$C$6)</f>
        <v>0.165049008267794</v>
      </c>
      <c r="C525" s="21" t="n">
        <f aca="true">MAX(0.03,NORMINV(RAND(),$B$7,$C$7))</f>
        <v>0.19222293470538</v>
      </c>
      <c r="D525" s="33" t="n">
        <f aca="true">MAX(0.08,NORMINV(RAND(),$B$8,$C$8))</f>
        <v>0.139434123907233</v>
      </c>
      <c r="E525" s="48" t="n">
        <f aca="true">MAX(4,NORMINV(RAND(),$B$9,$C$9))</f>
        <v>11.3950047998221</v>
      </c>
      <c r="F525" s="26" t="n">
        <f aca="false">$B$18*(1+(B525+$B$17)/2)^9</f>
        <v>6947.30907238033</v>
      </c>
      <c r="G525" s="26" t="n">
        <f aca="false">F525*C525</f>
        <v>1335.43213819826</v>
      </c>
      <c r="H525" s="26" t="n">
        <f aca="false">E525*G525/(1+D525)^9</f>
        <v>4700.38402462228</v>
      </c>
      <c r="I525" s="26" t="n">
        <f aca="false">$B$13*G525/$B$12*((1+$B$8)/(1+D525))^4.5</f>
        <v>2006.30846118507</v>
      </c>
      <c r="J525" s="26" t="n">
        <f aca="false">H525+I525+$B$14</f>
        <v>8793.09136388954</v>
      </c>
      <c r="K525" s="44" t="n">
        <f aca="false">J525/$B$15</f>
        <v>13.9572878791897</v>
      </c>
    </row>
    <row r="526" customFormat="false" ht="15" hidden="false" customHeight="false" outlineLevel="0" collapsed="false">
      <c r="A526" s="52" t="n">
        <v>486</v>
      </c>
      <c r="B526" s="21" t="n">
        <f aca="true">NORMINV(RAND(),$B$6,$C$6)</f>
        <v>0.223467555388467</v>
      </c>
      <c r="C526" s="21" t="n">
        <f aca="true">MAX(0.03,NORMINV(RAND(),$B$7,$C$7))</f>
        <v>0.200202231996259</v>
      </c>
      <c r="D526" s="33" t="n">
        <f aca="true">MAX(0.08,NORMINV(RAND(),$B$8,$C$8))</f>
        <v>0.138366094007092</v>
      </c>
      <c r="E526" s="48" t="n">
        <f aca="true">MAX(4,NORMINV(RAND(),$B$9,$C$9))</f>
        <v>11.3738444531171</v>
      </c>
      <c r="F526" s="26" t="n">
        <f aca="false">$B$18*(1+(B526+$B$17)/2)^9</f>
        <v>8781.43339783067</v>
      </c>
      <c r="G526" s="26" t="n">
        <f aca="false">F526*C526</f>
        <v>1758.06256637219</v>
      </c>
      <c r="H526" s="26" t="n">
        <f aca="false">E526*G526/(1+D526)^9</f>
        <v>6228.79509401496</v>
      </c>
      <c r="I526" s="26" t="n">
        <f aca="false">$B$13*G526/$B$12*((1+$B$8)/(1+D526))^4.5</f>
        <v>2652.42383313099</v>
      </c>
      <c r="J526" s="26" t="n">
        <f aca="false">H526+I526+$B$14</f>
        <v>10967.6178052281</v>
      </c>
      <c r="K526" s="44" t="n">
        <f aca="false">J526/$B$15</f>
        <v>17.4089171511558</v>
      </c>
    </row>
    <row r="527" customFormat="false" ht="15" hidden="false" customHeight="false" outlineLevel="0" collapsed="false">
      <c r="A527" s="52" t="n">
        <v>487</v>
      </c>
      <c r="B527" s="21" t="n">
        <f aca="true">NORMINV(RAND(),$B$6,$C$6)</f>
        <v>0.198068518963561</v>
      </c>
      <c r="C527" s="21" t="n">
        <f aca="true">MAX(0.03,NORMINV(RAND(),$B$7,$C$7))</f>
        <v>0.188054738336631</v>
      </c>
      <c r="D527" s="33" t="n">
        <f aca="true">MAX(0.08,NORMINV(RAND(),$B$8,$C$8))</f>
        <v>0.128229401720982</v>
      </c>
      <c r="E527" s="48" t="n">
        <f aca="true">MAX(4,NORMINV(RAND(),$B$9,$C$9))</f>
        <v>10.21250278782</v>
      </c>
      <c r="F527" s="26" t="n">
        <f aca="false">$B$18*(1+(B527+$B$17)/2)^9</f>
        <v>7936.92836516015</v>
      </c>
      <c r="G527" s="26" t="n">
        <f aca="false">F527*C527</f>
        <v>1492.57698690678</v>
      </c>
      <c r="H527" s="26" t="n">
        <f aca="false">E527*G527/(1+D527)^9</f>
        <v>5146.26575818192</v>
      </c>
      <c r="I527" s="26" t="n">
        <f aca="false">$B$13*G527/$B$12*((1+$B$8)/(1+D527))^4.5</f>
        <v>2344.36786542993</v>
      </c>
      <c r="J527" s="26" t="n">
        <f aca="false">H527+I527+$B$14</f>
        <v>9577.03250169404</v>
      </c>
      <c r="K527" s="44" t="n">
        <f aca="false">J527/$B$15</f>
        <v>15.2016388915778</v>
      </c>
    </row>
    <row r="528" customFormat="false" ht="15" hidden="false" customHeight="false" outlineLevel="0" collapsed="false">
      <c r="A528" s="52" t="n">
        <v>488</v>
      </c>
      <c r="B528" s="21" t="n">
        <f aca="true">NORMINV(RAND(),$B$6,$C$6)</f>
        <v>0.142860594972276</v>
      </c>
      <c r="C528" s="21" t="n">
        <f aca="true">MAX(0.03,NORMINV(RAND(),$B$7,$C$7))</f>
        <v>0.207215319161991</v>
      </c>
      <c r="D528" s="33" t="n">
        <f aca="true">MAX(0.08,NORMINV(RAND(),$B$8,$C$8))</f>
        <v>0.132976464927341</v>
      </c>
      <c r="E528" s="48" t="n">
        <f aca="true">MAX(4,NORMINV(RAND(),$B$9,$C$9))</f>
        <v>15.5746272080676</v>
      </c>
      <c r="F528" s="26" t="n">
        <f aca="false">$B$18*(1+(B528+$B$17)/2)^9</f>
        <v>6345.49894444685</v>
      </c>
      <c r="G528" s="26" t="n">
        <f aca="false">F528*C528</f>
        <v>1314.88458901563</v>
      </c>
      <c r="H528" s="26" t="n">
        <f aca="false">E528*G528/(1+D528)^9</f>
        <v>6657.59388376401</v>
      </c>
      <c r="I528" s="26" t="n">
        <f aca="false">$B$13*G528/$B$12*((1+$B$8)/(1+D528))^4.5</f>
        <v>2026.6138932426</v>
      </c>
      <c r="J528" s="26" t="n">
        <f aca="false">H528+I528+$B$14</f>
        <v>10770.6066550888</v>
      </c>
      <c r="K528" s="44" t="n">
        <f aca="false">J528/$B$15</f>
        <v>17.0962010398235</v>
      </c>
    </row>
    <row r="529" customFormat="false" ht="15" hidden="false" customHeight="false" outlineLevel="0" collapsed="false">
      <c r="A529" s="52" t="n">
        <v>489</v>
      </c>
      <c r="B529" s="21" t="n">
        <f aca="true">NORMINV(RAND(),$B$6,$C$6)</f>
        <v>0.177714612555371</v>
      </c>
      <c r="C529" s="21" t="n">
        <f aca="true">MAX(0.03,NORMINV(RAND(),$B$7,$C$7))</f>
        <v>0.232571388746911</v>
      </c>
      <c r="D529" s="33" t="n">
        <f aca="true">MAX(0.08,NORMINV(RAND(),$B$8,$C$8))</f>
        <v>0.124473230706564</v>
      </c>
      <c r="E529" s="48" t="n">
        <f aca="true">MAX(4,NORMINV(RAND(),$B$9,$C$9))</f>
        <v>12.0105875109352</v>
      </c>
      <c r="F529" s="26" t="n">
        <f aca="false">$B$18*(1+(B529+$B$17)/2)^9</f>
        <v>7313.11742932542</v>
      </c>
      <c r="G529" s="26" t="n">
        <f aca="false">F529*C529</f>
        <v>1700.82187660745</v>
      </c>
      <c r="H529" s="26" t="n">
        <f aca="false">E529*G529/(1+D529)^9</f>
        <v>7106.91294658434</v>
      </c>
      <c r="I529" s="26" t="n">
        <f aca="false">$B$13*G529/$B$12*((1+$B$8)/(1+D529))^4.5</f>
        <v>2711.84689702804</v>
      </c>
      <c r="J529" s="26" t="n">
        <f aca="false">H529+I529+$B$14</f>
        <v>11905.1587216946</v>
      </c>
      <c r="K529" s="44" t="n">
        <f aca="false">J529/$B$15</f>
        <v>18.8970773360231</v>
      </c>
    </row>
    <row r="530" customFormat="false" ht="15" hidden="false" customHeight="false" outlineLevel="0" collapsed="false">
      <c r="A530" s="52" t="n">
        <v>490</v>
      </c>
      <c r="B530" s="21" t="n">
        <f aca="true">NORMINV(RAND(),$B$6,$C$6)</f>
        <v>0.122854691932909</v>
      </c>
      <c r="C530" s="21" t="n">
        <f aca="true">MAX(0.03,NORMINV(RAND(),$B$7,$C$7))</f>
        <v>0.177838856449411</v>
      </c>
      <c r="D530" s="33" t="n">
        <f aca="true">MAX(0.08,NORMINV(RAND(),$B$8,$C$8))</f>
        <v>0.131212933089348</v>
      </c>
      <c r="E530" s="48" t="n">
        <f aca="true">MAX(4,NORMINV(RAND(),$B$9,$C$9))</f>
        <v>10.6049780809479</v>
      </c>
      <c r="F530" s="26" t="n">
        <f aca="false">$B$18*(1+(B530+$B$17)/2)^9</f>
        <v>5843.09197216804</v>
      </c>
      <c r="G530" s="26" t="n">
        <f aca="false">F530*C530</f>
        <v>1039.1287944591</v>
      </c>
      <c r="H530" s="26" t="n">
        <f aca="false">E530*G530/(1+D530)^9</f>
        <v>3633.12130746116</v>
      </c>
      <c r="I530" s="26" t="n">
        <f aca="false">$B$13*G530/$B$12*((1+$B$8)/(1+D530))^4.5</f>
        <v>1612.86170312758</v>
      </c>
      <c r="J530" s="26" t="n">
        <f aca="false">H530+I530+$B$14</f>
        <v>7332.38188867094</v>
      </c>
      <c r="K530" s="44" t="n">
        <f aca="false">J530/$B$15</f>
        <v>11.6387014105888</v>
      </c>
    </row>
    <row r="531" customFormat="false" ht="15" hidden="false" customHeight="false" outlineLevel="0" collapsed="false">
      <c r="A531" s="52" t="n">
        <v>491</v>
      </c>
      <c r="B531" s="21" t="n">
        <f aca="true">NORMINV(RAND(),$B$6,$C$6)</f>
        <v>0.180198243288274</v>
      </c>
      <c r="C531" s="21" t="n">
        <f aca="true">MAX(0.03,NORMINV(RAND(),$B$7,$C$7))</f>
        <v>0.188912035676152</v>
      </c>
      <c r="D531" s="33" t="n">
        <f aca="true">MAX(0.08,NORMINV(RAND(),$B$8,$C$8))</f>
        <v>0.135605724594032</v>
      </c>
      <c r="E531" s="48" t="n">
        <f aca="true">MAX(4,NORMINV(RAND(),$B$9,$C$9))</f>
        <v>15.1986101135218</v>
      </c>
      <c r="F531" s="26" t="n">
        <f aca="false">$B$18*(1+(B531+$B$17)/2)^9</f>
        <v>7386.82464210256</v>
      </c>
      <c r="G531" s="26" t="n">
        <f aca="false">F531*C531</f>
        <v>1395.46008032236</v>
      </c>
      <c r="H531" s="26" t="n">
        <f aca="false">E531*G531/(1+D531)^9</f>
        <v>6752.63278894766</v>
      </c>
      <c r="I531" s="26" t="n">
        <f aca="false">$B$13*G531/$B$12*((1+$B$8)/(1+D531))^4.5</f>
        <v>2128.48560028416</v>
      </c>
      <c r="J531" s="26" t="n">
        <f aca="false">H531+I531+$B$14</f>
        <v>10967.517267314</v>
      </c>
      <c r="K531" s="44" t="n">
        <f aca="false">J531/$B$15</f>
        <v>17.4087575671651</v>
      </c>
    </row>
    <row r="532" customFormat="false" ht="15" hidden="false" customHeight="false" outlineLevel="0" collapsed="false">
      <c r="A532" s="52" t="n">
        <v>492</v>
      </c>
      <c r="B532" s="21" t="n">
        <f aca="true">NORMINV(RAND(),$B$6,$C$6)</f>
        <v>0.205406094067085</v>
      </c>
      <c r="C532" s="21" t="n">
        <f aca="true">MAX(0.03,NORMINV(RAND(),$B$7,$C$7))</f>
        <v>0.210559263674168</v>
      </c>
      <c r="D532" s="33" t="n">
        <f aca="true">MAX(0.08,NORMINV(RAND(),$B$8,$C$8))</f>
        <v>0.13944963844086</v>
      </c>
      <c r="E532" s="48" t="n">
        <f aca="true">MAX(4,NORMINV(RAND(),$B$9,$C$9))</f>
        <v>12.7815495203359</v>
      </c>
      <c r="F532" s="26" t="n">
        <f aca="false">$B$18*(1+(B532+$B$17)/2)^9</f>
        <v>8173.14701335835</v>
      </c>
      <c r="G532" s="26" t="n">
        <f aca="false">F532*C532</f>
        <v>1720.93181703346</v>
      </c>
      <c r="H532" s="26" t="n">
        <f aca="false">E532*G532/(1+D532)^9</f>
        <v>6793.45896759924</v>
      </c>
      <c r="I532" s="26" t="n">
        <f aca="false">$B$13*G532/$B$12*((1+$B$8)/(1+D532))^4.5</f>
        <v>2585.31184008451</v>
      </c>
      <c r="J532" s="26" t="n">
        <f aca="false">H532+I532+$B$14</f>
        <v>11465.1696857659</v>
      </c>
      <c r="K532" s="44" t="n">
        <f aca="false">J532/$B$15</f>
        <v>18.1986820408983</v>
      </c>
    </row>
    <row r="533" customFormat="false" ht="15" hidden="false" customHeight="false" outlineLevel="0" collapsed="false">
      <c r="A533" s="52" t="n">
        <v>493</v>
      </c>
      <c r="B533" s="21" t="n">
        <f aca="true">NORMINV(RAND(),$B$6,$C$6)</f>
        <v>0.16962520986184</v>
      </c>
      <c r="C533" s="21" t="n">
        <f aca="true">MAX(0.03,NORMINV(RAND(),$B$7,$C$7))</f>
        <v>0.191265950493252</v>
      </c>
      <c r="D533" s="33" t="n">
        <f aca="true">MAX(0.08,NORMINV(RAND(),$B$8,$C$8))</f>
        <v>0.139610372684566</v>
      </c>
      <c r="E533" s="48" t="n">
        <f aca="true">MAX(4,NORMINV(RAND(),$B$9,$C$9))</f>
        <v>17.4160242222435</v>
      </c>
      <c r="F533" s="26" t="n">
        <f aca="false">$B$18*(1+(B533+$B$17)/2)^9</f>
        <v>7077.55745569043</v>
      </c>
      <c r="G533" s="26" t="n">
        <f aca="false">F533*C533</f>
        <v>1353.69575393323</v>
      </c>
      <c r="H533" s="26" t="n">
        <f aca="false">E533*G533/(1+D533)^9</f>
        <v>7272.14525722842</v>
      </c>
      <c r="I533" s="26" t="n">
        <f aca="false">$B$13*G533/$B$12*((1+$B$8)/(1+D533))^4.5</f>
        <v>2032.33208806361</v>
      </c>
      <c r="J533" s="26" t="n">
        <f aca="false">H533+I533+$B$14</f>
        <v>11390.8762233742</v>
      </c>
      <c r="K533" s="44" t="n">
        <f aca="false">J533/$B$15</f>
        <v>18.0807559101178</v>
      </c>
    </row>
    <row r="534" customFormat="false" ht="15" hidden="false" customHeight="false" outlineLevel="0" collapsed="false">
      <c r="A534" s="52" t="n">
        <v>494</v>
      </c>
      <c r="B534" s="21" t="n">
        <f aca="true">NORMINV(RAND(),$B$6,$C$6)</f>
        <v>0.240112179191785</v>
      </c>
      <c r="C534" s="21" t="n">
        <f aca="true">MAX(0.03,NORMINV(RAND(),$B$7,$C$7))</f>
        <v>0.212531739621088</v>
      </c>
      <c r="D534" s="33" t="n">
        <f aca="true">MAX(0.08,NORMINV(RAND(),$B$8,$C$8))</f>
        <v>0.142683041614026</v>
      </c>
      <c r="E534" s="48" t="n">
        <f aca="true">MAX(4,NORMINV(RAND(),$B$9,$C$9))</f>
        <v>9.95587302149486</v>
      </c>
      <c r="F534" s="26" t="n">
        <f aca="false">$B$18*(1+(B534+$B$17)/2)^9</f>
        <v>9377.29054728899</v>
      </c>
      <c r="G534" s="26" t="n">
        <f aca="false">F534*C534</f>
        <v>1992.97187294771</v>
      </c>
      <c r="H534" s="26" t="n">
        <f aca="false">E534*G534/(1+D534)^9</f>
        <v>5973.76974845363</v>
      </c>
      <c r="I534" s="26" t="n">
        <f aca="false">$B$13*G534/$B$12*((1+$B$8)/(1+D534))^4.5</f>
        <v>2956.05512258568</v>
      </c>
      <c r="J534" s="26" t="n">
        <f aca="false">H534+I534+$B$14</f>
        <v>11016.2237491215</v>
      </c>
      <c r="K534" s="44" t="n">
        <f aca="false">J534/$B$15</f>
        <v>17.48606944305</v>
      </c>
    </row>
    <row r="535" customFormat="false" ht="15" hidden="false" customHeight="false" outlineLevel="0" collapsed="false">
      <c r="A535" s="52" t="n">
        <v>495</v>
      </c>
      <c r="B535" s="21" t="n">
        <f aca="true">NORMINV(RAND(),$B$6,$C$6)</f>
        <v>0.17282926802607</v>
      </c>
      <c r="C535" s="21" t="n">
        <f aca="true">MAX(0.03,NORMINV(RAND(),$B$7,$C$7))</f>
        <v>0.198894478427844</v>
      </c>
      <c r="D535" s="33" t="n">
        <f aca="true">MAX(0.08,NORMINV(RAND(),$B$8,$C$8))</f>
        <v>0.141252553753115</v>
      </c>
      <c r="E535" s="48" t="n">
        <f aca="true">MAX(4,NORMINV(RAND(),$B$9,$C$9))</f>
        <v>11.0894681589529</v>
      </c>
      <c r="F535" s="26" t="n">
        <f aca="false">$B$18*(1+(B535+$B$17)/2)^9</f>
        <v>7170.03909063573</v>
      </c>
      <c r="G535" s="26" t="n">
        <f aca="false">F535*C535</f>
        <v>1426.08118523925</v>
      </c>
      <c r="H535" s="26" t="n">
        <f aca="false">E535*G535/(1+D535)^9</f>
        <v>4815.25296372726</v>
      </c>
      <c r="I535" s="26" t="n">
        <f aca="false">$B$13*G535/$B$12*((1+$B$8)/(1+D535))^4.5</f>
        <v>2127.17733945928</v>
      </c>
      <c r="J535" s="26" t="n">
        <f aca="false">H535+I535+$B$14</f>
        <v>9028.82918126873</v>
      </c>
      <c r="K535" s="44" t="n">
        <f aca="false">J535/$B$15</f>
        <v>14.3314748909027</v>
      </c>
    </row>
    <row r="536" customFormat="false" ht="15" hidden="false" customHeight="false" outlineLevel="0" collapsed="false">
      <c r="A536" s="52" t="n">
        <v>496</v>
      </c>
      <c r="B536" s="21" t="n">
        <f aca="true">NORMINV(RAND(),$B$6,$C$6)</f>
        <v>0.241568622702809</v>
      </c>
      <c r="C536" s="21" t="n">
        <f aca="true">MAX(0.03,NORMINV(RAND(),$B$7,$C$7))</f>
        <v>0.194412493902609</v>
      </c>
      <c r="D536" s="33" t="n">
        <f aca="true">MAX(0.08,NORMINV(RAND(),$B$8,$C$8))</f>
        <v>0.148646361834952</v>
      </c>
      <c r="E536" s="48" t="n">
        <f aca="true">MAX(4,NORMINV(RAND(),$B$9,$C$9))</f>
        <v>11.1165722563936</v>
      </c>
      <c r="F536" s="26" t="n">
        <f aca="false">$B$18*(1+(B536+$B$17)/2)^9</f>
        <v>9431.10039935853</v>
      </c>
      <c r="G536" s="26" t="n">
        <f aca="false">F536*C536</f>
        <v>1833.52374888519</v>
      </c>
      <c r="H536" s="26" t="n">
        <f aca="false">E536*G536/(1+D536)^9</f>
        <v>5855.72081497942</v>
      </c>
      <c r="I536" s="26" t="n">
        <f aca="false">$B$13*G536/$B$12*((1+$B$8)/(1+D536))^4.5</f>
        <v>2656.59518885052</v>
      </c>
      <c r="J536" s="26" t="n">
        <f aca="false">H536+I536+$B$14</f>
        <v>10598.7148819121</v>
      </c>
      <c r="K536" s="44" t="n">
        <f aca="false">J536/$B$15</f>
        <v>16.8233569554161</v>
      </c>
    </row>
    <row r="537" customFormat="false" ht="15" hidden="false" customHeight="false" outlineLevel="0" collapsed="false">
      <c r="A537" s="52" t="n">
        <v>497</v>
      </c>
      <c r="B537" s="21" t="n">
        <f aca="true">NORMINV(RAND(),$B$6,$C$6)</f>
        <v>0.209629844025597</v>
      </c>
      <c r="C537" s="21" t="n">
        <f aca="true">MAX(0.03,NORMINV(RAND(),$B$7,$C$7))</f>
        <v>0.135628679900658</v>
      </c>
      <c r="D537" s="33" t="n">
        <f aca="true">MAX(0.08,NORMINV(RAND(),$B$8,$C$8))</f>
        <v>0.156862945765283</v>
      </c>
      <c r="E537" s="48" t="n">
        <f aca="true">MAX(4,NORMINV(RAND(),$B$9,$C$9))</f>
        <v>14.854823618146</v>
      </c>
      <c r="F537" s="26" t="n">
        <f aca="false">$B$18*(1+(B537+$B$17)/2)^9</f>
        <v>8311.93777168397</v>
      </c>
      <c r="G537" s="26" t="n">
        <f aca="false">F537*C537</f>
        <v>1127.33714738992</v>
      </c>
      <c r="H537" s="26" t="n">
        <f aca="false">E537*G537/(1+D537)^9</f>
        <v>4512.15613767599</v>
      </c>
      <c r="I537" s="26" t="n">
        <f aca="false">$B$13*G537/$B$12*((1+$B$8)/(1+D537))^4.5</f>
        <v>1581.84015991028</v>
      </c>
      <c r="J537" s="26" t="n">
        <f aca="false">H537+I537+$B$14</f>
        <v>8180.39517566846</v>
      </c>
      <c r="K537" s="44" t="n">
        <f aca="false">J537/$B$15</f>
        <v>12.9847542470928</v>
      </c>
    </row>
    <row r="538" customFormat="false" ht="15" hidden="false" customHeight="false" outlineLevel="0" collapsed="false">
      <c r="A538" s="52" t="n">
        <v>498</v>
      </c>
      <c r="B538" s="21" t="n">
        <f aca="true">NORMINV(RAND(),$B$6,$C$6)</f>
        <v>0.218982509799436</v>
      </c>
      <c r="C538" s="21" t="n">
        <f aca="true">MAX(0.03,NORMINV(RAND(),$B$7,$C$7))</f>
        <v>0.15253067043897</v>
      </c>
      <c r="D538" s="33" t="n">
        <f aca="true">MAX(0.08,NORMINV(RAND(),$B$8,$C$8))</f>
        <v>0.13373550644533</v>
      </c>
      <c r="E538" s="48" t="n">
        <f aca="true">MAX(4,NORMINV(RAND(),$B$9,$C$9))</f>
        <v>13.0241229072325</v>
      </c>
      <c r="F538" s="26" t="n">
        <f aca="false">$B$18*(1+(B538+$B$17)/2)^9</f>
        <v>8626.74376197419</v>
      </c>
      <c r="G538" s="26" t="n">
        <f aca="false">F538*C538</f>
        <v>1315.84300971913</v>
      </c>
      <c r="H538" s="26" t="n">
        <f aca="false">E538*G538/(1+D538)^9</f>
        <v>5537.92194794815</v>
      </c>
      <c r="I538" s="26" t="n">
        <f aca="false">$B$13*G538/$B$12*((1+$B$8)/(1+D538))^4.5</f>
        <v>2021.9880725549</v>
      </c>
      <c r="J538" s="26" t="n">
        <f aca="false">H538+I538+$B$14</f>
        <v>9646.30889858524</v>
      </c>
      <c r="K538" s="44" t="n">
        <f aca="false">J538/$B$15</f>
        <v>15.3116014263258</v>
      </c>
    </row>
    <row r="539" customFormat="false" ht="15" hidden="false" customHeight="false" outlineLevel="0" collapsed="false">
      <c r="A539" s="52" t="n">
        <v>499</v>
      </c>
      <c r="B539" s="21" t="n">
        <f aca="true">NORMINV(RAND(),$B$6,$C$6)</f>
        <v>0.204065679447187</v>
      </c>
      <c r="C539" s="21" t="n">
        <f aca="true">MAX(0.03,NORMINV(RAND(),$B$7,$C$7))</f>
        <v>0.229193466488273</v>
      </c>
      <c r="D539" s="33" t="n">
        <f aca="true">MAX(0.08,NORMINV(RAND(),$B$8,$C$8))</f>
        <v>0.132018870126008</v>
      </c>
      <c r="E539" s="48" t="n">
        <f aca="true">MAX(4,NORMINV(RAND(),$B$9,$C$9))</f>
        <v>15.1175140099467</v>
      </c>
      <c r="F539" s="26" t="n">
        <f aca="false">$B$18*(1+(B539+$B$17)/2)^9</f>
        <v>8129.53420973199</v>
      </c>
      <c r="G539" s="26" t="n">
        <f aca="false">F539*C539</f>
        <v>1863.23612646348</v>
      </c>
      <c r="H539" s="26" t="n">
        <f aca="false">E539*G539/(1+D539)^9</f>
        <v>9227.10109059634</v>
      </c>
      <c r="I539" s="26" t="n">
        <f aca="false">$B$13*G539/$B$12*((1+$B$8)/(1+D539))^4.5</f>
        <v>2882.72872654541</v>
      </c>
      <c r="J539" s="26" t="n">
        <f aca="false">H539+I539+$B$14</f>
        <v>14196.2286952239</v>
      </c>
      <c r="K539" s="44" t="n">
        <f aca="false">J539/$B$15</f>
        <v>22.5336963416253</v>
      </c>
    </row>
    <row r="540" customFormat="false" ht="15" hidden="false" customHeight="false" outlineLevel="0" collapsed="false">
      <c r="A540" s="52" t="n">
        <v>500</v>
      </c>
      <c r="B540" s="21" t="n">
        <f aca="true">NORMINV(RAND(),$B$6,$C$6)</f>
        <v>0.135497898609255</v>
      </c>
      <c r="C540" s="21" t="n">
        <f aca="true">MAX(0.03,NORMINV(RAND(),$B$7,$C$7))</f>
        <v>0.209517464123533</v>
      </c>
      <c r="D540" s="33" t="n">
        <f aca="true">MAX(0.08,NORMINV(RAND(),$B$8,$C$8))</f>
        <v>0.153796441989494</v>
      </c>
      <c r="E540" s="48" t="n">
        <f aca="true">MAX(4,NORMINV(RAND(),$B$9,$C$9))</f>
        <v>12.4144550786396</v>
      </c>
      <c r="F540" s="26" t="n">
        <f aca="false">$B$18*(1+(B540+$B$17)/2)^9</f>
        <v>6156.30466254795</v>
      </c>
      <c r="G540" s="26" t="n">
        <f aca="false">F540*C540</f>
        <v>1289.85334126893</v>
      </c>
      <c r="H540" s="26" t="n">
        <f aca="false">E540*G540/(1+D540)^9</f>
        <v>4418.8090622873</v>
      </c>
      <c r="I540" s="26" t="n">
        <f aca="false">$B$13*G540/$B$12*((1+$B$8)/(1+D540))^4.5</f>
        <v>1831.6240280882</v>
      </c>
      <c r="J540" s="26" t="n">
        <f aca="false">H540+I540+$B$14</f>
        <v>8336.83196845769</v>
      </c>
      <c r="K540" s="44" t="n">
        <f aca="false">J540/$B$15</f>
        <v>13.2330666165995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453</v>
      </c>
    </row>
    <row r="2" customFormat="false" ht="15" hidden="false" customHeight="false" outlineLevel="0" collapsed="false">
      <c r="A2" s="10" t="str">
        <f aca="false">CONCATENATE("Current price: $",TEXT(Assumptions!B43,"0.00"),"   ·   Scenario: ",CHOOSE(Assumptions!B4,"BASE","BULL","BEAR"),"   ·   Probability-weighted value: $",TEXT(Monte_Carlo!C35,"0.00"))</f>
        <v>Current price: $42.51   ·   Scenario: BASE   ·   Probability-weighted value: $18.79</v>
      </c>
    </row>
    <row r="4" customFormat="false" ht="15" hidden="false" customHeight="false" outlineLevel="0" collapsed="false">
      <c r="A4" s="11" t="s">
        <v>454</v>
      </c>
      <c r="B4" s="11" t="s">
        <v>337</v>
      </c>
      <c r="C4" s="11" t="s">
        <v>338</v>
      </c>
      <c r="D4" s="11" t="s">
        <v>455</v>
      </c>
      <c r="E4" s="11" t="s">
        <v>456</v>
      </c>
      <c r="F4" s="11" t="s">
        <v>457</v>
      </c>
    </row>
    <row r="5" customFormat="false" ht="15" hidden="false" customHeight="false" outlineLevel="0" collapsed="false">
      <c r="A5" s="3" t="s">
        <v>458</v>
      </c>
      <c r="B5" s="53" t="n">
        <v>38.19</v>
      </c>
      <c r="C5" s="53" t="n">
        <v>87.88</v>
      </c>
      <c r="D5" s="54" t="n">
        <f aca="false">B5</f>
        <v>38.19</v>
      </c>
      <c r="E5" s="54" t="n">
        <f aca="false">C5-B5</f>
        <v>49.69</v>
      </c>
      <c r="F5" s="40" t="n">
        <f aca="false">(B5+C5)/2</f>
        <v>63.035</v>
      </c>
    </row>
    <row r="6" customFormat="false" ht="15" hidden="false" customHeight="false" outlineLevel="0" collapsed="false">
      <c r="A6" s="3" t="s">
        <v>459</v>
      </c>
      <c r="B6" s="53" t="n">
        <v>44</v>
      </c>
      <c r="C6" s="53" t="n">
        <v>84</v>
      </c>
      <c r="D6" s="54" t="n">
        <f aca="false">B6</f>
        <v>44</v>
      </c>
      <c r="E6" s="54" t="n">
        <f aca="false">C6-B6</f>
        <v>40</v>
      </c>
      <c r="F6" s="40" t="n">
        <f aca="false">(B6+C6)/2</f>
        <v>64</v>
      </c>
    </row>
    <row r="7" customFormat="false" ht="15" hidden="false" customHeight="false" outlineLevel="0" collapsed="false">
      <c r="A7" s="3" t="s">
        <v>460</v>
      </c>
      <c r="B7" s="51" t="n">
        <f aca="false">(SUMPRODUCT(DCF!$B$10:$J$10,(1+(WACC!$B$20+0.01))^-DCF!$B$11:$J$11)+DCF!$J$10*(1+0.025)/((WACC!$B$20+0.01)-0.025)/(1+(WACC!$B$20+0.01))^9+DCF!$B$31)/DCF!$B$32</f>
        <v>10.6732320883948</v>
      </c>
      <c r="C7" s="51" t="n">
        <f aca="false">(SUMPRODUCT(DCF!$B$10:$J$10,(1+(WACC!$B$20-0.01))^-DCF!$B$11:$J$11)+DCF!$J$10*(1+0.035)/((WACC!$B$20-0.01)-0.035)/(1+(WACC!$B$20-0.01))^9+DCF!$B$31)/DCF!$B$32</f>
        <v>13.027297676393</v>
      </c>
      <c r="D7" s="54" t="n">
        <f aca="false">B7</f>
        <v>10.6732320883948</v>
      </c>
      <c r="E7" s="54" t="n">
        <f aca="false">C7-B7</f>
        <v>2.35406558799813</v>
      </c>
      <c r="F7" s="40" t="n">
        <f aca="false">(B7+C7)/2</f>
        <v>11.8502648823939</v>
      </c>
    </row>
    <row r="8" customFormat="false" ht="15" hidden="false" customHeight="false" outlineLevel="0" collapsed="false">
      <c r="A8" s="3" t="s">
        <v>461</v>
      </c>
      <c r="B8" s="51" t="n">
        <f aca="false">(SUMPRODUCT(DCF!$B$10:$J$10,(1+(WACC!$B$20+0.01))^-DCF!$B$11:$J$11)+10*Model_3S!$L$23/(1+(WACC!$B$20+0.01))^9+DCF!$B$31)/DCF!$B$32</f>
        <v>15.0851232944005</v>
      </c>
      <c r="C8" s="51" t="n">
        <f aca="false">(SUMPRODUCT(DCF!$B$10:$J$10,(1+(WACC!$B$20-0.01))^-DCF!$B$11:$J$11)+14*Model_3S!$L$23/(1+(WACC!$B$20-0.01))^9+DCF!$B$31)/DCF!$B$32</f>
        <v>20.4692319816068</v>
      </c>
      <c r="D8" s="54" t="n">
        <f aca="false">B8</f>
        <v>15.0851232944005</v>
      </c>
      <c r="E8" s="54" t="n">
        <f aca="false">C8-B8</f>
        <v>5.38410868720628</v>
      </c>
      <c r="F8" s="40" t="n">
        <f aca="false">(B8+C8)/2</f>
        <v>17.7771776380036</v>
      </c>
    </row>
    <row r="9" customFormat="false" ht="15" hidden="false" customHeight="false" outlineLevel="0" collapsed="false">
      <c r="A9" s="3" t="s">
        <v>462</v>
      </c>
      <c r="B9" s="51" t="n">
        <f aca="false">Comps!G21</f>
        <v>17.3866648858448</v>
      </c>
      <c r="C9" s="51" t="n">
        <f aca="false">Comps!H21</f>
        <v>31.9014267906067</v>
      </c>
      <c r="D9" s="54" t="n">
        <f aca="false">B9</f>
        <v>17.3866648858448</v>
      </c>
      <c r="E9" s="54" t="n">
        <f aca="false">C9-B9</f>
        <v>14.5147619047619</v>
      </c>
      <c r="F9" s="40" t="n">
        <f aca="false">(B9+C9)/2</f>
        <v>24.6440458382257</v>
      </c>
    </row>
    <row r="10" customFormat="false" ht="15" hidden="false" customHeight="false" outlineLevel="0" collapsed="false">
      <c r="A10" s="3" t="s">
        <v>463</v>
      </c>
      <c r="B10" s="51" t="n">
        <f aca="false">Comps!G22</f>
        <v>13.1817823461622</v>
      </c>
      <c r="C10" s="51" t="n">
        <f aca="false">Comps!H22</f>
        <v>21.7358153620352</v>
      </c>
      <c r="D10" s="54" t="n">
        <f aca="false">B10</f>
        <v>13.1817823461622</v>
      </c>
      <c r="E10" s="54" t="n">
        <f aca="false">C10-B10</f>
        <v>8.55403301587301</v>
      </c>
      <c r="F10" s="40" t="n">
        <f aca="false">(B10+C10)/2</f>
        <v>17.4587988540987</v>
      </c>
    </row>
    <row r="11" customFormat="false" ht="15" hidden="false" customHeight="false" outlineLevel="0" collapsed="false">
      <c r="A11" s="3" t="s">
        <v>464</v>
      </c>
      <c r="B11" s="51" t="n">
        <f aca="false">Precedents!B18</f>
        <v>12.1085696477495</v>
      </c>
      <c r="C11" s="51" t="n">
        <f aca="false">Precedents!C18</f>
        <v>29.7022204414003</v>
      </c>
      <c r="D11" s="54" t="n">
        <f aca="false">B11</f>
        <v>12.1085696477495</v>
      </c>
      <c r="E11" s="54" t="n">
        <f aca="false">C11-B11</f>
        <v>17.5936507936508</v>
      </c>
      <c r="F11" s="40" t="n">
        <f aca="false">(B11+C11)/2</f>
        <v>20.9053950445749</v>
      </c>
    </row>
    <row r="12" customFormat="false" ht="15" hidden="false" customHeight="false" outlineLevel="0" collapsed="false">
      <c r="A12" s="3" t="s">
        <v>465</v>
      </c>
      <c r="B12" s="51" t="n">
        <f aca="false">LBO!D52</f>
        <v>11.4593631626549</v>
      </c>
      <c r="C12" s="51" t="n">
        <f aca="false">LBO!D50</f>
        <v>14.5295652308123</v>
      </c>
      <c r="D12" s="54" t="n">
        <f aca="false">B12</f>
        <v>11.4593631626549</v>
      </c>
      <c r="E12" s="54" t="n">
        <f aca="false">C12-B12</f>
        <v>3.07020206815744</v>
      </c>
      <c r="F12" s="40" t="n">
        <f aca="false">(B12+C12)/2</f>
        <v>12.9944641967336</v>
      </c>
    </row>
    <row r="13" customFormat="false" ht="15" hidden="false" customHeight="false" outlineLevel="0" collapsed="false">
      <c r="A13" s="3" t="s">
        <v>466</v>
      </c>
      <c r="B13" s="51" t="n">
        <f aca="false">Monte_Carlo!B25</f>
        <v>15.0388626353787</v>
      </c>
      <c r="C13" s="51" t="n">
        <f aca="false">Monte_Carlo!B26</f>
        <v>20.0011492293119</v>
      </c>
      <c r="D13" s="54" t="n">
        <f aca="false">B13</f>
        <v>15.0388626353787</v>
      </c>
      <c r="E13" s="54" t="n">
        <f aca="false">C13-B13</f>
        <v>4.96228659393318</v>
      </c>
      <c r="F13" s="40" t="n">
        <f aca="false">(B13+C13)/2</f>
        <v>17.5200059323453</v>
      </c>
    </row>
    <row r="14" customFormat="false" ht="15" hidden="false" customHeight="false" outlineLevel="0" collapsed="false">
      <c r="A14" s="3" t="s">
        <v>467</v>
      </c>
      <c r="B14" s="51" t="n">
        <f aca="false">Assumptions!B43-0.4</f>
        <v>42.11</v>
      </c>
      <c r="C14" s="51" t="n">
        <f aca="false">Assumptions!B43+0.4</f>
        <v>42.91</v>
      </c>
      <c r="D14" s="54" t="n">
        <f aca="false">B14</f>
        <v>42.11</v>
      </c>
      <c r="E14" s="54" t="n">
        <f aca="false">C14-B14</f>
        <v>0.799999999999997</v>
      </c>
      <c r="F14" s="40" t="n">
        <f aca="false">(B14+C14)/2</f>
        <v>42.51</v>
      </c>
    </row>
    <row r="16" customFormat="false" ht="15" hidden="false" customHeight="false" outlineLevel="0" collapsed="false">
      <c r="A16" s="14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2026-07-20T05:53:26Z</dcterms:created>
  <dc:creator>openpyxl</dc:creator>
  <dc:description/>
  <dc:language>en-US</dc:language>
  <cp:lastModifiedBy/>
  <dcterms:modified xsi:type="dcterms:W3CDTF">2026-07-20T06:15:04Z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