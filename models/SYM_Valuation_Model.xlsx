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Historicals" sheetId="3" state="visible" r:id="rId5"/>
    <sheet name="Model_3S" sheetId="4" state="visible" r:id="rId6"/>
    <sheet name="WACC" sheetId="5" state="visible" r:id="rId7"/>
    <sheet name="DCF" sheetId="6" state="visible" r:id="rId8"/>
    <sheet name="Implied_Expectations" sheetId="7" state="visible" r:id="rId9"/>
    <sheet name="Comps" sheetId="8" state="visible" r:id="rId10"/>
    <sheet name="Precedents" sheetId="9" state="visible" r:id="rId11"/>
    <sheet name="LBO" sheetId="10" state="visible" r:id="rId12"/>
    <sheet name="Monte_Carlo" sheetId="11" state="visible" r:id="rId13"/>
    <sheet name="Football_Fiel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<sst xmlns="http://schemas.openxmlformats.org/spreadsheetml/2006/main" count="563" uniqueCount="503">
  <si>
    <t xml:space="preserve">SYMBOTIC INC. (NASDAQ: SYM) — DCF VALUATION &amp; 3-STATEMENT OPERATING MODEL</t>
  </si>
  <si>
    <t xml:space="preserve">Prepared July 20, 2026 · All figures in $ millions except per-share data · Fiscal year ends late September</t>
  </si>
  <si>
    <t xml:space="preserve">CONTENTS</t>
  </si>
  <si>
    <t xml:space="preserve">Assumptions</t>
  </si>
  <si>
    <t xml:space="preserve">All scenario levers, WACC &amp; valuation inputs (edit yellow cells only)</t>
  </si>
  <si>
    <t xml:space="preserve">Historicals</t>
  </si>
  <si>
    <t xml:space="preserve">FY2022–FY2025 actuals and FY2026 quarterly build with sources</t>
  </si>
  <si>
    <t xml:space="preserve">Model_3S</t>
  </si>
  <si>
    <t xml:space="preserve">Linked 3-statement model FY2026E–FY2035E: IS, BS, CF, working capital, capex, debt schedule</t>
  </si>
  <si>
    <t xml:space="preserve">WACC</t>
  </si>
  <si>
    <t xml:space="preserve">Cost of capital build-up from current market data</t>
  </si>
  <si>
    <t xml:space="preserve">DCF</t>
  </si>
  <si>
    <t xml:space="preserve">Unlevered FCF, terminal value (Gordon growth &amp; exit multiple), sensitivity tables</t>
  </si>
  <si>
    <t xml:space="preserve">Comps</t>
  </si>
  <si>
    <t xml:space="preserve">Trading comparables — warehouse automation &amp; industrial automation peers</t>
  </si>
  <si>
    <t xml:space="preserve">Precedents</t>
  </si>
  <si>
    <t xml:space="preserve">Precedent M&amp;A transactions in warehouse automation / robotics</t>
  </si>
  <si>
    <t xml:space="preserve">LBO</t>
  </si>
  <si>
    <t xml:space="preserve">Leveraged buyout analysis; implied max entry price at 15/20/25/30% IRR thresholds</t>
  </si>
  <si>
    <t xml:space="preserve">Monte_Carlo</t>
  </si>
  <si>
    <t xml:space="preserve">Live 500-trial simulation + scenario probability-weighted value</t>
  </si>
  <si>
    <t xml:space="preserve">Football_Field</t>
  </si>
  <si>
    <t xml:space="preserve">Valuation summary chart across all methodologies</t>
  </si>
  <si>
    <t xml:space="preserve">LEGEND</t>
  </si>
  <si>
    <t xml:space="preserve">Blue font / yellow fill</t>
  </si>
  <si>
    <t xml:space="preserve">Hardcoded input or scenario lever — edit these</t>
  </si>
  <si>
    <t xml:space="preserve">Black font</t>
  </si>
  <si>
    <t xml:space="preserve">Formula — do not overwrite</t>
  </si>
  <si>
    <t xml:space="preserve">Green font</t>
  </si>
  <si>
    <t xml:space="preserve">Link to another sheet</t>
  </si>
  <si>
    <t xml:space="preserve">'e' suffix in a label or note</t>
  </si>
  <si>
    <t xml:space="preserve">Estimated figure (not directly disclosed); see cell notes/sources</t>
  </si>
  <si>
    <t xml:space="preserve">HOW TO USE</t>
  </si>
  <si>
    <t xml:space="preserve">1.</t>
  </si>
  <si>
    <t xml:space="preserve">Set the scenario switch on Assumptions!B4 (1=Base, 2=Bull, 3=Bear). The entire model, DCF and LBO re-derive.</t>
  </si>
  <si>
    <t xml:space="preserve">2.</t>
  </si>
  <si>
    <t xml:space="preserve">Edit growth/margin targets, WACC inputs, terminal assumptions — all yellow cells.</t>
  </si>
  <si>
    <t xml:space="preserve">3.</t>
  </si>
  <si>
    <t xml:space="preserve">Monte Carlo trials use RAND() and refresh on every recalculation (F9).</t>
  </si>
  <si>
    <t xml:space="preserve">KEY SOURCES</t>
  </si>
  <si>
    <t xml:space="preserve">Q2 FY2026 results (8-K ex.99.1, May 6, 2026)</t>
  </si>
  <si>
    <t xml:space="preserve">https://www.sec.gov/Archives/edgar/data/0001837240/000183724026000023/q2268-k_ex991.htm</t>
  </si>
  <si>
    <t xml:space="preserve">Q1 FY2026 results (8-K ex.99.1, Feb 4, 2026)</t>
  </si>
  <si>
    <t xml:space="preserve">https://www.sec.gov/Archives/edgar/data/1837240/000183724026000008/q1268-k_ex991.htm</t>
  </si>
  <si>
    <t xml:space="preserve">FY2025 10-K (filed Nov 2025)</t>
  </si>
  <si>
    <t xml:space="preserve">https://www.sec.gov/Archives/edgar/data/1837240/000183724025000278/sym-20250927.htm</t>
  </si>
  <si>
    <t xml:space="preserve">FY2025 Q4/FY results press release</t>
  </si>
  <si>
    <t xml:space="preserve">https://ir.symbotic.com/news-releases/news-release-details/symbotic-reports-fourth-quarter-and-fiscal-year-2025-results</t>
  </si>
  <si>
    <t xml:space="preserve">User-provided source document</t>
  </si>
  <si>
    <t xml:space="preserve">https://ir.symbotic.com/node/11021/html (Q2 FY2026 filing; site blocks automated access — figures cross-sourced from SEC mirrors above)</t>
  </si>
  <si>
    <t xml:space="preserve">Market data (price, beta, 10Y UST, peer multiples)</t>
  </si>
  <si>
    <t xml:space="preserve">stockanalysis.com, tradingeconomics.com/FRED, multiples.vc, marketbeat/tipranks consensus — as of July 17-20, 2026</t>
  </si>
  <si>
    <t xml:space="preserve">DISCLAIMER</t>
  </si>
  <si>
    <t xml:space="preserve">Educational model, not investment advice. Estimated cells are best-effort reconstructions where line-item detail was not retrievable; verify against filings before relying on any output.</t>
  </si>
  <si>
    <t xml:space="preserve">ASSUMPTIONS &amp; SCENARIO LEVERS</t>
  </si>
  <si>
    <t xml:space="preserve">Edit yellow cells. Scenario switch drives Model_3S, DCF, LBO and Monte Carlo.</t>
  </si>
  <si>
    <t xml:space="preserve">SCENARIO SWITCH  (1 = Base, 2 = Bull, 3 = Bear)</t>
  </si>
  <si>
    <t xml:space="preserve">Scenario probability weights (used for weighted value &amp; Monte Carlo)</t>
  </si>
  <si>
    <t xml:space="preserve">Base</t>
  </si>
  <si>
    <t xml:space="preserve">Bull</t>
  </si>
  <si>
    <t xml:space="preserve">Bear</t>
  </si>
  <si>
    <t xml:space="preserve">Total</t>
  </si>
  <si>
    <t xml:space="preserve">Probability</t>
  </si>
  <si>
    <t xml:space="preserve">Must total 100%</t>
  </si>
  <si>
    <t xml:space="preserve">Revenue growth — decays linearly from FY2027 rate to FY2035 rate</t>
  </si>
  <si>
    <t xml:space="preserve">Selected</t>
  </si>
  <si>
    <t xml:space="preserve">FY2027 revenue growth</t>
  </si>
  <si>
    <t xml:space="preserve">FY2035 revenue growth (terminal-year)</t>
  </si>
  <si>
    <t xml:space="preserve">Bull = Base +5pp initial growth; Bear = Base −7pp. Backlog of $22.7B (~8x FY26E revenue) supports multi-year visibility.</t>
  </si>
  <si>
    <t xml:space="preserve">Operating drivers — FY2026 start value ramps linearly to FY2035 target</t>
  </si>
  <si>
    <t xml:space="preserve">Driver</t>
  </si>
  <si>
    <t xml:space="preserve">FY26 start</t>
  </si>
  <si>
    <t xml:space="preserve">Base target</t>
  </si>
  <si>
    <t xml:space="preserve">Bull target</t>
  </si>
  <si>
    <t xml:space="preserve">Bear target</t>
  </si>
  <si>
    <t xml:space="preserve">Gross margin (excl. D&amp;A)</t>
  </si>
  <si>
    <t xml:space="preserve">R&amp;D expense (cash, % revenue)</t>
  </si>
  <si>
    <t xml:space="preserve">SG&amp;A expense (cash, % revenue)</t>
  </si>
  <si>
    <t xml:space="preserve">Stock-based compensation (% revenue)</t>
  </si>
  <si>
    <t xml:space="preserve">D&amp;A (% revenue)</t>
  </si>
  <si>
    <t xml:space="preserve">Capex incl. capitalized software (% revenue)</t>
  </si>
  <si>
    <t xml:space="preserve">Cash tax rate (NOL runoff by FY2035)</t>
  </si>
  <si>
    <t xml:space="preserve">Deferred revenue / customer deposits (% revenue)</t>
  </si>
  <si>
    <t xml:space="preserve">FY26 starts calibrated to H1 FY26 actuals + Q3 guidance (see Historicals). Implied terminal Adj. EBITDA margin: Base 21%, Bull 25%, Bear 14%.</t>
  </si>
  <si>
    <t xml:space="preserve">Working capital drivers (held constant)</t>
  </si>
  <si>
    <t xml:space="preserve">Days sales outstanding (DSO)</t>
  </si>
  <si>
    <t xml:space="preserve">Days inventory outstanding (DIO, on COGS)</t>
  </si>
  <si>
    <t xml:space="preserve">Days payable outstanding (DPO, on COGS)</t>
  </si>
  <si>
    <t xml:space="preserve">Accrued liabilities (% revenue)</t>
  </si>
  <si>
    <t xml:space="preserve">Other current assets (% revenue)</t>
  </si>
  <si>
    <t xml:space="preserve">Capital &amp; other</t>
  </si>
  <si>
    <t xml:space="preserve">Interest earned on cash balances</t>
  </si>
  <si>
    <t xml:space="preserve">Revolver interest rate</t>
  </si>
  <si>
    <t xml:space="preserve">Minimum cash balance ($mm)</t>
  </si>
  <si>
    <t xml:space="preserve">Diluted shares outstanding (mm, all classes A/V-1/V-3 + dilutives)</t>
  </si>
  <si>
    <t xml:space="preserve">~125.5mm Class A + ~478mm Class V-1/V-3 (Up-C units) + dilutives; cross-checks to $26.8B mkt cap at $42.51</t>
  </si>
  <si>
    <t xml:space="preserve">Marginal tax rate (valuation)</t>
  </si>
  <si>
    <t xml:space="preserve">Terminal value &amp; market inputs</t>
  </si>
  <si>
    <t xml:space="preserve">Terminal (perpetuity) growth rate g</t>
  </si>
  <si>
    <t xml:space="preserve">Exit EV / Adj. EBITDA multiple (terminal FY2035)</t>
  </si>
  <si>
    <t xml:space="preserve">Current share price (7/17-18/2026)</t>
  </si>
  <si>
    <t xml:space="preserve">FY2026 equity issuance (Q1 FY26 follow-on, net, $mm)</t>
  </si>
  <si>
    <t xml:space="preserve">Valuation date convention: values as of FY2026 fiscal year end (late Sept 2026); FY2027-35 FCF discounted mid-year. Exit multiple of 12x terminal EBITDA is a discount to current peer median (~18x) reflecting matured growth by FY2035.</t>
  </si>
  <si>
    <t xml:space="preserve">HISTORICAL FINANCIALS &amp; FY2026 BUILD  ($mm)</t>
  </si>
  <si>
    <t xml:space="preserve">FY2022A</t>
  </si>
  <si>
    <t xml:space="preserve">FY2023A</t>
  </si>
  <si>
    <t xml:space="preserve">FY2024A*</t>
  </si>
  <si>
    <t xml:space="preserve">FY2025A</t>
  </si>
  <si>
    <t xml:space="preserve">Q1 FY26A</t>
  </si>
  <si>
    <t xml:space="preserve">Q2 FY26A</t>
  </si>
  <si>
    <t xml:space="preserve">Q3 FY26E</t>
  </si>
  <si>
    <t xml:space="preserve">Q4 FY26E</t>
  </si>
  <si>
    <t xml:space="preserve">FY2026E</t>
  </si>
  <si>
    <t xml:space="preserve">Revenue</t>
  </si>
  <si>
    <t xml:space="preserve">  % growth y/y</t>
  </si>
  <si>
    <t xml:space="preserve">Gross profit</t>
  </si>
  <si>
    <t xml:space="preserve">  Gross margin %</t>
  </si>
  <si>
    <t xml:space="preserve">Operating income (loss)</t>
  </si>
  <si>
    <t xml:space="preserve">Net income (loss)</t>
  </si>
  <si>
    <t xml:space="preserve">Adjusted EBITDA</t>
  </si>
  <si>
    <t xml:space="preserve">  Adj. EBITDA margin %</t>
  </si>
  <si>
    <t xml:space="preserve">Cash &amp; equivalents (period end)</t>
  </si>
  <si>
    <t xml:space="preserve">Contracted backlog ($B)</t>
  </si>
  <si>
    <t xml:space="preserve">* FY2024 restated (Nov-2024 revenue recognition restatement); FY2024 revenue derived from FY2025 reported +26% y/y growth. FY2023 shown as originally reported.</t>
  </si>
  <si>
    <t xml:space="preserve">Estimated cells ('e'): FY22/FY23 gross profit (~16.3-16.4% margin, per 10-K trend); FY24 gross profit = FY25 $422.6mm less disclosed +$176.9mm increase; FY24 net loss approximate.</t>
  </si>
  <si>
    <t xml:space="preserve">Q3 FY26E = management guidance midpoint (rev $700-720mm, Adj. EBITDA $80-85mm). Q4 FY26E = extrapolation (+6% q/q revenue), analyst-consensus-consistent.</t>
  </si>
  <si>
    <t xml:space="preserve">Q1 FY26: rev $630mm, NI $13mm, Adj. EBITDA $67mm, cash $1.8B (incl. $424mm follow-on proceeds). Q2 FY26: rev $676mm, NI $9mm, Adj. EBITDA $78mm, cash $2.0B, backlog $22.7B.</t>
  </si>
  <si>
    <t xml:space="preserve">Sources: SEC 8-K exhibits 99.1 (Q1 &amp; Q2 FY26), FY2025 10-K &amp; Q4 FY25 press release — full URLs on Cover sheet.</t>
  </si>
  <si>
    <t xml:space="preserve">3-STATEMENT OPERATING MODEL — FY2026E–FY2035E  ($mm)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</si>
  <si>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</si>
  <si>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</si>
  <si>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</si>
  <si>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</si>
  <si>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</si>
  <si>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</si>
  <si>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FY2033E</t>
  </si>
  <si>
    <t xml:space="preserve">FY2034E</t>
  </si>
  <si>
    <t xml:space="preserve">FY2035E</t>
  </si>
  <si>
    <t xml:space="preserve">DRIVERS  (green = linked to Assumptions; ramps are linear FY26 → FY35)</t>
  </si>
  <si>
    <t xml:space="preserve">Revenue growth %</t>
  </si>
  <si>
    <t xml:space="preserve">Gross margin %</t>
  </si>
  <si>
    <t xml:space="preserve">R&amp;D % rev</t>
  </si>
  <si>
    <t xml:space="preserve">SG&amp;A % rev</t>
  </si>
  <si>
    <t xml:space="preserve">SBC % rev</t>
  </si>
  <si>
    <t xml:space="preserve">D&amp;A % rev</t>
  </si>
  <si>
    <t xml:space="preserve">Capex % rev</t>
  </si>
  <si>
    <t xml:space="preserve">Cash tax rate %</t>
  </si>
  <si>
    <t xml:space="preserve">Deferred rev % rev</t>
  </si>
  <si>
    <t xml:space="preserve">INCOME STATEMENT</t>
  </si>
  <si>
    <t xml:space="preserve">Cost of revenue (excl. D&amp;A)</t>
  </si>
  <si>
    <t xml:space="preserve">R&amp;D (cash)</t>
  </si>
  <si>
    <t xml:space="preserve">SG&amp;A (cash)</t>
  </si>
  <si>
    <t xml:space="preserve">Stock-based compensation</t>
  </si>
  <si>
    <t xml:space="preserve">Depreciation &amp; amortization</t>
  </si>
  <si>
    <t xml:space="preserve">EBIT (operating income)</t>
  </si>
  <si>
    <t xml:space="preserve">Interest income (on beginning cash)</t>
  </si>
  <si>
    <t xml:space="preserve">Interest expense (on beginning debt)</t>
  </si>
  <si>
    <t xml:space="preserve">Pre-tax income</t>
  </si>
  <si>
    <t xml:space="preserve">Taxes (cash rate; NOL ramp)</t>
  </si>
  <si>
    <t xml:space="preserve">Net income</t>
  </si>
  <si>
    <t xml:space="preserve">WORKING CAPITAL</t>
  </si>
  <si>
    <t xml:space="preserve">Accounts receivable</t>
  </si>
  <si>
    <t xml:space="preserve">FY2025A column: estimated opening balances (10-K line detail not retrievable); liabilities shown negative</t>
  </si>
  <si>
    <t xml:space="preserve">Inventory</t>
  </si>
  <si>
    <t xml:space="preserve">Other current assets</t>
  </si>
  <si>
    <t xml:space="preserve">Accounts payable</t>
  </si>
  <si>
    <t xml:space="preserve">Accrued liabilities</t>
  </si>
  <si>
    <t xml:space="preserve">Deferred revenue &amp; customer deposits</t>
  </si>
  <si>
    <t xml:space="preserve">Net working capital</t>
  </si>
  <si>
    <t xml:space="preserve">(Increase) / decrease in NWC — cash impact</t>
  </si>
  <si>
    <t xml:space="preserve">CAPEX &amp; PP&amp;E (incl. capitalized software &amp; intangibles)</t>
  </si>
  <si>
    <t xml:space="preserve">Capex</t>
  </si>
  <si>
    <t xml:space="preserve">PP&amp;E + intangibles, net</t>
  </si>
  <si>
    <t xml:space="preserve">DEBT SCHEDULE (SYM currently debt-free; revolver modeled for completeness)</t>
  </si>
  <si>
    <t xml:space="preserve">Revolver — beginning</t>
  </si>
  <si>
    <t xml:space="preserve">  Draw (if cash &lt; minimum)</t>
  </si>
  <si>
    <t xml:space="preserve">  (Repayment)</t>
  </si>
  <si>
    <t xml:space="preserve">Revolver — ending</t>
  </si>
  <si>
    <t xml:space="preserve">Term loan — beginning (editable)</t>
  </si>
  <si>
    <t xml:space="preserve">Term loan — ending</t>
  </si>
  <si>
    <t xml:space="preserve">Total debt — ending</t>
  </si>
  <si>
    <t xml:space="preserve">CASH FLOW STATEMENT</t>
  </si>
  <si>
    <t xml:space="preserve">+ D&amp;A</t>
  </si>
  <si>
    <t xml:space="preserve">+ Stock-based compensation</t>
  </si>
  <si>
    <t xml:space="preserve">+/- Change in NWC</t>
  </si>
  <si>
    <t xml:space="preserve">Cash from operations</t>
  </si>
  <si>
    <t xml:space="preserve">- Capex</t>
  </si>
  <si>
    <t xml:space="preserve">Free cash flow (levered)</t>
  </si>
  <si>
    <t xml:space="preserve">+ Equity issuance (FY26 follow-on)</t>
  </si>
  <si>
    <t xml:space="preserve">+ Debt draws / (repayments)</t>
  </si>
  <si>
    <t xml:space="preserve">Net change in cash</t>
  </si>
  <si>
    <t xml:space="preserve">Cash — beginning</t>
  </si>
  <si>
    <t xml:space="preserve">Cash — ending</t>
  </si>
  <si>
    <t xml:space="preserve">FY2025A cash per Q4 FY25 press release</t>
  </si>
  <si>
    <t xml:space="preserve">BALANCE SHEET</t>
  </si>
  <si>
    <t xml:space="preserve">Cash &amp; equivalents</t>
  </si>
  <si>
    <t xml:space="preserve">Other long-term assets</t>
  </si>
  <si>
    <t xml:space="preserve">TOTAL ASSETS</t>
  </si>
  <si>
    <t xml:space="preserve">Deferred revenue &amp; deposits</t>
  </si>
  <si>
    <t xml:space="preserve">Revolver</t>
  </si>
  <si>
    <t xml:space="preserve">Term loan</t>
  </si>
  <si>
    <t xml:space="preserve">Other long-term liabilities</t>
  </si>
  <si>
    <t xml:space="preserve">TOTAL LIABILITIES</t>
  </si>
  <si>
    <t xml:space="preserve">Total equity (opening = plug; then rolls forward)</t>
  </si>
  <si>
    <t xml:space="preserve">TOTAL LIABILITIES + EQUITY</t>
  </si>
  <si>
    <t xml:space="preserve">Balance check (must be 0)</t>
  </si>
  <si>
    <t xml:space="preserve">WEIGHTED AVERAGE COST OF CAPITAL — CURRENT MARKET DATA (JULY 2026)</t>
  </si>
  <si>
    <t xml:space="preserve">COST OF EQUITY (CAPM)</t>
  </si>
  <si>
    <t xml:space="preserve">Risk-free rate — 10Y UST, 7/17/2026</t>
  </si>
  <si>
    <t xml:space="preserve">tradingeconomics.com / FRED DGS10</t>
  </si>
  <si>
    <t xml:space="preserve">Levered beta (5-year; sources range 1.6–2.1)</t>
  </si>
  <si>
    <t xml:space="preserve">investing.com 5-yr beta 2.14; yahoo ~1.9; stockanalysis 1.58 — 1.90 selected</t>
  </si>
  <si>
    <t xml:space="preserve">Equity risk premium</t>
  </si>
  <si>
    <t xml:space="preserve">Damodaran implied ERP, mid-2026 (~4.5–5.0%)</t>
  </si>
  <si>
    <t xml:space="preserve">Company-specific / execution premium</t>
  </si>
  <si>
    <t xml:space="preserve">Optional adder for customer concentration (Walmart ~85% of revenue)</t>
  </si>
  <si>
    <t xml:space="preserve">Cost of equity</t>
  </si>
  <si>
    <t xml:space="preserve">COST OF DEBT</t>
  </si>
  <si>
    <t xml:space="preserve">Pre-tax cost of debt (hypothetical IG-crossover issue)</t>
  </si>
  <si>
    <t xml:space="preserve">~10Y UST + 195bp; SYM currently has no debt</t>
  </si>
  <si>
    <t xml:space="preserve">Tax rate</t>
  </si>
  <si>
    <t xml:space="preserve">After-tax cost of debt</t>
  </si>
  <si>
    <t xml:space="preserve">CAPITAL STRUCTURE (target)</t>
  </si>
  <si>
    <t xml:space="preserve">Debt / total capital</t>
  </si>
  <si>
    <t xml:space="preserve">Effectively all-equity; nominal 2% weight</t>
  </si>
  <si>
    <t xml:space="preserve">Equity / total capital</t>
  </si>
  <si>
    <t xml:space="preserve">Sensitivity range used in DCF tables: 11.5% – 15.5%. High beta reflects post-SPAC volatility, customer concentration and restatement history.</t>
  </si>
  <si>
    <t xml:space="preserve">DISCOUNTED CASH FLOW — UNLEVERED FCF  ($mm; valuation as of FY2026 year-end, mid-year convention)</t>
  </si>
  <si>
    <t xml:space="preserve">EBIT (post-SBC)</t>
  </si>
  <si>
    <t xml:space="preserve">Cash taxes on EBIT</t>
  </si>
  <si>
    <t xml:space="preserve">− Capex</t>
  </si>
  <si>
    <t xml:space="preserve">+/− Change in NWC</t>
  </si>
  <si>
    <t xml:space="preserve">Unlevered free cash flow</t>
  </si>
  <si>
    <t xml:space="preserve">Discount period (mid-year)</t>
  </si>
  <si>
    <t xml:space="preserve">Discount factor @ WACC</t>
  </si>
  <si>
    <t xml:space="preserve">PV of FCF</t>
  </si>
  <si>
    <t xml:space="preserve">SBC treated as a cash-like expense (deducted in EBIT, not added back) — conservative; avoids double-count with fixed share count.</t>
  </si>
  <si>
    <t xml:space="preserve">Sum of PV of explicit FCF (FY27–35)</t>
  </si>
  <si>
    <t xml:space="preserve">TERMINAL VALUE — METHOD 1: GORDON GROWTH</t>
  </si>
  <si>
    <t xml:space="preserve">Terminal growth g</t>
  </si>
  <si>
    <t xml:space="preserve">Terminal value = FCF35 × (1+g) / (WACC − g)</t>
  </si>
  <si>
    <t xml:space="preserve">PV of terminal value (discounted 9.0 yrs)</t>
  </si>
  <si>
    <t xml:space="preserve">  Implied exit EV/EBITDA on FY35 Adj. EBITDA</t>
  </si>
  <si>
    <t xml:space="preserve">TERMINAL VALUE — METHOD 2: EXIT MULTIPLE</t>
  </si>
  <si>
    <t xml:space="preserve">Exit EV/Adj. EBITDA multiple</t>
  </si>
  <si>
    <t xml:space="preserve">Terminal value = multiple × FY35 Adj. EBITDA</t>
  </si>
  <si>
    <t xml:space="preserve">PV of terminal value</t>
  </si>
  <si>
    <t xml:space="preserve">  Implied perpetuity growth from exit TV</t>
  </si>
  <si>
    <t xml:space="preserve">ENTERPRISE → EQUITY VALUE BRIDGE</t>
  </si>
  <si>
    <t xml:space="preserve">Net cash, FY2026E year-end (incl. customer prepayments)</t>
  </si>
  <si>
    <t xml:space="preserve">Diluted shares (mm)</t>
  </si>
  <si>
    <t xml:space="preserve">Gordon growth</t>
  </si>
  <si>
    <t xml:space="preserve">Exit multiple</t>
  </si>
  <si>
    <t xml:space="preserve">Average</t>
  </si>
  <si>
    <t xml:space="preserve">Enterprise value</t>
  </si>
  <si>
    <t xml:space="preserve">+ Net cash</t>
  </si>
  <si>
    <t xml:space="preserve">Equity value</t>
  </si>
  <si>
    <t xml:space="preserve">Implied value per share</t>
  </si>
  <si>
    <t xml:space="preserve">Upside / (downside) vs current price</t>
  </si>
  <si>
    <t xml:space="preserve">Interpretation: at ~13.4% WACC the DCF values SYM well below its market price — the market is pricing faster backlog conversion, GreenBox/new-vertical upside and margin expansion beyond the Base case. Toggle Bull (Assumptions!B4=2) and/or lower WACC to see implied expectations.</t>
  </si>
  <si>
    <t xml:space="preserve">SENSITIVITY — VALUE PER SHARE: WACC × TERMINAL GROWTH (Gordon)</t>
  </si>
  <si>
    <t xml:space="preserve">WACC \ g</t>
  </si>
  <si>
    <t xml:space="preserve">SENSITIVITY — VALUE PER SHARE: WACC × EXIT EV/EBITDA MULTIPLE</t>
  </si>
  <si>
    <t xml:space="preserve">WACC \ x</t>
  </si>
  <si>
    <t xml:space="preserve">SENSITIVITY — VALUE PER SHARE: FY2027 GROWTH × TERMINAL ADJ. EBITDA MARGIN  (compact approximation, exit-multiple TV)</t>
  </si>
  <si>
    <t xml:space="preserve">Rev FY35 ≈ FY26E rev × (1 + avg(FY27 g, FY35 g))^9; PV of interim FCF scaled by terminal-EBITDA ratio vs. base. Exact only at the base point.</t>
  </si>
  <si>
    <t xml:space="preserve">FY27 g \ margin</t>
  </si>
  <si>
    <t xml:space="preserve">REVERSE DCF — WHAT THE $42.51 MARKET PRICE IMPLIES</t>
  </si>
  <si>
    <t xml:space="preserve">Instead of asking what SYM is worth, this sheet solves for what must be TRUE for the current price to be fair value.</t>
  </si>
  <si>
    <t xml:space="preserve">STEP 1 — BACK OUT THE REQUIRED TERMINAL VALUE  ($mm)</t>
  </si>
  <si>
    <t xml:space="preserve">Market equity value = price × shares</t>
  </si>
  <si>
    <t xml:space="preserve">Less: net cash (FY2026E)</t>
  </si>
  <si>
    <t xml:space="preserve">Implied enterprise value</t>
  </si>
  <si>
    <t xml:space="preserve">Less: PV of Base-case explicit FCF FY27-35</t>
  </si>
  <si>
    <t xml:space="preserve">Required PV of terminal value</t>
  </si>
  <si>
    <t xml:space="preserve">Required terminal value at FY2035 (× (1+WACC)^9)</t>
  </si>
  <si>
    <t xml:space="preserve">STEP 2 — TRANSLATE INTO REQUIRED FY2035 FINANCIALS</t>
  </si>
  <si>
    <t xml:space="preserve">Exit EV/EBITDA multiple assumed</t>
  </si>
  <si>
    <t xml:space="preserve">Required FY2035 Adj. EBITDA</t>
  </si>
  <si>
    <t xml:space="preserve">Terminal Adj. EBITDA margin assumed (Base)</t>
  </si>
  <si>
    <t xml:space="preserve">Required FY2035 revenue</t>
  </si>
  <si>
    <t xml:space="preserve">REQUIRED REVENUE CAGR, FY2026 → FY2035</t>
  </si>
  <si>
    <t xml:space="preserve">…vs Base-case CAGR in this model</t>
  </si>
  <si>
    <t xml:space="preserve">…vs Bull-case FY27 growth decaying to FY35</t>
  </si>
  <si>
    <t xml:space="preserve">Read: at the Base exit multiple and margin, the market price requires roughly a high-20s% revenue CAGR sustained for nine years — nearly double the Base case and well above even the Bull case.</t>
  </si>
  <si>
    <t xml:space="preserve">STEP 3 — REQUIRED REVENUE CAGR ACROSS EXIT MULTIPLE × WACC</t>
  </si>
  <si>
    <t xml:space="preserve">WACC \ exit x</t>
  </si>
  <si>
    <t xml:space="preserve">Each cell: the FY26→35 revenue CAGR (at Base terminal margin) needed to justify $42.51 under that WACC and exit multiple. Even at a generous 20x exit and 11.5% WACC the requirement stays far above the Base case.</t>
  </si>
  <si>
    <t xml:space="preserve">STEP 4 — BACKLOG REALITY CHECK  ($mm)</t>
  </si>
  <si>
    <t xml:space="preserve">Contracted backlog (Q2 FY26)</t>
  </si>
  <si>
    <t xml:space="preserve">Cumulative Base-case revenue FY2027–FY2035</t>
  </si>
  <si>
    <t xml:space="preserve">  Base cumulative revenue ÷ backlog</t>
  </si>
  <si>
    <t xml:space="preserve">Cumulative revenue implied by the market (geometric at required CAGR)</t>
  </si>
  <si>
    <t xml:space="preserve">  Market-implied cumulative revenue ÷ backlog</t>
  </si>
  <si>
    <t xml:space="preserve">Backlog converts over ~8-12+ years and grows with new bookings (Walmart MAA, GreenBox, Walmex). Base case consumes ~2.3x today's backlog over nine years — plausible with normal re-booking. The market-implied path needs ~4-5x today's backlog: it assumes GreenBox scale-up and major new verticals, not just executing what is signed.</t>
  </si>
  <si>
    <t xml:space="preserve">STEP 5 — IMPLIED SCENARIO ODDS</t>
  </si>
  <si>
    <t xml:space="preserve">Compact value — Base / Bull / Bear ($/sh)</t>
  </si>
  <si>
    <t xml:space="preserve">Bull probability required if the rest is Base (no Bear)</t>
  </si>
  <si>
    <t xml:space="preserve">A value above 100% means even certainty of the Bull case cannot reach the market price at this WACC</t>
  </si>
  <si>
    <t xml:space="preserve">CONCLUSION</t>
  </si>
  <si>
    <t xml:space="preserve">The market is not pricing SYM off this model's cash-flow horizon at a ~13% discount rate. $42.51 requires either (a) a high-20s% nine-year revenue CAGR at &gt;20% terminal EBITDA margins, (b) a materially lower discount rate as execution de-risks, or (c) value from options outside the model — GreenBox JV economics, Walmex/new verticals, and international licensing. That is the bet embedded in the share price.</t>
  </si>
  <si>
    <t xml:space="preserve">TRADING COMPARABLES — WAREHOUSE / INDUSTRIAL AUTOMATION  (July 2026)</t>
  </si>
  <si>
    <t xml:space="preserve">Company</t>
  </si>
  <si>
    <t xml:space="preserve">Ticker</t>
  </si>
  <si>
    <t xml:space="preserve">EV/Revenue</t>
  </si>
  <si>
    <t xml:space="preserve">EV/EBITDA</t>
  </si>
  <si>
    <t xml:space="preserve">Note</t>
  </si>
  <si>
    <t xml:space="preserve">Daifuku Co.</t>
  </si>
  <si>
    <t xml:space="preserve">6383.T</t>
  </si>
  <si>
    <t xml:space="preserve">Market cap ~$15B; multiples per multiples.vc, Jul-2026</t>
  </si>
  <si>
    <t xml:space="preserve">Rockwell Automation</t>
  </si>
  <si>
    <t xml:space="preserve">ROK</t>
  </si>
  <si>
    <t xml:space="preserve">LTM per multiples.vc Jun-2026 (24.3x NTM)</t>
  </si>
  <si>
    <t xml:space="preserve">KION Group (incl. Dematic)</t>
  </si>
  <si>
    <t xml:space="preserve">KGX.DE</t>
  </si>
  <si>
    <t xml:space="preserve">LTM EV/EBITDA per finbox/gurufocus; EV/Rev estimated</t>
  </si>
  <si>
    <t xml:space="preserve">Zebra Technologies</t>
  </si>
  <si>
    <t xml:space="preserve">ZBRA</t>
  </si>
  <si>
    <t xml:space="preserve">e — estimated from historical trading range</t>
  </si>
  <si>
    <t xml:space="preserve">Cognex</t>
  </si>
  <si>
    <t xml:space="preserve">CGNX</t>
  </si>
  <si>
    <t xml:space="preserve">AutoStore Holdings</t>
  </si>
  <si>
    <t xml:space="preserve">AUTO.OL</t>
  </si>
  <si>
    <t xml:space="preserve">Median</t>
  </si>
  <si>
    <t xml:space="preserve">Mean</t>
  </si>
  <si>
    <t xml:space="preserve">SYM CURRENT MULTIPLES (for reference)</t>
  </si>
  <si>
    <t xml:space="preserve">Current EV = price × shares − net cash</t>
  </si>
  <si>
    <t xml:space="preserve">EV / FY2026E revenue</t>
  </si>
  <si>
    <t xml:space="preserve">SYM trades far above peer medians — the market caps its $22.7B backlog and software mix, not current-year financials</t>
  </si>
  <si>
    <t xml:space="preserve">EV / FY2026E Adj. EBITDA</t>
  </si>
  <si>
    <t xml:space="preserve">IMPLIED VALUE PER SHARE FROM PEER MULTIPLES</t>
  </si>
  <si>
    <t xml:space="preserve">Method</t>
  </si>
  <si>
    <t xml:space="preserve">Low x</t>
  </si>
  <si>
    <t xml:space="preserve">High x</t>
  </si>
  <si>
    <t xml:space="preserve">Metric ($mm)</t>
  </si>
  <si>
    <t xml:space="preserve">Implied EV low</t>
  </si>
  <si>
    <t xml:space="preserve">Implied EV high</t>
  </si>
  <si>
    <t xml:space="preserve">$/sh low</t>
  </si>
  <si>
    <t xml:space="preserve">$/sh high</t>
  </si>
  <si>
    <t xml:space="preserve">EV/Revenue × FY2026E revenue</t>
  </si>
  <si>
    <t xml:space="preserve">EV/EBITDA × FY2027E Adj. EBITDA</t>
  </si>
  <si>
    <t xml:space="preserve">Low/high bands span peer 25th–90th percentile. FY27E EBITDA used for the EBITDA method because FY26 margins are still ramping.</t>
  </si>
  <si>
    <t xml:space="preserve">PRECEDENT TRANSACTIONS — WAREHOUSE AUTOMATION / ROBOTICS</t>
  </si>
  <si>
    <t xml:space="preserve">Date</t>
  </si>
  <si>
    <t xml:space="preserve">Acquirer</t>
  </si>
  <si>
    <t xml:space="preserve">Target</t>
  </si>
  <si>
    <t xml:space="preserve">EV ($mm)</t>
  </si>
  <si>
    <t xml:space="preserve">Jun-2016</t>
  </si>
  <si>
    <t xml:space="preserve">KION Group</t>
  </si>
  <si>
    <t xml:space="preserve">Dematic</t>
  </si>
  <si>
    <t xml:space="preserve">~$1.8B revenue systems integrator; ~10-13x EBITDA (e)</t>
  </si>
  <si>
    <t xml:space="preserve">Jul-2016</t>
  </si>
  <si>
    <t xml:space="preserve">Honeywell</t>
  </si>
  <si>
    <t xml:space="preserve">Intelligrated</t>
  </si>
  <si>
    <t xml:space="preserve">~$900mm revenue (e)</t>
  </si>
  <si>
    <t xml:space="preserve">Jul-2021</t>
  </si>
  <si>
    <t xml:space="preserve">Fetch Robotics</t>
  </si>
  <si>
    <t xml:space="preserve">AMR startup; revenue multiple estimated (e)</t>
  </si>
  <si>
    <t xml:space="preserve">ABB</t>
  </si>
  <si>
    <t xml:space="preserve">ASTI Mobile Robotics</t>
  </si>
  <si>
    <t xml:space="preserve">terms not disclosed; estimated (e)</t>
  </si>
  <si>
    <t xml:space="preserve">Sep-2023</t>
  </si>
  <si>
    <t xml:space="preserve">Clearpath / OTTO Motors</t>
  </si>
  <si>
    <t xml:space="preserve">AMR; both figures estimated (e)</t>
  </si>
  <si>
    <t xml:space="preserve">Mar-2023</t>
  </si>
  <si>
    <t xml:space="preserve">SoftBank</t>
  </si>
  <si>
    <t xml:space="preserve">Berkshire Grey (take-private)</t>
  </si>
  <si>
    <t xml:space="preserve">~$81mm LTM revenue; distressed</t>
  </si>
  <si>
    <t xml:space="preserve">Median EV/Revenue</t>
  </si>
  <si>
    <t xml:space="preserve">APPLIED RANGE</t>
  </si>
  <si>
    <t xml:space="preserve">Mature integrators transact at ~1.5–2.0x revenue; scarce high-growth robotics platforms at 4–10x. A control premium on SYM would price off backlog, not trailing revenue — band reflects that spread.</t>
  </si>
  <si>
    <t xml:space="preserve">Low</t>
  </si>
  <si>
    <t xml:space="preserve">High</t>
  </si>
  <si>
    <t xml:space="preserve">EV/Revenue applied to FY2026E revenue</t>
  </si>
  <si>
    <t xml:space="preserve">Implied EV</t>
  </si>
  <si>
    <t xml:space="preserve">LBO ANALYSIS — 5-YEAR HOLD (ENTRY END-FY2026, EXIT END-FY2031)  ($mm)</t>
  </si>
  <si>
    <t xml:space="preserve">ENTRY &amp; FINANCING ASSUMPTIONS</t>
  </si>
  <si>
    <t xml:space="preserve">Entry premium to current price</t>
  </si>
  <si>
    <t xml:space="preserve">Entry price per share</t>
  </si>
  <si>
    <t xml:space="preserve">Equity purchase price</t>
  </si>
  <si>
    <t xml:space="preserve">Less: net cash at close (swept to fund deal)</t>
  </si>
  <si>
    <t xml:space="preserve">Entry enterprise value</t>
  </si>
  <si>
    <t xml:space="preserve">Transaction fees (% of EV)</t>
  </si>
  <si>
    <t xml:space="preserve">FY2026E Adj. EBITDA (debt sizing basis)</t>
  </si>
  <si>
    <t xml:space="preserve">Debt tranche</t>
  </si>
  <si>
    <t xml:space="preserve">Multiple</t>
  </si>
  <si>
    <t xml:space="preserve">Rate</t>
  </si>
  <si>
    <t xml:space="preserve">Amount</t>
  </si>
  <si>
    <t xml:space="preserve">Term Loan B</t>
  </si>
  <si>
    <t xml:space="preserve">Subordinated notes</t>
  </si>
  <si>
    <t xml:space="preserve">Total debt</t>
  </si>
  <si>
    <t xml:space="preserve">SOURCES &amp; USES</t>
  </si>
  <si>
    <t xml:space="preserve">Sources</t>
  </si>
  <si>
    <t xml:space="preserve">$</t>
  </si>
  <si>
    <t xml:space="preserve">Uses</t>
  </si>
  <si>
    <t xml:space="preserve">Equity purchase</t>
  </si>
  <si>
    <t xml:space="preserve">Transaction fees</t>
  </si>
  <si>
    <t xml:space="preserve">Company net cash</t>
  </si>
  <si>
    <t xml:space="preserve">Sponsor equity (plug)</t>
  </si>
  <si>
    <t xml:space="preserve">Total sources</t>
  </si>
  <si>
    <t xml:space="preserve">Total uses</t>
  </si>
  <si>
    <t xml:space="preserve">DEBT PAYDOWN — 100% FCF SWEEP  (FCF from operating model, scenario-driven)</t>
  </si>
  <si>
    <t xml:space="preserve">Unlevered FCF (DCF sheet)</t>
  </si>
  <si>
    <t xml:space="preserve">Cash interest — TLB (beginning balance)</t>
  </si>
  <si>
    <t xml:space="preserve">Cash interest — Sub notes</t>
  </si>
  <si>
    <t xml:space="preserve">Interest tax shield</t>
  </si>
  <si>
    <t xml:space="preserve">Levered FCF available for paydown</t>
  </si>
  <si>
    <t xml:space="preserve">TLB — beginning</t>
  </si>
  <si>
    <t xml:space="preserve">TLB — (paydown)</t>
  </si>
  <si>
    <t xml:space="preserve">TLB — ending</t>
  </si>
  <si>
    <t xml:space="preserve">Sub notes — ending (bullet)</t>
  </si>
  <si>
    <t xml:space="preserve">EXIT &amp; RETURNS</t>
  </si>
  <si>
    <t xml:space="preserve">FY2031E Adj. EBITDA</t>
  </si>
  <si>
    <t xml:space="preserve">Exit EV/EBITDA multiple</t>
  </si>
  <si>
    <t xml:space="preserve">Exit enterprise value</t>
  </si>
  <si>
    <t xml:space="preserve">Less: exit net debt</t>
  </si>
  <si>
    <t xml:space="preserve">Exit equity value</t>
  </si>
  <si>
    <t xml:space="preserve">MOIC</t>
  </si>
  <si>
    <t xml:space="preserve">IRR (5-yr)</t>
  </si>
  <si>
    <t xml:space="preserve">At a market premium the sponsor pays ~9x revenue for ~12% EBITDA margins — returns are deeply negative; see threshold table for what an LBO could pay</t>
  </si>
  <si>
    <t xml:space="preserve">MAXIMUM ENTRY PRICE AT TARGET IRR THRESHOLDS  (exit equity held constant — debt sized on EBITDA, not price)</t>
  </si>
  <si>
    <t xml:space="preserve">Target IRR</t>
  </si>
  <si>
    <t xml:space="preserve">Max sponsor equity</t>
  </si>
  <si>
    <t xml:space="preserve">Implied entry EV</t>
  </si>
  <si>
    <t xml:space="preserve">Implied price/share</t>
  </si>
  <si>
    <t xml:space="preserve">Prem/(disc) to market</t>
  </si>
  <si>
    <t xml:space="preserve">Read: the price a financial sponsor could justify at each return hurdle. SYM's scale of profitability (~$320mm FY26E EBITDA vs. ~$25B EV) makes a conventional LBO infeasible near market — the table is the classic 'LBO floor' on valuation.</t>
  </si>
  <si>
    <t xml:space="preserve">MONTE CARLO SIMULATION — 500 LIVE TRIALS  (press F9 / recalc to refresh draws)</t>
  </si>
  <si>
    <t xml:space="preserve">Compact DCF per trial: Rev FY35 = FY26E rev × (1+avg growth)^9; TV = exit multiple × terminal EBITDA; PV of interim FCF scaled from the full DCF. Calibrated to match the DCF sheet at base-case inputs.</t>
  </si>
  <si>
    <t xml:space="preserve">Distribution parameters — Normal(mean, σ)</t>
  </si>
  <si>
    <t xml:space="preserve">Variable</t>
  </si>
  <si>
    <t xml:space="preserve">Mean (linked)</t>
  </si>
  <si>
    <t xml:space="preserve">σ (input)</t>
  </si>
  <si>
    <t xml:space="preserve">Terminal Adj. EBITDA margin (FY35)</t>
  </si>
  <si>
    <t xml:space="preserve">Calibration statics (linked)</t>
  </si>
  <si>
    <t xml:space="preserve">Base FY2035 Adj. EBITDA</t>
  </si>
  <si>
    <t xml:space="preserve">Base PV of explicit FCF (DCF)</t>
  </si>
  <si>
    <t xml:space="preserve">Net cash FY2026E</t>
  </si>
  <si>
    <t xml:space="preserve">Current share price</t>
  </si>
  <si>
    <t xml:space="preserve">FY2035 growth (selected)</t>
  </si>
  <si>
    <t xml:space="preserve">FY2026E revenue</t>
  </si>
  <si>
    <t xml:space="preserve">Simulation results ($/share)</t>
  </si>
  <si>
    <t xml:space="preserve">Standard deviation</t>
  </si>
  <si>
    <t xml:space="preserve">5th percentile</t>
  </si>
  <si>
    <t xml:space="preserve">25th percentile</t>
  </si>
  <si>
    <t xml:space="preserve">75th percentile</t>
  </si>
  <si>
    <t xml:space="preserve">95th percentile</t>
  </si>
  <si>
    <t xml:space="preserve">P(value &gt; current price)</t>
  </si>
  <si>
    <t xml:space="preserve">Scenario probability-weighted value (compact DCF per scenario)</t>
  </si>
  <si>
    <t xml:space="preserve">Scenario</t>
  </si>
  <si>
    <t xml:space="preserve">Value / share</t>
  </si>
  <si>
    <t xml:space="preserve">Probability-weighted value</t>
  </si>
  <si>
    <t xml:space="preserve">Compact-DCF approximation; PV-of-FCF scaling is calibrated on the active scenario (most accurate with switch = 1/Base).</t>
  </si>
  <si>
    <t xml:space="preserve">TRIALS</t>
  </si>
  <si>
    <t xml:space="preserve">#</t>
  </si>
  <si>
    <t xml:space="preserve">g FY27</t>
  </si>
  <si>
    <t xml:space="preserve">Term margin</t>
  </si>
  <si>
    <t xml:space="preserve">Exit x</t>
  </si>
  <si>
    <t xml:space="preserve">Rev FY35</t>
  </si>
  <si>
    <t xml:space="preserve">EBITDA FY35</t>
  </si>
  <si>
    <t xml:space="preserve">PV(TV)</t>
  </si>
  <si>
    <t xml:space="preserve">PV(FCF)</t>
  </si>
  <si>
    <t xml:space="preserve">Equity</t>
  </si>
  <si>
    <t xml:space="preserve">$ / share</t>
  </si>
  <si>
    <t xml:space="preserve">Bin ($/sh)</t>
  </si>
  <si>
    <t xml:space="preserve">low</t>
  </si>
  <si>
    <t xml:space="preserve">high</t>
  </si>
  <si>
    <t xml:space="preserve">Count</t>
  </si>
  <si>
    <t xml:space="preserve">0-5</t>
  </si>
  <si>
    <t xml:space="preserve">5-10</t>
  </si>
  <si>
    <t xml:space="preserve">10-15</t>
  </si>
  <si>
    <t xml:space="preserve">15-20</t>
  </si>
  <si>
    <t xml:space="preserve">20-25</t>
  </si>
  <si>
    <t xml:space="preserve">25-30</t>
  </si>
  <si>
    <t xml:space="preserve">30-35</t>
  </si>
  <si>
    <t xml:space="preserve">35-40</t>
  </si>
  <si>
    <t xml:space="preserve">40-45</t>
  </si>
  <si>
    <t xml:space="preserve">45-50</t>
  </si>
  <si>
    <t xml:space="preserve">50-55</t>
  </si>
  <si>
    <t xml:space="preserve">55-60</t>
  </si>
  <si>
    <t xml:space="preserve">60-65</t>
  </si>
  <si>
    <t xml:space="preserve">65-70</t>
  </si>
  <si>
    <t xml:space="preserve">70-75</t>
  </si>
  <si>
    <t xml:space="preserve">75-80</t>
  </si>
  <si>
    <t xml:space="preserve">80-85</t>
  </si>
  <si>
    <t xml:space="preserve">85-90</t>
  </si>
  <si>
    <t xml:space="preserve">90+</t>
  </si>
  <si>
    <t xml:space="preserve">FOOTBALL FIELD — VALUATION SUMMARY  ($ per share)</t>
  </si>
  <si>
    <t xml:space="preserve">Methodology</t>
  </si>
  <si>
    <t xml:space="preserve">(base)</t>
  </si>
  <si>
    <t xml:space="preserve">(span)</t>
  </si>
  <si>
    <t xml:space="preserve">Midpoint</t>
  </si>
  <si>
    <t xml:space="preserve">52-week trading range</t>
  </si>
  <si>
    <t xml:space="preserve">Analyst price targets (n≈19)</t>
  </si>
  <si>
    <t xml:space="preserve">DCF — Gordon growth (WACC ±1%, g 2.5–3.5%)</t>
  </si>
  <si>
    <t xml:space="preserve">DCF — exit multiple (10–14x, WACC ±1%)</t>
  </si>
  <si>
    <t xml:space="preserve">Trading comps — EV/Revenue (3.2–6.5x FY26E)</t>
  </si>
  <si>
    <t xml:space="preserve">Trading comps — EV/EBITDA (15–28x FY27E)</t>
  </si>
  <si>
    <t xml:space="preserve">Precedent transactions (2–6x FY26E revenue)</t>
  </si>
  <si>
    <t xml:space="preserve">LBO capacity (25% → 15% IRR)</t>
  </si>
  <si>
    <t xml:space="preserve">Monte Carlo P25–P75 (live)</t>
  </si>
  <si>
    <t xml:space="preserve">Current price (marker)</t>
  </si>
  <si>
    <t xml:space="preserve">52-wk range: stockanalysis.com. Analyst targets: S&amp;P Global / TipRanks consensus (avg ≈ $66). All other rows are live model outputs.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</si>
</sst>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-"/>
    <numFmt numFmtId="166" formatCode="0.0%;\(0.0%\);\-"/>
    <numFmt numFmtId="167" formatCode="\$#,##0;&quot;($&quot;#,##0\);\-"/>
    <numFmt numFmtId="168" formatCode="0.0\x"/>
    <numFmt numFmtId="169" formatCode="\$#,##0.00"/>
    <numFmt numFmtId="170" formatCode="\$#,##0.0;&quot;($&quot;#,##0.0\);\-"/>
    <numFmt numFmtId="171" formatCode="0.00%;\(0.00%\);\-"/>
    <numFmt numFmtId="172" formatCode="0.00"/>
    <numFmt numFmtId="173" formatCode="0.000"/>
    <numFmt numFmtId="174" formatCode="\$#,##0;&quot;($&quot;#,##0\);\-"/>
    <numFmt numFmtId="175" formatCode="0.0\x"/>
    <numFmt numFmtId="176" formatCode="0.0%;\(0.0%\);\-"/>
    <numFmt numFmtId="177" formatCode="0.00%;\(0.00%\);\-"/>
    <numFmt numFmtId="178" formatCode="\$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2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value per share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"Trials"</c:f>
              <c:strCache>
                <c:ptCount val="1"/>
                <c:pt idx="0">
                  <c:v>Trials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Monte_Carlo!$N$41:$N$59</c:f>
              <c:strCache>
                <c:ptCount val="19"/>
                <c:pt idx="0">
                  <c:v>0-5</c:v>
                </c:pt>
                <c:pt idx="1">
                  <c:v>5-10</c:v>
                </c:pt>
                <c:pt idx="2">
                  <c:v>10-15</c:v>
                </c:pt>
                <c:pt idx="3">
                  <c:v>15-20</c:v>
                </c:pt>
                <c:pt idx="4">
                  <c:v>20-25</c:v>
                </c:pt>
                <c:pt idx="5">
                  <c:v>25-30</c:v>
                </c:pt>
                <c:pt idx="6">
                  <c:v>30-35</c:v>
                </c:pt>
                <c:pt idx="7">
                  <c:v>35-40</c:v>
                </c:pt>
                <c:pt idx="8">
                  <c:v>40-45</c:v>
                </c:pt>
                <c:pt idx="9">
                  <c:v>45-50</c:v>
                </c:pt>
                <c:pt idx="10">
                  <c:v>50-55</c:v>
                </c:pt>
                <c:pt idx="11">
                  <c:v>55-60</c:v>
                </c:pt>
                <c:pt idx="12">
                  <c:v>60-65</c:v>
                </c:pt>
                <c:pt idx="13">
                  <c:v>65-70</c:v>
                </c:pt>
                <c:pt idx="14">
                  <c:v>70-75</c:v>
                </c:pt>
                <c:pt idx="15">
                  <c:v>75-80</c:v>
                </c:pt>
                <c:pt idx="16">
                  <c:v>80-85</c:v>
                </c:pt>
                <c:pt idx="17">
                  <c:v>85-90</c:v>
                </c:pt>
                <c:pt idx="18">
                  <c:v>90+</c:v>
                </c:pt>
              </c:strCache>
            </c:strRef>
          </c:cat>
          <c:val>
            <c:numRef>
              <c:f>Monte_Carlo!$Q$41:$Q$59</c:f>
              <c:numCache>
                <c:formatCode>#,##0;\(#,##0\);\-</c:formatCode>
                <c:ptCount val="19"/>
                <c:pt idx="0">
                  <c:v>0</c:v>
                </c:pt>
                <c:pt idx="1">
                  <c:v>4</c:v>
                </c:pt>
                <c:pt idx="2">
                  <c:v>111</c:v>
                </c:pt>
                <c:pt idx="3">
                  <c:v>261</c:v>
                </c:pt>
                <c:pt idx="4">
                  <c:v>98</c:v>
                </c:pt>
                <c:pt idx="5">
                  <c:v>25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20"/>
        <c:overlap val="0"/>
        <c:axId val="20717437"/>
        <c:axId val="20116942"/>
      </c:barChart>
      <c:catAx>
        <c:axId val="20717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share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16942"/>
        <c:crosses val="autoZero"/>
        <c:auto val="1"/>
        <c:lblAlgn val="ctr"/>
        <c:lblOffset val="100"/>
        <c:noMultiLvlLbl val="0"/>
      </c:catAx>
      <c:valAx>
        <c:axId val="201169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Trials (of 500)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174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SYM valuation ranges ($/share) — red = current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Football_Field!$A$5:$A$14</c:f>
              <c:strCache>
                <c:ptCount val="10"/>
                <c:pt idx="0">
                  <c:v>52-week trading range</c:v>
                </c:pt>
                <c:pt idx="1">
                  <c:v>Analyst price targets (n≈19)</c:v>
                </c:pt>
                <c:pt idx="2">
                  <c:v>DCF — Gordon growth (WACC ±1%, g 2.5–3.5%)</c:v>
                </c:pt>
                <c:pt idx="3">
                  <c:v>DCF — exit multiple (10–14x, WACC ±1%)</c:v>
                </c:pt>
                <c:pt idx="4">
                  <c:v>Trading comps — EV/Revenue (3.2–6.5x FY26E)</c:v>
                </c:pt>
                <c:pt idx="5">
                  <c:v>Trading comps — EV/EBITDA (15–28x FY27E)</c:v>
                </c:pt>
                <c:pt idx="6">
                  <c:v>Precedent transactions (2–6x FY26E revenue)</c:v>
                </c:pt>
                <c:pt idx="7">
                  <c:v>LBO capacity (25% → 15% IRR)</c:v>
                </c:pt>
                <c:pt idx="8">
                  <c:v>Monte Carlo P25–P75 (live)</c:v>
                </c:pt>
                <c:pt idx="9">
                  <c:v>Current price (marker)</c:v>
                </c:pt>
              </c:strCache>
            </c:strRef>
          </c:cat>
          <c:val>
            <c:numRef>
              <c:f>Football_Field!$D$5:$D$14</c:f>
              <c:numCache>
                <c:formatCode>\$#,##0.00</c:formatCode>
                <c:ptCount val="10"/>
                <c:pt idx="0">
                  <c:v>38.19</c:v>
                </c:pt>
                <c:pt idx="1">
                  <c:v>44</c:v>
                </c:pt>
                <c:pt idx="2">
                  <c:v>10.6732320883948</c:v>
                </c:pt>
                <c:pt idx="3">
                  <c:v>15.0851232944005</c:v>
                </c:pt>
                <c:pt idx="4">
                  <c:v>17.3866648858448</c:v>
                </c:pt>
                <c:pt idx="5">
                  <c:v>13.1817823461622</c:v>
                </c:pt>
                <c:pt idx="6">
                  <c:v>12.1085696477495</c:v>
                </c:pt>
                <c:pt idx="7">
                  <c:v>11.4593631626549</c:v>
                </c:pt>
                <c:pt idx="8">
                  <c:v>15.2513842220106</c:v>
                </c:pt>
                <c:pt idx="9">
                  <c:v>42.11</c:v>
                </c:pt>
              </c:numCache>
            </c:numRef>
          </c:val>
        </c:ser>
        <c:ser>
          <c:idx val="1"/>
          <c:order val="1"/>
          <c:tx>
            <c:strRef>
              <c:f>"range"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9"/>
            <c:invertIfNegative val="0"/>
            <c:spPr>
              <a:solidFill>
                <a:srgbClr val="c00000"/>
              </a:solidFill>
              <a:ln w="0">
                <a:noFill/>
              </a:ln>
            </c:spPr>
          </c:dPt>
          <c:dLbls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Football_Field!$A$5:$A$14</c:f>
              <c:strCache>
                <c:ptCount val="10"/>
                <c:pt idx="0">
                  <c:v>52-week trading range</c:v>
                </c:pt>
                <c:pt idx="1">
                  <c:v>Analyst price targets (n≈19)</c:v>
                </c:pt>
                <c:pt idx="2">
                  <c:v>DCF — Gordon growth (WACC ±1%, g 2.5–3.5%)</c:v>
                </c:pt>
                <c:pt idx="3">
                  <c:v>DCF — exit multiple (10–14x, WACC ±1%)</c:v>
                </c:pt>
                <c:pt idx="4">
                  <c:v>Trading comps — EV/Revenue (3.2–6.5x FY26E)</c:v>
                </c:pt>
                <c:pt idx="5">
                  <c:v>Trading comps — EV/EBITDA (15–28x FY27E)</c:v>
                </c:pt>
                <c:pt idx="6">
                  <c:v>Precedent transactions (2–6x FY26E revenue)</c:v>
                </c:pt>
                <c:pt idx="7">
                  <c:v>LBO capacity (25% → 15% IRR)</c:v>
                </c:pt>
                <c:pt idx="8">
                  <c:v>Monte Carlo P25–P75 (live)</c:v>
                </c:pt>
                <c:pt idx="9">
                  <c:v>Current price (marker)</c:v>
                </c:pt>
              </c:strCache>
            </c:strRef>
          </c:cat>
          <c:val>
            <c:numRef>
              <c:f>Football_Field!$E$5:$E$14</c:f>
              <c:numCache>
                <c:formatCode>\$#,##0.00</c:formatCode>
                <c:ptCount val="10"/>
                <c:pt idx="0">
                  <c:v>49.69</c:v>
                </c:pt>
                <c:pt idx="1">
                  <c:v>40</c:v>
                </c:pt>
                <c:pt idx="2">
                  <c:v>2.35406558799813</c:v>
                </c:pt>
                <c:pt idx="3">
                  <c:v>5.38410868720628</c:v>
                </c:pt>
                <c:pt idx="4">
                  <c:v>14.5147619047619</c:v>
                </c:pt>
                <c:pt idx="5">
                  <c:v>8.55403301587301</c:v>
                </c:pt>
                <c:pt idx="6">
                  <c:v>17.5936507936508</c:v>
                </c:pt>
                <c:pt idx="7">
                  <c:v>3.07020206815744</c:v>
                </c:pt>
                <c:pt idx="8">
                  <c:v>4.70784572608116</c:v>
                </c:pt>
                <c:pt idx="9">
                  <c:v>0.799999999999997</c:v>
                </c:pt>
              </c:numCache>
            </c:numRef>
          </c:val>
        </c:ser>
        <c:gapWidth val="60"/>
        <c:overlap val="100"/>
        <c:axId val="37330014"/>
        <c:axId val="30204249"/>
      </c:barChart>
      <c:catAx>
        <c:axId val="373300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04249"/>
        <c:crosses val="autoZero"/>
        <c:auto val="1"/>
        <c:lblAlgn val="ctr"/>
        <c:lblOffset val="100"/>
        <c:noMultiLvlLbl val="0"/>
      </c:catAx>
      <c:valAx>
        <c:axId val="30204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share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30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160920</xdr:rowOff>
    </xdr:from>
    <xdr:to>
      <xdr:col>21</xdr:col>
      <xdr:colOff>239760</xdr:colOff>
      <xdr:row>21</xdr:row>
      <xdr:rowOff>140760</xdr:rowOff>
    </xdr:to>
    <xdr:graphicFrame>
      <xdr:nvGraphicFramePr>
        <xdr:cNvPr id="0" name="Chart 1"/>
        <xdr:cNvGraphicFramePr/>
      </xdr:nvGraphicFramePr>
      <xdr:xfrm>
        <a:off x="13916160" y="570600"/>
        <a:ext cx="719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160560</xdr:rowOff>
    </xdr:from>
    <xdr:to>
      <xdr:col>6</xdr:col>
      <xdr:colOff>282600</xdr:colOff>
      <xdr:row>41</xdr:row>
      <xdr:rowOff>77400</xdr:rowOff>
    </xdr:to>
    <xdr:graphicFrame>
      <xdr:nvGraphicFramePr>
        <xdr:cNvPr id="1" name="Chart 1"/>
        <xdr:cNvGraphicFramePr/>
      </xdr:nvGraphicFramePr>
      <xdr:xfrm>
        <a:off x="0" y="3237120"/>
        <a:ext cx="8639280" cy="46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"/>
    <col collapsed="false" customWidth="true" hidden="false" outlineLevel="0" max="3" min="3" style="1" width="10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C3" s="5"/>
    </row>
    <row r="4" customFormat="false" ht="15" hidden="false" customHeight="true" outlineLevel="0" collapsed="false">
      <c r="A4" s="6" t="s">
        <v>2</v>
      </c>
      <c r="C4" s="5"/>
    </row>
    <row r="5" customFormat="false" ht="15" hidden="false" customHeight="true" outlineLevel="0" collapsed="false">
      <c r="A5" s="4" t="s">
        <v>3</v>
      </c>
      <c r="C5" s="5" t="s">
        <v>4</v>
      </c>
    </row>
    <row r="6" customFormat="false" ht="15" hidden="false" customHeight="true" outlineLevel="0" collapsed="false">
      <c r="A6" s="4" t="s">
        <v>5</v>
      </c>
      <c r="C6" s="5" t="s">
        <v>6</v>
      </c>
    </row>
    <row r="7" customFormat="false" ht="15" hidden="false" customHeight="true" outlineLevel="0" collapsed="false">
      <c r="A7" s="4" t="s">
        <v>7</v>
      </c>
      <c r="C7" s="5" t="s">
        <v>8</v>
      </c>
    </row>
    <row r="8" customFormat="false" ht="15" hidden="false" customHeight="true" outlineLevel="0" collapsed="false">
      <c r="A8" s="4" t="s">
        <v>9</v>
      </c>
      <c r="C8" s="5" t="s">
        <v>10</v>
      </c>
    </row>
    <row r="9" customFormat="false" ht="15" hidden="false" customHeight="true" outlineLevel="0" collapsed="false">
      <c r="A9" s="4" t="s">
        <v>11</v>
      </c>
      <c r="C9" s="5" t="s">
        <v>12</v>
      </c>
    </row>
    <row r="10" customFormat="false" ht="15" hidden="false" customHeight="true" outlineLevel="0" collapsed="false">
      <c r="A10" s="4" t="s">
        <v>13</v>
      </c>
      <c r="C10" s="5" t="s">
        <v>14</v>
      </c>
    </row>
    <row r="11" customFormat="false" ht="15" hidden="false" customHeight="true" outlineLevel="0" collapsed="false">
      <c r="A11" s="4" t="s">
        <v>15</v>
      </c>
      <c r="C11" s="5" t="s">
        <v>16</v>
      </c>
    </row>
    <row r="12" customFormat="false" ht="15" hidden="false" customHeight="true" outlineLevel="0" collapsed="false">
      <c r="A12" s="4" t="s">
        <v>17</v>
      </c>
      <c r="C12" s="5" t="s">
        <v>18</v>
      </c>
    </row>
    <row r="13" customFormat="false" ht="15" hidden="false" customHeight="true" outlineLevel="0" collapsed="false">
      <c r="A13" s="4" t="s">
        <v>19</v>
      </c>
      <c r="C13" s="5" t="s">
        <v>20</v>
      </c>
    </row>
    <row r="14" customFormat="false" ht="15" hidden="false" customHeight="true" outlineLevel="0" collapsed="false">
      <c r="A14" s="4" t="s">
        <v>21</v>
      </c>
      <c r="C14" s="5" t="s">
        <v>22</v>
      </c>
    </row>
    <row r="15" customFormat="false" ht="15" hidden="false" customHeight="true" outlineLevel="0" collapsed="false">
      <c r="A15" s="4"/>
      <c r="C15" s="5"/>
    </row>
    <row r="16" customFormat="false" ht="15" hidden="false" customHeight="true" outlineLevel="0" collapsed="false">
      <c r="A16" s="6" t="s">
        <v>23</v>
      </c>
      <c r="C16" s="5"/>
    </row>
    <row r="17" customFormat="false" ht="15" hidden="false" customHeight="true" outlineLevel="0" collapsed="false">
      <c r="A17" s="7" t="s">
        <v>24</v>
      </c>
      <c r="C17" s="5" t="s">
        <v>25</v>
      </c>
    </row>
    <row r="18" customFormat="false" ht="15" hidden="false" customHeight="true" outlineLevel="0" collapsed="false">
      <c r="A18" s="4" t="s">
        <v>26</v>
      </c>
      <c r="C18" s="5" t="s">
        <v>27</v>
      </c>
    </row>
    <row r="19" customFormat="false" ht="15" hidden="false" customHeight="true" outlineLevel="0" collapsed="false">
      <c r="A19" s="4" t="s">
        <v>28</v>
      </c>
      <c r="C19" s="5" t="s">
        <v>29</v>
      </c>
    </row>
    <row r="20" customFormat="false" ht="15" hidden="false" customHeight="true" outlineLevel="0" collapsed="false">
      <c r="A20" s="4" t="s">
        <v>30</v>
      </c>
      <c r="C20" s="5" t="s">
        <v>31</v>
      </c>
    </row>
    <row r="21" customFormat="false" ht="15" hidden="false" customHeight="true" outlineLevel="0" collapsed="false">
      <c r="A21" s="4"/>
      <c r="C21" s="5"/>
    </row>
    <row r="22" customFormat="false" ht="15" hidden="false" customHeight="true" outlineLevel="0" collapsed="false">
      <c r="A22" s="6" t="s">
        <v>32</v>
      </c>
      <c r="C22" s="5"/>
    </row>
    <row r="23" customFormat="false" ht="15" hidden="false" customHeight="true" outlineLevel="0" collapsed="false">
      <c r="A23" s="4" t="s">
        <v>33</v>
      </c>
      <c r="C23" s="5" t="s">
        <v>34</v>
      </c>
    </row>
    <row r="24" customFormat="false" ht="15" hidden="false" customHeight="true" outlineLevel="0" collapsed="false">
      <c r="A24" s="4" t="s">
        <v>35</v>
      </c>
      <c r="C24" s="5" t="s">
        <v>36</v>
      </c>
    </row>
    <row r="25" customFormat="false" ht="15" hidden="false" customHeight="true" outlineLevel="0" collapsed="false">
      <c r="A25" s="4" t="s">
        <v>37</v>
      </c>
      <c r="C25" s="5" t="s">
        <v>38</v>
      </c>
    </row>
    <row r="26" customFormat="false" ht="15" hidden="false" customHeight="true" outlineLevel="0" collapsed="false">
      <c r="A26" s="4"/>
      <c r="C26" s="5"/>
    </row>
    <row r="27" customFormat="false" ht="15" hidden="false" customHeight="true" outlineLevel="0" collapsed="false">
      <c r="A27" s="6" t="s">
        <v>39</v>
      </c>
      <c r="C27" s="5"/>
    </row>
    <row r="28" customFormat="false" ht="15" hidden="false" customHeight="true" outlineLevel="0" collapsed="false">
      <c r="A28" s="4" t="s">
        <v>40</v>
      </c>
      <c r="C28" s="5" t="s">
        <v>41</v>
      </c>
    </row>
    <row r="29" customFormat="false" ht="15" hidden="false" customHeight="true" outlineLevel="0" collapsed="false">
      <c r="A29" s="4" t="s">
        <v>42</v>
      </c>
      <c r="C29" s="5" t="s">
        <v>43</v>
      </c>
    </row>
    <row r="30" customFormat="false" ht="15" hidden="false" customHeight="true" outlineLevel="0" collapsed="false">
      <c r="A30" s="4" t="s">
        <v>44</v>
      </c>
      <c r="C30" s="5" t="s">
        <v>45</v>
      </c>
    </row>
    <row r="31" customFormat="false" ht="15" hidden="false" customHeight="true" outlineLevel="0" collapsed="false">
      <c r="A31" s="4" t="s">
        <v>46</v>
      </c>
      <c r="C31" s="5" t="s">
        <v>47</v>
      </c>
    </row>
    <row r="32" customFormat="false" ht="15" hidden="false" customHeight="true" outlineLevel="0" collapsed="false">
      <c r="A32" s="4" t="s">
        <v>48</v>
      </c>
      <c r="C32" s="5" t="s">
        <v>49</v>
      </c>
    </row>
    <row r="33" customFormat="false" ht="15" hidden="false" customHeight="true" outlineLevel="0" collapsed="false">
      <c r="A33" s="4" t="s">
        <v>50</v>
      </c>
      <c r="C33" s="5" t="s">
        <v>51</v>
      </c>
    </row>
    <row r="34" customFormat="false" ht="15" hidden="false" customHeight="true" outlineLevel="0" collapsed="false">
      <c r="A34" s="4"/>
      <c r="C34" s="5"/>
    </row>
    <row r="35" customFormat="false" ht="21.75" hidden="false" customHeight="true" outlineLevel="0" collapsed="false">
      <c r="A35" s="6" t="s">
        <v>52</v>
      </c>
      <c r="C35" s="8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2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9" t="s">
        <v>56</v>
      </c>
      <c r="B4" s="10" t="n">
        <v>1</v>
      </c>
      <c r="C4" s="11" t="str">
        <f aca="false">CHOOSE($B$4,"BASE — current trajectory","BULL — accelerated backlog conversion","BEAR — deployment slowdown")</f>
        <v>BASE — current trajectory</v>
      </c>
    </row>
    <row r="6" customFormat="false" ht="15" hidden="false" customHeight="true" outlineLevel="0" collapsed="false">
      <c r="A6" s="6" t="s">
        <v>57</v>
      </c>
    </row>
    <row r="7" customFormat="false" ht="15" hidden="false" customHeight="true" outlineLevel="0" collapsed="false">
      <c r="A7" s="12"/>
      <c r="B7" s="12" t="s">
        <v>58</v>
      </c>
      <c r="C7" s="12" t="s">
        <v>59</v>
      </c>
      <c r="D7" s="12" t="s">
        <v>60</v>
      </c>
      <c r="E7" s="12" t="s">
        <v>61</v>
      </c>
    </row>
    <row r="8" customFormat="false" ht="15" hidden="false" customHeight="true" outlineLevel="0" collapsed="false">
      <c r="A8" s="4" t="s">
        <v>62</v>
      </c>
      <c r="B8" s="13" t="n">
        <v>0.5</v>
      </c>
      <c r="C8" s="13" t="n">
        <v>0.3</v>
      </c>
      <c r="D8" s="13" t="n">
        <v>0.2</v>
      </c>
      <c r="E8" s="14" t="n">
        <f aca="false">SUM(B8:D8)</f>
        <v>1</v>
      </c>
      <c r="F8" s="15" t="s">
        <v>63</v>
      </c>
    </row>
    <row r="10" customFormat="false" ht="15" hidden="false" customHeight="true" outlineLevel="0" collapsed="false">
      <c r="A10" s="6" t="s">
        <v>64</v>
      </c>
    </row>
    <row r="11" customFormat="false" ht="15" hidden="false" customHeight="true" outlineLevel="0" collapsed="false">
      <c r="A11" s="12"/>
      <c r="B11" s="12" t="s">
        <v>58</v>
      </c>
      <c r="C11" s="12" t="s">
        <v>59</v>
      </c>
      <c r="D11" s="12" t="s">
        <v>60</v>
      </c>
      <c r="E11" s="12" t="s">
        <v>65</v>
      </c>
    </row>
    <row r="12" customFormat="false" ht="15" hidden="false" customHeight="true" outlineLevel="0" collapsed="false">
      <c r="A12" s="4" t="s">
        <v>66</v>
      </c>
      <c r="B12" s="13" t="n">
        <v>0.2</v>
      </c>
      <c r="C12" s="13" t="n">
        <v>0.25</v>
      </c>
      <c r="D12" s="13" t="n">
        <v>0.13</v>
      </c>
      <c r="E12" s="14" t="n">
        <f aca="false">CHOOSE($B$4,B12,C12,D12)</f>
        <v>0.2</v>
      </c>
    </row>
    <row r="13" customFormat="false" ht="15" hidden="false" customHeight="true" outlineLevel="0" collapsed="false">
      <c r="A13" s="4" t="s">
        <v>67</v>
      </c>
      <c r="B13" s="13" t="n">
        <v>0.05</v>
      </c>
      <c r="C13" s="13" t="n">
        <v>0.08</v>
      </c>
      <c r="D13" s="13" t="n">
        <v>0.01</v>
      </c>
      <c r="E13" s="14" t="n">
        <f aca="false">CHOOSE($B$4,B13,C13,D13)</f>
        <v>0.05</v>
      </c>
    </row>
    <row r="14" customFormat="false" ht="15" hidden="false" customHeight="true" outlineLevel="0" collapsed="false">
      <c r="A14" s="15" t="s">
        <v>68</v>
      </c>
    </row>
    <row r="15" customFormat="false" ht="15" hidden="false" customHeight="true" outlineLevel="0" collapsed="false">
      <c r="A15" s="6" t="s">
        <v>69</v>
      </c>
    </row>
    <row r="16" customFormat="false" ht="15" hidden="false" customHeight="true" outlineLevel="0" collapsed="false">
      <c r="A16" s="12" t="s">
        <v>70</v>
      </c>
      <c r="B16" s="12" t="s">
        <v>71</v>
      </c>
      <c r="C16" s="12" t="s">
        <v>72</v>
      </c>
      <c r="D16" s="12" t="s">
        <v>73</v>
      </c>
      <c r="E16" s="12" t="s">
        <v>74</v>
      </c>
      <c r="F16" s="12" t="s">
        <v>65</v>
      </c>
    </row>
    <row r="17" customFormat="false" ht="15" hidden="false" customHeight="true" outlineLevel="0" collapsed="false">
      <c r="A17" s="4" t="s">
        <v>75</v>
      </c>
      <c r="B17" s="13" t="n">
        <v>0.205</v>
      </c>
      <c r="C17" s="13" t="n">
        <v>0.3</v>
      </c>
      <c r="D17" s="13" t="n">
        <v>0.33</v>
      </c>
      <c r="E17" s="13" t="n">
        <v>0.25</v>
      </c>
      <c r="F17" s="14" t="n">
        <f aca="false">CHOOSE($B$4,C17,D17,E17)</f>
        <v>0.3</v>
      </c>
    </row>
    <row r="18" customFormat="false" ht="15" hidden="false" customHeight="true" outlineLevel="0" collapsed="false">
      <c r="A18" s="4" t="s">
        <v>76</v>
      </c>
      <c r="B18" s="13" t="n">
        <v>0.045</v>
      </c>
      <c r="C18" s="13" t="n">
        <v>0.045</v>
      </c>
      <c r="D18" s="13" t="n">
        <v>0.04</v>
      </c>
      <c r="E18" s="13" t="n">
        <v>0.05</v>
      </c>
      <c r="F18" s="14" t="n">
        <f aca="false">CHOOSE($B$4,C18,D18,E18)</f>
        <v>0.045</v>
      </c>
    </row>
    <row r="19" customFormat="false" ht="15" hidden="false" customHeight="true" outlineLevel="0" collapsed="false">
      <c r="A19" s="4" t="s">
        <v>77</v>
      </c>
      <c r="B19" s="13" t="n">
        <v>0.046</v>
      </c>
      <c r="C19" s="13" t="n">
        <v>0.045</v>
      </c>
      <c r="D19" s="13" t="n">
        <v>0.04</v>
      </c>
      <c r="E19" s="13" t="n">
        <v>0.06</v>
      </c>
      <c r="F19" s="14" t="n">
        <f aca="false">CHOOSE($B$4,C19,D19,E19)</f>
        <v>0.045</v>
      </c>
    </row>
    <row r="20" customFormat="false" ht="15" hidden="false" customHeight="true" outlineLevel="0" collapsed="false">
      <c r="A20" s="4" t="s">
        <v>78</v>
      </c>
      <c r="B20" s="13" t="n">
        <v>0.067</v>
      </c>
      <c r="C20" s="13" t="n">
        <v>0.035</v>
      </c>
      <c r="D20" s="13" t="n">
        <v>0.035</v>
      </c>
      <c r="E20" s="13" t="n">
        <v>0.045</v>
      </c>
      <c r="F20" s="14" t="n">
        <f aca="false">CHOOSE($B$4,C20,D20,E20)</f>
        <v>0.035</v>
      </c>
    </row>
    <row r="21" customFormat="false" ht="15" hidden="false" customHeight="true" outlineLevel="0" collapsed="false">
      <c r="A21" s="4" t="s">
        <v>79</v>
      </c>
      <c r="B21" s="13" t="n">
        <v>0.025</v>
      </c>
      <c r="C21" s="13" t="n">
        <v>0.025</v>
      </c>
      <c r="D21" s="13" t="n">
        <v>0.025</v>
      </c>
      <c r="E21" s="13" t="n">
        <v>0.025</v>
      </c>
      <c r="F21" s="14" t="n">
        <f aca="false">CHOOSE($B$4,C21,D21,E21)</f>
        <v>0.025</v>
      </c>
    </row>
    <row r="22" customFormat="false" ht="15" hidden="false" customHeight="true" outlineLevel="0" collapsed="false">
      <c r="A22" s="4" t="s">
        <v>80</v>
      </c>
      <c r="B22" s="13" t="n">
        <v>0.03</v>
      </c>
      <c r="C22" s="13" t="n">
        <v>0.025</v>
      </c>
      <c r="D22" s="13" t="n">
        <v>0.03</v>
      </c>
      <c r="E22" s="13" t="n">
        <v>0.02</v>
      </c>
      <c r="F22" s="14" t="n">
        <f aca="false">CHOOSE($B$4,C22,D22,E22)</f>
        <v>0.025</v>
      </c>
    </row>
    <row r="23" customFormat="false" ht="15" hidden="false" customHeight="true" outlineLevel="0" collapsed="false">
      <c r="A23" s="4" t="s">
        <v>81</v>
      </c>
      <c r="B23" s="13" t="n">
        <v>0.15</v>
      </c>
      <c r="C23" s="13" t="n">
        <v>0.25</v>
      </c>
      <c r="D23" s="13" t="n">
        <v>0.25</v>
      </c>
      <c r="E23" s="13" t="n">
        <v>0.25</v>
      </c>
      <c r="F23" s="14" t="n">
        <f aca="false">CHOOSE($B$4,C23,D23,E23)</f>
        <v>0.25</v>
      </c>
    </row>
    <row r="24" customFormat="false" ht="15" hidden="false" customHeight="true" outlineLevel="0" collapsed="false">
      <c r="A24" s="4" t="s">
        <v>82</v>
      </c>
      <c r="B24" s="13" t="n">
        <v>0.4</v>
      </c>
      <c r="C24" s="13" t="n">
        <v>0.25</v>
      </c>
      <c r="D24" s="13" t="n">
        <v>0.28</v>
      </c>
      <c r="E24" s="13" t="n">
        <v>0.2</v>
      </c>
      <c r="F24" s="14" t="n">
        <f aca="false">CHOOSE($B$4,C24,D24,E24)</f>
        <v>0.25</v>
      </c>
    </row>
    <row r="25" customFormat="false" ht="15" hidden="false" customHeight="true" outlineLevel="0" collapsed="false">
      <c r="A25" s="15" t="s">
        <v>83</v>
      </c>
    </row>
    <row r="26" customFormat="false" ht="15" hidden="false" customHeight="true" outlineLevel="0" collapsed="false">
      <c r="A26" s="6" t="s">
        <v>84</v>
      </c>
    </row>
    <row r="27" customFormat="false" ht="15" hidden="false" customHeight="true" outlineLevel="0" collapsed="false">
      <c r="A27" s="4" t="s">
        <v>85</v>
      </c>
      <c r="B27" s="16" t="n">
        <v>45</v>
      </c>
    </row>
    <row r="28" customFormat="false" ht="15" hidden="false" customHeight="true" outlineLevel="0" collapsed="false">
      <c r="A28" s="4" t="s">
        <v>86</v>
      </c>
      <c r="B28" s="16" t="n">
        <v>55</v>
      </c>
    </row>
    <row r="29" customFormat="false" ht="15" hidden="false" customHeight="true" outlineLevel="0" collapsed="false">
      <c r="A29" s="4" t="s">
        <v>87</v>
      </c>
      <c r="B29" s="16" t="n">
        <v>75</v>
      </c>
    </row>
    <row r="30" customFormat="false" ht="15" hidden="false" customHeight="true" outlineLevel="0" collapsed="false">
      <c r="A30" s="4" t="s">
        <v>88</v>
      </c>
      <c r="B30" s="13" t="n">
        <v>0.1</v>
      </c>
    </row>
    <row r="31" customFormat="false" ht="15" hidden="false" customHeight="true" outlineLevel="0" collapsed="false">
      <c r="A31" s="4" t="s">
        <v>89</v>
      </c>
      <c r="B31" s="13" t="n">
        <v>0.03</v>
      </c>
    </row>
    <row r="33" customFormat="false" ht="15" hidden="false" customHeight="true" outlineLevel="0" collapsed="false">
      <c r="A33" s="6" t="s">
        <v>90</v>
      </c>
    </row>
    <row r="34" customFormat="false" ht="15" hidden="false" customHeight="true" outlineLevel="0" collapsed="false">
      <c r="A34" s="4" t="s">
        <v>91</v>
      </c>
      <c r="B34" s="13" t="n">
        <v>0.04</v>
      </c>
    </row>
    <row r="35" customFormat="false" ht="15" hidden="false" customHeight="true" outlineLevel="0" collapsed="false">
      <c r="A35" s="4" t="s">
        <v>92</v>
      </c>
      <c r="B35" s="13" t="n">
        <v>0.07</v>
      </c>
    </row>
    <row r="36" customFormat="false" ht="15" hidden="false" customHeight="true" outlineLevel="0" collapsed="false">
      <c r="A36" s="4" t="s">
        <v>93</v>
      </c>
      <c r="B36" s="17" t="n">
        <v>200</v>
      </c>
    </row>
    <row r="37" customFormat="false" ht="15" hidden="false" customHeight="true" outlineLevel="0" collapsed="false">
      <c r="A37" s="4" t="s">
        <v>94</v>
      </c>
      <c r="B37" s="16" t="n">
        <v>630</v>
      </c>
      <c r="C37" s="15" t="s">
        <v>95</v>
      </c>
    </row>
    <row r="38" customFormat="false" ht="15" hidden="false" customHeight="true" outlineLevel="0" collapsed="false">
      <c r="A38" s="4" t="s">
        <v>96</v>
      </c>
      <c r="B38" s="13" t="n">
        <v>0.25</v>
      </c>
    </row>
    <row r="40" customFormat="false" ht="15" hidden="false" customHeight="true" outlineLevel="0" collapsed="false">
      <c r="A40" s="6" t="s">
        <v>97</v>
      </c>
    </row>
    <row r="41" customFormat="false" ht="15" hidden="false" customHeight="true" outlineLevel="0" collapsed="false">
      <c r="A41" s="4" t="s">
        <v>98</v>
      </c>
      <c r="B41" s="13" t="n">
        <v>0.03</v>
      </c>
    </row>
    <row r="42" customFormat="false" ht="15" hidden="false" customHeight="true" outlineLevel="0" collapsed="false">
      <c r="A42" s="4" t="s">
        <v>99</v>
      </c>
      <c r="B42" s="18" t="n">
        <v>12</v>
      </c>
    </row>
    <row r="43" customFormat="false" ht="15" hidden="false" customHeight="true" outlineLevel="0" collapsed="false">
      <c r="A43" s="4" t="s">
        <v>100</v>
      </c>
      <c r="B43" s="19" t="n">
        <v>42.51</v>
      </c>
    </row>
    <row r="44" customFormat="false" ht="15" hidden="false" customHeight="true" outlineLevel="0" collapsed="false">
      <c r="A44" s="4" t="s">
        <v>101</v>
      </c>
      <c r="B44" s="17" t="n">
        <v>424</v>
      </c>
    </row>
    <row r="46" customFormat="false" ht="15" hidden="false" customHeight="true" outlineLevel="0" collapsed="false">
      <c r="A46" s="15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1" min="2" style="1" width="11"/>
  </cols>
  <sheetData>
    <row r="1" customFormat="false" ht="17.25" hidden="false" customHeight="true" outlineLevel="0" collapsed="false">
      <c r="A1" s="2" t="s">
        <v>103</v>
      </c>
    </row>
    <row r="4" customFormat="false" ht="15" hidden="false" customHeight="true" outlineLevel="0" collapsed="false">
      <c r="A4" s="12"/>
      <c r="B4" s="12" t="s">
        <v>104</v>
      </c>
      <c r="C4" s="12" t="s">
        <v>105</v>
      </c>
      <c r="D4" s="12" t="s">
        <v>106</v>
      </c>
      <c r="E4" s="12" t="s">
        <v>107</v>
      </c>
      <c r="F4" s="12"/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</row>
    <row r="5" customFormat="false" ht="15" hidden="false" customHeight="true" outlineLevel="0" collapsed="false">
      <c r="A5" s="9" t="s">
        <v>113</v>
      </c>
      <c r="B5" s="20" t="n">
        <v>593.3</v>
      </c>
      <c r="C5" s="20" t="n">
        <v>1176.6</v>
      </c>
      <c r="D5" s="20" t="n">
        <v>1783.3</v>
      </c>
      <c r="E5" s="20" t="n">
        <v>2246.9</v>
      </c>
      <c r="G5" s="20" t="n">
        <v>630</v>
      </c>
      <c r="H5" s="20" t="n">
        <v>676</v>
      </c>
      <c r="I5" s="17" t="n">
        <v>710</v>
      </c>
      <c r="J5" s="17" t="n">
        <v>755</v>
      </c>
      <c r="K5" s="21" t="n">
        <f aca="false">SUM(G5:J5)</f>
        <v>2771</v>
      </c>
    </row>
    <row r="6" customFormat="false" ht="15" hidden="false" customHeight="true" outlineLevel="0" collapsed="false">
      <c r="A6" s="4" t="s">
        <v>114</v>
      </c>
      <c r="C6" s="22" t="n">
        <f aca="false">C5/B5-1</f>
        <v>0.983145120512388</v>
      </c>
      <c r="D6" s="22" t="n">
        <f aca="false">D5/C5-1</f>
        <v>0.515638279789223</v>
      </c>
      <c r="E6" s="22" t="n">
        <f aca="false">E5/D5-1</f>
        <v>0.259967476027589</v>
      </c>
      <c r="K6" s="22" t="n">
        <f aca="false">K5/E5-1</f>
        <v>0.23325470648449</v>
      </c>
    </row>
    <row r="7" customFormat="false" ht="15" hidden="false" customHeight="true" outlineLevel="0" collapsed="false">
      <c r="A7" s="4" t="s">
        <v>115</v>
      </c>
      <c r="B7" s="20" t="n">
        <v>96.9</v>
      </c>
      <c r="C7" s="20" t="n">
        <v>192.5</v>
      </c>
      <c r="D7" s="20" t="n">
        <v>245.7</v>
      </c>
      <c r="E7" s="20" t="n">
        <v>422.6</v>
      </c>
    </row>
    <row r="8" customFormat="false" ht="15" hidden="false" customHeight="true" outlineLevel="0" collapsed="false">
      <c r="A8" s="4" t="s">
        <v>116</v>
      </c>
      <c r="B8" s="22" t="n">
        <f aca="false">B7/B5</f>
        <v>0.163323782234957</v>
      </c>
      <c r="C8" s="22" t="n">
        <f aca="false">C7/C5</f>
        <v>0.163607003229645</v>
      </c>
      <c r="D8" s="22" t="n">
        <f aca="false">D7/D5</f>
        <v>0.137778276229462</v>
      </c>
      <c r="E8" s="22" t="n">
        <f aca="false">E7/E5</f>
        <v>0.188081356535671</v>
      </c>
    </row>
    <row r="9" customFormat="false" ht="15" hidden="false" customHeight="true" outlineLevel="0" collapsed="false">
      <c r="A9" s="4" t="s">
        <v>117</v>
      </c>
      <c r="D9" s="20" t="n">
        <v>-116.7</v>
      </c>
      <c r="E9" s="20" t="n">
        <v>-115</v>
      </c>
    </row>
    <row r="10" customFormat="false" ht="15" hidden="false" customHeight="true" outlineLevel="0" collapsed="false">
      <c r="A10" s="4" t="s">
        <v>118</v>
      </c>
      <c r="B10" s="20" t="n">
        <v>-139.1</v>
      </c>
      <c r="C10" s="20" t="n">
        <v>-207.8</v>
      </c>
      <c r="D10" s="20" t="n">
        <v>-84.7</v>
      </c>
      <c r="E10" s="20" t="n">
        <v>-91</v>
      </c>
      <c r="G10" s="20" t="n">
        <v>13</v>
      </c>
      <c r="H10" s="20" t="n">
        <v>9</v>
      </c>
    </row>
    <row r="11" customFormat="false" ht="15" hidden="false" customHeight="true" outlineLevel="0" collapsed="false">
      <c r="A11" s="4" t="s">
        <v>119</v>
      </c>
      <c r="E11" s="20" t="n">
        <v>147</v>
      </c>
      <c r="G11" s="20" t="n">
        <v>67</v>
      </c>
      <c r="H11" s="20" t="n">
        <v>78</v>
      </c>
      <c r="I11" s="17" t="n">
        <v>82.5</v>
      </c>
      <c r="J11" s="17" t="n">
        <v>95</v>
      </c>
      <c r="K11" s="21" t="n">
        <f aca="false">SUM(G11:J11)</f>
        <v>322.5</v>
      </c>
    </row>
    <row r="12" customFormat="false" ht="15" hidden="false" customHeight="true" outlineLevel="0" collapsed="false">
      <c r="A12" s="4" t="s">
        <v>120</v>
      </c>
      <c r="E12" s="22" t="n">
        <f aca="false">E11/E5</f>
        <v>0.065423472339668</v>
      </c>
      <c r="K12" s="14" t="n">
        <f aca="false">K11/K5</f>
        <v>0.116383976903645</v>
      </c>
    </row>
    <row r="13" customFormat="false" ht="15" hidden="false" customHeight="true" outlineLevel="0" collapsed="false">
      <c r="A13" s="4" t="s">
        <v>121</v>
      </c>
      <c r="E13" s="20" t="n">
        <v>1245</v>
      </c>
      <c r="G13" s="20" t="n">
        <v>1800</v>
      </c>
      <c r="H13" s="20" t="n">
        <v>2000</v>
      </c>
    </row>
    <row r="14" customFormat="false" ht="15" hidden="false" customHeight="true" outlineLevel="0" collapsed="false">
      <c r="A14" s="4" t="s">
        <v>122</v>
      </c>
      <c r="E14" s="23" t="n">
        <v>22.5</v>
      </c>
      <c r="H14" s="23" t="n">
        <v>22.7</v>
      </c>
    </row>
    <row r="16" customFormat="false" ht="15" hidden="false" customHeight="true" outlineLevel="0" collapsed="false">
      <c r="A16" s="15" t="s">
        <v>123</v>
      </c>
    </row>
    <row r="17" customFormat="false" ht="15" hidden="false" customHeight="true" outlineLevel="0" collapsed="false">
      <c r="A17" s="15" t="s">
        <v>124</v>
      </c>
    </row>
    <row r="18" customFormat="false" ht="15" hidden="false" customHeight="true" outlineLevel="0" collapsed="false">
      <c r="A18" s="15" t="s">
        <v>125</v>
      </c>
    </row>
    <row r="19" customFormat="false" ht="15" hidden="false" customHeight="true" outlineLevel="0" collapsed="false">
      <c r="A19" s="15" t="s">
        <v>126</v>
      </c>
    </row>
    <row r="20" customFormat="false" ht="15" hidden="false" customHeight="true" outlineLevel="0" collapsed="false">
      <c r="A20" s="15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2" min="2" style="1" width="11"/>
    <col collapsed="false" customWidth="true" hidden="false" outlineLevel="0" max="13" min="13" style="1" width="40"/>
  </cols>
  <sheetData>
    <row r="1" customFormat="false" ht="17.25" hidden="false" customHeight="true" outlineLevel="0" collapsed="false">
      <c r="A1" s="2" t="s">
        <v>128</v>
      </c>
    </row>
    <row r="2" customFormat="false" ht="15" hidden="false" customHeight="true" outlineLevel="0" collapsed="false">
      <c r="A2" s="11" t="str">
        <f aca="false">CONCATENATE("Active scenario: ",CHOOSE(Assumptions!$B$4,"BASE","BULL","BEAR"))</f>
        <v>Active scenario: BASE</v>
      </c>
    </row>
    <row r="4" customFormat="false" ht="15" hidden="false" customHeight="true" outlineLevel="0" collapsed="false">
      <c r="A4" s="12"/>
      <c r="B4" s="12" t="s">
        <v>107</v>
      </c>
      <c r="C4" s="12" t="s">
        <v>112</v>
      </c>
      <c r="D4" s="12" t="s">
        <v>129</v>
      </c>
      <c r="E4" s="12" t="s">
        <v>130</v>
      </c>
      <c r="F4" s="12" t="s">
        <v>131</v>
      </c>
      <c r="G4" s="12" t="s">
        <v>132</v>
      </c>
      <c r="H4" s="12" t="s">
        <v>133</v>
      </c>
      <c r="I4" s="12" t="s">
        <v>134</v>
      </c>
      <c r="J4" s="12" t="s">
        <v>135</v>
      </c>
      <c r="K4" s="12" t="s">
        <v>136</v>
      </c>
      <c r="L4" s="12" t="s">
        <v>137</v>
      </c>
    </row>
    <row r="6" customFormat="false" ht="15" hidden="false" customHeight="true" outlineLevel="0" collapsed="false">
      <c r="A6" s="6" t="s">
        <v>138</v>
      </c>
    </row>
    <row r="7" customFormat="false" ht="15" hidden="false" customHeight="true" outlineLevel="0" collapsed="false">
      <c r="A7" s="4" t="s">
        <v>139</v>
      </c>
      <c r="C7" s="22" t="n">
        <f aca="false">C18/B18-1</f>
        <v>0.23325470648449</v>
      </c>
      <c r="D7" s="24" t="n">
        <f aca="false">Assumptions!$E$12+(Assumptions!$E$13-Assumptions!$E$12)*0/8</f>
        <v>0.2</v>
      </c>
      <c r="E7" s="24" t="n">
        <f aca="false">Assumptions!$E$12+(Assumptions!$E$13-Assumptions!$E$12)*1/8</f>
        <v>0.18125</v>
      </c>
      <c r="F7" s="24" t="n">
        <f aca="false">Assumptions!$E$12+(Assumptions!$E$13-Assumptions!$E$12)*2/8</f>
        <v>0.1625</v>
      </c>
      <c r="G7" s="24" t="n">
        <f aca="false">Assumptions!$E$12+(Assumptions!$E$13-Assumptions!$E$12)*3/8</f>
        <v>0.14375</v>
      </c>
      <c r="H7" s="24" t="n">
        <f aca="false">Assumptions!$E$12+(Assumptions!$E$13-Assumptions!$E$12)*4/8</f>
        <v>0.125</v>
      </c>
      <c r="I7" s="24" t="n">
        <f aca="false">Assumptions!$E$12+(Assumptions!$E$13-Assumptions!$E$12)*5/8</f>
        <v>0.10625</v>
      </c>
      <c r="J7" s="24" t="n">
        <f aca="false">Assumptions!$E$12+(Assumptions!$E$13-Assumptions!$E$12)*6/8</f>
        <v>0.0875</v>
      </c>
      <c r="K7" s="24" t="n">
        <f aca="false">Assumptions!$E$12+(Assumptions!$E$13-Assumptions!$E$12)*7/8</f>
        <v>0.06875</v>
      </c>
      <c r="L7" s="24" t="n">
        <f aca="false">Assumptions!$E$12+(Assumptions!$E$13-Assumptions!$E$12)*8/8</f>
        <v>0.05</v>
      </c>
    </row>
    <row r="8" customFormat="false" ht="15" hidden="false" customHeight="true" outlineLevel="0" collapsed="false">
      <c r="A8" s="4" t="s">
        <v>140</v>
      </c>
      <c r="C8" s="24" t="n">
        <f aca="false">Assumptions!$B$17</f>
        <v>0.205</v>
      </c>
      <c r="D8" s="24" t="n">
        <f aca="false">Assumptions!$B$17+(Assumptions!$F$17-Assumptions!$B$17)*1/9</f>
        <v>0.215555555555556</v>
      </c>
      <c r="E8" s="24" t="n">
        <f aca="false">Assumptions!$B$17+(Assumptions!$F$17-Assumptions!$B$17)*2/9</f>
        <v>0.226111111111111</v>
      </c>
      <c r="F8" s="24" t="n">
        <f aca="false">Assumptions!$B$17+(Assumptions!$F$17-Assumptions!$B$17)*3/9</f>
        <v>0.236666666666667</v>
      </c>
      <c r="G8" s="24" t="n">
        <f aca="false">Assumptions!$B$17+(Assumptions!$F$17-Assumptions!$B$17)*4/9</f>
        <v>0.247222222222222</v>
      </c>
      <c r="H8" s="24" t="n">
        <f aca="false">Assumptions!$B$17+(Assumptions!$F$17-Assumptions!$B$17)*5/9</f>
        <v>0.257777777777778</v>
      </c>
      <c r="I8" s="24" t="n">
        <f aca="false">Assumptions!$B$17+(Assumptions!$F$17-Assumptions!$B$17)*6/9</f>
        <v>0.268333333333333</v>
      </c>
      <c r="J8" s="24" t="n">
        <f aca="false">Assumptions!$B$17+(Assumptions!$F$17-Assumptions!$B$17)*7/9</f>
        <v>0.278888888888889</v>
      </c>
      <c r="K8" s="24" t="n">
        <f aca="false">Assumptions!$B$17+(Assumptions!$F$17-Assumptions!$B$17)*8/9</f>
        <v>0.289444444444444</v>
      </c>
      <c r="L8" s="24" t="n">
        <f aca="false">Assumptions!$B$17+(Assumptions!$F$17-Assumptions!$B$17)*9/9</f>
        <v>0.3</v>
      </c>
    </row>
    <row r="9" customFormat="false" ht="15" hidden="false" customHeight="true" outlineLevel="0" collapsed="false">
      <c r="A9" s="4" t="s">
        <v>141</v>
      </c>
      <c r="C9" s="24" t="n">
        <f aca="false">Assumptions!$B$18</f>
        <v>0.045</v>
      </c>
      <c r="D9" s="24" t="n">
        <f aca="false">Assumptions!$B$18+(Assumptions!$F$18-Assumptions!$B$18)*1/9</f>
        <v>0.045</v>
      </c>
      <c r="E9" s="24" t="n">
        <f aca="false">Assumptions!$B$18+(Assumptions!$F$18-Assumptions!$B$18)*2/9</f>
        <v>0.045</v>
      </c>
      <c r="F9" s="24" t="n">
        <f aca="false">Assumptions!$B$18+(Assumptions!$F$18-Assumptions!$B$18)*3/9</f>
        <v>0.045</v>
      </c>
      <c r="G9" s="24" t="n">
        <f aca="false">Assumptions!$B$18+(Assumptions!$F$18-Assumptions!$B$18)*4/9</f>
        <v>0.045</v>
      </c>
      <c r="H9" s="24" t="n">
        <f aca="false">Assumptions!$B$18+(Assumptions!$F$18-Assumptions!$B$18)*5/9</f>
        <v>0.045</v>
      </c>
      <c r="I9" s="24" t="n">
        <f aca="false">Assumptions!$B$18+(Assumptions!$F$18-Assumptions!$B$18)*6/9</f>
        <v>0.045</v>
      </c>
      <c r="J9" s="24" t="n">
        <f aca="false">Assumptions!$B$18+(Assumptions!$F$18-Assumptions!$B$18)*7/9</f>
        <v>0.045</v>
      </c>
      <c r="K9" s="24" t="n">
        <f aca="false">Assumptions!$B$18+(Assumptions!$F$18-Assumptions!$B$18)*8/9</f>
        <v>0.045</v>
      </c>
      <c r="L9" s="24" t="n">
        <f aca="false">Assumptions!$B$18+(Assumptions!$F$18-Assumptions!$B$18)*9/9</f>
        <v>0.045</v>
      </c>
    </row>
    <row r="10" customFormat="false" ht="15" hidden="false" customHeight="true" outlineLevel="0" collapsed="false">
      <c r="A10" s="4" t="s">
        <v>142</v>
      </c>
      <c r="C10" s="24" t="n">
        <f aca="false">Assumptions!$B$19</f>
        <v>0.046</v>
      </c>
      <c r="D10" s="24" t="n">
        <f aca="false">Assumptions!$B$19+(Assumptions!$F$19-Assumptions!$B$19)*1/9</f>
        <v>0.0458888888888889</v>
      </c>
      <c r="E10" s="24" t="n">
        <f aca="false">Assumptions!$B$19+(Assumptions!$F$19-Assumptions!$B$19)*2/9</f>
        <v>0.0457777777777778</v>
      </c>
      <c r="F10" s="24" t="n">
        <f aca="false">Assumptions!$B$19+(Assumptions!$F$19-Assumptions!$B$19)*3/9</f>
        <v>0.0456666666666667</v>
      </c>
      <c r="G10" s="24" t="n">
        <f aca="false">Assumptions!$B$19+(Assumptions!$F$19-Assumptions!$B$19)*4/9</f>
        <v>0.0455555555555556</v>
      </c>
      <c r="H10" s="24" t="n">
        <f aca="false">Assumptions!$B$19+(Assumptions!$F$19-Assumptions!$B$19)*5/9</f>
        <v>0.0454444444444444</v>
      </c>
      <c r="I10" s="24" t="n">
        <f aca="false">Assumptions!$B$19+(Assumptions!$F$19-Assumptions!$B$19)*6/9</f>
        <v>0.0453333333333333</v>
      </c>
      <c r="J10" s="24" t="n">
        <f aca="false">Assumptions!$B$19+(Assumptions!$F$19-Assumptions!$B$19)*7/9</f>
        <v>0.0452222222222222</v>
      </c>
      <c r="K10" s="24" t="n">
        <f aca="false">Assumptions!$B$19+(Assumptions!$F$19-Assumptions!$B$19)*8/9</f>
        <v>0.0451111111111111</v>
      </c>
      <c r="L10" s="24" t="n">
        <f aca="false">Assumptions!$B$19+(Assumptions!$F$19-Assumptions!$B$19)*9/9</f>
        <v>0.045</v>
      </c>
    </row>
    <row r="11" customFormat="false" ht="15" hidden="false" customHeight="true" outlineLevel="0" collapsed="false">
      <c r="A11" s="4" t="s">
        <v>143</v>
      </c>
      <c r="C11" s="24" t="n">
        <f aca="false">Assumptions!$B$20</f>
        <v>0.067</v>
      </c>
      <c r="D11" s="24" t="n">
        <f aca="false">Assumptions!$B$20+(Assumptions!$F$20-Assumptions!$B$20)*1/9</f>
        <v>0.0634444444444444</v>
      </c>
      <c r="E11" s="24" t="n">
        <f aca="false">Assumptions!$B$20+(Assumptions!$F$20-Assumptions!$B$20)*2/9</f>
        <v>0.0598888888888889</v>
      </c>
      <c r="F11" s="24" t="n">
        <f aca="false">Assumptions!$B$20+(Assumptions!$F$20-Assumptions!$B$20)*3/9</f>
        <v>0.0563333333333333</v>
      </c>
      <c r="G11" s="24" t="n">
        <f aca="false">Assumptions!$B$20+(Assumptions!$F$20-Assumptions!$B$20)*4/9</f>
        <v>0.0527777777777778</v>
      </c>
      <c r="H11" s="24" t="n">
        <f aca="false">Assumptions!$B$20+(Assumptions!$F$20-Assumptions!$B$20)*5/9</f>
        <v>0.0492222222222222</v>
      </c>
      <c r="I11" s="24" t="n">
        <f aca="false">Assumptions!$B$20+(Assumptions!$F$20-Assumptions!$B$20)*6/9</f>
        <v>0.0456666666666667</v>
      </c>
      <c r="J11" s="24" t="n">
        <f aca="false">Assumptions!$B$20+(Assumptions!$F$20-Assumptions!$B$20)*7/9</f>
        <v>0.0421111111111111</v>
      </c>
      <c r="K11" s="24" t="n">
        <f aca="false">Assumptions!$B$20+(Assumptions!$F$20-Assumptions!$B$20)*8/9</f>
        <v>0.0385555555555556</v>
      </c>
      <c r="L11" s="24" t="n">
        <f aca="false">Assumptions!$B$20+(Assumptions!$F$20-Assumptions!$B$20)*9/9</f>
        <v>0.035</v>
      </c>
    </row>
    <row r="12" customFormat="false" ht="15" hidden="false" customHeight="true" outlineLevel="0" collapsed="false">
      <c r="A12" s="4" t="s">
        <v>144</v>
      </c>
      <c r="C12" s="24" t="n">
        <f aca="false">Assumptions!$B$21</f>
        <v>0.025</v>
      </c>
      <c r="D12" s="24" t="n">
        <f aca="false">Assumptions!$B$21+(Assumptions!$F$21-Assumptions!$B$21)*1/9</f>
        <v>0.025</v>
      </c>
      <c r="E12" s="24" t="n">
        <f aca="false">Assumptions!$B$21+(Assumptions!$F$21-Assumptions!$B$21)*2/9</f>
        <v>0.025</v>
      </c>
      <c r="F12" s="24" t="n">
        <f aca="false">Assumptions!$B$21+(Assumptions!$F$21-Assumptions!$B$21)*3/9</f>
        <v>0.025</v>
      </c>
      <c r="G12" s="24" t="n">
        <f aca="false">Assumptions!$B$21+(Assumptions!$F$21-Assumptions!$B$21)*4/9</f>
        <v>0.025</v>
      </c>
      <c r="H12" s="24" t="n">
        <f aca="false">Assumptions!$B$21+(Assumptions!$F$21-Assumptions!$B$21)*5/9</f>
        <v>0.025</v>
      </c>
      <c r="I12" s="24" t="n">
        <f aca="false">Assumptions!$B$21+(Assumptions!$F$21-Assumptions!$B$21)*6/9</f>
        <v>0.025</v>
      </c>
      <c r="J12" s="24" t="n">
        <f aca="false">Assumptions!$B$21+(Assumptions!$F$21-Assumptions!$B$21)*7/9</f>
        <v>0.025</v>
      </c>
      <c r="K12" s="24" t="n">
        <f aca="false">Assumptions!$B$21+(Assumptions!$F$21-Assumptions!$B$21)*8/9</f>
        <v>0.025</v>
      </c>
      <c r="L12" s="24" t="n">
        <f aca="false">Assumptions!$B$21+(Assumptions!$F$21-Assumptions!$B$21)*9/9</f>
        <v>0.025</v>
      </c>
    </row>
    <row r="13" customFormat="false" ht="15" hidden="false" customHeight="true" outlineLevel="0" collapsed="false">
      <c r="A13" s="4" t="s">
        <v>145</v>
      </c>
      <c r="C13" s="24" t="n">
        <f aca="false">Assumptions!$B$22</f>
        <v>0.03</v>
      </c>
      <c r="D13" s="24" t="n">
        <f aca="false">Assumptions!$B$22+(Assumptions!$F$22-Assumptions!$B$22)*1/9</f>
        <v>0.0294444444444444</v>
      </c>
      <c r="E13" s="24" t="n">
        <f aca="false">Assumptions!$B$22+(Assumptions!$F$22-Assumptions!$B$22)*2/9</f>
        <v>0.0288888888888889</v>
      </c>
      <c r="F13" s="24" t="n">
        <f aca="false">Assumptions!$B$22+(Assumptions!$F$22-Assumptions!$B$22)*3/9</f>
        <v>0.0283333333333333</v>
      </c>
      <c r="G13" s="24" t="n">
        <f aca="false">Assumptions!$B$22+(Assumptions!$F$22-Assumptions!$B$22)*4/9</f>
        <v>0.0277777777777778</v>
      </c>
      <c r="H13" s="24" t="n">
        <f aca="false">Assumptions!$B$22+(Assumptions!$F$22-Assumptions!$B$22)*5/9</f>
        <v>0.0272222222222222</v>
      </c>
      <c r="I13" s="24" t="n">
        <f aca="false">Assumptions!$B$22+(Assumptions!$F$22-Assumptions!$B$22)*6/9</f>
        <v>0.0266666666666667</v>
      </c>
      <c r="J13" s="24" t="n">
        <f aca="false">Assumptions!$B$22+(Assumptions!$F$22-Assumptions!$B$22)*7/9</f>
        <v>0.0261111111111111</v>
      </c>
      <c r="K13" s="24" t="n">
        <f aca="false">Assumptions!$B$22+(Assumptions!$F$22-Assumptions!$B$22)*8/9</f>
        <v>0.0255555555555556</v>
      </c>
      <c r="L13" s="24" t="n">
        <f aca="false">Assumptions!$B$22+(Assumptions!$F$22-Assumptions!$B$22)*9/9</f>
        <v>0.025</v>
      </c>
    </row>
    <row r="14" customFormat="false" ht="15" hidden="false" customHeight="true" outlineLevel="0" collapsed="false">
      <c r="A14" s="4" t="s">
        <v>146</v>
      </c>
      <c r="C14" s="24" t="n">
        <f aca="false">Assumptions!$B$23</f>
        <v>0.15</v>
      </c>
      <c r="D14" s="24" t="n">
        <f aca="false">Assumptions!$B$23+(Assumptions!$F$23-Assumptions!$B$23)*1/9</f>
        <v>0.161111111111111</v>
      </c>
      <c r="E14" s="24" t="n">
        <f aca="false">Assumptions!$B$23+(Assumptions!$F$23-Assumptions!$B$23)*2/9</f>
        <v>0.172222222222222</v>
      </c>
      <c r="F14" s="24" t="n">
        <f aca="false">Assumptions!$B$23+(Assumptions!$F$23-Assumptions!$B$23)*3/9</f>
        <v>0.183333333333333</v>
      </c>
      <c r="G14" s="24" t="n">
        <f aca="false">Assumptions!$B$23+(Assumptions!$F$23-Assumptions!$B$23)*4/9</f>
        <v>0.194444444444444</v>
      </c>
      <c r="H14" s="24" t="n">
        <f aca="false">Assumptions!$B$23+(Assumptions!$F$23-Assumptions!$B$23)*5/9</f>
        <v>0.205555555555556</v>
      </c>
      <c r="I14" s="24" t="n">
        <f aca="false">Assumptions!$B$23+(Assumptions!$F$23-Assumptions!$B$23)*6/9</f>
        <v>0.216666666666667</v>
      </c>
      <c r="J14" s="24" t="n">
        <f aca="false">Assumptions!$B$23+(Assumptions!$F$23-Assumptions!$B$23)*7/9</f>
        <v>0.227777777777778</v>
      </c>
      <c r="K14" s="24" t="n">
        <f aca="false">Assumptions!$B$23+(Assumptions!$F$23-Assumptions!$B$23)*8/9</f>
        <v>0.238888888888889</v>
      </c>
      <c r="L14" s="24" t="n">
        <f aca="false">Assumptions!$B$23+(Assumptions!$F$23-Assumptions!$B$23)*9/9</f>
        <v>0.25</v>
      </c>
    </row>
    <row r="15" customFormat="false" ht="15" hidden="false" customHeight="true" outlineLevel="0" collapsed="false">
      <c r="A15" s="4" t="s">
        <v>147</v>
      </c>
      <c r="C15" s="24" t="n">
        <f aca="false">Assumptions!$B$24</f>
        <v>0.4</v>
      </c>
      <c r="D15" s="24" t="n">
        <f aca="false">Assumptions!$B$24+(Assumptions!$F$24-Assumptions!$B$24)*1/9</f>
        <v>0.383333333333333</v>
      </c>
      <c r="E15" s="24" t="n">
        <f aca="false">Assumptions!$B$24+(Assumptions!$F$24-Assumptions!$B$24)*2/9</f>
        <v>0.366666666666667</v>
      </c>
      <c r="F15" s="24" t="n">
        <f aca="false">Assumptions!$B$24+(Assumptions!$F$24-Assumptions!$B$24)*3/9</f>
        <v>0.35</v>
      </c>
      <c r="G15" s="24" t="n">
        <f aca="false">Assumptions!$B$24+(Assumptions!$F$24-Assumptions!$B$24)*4/9</f>
        <v>0.333333333333333</v>
      </c>
      <c r="H15" s="24" t="n">
        <f aca="false">Assumptions!$B$24+(Assumptions!$F$24-Assumptions!$B$24)*5/9</f>
        <v>0.316666666666667</v>
      </c>
      <c r="I15" s="24" t="n">
        <f aca="false">Assumptions!$B$24+(Assumptions!$F$24-Assumptions!$B$24)*6/9</f>
        <v>0.3</v>
      </c>
      <c r="J15" s="24" t="n">
        <f aca="false">Assumptions!$B$24+(Assumptions!$F$24-Assumptions!$B$24)*7/9</f>
        <v>0.283333333333333</v>
      </c>
      <c r="K15" s="24" t="n">
        <f aca="false">Assumptions!$B$24+(Assumptions!$F$24-Assumptions!$B$24)*8/9</f>
        <v>0.266666666666667</v>
      </c>
      <c r="L15" s="24" t="n">
        <f aca="false">Assumptions!$B$24+(Assumptions!$F$24-Assumptions!$B$24)*9/9</f>
        <v>0.25</v>
      </c>
    </row>
    <row r="17" customFormat="false" ht="15" hidden="false" customHeight="true" outlineLevel="0" collapsed="false">
      <c r="A17" s="6" t="s">
        <v>148</v>
      </c>
    </row>
    <row r="18" customFormat="false" ht="15" hidden="false" customHeight="true" outlineLevel="0" collapsed="false">
      <c r="A18" s="9" t="s">
        <v>113</v>
      </c>
      <c r="B18" s="25" t="n">
        <f aca="false">Historicals!E5</f>
        <v>2246.9</v>
      </c>
      <c r="C18" s="26" t="n">
        <f aca="false">Historicals!K5</f>
        <v>2771</v>
      </c>
      <c r="D18" s="21" t="n">
        <f aca="false">C18*(1+D7)</f>
        <v>3325.2</v>
      </c>
      <c r="E18" s="21" t="n">
        <f aca="false">D18*(1+E7)</f>
        <v>3927.8925</v>
      </c>
      <c r="F18" s="21" t="n">
        <f aca="false">E18*(1+F7)</f>
        <v>4566.17503125</v>
      </c>
      <c r="G18" s="21" t="n">
        <f aca="false">F18*(1+G7)</f>
        <v>5222.56269199219</v>
      </c>
      <c r="H18" s="21" t="n">
        <f aca="false">G18*(1+H7)</f>
        <v>5875.38302849121</v>
      </c>
      <c r="I18" s="21" t="n">
        <f aca="false">H18*(1+I7)</f>
        <v>6499.6424752684</v>
      </c>
      <c r="J18" s="21" t="n">
        <f aca="false">I18*(1+J7)</f>
        <v>7068.36119185439</v>
      </c>
      <c r="K18" s="21" t="n">
        <f aca="false">J18*(1+K7)</f>
        <v>7554.31102379438</v>
      </c>
      <c r="L18" s="21" t="n">
        <f aca="false">K18*(1+L7)</f>
        <v>7932.0265749841</v>
      </c>
    </row>
    <row r="19" customFormat="false" ht="15" hidden="false" customHeight="true" outlineLevel="0" collapsed="false">
      <c r="A19" s="4" t="s">
        <v>149</v>
      </c>
      <c r="C19" s="27" t="n">
        <f aca="false">-C18*(1-C8)</f>
        <v>-2202.945</v>
      </c>
      <c r="D19" s="27" t="n">
        <f aca="false">-D18*(1-D8)</f>
        <v>-2608.43466666667</v>
      </c>
      <c r="E19" s="27" t="n">
        <f aca="false">-E18*(1-E8)</f>
        <v>-3039.7523625</v>
      </c>
      <c r="F19" s="27" t="n">
        <f aca="false">-F18*(1-F8)</f>
        <v>-3485.5136071875</v>
      </c>
      <c r="G19" s="27" t="n">
        <f aca="false">-G18*(1-G8)</f>
        <v>-3931.42913758301</v>
      </c>
      <c r="H19" s="27" t="n">
        <f aca="false">-H18*(1-H8)</f>
        <v>-4360.83984781348</v>
      </c>
      <c r="I19" s="27" t="n">
        <f aca="false">-I18*(1-I8)</f>
        <v>-4755.57174440471</v>
      </c>
      <c r="J19" s="27" t="n">
        <f aca="false">-J18*(1-J8)</f>
        <v>-5097.07379279277</v>
      </c>
      <c r="K19" s="27" t="n">
        <f aca="false">-K18*(1-K8)</f>
        <v>-5367.75766635167</v>
      </c>
      <c r="L19" s="27" t="n">
        <f aca="false">-L18*(1-L8)</f>
        <v>-5552.41860248887</v>
      </c>
    </row>
    <row r="20" customFormat="false" ht="15" hidden="false" customHeight="true" outlineLevel="0" collapsed="false">
      <c r="A20" s="9" t="s">
        <v>115</v>
      </c>
      <c r="C20" s="21" t="n">
        <f aca="false">C18+C19</f>
        <v>568.055</v>
      </c>
      <c r="D20" s="21" t="n">
        <f aca="false">D18+D19</f>
        <v>716.765333333333</v>
      </c>
      <c r="E20" s="21" t="n">
        <f aca="false">E18+E19</f>
        <v>888.1401375</v>
      </c>
      <c r="F20" s="21" t="n">
        <f aca="false">F18+F19</f>
        <v>1080.6614240625</v>
      </c>
      <c r="G20" s="21" t="n">
        <f aca="false">G18+G19</f>
        <v>1291.13355440918</v>
      </c>
      <c r="H20" s="21" t="n">
        <f aca="false">H18+H19</f>
        <v>1514.54318067773</v>
      </c>
      <c r="I20" s="21" t="n">
        <f aca="false">I18+I19</f>
        <v>1744.07073086369</v>
      </c>
      <c r="J20" s="21" t="n">
        <f aca="false">J18+J19</f>
        <v>1971.28739906161</v>
      </c>
      <c r="K20" s="21" t="n">
        <f aca="false">K18+K19</f>
        <v>2186.55335744271</v>
      </c>
      <c r="L20" s="21" t="n">
        <f aca="false">L18+L19</f>
        <v>2379.60797249523</v>
      </c>
    </row>
    <row r="21" customFormat="false" ht="15" hidden="false" customHeight="true" outlineLevel="0" collapsed="false">
      <c r="A21" s="4" t="s">
        <v>150</v>
      </c>
      <c r="C21" s="27" t="n">
        <f aca="false">-C18*C9</f>
        <v>-124.695</v>
      </c>
      <c r="D21" s="27" t="n">
        <f aca="false">-D18*D9</f>
        <v>-149.634</v>
      </c>
      <c r="E21" s="27" t="n">
        <f aca="false">-E18*E9</f>
        <v>-176.7551625</v>
      </c>
      <c r="F21" s="27" t="n">
        <f aca="false">-F18*F9</f>
        <v>-205.47787640625</v>
      </c>
      <c r="G21" s="27" t="n">
        <f aca="false">-G18*G9</f>
        <v>-235.015321139648</v>
      </c>
      <c r="H21" s="27" t="n">
        <f aca="false">-H18*H9</f>
        <v>-264.392236282105</v>
      </c>
      <c r="I21" s="27" t="n">
        <f aca="false">-I18*I9</f>
        <v>-292.483911387078</v>
      </c>
      <c r="J21" s="27" t="n">
        <f aca="false">-J18*J9</f>
        <v>-318.076253633447</v>
      </c>
      <c r="K21" s="27" t="n">
        <f aca="false">-K18*K9</f>
        <v>-339.943996070747</v>
      </c>
      <c r="L21" s="27" t="n">
        <f aca="false">-L18*L9</f>
        <v>-356.941195874284</v>
      </c>
    </row>
    <row r="22" customFormat="false" ht="15" hidden="false" customHeight="true" outlineLevel="0" collapsed="false">
      <c r="A22" s="4" t="s">
        <v>151</v>
      </c>
      <c r="C22" s="27" t="n">
        <f aca="false">-C18*C10</f>
        <v>-127.466</v>
      </c>
      <c r="D22" s="27" t="n">
        <f aca="false">-D18*D10</f>
        <v>-152.589733333333</v>
      </c>
      <c r="E22" s="27" t="n">
        <f aca="false">-E18*E10</f>
        <v>-179.81019</v>
      </c>
      <c r="F22" s="27" t="n">
        <f aca="false">-F18*F10</f>
        <v>-208.52199309375</v>
      </c>
      <c r="G22" s="27" t="n">
        <f aca="false">-G18*G10</f>
        <v>-237.916744857422</v>
      </c>
      <c r="H22" s="27" t="n">
        <f aca="false">-H18*H10</f>
        <v>-267.003517628101</v>
      </c>
      <c r="I22" s="27" t="n">
        <f aca="false">-I18*I10</f>
        <v>-294.650458878834</v>
      </c>
      <c r="J22" s="27" t="n">
        <f aca="false">-J18*J10</f>
        <v>-319.647000564971</v>
      </c>
      <c r="K22" s="27" t="n">
        <f aca="false">-K18*K10</f>
        <v>-340.78336396228</v>
      </c>
      <c r="L22" s="27" t="n">
        <f aca="false">-L18*L10</f>
        <v>-356.941195874284</v>
      </c>
    </row>
    <row r="23" customFormat="false" ht="15" hidden="false" customHeight="true" outlineLevel="0" collapsed="false">
      <c r="A23" s="9" t="s">
        <v>119</v>
      </c>
      <c r="C23" s="21" t="n">
        <f aca="false">C20+C21+C22</f>
        <v>315.894</v>
      </c>
      <c r="D23" s="21" t="n">
        <f aca="false">D20+D21+D22</f>
        <v>414.5416</v>
      </c>
      <c r="E23" s="21" t="n">
        <f aca="false">E20+E21+E22</f>
        <v>531.574785</v>
      </c>
      <c r="F23" s="21" t="n">
        <f aca="false">F20+F21+F22</f>
        <v>666.6615545625</v>
      </c>
      <c r="G23" s="21" t="n">
        <f aca="false">G20+G21+G22</f>
        <v>818.20148841211</v>
      </c>
      <c r="H23" s="21" t="n">
        <f aca="false">H20+H21+H22</f>
        <v>983.147426767529</v>
      </c>
      <c r="I23" s="21" t="n">
        <f aca="false">I20+I21+I22</f>
        <v>1156.93636059778</v>
      </c>
      <c r="J23" s="21" t="n">
        <f aca="false">J20+J21+J22</f>
        <v>1333.56414486319</v>
      </c>
      <c r="K23" s="21" t="n">
        <f aca="false">K20+K21+K22</f>
        <v>1505.82599740968</v>
      </c>
      <c r="L23" s="21" t="n">
        <f aca="false">L20+L21+L22</f>
        <v>1665.72558074666</v>
      </c>
    </row>
    <row r="24" customFormat="false" ht="15" hidden="false" customHeight="true" outlineLevel="0" collapsed="false">
      <c r="A24" s="4" t="s">
        <v>152</v>
      </c>
      <c r="C24" s="27" t="n">
        <f aca="false">-C18*C11</f>
        <v>-185.657</v>
      </c>
      <c r="D24" s="27" t="n">
        <f aca="false">-D18*D11</f>
        <v>-210.965466666667</v>
      </c>
      <c r="E24" s="27" t="n">
        <f aca="false">-E18*E11</f>
        <v>-235.2371175</v>
      </c>
      <c r="F24" s="27" t="n">
        <f aca="false">-F18*F11</f>
        <v>-257.22786009375</v>
      </c>
      <c r="G24" s="27" t="n">
        <f aca="false">-G18*G11</f>
        <v>-275.635253188477</v>
      </c>
      <c r="H24" s="27" t="n">
        <f aca="false">-H18*H11</f>
        <v>-289.199409069067</v>
      </c>
      <c r="I24" s="27" t="n">
        <f aca="false">-I18*I11</f>
        <v>-296.81700637059</v>
      </c>
      <c r="J24" s="27" t="n">
        <f aca="false">-J18*J11</f>
        <v>-297.656543523646</v>
      </c>
      <c r="K24" s="27" t="n">
        <f aca="false">-K18*K11</f>
        <v>-291.26065836185</v>
      </c>
      <c r="L24" s="27" t="n">
        <f aca="false">-L18*L11</f>
        <v>-277.620930124443</v>
      </c>
    </row>
    <row r="25" customFormat="false" ht="15" hidden="false" customHeight="true" outlineLevel="0" collapsed="false">
      <c r="A25" s="4" t="s">
        <v>153</v>
      </c>
      <c r="C25" s="27" t="n">
        <f aca="false">-C18*C12</f>
        <v>-69.275</v>
      </c>
      <c r="D25" s="27" t="n">
        <f aca="false">-D18*D12</f>
        <v>-83.13</v>
      </c>
      <c r="E25" s="27" t="n">
        <f aca="false">-E18*E12</f>
        <v>-98.1973125</v>
      </c>
      <c r="F25" s="27" t="n">
        <f aca="false">-F18*F12</f>
        <v>-114.15437578125</v>
      </c>
      <c r="G25" s="27" t="n">
        <f aca="false">-G18*G12</f>
        <v>-130.564067299805</v>
      </c>
      <c r="H25" s="27" t="n">
        <f aca="false">-H18*H12</f>
        <v>-146.88457571228</v>
      </c>
      <c r="I25" s="27" t="n">
        <f aca="false">-I18*I12</f>
        <v>-162.49106188171</v>
      </c>
      <c r="J25" s="27" t="n">
        <f aca="false">-J18*J12</f>
        <v>-176.70902979636</v>
      </c>
      <c r="K25" s="27" t="n">
        <f aca="false">-K18*K12</f>
        <v>-188.857775594859</v>
      </c>
      <c r="L25" s="27" t="n">
        <f aca="false">-L18*L12</f>
        <v>-198.300664374602</v>
      </c>
    </row>
    <row r="26" customFormat="false" ht="15" hidden="false" customHeight="true" outlineLevel="0" collapsed="false">
      <c r="A26" s="9" t="s">
        <v>154</v>
      </c>
      <c r="C26" s="21" t="n">
        <f aca="false">C23+C24+C25</f>
        <v>60.9619999999998</v>
      </c>
      <c r="D26" s="21" t="n">
        <f aca="false">D23+D24+D25</f>
        <v>120.446133333333</v>
      </c>
      <c r="E26" s="21" t="n">
        <f aca="false">E23+E24+E25</f>
        <v>198.140355</v>
      </c>
      <c r="F26" s="21" t="n">
        <f aca="false">F23+F24+F25</f>
        <v>295.2793186875</v>
      </c>
      <c r="G26" s="21" t="n">
        <f aca="false">G23+G24+G25</f>
        <v>412.002167923828</v>
      </c>
      <c r="H26" s="21" t="n">
        <f aca="false">H23+H24+H25</f>
        <v>547.063441986182</v>
      </c>
      <c r="I26" s="21" t="n">
        <f aca="false">I23+I24+I25</f>
        <v>697.628292345475</v>
      </c>
      <c r="J26" s="21" t="n">
        <f aca="false">J23+J24+J25</f>
        <v>859.198571543188</v>
      </c>
      <c r="K26" s="21" t="n">
        <f aca="false">K23+K24+K25</f>
        <v>1025.70756345297</v>
      </c>
      <c r="L26" s="21" t="n">
        <f aca="false">L23+L24+L25</f>
        <v>1189.80398624761</v>
      </c>
    </row>
    <row r="27" customFormat="false" ht="15" hidden="false" customHeight="true" outlineLevel="0" collapsed="false">
      <c r="A27" s="4" t="s">
        <v>155</v>
      </c>
      <c r="C27" s="27" t="n">
        <f aca="false">B70*Assumptions!$B$34</f>
        <v>49.8</v>
      </c>
      <c r="D27" s="27" t="n">
        <f aca="false">C70*Assumptions!$B$34</f>
        <v>83.4559551232877</v>
      </c>
      <c r="E27" s="27" t="n">
        <f aca="false">D70*Assumptions!$B$34</f>
        <v>104.503338359383</v>
      </c>
      <c r="F27" s="27" t="n">
        <f aca="false">E70*Assumptions!$B$34</f>
        <v>129.606087179383</v>
      </c>
      <c r="G27" s="27" t="n">
        <f aca="false">F70*Assumptions!$B$34</f>
        <v>159.099835968221</v>
      </c>
      <c r="H27" s="27" t="n">
        <f aca="false">G70*Assumptions!$B$34</f>
        <v>193.233110135272</v>
      </c>
      <c r="I27" s="27" t="n">
        <f aca="false">H70*Assumptions!$B$34</f>
        <v>232.140841826922</v>
      </c>
      <c r="J27" s="27" t="n">
        <f aca="false">I70*Assumptions!$B$34</f>
        <v>275.821722643987</v>
      </c>
      <c r="K27" s="27" t="n">
        <f aca="false">J70*Assumptions!$B$34</f>
        <v>324.122004357438</v>
      </c>
      <c r="L27" s="27" t="n">
        <f aca="false">K70*Assumptions!$B$34</f>
        <v>376.7280668074</v>
      </c>
    </row>
    <row r="28" customFormat="false" ht="15" hidden="false" customHeight="true" outlineLevel="0" collapsed="false">
      <c r="A28" s="4" t="s">
        <v>156</v>
      </c>
      <c r="C28" s="27" t="n">
        <f aca="false">-B56*Assumptions!$B$35</f>
        <v>-0</v>
      </c>
      <c r="D28" s="27" t="n">
        <f aca="false">-C56*Assumptions!$B$35</f>
        <v>-0</v>
      </c>
      <c r="E28" s="27" t="n">
        <f aca="false">-D56*Assumptions!$B$35</f>
        <v>-0</v>
      </c>
      <c r="F28" s="27" t="n">
        <f aca="false">-E56*Assumptions!$B$35</f>
        <v>-0</v>
      </c>
      <c r="G28" s="27" t="n">
        <f aca="false">-F56*Assumptions!$B$35</f>
        <v>-0</v>
      </c>
      <c r="H28" s="27" t="n">
        <f aca="false">-G56*Assumptions!$B$35</f>
        <v>-0</v>
      </c>
      <c r="I28" s="27" t="n">
        <f aca="false">-H56*Assumptions!$B$35</f>
        <v>-0</v>
      </c>
      <c r="J28" s="27" t="n">
        <f aca="false">-I56*Assumptions!$B$35</f>
        <v>-0</v>
      </c>
      <c r="K28" s="27" t="n">
        <f aca="false">-J56*Assumptions!$B$35</f>
        <v>-0</v>
      </c>
      <c r="L28" s="27" t="n">
        <f aca="false">-K56*Assumptions!$B$35</f>
        <v>-0</v>
      </c>
    </row>
    <row r="29" customFormat="false" ht="15" hidden="false" customHeight="true" outlineLevel="0" collapsed="false">
      <c r="A29" s="4" t="s">
        <v>157</v>
      </c>
      <c r="C29" s="27" t="n">
        <f aca="false">C26+C27+C28</f>
        <v>110.762</v>
      </c>
      <c r="D29" s="27" t="n">
        <f aca="false">D26+D27+D28</f>
        <v>203.902088456621</v>
      </c>
      <c r="E29" s="27" t="n">
        <f aca="false">E26+E27+E28</f>
        <v>302.643693359383</v>
      </c>
      <c r="F29" s="27" t="n">
        <f aca="false">F26+F27+F28</f>
        <v>424.885405866883</v>
      </c>
      <c r="G29" s="27" t="n">
        <f aca="false">G26+G27+G28</f>
        <v>571.102003892049</v>
      </c>
      <c r="H29" s="27" t="n">
        <f aca="false">H26+H27+H28</f>
        <v>740.296552121454</v>
      </c>
      <c r="I29" s="27" t="n">
        <f aca="false">I26+I27+I28</f>
        <v>929.769134172396</v>
      </c>
      <c r="J29" s="27" t="n">
        <f aca="false">J26+J27+J28</f>
        <v>1135.02029418718</v>
      </c>
      <c r="K29" s="27" t="n">
        <f aca="false">K26+K27+K28</f>
        <v>1349.82956781041</v>
      </c>
      <c r="L29" s="27" t="n">
        <f aca="false">L26+L27+L28</f>
        <v>1566.53205305501</v>
      </c>
    </row>
    <row r="30" customFormat="false" ht="15" hidden="false" customHeight="true" outlineLevel="0" collapsed="false">
      <c r="A30" s="4" t="s">
        <v>158</v>
      </c>
      <c r="C30" s="27" t="n">
        <f aca="false">-MAX(0,C29)*C14</f>
        <v>-16.6143</v>
      </c>
      <c r="D30" s="27" t="n">
        <f aca="false">-MAX(0,D29)*D14</f>
        <v>-32.8508920291223</v>
      </c>
      <c r="E30" s="27" t="n">
        <f aca="false">-MAX(0,E29)*E14</f>
        <v>-52.1219694118938</v>
      </c>
      <c r="F30" s="27" t="n">
        <f aca="false">-MAX(0,F29)*F14</f>
        <v>-77.8956577422619</v>
      </c>
      <c r="G30" s="27" t="n">
        <f aca="false">-MAX(0,G29)*G14</f>
        <v>-111.047611867898</v>
      </c>
      <c r="H30" s="27" t="n">
        <f aca="false">-MAX(0,H29)*H14</f>
        <v>-152.172069047188</v>
      </c>
      <c r="I30" s="27" t="n">
        <f aca="false">-MAX(0,I29)*I14</f>
        <v>-201.449979070686</v>
      </c>
      <c r="J30" s="27" t="n">
        <f aca="false">-MAX(0,J29)*J14</f>
        <v>-258.532400342634</v>
      </c>
      <c r="K30" s="27" t="n">
        <f aca="false">-MAX(0,K29)*K14</f>
        <v>-322.459285643597</v>
      </c>
      <c r="L30" s="27" t="n">
        <f aca="false">-MAX(0,L29)*L14</f>
        <v>-391.633013263754</v>
      </c>
    </row>
    <row r="31" customFormat="false" ht="15" hidden="false" customHeight="true" outlineLevel="0" collapsed="false">
      <c r="A31" s="9" t="s">
        <v>159</v>
      </c>
      <c r="C31" s="21" t="n">
        <f aca="false">C29+C30</f>
        <v>94.1476999999999</v>
      </c>
      <c r="D31" s="21" t="n">
        <f aca="false">D29+D30</f>
        <v>171.051196427499</v>
      </c>
      <c r="E31" s="21" t="n">
        <f aca="false">E29+E30</f>
        <v>250.521723947489</v>
      </c>
      <c r="F31" s="21" t="n">
        <f aca="false">F29+F30</f>
        <v>346.989748124621</v>
      </c>
      <c r="G31" s="21" t="n">
        <f aca="false">G29+G30</f>
        <v>460.05439202415</v>
      </c>
      <c r="H31" s="21" t="n">
        <f aca="false">H29+H30</f>
        <v>588.124483074266</v>
      </c>
      <c r="I31" s="21" t="n">
        <f aca="false">I29+I30</f>
        <v>728.319155101711</v>
      </c>
      <c r="J31" s="21" t="n">
        <f aca="false">J29+J30</f>
        <v>876.487893844541</v>
      </c>
      <c r="K31" s="21" t="n">
        <f aca="false">K29+K30</f>
        <v>1027.37028216681</v>
      </c>
      <c r="L31" s="21" t="n">
        <f aca="false">L29+L30</f>
        <v>1174.89903979126</v>
      </c>
    </row>
    <row r="32" customFormat="false" ht="15" hidden="false" customHeight="true" outlineLevel="0" collapsed="false">
      <c r="A32" s="28" t="s">
        <v>120</v>
      </c>
      <c r="C32" s="29" t="n">
        <f aca="false">C23/C18</f>
        <v>0.114</v>
      </c>
      <c r="D32" s="29" t="n">
        <f aca="false">D23/D18</f>
        <v>0.124666666666667</v>
      </c>
      <c r="E32" s="29" t="n">
        <f aca="false">E23/E18</f>
        <v>0.135333333333333</v>
      </c>
      <c r="F32" s="29" t="n">
        <f aca="false">F23/F18</f>
        <v>0.146</v>
      </c>
      <c r="G32" s="29" t="n">
        <f aca="false">G23/G18</f>
        <v>0.156666666666667</v>
      </c>
      <c r="H32" s="29" t="n">
        <f aca="false">H23/H18</f>
        <v>0.167333333333333</v>
      </c>
      <c r="I32" s="29" t="n">
        <f aca="false">I23/I18</f>
        <v>0.178</v>
      </c>
      <c r="J32" s="29" t="n">
        <f aca="false">J23/J18</f>
        <v>0.188666666666667</v>
      </c>
      <c r="K32" s="29" t="n">
        <f aca="false">K23/K18</f>
        <v>0.199333333333333</v>
      </c>
      <c r="L32" s="29" t="n">
        <f aca="false">L23/L18</f>
        <v>0.21</v>
      </c>
    </row>
    <row r="35" customFormat="false" ht="15" hidden="false" customHeight="true" outlineLevel="0" collapsed="false">
      <c r="A35" s="6" t="s">
        <v>160</v>
      </c>
    </row>
    <row r="36" customFormat="false" ht="15" hidden="false" customHeight="true" outlineLevel="0" collapsed="false">
      <c r="A36" s="4" t="s">
        <v>161</v>
      </c>
      <c r="B36" s="20" t="n">
        <v>380</v>
      </c>
      <c r="C36" s="27" t="n">
        <f aca="false">C18*Assumptions!$B$27/365</f>
        <v>341.630136986301</v>
      </c>
      <c r="D36" s="27" t="n">
        <f aca="false">D18*Assumptions!$B$27/365</f>
        <v>409.956164383562</v>
      </c>
      <c r="E36" s="27" t="n">
        <f aca="false">E18*Assumptions!$B$27/365</f>
        <v>484.260719178082</v>
      </c>
      <c r="F36" s="27" t="n">
        <f aca="false">F18*Assumptions!$B$27/365</f>
        <v>562.953086044521</v>
      </c>
      <c r="G36" s="27" t="n">
        <f aca="false">G18*Assumptions!$B$27/365</f>
        <v>643.87759216342</v>
      </c>
      <c r="H36" s="27" t="n">
        <f aca="false">H18*Assumptions!$B$27/365</f>
        <v>724.362291183848</v>
      </c>
      <c r="I36" s="27" t="n">
        <f aca="false">I18*Assumptions!$B$27/365</f>
        <v>801.325784622132</v>
      </c>
      <c r="J36" s="27" t="n">
        <f aca="false">J18*Assumptions!$B$27/365</f>
        <v>871.441790776568</v>
      </c>
      <c r="K36" s="27" t="n">
        <f aca="false">K18*Assumptions!$B$27/365</f>
        <v>931.353413892457</v>
      </c>
      <c r="L36" s="27" t="n">
        <f aca="false">L18*Assumptions!$B$27/365</f>
        <v>977.92108458708</v>
      </c>
      <c r="M36" s="15" t="s">
        <v>162</v>
      </c>
    </row>
    <row r="37" customFormat="false" ht="15" hidden="false" customHeight="true" outlineLevel="0" collapsed="false">
      <c r="A37" s="4" t="s">
        <v>163</v>
      </c>
      <c r="B37" s="20" t="n">
        <v>360</v>
      </c>
      <c r="C37" s="27" t="n">
        <f aca="false">-C19*Assumptions!$B$28/365</f>
        <v>331.950616438356</v>
      </c>
      <c r="D37" s="27" t="n">
        <f aca="false">-D19*Assumptions!$B$28/365</f>
        <v>393.051799086758</v>
      </c>
      <c r="E37" s="27" t="n">
        <f aca="false">-E19*Assumptions!$B$28/365</f>
        <v>458.044876541096</v>
      </c>
      <c r="F37" s="27" t="n">
        <f aca="false">-F19*Assumptions!$B$28/365</f>
        <v>525.21437916524</v>
      </c>
      <c r="G37" s="27" t="n">
        <f aca="false">-G19*Assumptions!$B$28/365</f>
        <v>592.407130320727</v>
      </c>
      <c r="H37" s="27" t="n">
        <f aca="false">-H19*Assumptions!$B$28/365</f>
        <v>657.112853780113</v>
      </c>
      <c r="I37" s="27" t="n">
        <f aca="false">-I19*Assumptions!$B$28/365</f>
        <v>716.593002581532</v>
      </c>
      <c r="J37" s="27" t="n">
        <f aca="false">-J19*Assumptions!$B$28/365</f>
        <v>768.052215352336</v>
      </c>
      <c r="K37" s="27" t="n">
        <f aca="false">-K19*Assumptions!$B$28/365</f>
        <v>808.840196299567</v>
      </c>
      <c r="L37" s="27" t="n">
        <f aca="false">-L19*Assumptions!$B$28/365</f>
        <v>836.665816813391</v>
      </c>
    </row>
    <row r="38" customFormat="false" ht="15" hidden="false" customHeight="true" outlineLevel="0" collapsed="false">
      <c r="A38" s="4" t="s">
        <v>164</v>
      </c>
      <c r="B38" s="20" t="n">
        <v>80</v>
      </c>
      <c r="C38" s="27" t="n">
        <f aca="false">C18*Assumptions!$B$31</f>
        <v>83.13</v>
      </c>
      <c r="D38" s="27" t="n">
        <f aca="false">D18*Assumptions!$B$31</f>
        <v>99.756</v>
      </c>
      <c r="E38" s="27" t="n">
        <f aca="false">E18*Assumptions!$B$31</f>
        <v>117.836775</v>
      </c>
      <c r="F38" s="27" t="n">
        <f aca="false">F18*Assumptions!$B$31</f>
        <v>136.9852509375</v>
      </c>
      <c r="G38" s="27" t="n">
        <f aca="false">G18*Assumptions!$B$31</f>
        <v>156.676880759766</v>
      </c>
      <c r="H38" s="27" t="n">
        <f aca="false">H18*Assumptions!$B$31</f>
        <v>176.261490854736</v>
      </c>
      <c r="I38" s="27" t="n">
        <f aca="false">I18*Assumptions!$B$31</f>
        <v>194.989274258052</v>
      </c>
      <c r="J38" s="27" t="n">
        <f aca="false">J18*Assumptions!$B$31</f>
        <v>212.050835755632</v>
      </c>
      <c r="K38" s="27" t="n">
        <f aca="false">K18*Assumptions!$B$31</f>
        <v>226.629330713831</v>
      </c>
      <c r="L38" s="27" t="n">
        <f aca="false">L18*Assumptions!$B$31</f>
        <v>237.960797249523</v>
      </c>
    </row>
    <row r="39" customFormat="false" ht="15" hidden="false" customHeight="true" outlineLevel="0" collapsed="false">
      <c r="A39" s="4" t="s">
        <v>165</v>
      </c>
      <c r="B39" s="20" t="n">
        <v>-450</v>
      </c>
      <c r="C39" s="27" t="n">
        <f aca="false">C19*Assumptions!$B$29/365</f>
        <v>-452.659931506849</v>
      </c>
      <c r="D39" s="27" t="n">
        <f aca="false">D19*Assumptions!$B$29/365</f>
        <v>-535.979726027397</v>
      </c>
      <c r="E39" s="27" t="n">
        <f aca="false">E19*Assumptions!$B$29/365</f>
        <v>-624.606649828767</v>
      </c>
      <c r="F39" s="27" t="n">
        <f aca="false">F19*Assumptions!$B$29/365</f>
        <v>-716.201426134418</v>
      </c>
      <c r="G39" s="27" t="n">
        <f aca="false">G19*Assumptions!$B$29/365</f>
        <v>-807.82790498281</v>
      </c>
      <c r="H39" s="27" t="n">
        <f aca="false">H19*Assumptions!$B$29/365</f>
        <v>-896.062982427427</v>
      </c>
      <c r="I39" s="27" t="n">
        <f aca="false">I19*Assumptions!$B$29/365</f>
        <v>-977.172276247544</v>
      </c>
      <c r="J39" s="27" t="n">
        <f aca="false">J19*Assumptions!$B$29/365</f>
        <v>-1047.34393002591</v>
      </c>
      <c r="K39" s="27" t="n">
        <f aca="false">K19*Assumptions!$B$29/365</f>
        <v>-1102.96390404486</v>
      </c>
      <c r="L39" s="27" t="n">
        <f aca="false">L19*Assumptions!$B$29/365</f>
        <v>-1140.90793201826</v>
      </c>
    </row>
    <row r="40" customFormat="false" ht="15" hidden="false" customHeight="true" outlineLevel="0" collapsed="false">
      <c r="A40" s="4" t="s">
        <v>166</v>
      </c>
      <c r="B40" s="20" t="n">
        <v>-250</v>
      </c>
      <c r="C40" s="27" t="n">
        <f aca="false">-C18*Assumptions!$B$30</f>
        <v>-277.1</v>
      </c>
      <c r="D40" s="27" t="n">
        <f aca="false">-D18*Assumptions!$B$30</f>
        <v>-332.52</v>
      </c>
      <c r="E40" s="27" t="n">
        <f aca="false">-E18*Assumptions!$B$30</f>
        <v>-392.78925</v>
      </c>
      <c r="F40" s="27" t="n">
        <f aca="false">-F18*Assumptions!$B$30</f>
        <v>-456.617503125</v>
      </c>
      <c r="G40" s="27" t="n">
        <f aca="false">-G18*Assumptions!$B$30</f>
        <v>-522.256269199219</v>
      </c>
      <c r="H40" s="27" t="n">
        <f aca="false">-H18*Assumptions!$B$30</f>
        <v>-587.538302849121</v>
      </c>
      <c r="I40" s="27" t="n">
        <f aca="false">-I18*Assumptions!$B$30</f>
        <v>-649.96424752684</v>
      </c>
      <c r="J40" s="27" t="n">
        <f aca="false">-J18*Assumptions!$B$30</f>
        <v>-706.836119185439</v>
      </c>
      <c r="K40" s="27" t="n">
        <f aca="false">-K18*Assumptions!$B$30</f>
        <v>-755.431102379438</v>
      </c>
      <c r="L40" s="27" t="n">
        <f aca="false">-L18*Assumptions!$B$30</f>
        <v>-793.20265749841</v>
      </c>
    </row>
    <row r="41" customFormat="false" ht="15" hidden="false" customHeight="true" outlineLevel="0" collapsed="false">
      <c r="A41" s="4" t="s">
        <v>167</v>
      </c>
      <c r="B41" s="20" t="n">
        <v>-1050</v>
      </c>
      <c r="C41" s="27" t="n">
        <f aca="false">-C18*C15</f>
        <v>-1108.4</v>
      </c>
      <c r="D41" s="27" t="n">
        <f aca="false">-D18*D15</f>
        <v>-1274.66</v>
      </c>
      <c r="E41" s="27" t="n">
        <f aca="false">-E18*E15</f>
        <v>-1440.22725</v>
      </c>
      <c r="F41" s="27" t="n">
        <f aca="false">-F18*F15</f>
        <v>-1598.1612609375</v>
      </c>
      <c r="G41" s="27" t="n">
        <f aca="false">-G18*G15</f>
        <v>-1740.85423066406</v>
      </c>
      <c r="H41" s="27" t="n">
        <f aca="false">-H18*H15</f>
        <v>-1860.53795902222</v>
      </c>
      <c r="I41" s="27" t="n">
        <f aca="false">-I18*I15</f>
        <v>-1949.89274258052</v>
      </c>
      <c r="J41" s="27" t="n">
        <f aca="false">-J18*J15</f>
        <v>-2002.70233769208</v>
      </c>
      <c r="K41" s="27" t="n">
        <f aca="false">-K18*K15</f>
        <v>-2014.4829396785</v>
      </c>
      <c r="L41" s="27" t="n">
        <f aca="false">-L18*L15</f>
        <v>-1983.00664374602</v>
      </c>
    </row>
    <row r="42" customFormat="false" ht="15" hidden="false" customHeight="true" outlineLevel="0" collapsed="false">
      <c r="A42" s="9" t="s">
        <v>168</v>
      </c>
      <c r="B42" s="21" t="n">
        <f aca="false">SUM(B36:B41)</f>
        <v>-930</v>
      </c>
      <c r="C42" s="21" t="n">
        <f aca="false">SUM(C36:C41)</f>
        <v>-1081.44917808219</v>
      </c>
      <c r="D42" s="21" t="n">
        <f aca="false">SUM(D36:D41)</f>
        <v>-1240.39576255708</v>
      </c>
      <c r="E42" s="21" t="n">
        <f aca="false">SUM(E36:E41)</f>
        <v>-1397.48077910959</v>
      </c>
      <c r="F42" s="21" t="n">
        <f aca="false">SUM(F36:F41)</f>
        <v>-1545.82747404966</v>
      </c>
      <c r="G42" s="21" t="n">
        <f aca="false">SUM(G36:G41)</f>
        <v>-1677.97680160218</v>
      </c>
      <c r="H42" s="21" t="n">
        <f aca="false">SUM(H36:H41)</f>
        <v>-1786.40260848007</v>
      </c>
      <c r="I42" s="21" t="n">
        <f aca="false">SUM(I36:I41)</f>
        <v>-1864.12120489319</v>
      </c>
      <c r="J42" s="21" t="n">
        <f aca="false">SUM(J36:J41)</f>
        <v>-1905.33754501889</v>
      </c>
      <c r="K42" s="21" t="n">
        <f aca="false">SUM(K36:K41)</f>
        <v>-1906.05500519695</v>
      </c>
      <c r="L42" s="21" t="n">
        <f aca="false">SUM(L36:L41)</f>
        <v>-1864.5695346127</v>
      </c>
    </row>
    <row r="43" customFormat="false" ht="15" hidden="false" customHeight="true" outlineLevel="0" collapsed="false">
      <c r="A43" s="4" t="s">
        <v>169</v>
      </c>
      <c r="C43" s="27" t="n">
        <f aca="false">-(C42-B42)</f>
        <v>151.449178082192</v>
      </c>
      <c r="D43" s="27" t="n">
        <f aca="false">-(D42-C42)</f>
        <v>158.946584474886</v>
      </c>
      <c r="E43" s="27" t="n">
        <f aca="false">-(E42-D42)</f>
        <v>157.085016552511</v>
      </c>
      <c r="F43" s="27" t="n">
        <f aca="false">-(F42-E42)</f>
        <v>148.346694940069</v>
      </c>
      <c r="G43" s="27" t="n">
        <f aca="false">-(G42-F42)</f>
        <v>132.149327552521</v>
      </c>
      <c r="H43" s="27" t="n">
        <f aca="false">-(H42-G42)</f>
        <v>108.425806877889</v>
      </c>
      <c r="I43" s="27" t="n">
        <f aca="false">-(I42-H42)</f>
        <v>77.7185964131213</v>
      </c>
      <c r="J43" s="27" t="n">
        <f aca="false">-(J42-I42)</f>
        <v>41.2163401257028</v>
      </c>
      <c r="K43" s="27" t="n">
        <f aca="false">-(K42-J42)</f>
        <v>0.71746017805458</v>
      </c>
      <c r="L43" s="27" t="n">
        <f aca="false">-(L42-K42)</f>
        <v>-41.4854705842465</v>
      </c>
    </row>
    <row r="45" customFormat="false" ht="15" hidden="false" customHeight="true" outlineLevel="0" collapsed="false">
      <c r="A45" s="6" t="s">
        <v>170</v>
      </c>
    </row>
    <row r="46" customFormat="false" ht="15" hidden="false" customHeight="true" outlineLevel="0" collapsed="false">
      <c r="A46" s="4" t="s">
        <v>171</v>
      </c>
      <c r="C46" s="27" t="n">
        <f aca="false">C18*C13</f>
        <v>83.13</v>
      </c>
      <c r="D46" s="27" t="n">
        <f aca="false">D18*D13</f>
        <v>97.9086666666667</v>
      </c>
      <c r="E46" s="27" t="n">
        <f aca="false">E18*E13</f>
        <v>113.47245</v>
      </c>
      <c r="F46" s="27" t="n">
        <f aca="false">F18*F13</f>
        <v>129.37495921875</v>
      </c>
      <c r="G46" s="27" t="n">
        <f aca="false">G18*G13</f>
        <v>145.071185888672</v>
      </c>
      <c r="H46" s="27" t="n">
        <f aca="false">H18*H13</f>
        <v>159.940982442261</v>
      </c>
      <c r="I46" s="27" t="n">
        <f aca="false">I18*I13</f>
        <v>173.323799340491</v>
      </c>
      <c r="J46" s="27" t="n">
        <f aca="false">J18*J13</f>
        <v>184.562764453976</v>
      </c>
      <c r="K46" s="27" t="n">
        <f aca="false">K18*K13</f>
        <v>193.054615052523</v>
      </c>
      <c r="L46" s="27" t="n">
        <f aca="false">L18*L13</f>
        <v>198.300664374602</v>
      </c>
    </row>
    <row r="47" customFormat="false" ht="15" hidden="false" customHeight="true" outlineLevel="0" collapsed="false">
      <c r="A47" s="4" t="s">
        <v>172</v>
      </c>
      <c r="B47" s="20" t="n">
        <v>270</v>
      </c>
      <c r="C47" s="27" t="n">
        <f aca="false">B47+C46+C25</f>
        <v>283.855</v>
      </c>
      <c r="D47" s="27" t="n">
        <f aca="false">C47+D46+D25</f>
        <v>298.633666666667</v>
      </c>
      <c r="E47" s="27" t="n">
        <f aca="false">D47+E46+E25</f>
        <v>313.908804166667</v>
      </c>
      <c r="F47" s="27" t="n">
        <f aca="false">E47+F46+F25</f>
        <v>329.129387604167</v>
      </c>
      <c r="G47" s="27" t="n">
        <f aca="false">F47+G46+G25</f>
        <v>343.636506193034</v>
      </c>
      <c r="H47" s="27" t="n">
        <f aca="false">G47+H46+H25</f>
        <v>356.692912923014</v>
      </c>
      <c r="I47" s="27" t="n">
        <f aca="false">H47+I46+I25</f>
        <v>367.525650381795</v>
      </c>
      <c r="J47" s="27" t="n">
        <f aca="false">I47+J46+J25</f>
        <v>375.379385039411</v>
      </c>
      <c r="K47" s="27" t="n">
        <f aca="false">J47+K46+K25</f>
        <v>379.576224497074</v>
      </c>
      <c r="L47" s="27" t="n">
        <f aca="false">K47+L46+L25</f>
        <v>379.576224497074</v>
      </c>
    </row>
    <row r="49" customFormat="false" ht="15" hidden="false" customHeight="true" outlineLevel="0" collapsed="false">
      <c r="A49" s="6" t="s">
        <v>173</v>
      </c>
    </row>
    <row r="50" customFormat="false" ht="15" hidden="false" customHeight="true" outlineLevel="0" collapsed="false">
      <c r="A50" s="4" t="s">
        <v>174</v>
      </c>
      <c r="C50" s="27" t="n">
        <f aca="false">B53</f>
        <v>0</v>
      </c>
      <c r="D50" s="27" t="n">
        <f aca="false">C53</f>
        <v>0</v>
      </c>
      <c r="E50" s="27" t="n">
        <f aca="false">D53</f>
        <v>0</v>
      </c>
      <c r="F50" s="27" t="n">
        <f aca="false">E53</f>
        <v>0</v>
      </c>
      <c r="G50" s="27" t="n">
        <f aca="false">F53</f>
        <v>0</v>
      </c>
      <c r="H50" s="27" t="n">
        <f aca="false">G53</f>
        <v>0</v>
      </c>
      <c r="I50" s="27" t="n">
        <f aca="false">H53</f>
        <v>0</v>
      </c>
      <c r="J50" s="27" t="n">
        <f aca="false">I53</f>
        <v>0</v>
      </c>
      <c r="K50" s="27" t="n">
        <f aca="false">J53</f>
        <v>0</v>
      </c>
      <c r="L50" s="27" t="n">
        <f aca="false">K53</f>
        <v>0</v>
      </c>
    </row>
    <row r="51" customFormat="false" ht="15" hidden="false" customHeight="true" outlineLevel="0" collapsed="false">
      <c r="A51" s="4" t="s">
        <v>175</v>
      </c>
      <c r="C51" s="27" t="n">
        <f aca="false">MAX(0,Assumptions!$B$36-(B70+C31-C24-C25+C43-C46+Assumptions!$B$44))</f>
        <v>0</v>
      </c>
      <c r="D51" s="27" t="n">
        <f aca="false">MAX(0,Assumptions!$B$36-(C70+D31-D24-D25+D43-D46))</f>
        <v>0</v>
      </c>
      <c r="E51" s="27" t="n">
        <f aca="false">MAX(0,Assumptions!$B$36-(D70+E31-E24-E25+E43-E46))</f>
        <v>0</v>
      </c>
      <c r="F51" s="27" t="n">
        <f aca="false">MAX(0,Assumptions!$B$36-(E70+F31-F24-F25+F43-F46))</f>
        <v>0</v>
      </c>
      <c r="G51" s="27" t="n">
        <f aca="false">MAX(0,Assumptions!$B$36-(F70+G31-G24-G25+G43-G46))</f>
        <v>0</v>
      </c>
      <c r="H51" s="27" t="n">
        <f aca="false">MAX(0,Assumptions!$B$36-(G70+H31-H24-H25+H43-H46))</f>
        <v>0</v>
      </c>
      <c r="I51" s="27" t="n">
        <f aca="false">MAX(0,Assumptions!$B$36-(H70+I31-I24-I25+I43-I46))</f>
        <v>0</v>
      </c>
      <c r="J51" s="27" t="n">
        <f aca="false">MAX(0,Assumptions!$B$36-(I70+J31-J24-J25+J43-J46))</f>
        <v>0</v>
      </c>
      <c r="K51" s="27" t="n">
        <f aca="false">MAX(0,Assumptions!$B$36-(J70+K31-K24-K25+K43-K46))</f>
        <v>0</v>
      </c>
      <c r="L51" s="27" t="n">
        <f aca="false">MAX(0,Assumptions!$B$36-(K70+L31-L24-L25+L43-L46))</f>
        <v>0</v>
      </c>
    </row>
    <row r="52" customFormat="false" ht="15" hidden="false" customHeight="true" outlineLevel="0" collapsed="false">
      <c r="A52" s="4" t="s">
        <v>176</v>
      </c>
      <c r="C52" s="27" t="n">
        <f aca="false">-MIN(C50,MAX(0,(B70+C31-C24-C25+C43-C46+Assumptions!$B$44)-Assumptions!$B$36))</f>
        <v>-0</v>
      </c>
      <c r="D52" s="27" t="n">
        <f aca="false">-MIN(D50,MAX(0,(C70+D31-D24-D25+D43-D46)-Assumptions!$B$36))</f>
        <v>-0</v>
      </c>
      <c r="E52" s="27" t="n">
        <f aca="false">-MIN(E50,MAX(0,(D70+E31-E24-E25+E43-E46)-Assumptions!$B$36))</f>
        <v>-0</v>
      </c>
      <c r="F52" s="27" t="n">
        <f aca="false">-MIN(F50,MAX(0,(E70+F31-F24-F25+F43-F46)-Assumptions!$B$36))</f>
        <v>-0</v>
      </c>
      <c r="G52" s="27" t="n">
        <f aca="false">-MIN(G50,MAX(0,(F70+G31-G24-G25+G43-G46)-Assumptions!$B$36))</f>
        <v>-0</v>
      </c>
      <c r="H52" s="27" t="n">
        <f aca="false">-MIN(H50,MAX(0,(G70+H31-H24-H25+H43-H46)-Assumptions!$B$36))</f>
        <v>-0</v>
      </c>
      <c r="I52" s="27" t="n">
        <f aca="false">-MIN(I50,MAX(0,(H70+I31-I24-I25+I43-I46)-Assumptions!$B$36))</f>
        <v>-0</v>
      </c>
      <c r="J52" s="27" t="n">
        <f aca="false">-MIN(J50,MAX(0,(I70+J31-J24-J25+J43-J46)-Assumptions!$B$36))</f>
        <v>-0</v>
      </c>
      <c r="K52" s="27" t="n">
        <f aca="false">-MIN(K50,MAX(0,(J70+K31-K24-K25+K43-K46)-Assumptions!$B$36))</f>
        <v>-0</v>
      </c>
      <c r="L52" s="27" t="n">
        <f aca="false">-MIN(L50,MAX(0,(K70+L31-L24-L25+L43-L46)-Assumptions!$B$36))</f>
        <v>-0</v>
      </c>
    </row>
    <row r="53" customFormat="false" ht="15" hidden="false" customHeight="true" outlineLevel="0" collapsed="false">
      <c r="A53" s="4" t="s">
        <v>177</v>
      </c>
      <c r="B53" s="27" t="n">
        <v>0</v>
      </c>
      <c r="C53" s="27" t="n">
        <f aca="false">C50+C51+C52</f>
        <v>0</v>
      </c>
      <c r="D53" s="27" t="n">
        <f aca="false">D50+D51+D52</f>
        <v>0</v>
      </c>
      <c r="E53" s="27" t="n">
        <f aca="false">E50+E51+E52</f>
        <v>0</v>
      </c>
      <c r="F53" s="27" t="n">
        <f aca="false">F50+F51+F52</f>
        <v>0</v>
      </c>
      <c r="G53" s="27" t="n">
        <f aca="false">G50+G51+G52</f>
        <v>0</v>
      </c>
      <c r="H53" s="27" t="n">
        <f aca="false">H50+H51+H52</f>
        <v>0</v>
      </c>
      <c r="I53" s="27" t="n">
        <f aca="false">I50+I51+I52</f>
        <v>0</v>
      </c>
      <c r="J53" s="27" t="n">
        <f aca="false">J50+J51+J52</f>
        <v>0</v>
      </c>
      <c r="K53" s="27" t="n">
        <f aca="false">K50+K51+K52</f>
        <v>0</v>
      </c>
      <c r="L53" s="27" t="n">
        <f aca="false">L50+L51+L52</f>
        <v>0</v>
      </c>
    </row>
    <row r="54" customFormat="false" ht="15" hidden="false" customHeight="true" outlineLevel="0" collapsed="false">
      <c r="A54" s="4" t="s">
        <v>178</v>
      </c>
      <c r="C54" s="27" t="n">
        <f aca="false">B55</f>
        <v>0</v>
      </c>
      <c r="D54" s="27" t="n">
        <f aca="false">C55</f>
        <v>0</v>
      </c>
      <c r="E54" s="27" t="n">
        <f aca="false">D55</f>
        <v>0</v>
      </c>
      <c r="F54" s="27" t="n">
        <f aca="false">E55</f>
        <v>0</v>
      </c>
      <c r="G54" s="27" t="n">
        <f aca="false">F55</f>
        <v>0</v>
      </c>
      <c r="H54" s="27" t="n">
        <f aca="false">G55</f>
        <v>0</v>
      </c>
      <c r="I54" s="27" t="n">
        <f aca="false">H55</f>
        <v>0</v>
      </c>
      <c r="J54" s="27" t="n">
        <f aca="false">I55</f>
        <v>0</v>
      </c>
      <c r="K54" s="27" t="n">
        <f aca="false">J55</f>
        <v>0</v>
      </c>
      <c r="L54" s="27" t="n">
        <f aca="false">K55</f>
        <v>0</v>
      </c>
    </row>
    <row r="55" customFormat="false" ht="15" hidden="false" customHeight="true" outlineLevel="0" collapsed="false">
      <c r="A55" s="4" t="s">
        <v>179</v>
      </c>
      <c r="B55" s="17" t="n">
        <v>0</v>
      </c>
      <c r="C55" s="27" t="n">
        <f aca="false">C54</f>
        <v>0</v>
      </c>
      <c r="D55" s="27" t="n">
        <f aca="false">D54</f>
        <v>0</v>
      </c>
      <c r="E55" s="27" t="n">
        <f aca="false">E54</f>
        <v>0</v>
      </c>
      <c r="F55" s="27" t="n">
        <f aca="false">F54</f>
        <v>0</v>
      </c>
      <c r="G55" s="27" t="n">
        <f aca="false">G54</f>
        <v>0</v>
      </c>
      <c r="H55" s="27" t="n">
        <f aca="false">H54</f>
        <v>0</v>
      </c>
      <c r="I55" s="27" t="n">
        <f aca="false">I54</f>
        <v>0</v>
      </c>
      <c r="J55" s="27" t="n">
        <f aca="false">J54</f>
        <v>0</v>
      </c>
      <c r="K55" s="27" t="n">
        <f aca="false">K54</f>
        <v>0</v>
      </c>
      <c r="L55" s="27" t="n">
        <f aca="false">L54</f>
        <v>0</v>
      </c>
    </row>
    <row r="56" customFormat="false" ht="15" hidden="false" customHeight="true" outlineLevel="0" collapsed="false">
      <c r="A56" s="9" t="s">
        <v>180</v>
      </c>
      <c r="B56" s="27" t="n">
        <f aca="false">B53+B55</f>
        <v>0</v>
      </c>
      <c r="C56" s="21" t="n">
        <f aca="false">C53+C55</f>
        <v>0</v>
      </c>
      <c r="D56" s="21" t="n">
        <f aca="false">D53+D55</f>
        <v>0</v>
      </c>
      <c r="E56" s="21" t="n">
        <f aca="false">E53+E55</f>
        <v>0</v>
      </c>
      <c r="F56" s="21" t="n">
        <f aca="false">F53+F55</f>
        <v>0</v>
      </c>
      <c r="G56" s="21" t="n">
        <f aca="false">G53+G55</f>
        <v>0</v>
      </c>
      <c r="H56" s="21" t="n">
        <f aca="false">H53+H55</f>
        <v>0</v>
      </c>
      <c r="I56" s="21" t="n">
        <f aca="false">I53+I55</f>
        <v>0</v>
      </c>
      <c r="J56" s="21" t="n">
        <f aca="false">J53+J55</f>
        <v>0</v>
      </c>
      <c r="K56" s="21" t="n">
        <f aca="false">K53+K55</f>
        <v>0</v>
      </c>
      <c r="L56" s="21" t="n">
        <f aca="false">L53+L55</f>
        <v>0</v>
      </c>
    </row>
    <row r="58" customFormat="false" ht="15" hidden="false" customHeight="true" outlineLevel="0" collapsed="false">
      <c r="A58" s="6" t="s">
        <v>181</v>
      </c>
    </row>
    <row r="59" customFormat="false" ht="15" hidden="false" customHeight="true" outlineLevel="0" collapsed="false">
      <c r="A59" s="4" t="s">
        <v>159</v>
      </c>
      <c r="C59" s="27" t="n">
        <f aca="false">C31</f>
        <v>94.1476999999999</v>
      </c>
      <c r="D59" s="27" t="n">
        <f aca="false">D31</f>
        <v>171.051196427499</v>
      </c>
      <c r="E59" s="27" t="n">
        <f aca="false">E31</f>
        <v>250.521723947489</v>
      </c>
      <c r="F59" s="27" t="n">
        <f aca="false">F31</f>
        <v>346.989748124621</v>
      </c>
      <c r="G59" s="27" t="n">
        <f aca="false">G31</f>
        <v>460.05439202415</v>
      </c>
      <c r="H59" s="27" t="n">
        <f aca="false">H31</f>
        <v>588.124483074266</v>
      </c>
      <c r="I59" s="27" t="n">
        <f aca="false">I31</f>
        <v>728.319155101711</v>
      </c>
      <c r="J59" s="27" t="n">
        <f aca="false">J31</f>
        <v>876.487893844541</v>
      </c>
      <c r="K59" s="27" t="n">
        <f aca="false">K31</f>
        <v>1027.37028216681</v>
      </c>
      <c r="L59" s="27" t="n">
        <f aca="false">L31</f>
        <v>1174.89903979126</v>
      </c>
    </row>
    <row r="60" customFormat="false" ht="15" hidden="false" customHeight="true" outlineLevel="0" collapsed="false">
      <c r="A60" s="4" t="s">
        <v>182</v>
      </c>
      <c r="C60" s="27" t="n">
        <f aca="false">-C25</f>
        <v>69.275</v>
      </c>
      <c r="D60" s="27" t="n">
        <f aca="false">-D25</f>
        <v>83.13</v>
      </c>
      <c r="E60" s="27" t="n">
        <f aca="false">-E25</f>
        <v>98.1973125</v>
      </c>
      <c r="F60" s="27" t="n">
        <f aca="false">-F25</f>
        <v>114.15437578125</v>
      </c>
      <c r="G60" s="27" t="n">
        <f aca="false">-G25</f>
        <v>130.564067299805</v>
      </c>
      <c r="H60" s="27" t="n">
        <f aca="false">-H25</f>
        <v>146.88457571228</v>
      </c>
      <c r="I60" s="27" t="n">
        <f aca="false">-I25</f>
        <v>162.49106188171</v>
      </c>
      <c r="J60" s="27" t="n">
        <f aca="false">-J25</f>
        <v>176.70902979636</v>
      </c>
      <c r="K60" s="27" t="n">
        <f aca="false">-K25</f>
        <v>188.857775594859</v>
      </c>
      <c r="L60" s="27" t="n">
        <f aca="false">-L25</f>
        <v>198.300664374602</v>
      </c>
    </row>
    <row r="61" customFormat="false" ht="15" hidden="false" customHeight="true" outlineLevel="0" collapsed="false">
      <c r="A61" s="4" t="s">
        <v>183</v>
      </c>
      <c r="C61" s="27" t="n">
        <f aca="false">-C24</f>
        <v>185.657</v>
      </c>
      <c r="D61" s="27" t="n">
        <f aca="false">-D24</f>
        <v>210.965466666667</v>
      </c>
      <c r="E61" s="27" t="n">
        <f aca="false">-E24</f>
        <v>235.2371175</v>
      </c>
      <c r="F61" s="27" t="n">
        <f aca="false">-F24</f>
        <v>257.22786009375</v>
      </c>
      <c r="G61" s="27" t="n">
        <f aca="false">-G24</f>
        <v>275.635253188477</v>
      </c>
      <c r="H61" s="27" t="n">
        <f aca="false">-H24</f>
        <v>289.199409069067</v>
      </c>
      <c r="I61" s="27" t="n">
        <f aca="false">-I24</f>
        <v>296.81700637059</v>
      </c>
      <c r="J61" s="27" t="n">
        <f aca="false">-J24</f>
        <v>297.656543523646</v>
      </c>
      <c r="K61" s="27" t="n">
        <f aca="false">-K24</f>
        <v>291.26065836185</v>
      </c>
      <c r="L61" s="27" t="n">
        <f aca="false">-L24</f>
        <v>277.620930124443</v>
      </c>
    </row>
    <row r="62" customFormat="false" ht="15" hidden="false" customHeight="true" outlineLevel="0" collapsed="false">
      <c r="A62" s="4" t="s">
        <v>184</v>
      </c>
      <c r="C62" s="27" t="n">
        <f aca="false">C43</f>
        <v>151.449178082192</v>
      </c>
      <c r="D62" s="27" t="n">
        <f aca="false">D43</f>
        <v>158.946584474886</v>
      </c>
      <c r="E62" s="27" t="n">
        <f aca="false">E43</f>
        <v>157.085016552511</v>
      </c>
      <c r="F62" s="27" t="n">
        <f aca="false">F43</f>
        <v>148.346694940069</v>
      </c>
      <c r="G62" s="27" t="n">
        <f aca="false">G43</f>
        <v>132.149327552521</v>
      </c>
      <c r="H62" s="27" t="n">
        <f aca="false">H43</f>
        <v>108.425806877889</v>
      </c>
      <c r="I62" s="27" t="n">
        <f aca="false">I43</f>
        <v>77.7185964131213</v>
      </c>
      <c r="J62" s="27" t="n">
        <f aca="false">J43</f>
        <v>41.2163401257028</v>
      </c>
      <c r="K62" s="27" t="n">
        <f aca="false">K43</f>
        <v>0.71746017805458</v>
      </c>
      <c r="L62" s="27" t="n">
        <f aca="false">L43</f>
        <v>-41.4854705842465</v>
      </c>
    </row>
    <row r="63" customFormat="false" ht="15" hidden="false" customHeight="true" outlineLevel="0" collapsed="false">
      <c r="A63" s="9" t="s">
        <v>185</v>
      </c>
      <c r="C63" s="21" t="n">
        <f aca="false">SUM(C59:C62)</f>
        <v>500.528878082192</v>
      </c>
      <c r="D63" s="21" t="n">
        <f aca="false">SUM(D59:D62)</f>
        <v>624.093247569051</v>
      </c>
      <c r="E63" s="21" t="n">
        <f aca="false">SUM(E59:E62)</f>
        <v>741.041170500001</v>
      </c>
      <c r="F63" s="21" t="n">
        <f aca="false">SUM(F59:F62)</f>
        <v>866.71867893969</v>
      </c>
      <c r="G63" s="21" t="n">
        <f aca="false">SUM(G59:G62)</f>
        <v>998.403040064952</v>
      </c>
      <c r="H63" s="21" t="n">
        <f aca="false">SUM(H59:H62)</f>
        <v>1132.6342747335</v>
      </c>
      <c r="I63" s="21" t="n">
        <f aca="false">SUM(I59:I62)</f>
        <v>1265.34581976713</v>
      </c>
      <c r="J63" s="21" t="n">
        <f aca="false">SUM(J59:J62)</f>
        <v>1392.06980729025</v>
      </c>
      <c r="K63" s="21" t="n">
        <f aca="false">SUM(K59:K62)</f>
        <v>1508.20617630157</v>
      </c>
      <c r="L63" s="21" t="n">
        <f aca="false">SUM(L59:L62)</f>
        <v>1609.33516370606</v>
      </c>
    </row>
    <row r="64" customFormat="false" ht="15" hidden="false" customHeight="true" outlineLevel="0" collapsed="false">
      <c r="A64" s="4" t="s">
        <v>186</v>
      </c>
      <c r="C64" s="27" t="n">
        <f aca="false">-C46</f>
        <v>-83.13</v>
      </c>
      <c r="D64" s="27" t="n">
        <f aca="false">-D46</f>
        <v>-97.9086666666667</v>
      </c>
      <c r="E64" s="27" t="n">
        <f aca="false">-E46</f>
        <v>-113.47245</v>
      </c>
      <c r="F64" s="27" t="n">
        <f aca="false">-F46</f>
        <v>-129.37495921875</v>
      </c>
      <c r="G64" s="27" t="n">
        <f aca="false">-G46</f>
        <v>-145.071185888672</v>
      </c>
      <c r="H64" s="27" t="n">
        <f aca="false">-H46</f>
        <v>-159.940982442261</v>
      </c>
      <c r="I64" s="27" t="n">
        <f aca="false">-I46</f>
        <v>-173.323799340491</v>
      </c>
      <c r="J64" s="27" t="n">
        <f aca="false">-J46</f>
        <v>-184.562764453976</v>
      </c>
      <c r="K64" s="27" t="n">
        <f aca="false">-K46</f>
        <v>-193.054615052523</v>
      </c>
      <c r="L64" s="27" t="n">
        <f aca="false">-L46</f>
        <v>-198.300664374602</v>
      </c>
    </row>
    <row r="65" customFormat="false" ht="15" hidden="false" customHeight="true" outlineLevel="0" collapsed="false">
      <c r="A65" s="9" t="s">
        <v>187</v>
      </c>
      <c r="C65" s="21" t="n">
        <f aca="false">C63+C64</f>
        <v>417.398878082192</v>
      </c>
      <c r="D65" s="21" t="n">
        <f aca="false">D63+D64</f>
        <v>526.184580902385</v>
      </c>
      <c r="E65" s="21" t="n">
        <f aca="false">E63+E64</f>
        <v>627.568720500001</v>
      </c>
      <c r="F65" s="21" t="n">
        <f aca="false">F63+F64</f>
        <v>737.34371972094</v>
      </c>
      <c r="G65" s="21" t="n">
        <f aca="false">G63+G64</f>
        <v>853.331854176281</v>
      </c>
      <c r="H65" s="21" t="n">
        <f aca="false">H63+H64</f>
        <v>972.693292291242</v>
      </c>
      <c r="I65" s="21" t="n">
        <f aca="false">I63+I64</f>
        <v>1092.02202042664</v>
      </c>
      <c r="J65" s="21" t="n">
        <f aca="false">J63+J64</f>
        <v>1207.50704283627</v>
      </c>
      <c r="K65" s="21" t="n">
        <f aca="false">K63+K64</f>
        <v>1315.15156124905</v>
      </c>
      <c r="L65" s="21" t="n">
        <f aca="false">L63+L64</f>
        <v>1411.03449933146</v>
      </c>
    </row>
    <row r="66" customFormat="false" ht="15" hidden="false" customHeight="true" outlineLevel="0" collapsed="false">
      <c r="A66" s="4" t="s">
        <v>188</v>
      </c>
      <c r="C66" s="25" t="n">
        <f aca="false">Assumptions!$B$44</f>
        <v>424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</row>
    <row r="67" customFormat="false" ht="15" hidden="false" customHeight="true" outlineLevel="0" collapsed="false">
      <c r="A67" s="4" t="s">
        <v>189</v>
      </c>
      <c r="C67" s="27" t="n">
        <f aca="false">C51+C52</f>
        <v>0</v>
      </c>
      <c r="D67" s="27" t="n">
        <f aca="false">D51+D52</f>
        <v>0</v>
      </c>
      <c r="E67" s="27" t="n">
        <f aca="false">E51+E52</f>
        <v>0</v>
      </c>
      <c r="F67" s="27" t="n">
        <f aca="false">F51+F52</f>
        <v>0</v>
      </c>
      <c r="G67" s="27" t="n">
        <f aca="false">G51+G52</f>
        <v>0</v>
      </c>
      <c r="H67" s="27" t="n">
        <f aca="false">H51+H52</f>
        <v>0</v>
      </c>
      <c r="I67" s="27" t="n">
        <f aca="false">I51+I52</f>
        <v>0</v>
      </c>
      <c r="J67" s="27" t="n">
        <f aca="false">J51+J52</f>
        <v>0</v>
      </c>
      <c r="K67" s="27" t="n">
        <f aca="false">K51+K52</f>
        <v>0</v>
      </c>
      <c r="L67" s="27" t="n">
        <f aca="false">L51+L52</f>
        <v>0</v>
      </c>
    </row>
    <row r="68" customFormat="false" ht="15" hidden="false" customHeight="true" outlineLevel="0" collapsed="false">
      <c r="A68" s="9" t="s">
        <v>190</v>
      </c>
      <c r="C68" s="21" t="n">
        <f aca="false">C65+C66+C67</f>
        <v>841.398878082192</v>
      </c>
      <c r="D68" s="21" t="n">
        <f aca="false">D65+D66+D67</f>
        <v>526.184580902385</v>
      </c>
      <c r="E68" s="21" t="n">
        <f aca="false">E65+E66+E67</f>
        <v>627.568720500001</v>
      </c>
      <c r="F68" s="21" t="n">
        <f aca="false">F65+F66+F67</f>
        <v>737.34371972094</v>
      </c>
      <c r="G68" s="21" t="n">
        <f aca="false">G65+G66+G67</f>
        <v>853.331854176281</v>
      </c>
      <c r="H68" s="21" t="n">
        <f aca="false">H65+H66+H67</f>
        <v>972.693292291242</v>
      </c>
      <c r="I68" s="21" t="n">
        <f aca="false">I65+I66+I67</f>
        <v>1092.02202042664</v>
      </c>
      <c r="J68" s="21" t="n">
        <f aca="false">J65+J66+J67</f>
        <v>1207.50704283627</v>
      </c>
      <c r="K68" s="21" t="n">
        <f aca="false">K65+K66+K67</f>
        <v>1315.15156124905</v>
      </c>
      <c r="L68" s="21" t="n">
        <f aca="false">L65+L66+L67</f>
        <v>1411.03449933146</v>
      </c>
    </row>
    <row r="69" customFormat="false" ht="15" hidden="false" customHeight="true" outlineLevel="0" collapsed="false">
      <c r="A69" s="4" t="s">
        <v>191</v>
      </c>
      <c r="C69" s="27" t="n">
        <f aca="false">B70</f>
        <v>1245</v>
      </c>
      <c r="D69" s="27" t="n">
        <f aca="false">C70</f>
        <v>2086.39887808219</v>
      </c>
      <c r="E69" s="27" t="n">
        <f aca="false">D70</f>
        <v>2612.58345898458</v>
      </c>
      <c r="F69" s="27" t="n">
        <f aca="false">E70</f>
        <v>3240.15217948458</v>
      </c>
      <c r="G69" s="27" t="n">
        <f aca="false">F70</f>
        <v>3977.49589920552</v>
      </c>
      <c r="H69" s="27" t="n">
        <f aca="false">G70</f>
        <v>4830.8277533818</v>
      </c>
      <c r="I69" s="27" t="n">
        <f aca="false">H70</f>
        <v>5803.52104567304</v>
      </c>
      <c r="J69" s="27" t="n">
        <f aca="false">I70</f>
        <v>6895.54306609968</v>
      </c>
      <c r="K69" s="27" t="n">
        <f aca="false">J70</f>
        <v>8103.05010893596</v>
      </c>
      <c r="L69" s="27" t="n">
        <f aca="false">K70</f>
        <v>9418.20167018501</v>
      </c>
    </row>
    <row r="70" customFormat="false" ht="15" hidden="false" customHeight="true" outlineLevel="0" collapsed="false">
      <c r="A70" s="9" t="s">
        <v>192</v>
      </c>
      <c r="B70" s="20" t="n">
        <v>1245</v>
      </c>
      <c r="C70" s="21" t="n">
        <f aca="false">C69+C68</f>
        <v>2086.39887808219</v>
      </c>
      <c r="D70" s="21" t="n">
        <f aca="false">D69+D68</f>
        <v>2612.58345898458</v>
      </c>
      <c r="E70" s="21" t="n">
        <f aca="false">E69+E68</f>
        <v>3240.15217948458</v>
      </c>
      <c r="F70" s="21" t="n">
        <f aca="false">F69+F68</f>
        <v>3977.49589920552</v>
      </c>
      <c r="G70" s="21" t="n">
        <f aca="false">G69+G68</f>
        <v>4830.8277533818</v>
      </c>
      <c r="H70" s="21" t="n">
        <f aca="false">H69+H68</f>
        <v>5803.52104567304</v>
      </c>
      <c r="I70" s="21" t="n">
        <f aca="false">I69+I68</f>
        <v>6895.54306609968</v>
      </c>
      <c r="J70" s="21" t="n">
        <f aca="false">J69+J68</f>
        <v>8103.05010893596</v>
      </c>
      <c r="K70" s="21" t="n">
        <f aca="false">K69+K68</f>
        <v>9418.20167018501</v>
      </c>
      <c r="L70" s="21" t="n">
        <f aca="false">L69+L68</f>
        <v>10829.2361695165</v>
      </c>
      <c r="M70" s="15" t="s">
        <v>193</v>
      </c>
    </row>
    <row r="72" customFormat="false" ht="15" hidden="false" customHeight="true" outlineLevel="0" collapsed="false">
      <c r="A72" s="6" t="s">
        <v>194</v>
      </c>
    </row>
    <row r="73" customFormat="false" ht="15" hidden="false" customHeight="true" outlineLevel="0" collapsed="false">
      <c r="A73" s="4" t="s">
        <v>195</v>
      </c>
      <c r="B73" s="27" t="n">
        <f aca="false">B70</f>
        <v>1245</v>
      </c>
      <c r="C73" s="27" t="n">
        <f aca="false">C70</f>
        <v>2086.39887808219</v>
      </c>
      <c r="D73" s="27" t="n">
        <f aca="false">D70</f>
        <v>2612.58345898458</v>
      </c>
      <c r="E73" s="27" t="n">
        <f aca="false">E70</f>
        <v>3240.15217948458</v>
      </c>
      <c r="F73" s="27" t="n">
        <f aca="false">F70</f>
        <v>3977.49589920552</v>
      </c>
      <c r="G73" s="27" t="n">
        <f aca="false">G70</f>
        <v>4830.8277533818</v>
      </c>
      <c r="H73" s="27" t="n">
        <f aca="false">H70</f>
        <v>5803.52104567304</v>
      </c>
      <c r="I73" s="27" t="n">
        <f aca="false">I70</f>
        <v>6895.54306609968</v>
      </c>
      <c r="J73" s="27" t="n">
        <f aca="false">J70</f>
        <v>8103.05010893596</v>
      </c>
      <c r="K73" s="27" t="n">
        <f aca="false">K70</f>
        <v>9418.20167018501</v>
      </c>
      <c r="L73" s="27" t="n">
        <f aca="false">L70</f>
        <v>10829.2361695165</v>
      </c>
    </row>
    <row r="74" customFormat="false" ht="15" hidden="false" customHeight="true" outlineLevel="0" collapsed="false">
      <c r="A74" s="4" t="s">
        <v>161</v>
      </c>
      <c r="B74" s="27" t="n">
        <f aca="false">B36</f>
        <v>380</v>
      </c>
      <c r="C74" s="27" t="n">
        <f aca="false">C36</f>
        <v>341.630136986301</v>
      </c>
      <c r="D74" s="27" t="n">
        <f aca="false">D36</f>
        <v>409.956164383562</v>
      </c>
      <c r="E74" s="27" t="n">
        <f aca="false">E36</f>
        <v>484.260719178082</v>
      </c>
      <c r="F74" s="27" t="n">
        <f aca="false">F36</f>
        <v>562.953086044521</v>
      </c>
      <c r="G74" s="27" t="n">
        <f aca="false">G36</f>
        <v>643.87759216342</v>
      </c>
      <c r="H74" s="27" t="n">
        <f aca="false">H36</f>
        <v>724.362291183848</v>
      </c>
      <c r="I74" s="27" t="n">
        <f aca="false">I36</f>
        <v>801.325784622132</v>
      </c>
      <c r="J74" s="27" t="n">
        <f aca="false">J36</f>
        <v>871.441790776568</v>
      </c>
      <c r="K74" s="27" t="n">
        <f aca="false">K36</f>
        <v>931.353413892457</v>
      </c>
      <c r="L74" s="27" t="n">
        <f aca="false">L36</f>
        <v>977.92108458708</v>
      </c>
    </row>
    <row r="75" customFormat="false" ht="15" hidden="false" customHeight="true" outlineLevel="0" collapsed="false">
      <c r="A75" s="4" t="s">
        <v>163</v>
      </c>
      <c r="B75" s="27" t="n">
        <f aca="false">B37</f>
        <v>360</v>
      </c>
      <c r="C75" s="27" t="n">
        <f aca="false">C37</f>
        <v>331.950616438356</v>
      </c>
      <c r="D75" s="27" t="n">
        <f aca="false">D37</f>
        <v>393.051799086758</v>
      </c>
      <c r="E75" s="27" t="n">
        <f aca="false">E37</f>
        <v>458.044876541096</v>
      </c>
      <c r="F75" s="27" t="n">
        <f aca="false">F37</f>
        <v>525.21437916524</v>
      </c>
      <c r="G75" s="27" t="n">
        <f aca="false">G37</f>
        <v>592.407130320727</v>
      </c>
      <c r="H75" s="27" t="n">
        <f aca="false">H37</f>
        <v>657.112853780113</v>
      </c>
      <c r="I75" s="27" t="n">
        <f aca="false">I37</f>
        <v>716.593002581532</v>
      </c>
      <c r="J75" s="27" t="n">
        <f aca="false">J37</f>
        <v>768.052215352336</v>
      </c>
      <c r="K75" s="27" t="n">
        <f aca="false">K37</f>
        <v>808.840196299567</v>
      </c>
      <c r="L75" s="27" t="n">
        <f aca="false">L37</f>
        <v>836.665816813391</v>
      </c>
    </row>
    <row r="76" customFormat="false" ht="15" hidden="false" customHeight="true" outlineLevel="0" collapsed="false">
      <c r="A76" s="4" t="s">
        <v>164</v>
      </c>
      <c r="B76" s="27" t="n">
        <f aca="false">B38</f>
        <v>80</v>
      </c>
      <c r="C76" s="27" t="n">
        <f aca="false">C38</f>
        <v>83.13</v>
      </c>
      <c r="D76" s="27" t="n">
        <f aca="false">D38</f>
        <v>99.756</v>
      </c>
      <c r="E76" s="27" t="n">
        <f aca="false">E38</f>
        <v>117.836775</v>
      </c>
      <c r="F76" s="27" t="n">
        <f aca="false">F38</f>
        <v>136.9852509375</v>
      </c>
      <c r="G76" s="27" t="n">
        <f aca="false">G38</f>
        <v>156.676880759766</v>
      </c>
      <c r="H76" s="27" t="n">
        <f aca="false">H38</f>
        <v>176.261490854736</v>
      </c>
      <c r="I76" s="27" t="n">
        <f aca="false">I38</f>
        <v>194.989274258052</v>
      </c>
      <c r="J76" s="27" t="n">
        <f aca="false">J38</f>
        <v>212.050835755632</v>
      </c>
      <c r="K76" s="27" t="n">
        <f aca="false">K38</f>
        <v>226.629330713831</v>
      </c>
      <c r="L76" s="27" t="n">
        <f aca="false">L38</f>
        <v>237.960797249523</v>
      </c>
    </row>
    <row r="77" customFormat="false" ht="15" hidden="false" customHeight="true" outlineLevel="0" collapsed="false">
      <c r="A77" s="4" t="s">
        <v>172</v>
      </c>
      <c r="B77" s="27" t="n">
        <f aca="false">B47</f>
        <v>270</v>
      </c>
      <c r="C77" s="27" t="n">
        <f aca="false">C47</f>
        <v>283.855</v>
      </c>
      <c r="D77" s="27" t="n">
        <f aca="false">D47</f>
        <v>298.633666666667</v>
      </c>
      <c r="E77" s="27" t="n">
        <f aca="false">E47</f>
        <v>313.908804166667</v>
      </c>
      <c r="F77" s="27" t="n">
        <f aca="false">F47</f>
        <v>329.129387604167</v>
      </c>
      <c r="G77" s="27" t="n">
        <f aca="false">G47</f>
        <v>343.636506193034</v>
      </c>
      <c r="H77" s="27" t="n">
        <f aca="false">H47</f>
        <v>356.692912923014</v>
      </c>
      <c r="I77" s="27" t="n">
        <f aca="false">I47</f>
        <v>367.525650381795</v>
      </c>
      <c r="J77" s="27" t="n">
        <f aca="false">J47</f>
        <v>375.379385039411</v>
      </c>
      <c r="K77" s="27" t="n">
        <f aca="false">K47</f>
        <v>379.576224497074</v>
      </c>
      <c r="L77" s="27" t="n">
        <f aca="false">L47</f>
        <v>379.576224497074</v>
      </c>
    </row>
    <row r="78" customFormat="false" ht="15" hidden="false" customHeight="true" outlineLevel="0" collapsed="false">
      <c r="A78" s="4" t="s">
        <v>196</v>
      </c>
      <c r="B78" s="20" t="n">
        <v>90</v>
      </c>
      <c r="C78" s="27" t="n">
        <f aca="false">B78</f>
        <v>90</v>
      </c>
      <c r="D78" s="27" t="n">
        <f aca="false">B78</f>
        <v>90</v>
      </c>
      <c r="E78" s="27" t="n">
        <f aca="false">B78</f>
        <v>90</v>
      </c>
      <c r="F78" s="27" t="n">
        <f aca="false">B78</f>
        <v>90</v>
      </c>
      <c r="G78" s="27" t="n">
        <f aca="false">B78</f>
        <v>90</v>
      </c>
      <c r="H78" s="27" t="n">
        <f aca="false">B78</f>
        <v>90</v>
      </c>
      <c r="I78" s="27" t="n">
        <f aca="false">B78</f>
        <v>90</v>
      </c>
      <c r="J78" s="27" t="n">
        <f aca="false">B78</f>
        <v>90</v>
      </c>
      <c r="K78" s="27" t="n">
        <f aca="false">B78</f>
        <v>90</v>
      </c>
      <c r="L78" s="27" t="n">
        <f aca="false">B78</f>
        <v>90</v>
      </c>
    </row>
    <row r="79" customFormat="false" ht="15" hidden="false" customHeight="true" outlineLevel="0" collapsed="false">
      <c r="A79" s="9" t="s">
        <v>197</v>
      </c>
      <c r="B79" s="21" t="n">
        <f aca="false">SUM(B73:B78)</f>
        <v>2425</v>
      </c>
      <c r="C79" s="21" t="n">
        <f aca="false">SUM(C73:C78)</f>
        <v>3216.96463150685</v>
      </c>
      <c r="D79" s="21" t="n">
        <f aca="false">SUM(D73:D78)</f>
        <v>3903.98108912156</v>
      </c>
      <c r="E79" s="21" t="n">
        <f aca="false">SUM(E73:E78)</f>
        <v>4704.20335437042</v>
      </c>
      <c r="F79" s="21" t="n">
        <f aca="false">SUM(F73:F78)</f>
        <v>5621.77800295694</v>
      </c>
      <c r="G79" s="21" t="n">
        <f aca="false">SUM(G73:G78)</f>
        <v>6657.42586281874</v>
      </c>
      <c r="H79" s="21" t="n">
        <f aca="false">SUM(H73:H78)</f>
        <v>7807.95059441475</v>
      </c>
      <c r="I79" s="21" t="n">
        <f aca="false">SUM(I73:I78)</f>
        <v>9065.97677794319</v>
      </c>
      <c r="J79" s="21" t="n">
        <f aca="false">SUM(J73:J78)</f>
        <v>10419.9743358599</v>
      </c>
      <c r="K79" s="21" t="n">
        <f aca="false">SUM(K73:K78)</f>
        <v>11854.6008355879</v>
      </c>
      <c r="L79" s="21" t="n">
        <f aca="false">SUM(L73:L78)</f>
        <v>13351.3600926635</v>
      </c>
    </row>
    <row r="80" customFormat="false" ht="15" hidden="false" customHeight="true" outlineLevel="0" collapsed="false">
      <c r="A80" s="4" t="s">
        <v>165</v>
      </c>
      <c r="B80" s="27" t="n">
        <f aca="false">-B39</f>
        <v>450</v>
      </c>
      <c r="C80" s="27" t="n">
        <f aca="false">-C39</f>
        <v>452.659931506849</v>
      </c>
      <c r="D80" s="27" t="n">
        <f aca="false">-D39</f>
        <v>535.979726027397</v>
      </c>
      <c r="E80" s="27" t="n">
        <f aca="false">-E39</f>
        <v>624.606649828767</v>
      </c>
      <c r="F80" s="27" t="n">
        <f aca="false">-F39</f>
        <v>716.201426134418</v>
      </c>
      <c r="G80" s="27" t="n">
        <f aca="false">-G39</f>
        <v>807.82790498281</v>
      </c>
      <c r="H80" s="27" t="n">
        <f aca="false">-H39</f>
        <v>896.062982427427</v>
      </c>
      <c r="I80" s="27" t="n">
        <f aca="false">-I39</f>
        <v>977.172276247544</v>
      </c>
      <c r="J80" s="27" t="n">
        <f aca="false">-J39</f>
        <v>1047.34393002591</v>
      </c>
      <c r="K80" s="27" t="n">
        <f aca="false">-K39</f>
        <v>1102.96390404486</v>
      </c>
      <c r="L80" s="27" t="n">
        <f aca="false">-L39</f>
        <v>1140.90793201826</v>
      </c>
    </row>
    <row r="81" customFormat="false" ht="15" hidden="false" customHeight="true" outlineLevel="0" collapsed="false">
      <c r="A81" s="4" t="s">
        <v>166</v>
      </c>
      <c r="B81" s="27" t="n">
        <f aca="false">-B40</f>
        <v>250</v>
      </c>
      <c r="C81" s="27" t="n">
        <f aca="false">-C40</f>
        <v>277.1</v>
      </c>
      <c r="D81" s="27" t="n">
        <f aca="false">-D40</f>
        <v>332.52</v>
      </c>
      <c r="E81" s="27" t="n">
        <f aca="false">-E40</f>
        <v>392.78925</v>
      </c>
      <c r="F81" s="27" t="n">
        <f aca="false">-F40</f>
        <v>456.617503125</v>
      </c>
      <c r="G81" s="27" t="n">
        <f aca="false">-G40</f>
        <v>522.256269199219</v>
      </c>
      <c r="H81" s="27" t="n">
        <f aca="false">-H40</f>
        <v>587.538302849121</v>
      </c>
      <c r="I81" s="27" t="n">
        <f aca="false">-I40</f>
        <v>649.96424752684</v>
      </c>
      <c r="J81" s="27" t="n">
        <f aca="false">-J40</f>
        <v>706.836119185439</v>
      </c>
      <c r="K81" s="27" t="n">
        <f aca="false">-K40</f>
        <v>755.431102379438</v>
      </c>
      <c r="L81" s="27" t="n">
        <f aca="false">-L40</f>
        <v>793.20265749841</v>
      </c>
    </row>
    <row r="82" customFormat="false" ht="15" hidden="false" customHeight="true" outlineLevel="0" collapsed="false">
      <c r="A82" s="4" t="s">
        <v>198</v>
      </c>
      <c r="B82" s="27" t="n">
        <f aca="false">-B41</f>
        <v>1050</v>
      </c>
      <c r="C82" s="27" t="n">
        <f aca="false">-C41</f>
        <v>1108.4</v>
      </c>
      <c r="D82" s="27" t="n">
        <f aca="false">-D41</f>
        <v>1274.66</v>
      </c>
      <c r="E82" s="27" t="n">
        <f aca="false">-E41</f>
        <v>1440.22725</v>
      </c>
      <c r="F82" s="27" t="n">
        <f aca="false">-F41</f>
        <v>1598.1612609375</v>
      </c>
      <c r="G82" s="27" t="n">
        <f aca="false">-G41</f>
        <v>1740.85423066406</v>
      </c>
      <c r="H82" s="27" t="n">
        <f aca="false">-H41</f>
        <v>1860.53795902222</v>
      </c>
      <c r="I82" s="27" t="n">
        <f aca="false">-I41</f>
        <v>1949.89274258052</v>
      </c>
      <c r="J82" s="27" t="n">
        <f aca="false">-J41</f>
        <v>2002.70233769208</v>
      </c>
      <c r="K82" s="27" t="n">
        <f aca="false">-K41</f>
        <v>2014.4829396785</v>
      </c>
      <c r="L82" s="27" t="n">
        <f aca="false">-L41</f>
        <v>1983.00664374602</v>
      </c>
    </row>
    <row r="83" customFormat="false" ht="15" hidden="false" customHeight="true" outlineLevel="0" collapsed="false">
      <c r="A83" s="4" t="s">
        <v>199</v>
      </c>
      <c r="B83" s="27" t="n">
        <v>0</v>
      </c>
      <c r="C83" s="27" t="n">
        <f aca="false">C53</f>
        <v>0</v>
      </c>
      <c r="D83" s="27" t="n">
        <f aca="false">D53</f>
        <v>0</v>
      </c>
      <c r="E83" s="27" t="n">
        <f aca="false">E53</f>
        <v>0</v>
      </c>
      <c r="F83" s="27" t="n">
        <f aca="false">F53</f>
        <v>0</v>
      </c>
      <c r="G83" s="27" t="n">
        <f aca="false">G53</f>
        <v>0</v>
      </c>
      <c r="H83" s="27" t="n">
        <f aca="false">H53</f>
        <v>0</v>
      </c>
      <c r="I83" s="27" t="n">
        <f aca="false">I53</f>
        <v>0</v>
      </c>
      <c r="J83" s="27" t="n">
        <f aca="false">J53</f>
        <v>0</v>
      </c>
      <c r="K83" s="27" t="n">
        <f aca="false">K53</f>
        <v>0</v>
      </c>
      <c r="L83" s="27" t="n">
        <f aca="false">L53</f>
        <v>0</v>
      </c>
    </row>
    <row r="84" customFormat="false" ht="15" hidden="false" customHeight="true" outlineLevel="0" collapsed="false">
      <c r="A84" s="4" t="s">
        <v>200</v>
      </c>
      <c r="B84" s="27" t="n">
        <v>0</v>
      </c>
      <c r="C84" s="27" t="n">
        <f aca="false">C55</f>
        <v>0</v>
      </c>
      <c r="D84" s="27" t="n">
        <f aca="false">D55</f>
        <v>0</v>
      </c>
      <c r="E84" s="27" t="n">
        <f aca="false">E55</f>
        <v>0</v>
      </c>
      <c r="F84" s="27" t="n">
        <f aca="false">F55</f>
        <v>0</v>
      </c>
      <c r="G84" s="27" t="n">
        <f aca="false">G55</f>
        <v>0</v>
      </c>
      <c r="H84" s="27" t="n">
        <f aca="false">H55</f>
        <v>0</v>
      </c>
      <c r="I84" s="27" t="n">
        <f aca="false">I55</f>
        <v>0</v>
      </c>
      <c r="J84" s="27" t="n">
        <f aca="false">J55</f>
        <v>0</v>
      </c>
      <c r="K84" s="27" t="n">
        <f aca="false">K55</f>
        <v>0</v>
      </c>
      <c r="L84" s="27" t="n">
        <f aca="false">L55</f>
        <v>0</v>
      </c>
    </row>
    <row r="85" customFormat="false" ht="15" hidden="false" customHeight="true" outlineLevel="0" collapsed="false">
      <c r="A85" s="4" t="s">
        <v>201</v>
      </c>
      <c r="B85" s="20" t="n">
        <v>75</v>
      </c>
      <c r="C85" s="27" t="n">
        <f aca="false">B85</f>
        <v>75</v>
      </c>
      <c r="D85" s="27" t="n">
        <f aca="false">B85</f>
        <v>75</v>
      </c>
      <c r="E85" s="27" t="n">
        <f aca="false">B85</f>
        <v>75</v>
      </c>
      <c r="F85" s="27" t="n">
        <f aca="false">B85</f>
        <v>75</v>
      </c>
      <c r="G85" s="27" t="n">
        <f aca="false">B85</f>
        <v>75</v>
      </c>
      <c r="H85" s="27" t="n">
        <f aca="false">B85</f>
        <v>75</v>
      </c>
      <c r="I85" s="27" t="n">
        <f aca="false">B85</f>
        <v>75</v>
      </c>
      <c r="J85" s="27" t="n">
        <f aca="false">B85</f>
        <v>75</v>
      </c>
      <c r="K85" s="27" t="n">
        <f aca="false">B85</f>
        <v>75</v>
      </c>
      <c r="L85" s="27" t="n">
        <f aca="false">B85</f>
        <v>75</v>
      </c>
    </row>
    <row r="86" customFormat="false" ht="15" hidden="false" customHeight="true" outlineLevel="0" collapsed="false">
      <c r="A86" s="9" t="s">
        <v>202</v>
      </c>
      <c r="B86" s="21" t="n">
        <f aca="false">SUM(B80:B85)</f>
        <v>1825</v>
      </c>
      <c r="C86" s="21" t="n">
        <f aca="false">SUM(C80:C85)</f>
        <v>1913.15993150685</v>
      </c>
      <c r="D86" s="21" t="n">
        <f aca="false">SUM(D80:D85)</f>
        <v>2218.1597260274</v>
      </c>
      <c r="E86" s="21" t="n">
        <f aca="false">SUM(E80:E85)</f>
        <v>2532.62314982877</v>
      </c>
      <c r="F86" s="21" t="n">
        <f aca="false">SUM(F80:F85)</f>
        <v>2845.98019019692</v>
      </c>
      <c r="G86" s="21" t="n">
        <f aca="false">SUM(G80:G85)</f>
        <v>3145.93840484609</v>
      </c>
      <c r="H86" s="21" t="n">
        <f aca="false">SUM(H80:H85)</f>
        <v>3419.13924429876</v>
      </c>
      <c r="I86" s="21" t="n">
        <f aca="false">SUM(I80:I85)</f>
        <v>3652.0292663549</v>
      </c>
      <c r="J86" s="21" t="n">
        <f aca="false">SUM(J80:J85)</f>
        <v>3831.88238690343</v>
      </c>
      <c r="K86" s="21" t="n">
        <f aca="false">SUM(K80:K85)</f>
        <v>3947.8779461028</v>
      </c>
      <c r="L86" s="21" t="n">
        <f aca="false">SUM(L80:L85)</f>
        <v>3992.11723326269</v>
      </c>
    </row>
    <row r="87" customFormat="false" ht="15" hidden="false" customHeight="true" outlineLevel="0" collapsed="false">
      <c r="A87" s="9" t="s">
        <v>203</v>
      </c>
      <c r="B87" s="21" t="n">
        <f aca="false">B79-B86</f>
        <v>600</v>
      </c>
      <c r="C87" s="21" t="n">
        <f aca="false">B87+C31-C24+C66</f>
        <v>1303.8047</v>
      </c>
      <c r="D87" s="21" t="n">
        <f aca="false">C87+D31-D24+D66</f>
        <v>1685.82136309417</v>
      </c>
      <c r="E87" s="21" t="n">
        <f aca="false">D87+E31-E24+E66</f>
        <v>2171.58020454165</v>
      </c>
      <c r="F87" s="21" t="n">
        <f aca="false">E87+F31-F24+F66</f>
        <v>2775.79781276003</v>
      </c>
      <c r="G87" s="21" t="n">
        <f aca="false">F87+G31-G24+G66</f>
        <v>3511.48745797265</v>
      </c>
      <c r="H87" s="21" t="n">
        <f aca="false">G87+H31-H24+H66</f>
        <v>4388.81135011599</v>
      </c>
      <c r="I87" s="21" t="n">
        <f aca="false">H87+I31-I24+I66</f>
        <v>5413.94751158829</v>
      </c>
      <c r="J87" s="21" t="n">
        <f aca="false">I87+J31-J24+J66</f>
        <v>6588.09194895647</v>
      </c>
      <c r="K87" s="21" t="n">
        <f aca="false">J87+K31-K24+K66</f>
        <v>7906.72288948513</v>
      </c>
      <c r="L87" s="21" t="n">
        <f aca="false">K87+L31-L24+L66</f>
        <v>9359.24285940084</v>
      </c>
    </row>
    <row r="88" customFormat="false" ht="15" hidden="false" customHeight="true" outlineLevel="0" collapsed="false">
      <c r="A88" s="9" t="s">
        <v>204</v>
      </c>
      <c r="B88" s="21" t="n">
        <f aca="false">B86+B87</f>
        <v>2425</v>
      </c>
      <c r="C88" s="21" t="n">
        <f aca="false">C86+C87</f>
        <v>3216.96463150685</v>
      </c>
      <c r="D88" s="21" t="n">
        <f aca="false">D86+D87</f>
        <v>3903.98108912156</v>
      </c>
      <c r="E88" s="21" t="n">
        <f aca="false">E86+E87</f>
        <v>4704.20335437042</v>
      </c>
      <c r="F88" s="21" t="n">
        <f aca="false">F86+F87</f>
        <v>5621.77800295694</v>
      </c>
      <c r="G88" s="21" t="n">
        <f aca="false">G86+G87</f>
        <v>6657.42586281874</v>
      </c>
      <c r="H88" s="21" t="n">
        <f aca="false">H86+H87</f>
        <v>7807.95059441475</v>
      </c>
      <c r="I88" s="21" t="n">
        <f aca="false">I86+I87</f>
        <v>9065.97677794319</v>
      </c>
      <c r="J88" s="21" t="n">
        <f aca="false">J86+J87</f>
        <v>10419.9743358599</v>
      </c>
      <c r="K88" s="21" t="n">
        <f aca="false">K86+K87</f>
        <v>11854.6008355879</v>
      </c>
      <c r="L88" s="21" t="n">
        <f aca="false">L86+L87</f>
        <v>13351.3600926635</v>
      </c>
    </row>
    <row r="89" customFormat="false" ht="15" hidden="false" customHeight="true" outlineLevel="0" collapsed="false">
      <c r="A89" s="28" t="s">
        <v>205</v>
      </c>
      <c r="B89" s="30" t="n">
        <f aca="false">B79-B88</f>
        <v>0</v>
      </c>
      <c r="C89" s="30" t="n">
        <f aca="false">C79-C88</f>
        <v>0</v>
      </c>
      <c r="D89" s="30" t="n">
        <f aca="false">D79-D88</f>
        <v>0</v>
      </c>
      <c r="E89" s="30" t="n">
        <f aca="false">E79-E88</f>
        <v>0</v>
      </c>
      <c r="F89" s="30" t="n">
        <f aca="false">F79-F88</f>
        <v>0</v>
      </c>
      <c r="G89" s="30" t="n">
        <f aca="false">G79-G88</f>
        <v>0</v>
      </c>
      <c r="H89" s="30" t="n">
        <f aca="false">H79-H88</f>
        <v>0</v>
      </c>
      <c r="I89" s="30" t="n">
        <f aca="false">I79-I88</f>
        <v>0</v>
      </c>
      <c r="J89" s="30" t="n">
        <f aca="false">J79-J88</f>
        <v>0</v>
      </c>
      <c r="K89" s="30" t="n">
        <f aca="false">K79-K88</f>
        <v>0</v>
      </c>
      <c r="L89" s="30" t="n">
        <f aca="false">L79-L88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206</v>
      </c>
    </row>
    <row r="4" customFormat="false" ht="15" hidden="false" customHeight="true" outlineLevel="0" collapsed="false">
      <c r="A4" s="6" t="s">
        <v>207</v>
      </c>
    </row>
    <row r="5" customFormat="false" ht="15" hidden="false" customHeight="true" outlineLevel="0" collapsed="false">
      <c r="A5" s="4" t="s">
        <v>208</v>
      </c>
      <c r="B5" s="31" t="n">
        <v>0.0455</v>
      </c>
      <c r="C5" s="15" t="s">
        <v>209</v>
      </c>
    </row>
    <row r="6" customFormat="false" ht="15" hidden="false" customHeight="true" outlineLevel="0" collapsed="false">
      <c r="A6" s="4" t="s">
        <v>210</v>
      </c>
      <c r="B6" s="32" t="n">
        <v>1.9</v>
      </c>
      <c r="C6" s="15" t="s">
        <v>211</v>
      </c>
    </row>
    <row r="7" customFormat="false" ht="15" hidden="false" customHeight="true" outlineLevel="0" collapsed="false">
      <c r="A7" s="4" t="s">
        <v>212</v>
      </c>
      <c r="B7" s="31" t="n">
        <v>0.0475</v>
      </c>
      <c r="C7" s="15" t="s">
        <v>213</v>
      </c>
    </row>
    <row r="8" customFormat="false" ht="15" hidden="false" customHeight="true" outlineLevel="0" collapsed="false">
      <c r="A8" s="4" t="s">
        <v>214</v>
      </c>
      <c r="B8" s="31" t="n">
        <v>0</v>
      </c>
      <c r="C8" s="15" t="s">
        <v>215</v>
      </c>
    </row>
    <row r="9" customFormat="false" ht="15" hidden="false" customHeight="true" outlineLevel="0" collapsed="false">
      <c r="A9" s="9" t="s">
        <v>216</v>
      </c>
      <c r="B9" s="33" t="n">
        <f aca="false">B5+B6*B7+B8</f>
        <v>0.13575</v>
      </c>
    </row>
    <row r="11" customFormat="false" ht="15" hidden="false" customHeight="true" outlineLevel="0" collapsed="false">
      <c r="A11" s="6" t="s">
        <v>217</v>
      </c>
    </row>
    <row r="12" customFormat="false" ht="15" hidden="false" customHeight="true" outlineLevel="0" collapsed="false">
      <c r="A12" s="4" t="s">
        <v>218</v>
      </c>
      <c r="B12" s="31" t="n">
        <v>0.065</v>
      </c>
      <c r="C12" s="15" t="s">
        <v>219</v>
      </c>
    </row>
    <row r="13" customFormat="false" ht="15" hidden="false" customHeight="true" outlineLevel="0" collapsed="false">
      <c r="A13" s="4" t="s">
        <v>220</v>
      </c>
      <c r="B13" s="24" t="n">
        <f aca="false">Assumptions!B38</f>
        <v>0.25</v>
      </c>
    </row>
    <row r="14" customFormat="false" ht="15" hidden="false" customHeight="true" outlineLevel="0" collapsed="false">
      <c r="A14" s="4" t="s">
        <v>221</v>
      </c>
      <c r="B14" s="34" t="n">
        <f aca="false">B12*(1-B13)</f>
        <v>0.04875</v>
      </c>
    </row>
    <row r="16" customFormat="false" ht="15" hidden="false" customHeight="true" outlineLevel="0" collapsed="false">
      <c r="A16" s="6" t="s">
        <v>222</v>
      </c>
    </row>
    <row r="17" customFormat="false" ht="15" hidden="false" customHeight="true" outlineLevel="0" collapsed="false">
      <c r="A17" s="4" t="s">
        <v>223</v>
      </c>
      <c r="B17" s="13" t="n">
        <v>0.02</v>
      </c>
      <c r="C17" s="15" t="s">
        <v>224</v>
      </c>
    </row>
    <row r="18" customFormat="false" ht="15" hidden="false" customHeight="true" outlineLevel="0" collapsed="false">
      <c r="A18" s="4" t="s">
        <v>225</v>
      </c>
      <c r="B18" s="22" t="n">
        <f aca="false">1-B17</f>
        <v>0.98</v>
      </c>
    </row>
    <row r="20" customFormat="false" ht="15" hidden="false" customHeight="true" outlineLevel="0" collapsed="false">
      <c r="A20" s="9" t="s">
        <v>9</v>
      </c>
      <c r="B20" s="33" t="n">
        <f aca="false">B18*B9+B17*B14</f>
        <v>0.13401</v>
      </c>
    </row>
    <row r="22" customFormat="false" ht="15" hidden="false" customHeight="true" outlineLevel="0" collapsed="false">
      <c r="A22" s="15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0" min="2" style="1" width="11"/>
  </cols>
  <sheetData>
    <row r="1" customFormat="false" ht="17.25" hidden="false" customHeight="true" outlineLevel="0" collapsed="false">
      <c r="A1" s="2" t="s">
        <v>227</v>
      </c>
    </row>
    <row r="4" customFormat="false" ht="15" hidden="false" customHeight="true" outlineLevel="0" collapsed="false">
      <c r="A4" s="12"/>
      <c r="B4" s="12" t="s">
        <v>129</v>
      </c>
      <c r="C4" s="12" t="s">
        <v>130</v>
      </c>
      <c r="D4" s="12" t="s">
        <v>131</v>
      </c>
      <c r="E4" s="12" t="s">
        <v>132</v>
      </c>
      <c r="F4" s="12" t="s">
        <v>133</v>
      </c>
      <c r="G4" s="12" t="s">
        <v>134</v>
      </c>
      <c r="H4" s="12" t="s">
        <v>135</v>
      </c>
      <c r="I4" s="12" t="s">
        <v>136</v>
      </c>
      <c r="J4" s="12" t="s">
        <v>137</v>
      </c>
    </row>
    <row r="5" customFormat="false" ht="15" hidden="false" customHeight="true" outlineLevel="0" collapsed="false">
      <c r="A5" s="4" t="s">
        <v>228</v>
      </c>
      <c r="B5" s="25" t="n">
        <f aca="false">Model_3S!D26</f>
        <v>120.446133333333</v>
      </c>
      <c r="C5" s="25" t="n">
        <f aca="false">Model_3S!E26</f>
        <v>198.140355</v>
      </c>
      <c r="D5" s="25" t="n">
        <f aca="false">Model_3S!F26</f>
        <v>295.2793186875</v>
      </c>
      <c r="E5" s="25" t="n">
        <f aca="false">Model_3S!G26</f>
        <v>412.002167923828</v>
      </c>
      <c r="F5" s="25" t="n">
        <f aca="false">Model_3S!H26</f>
        <v>547.063441986182</v>
      </c>
      <c r="G5" s="25" t="n">
        <f aca="false">Model_3S!I26</f>
        <v>697.628292345475</v>
      </c>
      <c r="H5" s="25" t="n">
        <f aca="false">Model_3S!J26</f>
        <v>859.198571543188</v>
      </c>
      <c r="I5" s="25" t="n">
        <f aca="false">Model_3S!K26</f>
        <v>1025.70756345297</v>
      </c>
      <c r="J5" s="25" t="n">
        <f aca="false">Model_3S!L26</f>
        <v>1189.80398624761</v>
      </c>
    </row>
    <row r="6" customFormat="false" ht="15" hidden="false" customHeight="true" outlineLevel="0" collapsed="false">
      <c r="A6" s="4" t="s">
        <v>229</v>
      </c>
      <c r="B6" s="25" t="n">
        <f aca="false">-MAX(0,B5)*Model_3S!D14</f>
        <v>-19.4052103703704</v>
      </c>
      <c r="C6" s="25" t="n">
        <f aca="false">-MAX(0,C5)*Model_3S!E14</f>
        <v>-34.12417225</v>
      </c>
      <c r="D6" s="25" t="n">
        <f aca="false">-MAX(0,D5)*Model_3S!F14</f>
        <v>-54.134541759375</v>
      </c>
      <c r="E6" s="25" t="n">
        <f aca="false">-MAX(0,E5)*Model_3S!G14</f>
        <v>-80.1115326518555</v>
      </c>
      <c r="F6" s="25" t="n">
        <f aca="false">-MAX(0,F5)*Model_3S!H14</f>
        <v>-112.451929741604</v>
      </c>
      <c r="G6" s="25" t="n">
        <f aca="false">-MAX(0,G5)*Model_3S!I14</f>
        <v>-151.152796674853</v>
      </c>
      <c r="H6" s="25" t="n">
        <f aca="false">-MAX(0,H5)*Model_3S!J14</f>
        <v>-195.706341295948</v>
      </c>
      <c r="I6" s="25" t="n">
        <f aca="false">-MAX(0,I5)*Model_3S!K14</f>
        <v>-245.030140158209</v>
      </c>
      <c r="J6" s="25" t="n">
        <f aca="false">-MAX(0,J5)*Model_3S!L14</f>
        <v>-297.450996561904</v>
      </c>
    </row>
    <row r="7" customFormat="false" ht="15" hidden="false" customHeight="true" outlineLevel="0" collapsed="false">
      <c r="A7" s="4" t="s">
        <v>182</v>
      </c>
      <c r="B7" s="25" t="n">
        <f aca="false">-Model_3S!D25</f>
        <v>83.13</v>
      </c>
      <c r="C7" s="25" t="n">
        <f aca="false">-Model_3S!E25</f>
        <v>98.1973125</v>
      </c>
      <c r="D7" s="25" t="n">
        <f aca="false">-Model_3S!F25</f>
        <v>114.15437578125</v>
      </c>
      <c r="E7" s="25" t="n">
        <f aca="false">-Model_3S!G25</f>
        <v>130.564067299805</v>
      </c>
      <c r="F7" s="25" t="n">
        <f aca="false">-Model_3S!H25</f>
        <v>146.88457571228</v>
      </c>
      <c r="G7" s="25" t="n">
        <f aca="false">-Model_3S!I25</f>
        <v>162.49106188171</v>
      </c>
      <c r="H7" s="25" t="n">
        <f aca="false">-Model_3S!J25</f>
        <v>176.70902979636</v>
      </c>
      <c r="I7" s="25" t="n">
        <f aca="false">-Model_3S!K25</f>
        <v>188.857775594859</v>
      </c>
      <c r="J7" s="25" t="n">
        <f aca="false">-Model_3S!L25</f>
        <v>198.300664374602</v>
      </c>
    </row>
    <row r="8" customFormat="false" ht="15" hidden="false" customHeight="true" outlineLevel="0" collapsed="false">
      <c r="A8" s="4" t="s">
        <v>230</v>
      </c>
      <c r="B8" s="25" t="n">
        <f aca="false">-Model_3S!D46</f>
        <v>-97.9086666666667</v>
      </c>
      <c r="C8" s="25" t="n">
        <f aca="false">-Model_3S!E46</f>
        <v>-113.47245</v>
      </c>
      <c r="D8" s="25" t="n">
        <f aca="false">-Model_3S!F46</f>
        <v>-129.37495921875</v>
      </c>
      <c r="E8" s="25" t="n">
        <f aca="false">-Model_3S!G46</f>
        <v>-145.071185888672</v>
      </c>
      <c r="F8" s="25" t="n">
        <f aca="false">-Model_3S!H46</f>
        <v>-159.940982442261</v>
      </c>
      <c r="G8" s="25" t="n">
        <f aca="false">-Model_3S!I46</f>
        <v>-173.323799340491</v>
      </c>
      <c r="H8" s="25" t="n">
        <f aca="false">-Model_3S!J46</f>
        <v>-184.562764453976</v>
      </c>
      <c r="I8" s="25" t="n">
        <f aca="false">-Model_3S!K46</f>
        <v>-193.054615052523</v>
      </c>
      <c r="J8" s="25" t="n">
        <f aca="false">-Model_3S!L46</f>
        <v>-198.300664374602</v>
      </c>
    </row>
    <row r="9" customFormat="false" ht="15" hidden="false" customHeight="true" outlineLevel="0" collapsed="false">
      <c r="A9" s="4" t="s">
        <v>231</v>
      </c>
      <c r="B9" s="25" t="n">
        <f aca="false">Model_3S!D43</f>
        <v>158.946584474886</v>
      </c>
      <c r="C9" s="25" t="n">
        <f aca="false">Model_3S!E43</f>
        <v>157.085016552511</v>
      </c>
      <c r="D9" s="25" t="n">
        <f aca="false">Model_3S!F43</f>
        <v>148.346694940069</v>
      </c>
      <c r="E9" s="25" t="n">
        <f aca="false">Model_3S!G43</f>
        <v>132.149327552521</v>
      </c>
      <c r="F9" s="25" t="n">
        <f aca="false">Model_3S!H43</f>
        <v>108.425806877889</v>
      </c>
      <c r="G9" s="25" t="n">
        <f aca="false">Model_3S!I43</f>
        <v>77.7185964131213</v>
      </c>
      <c r="H9" s="25" t="n">
        <f aca="false">Model_3S!J43</f>
        <v>41.2163401257028</v>
      </c>
      <c r="I9" s="25" t="n">
        <f aca="false">Model_3S!K43</f>
        <v>0.71746017805458</v>
      </c>
      <c r="J9" s="25" t="n">
        <f aca="false">Model_3S!L43</f>
        <v>-41.4854705842465</v>
      </c>
    </row>
    <row r="10" customFormat="false" ht="15" hidden="false" customHeight="true" outlineLevel="0" collapsed="false">
      <c r="A10" s="9" t="s">
        <v>232</v>
      </c>
      <c r="B10" s="21" t="n">
        <f aca="false">SUM(B5:B9)</f>
        <v>245.208840771182</v>
      </c>
      <c r="C10" s="21" t="n">
        <f aca="false">SUM(C5:C9)</f>
        <v>305.826061802512</v>
      </c>
      <c r="D10" s="21" t="n">
        <f aca="false">SUM(D5:D9)</f>
        <v>374.270888430694</v>
      </c>
      <c r="E10" s="21" t="n">
        <f aca="false">SUM(E5:E9)</f>
        <v>449.532844235626</v>
      </c>
      <c r="F10" s="21" t="n">
        <f aca="false">SUM(F5:F9)</f>
        <v>529.980912392486</v>
      </c>
      <c r="G10" s="21" t="n">
        <f aca="false">SUM(G5:G9)</f>
        <v>613.361354624963</v>
      </c>
      <c r="H10" s="21" t="n">
        <f aca="false">SUM(H5:H9)</f>
        <v>696.854835715327</v>
      </c>
      <c r="I10" s="21" t="n">
        <f aca="false">SUM(I5:I9)</f>
        <v>777.198044015151</v>
      </c>
      <c r="J10" s="21" t="n">
        <f aca="false">SUM(J5:J9)</f>
        <v>850.867519101465</v>
      </c>
    </row>
    <row r="11" customFormat="false" ht="15" hidden="false" customHeight="true" outlineLevel="0" collapsed="false">
      <c r="A11" s="4" t="s">
        <v>233</v>
      </c>
      <c r="B11" s="35" t="n">
        <v>0.5</v>
      </c>
      <c r="C11" s="35" t="n">
        <v>1.5</v>
      </c>
      <c r="D11" s="35" t="n">
        <v>2.5</v>
      </c>
      <c r="E11" s="35" t="n">
        <v>3.5</v>
      </c>
      <c r="F11" s="35" t="n">
        <v>4.5</v>
      </c>
      <c r="G11" s="35" t="n">
        <v>5.5</v>
      </c>
      <c r="H11" s="35" t="n">
        <v>6.5</v>
      </c>
      <c r="I11" s="35" t="n">
        <v>7.5</v>
      </c>
      <c r="J11" s="35" t="n">
        <v>8.5</v>
      </c>
    </row>
    <row r="12" customFormat="false" ht="15" hidden="false" customHeight="true" outlineLevel="0" collapsed="false">
      <c r="A12" s="4" t="s">
        <v>234</v>
      </c>
      <c r="B12" s="36" t="n">
        <f aca="false">(1+$B$16)^-B11</f>
        <v>0.939056142581631</v>
      </c>
      <c r="C12" s="36" t="n">
        <f aca="false">(1+$B$16)^-C11</f>
        <v>0.828084534158985</v>
      </c>
      <c r="D12" s="36" t="n">
        <f aca="false">(1+$B$16)^-D11</f>
        <v>0.730226835882387</v>
      </c>
      <c r="E12" s="36" t="n">
        <f aca="false">(1+$B$16)^-E11</f>
        <v>0.643933330290197</v>
      </c>
      <c r="F12" s="36" t="n">
        <f aca="false">(1+$B$16)^-F11</f>
        <v>0.567837435551889</v>
      </c>
      <c r="G12" s="36" t="n">
        <f aca="false">(1+$B$16)^-G11</f>
        <v>0.500734063678353</v>
      </c>
      <c r="H12" s="36" t="n">
        <f aca="false">(1+$B$16)^-H11</f>
        <v>0.441560536219568</v>
      </c>
      <c r="I12" s="36" t="n">
        <f aca="false">(1+$B$16)^-I11</f>
        <v>0.389379755222236</v>
      </c>
      <c r="J12" s="36" t="n">
        <f aca="false">(1+$B$16)^-J11</f>
        <v>0.34336536293528</v>
      </c>
    </row>
    <row r="13" customFormat="false" ht="15" hidden="false" customHeight="true" outlineLevel="0" collapsed="false">
      <c r="A13" s="4" t="s">
        <v>235</v>
      </c>
      <c r="B13" s="27" t="n">
        <f aca="false">B10*B12</f>
        <v>230.2648681415</v>
      </c>
      <c r="C13" s="27" t="n">
        <f aca="false">C10*C12</f>
        <v>253.24983192141</v>
      </c>
      <c r="D13" s="27" t="n">
        <f aca="false">D10*D12</f>
        <v>273.302646621635</v>
      </c>
      <c r="E13" s="27" t="n">
        <f aca="false">E10*E12</f>
        <v>289.469181463471</v>
      </c>
      <c r="F13" s="27" t="n">
        <f aca="false">F10*F12</f>
        <v>300.943002184399</v>
      </c>
      <c r="G13" s="27" t="n">
        <f aca="false">G10*G12</f>
        <v>307.130923604617</v>
      </c>
      <c r="H13" s="27" t="n">
        <f aca="false">H10*H12</f>
        <v>307.703594925659</v>
      </c>
      <c r="I13" s="27" t="n">
        <f aca="false">I10*I12</f>
        <v>302.625184137821</v>
      </c>
      <c r="J13" s="27" t="n">
        <f aca="false">J10*J12</f>
        <v>292.158434506115</v>
      </c>
    </row>
    <row r="14" customFormat="false" ht="15" hidden="false" customHeight="true" outlineLevel="0" collapsed="false">
      <c r="A14" s="15" t="s">
        <v>236</v>
      </c>
    </row>
    <row r="15" customFormat="false" ht="15" hidden="false" customHeight="true" outlineLevel="0" collapsed="false">
      <c r="A15" s="9" t="s">
        <v>237</v>
      </c>
      <c r="B15" s="21" t="n">
        <f aca="false">SUM(B13:J13)</f>
        <v>2556.84766750663</v>
      </c>
    </row>
    <row r="16" customFormat="false" ht="15" hidden="false" customHeight="true" outlineLevel="0" collapsed="false">
      <c r="A16" s="9" t="s">
        <v>9</v>
      </c>
      <c r="B16" s="37" t="n">
        <f aca="false">WACC!B20</f>
        <v>0.13401</v>
      </c>
    </row>
    <row r="18" customFormat="false" ht="15" hidden="false" customHeight="true" outlineLevel="0" collapsed="false">
      <c r="A18" s="6" t="s">
        <v>238</v>
      </c>
    </row>
    <row r="19" customFormat="false" ht="15" hidden="false" customHeight="true" outlineLevel="0" collapsed="false">
      <c r="A19" s="4" t="s">
        <v>239</v>
      </c>
      <c r="B19" s="24" t="n">
        <f aca="false">Assumptions!B41</f>
        <v>0.03</v>
      </c>
    </row>
    <row r="20" customFormat="false" ht="15" hidden="false" customHeight="true" outlineLevel="0" collapsed="false">
      <c r="A20" s="4" t="s">
        <v>240</v>
      </c>
      <c r="B20" s="27" t="n">
        <f aca="false">J10*(1+B19)/(B16-B19)</f>
        <v>8426.05080929246</v>
      </c>
    </row>
    <row r="21" customFormat="false" ht="15" hidden="false" customHeight="true" outlineLevel="0" collapsed="false">
      <c r="A21" s="4" t="s">
        <v>241</v>
      </c>
      <c r="B21" s="27" t="n">
        <f aca="false">B20/(1+B16)^9</f>
        <v>2716.89037309779</v>
      </c>
    </row>
    <row r="22" customFormat="false" ht="15" hidden="false" customHeight="true" outlineLevel="0" collapsed="false">
      <c r="A22" s="28" t="s">
        <v>242</v>
      </c>
      <c r="B22" s="38" t="n">
        <f aca="false">B20/Model_3S!L23</f>
        <v>5.0584867679798</v>
      </c>
    </row>
    <row r="24" customFormat="false" ht="15" hidden="false" customHeight="true" outlineLevel="0" collapsed="false">
      <c r="A24" s="6" t="s">
        <v>243</v>
      </c>
    </row>
    <row r="25" customFormat="false" ht="15" hidden="false" customHeight="true" outlineLevel="0" collapsed="false">
      <c r="A25" s="4" t="s">
        <v>244</v>
      </c>
      <c r="B25" s="39" t="n">
        <f aca="false">Assumptions!B42</f>
        <v>12</v>
      </c>
    </row>
    <row r="26" customFormat="false" ht="15" hidden="false" customHeight="true" outlineLevel="0" collapsed="false">
      <c r="A26" s="4" t="s">
        <v>245</v>
      </c>
      <c r="B26" s="27" t="n">
        <f aca="false">B25*Model_3S!L23</f>
        <v>19988.7069689599</v>
      </c>
    </row>
    <row r="27" customFormat="false" ht="15" hidden="false" customHeight="true" outlineLevel="0" collapsed="false">
      <c r="A27" s="4" t="s">
        <v>246</v>
      </c>
      <c r="B27" s="27" t="n">
        <f aca="false">B26/(1+B16)^9</f>
        <v>6445.14574665852</v>
      </c>
    </row>
    <row r="28" customFormat="false" ht="15" hidden="false" customHeight="true" outlineLevel="0" collapsed="false">
      <c r="A28" s="28" t="s">
        <v>247</v>
      </c>
      <c r="B28" s="29" t="n">
        <f aca="false">(B16*B26-J10)/(B26+J10)</f>
        <v>0.0877090414132966</v>
      </c>
    </row>
    <row r="30" customFormat="false" ht="15" hidden="false" customHeight="true" outlineLevel="0" collapsed="false">
      <c r="A30" s="6" t="s">
        <v>248</v>
      </c>
    </row>
    <row r="31" customFormat="false" ht="15" hidden="false" customHeight="true" outlineLevel="0" collapsed="false">
      <c r="A31" s="4" t="s">
        <v>249</v>
      </c>
      <c r="B31" s="25" t="n">
        <f aca="false">Model_3S!C70-Model_3S!C56</f>
        <v>2086.39887808219</v>
      </c>
    </row>
    <row r="32" customFormat="false" ht="15" hidden="false" customHeight="true" outlineLevel="0" collapsed="false">
      <c r="A32" s="4" t="s">
        <v>250</v>
      </c>
      <c r="B32" s="40" t="n">
        <f aca="false">Assumptions!B37</f>
        <v>630</v>
      </c>
    </row>
    <row r="33" customFormat="false" ht="15" hidden="false" customHeight="true" outlineLevel="0" collapsed="false">
      <c r="A33" s="12"/>
      <c r="B33" s="12" t="s">
        <v>251</v>
      </c>
      <c r="C33" s="12" t="s">
        <v>252</v>
      </c>
      <c r="D33" s="12" t="s">
        <v>253</v>
      </c>
    </row>
    <row r="34" customFormat="false" ht="15" hidden="false" customHeight="true" outlineLevel="0" collapsed="false">
      <c r="A34" s="4" t="s">
        <v>254</v>
      </c>
      <c r="B34" s="27" t="n">
        <f aca="false">B15+B21</f>
        <v>5273.73804060441</v>
      </c>
      <c r="C34" s="27" t="n">
        <f aca="false">B15+B27</f>
        <v>9001.99341416514</v>
      </c>
      <c r="D34" s="27" t="n">
        <f aca="false">AVERAGE(B34:C34)</f>
        <v>7137.86572738478</v>
      </c>
    </row>
    <row r="35" customFormat="false" ht="15" hidden="false" customHeight="true" outlineLevel="0" collapsed="false">
      <c r="A35" s="4" t="s">
        <v>255</v>
      </c>
      <c r="B35" s="27" t="n">
        <f aca="false">$B$31</f>
        <v>2086.39887808219</v>
      </c>
      <c r="C35" s="27" t="n">
        <f aca="false">$B$31</f>
        <v>2086.39887808219</v>
      </c>
      <c r="D35" s="27" t="n">
        <f aca="false">$B$31</f>
        <v>2086.39887808219</v>
      </c>
    </row>
    <row r="36" customFormat="false" ht="15" hidden="false" customHeight="true" outlineLevel="0" collapsed="false">
      <c r="A36" s="9" t="s">
        <v>256</v>
      </c>
      <c r="B36" s="21" t="n">
        <f aca="false">B34+B35</f>
        <v>7360.1369186866</v>
      </c>
      <c r="C36" s="21" t="n">
        <f aca="false">C34+C35</f>
        <v>11088.3922922473</v>
      </c>
      <c r="D36" s="21" t="n">
        <f aca="false">D34+D35</f>
        <v>9224.26460546697</v>
      </c>
    </row>
    <row r="37" customFormat="false" ht="15" hidden="false" customHeight="true" outlineLevel="0" collapsed="false">
      <c r="A37" s="9" t="s">
        <v>257</v>
      </c>
      <c r="B37" s="41" t="n">
        <f aca="false">B36/$B$32</f>
        <v>11.6827570137883</v>
      </c>
      <c r="C37" s="41" t="n">
        <f aca="false">C36/$B$32</f>
        <v>17.6006226861069</v>
      </c>
      <c r="D37" s="41" t="n">
        <f aca="false">D36/$B$32</f>
        <v>14.6416898499476</v>
      </c>
    </row>
    <row r="38" customFormat="false" ht="15" hidden="false" customHeight="true" outlineLevel="0" collapsed="false">
      <c r="A38" s="28" t="s">
        <v>258</v>
      </c>
      <c r="B38" s="29" t="n">
        <f aca="false">B37/Assumptions!$B$43-1</f>
        <v>-0.725176264084021</v>
      </c>
      <c r="C38" s="29" t="n">
        <f aca="false">C37/Assumptions!$B$43-1</f>
        <v>-0.585965121474785</v>
      </c>
      <c r="D38" s="29" t="n">
        <f aca="false">D37/Assumptions!$B$43-1</f>
        <v>-0.655570692779403</v>
      </c>
    </row>
    <row r="40" customFormat="false" ht="15" hidden="false" customHeight="true" outlineLevel="0" collapsed="false">
      <c r="A40" s="15" t="s">
        <v>259</v>
      </c>
    </row>
    <row r="42" customFormat="false" ht="15" hidden="false" customHeight="true" outlineLevel="0" collapsed="false">
      <c r="A42" s="6" t="s">
        <v>260</v>
      </c>
    </row>
    <row r="43" customFormat="false" ht="15" hidden="false" customHeight="true" outlineLevel="0" collapsed="false">
      <c r="B43" s="42" t="s">
        <v>261</v>
      </c>
      <c r="C43" s="43" t="n">
        <v>0.02</v>
      </c>
      <c r="D43" s="43" t="n">
        <v>0.025</v>
      </c>
      <c r="E43" s="43" t="n">
        <v>0.03</v>
      </c>
      <c r="F43" s="43" t="n">
        <v>0.035</v>
      </c>
      <c r="G43" s="43" t="n">
        <v>0.04</v>
      </c>
    </row>
    <row r="44" customFormat="false" ht="15" hidden="false" customHeight="true" outlineLevel="0" collapsed="false">
      <c r="B44" s="44" t="n">
        <v>0.115</v>
      </c>
      <c r="C44" s="45" t="n">
        <f aca="false">(SUMPRODUCT($B$10:$J$10,(1+$B$44)^-($B$11:$J$11))+$J$10*(1+C$43)/($B$44-C$43)/(1+$B$44)^9+$B$31)/$B$32</f>
        <v>13.1530619016769</v>
      </c>
      <c r="D44" s="45" t="n">
        <f aca="false">(SUMPRODUCT($B$10:$J$10,(1+$B$44)^-($B$11:$J$11))+$J$10*(1+D$43)/($B$44-D$43)/(1+$B$44)^9+$B$31)/$B$32</f>
        <v>13.4836797889833</v>
      </c>
      <c r="E44" s="45" t="n">
        <f aca="false">(SUMPRODUCT($B$10:$J$10,(1+$B$44)^-($B$11:$J$11))+$J$10*(1+E$43)/($B$44-E$43)/(1+$B$44)^9+$B$31)/$B$32</f>
        <v>13.8531938983258</v>
      </c>
      <c r="F44" s="45" t="n">
        <f aca="false">(SUMPRODUCT($B$10:$J$10,(1+$B$44)^-($B$11:$J$11))+$J$10*(1+F$43)/($B$44-F$43)/(1+$B$44)^9+$B$31)/$B$32</f>
        <v>14.268897271336</v>
      </c>
      <c r="G44" s="45" t="n">
        <f aca="false">(SUMPRODUCT($B$10:$J$10,(1+$B$44)^-($B$11:$J$11))+$J$10*(1+G$43)/($B$44-G$43)/(1+$B$44)^9+$B$31)/$B$32</f>
        <v>14.7400277607477</v>
      </c>
    </row>
    <row r="45" customFormat="false" ht="15" hidden="false" customHeight="true" outlineLevel="0" collapsed="false">
      <c r="B45" s="44" t="n">
        <v>0.125</v>
      </c>
      <c r="C45" s="45" t="n">
        <f aca="false">(SUMPRODUCT($B$10:$J$10,(1+$B$45)^-($B$11:$J$11))+$J$10*(1+C$43)/($B$45-C$43)/(1+$B$45)^9+$B$31)/$B$32</f>
        <v>12.0710144319843</v>
      </c>
      <c r="D45" s="45" t="n">
        <f aca="false">(SUMPRODUCT($B$10:$J$10,(1+$B$45)^-($B$11:$J$11))+$J$10*(1+D$43)/($B$45-D$43)/(1+$B$45)^9+$B$31)/$B$32</f>
        <v>12.3216726347976</v>
      </c>
      <c r="E45" s="45" t="n">
        <f aca="false">(SUMPRODUCT($B$10:$J$10,(1+$B$45)^-($B$11:$J$11))+$J$10*(1+E$43)/($B$45-E$43)/(1+$B$45)^9+$B$31)/$B$32</f>
        <v>12.5987159115912</v>
      </c>
      <c r="F45" s="45" t="n">
        <f aca="false">(SUMPRODUCT($B$10:$J$10,(1+$B$45)^-($B$11:$J$11))+$J$10*(1+F$43)/($B$45-F$43)/(1+$B$45)^9+$B$31)/$B$32</f>
        <v>12.9065417746952</v>
      </c>
      <c r="G45" s="45" t="n">
        <f aca="false">(SUMPRODUCT($B$10:$J$10,(1+$B$45)^-($B$11:$J$11))+$J$10*(1+G$43)/($B$45-G$43)/(1+$B$45)^9+$B$31)/$B$32</f>
        <v>13.2505824452233</v>
      </c>
    </row>
    <row r="46" customFormat="false" ht="15" hidden="false" customHeight="true" outlineLevel="0" collapsed="false">
      <c r="B46" s="44" t="n">
        <v>0.134</v>
      </c>
      <c r="C46" s="45" t="n">
        <f aca="false">(SUMPRODUCT($B$10:$J$10,(1+$B$46)^-($B$11:$J$11))+$J$10*(1+C$43)/($B$46-C$43)/(1+$B$46)^9+$B$31)/$B$32</f>
        <v>11.2671206374043</v>
      </c>
      <c r="D46" s="45" t="n">
        <f aca="false">(SUMPRODUCT($B$10:$J$10,(1+$B$46)^-($B$11:$J$11))+$J$10*(1+D$43)/($B$46-D$43)/(1+$B$46)^9+$B$31)/$B$32</f>
        <v>11.4658470599244</v>
      </c>
      <c r="E46" s="45" t="n">
        <f aca="false">(SUMPRODUCT($B$10:$J$10,(1+$B$46)^-($B$11:$J$11))+$J$10*(1+E$43)/($B$46-E$43)/(1+$B$46)^9+$B$31)/$B$32</f>
        <v>11.6836817923022</v>
      </c>
      <c r="F46" s="45" t="n">
        <f aca="false">(SUMPRODUCT($B$10:$J$10,(1+$B$46)^-($B$11:$J$11))+$J$10*(1+F$43)/($B$46-F$43)/(1+$B$46)^9+$B$31)/$B$32</f>
        <v>11.9235200330009</v>
      </c>
      <c r="G46" s="45" t="n">
        <f aca="false">(SUMPRODUCT($B$10:$J$10,(1+$B$46)^-($B$11:$J$11))+$J$10*(1+G$43)/($B$46-G$43)/(1+$B$46)^9+$B$31)/$B$32</f>
        <v>12.188872980157</v>
      </c>
    </row>
    <row r="47" customFormat="false" ht="15" hidden="false" customHeight="true" outlineLevel="0" collapsed="false">
      <c r="B47" s="44" t="n">
        <v>0.145</v>
      </c>
      <c r="C47" s="45" t="n">
        <f aca="false">(SUMPRODUCT($B$10:$J$10,(1+$B$47)^-($B$11:$J$11))+$J$10*(1+C$43)/($B$47-C$43)/(1+$B$47)^9+$B$31)/$B$32</f>
        <v>10.4500239049512</v>
      </c>
      <c r="D47" s="45" t="n">
        <f aca="false">(SUMPRODUCT($B$10:$J$10,(1+$B$47)^-($B$11:$J$11))+$J$10*(1+D$43)/($B$47-D$43)/(1+$B$47)^9+$B$31)/$B$32</f>
        <v>10.602413827278</v>
      </c>
      <c r="E47" s="45" t="n">
        <f aca="false">(SUMPRODUCT($B$10:$J$10,(1+$B$47)^-($B$11:$J$11))+$J$10*(1+E$43)/($B$47-E$43)/(1+$B$47)^9+$B$31)/$B$32</f>
        <v>10.7680550471985</v>
      </c>
      <c r="F47" s="45" t="n">
        <f aca="false">(SUMPRODUCT($B$10:$J$10,(1+$B$47)^-($B$11:$J$11))+$J$10*(1+F$43)/($B$47-F$43)/(1+$B$47)^9+$B$31)/$B$32</f>
        <v>10.948754559839</v>
      </c>
      <c r="G47" s="45" t="n">
        <f aca="false">(SUMPRODUCT($B$10:$J$10,(1+$B$47)^-($B$11:$J$11))+$J$10*(1+G$43)/($B$47-G$43)/(1+$B$47)^9+$B$31)/$B$32</f>
        <v>11.1466635498739</v>
      </c>
    </row>
    <row r="48" customFormat="false" ht="15" hidden="false" customHeight="true" outlineLevel="0" collapsed="false">
      <c r="B48" s="44" t="n">
        <v>0.155</v>
      </c>
      <c r="C48" s="45" t="n">
        <f aca="false">(SUMPRODUCT($B$10:$J$10,(1+$B$48)^-($B$11:$J$11))+$J$10*(1+C$43)/($B$48-C$43)/(1+$B$48)^9+$B$31)/$B$32</f>
        <v>9.82945130862835</v>
      </c>
      <c r="D48" s="45" t="n">
        <f aca="false">(SUMPRODUCT($B$10:$J$10,(1+$B$48)^-($B$11:$J$11))+$J$10*(1+D$43)/($B$48-D$43)/(1+$B$48)^9+$B$31)/$B$32</f>
        <v>9.95094630867466</v>
      </c>
      <c r="E48" s="45" t="n">
        <f aca="false">(SUMPRODUCT($B$10:$J$10,(1+$B$48)^-($B$11:$J$11))+$J$10*(1+E$43)/($B$48-E$43)/(1+$B$48)^9+$B$31)/$B$32</f>
        <v>10.0821609087247</v>
      </c>
      <c r="F48" s="45" t="n">
        <f aca="false">(SUMPRODUCT($B$10:$J$10,(1+$B$48)^-($B$11:$J$11))+$J$10*(1+F$43)/($B$48-F$43)/(1+$B$48)^9+$B$31)/$B$32</f>
        <v>10.2243100587789</v>
      </c>
      <c r="G48" s="45" t="n">
        <f aca="false">(SUMPRODUCT($B$10:$J$10,(1+$B$48)^-($B$11:$J$11))+$J$10*(1+G$43)/($B$48-G$43)/(1+$B$48)^9+$B$31)/$B$32</f>
        <v>10.37882000449</v>
      </c>
    </row>
    <row r="50" customFormat="false" ht="15" hidden="false" customHeight="true" outlineLevel="0" collapsed="false">
      <c r="A50" s="6" t="s">
        <v>262</v>
      </c>
    </row>
    <row r="51" customFormat="false" ht="15" hidden="false" customHeight="true" outlineLevel="0" collapsed="false">
      <c r="B51" s="42" t="s">
        <v>263</v>
      </c>
      <c r="C51" s="46" t="n">
        <v>8</v>
      </c>
      <c r="D51" s="46" t="n">
        <v>10</v>
      </c>
      <c r="E51" s="46" t="n">
        <v>12</v>
      </c>
      <c r="F51" s="46" t="n">
        <v>14</v>
      </c>
      <c r="G51" s="46" t="n">
        <v>16</v>
      </c>
    </row>
    <row r="52" customFormat="false" ht="15" hidden="false" customHeight="true" outlineLevel="0" collapsed="false">
      <c r="B52" s="44" t="n">
        <v>0.115</v>
      </c>
      <c r="C52" s="45" t="n">
        <f aca="false">(SUMPRODUCT($B$10:$J$10,(1+$B$52)^-($B$11:$J$11))+C$51*Model_3S!$L$23/(1+$B$52)^9+$B$31)/$B$32</f>
        <v>15.6500573317386</v>
      </c>
      <c r="D52" s="45" t="n">
        <f aca="false">(SUMPRODUCT($B$10:$J$10,(1+$B$52)^-($B$11:$J$11))+D$51*Model_3S!$L$23/(1+$B$52)^9+$B$31)/$B$32</f>
        <v>17.635325115475</v>
      </c>
      <c r="E52" s="45" t="n">
        <f aca="false">(SUMPRODUCT($B$10:$J$10,(1+$B$52)^-($B$11:$J$11))+E$51*Model_3S!$L$23/(1+$B$52)^9+$B$31)/$B$32</f>
        <v>19.6205928992115</v>
      </c>
      <c r="F52" s="45" t="n">
        <f aca="false">(SUMPRODUCT($B$10:$J$10,(1+$B$52)^-($B$11:$J$11))+F$51*Model_3S!$L$23/(1+$B$52)^9+$B$31)/$B$32</f>
        <v>21.6058606829479</v>
      </c>
      <c r="G52" s="45" t="n">
        <f aca="false">(SUMPRODUCT($B$10:$J$10,(1+$B$52)^-($B$11:$J$11))+G$51*Model_3S!$L$23/(1+$B$52)^9+$B$31)/$B$32</f>
        <v>23.5911284666843</v>
      </c>
    </row>
    <row r="53" customFormat="false" ht="15" hidden="false" customHeight="true" outlineLevel="0" collapsed="false">
      <c r="B53" s="44" t="n">
        <v>0.125</v>
      </c>
      <c r="C53" s="45" t="n">
        <f aca="false">(SUMPRODUCT($B$10:$J$10,(1+$B$53)^-($B$11:$J$11))+C$51*Model_3S!$L$23/(1+$B$53)^9+$B$31)/$B$32</f>
        <v>14.8536567682854</v>
      </c>
      <c r="D53" s="45" t="n">
        <f aca="false">(SUMPRODUCT($B$10:$J$10,(1+$B$53)^-($B$11:$J$11))+D$51*Model_3S!$L$23/(1+$B$53)^9+$B$31)/$B$32</f>
        <v>16.6856345384475</v>
      </c>
      <c r="E53" s="45" t="n">
        <f aca="false">(SUMPRODUCT($B$10:$J$10,(1+$B$53)^-($B$11:$J$11))+E$51*Model_3S!$L$23/(1+$B$53)^9+$B$31)/$B$32</f>
        <v>18.5176123086096</v>
      </c>
      <c r="F53" s="45" t="n">
        <f aca="false">(SUMPRODUCT($B$10:$J$10,(1+$B$53)^-($B$11:$J$11))+F$51*Model_3S!$L$23/(1+$B$53)^9+$B$31)/$B$32</f>
        <v>20.3495900787716</v>
      </c>
      <c r="G53" s="45" t="n">
        <f aca="false">(SUMPRODUCT($B$10:$J$10,(1+$B$53)^-($B$11:$J$11))+G$51*Model_3S!$L$23/(1+$B$53)^9+$B$31)/$B$32</f>
        <v>22.1815678489337</v>
      </c>
    </row>
    <row r="54" customFormat="false" ht="15" hidden="false" customHeight="true" outlineLevel="0" collapsed="false">
      <c r="B54" s="44" t="n">
        <v>0.134</v>
      </c>
      <c r="C54" s="45" t="n">
        <f aca="false">(SUMPRODUCT($B$10:$J$10,(1+$B$54)^-($B$11:$J$11))+C$51*Model_3S!$L$23/(1+$B$54)^9+$B$31)/$B$32</f>
        <v>14.1912017748739</v>
      </c>
      <c r="D54" s="45" t="n">
        <f aca="false">(SUMPRODUCT($B$10:$J$10,(1+$B$54)^-($B$11:$J$11))+D$51*Model_3S!$L$23/(1+$B$54)^9+$B$31)/$B$32</f>
        <v>15.8964021146109</v>
      </c>
      <c r="E54" s="45" t="n">
        <f aca="false">(SUMPRODUCT($B$10:$J$10,(1+$B$54)^-($B$11:$J$11))+E$51*Model_3S!$L$23/(1+$B$54)^9+$B$31)/$B$32</f>
        <v>17.6016024543478</v>
      </c>
      <c r="F54" s="45" t="n">
        <f aca="false">(SUMPRODUCT($B$10:$J$10,(1+$B$54)^-($B$11:$J$11))+F$51*Model_3S!$L$23/(1+$B$54)^9+$B$31)/$B$32</f>
        <v>19.3068027940847</v>
      </c>
      <c r="G54" s="45" t="n">
        <f aca="false">(SUMPRODUCT($B$10:$J$10,(1+$B$54)^-($B$11:$J$11))+G$51*Model_3S!$L$23/(1+$B$54)^9+$B$31)/$B$32</f>
        <v>21.0120031338216</v>
      </c>
    </row>
    <row r="55" customFormat="false" ht="15" hidden="false" customHeight="true" outlineLevel="0" collapsed="false">
      <c r="B55" s="44" t="n">
        <v>0.145</v>
      </c>
      <c r="C55" s="45" t="n">
        <f aca="false">(SUMPRODUCT($B$10:$J$10,(1+$B$55)^-($B$11:$J$11))+C$51*Model_3S!$L$23/(1+$B$55)^9+$B$31)/$B$32</f>
        <v>13.4451578600711</v>
      </c>
      <c r="D55" s="45" t="n">
        <f aca="false">(SUMPRODUCT($B$10:$J$10,(1+$B$55)^-($B$11:$J$11))+D$51*Model_3S!$L$23/(1+$B$55)^9+$B$31)/$B$32</f>
        <v>15.0084621563972</v>
      </c>
      <c r="E55" s="45" t="n">
        <f aca="false">(SUMPRODUCT($B$10:$J$10,(1+$B$55)^-($B$11:$J$11))+E$51*Model_3S!$L$23/(1+$B$55)^9+$B$31)/$B$32</f>
        <v>16.5717664527232</v>
      </c>
      <c r="F55" s="45" t="n">
        <f aca="false">(SUMPRODUCT($B$10:$J$10,(1+$B$55)^-($B$11:$J$11))+F$51*Model_3S!$L$23/(1+$B$55)^9+$B$31)/$B$32</f>
        <v>18.1350707490493</v>
      </c>
      <c r="G55" s="45" t="n">
        <f aca="false">(SUMPRODUCT($B$10:$J$10,(1+$B$55)^-($B$11:$J$11))+G$51*Model_3S!$L$23/(1+$B$55)^9+$B$31)/$B$32</f>
        <v>19.6983750453753</v>
      </c>
    </row>
    <row r="56" customFormat="false" ht="15" hidden="false" customHeight="true" outlineLevel="0" collapsed="false">
      <c r="B56" s="44" t="n">
        <v>0.155</v>
      </c>
      <c r="C56" s="45" t="n">
        <f aca="false">(SUMPRODUCT($B$10:$J$10,(1+$B$56)^-($B$11:$J$11))+C$51*Model_3S!$L$23/(1+$B$56)^9+$B$31)/$B$32</f>
        <v>12.8222918015832</v>
      </c>
      <c r="D56" s="45" t="n">
        <f aca="false">(SUMPRODUCT($B$10:$J$10,(1+$B$56)^-($B$11:$J$11))+D$51*Model_3S!$L$23/(1+$B$56)^9+$B$31)/$B$32</f>
        <v>14.2679147822306</v>
      </c>
      <c r="E56" s="45" t="n">
        <f aca="false">(SUMPRODUCT($B$10:$J$10,(1+$B$56)^-($B$11:$J$11))+E$51*Model_3S!$L$23/(1+$B$56)^9+$B$31)/$B$32</f>
        <v>15.7135377628781</v>
      </c>
      <c r="F56" s="45" t="n">
        <f aca="false">(SUMPRODUCT($B$10:$J$10,(1+$B$56)^-($B$11:$J$11))+F$51*Model_3S!$L$23/(1+$B$56)^9+$B$31)/$B$32</f>
        <v>17.1591607435255</v>
      </c>
      <c r="G56" s="45" t="n">
        <f aca="false">(SUMPRODUCT($B$10:$J$10,(1+$B$56)^-($B$11:$J$11))+G$51*Model_3S!$L$23/(1+$B$56)^9+$B$31)/$B$32</f>
        <v>18.6047837241729</v>
      </c>
    </row>
    <row r="58" customFormat="false" ht="15" hidden="false" customHeight="true" outlineLevel="0" collapsed="false">
      <c r="A58" s="6" t="s">
        <v>264</v>
      </c>
    </row>
    <row r="59" customFormat="false" ht="15" hidden="false" customHeight="true" outlineLevel="0" collapsed="false">
      <c r="A59" s="15" t="s">
        <v>265</v>
      </c>
    </row>
    <row r="60" customFormat="false" ht="15" hidden="false" customHeight="true" outlineLevel="0" collapsed="false">
      <c r="B60" s="42" t="s">
        <v>266</v>
      </c>
      <c r="C60" s="43" t="n">
        <v>0.14</v>
      </c>
      <c r="D60" s="43" t="n">
        <v>0.175</v>
      </c>
      <c r="E60" s="43" t="n">
        <v>0.21</v>
      </c>
      <c r="F60" s="43" t="n">
        <v>0.25</v>
      </c>
      <c r="G60" s="43" t="n">
        <v>0.28</v>
      </c>
    </row>
    <row r="61" customFormat="false" ht="15" hidden="false" customHeight="true" outlineLevel="0" collapsed="false">
      <c r="B61" s="43" t="n">
        <v>0.13</v>
      </c>
      <c r="C61" s="45" t="n">
        <f aca="false">($B$15*(Model_3S!$C$18*(1+($B$61+Assumptions!$E$13)/2)^9*C$60)/Model_3S!$L$23+$B$25*(Model_3S!$C$18*(1+($B$61+Assumptions!$E$13)/2)^9*C$60)/(1+$B$16)^9+$B$31)/$B$32</f>
        <v>10.5394044928877</v>
      </c>
      <c r="D61" s="45" t="n">
        <f aca="false">($B$15*(Model_3S!$C$18*(1+($B$61+Assumptions!$E$13)/2)^9*D$60)/Model_3S!$L$23+$B$25*(Model_3S!$C$18*(1+($B$61+Assumptions!$E$13)/2)^9*D$60)/(1+$B$16)^9+$B$31)/$B$32</f>
        <v>12.3463195533786</v>
      </c>
      <c r="E61" s="45" t="n">
        <f aca="false">($B$15*(Model_3S!$C$18*(1+($B$61+Assumptions!$E$13)/2)^9*E$60)/Model_3S!$L$23+$B$25*(Model_3S!$C$18*(1+($B$61+Assumptions!$E$13)/2)^9*E$60)/(1+$B$16)^9+$B$31)/$B$32</f>
        <v>14.1532346138695</v>
      </c>
      <c r="F61" s="45" t="n">
        <f aca="false">($B$15*(Model_3S!$C$18*(1+($B$61+Assumptions!$E$13)/2)^9*F$60)/Model_3S!$L$23+$B$25*(Model_3S!$C$18*(1+($B$61+Assumptions!$E$13)/2)^9*F$60)/(1+$B$16)^9+$B$31)/$B$32</f>
        <v>16.2182803972876</v>
      </c>
      <c r="G61" s="45" t="n">
        <f aca="false">($B$15*(Model_3S!$C$18*(1+($B$61+Assumptions!$E$13)/2)^9*G$60)/Model_3S!$L$23+$B$25*(Model_3S!$C$18*(1+($B$61+Assumptions!$E$13)/2)^9*G$60)/(1+$B$16)^9+$B$31)/$B$32</f>
        <v>17.7670647348512</v>
      </c>
    </row>
    <row r="62" customFormat="false" ht="15" hidden="false" customHeight="true" outlineLevel="0" collapsed="false">
      <c r="B62" s="43" t="n">
        <v>0.165</v>
      </c>
      <c r="C62" s="45" t="n">
        <f aca="false">($B$15*(Model_3S!$C$18*(1+($B$62+Assumptions!$E$13)/2)^9*C$60)/Model_3S!$L$23+$B$25*(Model_3S!$C$18*(1+($B$62+Assumptions!$E$13)/2)^9*C$60)/(1+$B$16)^9+$B$31)/$B$32</f>
        <v>11.6534114976797</v>
      </c>
      <c r="D62" s="45" t="n">
        <f aca="false">($B$15*(Model_3S!$C$18*(1+($B$62+Assumptions!$E$13)/2)^9*D$60)/Model_3S!$L$23+$B$25*(Model_3S!$C$18*(1+($B$62+Assumptions!$E$13)/2)^9*D$60)/(1+$B$16)^9+$B$31)/$B$32</f>
        <v>13.7388283093687</v>
      </c>
      <c r="E62" s="45" t="n">
        <f aca="false">($B$15*(Model_3S!$C$18*(1+($B$62+Assumptions!$E$13)/2)^9*E$60)/Model_3S!$L$23+$B$25*(Model_3S!$C$18*(1+($B$62+Assumptions!$E$13)/2)^9*E$60)/(1+$B$16)^9+$B$31)/$B$32</f>
        <v>15.8242451210576</v>
      </c>
      <c r="F62" s="45" t="n">
        <f aca="false">($B$15*(Model_3S!$C$18*(1+($B$62+Assumptions!$E$13)/2)^9*F$60)/Model_3S!$L$23+$B$25*(Model_3S!$C$18*(1+($B$62+Assumptions!$E$13)/2)^9*F$60)/(1+$B$16)^9+$B$31)/$B$32</f>
        <v>18.2075786201306</v>
      </c>
      <c r="G62" s="45" t="n">
        <f aca="false">($B$15*(Model_3S!$C$18*(1+($B$62+Assumptions!$E$13)/2)^9*G$60)/Model_3S!$L$23+$B$25*(Model_3S!$C$18*(1+($B$62+Assumptions!$E$13)/2)^9*G$60)/(1+$B$16)^9+$B$31)/$B$32</f>
        <v>19.9950787444354</v>
      </c>
    </row>
    <row r="63" customFormat="false" ht="15" hidden="false" customHeight="true" outlineLevel="0" collapsed="false">
      <c r="B63" s="43" t="n">
        <v>0.2</v>
      </c>
      <c r="C63" s="45" t="n">
        <f aca="false">($B$15*(Model_3S!$C$18*(1+($B$63+Assumptions!$E$13)/2)^9*C$60)/Model_3S!$L$23+$B$25*(Model_3S!$C$18*(1+($B$63+Assumptions!$E$13)/2)^9*C$60)/(1+$B$16)^9+$B$31)/$B$32</f>
        <v>12.9175090730324</v>
      </c>
      <c r="D63" s="45" t="n">
        <f aca="false">($B$15*(Model_3S!$C$18*(1+($B$63+Assumptions!$E$13)/2)^9*D$60)/Model_3S!$L$23+$B$25*(Model_3S!$C$18*(1+($B$63+Assumptions!$E$13)/2)^9*D$60)/(1+$B$16)^9+$B$31)/$B$32</f>
        <v>15.3189502785594</v>
      </c>
      <c r="E63" s="45" t="n">
        <f aca="false">($B$15*(Model_3S!$C$18*(1+($B$63+Assumptions!$E$13)/2)^9*E$60)/Model_3S!$L$23+$B$25*(Model_3S!$C$18*(1+($B$63+Assumptions!$E$13)/2)^9*E$60)/(1+$B$16)^9+$B$31)/$B$32</f>
        <v>17.7203914840865</v>
      </c>
      <c r="F63" s="45" t="n">
        <f aca="false">($B$15*(Model_3S!$C$18*(1+($B$63+Assumptions!$E$13)/2)^9*F$60)/Model_3S!$L$23+$B$25*(Model_3S!$C$18*(1+($B$63+Assumptions!$E$13)/2)^9*F$60)/(1+$B$16)^9+$B$31)/$B$32</f>
        <v>20.4648957189746</v>
      </c>
      <c r="G63" s="45" t="n">
        <f aca="false">($B$15*(Model_3S!$C$18*(1+($B$63+Assumptions!$E$13)/2)^9*G$60)/Model_3S!$L$23+$B$25*(Model_3S!$C$18*(1+($B$63+Assumptions!$E$13)/2)^9*G$60)/(1+$B$16)^9+$B$31)/$B$32</f>
        <v>22.5232738951407</v>
      </c>
    </row>
    <row r="64" customFormat="false" ht="15" hidden="false" customHeight="true" outlineLevel="0" collapsed="false">
      <c r="B64" s="43" t="n">
        <v>0.25</v>
      </c>
      <c r="C64" s="45" t="n">
        <f aca="false">($B$15*(Model_3S!$C$18*(1+($B$64+Assumptions!$E$13)/2)^9*C$60)/Model_3S!$L$23+$B$25*(Model_3S!$C$18*(1+($B$64+Assumptions!$E$13)/2)^9*C$60)/(1+$B$16)^9+$B$31)/$B$32</f>
        <v>15.0185877003336</v>
      </c>
      <c r="D64" s="45" t="n">
        <f aca="false">($B$15*(Model_3S!$C$18*(1+($B$64+Assumptions!$E$13)/2)^9*D$60)/Model_3S!$L$23+$B$25*(Model_3S!$C$18*(1+($B$64+Assumptions!$E$13)/2)^9*D$60)/(1+$B$16)^9+$B$31)/$B$32</f>
        <v>17.945298562686</v>
      </c>
      <c r="E64" s="45" t="n">
        <f aca="false">($B$15*(Model_3S!$C$18*(1+($B$64+Assumptions!$E$13)/2)^9*E$60)/Model_3S!$L$23+$B$25*(Model_3S!$C$18*(1+($B$64+Assumptions!$E$13)/2)^9*E$60)/(1+$B$16)^9+$B$31)/$B$32</f>
        <v>20.8720094250384</v>
      </c>
      <c r="F64" s="45" t="n">
        <f aca="false">($B$15*(Model_3S!$C$18*(1+($B$64+Assumptions!$E$13)/2)^9*F$60)/Model_3S!$L$23+$B$25*(Model_3S!$C$18*(1+($B$64+Assumptions!$E$13)/2)^9*F$60)/(1+$B$16)^9+$B$31)/$B$32</f>
        <v>24.2168218391554</v>
      </c>
      <c r="G64" s="45" t="n">
        <f aca="false">($B$15*(Model_3S!$C$18*(1+($B$64+Assumptions!$E$13)/2)^9*G$60)/Model_3S!$L$23+$B$25*(Model_3S!$C$18*(1+($B$64+Assumptions!$E$13)/2)^9*G$60)/(1+$B$16)^9+$B$31)/$B$32</f>
        <v>26.7254311497432</v>
      </c>
    </row>
    <row r="65" customFormat="false" ht="15" hidden="false" customHeight="true" outlineLevel="0" collapsed="false">
      <c r="B65" s="43" t="n">
        <v>0.3</v>
      </c>
      <c r="C65" s="45" t="n">
        <f aca="false">($B$15*(Model_3S!$C$18*(1+($B$65+Assumptions!$E$13)/2)^9*C$60)/Model_3S!$L$23+$B$25*(Model_3S!$C$18*(1+($B$65+Assumptions!$E$13)/2)^9*C$60)/(1+$B$16)^9+$B$31)/$B$32</f>
        <v>17.5186679185532</v>
      </c>
      <c r="D65" s="45" t="n">
        <f aca="false">($B$15*(Model_3S!$C$18*(1+($B$65+Assumptions!$E$13)/2)^9*D$60)/Model_3S!$L$23+$B$25*(Model_3S!$C$18*(1+($B$65+Assumptions!$E$13)/2)^9*D$60)/(1+$B$16)^9+$B$31)/$B$32</f>
        <v>21.0703988354605</v>
      </c>
      <c r="E65" s="45" t="n">
        <f aca="false">($B$15*(Model_3S!$C$18*(1+($B$65+Assumptions!$E$13)/2)^9*E$60)/Model_3S!$L$23+$B$25*(Model_3S!$C$18*(1+($B$65+Assumptions!$E$13)/2)^9*E$60)/(1+$B$16)^9+$B$31)/$B$32</f>
        <v>24.6221297523677</v>
      </c>
      <c r="F65" s="45" t="n">
        <f aca="false">($B$15*(Model_3S!$C$18*(1+($B$65+Assumptions!$E$13)/2)^9*F$60)/Model_3S!$L$23+$B$25*(Model_3S!$C$18*(1+($B$65+Assumptions!$E$13)/2)^9*F$60)/(1+$B$16)^9+$B$31)/$B$32</f>
        <v>28.6812508002618</v>
      </c>
      <c r="G65" s="45" t="n">
        <f aca="false">($B$15*(Model_3S!$C$18*(1+($B$65+Assumptions!$E$13)/2)^9*G$60)/Model_3S!$L$23+$B$25*(Model_3S!$C$18*(1+($B$65+Assumptions!$E$13)/2)^9*G$60)/(1+$B$16)^9+$B$31)/$B$32</f>
        <v>31.7255915861823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8" min="3" style="0" width="11"/>
  </cols>
  <sheetData>
    <row r="1" customFormat="false" ht="17.35" hidden="false" customHeight="false" outlineLevel="0" collapsed="false">
      <c r="A1" s="47" t="s">
        <v>267</v>
      </c>
    </row>
    <row r="2" customFormat="false" ht="15" hidden="false" customHeight="false" outlineLevel="0" collapsed="false">
      <c r="A2" s="48" t="s">
        <v>268</v>
      </c>
    </row>
    <row r="4" customFormat="false" ht="15" hidden="false" customHeight="false" outlineLevel="0" collapsed="false">
      <c r="A4" s="49" t="s">
        <v>269</v>
      </c>
    </row>
    <row r="5" customFormat="false" ht="15" hidden="false" customHeight="false" outlineLevel="0" collapsed="false">
      <c r="A5" s="50" t="s">
        <v>270</v>
      </c>
      <c r="B5" s="51" t="n">
        <f aca="false">Assumptions!B43*Assumptions!B37</f>
        <v>26781.3</v>
      </c>
    </row>
    <row r="6" customFormat="false" ht="15" hidden="false" customHeight="false" outlineLevel="0" collapsed="false">
      <c r="A6" s="50" t="s">
        <v>271</v>
      </c>
      <c r="B6" s="51" t="n">
        <f aca="false">-DCF!B31</f>
        <v>-2086.39887808219</v>
      </c>
    </row>
    <row r="7" customFormat="false" ht="15" hidden="false" customHeight="false" outlineLevel="0" collapsed="false">
      <c r="A7" s="52" t="s">
        <v>272</v>
      </c>
      <c r="B7" s="53" t="n">
        <f aca="false">B5+B6</f>
        <v>24694.9011219178</v>
      </c>
    </row>
    <row r="8" customFormat="false" ht="15" hidden="false" customHeight="false" outlineLevel="0" collapsed="false">
      <c r="A8" s="50" t="s">
        <v>273</v>
      </c>
      <c r="B8" s="51" t="n">
        <f aca="false">-DCF!B15</f>
        <v>-2556.84766750663</v>
      </c>
    </row>
    <row r="9" customFormat="false" ht="15" hidden="false" customHeight="false" outlineLevel="0" collapsed="false">
      <c r="A9" s="50" t="s">
        <v>274</v>
      </c>
      <c r="B9" s="54" t="n">
        <f aca="false">B7+B8</f>
        <v>22138.0534544112</v>
      </c>
    </row>
    <row r="10" customFormat="false" ht="15" hidden="false" customHeight="false" outlineLevel="0" collapsed="false">
      <c r="A10" s="52" t="s">
        <v>275</v>
      </c>
      <c r="B10" s="53" t="n">
        <f aca="false">B9*(1+DCF!B16)^9</f>
        <v>68658.0382752114</v>
      </c>
    </row>
    <row r="12" customFormat="false" ht="15" hidden="false" customHeight="false" outlineLevel="0" collapsed="false">
      <c r="A12" s="49" t="s">
        <v>276</v>
      </c>
    </row>
    <row r="13" customFormat="false" ht="15" hidden="false" customHeight="false" outlineLevel="0" collapsed="false">
      <c r="A13" s="50" t="s">
        <v>277</v>
      </c>
      <c r="B13" s="55" t="n">
        <f aca="false">Assumptions!B42</f>
        <v>12</v>
      </c>
    </row>
    <row r="14" customFormat="false" ht="15" hidden="false" customHeight="false" outlineLevel="0" collapsed="false">
      <c r="A14" s="50" t="s">
        <v>278</v>
      </c>
      <c r="B14" s="53" t="n">
        <f aca="false">B10/B13</f>
        <v>5721.50318960095</v>
      </c>
    </row>
    <row r="15" customFormat="false" ht="15" hidden="false" customHeight="false" outlineLevel="0" collapsed="false">
      <c r="A15" s="50" t="s">
        <v>279</v>
      </c>
      <c r="B15" s="56" t="n">
        <f aca="false">Assumptions!F17-Assumptions!F18-Assumptions!F19</f>
        <v>0.21</v>
      </c>
    </row>
    <row r="16" customFormat="false" ht="15" hidden="false" customHeight="false" outlineLevel="0" collapsed="false">
      <c r="A16" s="50" t="s">
        <v>280</v>
      </c>
      <c r="B16" s="53" t="n">
        <f aca="false">B14/B15</f>
        <v>27245.253283814</v>
      </c>
    </row>
    <row r="17" customFormat="false" ht="15" hidden="false" customHeight="false" outlineLevel="0" collapsed="false">
      <c r="A17" s="52" t="s">
        <v>281</v>
      </c>
      <c r="B17" s="57" t="n">
        <f aca="false">(B16/Model_3S!C18)^(1/9)-1</f>
        <v>0.289124685704028</v>
      </c>
    </row>
    <row r="18" customFormat="false" ht="15" hidden="false" customHeight="false" outlineLevel="0" collapsed="false">
      <c r="A18" s="58" t="s">
        <v>282</v>
      </c>
      <c r="B18" s="59" t="n">
        <f aca="false">(Model_3S!L18/Model_3S!C18)^(1/9)-1</f>
        <v>0.123957105466449</v>
      </c>
    </row>
    <row r="19" customFormat="false" ht="15" hidden="false" customHeight="false" outlineLevel="0" collapsed="false">
      <c r="A19" s="58" t="s">
        <v>283</v>
      </c>
      <c r="B19" s="59" t="n">
        <f aca="false">((Model_3S!C18*(1+(Assumptions!C12+Assumptions!C13)/2)^9)/Model_3S!C18)^(1/9)-1</f>
        <v>0.165</v>
      </c>
    </row>
    <row r="20" customFormat="false" ht="15" hidden="false" customHeight="false" outlineLevel="0" collapsed="false">
      <c r="A20" s="60" t="s">
        <v>284</v>
      </c>
    </row>
    <row r="22" customFormat="false" ht="15" hidden="false" customHeight="false" outlineLevel="0" collapsed="false">
      <c r="A22" s="49" t="s">
        <v>285</v>
      </c>
    </row>
    <row r="23" customFormat="false" ht="15" hidden="false" customHeight="false" outlineLevel="0" collapsed="false">
      <c r="B23" s="61" t="s">
        <v>286</v>
      </c>
      <c r="C23" s="62" t="n">
        <v>8</v>
      </c>
      <c r="D23" s="62" t="n">
        <v>10</v>
      </c>
      <c r="E23" s="62" t="n">
        <v>12</v>
      </c>
      <c r="F23" s="62" t="n">
        <v>15</v>
      </c>
      <c r="G23" s="62" t="n">
        <v>18</v>
      </c>
      <c r="H23" s="62" t="n">
        <v>20</v>
      </c>
    </row>
    <row r="24" customFormat="false" ht="15" hidden="false" customHeight="false" outlineLevel="0" collapsed="false">
      <c r="B24" s="63" t="n">
        <v>0.115</v>
      </c>
      <c r="C24" s="64" t="n">
        <f aca="false">((($B$7-SUMPRODUCT(DCF!$B$10:$J$10,(1+$B$24)^-(DCF!$B$11:$J$11)))*(1+$B$24)^9/C$23/$B$15)/Model_3S!$C$18)^(1/9)-1</f>
        <v>0.324497553559287</v>
      </c>
      <c r="D24" s="64" t="n">
        <f aca="false">((($B$7-SUMPRODUCT(DCF!$B$10:$J$10,(1+$B$24)^-(DCF!$B$11:$J$11)))*(1+$B$24)^9/D$23/$B$15)/Model_3S!$C$18)^(1/9)-1</f>
        <v>0.292062081286187</v>
      </c>
      <c r="E24" s="64" t="n">
        <f aca="false">((($B$7-SUMPRODUCT(DCF!$B$10:$J$10,(1+$B$24)^-(DCF!$B$11:$J$11)))*(1+$B$24)^9/E$23/$B$15)/Model_3S!$C$18)^(1/9)-1</f>
        <v>0.266150891200932</v>
      </c>
      <c r="F24" s="64" t="n">
        <f aca="false">((($B$7-SUMPRODUCT(DCF!$B$10:$J$10,(1+$B$24)^-(DCF!$B$11:$J$11)))*(1+$B$24)^9/F$23/$B$15)/Model_3S!$C$18)^(1/9)-1</f>
        <v>0.23514426380872</v>
      </c>
      <c r="G24" s="64" t="n">
        <f aca="false">((($B$7-SUMPRODUCT(DCF!$B$10:$J$10,(1+$B$24)^-(DCF!$B$11:$J$11)))*(1+$B$24)^9/G$23/$B$15)/Model_3S!$C$18)^(1/9)-1</f>
        <v>0.210374511437068</v>
      </c>
      <c r="H24" s="64" t="n">
        <f aca="false">((($B$7-SUMPRODUCT(DCF!$B$10:$J$10,(1+$B$24)^-(DCF!$B$11:$J$11)))*(1+$B$24)^9/H$23/$B$15)/Model_3S!$C$18)^(1/9)-1</f>
        <v>0.196287607768165</v>
      </c>
    </row>
    <row r="25" customFormat="false" ht="15" hidden="false" customHeight="false" outlineLevel="0" collapsed="false">
      <c r="B25" s="63" t="n">
        <v>0.125</v>
      </c>
      <c r="C25" s="64" t="n">
        <f aca="false">((($B$7-SUMPRODUCT(DCF!$B$10:$J$10,(1+$B$25)^-(DCF!$B$11:$J$11)))*(1+$B$25)^9/C$23/$B$15)/Model_3S!$C$18)^(1/9)-1</f>
        <v>0.337156468224323</v>
      </c>
      <c r="D25" s="64" t="n">
        <f aca="false">((($B$7-SUMPRODUCT(DCF!$B$10:$J$10,(1+$B$25)^-(DCF!$B$11:$J$11)))*(1+$B$25)^9/D$23/$B$15)/Model_3S!$C$18)^(1/9)-1</f>
        <v>0.304410993207524</v>
      </c>
      <c r="E25" s="64" t="n">
        <f aca="false">((($B$7-SUMPRODUCT(DCF!$B$10:$J$10,(1+$B$25)^-(DCF!$B$11:$J$11)))*(1+$B$25)^9/E$23/$B$15)/Model_3S!$C$18)^(1/9)-1</f>
        <v>0.278252156349894</v>
      </c>
      <c r="F25" s="64" t="n">
        <f aca="false">((($B$7-SUMPRODUCT(DCF!$B$10:$J$10,(1+$B$25)^-(DCF!$B$11:$J$11)))*(1+$B$25)^9/F$23/$B$15)/Model_3S!$C$18)^(1/9)-1</f>
        <v>0.246949182430537</v>
      </c>
      <c r="G25" s="64" t="n">
        <f aca="false">((($B$7-SUMPRODUCT(DCF!$B$10:$J$10,(1+$B$25)^-(DCF!$B$11:$J$11)))*(1+$B$25)^9/G$23/$B$15)/Model_3S!$C$18)^(1/9)-1</f>
        <v>0.221942692602705</v>
      </c>
      <c r="H25" s="64" t="n">
        <f aca="false">((($B$7-SUMPRODUCT(DCF!$B$10:$J$10,(1+$B$25)^-(DCF!$B$11:$J$11)))*(1+$B$25)^9/H$23/$B$15)/Model_3S!$C$18)^(1/9)-1</f>
        <v>0.207721153040395</v>
      </c>
    </row>
    <row r="26" customFormat="false" ht="15" hidden="false" customHeight="false" outlineLevel="0" collapsed="false">
      <c r="B26" s="63" t="n">
        <v>0.134</v>
      </c>
      <c r="C26" s="64" t="n">
        <f aca="false">((($B$7-SUMPRODUCT(DCF!$B$10:$J$10,(1+$B$26)^-(DCF!$B$11:$J$11)))*(1+$B$26)^9/C$23/$B$15)/Model_3S!$C$18)^(1/9)-1</f>
        <v>0.348517417383003</v>
      </c>
      <c r="D26" s="64" t="n">
        <f aca="false">((($B$7-SUMPRODUCT(DCF!$B$10:$J$10,(1+$B$26)^-(DCF!$B$11:$J$11)))*(1+$B$26)^9/D$23/$B$15)/Model_3S!$C$18)^(1/9)-1</f>
        <v>0.315493725354446</v>
      </c>
      <c r="E26" s="64" t="n">
        <f aca="false">((($B$7-SUMPRODUCT(DCF!$B$10:$J$10,(1+$B$26)^-(DCF!$B$11:$J$11)))*(1+$B$26)^9/E$23/$B$15)/Model_3S!$C$18)^(1/9)-1</f>
        <v>0.289112633867195</v>
      </c>
      <c r="F26" s="64" t="n">
        <f aca="false">((($B$7-SUMPRODUCT(DCF!$B$10:$J$10,(1+$B$26)^-(DCF!$B$11:$J$11)))*(1+$B$26)^9/F$23/$B$15)/Model_3S!$C$18)^(1/9)-1</f>
        <v>0.257543698930064</v>
      </c>
      <c r="G26" s="64" t="n">
        <f aca="false">((($B$7-SUMPRODUCT(DCF!$B$10:$J$10,(1+$B$26)^-(DCF!$B$11:$J$11)))*(1+$B$26)^9/G$23/$B$15)/Model_3S!$C$18)^(1/9)-1</f>
        <v>0.232324745216126</v>
      </c>
      <c r="H26" s="64" t="n">
        <f aca="false">((($B$7-SUMPRODUCT(DCF!$B$10:$J$10,(1+$B$26)^-(DCF!$B$11:$J$11)))*(1+$B$26)^9/H$23/$B$15)/Model_3S!$C$18)^(1/9)-1</f>
        <v>0.217982374478284</v>
      </c>
    </row>
    <row r="27" customFormat="false" ht="15" hidden="false" customHeight="false" outlineLevel="0" collapsed="false">
      <c r="B27" s="63" t="n">
        <v>0.145</v>
      </c>
      <c r="C27" s="64" t="n">
        <f aca="false">((($B$7-SUMPRODUCT(DCF!$B$10:$J$10,(1+$B$27)^-(DCF!$B$11:$J$11)))*(1+$B$27)^9/C$23/$B$15)/Model_3S!$C$18)^(1/9)-1</f>
        <v>0.36236487923402</v>
      </c>
      <c r="D27" s="64" t="n">
        <f aca="false">((($B$7-SUMPRODUCT(DCF!$B$10:$J$10,(1+$B$27)^-(DCF!$B$11:$J$11)))*(1+$B$27)^9/D$23/$B$15)/Model_3S!$C$18)^(1/9)-1</f>
        <v>0.329002078262819</v>
      </c>
      <c r="E27" s="64" t="n">
        <f aca="false">((($B$7-SUMPRODUCT(DCF!$B$10:$J$10,(1+$B$27)^-(DCF!$B$11:$J$11)))*(1+$B$27)^9/E$23/$B$15)/Model_3S!$C$18)^(1/9)-1</f>
        <v>0.30235008841471</v>
      </c>
      <c r="F27" s="64" t="n">
        <f aca="false">((($B$7-SUMPRODUCT(DCF!$B$10:$J$10,(1+$B$27)^-(DCF!$B$11:$J$11)))*(1+$B$27)^9/F$23/$B$15)/Model_3S!$C$18)^(1/9)-1</f>
        <v>0.270456982935483</v>
      </c>
      <c r="G27" s="64" t="n">
        <f aca="false">((($B$7-SUMPRODUCT(DCF!$B$10:$J$10,(1+$B$27)^-(DCF!$B$11:$J$11)))*(1+$B$27)^9/G$23/$B$15)/Model_3S!$C$18)^(1/9)-1</f>
        <v>0.244979064454034</v>
      </c>
      <c r="H27" s="64" t="n">
        <f aca="false">((($B$7-SUMPRODUCT(DCF!$B$10:$J$10,(1+$B$27)^-(DCF!$B$11:$J$11)))*(1+$B$27)^9/H$23/$B$15)/Model_3S!$C$18)^(1/9)-1</f>
        <v>0.230489416840799</v>
      </c>
    </row>
    <row r="28" customFormat="false" ht="15" hidden="false" customHeight="false" outlineLevel="0" collapsed="false">
      <c r="B28" s="63" t="n">
        <v>0.155</v>
      </c>
      <c r="C28" s="64" t="n">
        <f aca="false">((($B$7-SUMPRODUCT(DCF!$B$10:$J$10,(1+$B$28)^-(DCF!$B$11:$J$11)))*(1+$B$28)^9/C$23/$B$15)/Model_3S!$C$18)^(1/9)-1</f>
        <v>0.374919779883064</v>
      </c>
      <c r="D28" s="64" t="n">
        <f aca="false">((($B$7-SUMPRODUCT(DCF!$B$10:$J$10,(1+$B$28)^-(DCF!$B$11:$J$11)))*(1+$B$28)^9/D$23/$B$15)/Model_3S!$C$18)^(1/9)-1</f>
        <v>0.341249523355755</v>
      </c>
      <c r="E28" s="64" t="n">
        <f aca="false">((($B$7-SUMPRODUCT(DCF!$B$10:$J$10,(1+$B$28)^-(DCF!$B$11:$J$11)))*(1+$B$28)^9/E$23/$B$15)/Model_3S!$C$18)^(1/9)-1</f>
        <v>0.314351921564955</v>
      </c>
      <c r="F28" s="64" t="n">
        <f aca="false">((($B$7-SUMPRODUCT(DCF!$B$10:$J$10,(1+$B$28)^-(DCF!$B$11:$J$11)))*(1+$B$28)^9/F$23/$B$15)/Model_3S!$C$18)^(1/9)-1</f>
        <v>0.282164904537666</v>
      </c>
      <c r="G28" s="64" t="n">
        <f aca="false">((($B$7-SUMPRODUCT(DCF!$B$10:$J$10,(1+$B$28)^-(DCF!$B$11:$J$11)))*(1+$B$28)^9/G$23/$B$15)/Model_3S!$C$18)^(1/9)-1</f>
        <v>0.256452193791564</v>
      </c>
      <c r="H28" s="64" t="n">
        <f aca="false">((($B$7-SUMPRODUCT(DCF!$B$10:$J$10,(1+$B$28)^-(DCF!$B$11:$J$11)))*(1+$B$28)^9/H$23/$B$15)/Model_3S!$C$18)^(1/9)-1</f>
        <v>0.241829016542475</v>
      </c>
    </row>
    <row r="30" customFormat="false" ht="15" hidden="false" customHeight="false" outlineLevel="0" collapsed="false">
      <c r="A30" s="60" t="s">
        <v>287</v>
      </c>
    </row>
    <row r="32" customFormat="false" ht="15" hidden="false" customHeight="false" outlineLevel="0" collapsed="false">
      <c r="A32" s="49" t="s">
        <v>288</v>
      </c>
    </row>
    <row r="33" customFormat="false" ht="15" hidden="false" customHeight="false" outlineLevel="0" collapsed="false">
      <c r="A33" s="50" t="s">
        <v>289</v>
      </c>
      <c r="B33" s="51" t="n">
        <f aca="false">Historicals!H14*1000</f>
        <v>22700</v>
      </c>
    </row>
    <row r="34" customFormat="false" ht="15" hidden="false" customHeight="false" outlineLevel="0" collapsed="false">
      <c r="A34" s="50" t="s">
        <v>290</v>
      </c>
      <c r="B34" s="54" t="n">
        <f aca="false">SUM(Model_3S!D18:L18)</f>
        <v>51971.5545176347</v>
      </c>
    </row>
    <row r="35" customFormat="false" ht="15" hidden="false" customHeight="false" outlineLevel="0" collapsed="false">
      <c r="A35" s="58" t="s">
        <v>291</v>
      </c>
      <c r="B35" s="65" t="n">
        <f aca="false">B34/B33</f>
        <v>2.2894957937284</v>
      </c>
    </row>
    <row r="36" customFormat="false" ht="15" hidden="false" customHeight="false" outlineLevel="0" collapsed="false">
      <c r="A36" s="50" t="s">
        <v>292</v>
      </c>
      <c r="B36" s="54" t="n">
        <f aca="false">Model_3S!C18*((1+$B$17)*((1+$B$17)^9-1)/$B$17)</f>
        <v>109123.729769083</v>
      </c>
    </row>
    <row r="37" customFormat="false" ht="15" hidden="false" customHeight="false" outlineLevel="0" collapsed="false">
      <c r="A37" s="58" t="s">
        <v>293</v>
      </c>
      <c r="B37" s="65" t="n">
        <f aca="false">B36/B33</f>
        <v>4.80721276515786</v>
      </c>
    </row>
    <row r="38" customFormat="false" ht="15" hidden="false" customHeight="false" outlineLevel="0" collapsed="false">
      <c r="A38" s="60" t="s">
        <v>294</v>
      </c>
    </row>
    <row r="40" customFormat="false" ht="15" hidden="false" customHeight="false" outlineLevel="0" collapsed="false">
      <c r="A40" s="49" t="s">
        <v>295</v>
      </c>
    </row>
    <row r="41" customFormat="false" ht="15" hidden="false" customHeight="false" outlineLevel="0" collapsed="false">
      <c r="A41" s="50" t="s">
        <v>296</v>
      </c>
      <c r="B41" s="66" t="n">
        <f aca="false">Monte_Carlo!C32</f>
        <v>17.7203914840865</v>
      </c>
      <c r="C41" s="66" t="n">
        <f aca="false">Monte_Carlo!C33</f>
        <v>26.8029088994553</v>
      </c>
      <c r="D41" s="66" t="n">
        <f aca="false">Monte_Carlo!C34</f>
        <v>9.42979741764912</v>
      </c>
    </row>
    <row r="42" customFormat="false" ht="15" hidden="false" customHeight="false" outlineLevel="0" collapsed="false">
      <c r="A42" s="50" t="s">
        <v>297</v>
      </c>
      <c r="B42" s="67" t="n">
        <f aca="false">(Assumptions!B43-B41)/(C41-B41)</f>
        <v>2.72937638126256</v>
      </c>
      <c r="C42" s="60" t="s">
        <v>298</v>
      </c>
    </row>
    <row r="44" customFormat="false" ht="15" hidden="false" customHeight="false" outlineLevel="0" collapsed="false">
      <c r="A44" s="52" t="s">
        <v>299</v>
      </c>
    </row>
    <row r="45" customFormat="false" ht="54.75" hidden="false" customHeight="true" outlineLevel="0" collapsed="false">
      <c r="A45" s="8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0"/>
    <col collapsed="false" customWidth="true" hidden="false" outlineLevel="0" max="6" min="4" style="1" width="13"/>
    <col collapsed="false" customWidth="true" hidden="false" outlineLevel="0" max="8" min="7" style="1" width="10"/>
  </cols>
  <sheetData>
    <row r="1" customFormat="false" ht="17.25" hidden="false" customHeight="true" outlineLevel="0" collapsed="false">
      <c r="A1" s="2" t="s">
        <v>301</v>
      </c>
    </row>
    <row r="4" customFormat="false" ht="15" hidden="false" customHeight="true" outlineLevel="0" collapsed="false">
      <c r="A4" s="12" t="s">
        <v>302</v>
      </c>
      <c r="B4" s="12" t="s">
        <v>303</v>
      </c>
      <c r="C4" s="12" t="s">
        <v>304</v>
      </c>
      <c r="D4" s="12" t="s">
        <v>305</v>
      </c>
      <c r="E4" s="12" t="s">
        <v>306</v>
      </c>
    </row>
    <row r="5" customFormat="false" ht="15" hidden="false" customHeight="true" outlineLevel="0" collapsed="false">
      <c r="A5" s="4" t="s">
        <v>307</v>
      </c>
      <c r="B5" s="4" t="s">
        <v>308</v>
      </c>
      <c r="C5" s="68" t="n">
        <v>3.2</v>
      </c>
      <c r="D5" s="68" t="n">
        <v>18.8</v>
      </c>
      <c r="E5" s="15" t="s">
        <v>309</v>
      </c>
    </row>
    <row r="6" customFormat="false" ht="15" hidden="false" customHeight="true" outlineLevel="0" collapsed="false">
      <c r="A6" s="4" t="s">
        <v>310</v>
      </c>
      <c r="B6" s="4" t="s">
        <v>311</v>
      </c>
      <c r="C6" s="68" t="n">
        <v>6.3</v>
      </c>
      <c r="D6" s="68" t="n">
        <v>28.2</v>
      </c>
      <c r="E6" s="15" t="s">
        <v>312</v>
      </c>
    </row>
    <row r="7" customFormat="false" ht="15" hidden="false" customHeight="true" outlineLevel="0" collapsed="false">
      <c r="A7" s="4" t="s">
        <v>313</v>
      </c>
      <c r="B7" s="4" t="s">
        <v>314</v>
      </c>
      <c r="C7" s="68" t="n">
        <v>0.9</v>
      </c>
      <c r="D7" s="68" t="n">
        <v>7.6</v>
      </c>
      <c r="E7" s="15" t="s">
        <v>315</v>
      </c>
    </row>
    <row r="8" customFormat="false" ht="15" hidden="false" customHeight="true" outlineLevel="0" collapsed="false">
      <c r="A8" s="4" t="s">
        <v>316</v>
      </c>
      <c r="B8" s="4" t="s">
        <v>317</v>
      </c>
      <c r="C8" s="68" t="n">
        <v>3.4</v>
      </c>
      <c r="D8" s="68" t="n">
        <v>14</v>
      </c>
      <c r="E8" s="15" t="s">
        <v>318</v>
      </c>
    </row>
    <row r="9" customFormat="false" ht="15" hidden="false" customHeight="true" outlineLevel="0" collapsed="false">
      <c r="A9" s="4" t="s">
        <v>319</v>
      </c>
      <c r="B9" s="4" t="s">
        <v>320</v>
      </c>
      <c r="C9" s="68" t="n">
        <v>7</v>
      </c>
      <c r="D9" s="68" t="n">
        <v>30</v>
      </c>
      <c r="E9" s="15" t="s">
        <v>318</v>
      </c>
    </row>
    <row r="10" customFormat="false" ht="15" hidden="false" customHeight="true" outlineLevel="0" collapsed="false">
      <c r="A10" s="4" t="s">
        <v>321</v>
      </c>
      <c r="B10" s="4" t="s">
        <v>322</v>
      </c>
      <c r="C10" s="68" t="n">
        <v>5.5</v>
      </c>
      <c r="D10" s="68" t="n">
        <v>17</v>
      </c>
      <c r="E10" s="15" t="s">
        <v>318</v>
      </c>
    </row>
    <row r="11" customFormat="false" ht="15" hidden="false" customHeight="true" outlineLevel="0" collapsed="false">
      <c r="A11" s="9" t="s">
        <v>323</v>
      </c>
      <c r="C11" s="69" t="n">
        <f aca="false">MEDIAN(C5:C10)</f>
        <v>4.45</v>
      </c>
      <c r="D11" s="69" t="n">
        <f aca="false">MEDIAN(D5:D10)</f>
        <v>17.9</v>
      </c>
    </row>
    <row r="12" customFormat="false" ht="15" hidden="false" customHeight="true" outlineLevel="0" collapsed="false">
      <c r="A12" s="9" t="s">
        <v>324</v>
      </c>
      <c r="C12" s="70" t="n">
        <f aca="false">AVERAGE(C5:C10)</f>
        <v>4.38333333333333</v>
      </c>
      <c r="D12" s="70" t="n">
        <f aca="false">AVERAGE(D5:D10)</f>
        <v>19.2666666666667</v>
      </c>
    </row>
    <row r="14" customFormat="false" ht="15" hidden="false" customHeight="true" outlineLevel="0" collapsed="false">
      <c r="A14" s="6" t="s">
        <v>325</v>
      </c>
    </row>
    <row r="15" customFormat="false" ht="15" hidden="false" customHeight="true" outlineLevel="0" collapsed="false">
      <c r="A15" s="4" t="s">
        <v>326</v>
      </c>
      <c r="B15" s="27" t="n">
        <f aca="false">Assumptions!B43*Assumptions!B37-DCF!B31</f>
        <v>24694.9011219178</v>
      </c>
    </row>
    <row r="16" customFormat="false" ht="15" hidden="false" customHeight="true" outlineLevel="0" collapsed="false">
      <c r="A16" s="4" t="s">
        <v>327</v>
      </c>
      <c r="B16" s="70" t="n">
        <f aca="false">B15/Model_3S!C18</f>
        <v>8.91190946298008</v>
      </c>
      <c r="C16" s="15" t="s">
        <v>328</v>
      </c>
    </row>
    <row r="17" customFormat="false" ht="15" hidden="false" customHeight="true" outlineLevel="0" collapsed="false">
      <c r="A17" s="4" t="s">
        <v>329</v>
      </c>
      <c r="B17" s="70" t="n">
        <f aca="false">B15/Model_3S!C23</f>
        <v>78.174644412106</v>
      </c>
    </row>
    <row r="19" customFormat="false" ht="15" hidden="false" customHeight="true" outlineLevel="0" collapsed="false">
      <c r="A19" s="6" t="s">
        <v>330</v>
      </c>
    </row>
    <row r="20" customFormat="false" ht="15" hidden="false" customHeight="true" outlineLevel="0" collapsed="false">
      <c r="A20" s="12" t="s">
        <v>331</v>
      </c>
      <c r="B20" s="12" t="s">
        <v>332</v>
      </c>
      <c r="C20" s="12" t="s">
        <v>333</v>
      </c>
      <c r="D20" s="12" t="s">
        <v>334</v>
      </c>
      <c r="E20" s="12" t="s">
        <v>335</v>
      </c>
      <c r="F20" s="12" t="s">
        <v>336</v>
      </c>
      <c r="G20" s="12" t="s">
        <v>337</v>
      </c>
      <c r="H20" s="12" t="s">
        <v>338</v>
      </c>
    </row>
    <row r="21" customFormat="false" ht="15" hidden="false" customHeight="true" outlineLevel="0" collapsed="false">
      <c r="A21" s="4" t="s">
        <v>339</v>
      </c>
      <c r="B21" s="18" t="n">
        <v>3.2</v>
      </c>
      <c r="C21" s="18" t="n">
        <v>6.5</v>
      </c>
      <c r="D21" s="25" t="n">
        <f aca="false">Model_3S!C18</f>
        <v>2771</v>
      </c>
      <c r="E21" s="27" t="n">
        <f aca="false">B21*D21</f>
        <v>8867.2</v>
      </c>
      <c r="F21" s="27" t="n">
        <f aca="false">C21*D21</f>
        <v>18011.5</v>
      </c>
      <c r="G21" s="41" t="n">
        <f aca="false">(E21+DCF!$B$31)/Assumptions!$B$37</f>
        <v>17.3866648858448</v>
      </c>
      <c r="H21" s="41" t="n">
        <f aca="false">(F21+DCF!$B$31)/Assumptions!$B$37</f>
        <v>31.9014267906067</v>
      </c>
    </row>
    <row r="22" customFormat="false" ht="15" hidden="false" customHeight="true" outlineLevel="0" collapsed="false">
      <c r="A22" s="4" t="s">
        <v>340</v>
      </c>
      <c r="B22" s="18" t="n">
        <v>15</v>
      </c>
      <c r="C22" s="18" t="n">
        <v>28</v>
      </c>
      <c r="D22" s="25" t="n">
        <f aca="false">Model_3S!D23</f>
        <v>414.5416</v>
      </c>
      <c r="E22" s="27" t="n">
        <f aca="false">B22*D22</f>
        <v>6218.124</v>
      </c>
      <c r="F22" s="27" t="n">
        <f aca="false">C22*D22</f>
        <v>11607.1648</v>
      </c>
      <c r="G22" s="41" t="n">
        <f aca="false">(E22+DCF!$B$31)/Assumptions!$B$37</f>
        <v>13.1817823461622</v>
      </c>
      <c r="H22" s="41" t="n">
        <f aca="false">(F22+DCF!$B$31)/Assumptions!$B$37</f>
        <v>21.7358153620352</v>
      </c>
    </row>
    <row r="24" customFormat="false" ht="15" hidden="false" customHeight="true" outlineLevel="0" collapsed="false">
      <c r="A24" s="15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6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2" t="s">
        <v>342</v>
      </c>
    </row>
    <row r="4" customFormat="false" ht="15" hidden="false" customHeight="true" outlineLevel="0" collapsed="false">
      <c r="A4" s="12" t="s">
        <v>343</v>
      </c>
      <c r="B4" s="12" t="s">
        <v>344</v>
      </c>
      <c r="C4" s="12" t="s">
        <v>345</v>
      </c>
      <c r="D4" s="12" t="s">
        <v>346</v>
      </c>
      <c r="E4" s="12" t="s">
        <v>304</v>
      </c>
      <c r="F4" s="12" t="s">
        <v>306</v>
      </c>
    </row>
    <row r="5" customFormat="false" ht="15" hidden="false" customHeight="true" outlineLevel="0" collapsed="false">
      <c r="A5" s="4" t="s">
        <v>347</v>
      </c>
      <c r="B5" s="4" t="s">
        <v>348</v>
      </c>
      <c r="C5" s="4" t="s">
        <v>349</v>
      </c>
      <c r="D5" s="20" t="n">
        <v>3250</v>
      </c>
      <c r="E5" s="68" t="n">
        <v>1.8</v>
      </c>
      <c r="F5" s="15" t="s">
        <v>350</v>
      </c>
    </row>
    <row r="6" customFormat="false" ht="15" hidden="false" customHeight="true" outlineLevel="0" collapsed="false">
      <c r="A6" s="4" t="s">
        <v>351</v>
      </c>
      <c r="B6" s="4" t="s">
        <v>352</v>
      </c>
      <c r="C6" s="4" t="s">
        <v>353</v>
      </c>
      <c r="D6" s="20" t="n">
        <v>1500</v>
      </c>
      <c r="E6" s="68" t="n">
        <v>1.7</v>
      </c>
      <c r="F6" s="15" t="s">
        <v>354</v>
      </c>
    </row>
    <row r="7" customFormat="false" ht="15" hidden="false" customHeight="true" outlineLevel="0" collapsed="false">
      <c r="A7" s="4" t="s">
        <v>355</v>
      </c>
      <c r="B7" s="4" t="s">
        <v>316</v>
      </c>
      <c r="C7" s="4" t="s">
        <v>356</v>
      </c>
      <c r="D7" s="20" t="n">
        <v>305</v>
      </c>
      <c r="E7" s="68" t="n">
        <v>10</v>
      </c>
      <c r="F7" s="15" t="s">
        <v>357</v>
      </c>
    </row>
    <row r="8" customFormat="false" ht="15" hidden="false" customHeight="true" outlineLevel="0" collapsed="false">
      <c r="A8" s="4" t="s">
        <v>355</v>
      </c>
      <c r="B8" s="4" t="s">
        <v>358</v>
      </c>
      <c r="C8" s="4" t="s">
        <v>359</v>
      </c>
      <c r="D8" s="20" t="n">
        <v>190</v>
      </c>
      <c r="E8" s="68" t="n">
        <v>4</v>
      </c>
      <c r="F8" s="15" t="s">
        <v>360</v>
      </c>
    </row>
    <row r="9" customFormat="false" ht="15" hidden="false" customHeight="true" outlineLevel="0" collapsed="false">
      <c r="A9" s="4" t="s">
        <v>361</v>
      </c>
      <c r="B9" s="4" t="s">
        <v>310</v>
      </c>
      <c r="C9" s="4" t="s">
        <v>362</v>
      </c>
      <c r="D9" s="20" t="n">
        <v>600</v>
      </c>
      <c r="E9" s="68" t="n">
        <v>10</v>
      </c>
      <c r="F9" s="15" t="s">
        <v>363</v>
      </c>
    </row>
    <row r="10" customFormat="false" ht="15" hidden="false" customHeight="true" outlineLevel="0" collapsed="false">
      <c r="A10" s="4" t="s">
        <v>364</v>
      </c>
      <c r="B10" s="4" t="s">
        <v>365</v>
      </c>
      <c r="C10" s="4" t="s">
        <v>366</v>
      </c>
      <c r="D10" s="20" t="n">
        <v>375</v>
      </c>
      <c r="E10" s="68" t="n">
        <v>4.6</v>
      </c>
      <c r="F10" s="15" t="s">
        <v>367</v>
      </c>
    </row>
    <row r="11" customFormat="false" ht="15" hidden="false" customHeight="true" outlineLevel="0" collapsed="false">
      <c r="A11" s="9" t="s">
        <v>368</v>
      </c>
      <c r="E11" s="69" t="n">
        <f aca="false">MEDIAN(E5:E10)</f>
        <v>4.3</v>
      </c>
    </row>
    <row r="13" customFormat="false" ht="15" hidden="false" customHeight="true" outlineLevel="0" collapsed="false">
      <c r="A13" s="6" t="s">
        <v>369</v>
      </c>
    </row>
    <row r="14" customFormat="false" ht="15" hidden="false" customHeight="true" outlineLevel="0" collapsed="false">
      <c r="A14" s="15" t="s">
        <v>370</v>
      </c>
    </row>
    <row r="15" customFormat="false" ht="15" hidden="false" customHeight="true" outlineLevel="0" collapsed="false">
      <c r="A15" s="12"/>
      <c r="B15" s="12" t="s">
        <v>371</v>
      </c>
      <c r="C15" s="12" t="s">
        <v>372</v>
      </c>
    </row>
    <row r="16" customFormat="false" ht="15" hidden="false" customHeight="true" outlineLevel="0" collapsed="false">
      <c r="A16" s="4" t="s">
        <v>373</v>
      </c>
      <c r="B16" s="18" t="n">
        <v>2</v>
      </c>
      <c r="C16" s="18" t="n">
        <v>6</v>
      </c>
    </row>
    <row r="17" customFormat="false" ht="15" hidden="false" customHeight="true" outlineLevel="0" collapsed="false">
      <c r="A17" s="4" t="s">
        <v>374</v>
      </c>
      <c r="B17" s="27" t="n">
        <f aca="false">B16*Model_3S!C18</f>
        <v>5542</v>
      </c>
      <c r="C17" s="27" t="n">
        <f aca="false">C16*Model_3S!C18</f>
        <v>16626</v>
      </c>
    </row>
    <row r="18" customFormat="false" ht="15" hidden="false" customHeight="true" outlineLevel="0" collapsed="false">
      <c r="A18" s="9" t="s">
        <v>257</v>
      </c>
      <c r="B18" s="41" t="n">
        <f aca="false">(B17+DCF!$B$31)/Assumptions!$B$37</f>
        <v>12.1085696477495</v>
      </c>
      <c r="C18" s="41" t="n">
        <f aca="false">(C17+DCF!$B$31)/Assumptions!$B$37</f>
        <v>29.7022204414003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375</v>
      </c>
    </row>
    <row r="4" customFormat="false" ht="15" hidden="false" customHeight="true" outlineLevel="0" collapsed="false">
      <c r="A4" s="6" t="s">
        <v>376</v>
      </c>
    </row>
    <row r="5" customFormat="false" ht="15" hidden="false" customHeight="true" outlineLevel="0" collapsed="false">
      <c r="A5" s="4" t="s">
        <v>377</v>
      </c>
      <c r="B5" s="13" t="n">
        <v>0.2</v>
      </c>
    </row>
    <row r="6" customFormat="false" ht="15" hidden="false" customHeight="true" outlineLevel="0" collapsed="false">
      <c r="A6" s="4" t="s">
        <v>378</v>
      </c>
      <c r="B6" s="41" t="n">
        <f aca="false">Assumptions!B43*(1+B5)</f>
        <v>51.012</v>
      </c>
    </row>
    <row r="7" customFormat="false" ht="15" hidden="false" customHeight="true" outlineLevel="0" collapsed="false">
      <c r="A7" s="4" t="s">
        <v>250</v>
      </c>
      <c r="B7" s="40" t="n">
        <f aca="false">Assumptions!B37</f>
        <v>630</v>
      </c>
    </row>
    <row r="8" customFormat="false" ht="15" hidden="false" customHeight="true" outlineLevel="0" collapsed="false">
      <c r="A8" s="4" t="s">
        <v>379</v>
      </c>
      <c r="B8" s="27" t="n">
        <f aca="false">B6*B7</f>
        <v>32137.56</v>
      </c>
    </row>
    <row r="9" customFormat="false" ht="15" hidden="false" customHeight="true" outlineLevel="0" collapsed="false">
      <c r="A9" s="4" t="s">
        <v>380</v>
      </c>
      <c r="B9" s="25" t="n">
        <f aca="false">DCF!B31</f>
        <v>2086.39887808219</v>
      </c>
    </row>
    <row r="10" customFormat="false" ht="15" hidden="false" customHeight="true" outlineLevel="0" collapsed="false">
      <c r="A10" s="4" t="s">
        <v>381</v>
      </c>
      <c r="B10" s="21" t="n">
        <f aca="false">B8-B9</f>
        <v>30051.1611219178</v>
      </c>
    </row>
    <row r="11" customFormat="false" ht="15" hidden="false" customHeight="true" outlineLevel="0" collapsed="false">
      <c r="A11" s="4" t="s">
        <v>382</v>
      </c>
      <c r="B11" s="13" t="n">
        <v>0.02</v>
      </c>
    </row>
    <row r="12" customFormat="false" ht="15" hidden="false" customHeight="true" outlineLevel="0" collapsed="false">
      <c r="A12" s="4" t="s">
        <v>383</v>
      </c>
      <c r="B12" s="25" t="n">
        <f aca="false">Model_3S!C23</f>
        <v>315.894</v>
      </c>
    </row>
    <row r="13" customFormat="false" ht="15" hidden="false" customHeight="true" outlineLevel="0" collapsed="false">
      <c r="A13" s="12" t="s">
        <v>384</v>
      </c>
      <c r="B13" s="12" t="s">
        <v>385</v>
      </c>
      <c r="C13" s="12" t="s">
        <v>386</v>
      </c>
      <c r="D13" s="12" t="s">
        <v>387</v>
      </c>
    </row>
    <row r="14" customFormat="false" ht="15" hidden="false" customHeight="true" outlineLevel="0" collapsed="false">
      <c r="A14" s="4" t="s">
        <v>388</v>
      </c>
      <c r="B14" s="18" t="n">
        <v>4</v>
      </c>
      <c r="C14" s="13" t="n">
        <v>0.08</v>
      </c>
      <c r="D14" s="27" t="n">
        <f aca="false">B14*$B$12</f>
        <v>1263.576</v>
      </c>
    </row>
    <row r="15" customFormat="false" ht="15" hidden="false" customHeight="true" outlineLevel="0" collapsed="false">
      <c r="A15" s="4" t="s">
        <v>389</v>
      </c>
      <c r="B15" s="18" t="n">
        <v>0.5</v>
      </c>
      <c r="C15" s="13" t="n">
        <v>0.105</v>
      </c>
      <c r="D15" s="27" t="n">
        <f aca="false">B15*$B$12</f>
        <v>157.947</v>
      </c>
    </row>
    <row r="16" customFormat="false" ht="15" hidden="false" customHeight="true" outlineLevel="0" collapsed="false">
      <c r="A16" s="9" t="s">
        <v>390</v>
      </c>
      <c r="B16" s="69" t="n">
        <f aca="false">B14+B15</f>
        <v>4.5</v>
      </c>
      <c r="D16" s="21" t="n">
        <f aca="false">D14+D15</f>
        <v>1421.523</v>
      </c>
    </row>
    <row r="18" customFormat="false" ht="15" hidden="false" customHeight="true" outlineLevel="0" collapsed="false">
      <c r="A18" s="6" t="s">
        <v>391</v>
      </c>
    </row>
    <row r="19" customFormat="false" ht="15" hidden="false" customHeight="true" outlineLevel="0" collapsed="false">
      <c r="A19" s="12" t="s">
        <v>392</v>
      </c>
      <c r="B19" s="12" t="s">
        <v>393</v>
      </c>
      <c r="C19" s="12" t="s">
        <v>394</v>
      </c>
      <c r="D19" s="12" t="s">
        <v>393</v>
      </c>
    </row>
    <row r="20" customFormat="false" ht="15" hidden="false" customHeight="true" outlineLevel="0" collapsed="false">
      <c r="A20" s="4" t="s">
        <v>388</v>
      </c>
      <c r="B20" s="27" t="n">
        <f aca="false">D14</f>
        <v>1263.576</v>
      </c>
      <c r="C20" s="4" t="s">
        <v>395</v>
      </c>
      <c r="D20" s="27" t="n">
        <f aca="false">B8</f>
        <v>32137.56</v>
      </c>
    </row>
    <row r="21" customFormat="false" ht="15" hidden="false" customHeight="true" outlineLevel="0" collapsed="false">
      <c r="A21" s="4" t="s">
        <v>389</v>
      </c>
      <c r="B21" s="27" t="n">
        <f aca="false">D15</f>
        <v>157.947</v>
      </c>
      <c r="C21" s="4" t="s">
        <v>396</v>
      </c>
      <c r="D21" s="27" t="n">
        <f aca="false">B11*B10</f>
        <v>601.023222438356</v>
      </c>
    </row>
    <row r="22" customFormat="false" ht="15" hidden="false" customHeight="true" outlineLevel="0" collapsed="false">
      <c r="A22" s="4" t="s">
        <v>397</v>
      </c>
      <c r="B22" s="27" t="n">
        <f aca="false">B9</f>
        <v>2086.39887808219</v>
      </c>
    </row>
    <row r="23" customFormat="false" ht="15" hidden="false" customHeight="true" outlineLevel="0" collapsed="false">
      <c r="A23" s="9" t="s">
        <v>398</v>
      </c>
      <c r="B23" s="21" t="n">
        <f aca="false">D24-B20-B21-B22</f>
        <v>29230.6613443562</v>
      </c>
    </row>
    <row r="24" customFormat="false" ht="15" hidden="false" customHeight="true" outlineLevel="0" collapsed="false">
      <c r="A24" s="9" t="s">
        <v>399</v>
      </c>
      <c r="B24" s="21" t="n">
        <f aca="false">SUM(B20:B23)</f>
        <v>32738.5832224383</v>
      </c>
      <c r="C24" s="9" t="s">
        <v>400</v>
      </c>
      <c r="D24" s="21" t="n">
        <f aca="false">D20+D21</f>
        <v>32738.5832224384</v>
      </c>
    </row>
    <row r="26" customFormat="false" ht="15" hidden="false" customHeight="true" outlineLevel="0" collapsed="false">
      <c r="A26" s="6" t="s">
        <v>401</v>
      </c>
    </row>
    <row r="27" customFormat="false" ht="15" hidden="false" customHeight="true" outlineLevel="0" collapsed="false">
      <c r="A27" s="12"/>
      <c r="B27" s="12" t="s">
        <v>129</v>
      </c>
      <c r="C27" s="12" t="s">
        <v>130</v>
      </c>
      <c r="D27" s="12" t="s">
        <v>131</v>
      </c>
      <c r="E27" s="12" t="s">
        <v>132</v>
      </c>
      <c r="F27" s="12" t="s">
        <v>133</v>
      </c>
    </row>
    <row r="28" customFormat="false" ht="15" hidden="false" customHeight="true" outlineLevel="0" collapsed="false">
      <c r="A28" s="4" t="s">
        <v>402</v>
      </c>
      <c r="B28" s="25" t="n">
        <f aca="false">DCF!B10</f>
        <v>245.208840771182</v>
      </c>
      <c r="C28" s="25" t="n">
        <f aca="false">DCF!C10</f>
        <v>305.826061802512</v>
      </c>
      <c r="D28" s="25" t="n">
        <f aca="false">DCF!D10</f>
        <v>374.270888430694</v>
      </c>
      <c r="E28" s="25" t="n">
        <f aca="false">DCF!E10</f>
        <v>449.532844235626</v>
      </c>
      <c r="F28" s="25" t="n">
        <f aca="false">DCF!F10</f>
        <v>529.980912392486</v>
      </c>
    </row>
    <row r="29" customFormat="false" ht="15" hidden="false" customHeight="true" outlineLevel="0" collapsed="false">
      <c r="A29" s="4" t="s">
        <v>403</v>
      </c>
      <c r="B29" s="27" t="n">
        <f aca="false">-$D$14*$C$14</f>
        <v>-101.08608</v>
      </c>
      <c r="C29" s="27" t="n">
        <f aca="false">-B35*$C$14</f>
        <v>-88.5296036383054</v>
      </c>
      <c r="D29" s="27" t="n">
        <f aca="false">-C35*$C$14</f>
        <v>-70.3703610124028</v>
      </c>
      <c r="E29" s="27" t="n">
        <f aca="false">-D35*$C$14</f>
        <v>-45.6459776986915</v>
      </c>
      <c r="F29" s="27" t="n">
        <f aca="false">-E35*$C$14</f>
        <v>-13.4171749217629</v>
      </c>
    </row>
    <row r="30" customFormat="false" ht="15" hidden="false" customHeight="true" outlineLevel="0" collapsed="false">
      <c r="A30" s="4" t="s">
        <v>404</v>
      </c>
      <c r="B30" s="27" t="n">
        <f aca="false">-$D$15*$C$15</f>
        <v>-16.584435</v>
      </c>
      <c r="C30" s="27" t="n">
        <f aca="false">-$D$15*$C$15</f>
        <v>-16.584435</v>
      </c>
      <c r="D30" s="27" t="n">
        <f aca="false">-$D$15*$C$15</f>
        <v>-16.584435</v>
      </c>
      <c r="E30" s="27" t="n">
        <f aca="false">-$D$15*$C$15</f>
        <v>-16.584435</v>
      </c>
      <c r="F30" s="27" t="n">
        <f aca="false">-$D$15*$C$15</f>
        <v>-16.584435</v>
      </c>
    </row>
    <row r="31" customFormat="false" ht="15" hidden="false" customHeight="true" outlineLevel="0" collapsed="false">
      <c r="A31" s="4" t="s">
        <v>405</v>
      </c>
      <c r="B31" s="27" t="n">
        <f aca="false">-(B29+B30)*Assumptions!$B$38</f>
        <v>29.41762875</v>
      </c>
      <c r="C31" s="27" t="n">
        <f aca="false">-(C29+C30)*Assumptions!$B$38</f>
        <v>26.2785096595763</v>
      </c>
      <c r="D31" s="27" t="n">
        <f aca="false">-(D29+D30)*Assumptions!$B$38</f>
        <v>21.7386990031007</v>
      </c>
      <c r="E31" s="27" t="n">
        <f aca="false">-(E29+E30)*Assumptions!$B$38</f>
        <v>15.5576031746729</v>
      </c>
      <c r="F31" s="27" t="n">
        <f aca="false">-(F29+F30)*Assumptions!$B$38</f>
        <v>7.50040248044071</v>
      </c>
    </row>
    <row r="32" customFormat="false" ht="15" hidden="false" customHeight="true" outlineLevel="0" collapsed="false">
      <c r="A32" s="4" t="s">
        <v>406</v>
      </c>
      <c r="B32" s="27" t="n">
        <f aca="false">MAX(0,B28+B29+B30+B31)</f>
        <v>156.955954521182</v>
      </c>
      <c r="C32" s="27" t="n">
        <f aca="false">MAX(0,C28+C29+C30+C31)</f>
        <v>226.990532823782</v>
      </c>
      <c r="D32" s="27" t="n">
        <f aca="false">MAX(0,D28+D29+D30+D31)</f>
        <v>309.054791421392</v>
      </c>
      <c r="E32" s="27" t="n">
        <f aca="false">MAX(0,E28+E29+E30+E31)</f>
        <v>402.860034711608</v>
      </c>
      <c r="F32" s="27" t="n">
        <f aca="false">MAX(0,F28+F29+F30+F31)</f>
        <v>507.479704951164</v>
      </c>
    </row>
    <row r="33" customFormat="false" ht="15" hidden="false" customHeight="true" outlineLevel="0" collapsed="false">
      <c r="A33" s="4" t="s">
        <v>407</v>
      </c>
      <c r="B33" s="27" t="n">
        <f aca="false">$D$14</f>
        <v>1263.576</v>
      </c>
      <c r="C33" s="27" t="n">
        <f aca="false">B35</f>
        <v>1106.62004547882</v>
      </c>
      <c r="D33" s="27" t="n">
        <f aca="false">C35</f>
        <v>879.629512655035</v>
      </c>
      <c r="E33" s="27" t="n">
        <f aca="false">D35</f>
        <v>570.574721233643</v>
      </c>
      <c r="F33" s="27" t="n">
        <f aca="false">E35</f>
        <v>167.714686522036</v>
      </c>
    </row>
    <row r="34" customFormat="false" ht="15" hidden="false" customHeight="true" outlineLevel="0" collapsed="false">
      <c r="A34" s="4" t="s">
        <v>408</v>
      </c>
      <c r="B34" s="27" t="n">
        <f aca="false">-MIN(B33,B32)</f>
        <v>-156.955954521182</v>
      </c>
      <c r="C34" s="27" t="n">
        <f aca="false">-MIN(C33,C32)</f>
        <v>-226.990532823782</v>
      </c>
      <c r="D34" s="27" t="n">
        <f aca="false">-MIN(D33,D32)</f>
        <v>-309.054791421392</v>
      </c>
      <c r="E34" s="27" t="n">
        <f aca="false">-MIN(E33,E32)</f>
        <v>-402.860034711608</v>
      </c>
      <c r="F34" s="27" t="n">
        <f aca="false">-MIN(F33,F32)</f>
        <v>-167.714686522036</v>
      </c>
    </row>
    <row r="35" customFormat="false" ht="15" hidden="false" customHeight="true" outlineLevel="0" collapsed="false">
      <c r="A35" s="4" t="s">
        <v>409</v>
      </c>
      <c r="B35" s="27" t="n">
        <f aca="false">B33+B34</f>
        <v>1106.62004547882</v>
      </c>
      <c r="C35" s="27" t="n">
        <f aca="false">C33+C34</f>
        <v>879.629512655035</v>
      </c>
      <c r="D35" s="27" t="n">
        <f aca="false">D33+D34</f>
        <v>570.574721233643</v>
      </c>
      <c r="E35" s="27" t="n">
        <f aca="false">E33+E34</f>
        <v>167.714686522036</v>
      </c>
      <c r="F35" s="27" t="n">
        <f aca="false">F33+F34</f>
        <v>0</v>
      </c>
    </row>
    <row r="36" customFormat="false" ht="15" hidden="false" customHeight="true" outlineLevel="0" collapsed="false">
      <c r="A36" s="4" t="s">
        <v>410</v>
      </c>
      <c r="B36" s="27" t="n">
        <f aca="false">$D$15</f>
        <v>157.947</v>
      </c>
      <c r="C36" s="27" t="n">
        <f aca="false">$D$15</f>
        <v>157.947</v>
      </c>
      <c r="D36" s="27" t="n">
        <f aca="false">$D$15</f>
        <v>157.947</v>
      </c>
      <c r="E36" s="27" t="n">
        <f aca="false">$D$15</f>
        <v>157.947</v>
      </c>
      <c r="F36" s="27" t="n">
        <f aca="false">$D$15</f>
        <v>157.947</v>
      </c>
    </row>
    <row r="37" customFormat="false" ht="15" hidden="false" customHeight="true" outlineLevel="0" collapsed="false">
      <c r="A37" s="9" t="s">
        <v>180</v>
      </c>
      <c r="B37" s="21" t="n">
        <f aca="false">B35+B36</f>
        <v>1264.56704547882</v>
      </c>
      <c r="C37" s="21" t="n">
        <f aca="false">C35+C36</f>
        <v>1037.57651265503</v>
      </c>
      <c r="D37" s="21" t="n">
        <f aca="false">D35+D36</f>
        <v>728.521721233643</v>
      </c>
      <c r="E37" s="21" t="n">
        <f aca="false">E35+E36</f>
        <v>325.661686522036</v>
      </c>
      <c r="F37" s="21" t="n">
        <f aca="false">F35+F36</f>
        <v>157.947</v>
      </c>
    </row>
    <row r="39" customFormat="false" ht="15" hidden="false" customHeight="true" outlineLevel="0" collapsed="false">
      <c r="A39" s="6" t="s">
        <v>411</v>
      </c>
    </row>
    <row r="40" customFormat="false" ht="15" hidden="false" customHeight="true" outlineLevel="0" collapsed="false">
      <c r="A40" s="4" t="s">
        <v>412</v>
      </c>
      <c r="B40" s="25" t="n">
        <f aca="false">Model_3S!H23</f>
        <v>983.147426767529</v>
      </c>
    </row>
    <row r="41" customFormat="false" ht="15" hidden="false" customHeight="true" outlineLevel="0" collapsed="false">
      <c r="A41" s="4" t="s">
        <v>413</v>
      </c>
      <c r="B41" s="18" t="n">
        <v>12</v>
      </c>
    </row>
    <row r="42" customFormat="false" ht="15" hidden="false" customHeight="true" outlineLevel="0" collapsed="false">
      <c r="A42" s="4" t="s">
        <v>414</v>
      </c>
      <c r="B42" s="27" t="n">
        <f aca="false">B40*B41</f>
        <v>11797.7691212104</v>
      </c>
    </row>
    <row r="43" customFormat="false" ht="15" hidden="false" customHeight="true" outlineLevel="0" collapsed="false">
      <c r="A43" s="4" t="s">
        <v>415</v>
      </c>
      <c r="B43" s="27" t="n">
        <f aca="false">-F37</f>
        <v>-157.947</v>
      </c>
    </row>
    <row r="44" customFormat="false" ht="15" hidden="false" customHeight="true" outlineLevel="0" collapsed="false">
      <c r="A44" s="9" t="s">
        <v>416</v>
      </c>
      <c r="B44" s="21" t="n">
        <f aca="false">B42+B43</f>
        <v>11639.8221212103</v>
      </c>
    </row>
    <row r="45" customFormat="false" ht="15" hidden="false" customHeight="true" outlineLevel="0" collapsed="false">
      <c r="A45" s="9" t="s">
        <v>417</v>
      </c>
      <c r="B45" s="69" t="n">
        <f aca="false">B44/B23</f>
        <v>0.398205910707448</v>
      </c>
    </row>
    <row r="46" customFormat="false" ht="15" hidden="false" customHeight="true" outlineLevel="0" collapsed="false">
      <c r="A46" s="9" t="s">
        <v>418</v>
      </c>
      <c r="B46" s="14" t="n">
        <f aca="false">(B44/B23)^(1/5)-1</f>
        <v>-0.168194973505736</v>
      </c>
      <c r="C46" s="15" t="s">
        <v>419</v>
      </c>
    </row>
    <row r="48" customFormat="false" ht="15" hidden="false" customHeight="true" outlineLevel="0" collapsed="false">
      <c r="A48" s="6" t="s">
        <v>420</v>
      </c>
    </row>
    <row r="49" customFormat="false" ht="15" hidden="false" customHeight="true" outlineLevel="0" collapsed="false">
      <c r="A49" s="12" t="s">
        <v>421</v>
      </c>
      <c r="B49" s="12" t="s">
        <v>422</v>
      </c>
      <c r="C49" s="12" t="s">
        <v>423</v>
      </c>
      <c r="D49" s="12" t="s">
        <v>424</v>
      </c>
      <c r="E49" s="12" t="s">
        <v>425</v>
      </c>
    </row>
    <row r="50" customFormat="false" ht="15" hidden="false" customHeight="true" outlineLevel="0" collapsed="false">
      <c r="A50" s="13" t="n">
        <v>0.15</v>
      </c>
      <c r="B50" s="27" t="n">
        <f aca="false">$B$44/(1+A50)^5</f>
        <v>5787.04876167618</v>
      </c>
      <c r="C50" s="27" t="n">
        <f aca="false">(B50+$D$16)/(1+$B$11)</f>
        <v>7067.22721732958</v>
      </c>
      <c r="D50" s="41" t="n">
        <f aca="false">(C50+$B$9)/$B$7</f>
        <v>14.5295652308123</v>
      </c>
      <c r="E50" s="29" t="n">
        <f aca="false">D50/Assumptions!$B$43-1</f>
        <v>-0.658208298498886</v>
      </c>
    </row>
    <row r="51" customFormat="false" ht="15" hidden="false" customHeight="true" outlineLevel="0" collapsed="false">
      <c r="A51" s="13" t="n">
        <v>0.2</v>
      </c>
      <c r="B51" s="27" t="n">
        <f aca="false">$B$44/(1+A51)^5</f>
        <v>4677.78345277551</v>
      </c>
      <c r="C51" s="27" t="n">
        <f aca="false">(B51+$D$16)/(1+$B$11)</f>
        <v>5979.71220860344</v>
      </c>
      <c r="D51" s="41" t="n">
        <f aca="false">(C51+$B$9)/$B$7</f>
        <v>12.803350931247</v>
      </c>
      <c r="E51" s="29" t="n">
        <f aca="false">D51/Assumptions!$B$43-1</f>
        <v>-0.698815550899858</v>
      </c>
    </row>
    <row r="52" customFormat="false" ht="15" hidden="false" customHeight="true" outlineLevel="0" collapsed="false">
      <c r="A52" s="13" t="n">
        <v>0.25</v>
      </c>
      <c r="B52" s="27" t="n">
        <f aca="false">$B$44/(1+A52)^5</f>
        <v>3814.13691267821</v>
      </c>
      <c r="C52" s="27" t="n">
        <f aca="false">(B52+$D$16)/(1+$B$11)</f>
        <v>5132.9999143904</v>
      </c>
      <c r="D52" s="41" t="n">
        <f aca="false">(C52+$B$9)/$B$7</f>
        <v>11.4593631626549</v>
      </c>
      <c r="E52" s="29" t="n">
        <f aca="false">D52/Assumptions!$B$43-1</f>
        <v>-0.730431353501414</v>
      </c>
    </row>
    <row r="53" customFormat="false" ht="15" hidden="false" customHeight="true" outlineLevel="0" collapsed="false">
      <c r="A53" s="13" t="n">
        <v>0.3</v>
      </c>
      <c r="B53" s="27" t="n">
        <f aca="false">$B$44/(1+A53)^5</f>
        <v>3134.94251742165</v>
      </c>
      <c r="C53" s="27" t="n">
        <f aca="false">(B53+$D$16)/(1+$B$11)</f>
        <v>4467.12305629573</v>
      </c>
      <c r="D53" s="41" t="n">
        <f aca="false">(C53+$B$9)/$B$7</f>
        <v>10.4024157688538</v>
      </c>
      <c r="E53" s="29" t="n">
        <f aca="false">D53/Assumptions!$B$43-1</f>
        <v>-0.755294853708449</v>
      </c>
    </row>
    <row r="55" customFormat="false" ht="15" hidden="false" customHeight="true" outlineLevel="0" collapsed="false">
      <c r="A55" s="15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3"/>
    <col collapsed="false" customWidth="true" hidden="false" outlineLevel="0" max="11" min="3" style="1" width="11"/>
    <col collapsed="false" customWidth="true" hidden="false" outlineLevel="0" max="14" min="14" style="1" width="10"/>
  </cols>
  <sheetData>
    <row r="1" customFormat="false" ht="17.25" hidden="false" customHeight="true" outlineLevel="0" collapsed="false">
      <c r="A1" s="2" t="s">
        <v>427</v>
      </c>
    </row>
    <row r="2" customFormat="false" ht="15" hidden="false" customHeight="true" outlineLevel="0" collapsed="false">
      <c r="A2" s="71" t="s">
        <v>428</v>
      </c>
    </row>
    <row r="4" customFormat="false" ht="15" hidden="false" customHeight="true" outlineLevel="0" collapsed="false">
      <c r="A4" s="6" t="s">
        <v>429</v>
      </c>
    </row>
    <row r="5" customFormat="false" ht="15" hidden="false" customHeight="true" outlineLevel="0" collapsed="false">
      <c r="A5" s="12" t="s">
        <v>430</v>
      </c>
      <c r="B5" s="12" t="s">
        <v>431</v>
      </c>
      <c r="C5" s="12" t="s">
        <v>432</v>
      </c>
    </row>
    <row r="6" customFormat="false" ht="15" hidden="false" customHeight="true" outlineLevel="0" collapsed="false">
      <c r="A6" s="4" t="s">
        <v>66</v>
      </c>
      <c r="B6" s="24" t="n">
        <f aca="false">Assumptions!E12</f>
        <v>0.2</v>
      </c>
      <c r="C6" s="13" t="n">
        <v>0.04</v>
      </c>
    </row>
    <row r="7" customFormat="false" ht="15" hidden="false" customHeight="true" outlineLevel="0" collapsed="false">
      <c r="A7" s="4" t="s">
        <v>433</v>
      </c>
      <c r="B7" s="24" t="n">
        <f aca="false">Assumptions!F17-Assumptions!F18-Assumptions!F19</f>
        <v>0.21</v>
      </c>
      <c r="C7" s="13" t="n">
        <v>0.03</v>
      </c>
    </row>
    <row r="8" customFormat="false" ht="15" hidden="false" customHeight="true" outlineLevel="0" collapsed="false">
      <c r="A8" s="4" t="s">
        <v>9</v>
      </c>
      <c r="B8" s="72" t="n">
        <f aca="false">WACC!B20</f>
        <v>0.13401</v>
      </c>
      <c r="C8" s="31" t="n">
        <v>0.01</v>
      </c>
    </row>
    <row r="9" customFormat="false" ht="15" hidden="false" customHeight="true" outlineLevel="0" collapsed="false">
      <c r="A9" s="4" t="s">
        <v>413</v>
      </c>
      <c r="B9" s="39" t="n">
        <f aca="false">Assumptions!B42</f>
        <v>12</v>
      </c>
      <c r="C9" s="18" t="n">
        <v>2</v>
      </c>
    </row>
    <row r="11" customFormat="false" ht="15" hidden="false" customHeight="true" outlineLevel="0" collapsed="false">
      <c r="A11" s="6" t="s">
        <v>434</v>
      </c>
    </row>
    <row r="12" customFormat="false" ht="15" hidden="false" customHeight="true" outlineLevel="0" collapsed="false">
      <c r="A12" s="4" t="s">
        <v>435</v>
      </c>
      <c r="B12" s="25" t="n">
        <f aca="false">Model_3S!L23</f>
        <v>1665.72558074666</v>
      </c>
    </row>
    <row r="13" customFormat="false" ht="15" hidden="false" customHeight="true" outlineLevel="0" collapsed="false">
      <c r="A13" s="4" t="s">
        <v>436</v>
      </c>
      <c r="B13" s="25" t="n">
        <f aca="false">DCF!B15</f>
        <v>2556.84766750663</v>
      </c>
    </row>
    <row r="14" customFormat="false" ht="15" hidden="false" customHeight="true" outlineLevel="0" collapsed="false">
      <c r="A14" s="4" t="s">
        <v>437</v>
      </c>
      <c r="B14" s="25" t="n">
        <f aca="false">DCF!B31</f>
        <v>2086.39887808219</v>
      </c>
    </row>
    <row r="15" customFormat="false" ht="15" hidden="false" customHeight="true" outlineLevel="0" collapsed="false">
      <c r="A15" s="4" t="s">
        <v>250</v>
      </c>
      <c r="B15" s="40" t="n">
        <f aca="false">Assumptions!B37</f>
        <v>630</v>
      </c>
    </row>
    <row r="16" customFormat="false" ht="15" hidden="false" customHeight="true" outlineLevel="0" collapsed="false">
      <c r="A16" s="4" t="s">
        <v>438</v>
      </c>
      <c r="B16" s="73" t="n">
        <f aca="false">Assumptions!B43</f>
        <v>42.51</v>
      </c>
    </row>
    <row r="17" customFormat="false" ht="15" hidden="false" customHeight="true" outlineLevel="0" collapsed="false">
      <c r="A17" s="4" t="s">
        <v>439</v>
      </c>
      <c r="B17" s="24" t="n">
        <f aca="false">Assumptions!E13</f>
        <v>0.05</v>
      </c>
    </row>
    <row r="18" customFormat="false" ht="15" hidden="false" customHeight="true" outlineLevel="0" collapsed="false">
      <c r="A18" s="4" t="s">
        <v>440</v>
      </c>
      <c r="B18" s="25" t="n">
        <f aca="false">Model_3S!C18</f>
        <v>2771</v>
      </c>
    </row>
    <row r="20" customFormat="false" ht="15" hidden="false" customHeight="true" outlineLevel="0" collapsed="false">
      <c r="A20" s="6" t="s">
        <v>441</v>
      </c>
    </row>
    <row r="21" customFormat="false" ht="15" hidden="false" customHeight="true" outlineLevel="0" collapsed="false">
      <c r="A21" s="9" t="s">
        <v>324</v>
      </c>
      <c r="B21" s="41" t="n">
        <f aca="false">AVERAGE($K$41:$K$540)</f>
        <v>17.8392622165231</v>
      </c>
    </row>
    <row r="22" customFormat="false" ht="15" hidden="false" customHeight="true" outlineLevel="0" collapsed="false">
      <c r="A22" s="4" t="s">
        <v>323</v>
      </c>
      <c r="B22" s="45" t="n">
        <f aca="false">MEDIAN($K$41:$K$540)</f>
        <v>17.2719622433162</v>
      </c>
    </row>
    <row r="23" customFormat="false" ht="15" hidden="false" customHeight="true" outlineLevel="0" collapsed="false">
      <c r="A23" s="4" t="s">
        <v>442</v>
      </c>
      <c r="B23" s="45" t="n">
        <f aca="false">STDEV($K$41:$K$540)</f>
        <v>3.79999845776661</v>
      </c>
    </row>
    <row r="24" customFormat="false" ht="15" hidden="false" customHeight="true" outlineLevel="0" collapsed="false">
      <c r="A24" s="4" t="s">
        <v>443</v>
      </c>
      <c r="B24" s="45" t="n">
        <f aca="false">PERCENTILE($K$41:$K$540,0.05)</f>
        <v>12.4370483815744</v>
      </c>
    </row>
    <row r="25" customFormat="false" ht="15" hidden="false" customHeight="true" outlineLevel="0" collapsed="false">
      <c r="A25" s="4" t="s">
        <v>444</v>
      </c>
      <c r="B25" s="45" t="n">
        <f aca="false">PERCENTILE($K$41:$K$540,0.25)</f>
        <v>15.2513842220106</v>
      </c>
    </row>
    <row r="26" customFormat="false" ht="15" hidden="false" customHeight="true" outlineLevel="0" collapsed="false">
      <c r="A26" s="4" t="s">
        <v>445</v>
      </c>
      <c r="B26" s="45" t="n">
        <f aca="false">PERCENTILE($K$41:$K$540,0.75)</f>
        <v>19.9592299480917</v>
      </c>
    </row>
    <row r="27" customFormat="false" ht="15" hidden="false" customHeight="true" outlineLevel="0" collapsed="false">
      <c r="A27" s="4" t="s">
        <v>446</v>
      </c>
      <c r="B27" s="45" t="n">
        <f aca="false">PERCENTILE($K$41:$K$540,0.95)</f>
        <v>25.1809194605228</v>
      </c>
    </row>
    <row r="28" customFormat="false" ht="15" hidden="false" customHeight="true" outlineLevel="0" collapsed="false">
      <c r="A28" s="9" t="s">
        <v>447</v>
      </c>
      <c r="B28" s="14" t="n">
        <f aca="false">COUNTIF($K$41:$K$540,"&gt;"&amp;B16)/500</f>
        <v>0</v>
      </c>
    </row>
    <row r="30" customFormat="false" ht="15" hidden="false" customHeight="true" outlineLevel="0" collapsed="false">
      <c r="A30" s="6" t="s">
        <v>448</v>
      </c>
    </row>
    <row r="31" customFormat="false" ht="15" hidden="false" customHeight="true" outlineLevel="0" collapsed="false">
      <c r="A31" s="12" t="s">
        <v>449</v>
      </c>
      <c r="B31" s="12" t="s">
        <v>62</v>
      </c>
      <c r="C31" s="12" t="s">
        <v>450</v>
      </c>
    </row>
    <row r="32" customFormat="false" ht="15" hidden="false" customHeight="true" outlineLevel="0" collapsed="false">
      <c r="A32" s="4" t="s">
        <v>58</v>
      </c>
      <c r="B32" s="24" t="n">
        <f aca="false">Assumptions!B8</f>
        <v>0.5</v>
      </c>
      <c r="C32" s="41" t="n">
        <f aca="false">($B$13*($B$18*(1+(Assumptions!B12+Assumptions!B13)/2)^9*(Assumptions!C17-Assumptions!C18-Assumptions!C19))/$B$12+Assumptions!$B$42*($B$18*(1+(Assumptions!B12+Assumptions!B13)/2)^9*(Assumptions!C17-Assumptions!C18-Assumptions!C19))/(1+$B$8)^9+$B$14)/$B$15</f>
        <v>17.7203914840865</v>
      </c>
    </row>
    <row r="33" customFormat="false" ht="15" hidden="false" customHeight="true" outlineLevel="0" collapsed="false">
      <c r="A33" s="4" t="s">
        <v>59</v>
      </c>
      <c r="B33" s="24" t="n">
        <f aca="false">Assumptions!C8</f>
        <v>0.3</v>
      </c>
      <c r="C33" s="41" t="n">
        <f aca="false">($B$13*($B$18*(1+(Assumptions!C12+Assumptions!C13)/2)^9*(Assumptions!D17-Assumptions!D18-Assumptions!D19))/$B$12+Assumptions!$B$42*($B$18*(1+(Assumptions!C12+Assumptions!C13)/2)^9*(Assumptions!D17-Assumptions!D18-Assumptions!D19))/(1+$B$8)^9+$B$14)/$B$15</f>
        <v>26.8029088994553</v>
      </c>
    </row>
    <row r="34" customFormat="false" ht="15" hidden="false" customHeight="true" outlineLevel="0" collapsed="false">
      <c r="A34" s="4" t="s">
        <v>60</v>
      </c>
      <c r="B34" s="24" t="n">
        <f aca="false">Assumptions!D8</f>
        <v>0.2</v>
      </c>
      <c r="C34" s="41" t="n">
        <f aca="false">($B$13*($B$18*(1+(Assumptions!D12+Assumptions!D13)/2)^9*(Assumptions!E17-Assumptions!E18-Assumptions!E19))/$B$12+Assumptions!$B$42*($B$18*(1+(Assumptions!D12+Assumptions!D13)/2)^9*(Assumptions!E17-Assumptions!E18-Assumptions!E19))/(1+$B$8)^9+$B$14)/$B$15</f>
        <v>9.42979741764912</v>
      </c>
    </row>
    <row r="35" customFormat="false" ht="15" hidden="false" customHeight="true" outlineLevel="0" collapsed="false">
      <c r="A35" s="9" t="s">
        <v>451</v>
      </c>
      <c r="C35" s="41" t="n">
        <f aca="false">SUMPRODUCT(B32:B34,C32:C34)</f>
        <v>18.7870278954097</v>
      </c>
    </row>
    <row r="36" customFormat="false" ht="15" hidden="false" customHeight="true" outlineLevel="0" collapsed="false">
      <c r="A36" s="15" t="s">
        <v>452</v>
      </c>
    </row>
    <row r="39" customFormat="false" ht="15" hidden="false" customHeight="true" outlineLevel="0" collapsed="false">
      <c r="A39" s="6" t="s">
        <v>453</v>
      </c>
    </row>
    <row r="40" customFormat="false" ht="15" hidden="false" customHeight="true" outlineLevel="0" collapsed="false">
      <c r="A40" s="12" t="s">
        <v>454</v>
      </c>
      <c r="B40" s="12" t="s">
        <v>455</v>
      </c>
      <c r="C40" s="12" t="s">
        <v>456</v>
      </c>
      <c r="D40" s="12" t="s">
        <v>9</v>
      </c>
      <c r="E40" s="12" t="s">
        <v>457</v>
      </c>
      <c r="F40" s="12" t="s">
        <v>458</v>
      </c>
      <c r="G40" s="12" t="s">
        <v>459</v>
      </c>
      <c r="H40" s="12" t="s">
        <v>460</v>
      </c>
      <c r="I40" s="12" t="s">
        <v>461</v>
      </c>
      <c r="J40" s="12" t="s">
        <v>462</v>
      </c>
      <c r="K40" s="12" t="s">
        <v>463</v>
      </c>
      <c r="N40" s="42" t="s">
        <v>464</v>
      </c>
      <c r="O40" s="42" t="s">
        <v>465</v>
      </c>
      <c r="P40" s="42" t="s">
        <v>466</v>
      </c>
      <c r="Q40" s="42" t="s">
        <v>467</v>
      </c>
    </row>
    <row r="41" customFormat="false" ht="15" hidden="false" customHeight="true" outlineLevel="0" collapsed="false">
      <c r="A41" s="74" t="n">
        <v>1</v>
      </c>
      <c r="B41" s="22" t="n">
        <f aca="true">NORMINV(RAND(),$B$6,$C$6)</f>
        <v>0.244179231228304</v>
      </c>
      <c r="C41" s="22" t="n">
        <f aca="true">MAX(0.03,NORMINV(RAND(),$B$7,$C$7))</f>
        <v>0.247277369268485</v>
      </c>
      <c r="D41" s="34" t="n">
        <f aca="true">MAX(0.08,NORMINV(RAND(),$B$8,$C$8))</f>
        <v>0.157386894421292</v>
      </c>
      <c r="E41" s="70" t="n">
        <f aca="true">MAX(4,NORMINV(RAND(),$B$9,$C$9))</f>
        <v>14.9519930675553</v>
      </c>
      <c r="F41" s="27" t="n">
        <f aca="false">$B$18*(1+(B41+$B$17)/2)^9</f>
        <v>9528.23938105458</v>
      </c>
      <c r="G41" s="27" t="n">
        <f aca="false">F41*C41</f>
        <v>2356.11796790755</v>
      </c>
      <c r="H41" s="27" t="n">
        <f aca="false">E41*G41/(1+D41)^9</f>
        <v>9453.42264984485</v>
      </c>
      <c r="I41" s="27" t="n">
        <f aca="false">$B$13*G41/$B$12*((1+$B$8)/(1+D41))^4.5</f>
        <v>3299.29301796743</v>
      </c>
      <c r="J41" s="27" t="n">
        <f aca="false">H41+I41+$B$14</f>
        <v>14839.1145458945</v>
      </c>
      <c r="K41" s="45" t="n">
        <f aca="false">J41/$B$15</f>
        <v>23.5541500728484</v>
      </c>
      <c r="N41" s="4" t="s">
        <v>468</v>
      </c>
      <c r="O41" s="74" t="n">
        <v>0</v>
      </c>
      <c r="P41" s="74" t="n">
        <v>5</v>
      </c>
      <c r="Q41" s="74" t="n">
        <f aca="false">COUNTIFS($K$41:$K$540,"&gt;="&amp;O41,$K$41:$K$540,"&lt;"&amp;P41)</f>
        <v>0</v>
      </c>
    </row>
    <row r="42" customFormat="false" ht="15" hidden="false" customHeight="true" outlineLevel="0" collapsed="false">
      <c r="A42" s="74" t="n">
        <v>2</v>
      </c>
      <c r="B42" s="22" t="n">
        <f aca="true">NORMINV(RAND(),$B$6,$C$6)</f>
        <v>0.168776068500059</v>
      </c>
      <c r="C42" s="22" t="n">
        <f aca="true">MAX(0.03,NORMINV(RAND(),$B$7,$C$7))</f>
        <v>0.205151926977917</v>
      </c>
      <c r="D42" s="34" t="n">
        <f aca="true">MAX(0.08,NORMINV(RAND(),$B$8,$C$8))</f>
        <v>0.148825137129224</v>
      </c>
      <c r="E42" s="70" t="n">
        <f aca="true">MAX(4,NORMINV(RAND(),$B$9,$C$9))</f>
        <v>14.1558548317583</v>
      </c>
      <c r="F42" s="27" t="n">
        <f aca="false">$B$18*(1+(B42+$B$17)/2)^9</f>
        <v>7053.22635426714</v>
      </c>
      <c r="G42" s="27" t="n">
        <f aca="false">F42*C42</f>
        <v>1446.98297798933</v>
      </c>
      <c r="H42" s="27" t="n">
        <f aca="false">E42*G42/(1+D42)^9</f>
        <v>5876.43795840473</v>
      </c>
      <c r="I42" s="27" t="n">
        <f aca="false">$B$13*G42/$B$12*((1+$B$8)/(1+D42))^4.5</f>
        <v>2095.06796843178</v>
      </c>
      <c r="J42" s="27" t="n">
        <f aca="false">H42+I42+$B$14</f>
        <v>10057.9048049187</v>
      </c>
      <c r="K42" s="45" t="n">
        <f aca="false">J42/$B$15</f>
        <v>15.9649282617757</v>
      </c>
      <c r="N42" s="4" t="s">
        <v>469</v>
      </c>
      <c r="O42" s="74" t="n">
        <v>5</v>
      </c>
      <c r="P42" s="74" t="n">
        <v>10</v>
      </c>
      <c r="Q42" s="74" t="n">
        <f aca="false">COUNTIFS($K$41:$K$540,"&gt;="&amp;O42,$K$41:$K$540,"&lt;"&amp;P42)</f>
        <v>4</v>
      </c>
    </row>
    <row r="43" customFormat="false" ht="15" hidden="false" customHeight="true" outlineLevel="0" collapsed="false">
      <c r="A43" s="74" t="n">
        <v>3</v>
      </c>
      <c r="B43" s="22" t="n">
        <f aca="true">NORMINV(RAND(),$B$6,$C$6)</f>
        <v>0.174437581855909</v>
      </c>
      <c r="C43" s="22" t="n">
        <f aca="true">MAX(0.03,NORMINV(RAND(),$B$7,$C$7))</f>
        <v>0.207703752429313</v>
      </c>
      <c r="D43" s="34" t="n">
        <f aca="true">MAX(0.08,NORMINV(RAND(),$B$8,$C$8))</f>
        <v>0.125915444169596</v>
      </c>
      <c r="E43" s="70" t="n">
        <f aca="true">MAX(4,NORMINV(RAND(),$B$9,$C$9))</f>
        <v>13.4193734987937</v>
      </c>
      <c r="F43" s="27" t="n">
        <f aca="false">$B$18*(1+(B43+$B$17)/2)^9</f>
        <v>7216.86497081947</v>
      </c>
      <c r="G43" s="27" t="n">
        <f aca="false">F43*C43</f>
        <v>1498.96993521487</v>
      </c>
      <c r="H43" s="27" t="n">
        <f aca="false">E43*G43/(1+D43)^9</f>
        <v>6917.8824085903</v>
      </c>
      <c r="I43" s="27" t="n">
        <f aca="false">$B$13*G43/$B$12*((1+$B$8)/(1+D43))^4.5</f>
        <v>2376.26191165974</v>
      </c>
      <c r="J43" s="27" t="n">
        <f aca="false">H43+I43+$B$14</f>
        <v>11380.5431983322</v>
      </c>
      <c r="K43" s="45" t="n">
        <f aca="false">J43/$B$15</f>
        <v>18.064354283067</v>
      </c>
      <c r="N43" s="4" t="s">
        <v>470</v>
      </c>
      <c r="O43" s="74" t="n">
        <v>10</v>
      </c>
      <c r="P43" s="74" t="n">
        <v>15</v>
      </c>
      <c r="Q43" s="74" t="n">
        <f aca="false">COUNTIFS($K$41:$K$540,"&gt;="&amp;O43,$K$41:$K$540,"&lt;"&amp;P43)</f>
        <v>111</v>
      </c>
    </row>
    <row r="44" customFormat="false" ht="15" hidden="false" customHeight="true" outlineLevel="0" collapsed="false">
      <c r="A44" s="74" t="n">
        <v>4</v>
      </c>
      <c r="B44" s="22" t="n">
        <f aca="true">NORMINV(RAND(),$B$6,$C$6)</f>
        <v>0.274821242622873</v>
      </c>
      <c r="C44" s="22" t="n">
        <f aca="true">MAX(0.03,NORMINV(RAND(),$B$7,$C$7))</f>
        <v>0.182818888626971</v>
      </c>
      <c r="D44" s="34" t="n">
        <f aca="true">MAX(0.08,NORMINV(RAND(),$B$8,$C$8))</f>
        <v>0.140181100573899</v>
      </c>
      <c r="E44" s="70" t="n">
        <f aca="true">MAX(4,NORMINV(RAND(),$B$9,$C$9))</f>
        <v>11.7534553138822</v>
      </c>
      <c r="F44" s="27" t="n">
        <f aca="false">$B$18*(1+(B44+$B$17)/2)^9</f>
        <v>10736.745333197</v>
      </c>
      <c r="G44" s="27" t="n">
        <f aca="false">F44*C44</f>
        <v>1962.87984928589</v>
      </c>
      <c r="H44" s="27" t="n">
        <f aca="false">E44*G44/(1+D44)^9</f>
        <v>7084.26397565419</v>
      </c>
      <c r="I44" s="27" t="n">
        <f aca="false">$B$13*G44/$B$12*((1+$B$8)/(1+D44))^4.5</f>
        <v>2940.28090976133</v>
      </c>
      <c r="J44" s="27" t="n">
        <f aca="false">H44+I44+$B$14</f>
        <v>12110.9437634977</v>
      </c>
      <c r="K44" s="45" t="n">
        <f aca="false">J44/$B$15</f>
        <v>19.2237202595202</v>
      </c>
      <c r="N44" s="4" t="s">
        <v>471</v>
      </c>
      <c r="O44" s="74" t="n">
        <v>15</v>
      </c>
      <c r="P44" s="74" t="n">
        <v>20</v>
      </c>
      <c r="Q44" s="74" t="n">
        <f aca="false">COUNTIFS($K$41:$K$540,"&gt;="&amp;O44,$K$41:$K$540,"&lt;"&amp;P44)</f>
        <v>261</v>
      </c>
    </row>
    <row r="45" customFormat="false" ht="15" hidden="false" customHeight="true" outlineLevel="0" collapsed="false">
      <c r="A45" s="74" t="n">
        <v>5</v>
      </c>
      <c r="B45" s="22" t="n">
        <f aca="true">NORMINV(RAND(),$B$6,$C$6)</f>
        <v>0.145517502827427</v>
      </c>
      <c r="C45" s="22" t="n">
        <f aca="true">MAX(0.03,NORMINV(RAND(),$B$7,$C$7))</f>
        <v>0.242959596140851</v>
      </c>
      <c r="D45" s="34" t="n">
        <f aca="true">MAX(0.08,NORMINV(RAND(),$B$8,$C$8))</f>
        <v>0.137009127941152</v>
      </c>
      <c r="E45" s="70" t="n">
        <f aca="true">MAX(4,NORMINV(RAND(),$B$9,$C$9))</f>
        <v>7.41373469254985</v>
      </c>
      <c r="F45" s="27" t="n">
        <f aca="false">$B$18*(1+(B45+$B$17)/2)^9</f>
        <v>6415.03009219468</v>
      </c>
      <c r="G45" s="27" t="n">
        <f aca="false">F45*C45</f>
        <v>1558.59312043103</v>
      </c>
      <c r="H45" s="27" t="n">
        <f aca="false">E45*G45/(1+D45)^9</f>
        <v>3638.26420971473</v>
      </c>
      <c r="I45" s="27" t="n">
        <f aca="false">$B$13*G45/$B$12*((1+$B$8)/(1+D45))^4.5</f>
        <v>2364.13543636389</v>
      </c>
      <c r="J45" s="27" t="n">
        <f aca="false">H45+I45+$B$14</f>
        <v>8088.79852416082</v>
      </c>
      <c r="K45" s="45" t="n">
        <f aca="false">J45/$B$15</f>
        <v>12.8393627367632</v>
      </c>
      <c r="N45" s="4" t="s">
        <v>472</v>
      </c>
      <c r="O45" s="74" t="n">
        <v>20</v>
      </c>
      <c r="P45" s="74" t="n">
        <v>25</v>
      </c>
      <c r="Q45" s="74" t="n">
        <f aca="false">COUNTIFS($K$41:$K$540,"&gt;="&amp;O45,$K$41:$K$540,"&lt;"&amp;P45)</f>
        <v>98</v>
      </c>
    </row>
    <row r="46" customFormat="false" ht="15" hidden="false" customHeight="true" outlineLevel="0" collapsed="false">
      <c r="A46" s="74" t="n">
        <v>6</v>
      </c>
      <c r="B46" s="22" t="n">
        <f aca="true">NORMINV(RAND(),$B$6,$C$6)</f>
        <v>0.199763441166853</v>
      </c>
      <c r="C46" s="22" t="n">
        <f aca="true">MAX(0.03,NORMINV(RAND(),$B$7,$C$7))</f>
        <v>0.199469164008706</v>
      </c>
      <c r="D46" s="34" t="n">
        <f aca="true">MAX(0.08,NORMINV(RAND(),$B$8,$C$8))</f>
        <v>0.139626463826408</v>
      </c>
      <c r="E46" s="70" t="n">
        <f aca="true">MAX(4,NORMINV(RAND(),$B$9,$C$9))</f>
        <v>10.7227066794131</v>
      </c>
      <c r="F46" s="27" t="n">
        <f aca="false">$B$18*(1+(B46+$B$17)/2)^9</f>
        <v>7990.94720617532</v>
      </c>
      <c r="G46" s="27" t="n">
        <f aca="false">F46*C46</f>
        <v>1593.9475588535</v>
      </c>
      <c r="H46" s="27" t="n">
        <f aca="false">E46*G46/(1+D46)^9</f>
        <v>5271.27561073639</v>
      </c>
      <c r="I46" s="27" t="n">
        <f aca="false">$B$13*G46/$B$12*((1+$B$8)/(1+D46))^4.5</f>
        <v>2392.87516245897</v>
      </c>
      <c r="J46" s="27" t="n">
        <f aca="false">H46+I46+$B$14</f>
        <v>9750.54965127755</v>
      </c>
      <c r="K46" s="45" t="n">
        <f aca="false">J46/$B$15</f>
        <v>15.4770629385358</v>
      </c>
      <c r="N46" s="4" t="s">
        <v>473</v>
      </c>
      <c r="O46" s="74" t="n">
        <v>25</v>
      </c>
      <c r="P46" s="74" t="n">
        <v>30</v>
      </c>
      <c r="Q46" s="74" t="n">
        <f aca="false">COUNTIFS($K$41:$K$540,"&gt;="&amp;O46,$K$41:$K$540,"&lt;"&amp;P46)</f>
        <v>25</v>
      </c>
    </row>
    <row r="47" customFormat="false" ht="15" hidden="false" customHeight="true" outlineLevel="0" collapsed="false">
      <c r="A47" s="74" t="n">
        <v>7</v>
      </c>
      <c r="B47" s="22" t="n">
        <f aca="true">NORMINV(RAND(),$B$6,$C$6)</f>
        <v>0.172269053133993</v>
      </c>
      <c r="C47" s="22" t="n">
        <f aca="true">MAX(0.03,NORMINV(RAND(),$B$7,$C$7))</f>
        <v>0.215513424023968</v>
      </c>
      <c r="D47" s="34" t="n">
        <f aca="true">MAX(0.08,NORMINV(RAND(),$B$8,$C$8))</f>
        <v>0.13894363831951</v>
      </c>
      <c r="E47" s="70" t="n">
        <f aca="true">MAX(4,NORMINV(RAND(),$B$9,$C$9))</f>
        <v>9.81851728221883</v>
      </c>
      <c r="F47" s="27" t="n">
        <f aca="false">$B$18*(1+(B47+$B$17)/2)^9</f>
        <v>7153.79203022397</v>
      </c>
      <c r="G47" s="27" t="n">
        <f aca="false">F47*C47</f>
        <v>1541.73821518894</v>
      </c>
      <c r="H47" s="27" t="n">
        <f aca="false">E47*G47/(1+D47)^9</f>
        <v>4693.92826283423</v>
      </c>
      <c r="I47" s="27" t="n">
        <f aca="false">$B$13*G47/$B$12*((1+$B$8)/(1+D47))^4.5</f>
        <v>2320.74790245934</v>
      </c>
      <c r="J47" s="27" t="n">
        <f aca="false">H47+I47+$B$14</f>
        <v>9101.07504337576</v>
      </c>
      <c r="K47" s="45" t="n">
        <f aca="false">J47/$B$15</f>
        <v>14.4461508625012</v>
      </c>
      <c r="N47" s="4" t="s">
        <v>474</v>
      </c>
      <c r="O47" s="74" t="n">
        <v>30</v>
      </c>
      <c r="P47" s="74" t="n">
        <v>35</v>
      </c>
      <c r="Q47" s="74" t="n">
        <f aca="false">COUNTIFS($K$41:$K$540,"&gt;="&amp;O47,$K$41:$K$540,"&lt;"&amp;P47)</f>
        <v>1</v>
      </c>
    </row>
    <row r="48" customFormat="false" ht="15" hidden="false" customHeight="true" outlineLevel="0" collapsed="false">
      <c r="A48" s="74" t="n">
        <v>8</v>
      </c>
      <c r="B48" s="22" t="n">
        <f aca="true">NORMINV(RAND(),$B$6,$C$6)</f>
        <v>0.220742248931359</v>
      </c>
      <c r="C48" s="22" t="n">
        <f aca="true">MAX(0.03,NORMINV(RAND(),$B$7,$C$7))</f>
        <v>0.177762638043794</v>
      </c>
      <c r="D48" s="34" t="n">
        <f aca="true">MAX(0.08,NORMINV(RAND(),$B$8,$C$8))</f>
        <v>0.126438594306572</v>
      </c>
      <c r="E48" s="70" t="n">
        <f aca="true">MAX(4,NORMINV(RAND(),$B$9,$C$9))</f>
        <v>8.37090372818528</v>
      </c>
      <c r="F48" s="27" t="n">
        <f aca="false">$B$18*(1+(B48+$B$17)/2)^9</f>
        <v>8687.14616134011</v>
      </c>
      <c r="G48" s="27" t="n">
        <f aca="false">F48*C48</f>
        <v>1544.25001871184</v>
      </c>
      <c r="H48" s="27" t="n">
        <f aca="false">E48*G48/(1+D48)^9</f>
        <v>4427.12989771573</v>
      </c>
      <c r="I48" s="27" t="n">
        <f aca="false">$B$13*G48/$B$12*((1+$B$8)/(1+D48))^4.5</f>
        <v>2442.93068615905</v>
      </c>
      <c r="J48" s="27" t="n">
        <f aca="false">H48+I48+$B$14</f>
        <v>8956.45946195697</v>
      </c>
      <c r="K48" s="45" t="n">
        <f aca="false">J48/$B$15</f>
        <v>14.2166023205666</v>
      </c>
      <c r="N48" s="4" t="s">
        <v>475</v>
      </c>
      <c r="O48" s="74" t="n">
        <v>35</v>
      </c>
      <c r="P48" s="74" t="n">
        <v>40</v>
      </c>
      <c r="Q48" s="74" t="n">
        <f aca="false">COUNTIFS($K$41:$K$540,"&gt;="&amp;O48,$K$41:$K$540,"&lt;"&amp;P48)</f>
        <v>0</v>
      </c>
    </row>
    <row r="49" customFormat="false" ht="15" hidden="false" customHeight="true" outlineLevel="0" collapsed="false">
      <c r="A49" s="74" t="n">
        <v>9</v>
      </c>
      <c r="B49" s="22" t="n">
        <f aca="true">NORMINV(RAND(),$B$6,$C$6)</f>
        <v>0.226516166776638</v>
      </c>
      <c r="C49" s="22" t="n">
        <f aca="true">MAX(0.03,NORMINV(RAND(),$B$7,$C$7))</f>
        <v>0.197944501812693</v>
      </c>
      <c r="D49" s="34" t="n">
        <f aca="true">MAX(0.08,NORMINV(RAND(),$B$8,$C$8))</f>
        <v>0.149273534274502</v>
      </c>
      <c r="E49" s="70" t="n">
        <f aca="true">MAX(4,NORMINV(RAND(),$B$9,$C$9))</f>
        <v>12.350852902299</v>
      </c>
      <c r="F49" s="27" t="n">
        <f aca="false">$B$18*(1+(B49+$B$17)/2)^9</f>
        <v>8887.9829772658</v>
      </c>
      <c r="G49" s="27" t="n">
        <f aca="false">F49*C49</f>
        <v>1759.32736255457</v>
      </c>
      <c r="H49" s="27" t="n">
        <f aca="false">E49*G49/(1+D49)^9</f>
        <v>6212.02156204823</v>
      </c>
      <c r="I49" s="27" t="n">
        <f aca="false">$B$13*G49/$B$12*((1+$B$8)/(1+D49))^4.5</f>
        <v>2542.83809761401</v>
      </c>
      <c r="J49" s="27" t="n">
        <f aca="false">H49+I49+$B$14</f>
        <v>10841.2585377444</v>
      </c>
      <c r="K49" s="45" t="n">
        <f aca="false">J49/$B$15</f>
        <v>17.2083468853086</v>
      </c>
      <c r="N49" s="4" t="s">
        <v>476</v>
      </c>
      <c r="O49" s="74" t="n">
        <v>40</v>
      </c>
      <c r="P49" s="74" t="n">
        <v>45</v>
      </c>
      <c r="Q49" s="74" t="n">
        <f aca="false">COUNTIFS($K$41:$K$540,"&gt;="&amp;O49,$K$41:$K$540,"&lt;"&amp;P49)</f>
        <v>0</v>
      </c>
    </row>
    <row r="50" customFormat="false" ht="15" hidden="false" customHeight="true" outlineLevel="0" collapsed="false">
      <c r="A50" s="74" t="n">
        <v>10</v>
      </c>
      <c r="B50" s="22" t="n">
        <f aca="true">NORMINV(RAND(),$B$6,$C$6)</f>
        <v>0.213939538341164</v>
      </c>
      <c r="C50" s="22" t="n">
        <f aca="true">MAX(0.03,NORMINV(RAND(),$B$7,$C$7))</f>
        <v>0.181529507905925</v>
      </c>
      <c r="D50" s="34" t="n">
        <f aca="true">MAX(0.08,NORMINV(RAND(),$B$8,$C$8))</f>
        <v>0.129683086284921</v>
      </c>
      <c r="E50" s="70" t="n">
        <f aca="true">MAX(4,NORMINV(RAND(),$B$9,$C$9))</f>
        <v>12.490508770485</v>
      </c>
      <c r="F50" s="27" t="n">
        <f aca="false">$B$18*(1+(B50+$B$17)/2)^9</f>
        <v>8455.7081125017</v>
      </c>
      <c r="G50" s="27" t="n">
        <f aca="false">F50*C50</f>
        <v>1534.96053265857</v>
      </c>
      <c r="H50" s="27" t="n">
        <f aca="false">E50*G50/(1+D50)^9</f>
        <v>6398.34573245455</v>
      </c>
      <c r="I50" s="27" t="n">
        <f aca="false">$B$13*G50/$B$12*((1+$B$8)/(1+D50))^4.5</f>
        <v>2397.009593988</v>
      </c>
      <c r="J50" s="27" t="n">
        <f aca="false">H50+I50+$B$14</f>
        <v>10881.7542045247</v>
      </c>
      <c r="K50" s="45" t="n">
        <f aca="false">J50/$B$15</f>
        <v>17.2726257214678</v>
      </c>
      <c r="N50" s="4" t="s">
        <v>477</v>
      </c>
      <c r="O50" s="74" t="n">
        <v>45</v>
      </c>
      <c r="P50" s="74" t="n">
        <v>50</v>
      </c>
      <c r="Q50" s="74" t="n">
        <f aca="false">COUNTIFS($K$41:$K$540,"&gt;="&amp;O50,$K$41:$K$540,"&lt;"&amp;P50)</f>
        <v>0</v>
      </c>
    </row>
    <row r="51" customFormat="false" ht="15" hidden="false" customHeight="true" outlineLevel="0" collapsed="false">
      <c r="A51" s="74" t="n">
        <v>11</v>
      </c>
      <c r="B51" s="22" t="n">
        <f aca="true">NORMINV(RAND(),$B$6,$C$6)</f>
        <v>0.201218955293513</v>
      </c>
      <c r="C51" s="22" t="n">
        <f aca="true">MAX(0.03,NORMINV(RAND(),$B$7,$C$7))</f>
        <v>0.188134049904446</v>
      </c>
      <c r="D51" s="34" t="n">
        <f aca="true">MAX(0.08,NORMINV(RAND(),$B$8,$C$8))</f>
        <v>0.133752054308255</v>
      </c>
      <c r="E51" s="70" t="n">
        <f aca="true">MAX(4,NORMINV(RAND(),$B$9,$C$9))</f>
        <v>14.7407697889083</v>
      </c>
      <c r="F51" s="27" t="n">
        <f aca="false">$B$18*(1+(B51+$B$17)/2)^9</f>
        <v>8037.59643545271</v>
      </c>
      <c r="G51" s="27" t="n">
        <f aca="false">F51*C51</f>
        <v>1512.14556889926</v>
      </c>
      <c r="H51" s="27" t="n">
        <f aca="false">E51*G51/(1+D51)^9</f>
        <v>7201.96459409668</v>
      </c>
      <c r="I51" s="27" t="n">
        <f aca="false">$B$13*G51/$B$12*((1+$B$8)/(1+D51))^4.5</f>
        <v>2323.48347493014</v>
      </c>
      <c r="J51" s="27" t="n">
        <f aca="false">H51+I51+$B$14</f>
        <v>11611.846947109</v>
      </c>
      <c r="K51" s="45" t="n">
        <f aca="false">J51/$B$15</f>
        <v>18.4315030906492</v>
      </c>
      <c r="N51" s="4" t="s">
        <v>478</v>
      </c>
      <c r="O51" s="74" t="n">
        <v>50</v>
      </c>
      <c r="P51" s="74" t="n">
        <v>55</v>
      </c>
      <c r="Q51" s="74" t="n">
        <f aca="false">COUNTIFS($K$41:$K$540,"&gt;="&amp;O51,$K$41:$K$540,"&lt;"&amp;P51)</f>
        <v>0</v>
      </c>
    </row>
    <row r="52" customFormat="false" ht="15" hidden="false" customHeight="true" outlineLevel="0" collapsed="false">
      <c r="A52" s="74" t="n">
        <v>12</v>
      </c>
      <c r="B52" s="22" t="n">
        <f aca="true">NORMINV(RAND(),$B$6,$C$6)</f>
        <v>0.206723771212419</v>
      </c>
      <c r="C52" s="22" t="n">
        <f aca="true">MAX(0.03,NORMINV(RAND(),$B$7,$C$7))</f>
        <v>0.19048432139727</v>
      </c>
      <c r="D52" s="34" t="n">
        <f aca="true">MAX(0.08,NORMINV(RAND(),$B$8,$C$8))</f>
        <v>0.128993782900428</v>
      </c>
      <c r="E52" s="70" t="n">
        <f aca="true">MAX(4,NORMINV(RAND(),$B$9,$C$9))</f>
        <v>10.6914350812915</v>
      </c>
      <c r="F52" s="27" t="n">
        <f aca="false">$B$18*(1+(B52+$B$17)/2)^9</f>
        <v>8216.22259931766</v>
      </c>
      <c r="G52" s="27" t="n">
        <f aca="false">F52*C52</f>
        <v>1565.06158627994</v>
      </c>
      <c r="H52" s="27" t="n">
        <f aca="false">E52*G52/(1+D52)^9</f>
        <v>5614.91882301264</v>
      </c>
      <c r="I52" s="27" t="n">
        <f aca="false">$B$13*G52/$B$12*((1+$B$8)/(1+D52))^4.5</f>
        <v>2450.73771138264</v>
      </c>
      <c r="J52" s="27" t="n">
        <f aca="false">H52+I52+$B$14</f>
        <v>10152.0554124775</v>
      </c>
      <c r="K52" s="45" t="n">
        <f aca="false">J52/$B$15</f>
        <v>16.1143736705992</v>
      </c>
      <c r="N52" s="4" t="s">
        <v>479</v>
      </c>
      <c r="O52" s="74" t="n">
        <v>55</v>
      </c>
      <c r="P52" s="74" t="n">
        <v>60</v>
      </c>
      <c r="Q52" s="74" t="n">
        <f aca="false">COUNTIFS($K$41:$K$540,"&gt;="&amp;O52,$K$41:$K$540,"&lt;"&amp;P52)</f>
        <v>0</v>
      </c>
    </row>
    <row r="53" customFormat="false" ht="15" hidden="false" customHeight="true" outlineLevel="0" collapsed="false">
      <c r="A53" s="74" t="n">
        <v>13</v>
      </c>
      <c r="B53" s="22" t="n">
        <f aca="true">NORMINV(RAND(),$B$6,$C$6)</f>
        <v>0.199562522213792</v>
      </c>
      <c r="C53" s="22" t="n">
        <f aca="true">MAX(0.03,NORMINV(RAND(),$B$7,$C$7))</f>
        <v>0.209473813953362</v>
      </c>
      <c r="D53" s="34" t="n">
        <f aca="true">MAX(0.08,NORMINV(RAND(),$B$8,$C$8))</f>
        <v>0.127584385533893</v>
      </c>
      <c r="E53" s="70" t="n">
        <f aca="true">MAX(4,NORMINV(RAND(),$B$9,$C$9))</f>
        <v>8.6542220837402</v>
      </c>
      <c r="F53" s="27" t="n">
        <f aca="false">$B$18*(1+(B53+$B$17)/2)^9</f>
        <v>7984.52669383307</v>
      </c>
      <c r="G53" s="27" t="n">
        <f aca="false">F53*C53</f>
        <v>1672.54925916965</v>
      </c>
      <c r="H53" s="27" t="n">
        <f aca="false">E53*G53/(1+D53)^9</f>
        <v>4912.08048097993</v>
      </c>
      <c r="I53" s="27" t="n">
        <f aca="false">$B$13*G53/$B$12*((1+$B$8)/(1+D53))^4.5</f>
        <v>2633.81675411307</v>
      </c>
      <c r="J53" s="27" t="n">
        <f aca="false">H53+I53+$B$14</f>
        <v>9632.2961131752</v>
      </c>
      <c r="K53" s="45" t="n">
        <f aca="false">J53/$B$15</f>
        <v>15.2893589098019</v>
      </c>
      <c r="N53" s="4" t="s">
        <v>480</v>
      </c>
      <c r="O53" s="74" t="n">
        <v>60</v>
      </c>
      <c r="P53" s="74" t="n">
        <v>65</v>
      </c>
      <c r="Q53" s="74" t="n">
        <f aca="false">COUNTIFS($K$41:$K$540,"&gt;="&amp;O53,$K$41:$K$540,"&lt;"&amp;P53)</f>
        <v>0</v>
      </c>
    </row>
    <row r="54" customFormat="false" ht="15" hidden="false" customHeight="true" outlineLevel="0" collapsed="false">
      <c r="A54" s="74" t="n">
        <v>14</v>
      </c>
      <c r="B54" s="22" t="n">
        <f aca="true">NORMINV(RAND(),$B$6,$C$6)</f>
        <v>0.210079816696757</v>
      </c>
      <c r="C54" s="22" t="n">
        <f aca="true">MAX(0.03,NORMINV(RAND(),$B$7,$C$7))</f>
        <v>0.170664904159875</v>
      </c>
      <c r="D54" s="34" t="n">
        <f aca="true">MAX(0.08,NORMINV(RAND(),$B$8,$C$8))</f>
        <v>0.136245345819296</v>
      </c>
      <c r="E54" s="70" t="n">
        <f aca="true">MAX(4,NORMINV(RAND(),$B$9,$C$9))</f>
        <v>9.81903974794195</v>
      </c>
      <c r="F54" s="27" t="n">
        <f aca="false">$B$18*(1+(B54+$B$17)/2)^9</f>
        <v>8326.8464651486</v>
      </c>
      <c r="G54" s="27" t="n">
        <f aca="false">F54*C54</f>
        <v>1421.10045392858</v>
      </c>
      <c r="H54" s="27" t="n">
        <f aca="false">E54*G54/(1+D54)^9</f>
        <v>4420.22870324457</v>
      </c>
      <c r="I54" s="27" t="n">
        <f aca="false">$B$13*G54/$B$12*((1+$B$8)/(1+D54))^4.5</f>
        <v>2162.10921900863</v>
      </c>
      <c r="J54" s="27" t="n">
        <f aca="false">H54+I54+$B$14</f>
        <v>8668.73680033539</v>
      </c>
      <c r="K54" s="45" t="n">
        <f aca="false">J54/$B$15</f>
        <v>13.7598996830721</v>
      </c>
      <c r="N54" s="4" t="s">
        <v>481</v>
      </c>
      <c r="O54" s="74" t="n">
        <v>65</v>
      </c>
      <c r="P54" s="74" t="n">
        <v>70</v>
      </c>
      <c r="Q54" s="74" t="n">
        <f aca="false">COUNTIFS($K$41:$K$540,"&gt;="&amp;O54,$K$41:$K$540,"&lt;"&amp;P54)</f>
        <v>0</v>
      </c>
    </row>
    <row r="55" customFormat="false" ht="15" hidden="false" customHeight="true" outlineLevel="0" collapsed="false">
      <c r="A55" s="74" t="n">
        <v>15</v>
      </c>
      <c r="B55" s="22" t="n">
        <f aca="true">NORMINV(RAND(),$B$6,$C$6)</f>
        <v>0.26215493898046</v>
      </c>
      <c r="C55" s="22" t="n">
        <f aca="true">MAX(0.03,NORMINV(RAND(),$B$7,$C$7))</f>
        <v>0.214957827502097</v>
      </c>
      <c r="D55" s="34" t="n">
        <f aca="true">MAX(0.08,NORMINV(RAND(),$B$8,$C$8))</f>
        <v>0.135539840935295</v>
      </c>
      <c r="E55" s="70" t="n">
        <f aca="true">MAX(4,NORMINV(RAND(),$B$9,$C$9))</f>
        <v>10.8311563873791</v>
      </c>
      <c r="F55" s="27" t="n">
        <f aca="false">$B$18*(1+(B55+$B$17)/2)^9</f>
        <v>10221.6018991574</v>
      </c>
      <c r="G55" s="27" t="n">
        <f aca="false">F55*C55</f>
        <v>2197.21333783417</v>
      </c>
      <c r="H55" s="27" t="n">
        <f aca="false">E55*G55/(1+D55)^9</f>
        <v>7580.98551770238</v>
      </c>
      <c r="I55" s="27" t="n">
        <f aca="false">$B$13*G55/$B$12*((1+$B$8)/(1+D55))^4.5</f>
        <v>3352.2693933039</v>
      </c>
      <c r="J55" s="27" t="n">
        <f aca="false">H55+I55+$B$14</f>
        <v>13019.6537890885</v>
      </c>
      <c r="K55" s="45" t="n">
        <f aca="false">J55/$B$15</f>
        <v>20.6661171255373</v>
      </c>
      <c r="N55" s="4" t="s">
        <v>482</v>
      </c>
      <c r="O55" s="74" t="n">
        <v>70</v>
      </c>
      <c r="P55" s="74" t="n">
        <v>75</v>
      </c>
      <c r="Q55" s="74" t="n">
        <f aca="false">COUNTIFS($K$41:$K$540,"&gt;="&amp;O55,$K$41:$K$540,"&lt;"&amp;P55)</f>
        <v>0</v>
      </c>
    </row>
    <row r="56" customFormat="false" ht="15" hidden="false" customHeight="true" outlineLevel="0" collapsed="false">
      <c r="A56" s="74" t="n">
        <v>16</v>
      </c>
      <c r="B56" s="22" t="n">
        <f aca="true">NORMINV(RAND(),$B$6,$C$6)</f>
        <v>0.2048372330406</v>
      </c>
      <c r="C56" s="22" t="n">
        <f aca="true">MAX(0.03,NORMINV(RAND(),$B$7,$C$7))</f>
        <v>0.22270202726766</v>
      </c>
      <c r="D56" s="34" t="n">
        <f aca="true">MAX(0.08,NORMINV(RAND(),$B$8,$C$8))</f>
        <v>0.140753307721535</v>
      </c>
      <c r="E56" s="70" t="n">
        <f aca="true">MAX(4,NORMINV(RAND(),$B$9,$C$9))</f>
        <v>13.397372980854</v>
      </c>
      <c r="F56" s="27" t="n">
        <f aca="false">$B$18*(1+(B56+$B$17)/2)^9</f>
        <v>8154.61275830135</v>
      </c>
      <c r="G56" s="27" t="n">
        <f aca="false">F56*C56</f>
        <v>1816.04879285643</v>
      </c>
      <c r="H56" s="27" t="n">
        <f aca="false">E56*G56/(1+D56)^9</f>
        <v>7437.4066969907</v>
      </c>
      <c r="I56" s="27" t="n">
        <f aca="false">$B$13*G56/$B$12*((1+$B$8)/(1+D56))^4.5</f>
        <v>2714.20143554386</v>
      </c>
      <c r="J56" s="27" t="n">
        <f aca="false">H56+I56+$B$14</f>
        <v>12238.0070106168</v>
      </c>
      <c r="K56" s="45" t="n">
        <f aca="false">J56/$B$15</f>
        <v>19.4254079533599</v>
      </c>
      <c r="N56" s="4" t="s">
        <v>483</v>
      </c>
      <c r="O56" s="74" t="n">
        <v>75</v>
      </c>
      <c r="P56" s="74" t="n">
        <v>80</v>
      </c>
      <c r="Q56" s="74" t="n">
        <f aca="false">COUNTIFS($K$41:$K$540,"&gt;="&amp;O56,$K$41:$K$540,"&lt;"&amp;P56)</f>
        <v>0</v>
      </c>
    </row>
    <row r="57" customFormat="false" ht="15" hidden="false" customHeight="true" outlineLevel="0" collapsed="false">
      <c r="A57" s="74" t="n">
        <v>17</v>
      </c>
      <c r="B57" s="22" t="n">
        <f aca="true">NORMINV(RAND(),$B$6,$C$6)</f>
        <v>0.254368204183668</v>
      </c>
      <c r="C57" s="22" t="n">
        <f aca="true">MAX(0.03,NORMINV(RAND(),$B$7,$C$7))</f>
        <v>0.241611607182075</v>
      </c>
      <c r="D57" s="34" t="n">
        <f aca="true">MAX(0.08,NORMINV(RAND(),$B$8,$C$8))</f>
        <v>0.12711796481742</v>
      </c>
      <c r="E57" s="70" t="n">
        <f aca="true">MAX(4,NORMINV(RAND(),$B$9,$C$9))</f>
        <v>12.9960680735986</v>
      </c>
      <c r="F57" s="27" t="n">
        <f aca="false">$B$18*(1+(B57+$B$17)/2)^9</f>
        <v>9915.92954556418</v>
      </c>
      <c r="G57" s="27" t="n">
        <f aca="false">F57*C57</f>
        <v>2395.80367420798</v>
      </c>
      <c r="H57" s="27" t="n">
        <f aca="false">E57*G57/(1+D57)^9</f>
        <v>10605.6882414649</v>
      </c>
      <c r="I57" s="27" t="n">
        <f aca="false">$B$13*G57/$B$12*((1+$B$8)/(1+D57))^4.5</f>
        <v>3779.7792038745</v>
      </c>
      <c r="J57" s="27" t="n">
        <f aca="false">H57+I57+$B$14</f>
        <v>16471.8663234216</v>
      </c>
      <c r="K57" s="45" t="n">
        <f aca="false">J57/$B$15</f>
        <v>26.1458195609867</v>
      </c>
      <c r="N57" s="4" t="s">
        <v>484</v>
      </c>
      <c r="O57" s="74" t="n">
        <v>80</v>
      </c>
      <c r="P57" s="74" t="n">
        <v>85</v>
      </c>
      <c r="Q57" s="74" t="n">
        <f aca="false">COUNTIFS($K$41:$K$540,"&gt;="&amp;O57,$K$41:$K$540,"&lt;"&amp;P57)</f>
        <v>0</v>
      </c>
    </row>
    <row r="58" customFormat="false" ht="15" hidden="false" customHeight="true" outlineLevel="0" collapsed="false">
      <c r="A58" s="74" t="n">
        <v>18</v>
      </c>
      <c r="B58" s="22" t="n">
        <f aca="true">NORMINV(RAND(),$B$6,$C$6)</f>
        <v>0.119988532866543</v>
      </c>
      <c r="C58" s="22" t="n">
        <f aca="true">MAX(0.03,NORMINV(RAND(),$B$7,$C$7))</f>
        <v>0.149474801824028</v>
      </c>
      <c r="D58" s="34" t="n">
        <f aca="true">MAX(0.08,NORMINV(RAND(),$B$8,$C$8))</f>
        <v>0.14322679565882</v>
      </c>
      <c r="E58" s="70" t="n">
        <f aca="true">MAX(4,NORMINV(RAND(),$B$9,$C$9))</f>
        <v>15.6658669003869</v>
      </c>
      <c r="F58" s="27" t="n">
        <f aca="false">$B$18*(1+(B58+$B$17)/2)^9</f>
        <v>5774.08954334678</v>
      </c>
      <c r="G58" s="27" t="n">
        <f aca="false">F58*C58</f>
        <v>863.080890205952</v>
      </c>
      <c r="H58" s="27" t="n">
        <f aca="false">E58*G58/(1+D58)^9</f>
        <v>4053.35252720264</v>
      </c>
      <c r="I58" s="27" t="n">
        <f aca="false">$B$13*G58/$B$12*((1+$B$8)/(1+D58))^4.5</f>
        <v>1277.41820427475</v>
      </c>
      <c r="J58" s="27" t="n">
        <f aca="false">H58+I58+$B$14</f>
        <v>7417.16960955958</v>
      </c>
      <c r="K58" s="45" t="n">
        <f aca="false">J58/$B$15</f>
        <v>11.773285094539</v>
      </c>
      <c r="N58" s="4" t="s">
        <v>485</v>
      </c>
      <c r="O58" s="74" t="n">
        <v>85</v>
      </c>
      <c r="P58" s="74" t="n">
        <v>90</v>
      </c>
      <c r="Q58" s="74" t="n">
        <f aca="false">COUNTIFS($K$41:$K$540,"&gt;="&amp;O58,$K$41:$K$540,"&lt;"&amp;P58)</f>
        <v>0</v>
      </c>
    </row>
    <row r="59" customFormat="false" ht="15" hidden="false" customHeight="true" outlineLevel="0" collapsed="false">
      <c r="A59" s="74" t="n">
        <v>19</v>
      </c>
      <c r="B59" s="22" t="n">
        <f aca="true">NORMINV(RAND(),$B$6,$C$6)</f>
        <v>0.162397320980936</v>
      </c>
      <c r="C59" s="22" t="n">
        <f aca="true">MAX(0.03,NORMINV(RAND(),$B$7,$C$7))</f>
        <v>0.193956036935483</v>
      </c>
      <c r="D59" s="34" t="n">
        <f aca="true">MAX(0.08,NORMINV(RAND(),$B$8,$C$8))</f>
        <v>0.143603560368546</v>
      </c>
      <c r="E59" s="70" t="n">
        <f aca="true">MAX(4,NORMINV(RAND(),$B$9,$C$9))</f>
        <v>9.04799984792114</v>
      </c>
      <c r="F59" s="27" t="n">
        <f aca="false">$B$18*(1+(B59+$B$17)/2)^9</f>
        <v>6872.81541255484</v>
      </c>
      <c r="G59" s="27" t="n">
        <f aca="false">F59*C59</f>
        <v>1333.02404000824</v>
      </c>
      <c r="H59" s="27" t="n">
        <f aca="false">E59*G59/(1+D59)^9</f>
        <v>3605.04821351164</v>
      </c>
      <c r="I59" s="27" t="n">
        <f aca="false">$B$13*G59/$B$12*((1+$B$8)/(1+D59))^4.5</f>
        <v>1970.04259130958</v>
      </c>
      <c r="J59" s="27" t="n">
        <f aca="false">H59+I59+$B$14</f>
        <v>7661.48968290341</v>
      </c>
      <c r="K59" s="45" t="n">
        <f aca="false">J59/$B$15</f>
        <v>12.1610947347673</v>
      </c>
      <c r="N59" s="4" t="s">
        <v>486</v>
      </c>
      <c r="O59" s="74" t="n">
        <v>90</v>
      </c>
      <c r="P59" s="74" t="n">
        <v>95</v>
      </c>
      <c r="Q59" s="74" t="n">
        <f aca="false">COUNTIF($K$41:$K$540,"&gt;="&amp;O59)</f>
        <v>0</v>
      </c>
    </row>
    <row r="60" customFormat="false" ht="15" hidden="false" customHeight="true" outlineLevel="0" collapsed="false">
      <c r="A60" s="74" t="n">
        <v>20</v>
      </c>
      <c r="B60" s="22" t="n">
        <f aca="true">NORMINV(RAND(),$B$6,$C$6)</f>
        <v>0.148907747630624</v>
      </c>
      <c r="C60" s="22" t="n">
        <f aca="true">MAX(0.03,NORMINV(RAND(),$B$7,$C$7))</f>
        <v>0.200881413602943</v>
      </c>
      <c r="D60" s="34" t="n">
        <f aca="true">MAX(0.08,NORMINV(RAND(),$B$8,$C$8))</f>
        <v>0.140224577948779</v>
      </c>
      <c r="E60" s="70" t="n">
        <f aca="true">MAX(4,NORMINV(RAND(),$B$9,$C$9))</f>
        <v>11.4894979510932</v>
      </c>
      <c r="F60" s="27" t="n">
        <f aca="false">$B$18*(1+(B60+$B$17)/2)^9</f>
        <v>6504.73562546892</v>
      </c>
      <c r="G60" s="27" t="n">
        <f aca="false">F60*C60</f>
        <v>1306.68048755762</v>
      </c>
      <c r="H60" s="27" t="n">
        <f aca="false">E60*G60/(1+D60)^9</f>
        <v>4608.47116689015</v>
      </c>
      <c r="I60" s="27" t="n">
        <f aca="false">$B$13*G60/$B$12*((1+$B$8)/(1+D60))^4.5</f>
        <v>1956.99624607389</v>
      </c>
      <c r="J60" s="27" t="n">
        <f aca="false">H60+I60+$B$14</f>
        <v>8651.86629104623</v>
      </c>
      <c r="K60" s="45" t="n">
        <f aca="false">J60/$B$15</f>
        <v>13.7331210968988</v>
      </c>
    </row>
    <row r="61" customFormat="false" ht="15" hidden="false" customHeight="true" outlineLevel="0" collapsed="false">
      <c r="A61" s="74" t="n">
        <v>21</v>
      </c>
      <c r="B61" s="22" t="n">
        <f aca="true">NORMINV(RAND(),$B$6,$C$6)</f>
        <v>0.196484143803949</v>
      </c>
      <c r="C61" s="22" t="n">
        <f aca="true">MAX(0.03,NORMINV(RAND(),$B$7,$C$7))</f>
        <v>0.205504999893899</v>
      </c>
      <c r="D61" s="34" t="n">
        <f aca="true">MAX(0.08,NORMINV(RAND(),$B$8,$C$8))</f>
        <v>0.121857351457188</v>
      </c>
      <c r="E61" s="70" t="n">
        <f aca="true">MAX(4,NORMINV(RAND(),$B$9,$C$9))</f>
        <v>9.22643568159574</v>
      </c>
      <c r="F61" s="27" t="n">
        <f aca="false">$B$18*(1+(B61+$B$17)/2)^9</f>
        <v>7886.72654947882</v>
      </c>
      <c r="G61" s="27" t="n">
        <f aca="false">F61*C61</f>
        <v>1620.76173871385</v>
      </c>
      <c r="H61" s="27" t="n">
        <f aca="false">E61*G61/(1+D61)^9</f>
        <v>5312.68896531717</v>
      </c>
      <c r="I61" s="27" t="n">
        <f aca="false">$B$13*G61/$B$12*((1+$B$8)/(1+D61))^4.5</f>
        <v>2611.42274384439</v>
      </c>
      <c r="J61" s="27" t="n">
        <f aca="false">H61+I61+$B$14</f>
        <v>10010.5105872438</v>
      </c>
      <c r="K61" s="45" t="n">
        <f aca="false">J61/$B$15</f>
        <v>15.8896993448314</v>
      </c>
    </row>
    <row r="62" customFormat="false" ht="15" hidden="false" customHeight="true" outlineLevel="0" collapsed="false">
      <c r="A62" s="74" t="n">
        <v>22</v>
      </c>
      <c r="B62" s="22" t="n">
        <f aca="true">NORMINV(RAND(),$B$6,$C$6)</f>
        <v>0.271721632395385</v>
      </c>
      <c r="C62" s="22" t="n">
        <f aca="true">MAX(0.03,NORMINV(RAND(),$B$7,$C$7))</f>
        <v>0.20911869810716</v>
      </c>
      <c r="D62" s="34" t="n">
        <f aca="true">MAX(0.08,NORMINV(RAND(),$B$8,$C$8))</f>
        <v>0.135235300580591</v>
      </c>
      <c r="E62" s="70" t="n">
        <f aca="true">MAX(4,NORMINV(RAND(),$B$9,$C$9))</f>
        <v>16.3645340470715</v>
      </c>
      <c r="F62" s="27" t="n">
        <f aca="false">$B$18*(1+(B62+$B$17)/2)^9</f>
        <v>10608.5956346702</v>
      </c>
      <c r="G62" s="27" t="n">
        <f aca="false">F62*C62</f>
        <v>2218.45570786754</v>
      </c>
      <c r="H62" s="27" t="n">
        <f aca="false">E62*G62/(1+D62)^9</f>
        <v>11592.6152284964</v>
      </c>
      <c r="I62" s="27" t="n">
        <f aca="false">$B$13*G62/$B$12*((1+$B$8)/(1+D62))^4.5</f>
        <v>3388.76652340035</v>
      </c>
      <c r="J62" s="27" t="n">
        <f aca="false">H62+I62+$B$14</f>
        <v>17067.780629979</v>
      </c>
      <c r="K62" s="45" t="n">
        <f aca="false">J62/$B$15</f>
        <v>27.0917152856809</v>
      </c>
    </row>
    <row r="63" customFormat="false" ht="15" hidden="false" customHeight="true" outlineLevel="0" collapsed="false">
      <c r="A63" s="74" t="n">
        <v>23</v>
      </c>
      <c r="B63" s="22" t="n">
        <f aca="true">NORMINV(RAND(),$B$6,$C$6)</f>
        <v>0.250872203686235</v>
      </c>
      <c r="C63" s="22" t="n">
        <f aca="true">MAX(0.03,NORMINV(RAND(),$B$7,$C$7))</f>
        <v>0.218240869470547</v>
      </c>
      <c r="D63" s="34" t="n">
        <f aca="true">MAX(0.08,NORMINV(RAND(),$B$8,$C$8))</f>
        <v>0.128973468613696</v>
      </c>
      <c r="E63" s="70" t="n">
        <f aca="true">MAX(4,NORMINV(RAND(),$B$9,$C$9))</f>
        <v>10.5129296555747</v>
      </c>
      <c r="F63" s="27" t="n">
        <f aca="false">$B$18*(1+(B63+$B$17)/2)^9</f>
        <v>9781.35547662753</v>
      </c>
      <c r="G63" s="27" t="n">
        <f aca="false">F63*C63</f>
        <v>2134.69152381969</v>
      </c>
      <c r="H63" s="27" t="n">
        <f aca="false">E63*G63/(1+D63)^9</f>
        <v>7531.9124076723</v>
      </c>
      <c r="I63" s="27" t="n">
        <f aca="false">$B$13*G63/$B$12*((1+$B$8)/(1+D63))^4.5</f>
        <v>3342.9947326074</v>
      </c>
      <c r="J63" s="27" t="n">
        <f aca="false">H63+I63+$B$14</f>
        <v>12961.3060183619</v>
      </c>
      <c r="K63" s="45" t="n">
        <f aca="false">J63/$B$15</f>
        <v>20.5735016164474</v>
      </c>
    </row>
    <row r="64" customFormat="false" ht="15" hidden="false" customHeight="true" outlineLevel="0" collapsed="false">
      <c r="A64" s="74" t="n">
        <v>24</v>
      </c>
      <c r="B64" s="22" t="n">
        <f aca="true">NORMINV(RAND(),$B$6,$C$6)</f>
        <v>0.175439580138935</v>
      </c>
      <c r="C64" s="22" t="n">
        <f aca="true">MAX(0.03,NORMINV(RAND(),$B$7,$C$7))</f>
        <v>0.238299303382031</v>
      </c>
      <c r="D64" s="34" t="n">
        <f aca="true">MAX(0.08,NORMINV(RAND(),$B$8,$C$8))</f>
        <v>0.144271223727306</v>
      </c>
      <c r="E64" s="70" t="n">
        <f aca="true">MAX(4,NORMINV(RAND(),$B$9,$C$9))</f>
        <v>10.349410213167</v>
      </c>
      <c r="F64" s="27" t="n">
        <f aca="false">$B$18*(1+(B64+$B$17)/2)^9</f>
        <v>7246.17528488747</v>
      </c>
      <c r="G64" s="27" t="n">
        <f aca="false">F64*C64</f>
        <v>1726.75852257278</v>
      </c>
      <c r="H64" s="27" t="n">
        <f aca="false">E64*G64/(1+D64)^9</f>
        <v>5313.57019069711</v>
      </c>
      <c r="I64" s="27" t="n">
        <f aca="false">$B$13*G64/$B$12*((1+$B$8)/(1+D64))^4.5</f>
        <v>2545.23913821077</v>
      </c>
      <c r="J64" s="27" t="n">
        <f aca="false">H64+I64+$B$14</f>
        <v>9945.20820699007</v>
      </c>
      <c r="K64" s="45" t="n">
        <f aca="false">J64/$B$15</f>
        <v>15.7860447730001</v>
      </c>
    </row>
    <row r="65" customFormat="false" ht="15" hidden="false" customHeight="true" outlineLevel="0" collapsed="false">
      <c r="A65" s="74" t="n">
        <v>25</v>
      </c>
      <c r="B65" s="22" t="n">
        <f aca="true">NORMINV(RAND(),$B$6,$C$6)</f>
        <v>0.184540460467829</v>
      </c>
      <c r="C65" s="22" t="n">
        <f aca="true">MAX(0.03,NORMINV(RAND(),$B$7,$C$7))</f>
        <v>0.170314172012256</v>
      </c>
      <c r="D65" s="34" t="n">
        <f aca="true">MAX(0.08,NORMINV(RAND(),$B$8,$C$8))</f>
        <v>0.130150608793615</v>
      </c>
      <c r="E65" s="70" t="n">
        <f aca="true">MAX(4,NORMINV(RAND(),$B$9,$C$9))</f>
        <v>9.7798244023592</v>
      </c>
      <c r="F65" s="27" t="n">
        <f aca="false">$B$18*(1+(B65+$B$17)/2)^9</f>
        <v>7517.27727874454</v>
      </c>
      <c r="G65" s="27" t="n">
        <f aca="false">F65*C65</f>
        <v>1280.29885551592</v>
      </c>
      <c r="H65" s="27" t="n">
        <f aca="false">E65*G65/(1+D65)^9</f>
        <v>4163.08716915215</v>
      </c>
      <c r="I65" s="27" t="n">
        <f aca="false">$B$13*G65/$B$12*((1+$B$8)/(1+D65))^4.5</f>
        <v>1995.60820405268</v>
      </c>
      <c r="J65" s="27" t="n">
        <f aca="false">H65+I65+$B$14</f>
        <v>8245.09425128701</v>
      </c>
      <c r="K65" s="45" t="n">
        <f aca="false">J65/$B$15</f>
        <v>13.0874511925191</v>
      </c>
    </row>
    <row r="66" customFormat="false" ht="15" hidden="false" customHeight="true" outlineLevel="0" collapsed="false">
      <c r="A66" s="74" t="n">
        <v>26</v>
      </c>
      <c r="B66" s="22" t="n">
        <f aca="true">NORMINV(RAND(),$B$6,$C$6)</f>
        <v>0.206769264925275</v>
      </c>
      <c r="C66" s="22" t="n">
        <f aca="true">MAX(0.03,NORMINV(RAND(),$B$7,$C$7))</f>
        <v>0.243714373709266</v>
      </c>
      <c r="D66" s="34" t="n">
        <f aca="true">MAX(0.08,NORMINV(RAND(),$B$8,$C$8))</f>
        <v>0.12610612754628</v>
      </c>
      <c r="E66" s="70" t="n">
        <f aca="true">MAX(4,NORMINV(RAND(),$B$9,$C$9))</f>
        <v>12.1150417303995</v>
      </c>
      <c r="F66" s="27" t="n">
        <f aca="false">$B$18*(1+(B66+$B$17)/2)^9</f>
        <v>8217.71341071835</v>
      </c>
      <c r="G66" s="27" t="n">
        <f aca="false">F66*C66</f>
        <v>2002.77487721545</v>
      </c>
      <c r="H66" s="27" t="n">
        <f aca="false">E66*G66/(1+D66)^9</f>
        <v>8331.88284549481</v>
      </c>
      <c r="I66" s="27" t="n">
        <f aca="false">$B$13*G66/$B$12*((1+$B$8)/(1+D66))^4.5</f>
        <v>3172.50683160235</v>
      </c>
      <c r="J66" s="27" t="n">
        <f aca="false">H66+I66+$B$14</f>
        <v>13590.7885551793</v>
      </c>
      <c r="K66" s="45" t="n">
        <f aca="false">J66/$B$15</f>
        <v>21.5726802463164</v>
      </c>
    </row>
    <row r="67" customFormat="false" ht="15" hidden="false" customHeight="true" outlineLevel="0" collapsed="false">
      <c r="A67" s="74" t="n">
        <v>27</v>
      </c>
      <c r="B67" s="22" t="n">
        <f aca="true">NORMINV(RAND(),$B$6,$C$6)</f>
        <v>0.184312846817192</v>
      </c>
      <c r="C67" s="22" t="n">
        <f aca="true">MAX(0.03,NORMINV(RAND(),$B$7,$C$7))</f>
        <v>0.232823493490722</v>
      </c>
      <c r="D67" s="34" t="n">
        <f aca="true">MAX(0.08,NORMINV(RAND(),$B$8,$C$8))</f>
        <v>0.136739273019653</v>
      </c>
      <c r="E67" s="70" t="n">
        <f aca="true">MAX(4,NORMINV(RAND(),$B$9,$C$9))</f>
        <v>10.3735612219607</v>
      </c>
      <c r="F67" s="27" t="n">
        <f aca="false">$B$18*(1+(B67+$B$17)/2)^9</f>
        <v>7510.38859550408</v>
      </c>
      <c r="G67" s="27" t="n">
        <f aca="false">F67*C67</f>
        <v>1748.59491027814</v>
      </c>
      <c r="H67" s="27" t="n">
        <f aca="false">E67*G67/(1+D67)^9</f>
        <v>5723.60036499459</v>
      </c>
      <c r="I67" s="27" t="n">
        <f aca="false">$B$13*G67/$B$12*((1+$B$8)/(1+D67))^4.5</f>
        <v>2655.17223150198</v>
      </c>
      <c r="J67" s="27" t="n">
        <f aca="false">H67+I67+$B$14</f>
        <v>10465.1714745788</v>
      </c>
      <c r="K67" s="45" t="n">
        <f aca="false">J67/$B$15</f>
        <v>16.6113832929822</v>
      </c>
    </row>
    <row r="68" customFormat="false" ht="15" hidden="false" customHeight="true" outlineLevel="0" collapsed="false">
      <c r="A68" s="74" t="n">
        <v>28</v>
      </c>
      <c r="B68" s="22" t="n">
        <f aca="true">NORMINV(RAND(),$B$6,$C$6)</f>
        <v>0.208173296128005</v>
      </c>
      <c r="C68" s="22" t="n">
        <f aca="true">MAX(0.03,NORMINV(RAND(),$B$7,$C$7))</f>
        <v>0.219911871500626</v>
      </c>
      <c r="D68" s="34" t="n">
        <f aca="true">MAX(0.08,NORMINV(RAND(),$B$8,$C$8))</f>
        <v>0.108290712161981</v>
      </c>
      <c r="E68" s="70" t="n">
        <f aca="true">MAX(4,NORMINV(RAND(),$B$9,$C$9))</f>
        <v>7.95503255930774</v>
      </c>
      <c r="F68" s="27" t="n">
        <f aca="false">$B$18*(1+(B68+$B$17)/2)^9</f>
        <v>8263.84135466247</v>
      </c>
      <c r="G68" s="27" t="n">
        <f aca="false">F68*C68</f>
        <v>1817.31681808809</v>
      </c>
      <c r="H68" s="27" t="n">
        <f aca="false">E68*G68/(1+D68)^9</f>
        <v>5730.45839494048</v>
      </c>
      <c r="I68" s="27" t="n">
        <f aca="false">$B$13*G68/$B$12*((1+$B$8)/(1+D68))^4.5</f>
        <v>3092.90372986691</v>
      </c>
      <c r="J68" s="27" t="n">
        <f aca="false">H68+I68+$B$14</f>
        <v>10909.7610028896</v>
      </c>
      <c r="K68" s="45" t="n">
        <f aca="false">J68/$B$15</f>
        <v>17.3170809569676</v>
      </c>
    </row>
    <row r="69" customFormat="false" ht="15" hidden="false" customHeight="true" outlineLevel="0" collapsed="false">
      <c r="A69" s="74" t="n">
        <v>29</v>
      </c>
      <c r="B69" s="22" t="n">
        <f aca="true">NORMINV(RAND(),$B$6,$C$6)</f>
        <v>0.179010902611812</v>
      </c>
      <c r="C69" s="22" t="n">
        <f aca="true">MAX(0.03,NORMINV(RAND(),$B$7,$C$7))</f>
        <v>0.223110471865689</v>
      </c>
      <c r="D69" s="34" t="n">
        <f aca="true">MAX(0.08,NORMINV(RAND(),$B$8,$C$8))</f>
        <v>0.111116673810781</v>
      </c>
      <c r="E69" s="70" t="n">
        <f aca="true">MAX(4,NORMINV(RAND(),$B$9,$C$9))</f>
        <v>11.8544757945462</v>
      </c>
      <c r="F69" s="27" t="n">
        <f aca="false">$B$18*(1+(B69+$B$17)/2)^9</f>
        <v>7351.5057168559</v>
      </c>
      <c r="G69" s="27" t="n">
        <f aca="false">F69*C69</f>
        <v>1640.19790941103</v>
      </c>
      <c r="H69" s="27" t="n">
        <f aca="false">E69*G69/(1+D69)^9</f>
        <v>7532.54309188445</v>
      </c>
      <c r="I69" s="27" t="n">
        <f aca="false">$B$13*G69/$B$12*((1+$B$8)/(1+D69))^4.5</f>
        <v>2759.65721631733</v>
      </c>
      <c r="J69" s="27" t="n">
        <f aca="false">H69+I69+$B$14</f>
        <v>12378.599186284</v>
      </c>
      <c r="K69" s="45" t="n">
        <f aca="false">J69/$B$15</f>
        <v>19.6485701369587</v>
      </c>
    </row>
    <row r="70" customFormat="false" ht="15" hidden="false" customHeight="true" outlineLevel="0" collapsed="false">
      <c r="A70" s="74" t="n">
        <v>30</v>
      </c>
      <c r="B70" s="22" t="n">
        <f aca="true">NORMINV(RAND(),$B$6,$C$6)</f>
        <v>0.217255699702722</v>
      </c>
      <c r="C70" s="22" t="n">
        <f aca="true">MAX(0.03,NORMINV(RAND(),$B$7,$C$7))</f>
        <v>0.178334119967358</v>
      </c>
      <c r="D70" s="34" t="n">
        <f aca="true">MAX(0.08,NORMINV(RAND(),$B$8,$C$8))</f>
        <v>0.140080830042149</v>
      </c>
      <c r="E70" s="70" t="n">
        <f aca="true">MAX(4,NORMINV(RAND(),$B$9,$C$9))</f>
        <v>11.5756255941777</v>
      </c>
      <c r="F70" s="27" t="n">
        <f aca="false">$B$18*(1+(B70+$B$17)/2)^9</f>
        <v>8567.83483734558</v>
      </c>
      <c r="G70" s="27" t="n">
        <f aca="false">F70*C70</f>
        <v>1527.93728574369</v>
      </c>
      <c r="H70" s="27" t="n">
        <f aca="false">E70*G70/(1+D70)^9</f>
        <v>5435.37122613887</v>
      </c>
      <c r="I70" s="27" t="n">
        <f aca="false">$B$13*G70/$B$12*((1+$B$8)/(1+D70))^4.5</f>
        <v>2289.66798973891</v>
      </c>
      <c r="J70" s="27" t="n">
        <f aca="false">H70+I70+$B$14</f>
        <v>9811.43809395997</v>
      </c>
      <c r="K70" s="45" t="n">
        <f aca="false">J70/$B$15</f>
        <v>15.5737112602539</v>
      </c>
    </row>
    <row r="71" customFormat="false" ht="15" hidden="false" customHeight="true" outlineLevel="0" collapsed="false">
      <c r="A71" s="74" t="n">
        <v>31</v>
      </c>
      <c r="B71" s="22" t="n">
        <f aca="true">NORMINV(RAND(),$B$6,$C$6)</f>
        <v>0.160067246713954</v>
      </c>
      <c r="C71" s="22" t="n">
        <f aca="true">MAX(0.03,NORMINV(RAND(),$B$7,$C$7))</f>
        <v>0.268218103337738</v>
      </c>
      <c r="D71" s="34" t="n">
        <f aca="true">MAX(0.08,NORMINV(RAND(),$B$8,$C$8))</f>
        <v>0.144445990884392</v>
      </c>
      <c r="E71" s="70" t="n">
        <f aca="true">MAX(4,NORMINV(RAND(),$B$9,$C$9))</f>
        <v>10.8523156491288</v>
      </c>
      <c r="F71" s="27" t="n">
        <f aca="false">$B$18*(1+(B71+$B$17)/2)^9</f>
        <v>6807.94377001236</v>
      </c>
      <c r="G71" s="27" t="n">
        <f aca="false">F71*C71</f>
        <v>1826.01376562269</v>
      </c>
      <c r="H71" s="27" t="n">
        <f aca="false">E71*G71/(1+D71)^9</f>
        <v>5883.94690754851</v>
      </c>
      <c r="I71" s="27" t="n">
        <f aca="false">$B$13*G71/$B$12*((1+$B$8)/(1+D71))^4.5</f>
        <v>2689.6920915572</v>
      </c>
      <c r="J71" s="27" t="n">
        <f aca="false">H71+I71+$B$14</f>
        <v>10660.0378771879</v>
      </c>
      <c r="K71" s="45" t="n">
        <f aca="false">J71/$B$15</f>
        <v>16.9206950431554</v>
      </c>
    </row>
    <row r="72" customFormat="false" ht="15" hidden="false" customHeight="true" outlineLevel="0" collapsed="false">
      <c r="A72" s="74" t="n">
        <v>32</v>
      </c>
      <c r="B72" s="22" t="n">
        <f aca="true">NORMINV(RAND(),$B$6,$C$6)</f>
        <v>0.200651846179481</v>
      </c>
      <c r="C72" s="22" t="n">
        <f aca="true">MAX(0.03,NORMINV(RAND(),$B$7,$C$7))</f>
        <v>0.204422258772238</v>
      </c>
      <c r="D72" s="34" t="n">
        <f aca="true">MAX(0.08,NORMINV(RAND(),$B$8,$C$8))</f>
        <v>0.116576414271774</v>
      </c>
      <c r="E72" s="70" t="n">
        <f aca="true">MAX(4,NORMINV(RAND(),$B$9,$C$9))</f>
        <v>7.9926095702028</v>
      </c>
      <c r="F72" s="27" t="n">
        <f aca="false">$B$18*(1+(B72+$B$17)/2)^9</f>
        <v>8019.39188256683</v>
      </c>
      <c r="G72" s="27" t="n">
        <f aca="false">F72*C72</f>
        <v>1639.34220261406</v>
      </c>
      <c r="H72" s="27" t="n">
        <f aca="false">E72*G72/(1+D72)^9</f>
        <v>4856.93363085871</v>
      </c>
      <c r="I72" s="27" t="n">
        <f aca="false">$B$13*G72/$B$12*((1+$B$8)/(1+D72))^4.5</f>
        <v>2698.04365961641</v>
      </c>
      <c r="J72" s="27" t="n">
        <f aca="false">H72+I72+$B$14</f>
        <v>9641.37616855732</v>
      </c>
      <c r="K72" s="45" t="n">
        <f aca="false">J72/$B$15</f>
        <v>15.3037716961227</v>
      </c>
    </row>
    <row r="73" customFormat="false" ht="15" hidden="false" customHeight="true" outlineLevel="0" collapsed="false">
      <c r="A73" s="74" t="n">
        <v>33</v>
      </c>
      <c r="B73" s="22" t="n">
        <f aca="true">NORMINV(RAND(),$B$6,$C$6)</f>
        <v>0.181361971715581</v>
      </c>
      <c r="C73" s="22" t="n">
        <f aca="true">MAX(0.03,NORMINV(RAND(),$B$7,$C$7))</f>
        <v>0.260529549960013</v>
      </c>
      <c r="D73" s="34" t="n">
        <f aca="true">MAX(0.08,NORMINV(RAND(),$B$8,$C$8))</f>
        <v>0.146769930547274</v>
      </c>
      <c r="E73" s="70" t="n">
        <f aca="true">MAX(4,NORMINV(RAND(),$B$9,$C$9))</f>
        <v>10.7537216970744</v>
      </c>
      <c r="F73" s="27" t="n">
        <f aca="false">$B$18*(1+(B73+$B$17)/2)^9</f>
        <v>7421.58746998884</v>
      </c>
      <c r="G73" s="27" t="n">
        <f aca="false">F73*C73</f>
        <v>1933.54284354507</v>
      </c>
      <c r="H73" s="27" t="n">
        <f aca="false">E73*G73/(1+D73)^9</f>
        <v>6062.13943618555</v>
      </c>
      <c r="I73" s="27" t="n">
        <f aca="false">$B$13*G73/$B$12*((1+$B$8)/(1+D73))^4.5</f>
        <v>2822.20035669428</v>
      </c>
      <c r="J73" s="27" t="n">
        <f aca="false">H73+I73+$B$14</f>
        <v>10970.738670962</v>
      </c>
      <c r="K73" s="45" t="n">
        <f aca="false">J73/$B$15</f>
        <v>17.4138709062889</v>
      </c>
    </row>
    <row r="74" customFormat="false" ht="15" hidden="false" customHeight="true" outlineLevel="0" collapsed="false">
      <c r="A74" s="74" t="n">
        <v>34</v>
      </c>
      <c r="B74" s="22" t="n">
        <f aca="true">NORMINV(RAND(),$B$6,$C$6)</f>
        <v>0.144323137543873</v>
      </c>
      <c r="C74" s="22" t="n">
        <f aca="true">MAX(0.03,NORMINV(RAND(),$B$7,$C$7))</f>
        <v>0.207832263309509</v>
      </c>
      <c r="D74" s="34" t="n">
        <f aca="true">MAX(0.08,NORMINV(RAND(),$B$8,$C$8))</f>
        <v>0.116190959157097</v>
      </c>
      <c r="E74" s="70" t="n">
        <f aca="true">MAX(4,NORMINV(RAND(),$B$9,$C$9))</f>
        <v>12.0785525237126</v>
      </c>
      <c r="F74" s="27" t="n">
        <f aca="false">$B$18*(1+(B74+$B$17)/2)^9</f>
        <v>6383.69026346385</v>
      </c>
      <c r="G74" s="27" t="n">
        <f aca="false">F74*C74</f>
        <v>1326.73679572256</v>
      </c>
      <c r="H74" s="27" t="n">
        <f aca="false">E74*G74/(1+D74)^9</f>
        <v>5958.72251132322</v>
      </c>
      <c r="I74" s="27" t="n">
        <f aca="false">$B$13*G74/$B$12*((1+$B$8)/(1+D74))^4.5</f>
        <v>2186.95023194315</v>
      </c>
      <c r="J74" s="27" t="n">
        <f aca="false">H74+I74+$B$14</f>
        <v>10232.0716213486</v>
      </c>
      <c r="K74" s="45" t="n">
        <f aca="false">J74/$B$15</f>
        <v>16.2413835259501</v>
      </c>
    </row>
    <row r="75" customFormat="false" ht="15" hidden="false" customHeight="true" outlineLevel="0" collapsed="false">
      <c r="A75" s="74" t="n">
        <v>35</v>
      </c>
      <c r="B75" s="22" t="n">
        <f aca="true">NORMINV(RAND(),$B$6,$C$6)</f>
        <v>0.159519781601079</v>
      </c>
      <c r="C75" s="22" t="n">
        <f aca="true">MAX(0.03,NORMINV(RAND(),$B$7,$C$7))</f>
        <v>0.190090119045065</v>
      </c>
      <c r="D75" s="34" t="n">
        <f aca="true">MAX(0.08,NORMINV(RAND(),$B$8,$C$8))</f>
        <v>0.130700332477839</v>
      </c>
      <c r="E75" s="70" t="n">
        <f aca="true">MAX(4,NORMINV(RAND(),$B$9,$C$9))</f>
        <v>8.87863394540377</v>
      </c>
      <c r="F75" s="27" t="n">
        <f aca="false">$B$18*(1+(B75+$B$17)/2)^9</f>
        <v>6792.78097924927</v>
      </c>
      <c r="G75" s="27" t="n">
        <f aca="false">F75*C75</f>
        <v>1291.24054499255</v>
      </c>
      <c r="H75" s="27" t="n">
        <f aca="false">E75*G75/(1+D75)^9</f>
        <v>3795.1209954748</v>
      </c>
      <c r="I75" s="27" t="n">
        <f aca="false">$B$13*G75/$B$12*((1+$B$8)/(1+D75))^4.5</f>
        <v>2008.26349207966</v>
      </c>
      <c r="J75" s="27" t="n">
        <f aca="false">H75+I75+$B$14</f>
        <v>7889.78336563665</v>
      </c>
      <c r="K75" s="45" t="n">
        <f aca="false">J75/$B$15</f>
        <v>12.5234656597407</v>
      </c>
    </row>
    <row r="76" customFormat="false" ht="15" hidden="false" customHeight="true" outlineLevel="0" collapsed="false">
      <c r="A76" s="74" t="n">
        <v>36</v>
      </c>
      <c r="B76" s="22" t="n">
        <f aca="true">NORMINV(RAND(),$B$6,$C$6)</f>
        <v>0.222794273622863</v>
      </c>
      <c r="C76" s="22" t="n">
        <f aca="true">MAX(0.03,NORMINV(RAND(),$B$7,$C$7))</f>
        <v>0.217976393946409</v>
      </c>
      <c r="D76" s="34" t="n">
        <f aca="true">MAX(0.08,NORMINV(RAND(),$B$8,$C$8))</f>
        <v>0.112297278402746</v>
      </c>
      <c r="E76" s="70" t="n">
        <f aca="true">MAX(4,NORMINV(RAND(),$B$9,$C$9))</f>
        <v>13.3631119956546</v>
      </c>
      <c r="F76" s="27" t="n">
        <f aca="false">$B$18*(1+(B76+$B$17)/2)^9</f>
        <v>8758.05570741803</v>
      </c>
      <c r="G76" s="27" t="n">
        <f aca="false">F76*C76</f>
        <v>1909.04940108475</v>
      </c>
      <c r="H76" s="27" t="n">
        <f aca="false">E76*G76/(1+D76)^9</f>
        <v>9788.96788987897</v>
      </c>
      <c r="I76" s="27" t="n">
        <f aca="false">$B$13*G76/$B$12*((1+$B$8)/(1+D76))^4.5</f>
        <v>3196.69064157651</v>
      </c>
      <c r="J76" s="27" t="n">
        <f aca="false">H76+I76+$B$14</f>
        <v>15072.0574095377</v>
      </c>
      <c r="K76" s="45" t="n">
        <f aca="false">J76/$B$15</f>
        <v>23.9239006500598</v>
      </c>
    </row>
    <row r="77" customFormat="false" ht="15" hidden="false" customHeight="true" outlineLevel="0" collapsed="false">
      <c r="A77" s="74" t="n">
        <v>37</v>
      </c>
      <c r="B77" s="22" t="n">
        <f aca="true">NORMINV(RAND(),$B$6,$C$6)</f>
        <v>0.203693731627157</v>
      </c>
      <c r="C77" s="22" t="n">
        <f aca="true">MAX(0.03,NORMINV(RAND(),$B$7,$C$7))</f>
        <v>0.211401671424961</v>
      </c>
      <c r="D77" s="34" t="n">
        <f aca="true">MAX(0.08,NORMINV(RAND(),$B$8,$C$8))</f>
        <v>0.140211223515069</v>
      </c>
      <c r="E77" s="70" t="n">
        <f aca="true">MAX(4,NORMINV(RAND(),$B$9,$C$9))</f>
        <v>13.2533483529565</v>
      </c>
      <c r="F77" s="27" t="n">
        <f aca="false">$B$18*(1+(B77+$B$17)/2)^9</f>
        <v>8117.46894142399</v>
      </c>
      <c r="G77" s="27" t="n">
        <f aca="false">F77*C77</f>
        <v>1716.04650195724</v>
      </c>
      <c r="H77" s="27" t="n">
        <f aca="false">E77*G77/(1+D77)^9</f>
        <v>6982.11280344196</v>
      </c>
      <c r="I77" s="27" t="n">
        <f aca="false">$B$13*G77/$B$12*((1+$B$8)/(1+D77))^4.5</f>
        <v>2570.23319579463</v>
      </c>
      <c r="J77" s="27" t="n">
        <f aca="false">H77+I77+$B$14</f>
        <v>11638.7448773188</v>
      </c>
      <c r="K77" s="45" t="n">
        <f aca="false">J77/$B$15</f>
        <v>18.4741982179663</v>
      </c>
    </row>
    <row r="78" customFormat="false" ht="15" hidden="false" customHeight="true" outlineLevel="0" collapsed="false">
      <c r="A78" s="74" t="n">
        <v>38</v>
      </c>
      <c r="B78" s="22" t="n">
        <f aca="true">NORMINV(RAND(),$B$6,$C$6)</f>
        <v>0.271416705008911</v>
      </c>
      <c r="C78" s="22" t="n">
        <f aca="true">MAX(0.03,NORMINV(RAND(),$B$7,$C$7))</f>
        <v>0.179236543992741</v>
      </c>
      <c r="D78" s="34" t="n">
        <f aca="true">MAX(0.08,NORMINV(RAND(),$B$8,$C$8))</f>
        <v>0.131333850364821</v>
      </c>
      <c r="E78" s="70" t="n">
        <f aca="true">MAX(4,NORMINV(RAND(),$B$9,$C$9))</f>
        <v>10.3341153522409</v>
      </c>
      <c r="F78" s="27" t="n">
        <f aca="false">$B$18*(1+(B78+$B$17)/2)^9</f>
        <v>10596.0625335551</v>
      </c>
      <c r="G78" s="27" t="n">
        <f aca="false">F78*C78</f>
        <v>1899.20162844538</v>
      </c>
      <c r="H78" s="27" t="n">
        <f aca="false">E78*G78/(1+D78)^9</f>
        <v>6464.3869266023</v>
      </c>
      <c r="I78" s="27" t="n">
        <f aca="false">$B$13*G78/$B$12*((1+$B$8)/(1+D78))^4.5</f>
        <v>2946.38798256566</v>
      </c>
      <c r="J78" s="27" t="n">
        <f aca="false">H78+I78+$B$14</f>
        <v>11497.1737872502</v>
      </c>
      <c r="K78" s="45" t="n">
        <f aca="false">J78/$B$15</f>
        <v>18.2494822019844</v>
      </c>
    </row>
    <row r="79" customFormat="false" ht="15" hidden="false" customHeight="true" outlineLevel="0" collapsed="false">
      <c r="A79" s="74" t="n">
        <v>39</v>
      </c>
      <c r="B79" s="22" t="n">
        <f aca="true">NORMINV(RAND(),$B$6,$C$6)</f>
        <v>0.1538372537556</v>
      </c>
      <c r="C79" s="22" t="n">
        <f aca="true">MAX(0.03,NORMINV(RAND(),$B$7,$C$7))</f>
        <v>0.21151376485224</v>
      </c>
      <c r="D79" s="34" t="n">
        <f aca="true">MAX(0.08,NORMINV(RAND(),$B$8,$C$8))</f>
        <v>0.128790188951565</v>
      </c>
      <c r="E79" s="70" t="n">
        <f aca="true">MAX(4,NORMINV(RAND(),$B$9,$C$9))</f>
        <v>12.6852631247986</v>
      </c>
      <c r="F79" s="27" t="n">
        <f aca="false">$B$18*(1+(B79+$B$17)/2)^9</f>
        <v>6637.15936940821</v>
      </c>
      <c r="G79" s="27" t="n">
        <f aca="false">F79*C79</f>
        <v>1403.85056614785</v>
      </c>
      <c r="H79" s="27" t="n">
        <f aca="false">E79*G79/(1+D79)^9</f>
        <v>5985.51229531498</v>
      </c>
      <c r="I79" s="27" t="n">
        <f aca="false">$B$13*G79/$B$12*((1+$B$8)/(1+D79))^4.5</f>
        <v>2200.08136585676</v>
      </c>
      <c r="J79" s="27" t="n">
        <f aca="false">H79+I79+$B$14</f>
        <v>10271.9925392539</v>
      </c>
      <c r="K79" s="45" t="n">
        <f aca="false">J79/$B$15</f>
        <v>16.3047500623078</v>
      </c>
    </row>
    <row r="80" customFormat="false" ht="15" hidden="false" customHeight="true" outlineLevel="0" collapsed="false">
      <c r="A80" s="74" t="n">
        <v>40</v>
      </c>
      <c r="B80" s="22" t="n">
        <f aca="true">NORMINV(RAND(),$B$6,$C$6)</f>
        <v>0.204356395184919</v>
      </c>
      <c r="C80" s="22" t="n">
        <f aca="true">MAX(0.03,NORMINV(RAND(),$B$7,$C$7))</f>
        <v>0.210656898306436</v>
      </c>
      <c r="D80" s="34" t="n">
        <f aca="true">MAX(0.08,NORMINV(RAND(),$B$8,$C$8))</f>
        <v>0.126702720403505</v>
      </c>
      <c r="E80" s="70" t="n">
        <f aca="true">MAX(4,NORMINV(RAND(),$B$9,$C$9))</f>
        <v>12.4934840871071</v>
      </c>
      <c r="F80" s="27" t="n">
        <f aca="false">$B$18*(1+(B80+$B$17)/2)^9</f>
        <v>8138.97556215126</v>
      </c>
      <c r="G80" s="27" t="n">
        <f aca="false">F80*C80</f>
        <v>1714.53134731467</v>
      </c>
      <c r="H80" s="27" t="n">
        <f aca="false">E80*G80/(1+D80)^9</f>
        <v>7320.5702336574</v>
      </c>
      <c r="I80" s="27" t="n">
        <f aca="false">$B$13*G80/$B$12*((1+$B$8)/(1+D80))^4.5</f>
        <v>2709.44765483794</v>
      </c>
      <c r="J80" s="27" t="n">
        <f aca="false">H80+I80+$B$14</f>
        <v>12116.4167665775</v>
      </c>
      <c r="K80" s="45" t="n">
        <f aca="false">J80/$B$15</f>
        <v>19.2324075659961</v>
      </c>
    </row>
    <row r="81" customFormat="false" ht="15" hidden="false" customHeight="true" outlineLevel="0" collapsed="false">
      <c r="A81" s="74" t="n">
        <v>41</v>
      </c>
      <c r="B81" s="22" t="n">
        <f aca="true">NORMINV(RAND(),$B$6,$C$6)</f>
        <v>0.160080216916492</v>
      </c>
      <c r="C81" s="22" t="n">
        <f aca="true">MAX(0.03,NORMINV(RAND(),$B$7,$C$7))</f>
        <v>0.209047815237484</v>
      </c>
      <c r="D81" s="34" t="n">
        <f aca="true">MAX(0.08,NORMINV(RAND(),$B$8,$C$8))</f>
        <v>0.13172037798544</v>
      </c>
      <c r="E81" s="70" t="n">
        <f aca="true">MAX(4,NORMINV(RAND(),$B$9,$C$9))</f>
        <v>13.8962046886892</v>
      </c>
      <c r="F81" s="27" t="n">
        <f aca="false">$B$18*(1+(B81+$B$17)/2)^9</f>
        <v>6808.30336194017</v>
      </c>
      <c r="G81" s="27" t="n">
        <f aca="false">F81*C81</f>
        <v>1423.26094328761</v>
      </c>
      <c r="H81" s="27" t="n">
        <f aca="false">E81*G81/(1+D81)^9</f>
        <v>6494.24263838142</v>
      </c>
      <c r="I81" s="27" t="n">
        <f aca="false">$B$13*G81/$B$12*((1+$B$8)/(1+D81))^4.5</f>
        <v>2204.63043353439</v>
      </c>
      <c r="J81" s="27" t="n">
        <f aca="false">H81+I81+$B$14</f>
        <v>10785.271949998</v>
      </c>
      <c r="K81" s="45" t="n">
        <f aca="false">J81/$B$15</f>
        <v>17.1194792857111</v>
      </c>
    </row>
    <row r="82" customFormat="false" ht="15" hidden="false" customHeight="true" outlineLevel="0" collapsed="false">
      <c r="A82" s="74" t="n">
        <v>42</v>
      </c>
      <c r="B82" s="22" t="n">
        <f aca="true">NORMINV(RAND(),$B$6,$C$6)</f>
        <v>0.128735790082106</v>
      </c>
      <c r="C82" s="22" t="n">
        <f aca="true">MAX(0.03,NORMINV(RAND(),$B$7,$C$7))</f>
        <v>0.199918360428136</v>
      </c>
      <c r="D82" s="34" t="n">
        <f aca="true">MAX(0.08,NORMINV(RAND(),$B$8,$C$8))</f>
        <v>0.137008799781907</v>
      </c>
      <c r="E82" s="70" t="n">
        <f aca="true">MAX(4,NORMINV(RAND(),$B$9,$C$9))</f>
        <v>14.701901880486</v>
      </c>
      <c r="F82" s="27" t="n">
        <f aca="false">$B$18*(1+(B82+$B$17)/2)^9</f>
        <v>5986.97815299506</v>
      </c>
      <c r="G82" s="27" t="n">
        <f aca="false">F82*C82</f>
        <v>1196.90685626584</v>
      </c>
      <c r="H82" s="27" t="n">
        <f aca="false">E82*G82/(1+D82)^9</f>
        <v>5540.63373248855</v>
      </c>
      <c r="I82" s="27" t="n">
        <f aca="false">$B$13*G82/$B$12*((1+$B$8)/(1+D82))^4.5</f>
        <v>1815.5178223922</v>
      </c>
      <c r="J82" s="27" t="n">
        <f aca="false">H82+I82+$B$14</f>
        <v>9442.55043296294</v>
      </c>
      <c r="K82" s="45" t="n">
        <f aca="false">J82/$B$15</f>
        <v>14.9881752904174</v>
      </c>
    </row>
    <row r="83" customFormat="false" ht="15" hidden="false" customHeight="true" outlineLevel="0" collapsed="false">
      <c r="A83" s="74" t="n">
        <v>43</v>
      </c>
      <c r="B83" s="22" t="n">
        <f aca="true">NORMINV(RAND(),$B$6,$C$6)</f>
        <v>0.208910268881838</v>
      </c>
      <c r="C83" s="22" t="n">
        <f aca="true">MAX(0.03,NORMINV(RAND(),$B$7,$C$7))</f>
        <v>0.244845504764083</v>
      </c>
      <c r="D83" s="34" t="n">
        <f aca="true">MAX(0.08,NORMINV(RAND(),$B$8,$C$8))</f>
        <v>0.141442724040156</v>
      </c>
      <c r="E83" s="70" t="n">
        <f aca="true">MAX(4,NORMINV(RAND(),$B$9,$C$9))</f>
        <v>15.1468391139267</v>
      </c>
      <c r="F83" s="27" t="n">
        <f aca="false">$B$18*(1+(B83+$B$17)/2)^9</f>
        <v>8288.14579633586</v>
      </c>
      <c r="G83" s="27" t="n">
        <f aca="false">F83*C83</f>
        <v>2029.31524106216</v>
      </c>
      <c r="H83" s="27" t="n">
        <f aca="false">E83*G83/(1+D83)^9</f>
        <v>9345.10989121385</v>
      </c>
      <c r="I83" s="27" t="n">
        <f aca="false">$B$13*G83/$B$12*((1+$B$8)/(1+D83))^4.5</f>
        <v>3024.70717836452</v>
      </c>
      <c r="J83" s="27" t="n">
        <f aca="false">H83+I83+$B$14</f>
        <v>14456.2159476606</v>
      </c>
      <c r="K83" s="45" t="n">
        <f aca="false">J83/$B$15</f>
        <v>22.9463745200961</v>
      </c>
    </row>
    <row r="84" customFormat="false" ht="15" hidden="false" customHeight="true" outlineLevel="0" collapsed="false">
      <c r="A84" s="74" t="n">
        <v>44</v>
      </c>
      <c r="B84" s="22" t="n">
        <f aca="true">NORMINV(RAND(),$B$6,$C$6)</f>
        <v>0.201633139044771</v>
      </c>
      <c r="C84" s="22" t="n">
        <f aca="true">MAX(0.03,NORMINV(RAND(),$B$7,$C$7))</f>
        <v>0.237761414773172</v>
      </c>
      <c r="D84" s="34" t="n">
        <f aca="true">MAX(0.08,NORMINV(RAND(),$B$8,$C$8))</f>
        <v>0.136730745365779</v>
      </c>
      <c r="E84" s="70" t="n">
        <f aca="true">MAX(4,NORMINV(RAND(),$B$9,$C$9))</f>
        <v>12.3623373315303</v>
      </c>
      <c r="F84" s="27" t="n">
        <f aca="false">$B$18*(1+(B84+$B$17)/2)^9</f>
        <v>8050.91519123055</v>
      </c>
      <c r="G84" s="27" t="n">
        <f aca="false">F84*C84</f>
        <v>1914.19698608579</v>
      </c>
      <c r="H84" s="27" t="n">
        <f aca="false">E84*G84/(1+D84)^9</f>
        <v>7467.38870869898</v>
      </c>
      <c r="I84" s="27" t="n">
        <f aca="false">$B$13*G84/$B$12*((1+$B$8)/(1+D84))^4.5</f>
        <v>2906.73056082012</v>
      </c>
      <c r="J84" s="27" t="n">
        <f aca="false">H84+I84+$B$14</f>
        <v>12460.5181476013</v>
      </c>
      <c r="K84" s="45" t="n">
        <f aca="false">J84/$B$15</f>
        <v>19.7786002342878</v>
      </c>
    </row>
    <row r="85" customFormat="false" ht="15" hidden="false" customHeight="true" outlineLevel="0" collapsed="false">
      <c r="A85" s="74" t="n">
        <v>45</v>
      </c>
      <c r="B85" s="22" t="n">
        <f aca="true">NORMINV(RAND(),$B$6,$C$6)</f>
        <v>0.188979392946014</v>
      </c>
      <c r="C85" s="22" t="n">
        <f aca="true">MAX(0.03,NORMINV(RAND(),$B$7,$C$7))</f>
        <v>0.200693690581731</v>
      </c>
      <c r="D85" s="34" t="n">
        <f aca="true">MAX(0.08,NORMINV(RAND(),$B$8,$C$8))</f>
        <v>0.128040691247527</v>
      </c>
      <c r="E85" s="70" t="n">
        <f aca="true">MAX(4,NORMINV(RAND(),$B$9,$C$9))</f>
        <v>14.6217800941932</v>
      </c>
      <c r="F85" s="27" t="n">
        <f aca="false">$B$18*(1+(B85+$B$17)/2)^9</f>
        <v>7652.74835822014</v>
      </c>
      <c r="G85" s="27" t="n">
        <f aca="false">F85*C85</f>
        <v>1535.85831110449</v>
      </c>
      <c r="H85" s="27" t="n">
        <f aca="false">E85*G85/(1+D85)^9</f>
        <v>7593.26411348699</v>
      </c>
      <c r="I85" s="27" t="n">
        <f aca="false">$B$13*G85/$B$12*((1+$B$8)/(1+D85))^4.5</f>
        <v>2414.16574548417</v>
      </c>
      <c r="J85" s="27" t="n">
        <f aca="false">H85+I85+$B$14</f>
        <v>12093.8287370534</v>
      </c>
      <c r="K85" s="45" t="n">
        <f aca="false">J85/$B$15</f>
        <v>19.1965535508783</v>
      </c>
    </row>
    <row r="86" customFormat="false" ht="15" hidden="false" customHeight="true" outlineLevel="0" collapsed="false">
      <c r="A86" s="74" t="n">
        <v>46</v>
      </c>
      <c r="B86" s="22" t="n">
        <f aca="true">NORMINV(RAND(),$B$6,$C$6)</f>
        <v>0.196855239308859</v>
      </c>
      <c r="C86" s="22" t="n">
        <f aca="true">MAX(0.03,NORMINV(RAND(),$B$7,$C$7))</f>
        <v>0.232568968775879</v>
      </c>
      <c r="D86" s="34" t="n">
        <f aca="true">MAX(0.08,NORMINV(RAND(),$B$8,$C$8))</f>
        <v>0.115829267694095</v>
      </c>
      <c r="E86" s="70" t="n">
        <f aca="true">MAX(4,NORMINV(RAND(),$B$9,$C$9))</f>
        <v>15.8155052147851</v>
      </c>
      <c r="F86" s="27" t="n">
        <f aca="false">$B$18*(1+(B86+$B$17)/2)^9</f>
        <v>7898.45953697952</v>
      </c>
      <c r="G86" s="27" t="n">
        <f aca="false">F86*C86</f>
        <v>1836.93658943334</v>
      </c>
      <c r="H86" s="27" t="n">
        <f aca="false">E86*G86/(1+D86)^9</f>
        <v>10834.2161895369</v>
      </c>
      <c r="I86" s="27" t="n">
        <f aca="false">$B$13*G86/$B$12*((1+$B$8)/(1+D86))^4.5</f>
        <v>3032.36639149449</v>
      </c>
      <c r="J86" s="27" t="n">
        <f aca="false">H86+I86+$B$14</f>
        <v>15952.9814591136</v>
      </c>
      <c r="K86" s="45" t="n">
        <f aca="false">J86/$B$15</f>
        <v>25.3221927922438</v>
      </c>
    </row>
    <row r="87" customFormat="false" ht="15" hidden="false" customHeight="true" outlineLevel="0" collapsed="false">
      <c r="A87" s="74" t="n">
        <v>47</v>
      </c>
      <c r="B87" s="22" t="n">
        <f aca="true">NORMINV(RAND(),$B$6,$C$6)</f>
        <v>0.208032750988181</v>
      </c>
      <c r="C87" s="22" t="n">
        <f aca="true">MAX(0.03,NORMINV(RAND(),$B$7,$C$7))</f>
        <v>0.254011745522354</v>
      </c>
      <c r="D87" s="34" t="n">
        <f aca="true">MAX(0.08,NORMINV(RAND(),$B$8,$C$8))</f>
        <v>0.131074408874604</v>
      </c>
      <c r="E87" s="70" t="n">
        <f aca="true">MAX(4,NORMINV(RAND(),$B$9,$C$9))</f>
        <v>15.1855471096438</v>
      </c>
      <c r="F87" s="27" t="n">
        <f aca="false">$B$18*(1+(B87+$B$17)/2)^9</f>
        <v>8259.21355097047</v>
      </c>
      <c r="G87" s="27" t="n">
        <f aca="false">F87*C87</f>
        <v>2097.93725072389</v>
      </c>
      <c r="H87" s="27" t="n">
        <f aca="false">E87*G87/(1+D87)^9</f>
        <v>10514.8322970744</v>
      </c>
      <c r="I87" s="27" t="n">
        <f aca="false">$B$13*G87/$B$12*((1+$B$8)/(1+D87))^4.5</f>
        <v>3258.06375871047</v>
      </c>
      <c r="J87" s="27" t="n">
        <f aca="false">H87+I87+$B$14</f>
        <v>15859.294933867</v>
      </c>
      <c r="K87" s="45" t="n">
        <f aca="false">J87/$B$15</f>
        <v>25.1734840220112</v>
      </c>
    </row>
    <row r="88" customFormat="false" ht="15" hidden="false" customHeight="true" outlineLevel="0" collapsed="false">
      <c r="A88" s="74" t="n">
        <v>48</v>
      </c>
      <c r="B88" s="22" t="n">
        <f aca="true">NORMINV(RAND(),$B$6,$C$6)</f>
        <v>0.123039297779992</v>
      </c>
      <c r="C88" s="22" t="n">
        <f aca="true">MAX(0.03,NORMINV(RAND(),$B$7,$C$7))</f>
        <v>0.229231781741838</v>
      </c>
      <c r="D88" s="34" t="n">
        <f aca="true">MAX(0.08,NORMINV(RAND(),$B$8,$C$8))</f>
        <v>0.124112963196844</v>
      </c>
      <c r="E88" s="70" t="n">
        <f aca="true">MAX(4,NORMINV(RAND(),$B$9,$C$9))</f>
        <v>10.9067117082603</v>
      </c>
      <c r="F88" s="27" t="n">
        <f aca="false">$B$18*(1+(B88+$B$17)/2)^9</f>
        <v>5847.56135539639</v>
      </c>
      <c r="G88" s="27" t="n">
        <f aca="false">F88*C88</f>
        <v>1340.44690834223</v>
      </c>
      <c r="H88" s="27" t="n">
        <f aca="false">E88*G88/(1+D88)^9</f>
        <v>5100.98264906776</v>
      </c>
      <c r="I88" s="27" t="n">
        <f aca="false">$B$13*G88/$B$12*((1+$B$8)/(1+D88))^4.5</f>
        <v>2140.33716786513</v>
      </c>
      <c r="J88" s="27" t="n">
        <f aca="false">H88+I88+$B$14</f>
        <v>9327.71869501508</v>
      </c>
      <c r="K88" s="45" t="n">
        <f aca="false">J88/$B$15</f>
        <v>14.8059026905001</v>
      </c>
    </row>
    <row r="89" customFormat="false" ht="15" hidden="false" customHeight="true" outlineLevel="0" collapsed="false">
      <c r="A89" s="74" t="n">
        <v>49</v>
      </c>
      <c r="B89" s="22" t="n">
        <f aca="true">NORMINV(RAND(),$B$6,$C$6)</f>
        <v>0.190013362386133</v>
      </c>
      <c r="C89" s="22" t="n">
        <f aca="true">MAX(0.03,NORMINV(RAND(),$B$7,$C$7))</f>
        <v>0.220600322370241</v>
      </c>
      <c r="D89" s="34" t="n">
        <f aca="true">MAX(0.08,NORMINV(RAND(),$B$8,$C$8))</f>
        <v>0.13984476447157</v>
      </c>
      <c r="E89" s="70" t="n">
        <f aca="true">MAX(4,NORMINV(RAND(),$B$9,$C$9))</f>
        <v>8.6961651376661</v>
      </c>
      <c r="F89" s="27" t="n">
        <f aca="false">$B$18*(1+(B89+$B$17)/2)^9</f>
        <v>7684.61379735314</v>
      </c>
      <c r="G89" s="27" t="n">
        <f aca="false">F89*C89</f>
        <v>1695.2282809869</v>
      </c>
      <c r="H89" s="27" t="n">
        <f aca="false">E89*G89/(1+D89)^9</f>
        <v>4538.83701872054</v>
      </c>
      <c r="I89" s="27" t="n">
        <f aca="false">$B$13*G89/$B$12*((1+$B$8)/(1+D89))^4.5</f>
        <v>2542.72783837517</v>
      </c>
      <c r="J89" s="27" t="n">
        <f aca="false">H89+I89+$B$14</f>
        <v>9167.96373517791</v>
      </c>
      <c r="K89" s="45" t="n">
        <f aca="false">J89/$B$15</f>
        <v>14.5523233891713</v>
      </c>
    </row>
    <row r="90" customFormat="false" ht="15" hidden="false" customHeight="true" outlineLevel="0" collapsed="false">
      <c r="A90" s="74" t="n">
        <v>50</v>
      </c>
      <c r="B90" s="22" t="n">
        <f aca="true">NORMINV(RAND(),$B$6,$C$6)</f>
        <v>0.201341468939194</v>
      </c>
      <c r="C90" s="22" t="n">
        <f aca="true">MAX(0.03,NORMINV(RAND(),$B$7,$C$7))</f>
        <v>0.193901482213921</v>
      </c>
      <c r="D90" s="34" t="n">
        <f aca="true">MAX(0.08,NORMINV(RAND(),$B$8,$C$8))</f>
        <v>0.11860722983831</v>
      </c>
      <c r="E90" s="70" t="n">
        <f aca="true">MAX(4,NORMINV(RAND(),$B$9,$C$9))</f>
        <v>12.5508954863218</v>
      </c>
      <c r="F90" s="27" t="n">
        <f aca="false">$B$18*(1+(B90+$B$17)/2)^9</f>
        <v>8041.53402073831</v>
      </c>
      <c r="G90" s="27" t="n">
        <f aca="false">F90*C90</f>
        <v>1559.26536589483</v>
      </c>
      <c r="H90" s="27" t="n">
        <f aca="false">E90*G90/(1+D90)^9</f>
        <v>7136.67875297375</v>
      </c>
      <c r="I90" s="27" t="n">
        <f aca="false">$B$13*G90/$B$12*((1+$B$8)/(1+D90))^4.5</f>
        <v>2545.3535361022</v>
      </c>
      <c r="J90" s="27" t="n">
        <f aca="false">H90+I90+$B$14</f>
        <v>11768.4311671581</v>
      </c>
      <c r="K90" s="45" t="n">
        <f aca="false">J90/$B$15</f>
        <v>18.6800494716796</v>
      </c>
    </row>
    <row r="91" customFormat="false" ht="15" hidden="false" customHeight="true" outlineLevel="0" collapsed="false">
      <c r="A91" s="74" t="n">
        <v>51</v>
      </c>
      <c r="B91" s="22" t="n">
        <f aca="true">NORMINV(RAND(),$B$6,$C$6)</f>
        <v>0.173094939562837</v>
      </c>
      <c r="C91" s="22" t="n">
        <f aca="true">MAX(0.03,NORMINV(RAND(),$B$7,$C$7))</f>
        <v>0.213524505277025</v>
      </c>
      <c r="D91" s="34" t="n">
        <f aca="true">MAX(0.08,NORMINV(RAND(),$B$8,$C$8))</f>
        <v>0.138238311620185</v>
      </c>
      <c r="E91" s="70" t="n">
        <f aca="true">MAX(4,NORMINV(RAND(),$B$9,$C$9))</f>
        <v>11.3056654727663</v>
      </c>
      <c r="F91" s="27" t="n">
        <f aca="false">$B$18*(1+(B91+$B$17)/2)^9</f>
        <v>7177.75541702282</v>
      </c>
      <c r="G91" s="27" t="n">
        <f aca="false">F91*C91</f>
        <v>1532.62667441928</v>
      </c>
      <c r="H91" s="27" t="n">
        <f aca="false">E91*G91/(1+D91)^9</f>
        <v>5402.98444210706</v>
      </c>
      <c r="I91" s="27" t="n">
        <f aca="false">$B$13*G91/$B$12*((1+$B$8)/(1+D91))^4.5</f>
        <v>2313.47260607869</v>
      </c>
      <c r="J91" s="27" t="n">
        <f aca="false">H91+I91+$B$14</f>
        <v>9802.85592626794</v>
      </c>
      <c r="K91" s="45" t="n">
        <f aca="false">J91/$B$15</f>
        <v>15.5600887718539</v>
      </c>
    </row>
    <row r="92" customFormat="false" ht="15" hidden="false" customHeight="true" outlineLevel="0" collapsed="false">
      <c r="A92" s="74" t="n">
        <v>52</v>
      </c>
      <c r="B92" s="22" t="n">
        <f aca="true">NORMINV(RAND(),$B$6,$C$6)</f>
        <v>0.158574607338449</v>
      </c>
      <c r="C92" s="22" t="n">
        <f aca="true">MAX(0.03,NORMINV(RAND(),$B$7,$C$7))</f>
        <v>0.246031586770068</v>
      </c>
      <c r="D92" s="34" t="n">
        <f aca="true">MAX(0.08,NORMINV(RAND(),$B$8,$C$8))</f>
        <v>0.132761341224935</v>
      </c>
      <c r="E92" s="70" t="n">
        <f aca="true">MAX(4,NORMINV(RAND(),$B$9,$C$9))</f>
        <v>9.85611887446337</v>
      </c>
      <c r="F92" s="27" t="n">
        <f aca="false">$B$18*(1+(B92+$B$17)/2)^9</f>
        <v>6766.67373084339</v>
      </c>
      <c r="G92" s="27" t="n">
        <f aca="false">F92*C92</f>
        <v>1664.81547515473</v>
      </c>
      <c r="H92" s="27" t="n">
        <f aca="false">E92*G92/(1+D92)^9</f>
        <v>5343.50556118053</v>
      </c>
      <c r="I92" s="27" t="n">
        <f aca="false">$B$13*G92/$B$12*((1+$B$8)/(1+D92))^4.5</f>
        <v>2568.15124483672</v>
      </c>
      <c r="J92" s="27" t="n">
        <f aca="false">H92+I92+$B$14</f>
        <v>9998.05568409944</v>
      </c>
      <c r="K92" s="45" t="n">
        <f aca="false">J92/$B$15</f>
        <v>15.8699296573007</v>
      </c>
    </row>
    <row r="93" customFormat="false" ht="15" hidden="false" customHeight="true" outlineLevel="0" collapsed="false">
      <c r="A93" s="74" t="n">
        <v>53</v>
      </c>
      <c r="B93" s="22" t="n">
        <f aca="true">NORMINV(RAND(),$B$6,$C$6)</f>
        <v>0.208587862384707</v>
      </c>
      <c r="C93" s="22" t="n">
        <f aca="true">MAX(0.03,NORMINV(RAND(),$B$7,$C$7))</f>
        <v>0.192990027117753</v>
      </c>
      <c r="D93" s="34" t="n">
        <f aca="true">MAX(0.08,NORMINV(RAND(),$B$8,$C$8))</f>
        <v>0.134100765946006</v>
      </c>
      <c r="E93" s="70" t="n">
        <f aca="true">MAX(4,NORMINV(RAND(),$B$9,$C$9))</f>
        <v>14.5717355314445</v>
      </c>
      <c r="F93" s="27" t="n">
        <f aca="false">$B$18*(1+(B93+$B$17)/2)^9</f>
        <v>8277.50542542205</v>
      </c>
      <c r="G93" s="27" t="n">
        <f aca="false">F93*C93</f>
        <v>1597.47599651955</v>
      </c>
      <c r="H93" s="27" t="n">
        <f aca="false">E93*G93/(1+D93)^9</f>
        <v>7500.33787436969</v>
      </c>
      <c r="I93" s="27" t="n">
        <f aca="false">$B$13*G93/$B$12*((1+$B$8)/(1+D93))^4.5</f>
        <v>2451.20324368937</v>
      </c>
      <c r="J93" s="27" t="n">
        <f aca="false">H93+I93+$B$14</f>
        <v>12037.9399961412</v>
      </c>
      <c r="K93" s="45" t="n">
        <f aca="false">J93/$B$15</f>
        <v>19.1078412637163</v>
      </c>
    </row>
    <row r="94" customFormat="false" ht="15" hidden="false" customHeight="true" outlineLevel="0" collapsed="false">
      <c r="A94" s="74" t="n">
        <v>54</v>
      </c>
      <c r="B94" s="22" t="n">
        <f aca="true">NORMINV(RAND(),$B$6,$C$6)</f>
        <v>0.235874248076333</v>
      </c>
      <c r="C94" s="22" t="n">
        <f aca="true">MAX(0.03,NORMINV(RAND(),$B$7,$C$7))</f>
        <v>0.233453130196929</v>
      </c>
      <c r="D94" s="34" t="n">
        <f aca="true">MAX(0.08,NORMINV(RAND(),$B$8,$C$8))</f>
        <v>0.137937419062259</v>
      </c>
      <c r="E94" s="70" t="n">
        <f aca="true">MAX(4,NORMINV(RAND(),$B$9,$C$9))</f>
        <v>12.5985623441235</v>
      </c>
      <c r="F94" s="27" t="n">
        <f aca="false">$B$18*(1+(B94+$B$17)/2)^9</f>
        <v>9222.26463350415</v>
      </c>
      <c r="G94" s="27" t="n">
        <f aca="false">F94*C94</f>
        <v>2152.96654619598</v>
      </c>
      <c r="H94" s="27" t="n">
        <f aca="false">E94*G94/(1+D94)^9</f>
        <v>8477.98927940796</v>
      </c>
      <c r="I94" s="27" t="n">
        <f aca="false">$B$13*G94/$B$12*((1+$B$8)/(1+D94))^4.5</f>
        <v>3253.73332896582</v>
      </c>
      <c r="J94" s="27" t="n">
        <f aca="false">H94+I94+$B$14</f>
        <v>13818.121486456</v>
      </c>
      <c r="K94" s="45" t="n">
        <f aca="false">J94/$B$15</f>
        <v>21.9335261689777</v>
      </c>
    </row>
    <row r="95" customFormat="false" ht="15" hidden="false" customHeight="true" outlineLevel="0" collapsed="false">
      <c r="A95" s="74" t="n">
        <v>55</v>
      </c>
      <c r="B95" s="22" t="n">
        <f aca="true">NORMINV(RAND(),$B$6,$C$6)</f>
        <v>0.213894465110927</v>
      </c>
      <c r="C95" s="22" t="n">
        <f aca="true">MAX(0.03,NORMINV(RAND(),$B$7,$C$7))</f>
        <v>0.199621419322071</v>
      </c>
      <c r="D95" s="34" t="n">
        <f aca="true">MAX(0.08,NORMINV(RAND(),$B$8,$C$8))</f>
        <v>0.128026395990793</v>
      </c>
      <c r="E95" s="70" t="n">
        <f aca="true">MAX(4,NORMINV(RAND(),$B$9,$C$9))</f>
        <v>11.1422549495114</v>
      </c>
      <c r="F95" s="27" t="n">
        <f aca="false">$B$18*(1+(B95+$B$17)/2)^9</f>
        <v>8454.1931155255</v>
      </c>
      <c r="G95" s="27" t="n">
        <f aca="false">F95*C95</f>
        <v>1687.63802894408</v>
      </c>
      <c r="H95" s="27" t="n">
        <f aca="false">E95*G95/(1+D95)^9</f>
        <v>6358.85663616288</v>
      </c>
      <c r="I95" s="27" t="n">
        <f aca="false">$B$13*G95/$B$12*((1+$B$8)/(1+D95))^4.5</f>
        <v>2652.89463228449</v>
      </c>
      <c r="J95" s="27" t="n">
        <f aca="false">H95+I95+$B$14</f>
        <v>11098.1501465296</v>
      </c>
      <c r="K95" s="45" t="n">
        <f aca="false">J95/$B$15</f>
        <v>17.6161113436977</v>
      </c>
    </row>
    <row r="96" customFormat="false" ht="15" hidden="false" customHeight="true" outlineLevel="0" collapsed="false">
      <c r="A96" s="74" t="n">
        <v>56</v>
      </c>
      <c r="B96" s="22" t="n">
        <f aca="true">NORMINV(RAND(),$B$6,$C$6)</f>
        <v>0.216413711212463</v>
      </c>
      <c r="C96" s="22" t="n">
        <f aca="true">MAX(0.03,NORMINV(RAND(),$B$7,$C$7))</f>
        <v>0.199654922143986</v>
      </c>
      <c r="D96" s="34" t="n">
        <f aca="true">MAX(0.08,NORMINV(RAND(),$B$8,$C$8))</f>
        <v>0.124160573800267</v>
      </c>
      <c r="E96" s="70" t="n">
        <f aca="true">MAX(4,NORMINV(RAND(),$B$9,$C$9))</f>
        <v>8.66703903137626</v>
      </c>
      <c r="F96" s="27" t="n">
        <f aca="false">$B$18*(1+(B96+$B$17)/2)^9</f>
        <v>8539.24088468729</v>
      </c>
      <c r="G96" s="27" t="n">
        <f aca="false">F96*C96</f>
        <v>1704.90147400099</v>
      </c>
      <c r="H96" s="27" t="n">
        <f aca="false">E96*G96/(1+D96)^9</f>
        <v>5153.64963900068</v>
      </c>
      <c r="I96" s="27" t="n">
        <f aca="false">$B$13*G96/$B$12*((1+$B$8)/(1+D96))^4.5</f>
        <v>2721.75538301177</v>
      </c>
      <c r="J96" s="27" t="n">
        <f aca="false">H96+I96+$B$14</f>
        <v>9961.80390009464</v>
      </c>
      <c r="K96" s="45" t="n">
        <f aca="false">J96/$B$15</f>
        <v>15.8123871430074</v>
      </c>
    </row>
    <row r="97" customFormat="false" ht="15" hidden="false" customHeight="true" outlineLevel="0" collapsed="false">
      <c r="A97" s="74" t="n">
        <v>57</v>
      </c>
      <c r="B97" s="22" t="n">
        <f aca="true">NORMINV(RAND(),$B$6,$C$6)</f>
        <v>0.257940703866847</v>
      </c>
      <c r="C97" s="22" t="n">
        <f aca="true">MAX(0.03,NORMINV(RAND(),$B$7,$C$7))</f>
        <v>0.252084666318586</v>
      </c>
      <c r="D97" s="34" t="n">
        <f aca="true">MAX(0.08,NORMINV(RAND(),$B$8,$C$8))</f>
        <v>0.137274512355374</v>
      </c>
      <c r="E97" s="70" t="n">
        <f aca="true">MAX(4,NORMINV(RAND(),$B$9,$C$9))</f>
        <v>12.2476996861875</v>
      </c>
      <c r="F97" s="27" t="n">
        <f aca="false">$B$18*(1+(B97+$B$17)/2)^9</f>
        <v>10055.1460838182</v>
      </c>
      <c r="G97" s="27" t="n">
        <f aca="false">F97*C97</f>
        <v>2534.74814532395</v>
      </c>
      <c r="H97" s="27" t="n">
        <f aca="false">E97*G97/(1+D97)^9</f>
        <v>9754.42304829551</v>
      </c>
      <c r="I97" s="27" t="n">
        <f aca="false">$B$13*G97/$B$12*((1+$B$8)/(1+D97))^4.5</f>
        <v>3840.77012032195</v>
      </c>
      <c r="J97" s="27" t="n">
        <f aca="false">H97+I97+$B$14</f>
        <v>15681.5920466997</v>
      </c>
      <c r="K97" s="45" t="n">
        <f aca="false">J97/$B$15</f>
        <v>24.8914159471423</v>
      </c>
    </row>
    <row r="98" customFormat="false" ht="15" hidden="false" customHeight="true" outlineLevel="0" collapsed="false">
      <c r="A98" s="74" t="n">
        <v>58</v>
      </c>
      <c r="B98" s="22" t="n">
        <f aca="true">NORMINV(RAND(),$B$6,$C$6)</f>
        <v>0.201624737893872</v>
      </c>
      <c r="C98" s="22" t="n">
        <f aca="true">MAX(0.03,NORMINV(RAND(),$B$7,$C$7))</f>
        <v>0.144401998643589</v>
      </c>
      <c r="D98" s="34" t="n">
        <f aca="true">MAX(0.08,NORMINV(RAND(),$B$8,$C$8))</f>
        <v>0.124323489442472</v>
      </c>
      <c r="E98" s="70" t="n">
        <f aca="true">MAX(4,NORMINV(RAND(),$B$9,$C$9))</f>
        <v>11.5482954285623</v>
      </c>
      <c r="F98" s="27" t="n">
        <f aca="false">$B$18*(1+(B98+$B$17)/2)^9</f>
        <v>8050.64484368367</v>
      </c>
      <c r="G98" s="27" t="n">
        <f aca="false">F98*C98</f>
        <v>1162.52920579763</v>
      </c>
      <c r="H98" s="27" t="n">
        <f aca="false">E98*G98/(1+D98)^9</f>
        <v>4676.27670309304</v>
      </c>
      <c r="I98" s="27" t="n">
        <f aca="false">$B$13*G98/$B$12*((1+$B$8)/(1+D98))^4.5</f>
        <v>1854.68633571711</v>
      </c>
      <c r="J98" s="27" t="n">
        <f aca="false">H98+I98+$B$14</f>
        <v>8617.36191689234</v>
      </c>
      <c r="K98" s="45" t="n">
        <f aca="false">J98/$B$15</f>
        <v>13.6783522490355</v>
      </c>
    </row>
    <row r="99" customFormat="false" ht="15" hidden="false" customHeight="true" outlineLevel="0" collapsed="false">
      <c r="A99" s="74" t="n">
        <v>59</v>
      </c>
      <c r="B99" s="22" t="n">
        <f aca="true">NORMINV(RAND(),$B$6,$C$6)</f>
        <v>0.239699635562783</v>
      </c>
      <c r="C99" s="22" t="n">
        <f aca="true">MAX(0.03,NORMINV(RAND(),$B$7,$C$7))</f>
        <v>0.24703058087474</v>
      </c>
      <c r="D99" s="34" t="n">
        <f aca="true">MAX(0.08,NORMINV(RAND(),$B$8,$C$8))</f>
        <v>0.138331431257946</v>
      </c>
      <c r="E99" s="70" t="n">
        <f aca="true">MAX(4,NORMINV(RAND(),$B$9,$C$9))</f>
        <v>12.7691286063292</v>
      </c>
      <c r="F99" s="27" t="n">
        <f aca="false">$B$18*(1+(B99+$B$17)/2)^9</f>
        <v>9362.09836749366</v>
      </c>
      <c r="G99" s="27" t="n">
        <f aca="false">F99*C99</f>
        <v>2312.72459792841</v>
      </c>
      <c r="H99" s="27" t="n">
        <f aca="false">E99*G99/(1+D99)^9</f>
        <v>9201.66953201133</v>
      </c>
      <c r="I99" s="27" t="n">
        <f aca="false">$B$13*G99/$B$12*((1+$B$8)/(1+D99))^4.5</f>
        <v>3489.73157990321</v>
      </c>
      <c r="J99" s="27" t="n">
        <f aca="false">H99+I99+$B$14</f>
        <v>14777.7999899967</v>
      </c>
      <c r="K99" s="45" t="n">
        <f aca="false">J99/$B$15</f>
        <v>23.4568253809472</v>
      </c>
    </row>
    <row r="100" customFormat="false" ht="15" hidden="false" customHeight="true" outlineLevel="0" collapsed="false">
      <c r="A100" s="74" t="n">
        <v>60</v>
      </c>
      <c r="B100" s="22" t="n">
        <f aca="true">NORMINV(RAND(),$B$6,$C$6)</f>
        <v>0.263638116975067</v>
      </c>
      <c r="C100" s="22" t="n">
        <f aca="true">MAX(0.03,NORMINV(RAND(),$B$7,$C$7))</f>
        <v>0.218143503879789</v>
      </c>
      <c r="D100" s="34" t="n">
        <f aca="true">MAX(0.08,NORMINV(RAND(),$B$8,$C$8))</f>
        <v>0.132522179723747</v>
      </c>
      <c r="E100" s="70" t="n">
        <f aca="true">MAX(4,NORMINV(RAND(),$B$9,$C$9))</f>
        <v>12.1783104577629</v>
      </c>
      <c r="F100" s="27" t="n">
        <f aca="false">$B$18*(1+(B100+$B$17)/2)^9</f>
        <v>10280.7652002142</v>
      </c>
      <c r="G100" s="27" t="n">
        <f aca="false">F100*C100</f>
        <v>2242.68214334012</v>
      </c>
      <c r="H100" s="27" t="n">
        <f aca="false">E100*G100/(1+D100)^9</f>
        <v>8911.16163094603</v>
      </c>
      <c r="I100" s="27" t="n">
        <f aca="false">$B$13*G100/$B$12*((1+$B$8)/(1+D100))^4.5</f>
        <v>3462.85957728412</v>
      </c>
      <c r="J100" s="27" t="n">
        <f aca="false">H100+I100+$B$14</f>
        <v>14460.4200863123</v>
      </c>
      <c r="K100" s="45" t="n">
        <f aca="false">J100/$B$15</f>
        <v>22.9530477560513</v>
      </c>
    </row>
    <row r="101" customFormat="false" ht="15" hidden="false" customHeight="true" outlineLevel="0" collapsed="false">
      <c r="A101" s="74" t="n">
        <v>61</v>
      </c>
      <c r="B101" s="22" t="n">
        <f aca="true">NORMINV(RAND(),$B$6,$C$6)</f>
        <v>0.198018839982484</v>
      </c>
      <c r="C101" s="22" t="n">
        <f aca="true">MAX(0.03,NORMINV(RAND(),$B$7,$C$7))</f>
        <v>0.206364829992458</v>
      </c>
      <c r="D101" s="34" t="n">
        <f aca="true">MAX(0.08,NORMINV(RAND(),$B$8,$C$8))</f>
        <v>0.131609905245883</v>
      </c>
      <c r="E101" s="70" t="n">
        <f aca="true">MAX(4,NORMINV(RAND(),$B$9,$C$9))</f>
        <v>9.76192446677974</v>
      </c>
      <c r="F101" s="27" t="n">
        <f aca="false">$B$18*(1+(B101+$B$17)/2)^9</f>
        <v>7935.34995554766</v>
      </c>
      <c r="G101" s="27" t="n">
        <f aca="false">F101*C101</f>
        <v>1637.57714450725</v>
      </c>
      <c r="H101" s="27" t="n">
        <f aca="false">E101*G101/(1+D101)^9</f>
        <v>5253.71547108145</v>
      </c>
      <c r="I101" s="27" t="n">
        <f aca="false">$B$13*G101/$B$12*((1+$B$8)/(1+D101))^4.5</f>
        <v>2537.72065996972</v>
      </c>
      <c r="J101" s="27" t="n">
        <f aca="false">H101+I101+$B$14</f>
        <v>9877.83500913336</v>
      </c>
      <c r="K101" s="45" t="n">
        <f aca="false">J101/$B$15</f>
        <v>15.6791031891006</v>
      </c>
    </row>
    <row r="102" customFormat="false" ht="15" hidden="false" customHeight="true" outlineLevel="0" collapsed="false">
      <c r="A102" s="74" t="n">
        <v>62</v>
      </c>
      <c r="B102" s="22" t="n">
        <f aca="true">NORMINV(RAND(),$B$6,$C$6)</f>
        <v>0.180164093056748</v>
      </c>
      <c r="C102" s="22" t="n">
        <f aca="true">MAX(0.03,NORMINV(RAND(),$B$7,$C$7))</f>
        <v>0.194346204036992</v>
      </c>
      <c r="D102" s="34" t="n">
        <f aca="true">MAX(0.08,NORMINV(RAND(),$B$8,$C$8))</f>
        <v>0.12336096654495</v>
      </c>
      <c r="E102" s="70" t="n">
        <f aca="true">MAX(4,NORMINV(RAND(),$B$9,$C$9))</f>
        <v>8.59389652992999</v>
      </c>
      <c r="F102" s="27" t="n">
        <f aca="false">$B$18*(1+(B102+$B$17)/2)^9</f>
        <v>7385.80669811614</v>
      </c>
      <c r="G102" s="27" t="n">
        <f aca="false">F102*C102</f>
        <v>1435.40349552986</v>
      </c>
      <c r="H102" s="27" t="n">
        <f aca="false">E102*G102/(1+D102)^9</f>
        <v>4330.02252678809</v>
      </c>
      <c r="I102" s="27" t="n">
        <f aca="false">$B$13*G102/$B$12*((1+$B$8)/(1+D102))^4.5</f>
        <v>2298.86990945252</v>
      </c>
      <c r="J102" s="27" t="n">
        <f aca="false">H102+I102+$B$14</f>
        <v>8715.29131432281</v>
      </c>
      <c r="K102" s="45" t="n">
        <f aca="false">J102/$B$15</f>
        <v>13.8337957370203</v>
      </c>
    </row>
    <row r="103" customFormat="false" ht="15" hidden="false" customHeight="true" outlineLevel="0" collapsed="false">
      <c r="A103" s="74" t="n">
        <v>63</v>
      </c>
      <c r="B103" s="22" t="n">
        <f aca="true">NORMINV(RAND(),$B$6,$C$6)</f>
        <v>0.194314362178956</v>
      </c>
      <c r="C103" s="22" t="n">
        <f aca="true">MAX(0.03,NORMINV(RAND(),$B$7,$C$7))</f>
        <v>0.193687169967566</v>
      </c>
      <c r="D103" s="34" t="n">
        <f aca="true">MAX(0.08,NORMINV(RAND(),$B$8,$C$8))</f>
        <v>0.141640724181675</v>
      </c>
      <c r="E103" s="70" t="n">
        <f aca="true">MAX(4,NORMINV(RAND(),$B$9,$C$9))</f>
        <v>15.0425778826534</v>
      </c>
      <c r="F103" s="27" t="n">
        <f aca="false">$B$18*(1+(B103+$B$17)/2)^9</f>
        <v>7818.43379366648</v>
      </c>
      <c r="G103" s="27" t="n">
        <f aca="false">F103*C103</f>
        <v>1514.33031507404</v>
      </c>
      <c r="H103" s="27" t="n">
        <f aca="false">E103*G103/(1+D103)^9</f>
        <v>6914.77118974687</v>
      </c>
      <c r="I103" s="27" t="n">
        <f aca="false">$B$13*G103/$B$12*((1+$B$8)/(1+D103))^4.5</f>
        <v>2255.35784699057</v>
      </c>
      <c r="J103" s="27" t="n">
        <f aca="false">H103+I103+$B$14</f>
        <v>11256.5279148196</v>
      </c>
      <c r="K103" s="45" t="n">
        <f aca="false">J103/$B$15</f>
        <v>17.8675046266978</v>
      </c>
    </row>
    <row r="104" customFormat="false" ht="15" hidden="false" customHeight="true" outlineLevel="0" collapsed="false">
      <c r="A104" s="74" t="n">
        <v>64</v>
      </c>
      <c r="B104" s="22" t="n">
        <f aca="true">NORMINV(RAND(),$B$6,$C$6)</f>
        <v>0.221031287342563</v>
      </c>
      <c r="C104" s="22" t="n">
        <f aca="true">MAX(0.03,NORMINV(RAND(),$B$7,$C$7))</f>
        <v>0.293839663612394</v>
      </c>
      <c r="D104" s="34" t="n">
        <f aca="true">MAX(0.08,NORMINV(RAND(),$B$8,$C$8))</f>
        <v>0.129696608165992</v>
      </c>
      <c r="E104" s="70" t="n">
        <f aca="true">MAX(4,NORMINV(RAND(),$B$9,$C$9))</f>
        <v>14.1593576739746</v>
      </c>
      <c r="F104" s="27" t="n">
        <f aca="false">$B$18*(1+(B104+$B$17)/2)^9</f>
        <v>8697.10316095527</v>
      </c>
      <c r="G104" s="27" t="n">
        <f aca="false">F104*C104</f>
        <v>2555.55386721738</v>
      </c>
      <c r="H104" s="27" t="n">
        <f aca="false">E104*G104/(1+D104)^9</f>
        <v>12074.5837661562</v>
      </c>
      <c r="I104" s="27" t="n">
        <f aca="false">$B$13*G104/$B$12*((1+$B$8)/(1+D104))^4.5</f>
        <v>3990.56331967627</v>
      </c>
      <c r="J104" s="27" t="n">
        <f aca="false">H104+I104+$B$14</f>
        <v>18151.5459639147</v>
      </c>
      <c r="K104" s="45" t="n">
        <f aca="false">J104/$B$15</f>
        <v>28.8119777204995</v>
      </c>
    </row>
    <row r="105" customFormat="false" ht="15" hidden="false" customHeight="true" outlineLevel="0" collapsed="false">
      <c r="A105" s="74" t="n">
        <v>65</v>
      </c>
      <c r="B105" s="22" t="n">
        <f aca="true">NORMINV(RAND(),$B$6,$C$6)</f>
        <v>0.225005599793048</v>
      </c>
      <c r="C105" s="22" t="n">
        <f aca="true">MAX(0.03,NORMINV(RAND(),$B$7,$C$7))</f>
        <v>0.269513207002295</v>
      </c>
      <c r="D105" s="34" t="n">
        <f aca="true">MAX(0.08,NORMINV(RAND(),$B$8,$C$8))</f>
        <v>0.144164651435127</v>
      </c>
      <c r="E105" s="70" t="n">
        <f aca="true">MAX(4,NORMINV(RAND(),$B$9,$C$9))</f>
        <v>14.2215506168651</v>
      </c>
      <c r="F105" s="27" t="n">
        <f aca="false">$B$18*(1+(B105+$B$17)/2)^9</f>
        <v>8835.04558603243</v>
      </c>
      <c r="G105" s="27" t="n">
        <f aca="false">F105*C105</f>
        <v>2381.16146990307</v>
      </c>
      <c r="H105" s="27" t="n">
        <f aca="false">E105*G105/(1+D105)^9</f>
        <v>10077.181055072</v>
      </c>
      <c r="I105" s="27" t="n">
        <f aca="false">$B$13*G105/$B$12*((1+$B$8)/(1+D105))^4.5</f>
        <v>3511.29935465066</v>
      </c>
      <c r="J105" s="27" t="n">
        <f aca="false">H105+I105+$B$14</f>
        <v>15674.8792878049</v>
      </c>
      <c r="K105" s="45" t="n">
        <f aca="false">J105/$B$15</f>
        <v>24.8807607742935</v>
      </c>
    </row>
    <row r="106" customFormat="false" ht="15" hidden="false" customHeight="true" outlineLevel="0" collapsed="false">
      <c r="A106" s="74" t="n">
        <v>66</v>
      </c>
      <c r="B106" s="22" t="n">
        <f aca="true">NORMINV(RAND(),$B$6,$C$6)</f>
        <v>0.171717111059881</v>
      </c>
      <c r="C106" s="22" t="n">
        <f aca="true">MAX(0.03,NORMINV(RAND(),$B$7,$C$7))</f>
        <v>0.211374082038268</v>
      </c>
      <c r="D106" s="34" t="n">
        <f aca="true">MAX(0.08,NORMINV(RAND(),$B$8,$C$8))</f>
        <v>0.145478166190001</v>
      </c>
      <c r="E106" s="70" t="n">
        <f aca="true">MAX(4,NORMINV(RAND(),$B$9,$C$9))</f>
        <v>14.095180941035</v>
      </c>
      <c r="F106" s="27" t="n">
        <f aca="false">$B$18*(1+(B106+$B$17)/2)^9</f>
        <v>7137.81690548702</v>
      </c>
      <c r="G106" s="27" t="n">
        <f aca="false">F106*C106</f>
        <v>1508.74949615455</v>
      </c>
      <c r="H106" s="27" t="n">
        <f aca="false">E106*G106/(1+D106)^9</f>
        <v>6263.34671462036</v>
      </c>
      <c r="I106" s="27" t="n">
        <f aca="false">$B$13*G106/$B$12*((1+$B$8)/(1+D106))^4.5</f>
        <v>2213.36911878822</v>
      </c>
      <c r="J106" s="27" t="n">
        <f aca="false">H106+I106+$B$14</f>
        <v>10563.1147114908</v>
      </c>
      <c r="K106" s="45" t="n">
        <f aca="false">J106/$B$15</f>
        <v>16.7668487483981</v>
      </c>
    </row>
    <row r="107" customFormat="false" ht="15" hidden="false" customHeight="true" outlineLevel="0" collapsed="false">
      <c r="A107" s="74" t="n">
        <v>67</v>
      </c>
      <c r="B107" s="22" t="n">
        <f aca="true">NORMINV(RAND(),$B$6,$C$6)</f>
        <v>0.232497047269333</v>
      </c>
      <c r="C107" s="22" t="n">
        <f aca="true">MAX(0.03,NORMINV(RAND(),$B$7,$C$7))</f>
        <v>0.142145418224074</v>
      </c>
      <c r="D107" s="34" t="n">
        <f aca="true">MAX(0.08,NORMINV(RAND(),$B$8,$C$8))</f>
        <v>0.124154495418208</v>
      </c>
      <c r="E107" s="70" t="n">
        <f aca="true">MAX(4,NORMINV(RAND(),$B$9,$C$9))</f>
        <v>12.5923647631472</v>
      </c>
      <c r="F107" s="27" t="n">
        <f aca="false">$B$18*(1+(B107+$B$17)/2)^9</f>
        <v>9100.36023922292</v>
      </c>
      <c r="G107" s="27" t="n">
        <f aca="false">F107*C107</f>
        <v>1293.57451219407</v>
      </c>
      <c r="H107" s="27" t="n">
        <f aca="false">E107*G107/(1+D107)^9</f>
        <v>5681.52250798997</v>
      </c>
      <c r="I107" s="27" t="n">
        <f aca="false">$B$13*G107/$B$12*((1+$B$8)/(1+D107))^4.5</f>
        <v>2065.15104461295</v>
      </c>
      <c r="J107" s="27" t="n">
        <f aca="false">H107+I107+$B$14</f>
        <v>9833.0724306851</v>
      </c>
      <c r="K107" s="45" t="n">
        <f aca="false">J107/$B$15</f>
        <v>15.6080514772779</v>
      </c>
    </row>
    <row r="108" customFormat="false" ht="15" hidden="false" customHeight="true" outlineLevel="0" collapsed="false">
      <c r="A108" s="74" t="n">
        <v>68</v>
      </c>
      <c r="B108" s="22" t="n">
        <f aca="true">NORMINV(RAND(),$B$6,$C$6)</f>
        <v>0.244984997397717</v>
      </c>
      <c r="C108" s="22" t="n">
        <f aca="true">MAX(0.03,NORMINV(RAND(),$B$7,$C$7))</f>
        <v>0.167222316821216</v>
      </c>
      <c r="D108" s="34" t="n">
        <f aca="true">MAX(0.08,NORMINV(RAND(),$B$8,$C$8))</f>
        <v>0.140829375826449</v>
      </c>
      <c r="E108" s="70" t="n">
        <f aca="true">MAX(4,NORMINV(RAND(),$B$9,$C$9))</f>
        <v>11.8373391248192</v>
      </c>
      <c r="F108" s="27" t="n">
        <f aca="false">$B$18*(1+(B108+$B$17)/2)^9</f>
        <v>9558.40047302147</v>
      </c>
      <c r="G108" s="27" t="n">
        <f aca="false">F108*C108</f>
        <v>1598.37787220366</v>
      </c>
      <c r="H108" s="27" t="n">
        <f aca="false">E108*G108/(1+D108)^9</f>
        <v>5780.2588667456</v>
      </c>
      <c r="I108" s="27" t="n">
        <f aca="false">$B$13*G108/$B$12*((1+$B$8)/(1+D108))^4.5</f>
        <v>2388.16157864278</v>
      </c>
      <c r="J108" s="27" t="n">
        <f aca="false">H108+I108+$B$14</f>
        <v>10254.8193234706</v>
      </c>
      <c r="K108" s="45" t="n">
        <f aca="false">J108/$B$15</f>
        <v>16.2774909896358</v>
      </c>
    </row>
    <row r="109" customFormat="false" ht="15" hidden="false" customHeight="true" outlineLevel="0" collapsed="false">
      <c r="A109" s="74" t="n">
        <v>69</v>
      </c>
      <c r="B109" s="22" t="n">
        <f aca="true">NORMINV(RAND(),$B$6,$C$6)</f>
        <v>0.11816396196701</v>
      </c>
      <c r="C109" s="22" t="n">
        <f aca="true">MAX(0.03,NORMINV(RAND(),$B$7,$C$7))</f>
        <v>0.219939473161036</v>
      </c>
      <c r="D109" s="34" t="n">
        <f aca="true">MAX(0.08,NORMINV(RAND(),$B$8,$C$8))</f>
        <v>0.13454402084242</v>
      </c>
      <c r="E109" s="70" t="n">
        <f aca="true">MAX(4,NORMINV(RAND(),$B$9,$C$9))</f>
        <v>10.2265171120186</v>
      </c>
      <c r="F109" s="27" t="n">
        <f aca="false">$B$18*(1+(B109+$B$17)/2)^9</f>
        <v>5730.54145612491</v>
      </c>
      <c r="G109" s="27" t="n">
        <f aca="false">F109*C109</f>
        <v>1260.37226878759</v>
      </c>
      <c r="H109" s="27" t="n">
        <f aca="false">E109*G109/(1+D109)^9</f>
        <v>4138.4186833458</v>
      </c>
      <c r="I109" s="27" t="n">
        <f aca="false">$B$13*G109/$B$12*((1+$B$8)/(1+D109))^4.5</f>
        <v>1930.54591997386</v>
      </c>
      <c r="J109" s="27" t="n">
        <f aca="false">H109+I109+$B$14</f>
        <v>8155.36348140185</v>
      </c>
      <c r="K109" s="45" t="n">
        <f aca="false">J109/$B$15</f>
        <v>12.9450213990505</v>
      </c>
    </row>
    <row r="110" customFormat="false" ht="15" hidden="false" customHeight="true" outlineLevel="0" collapsed="false">
      <c r="A110" s="74" t="n">
        <v>70</v>
      </c>
      <c r="B110" s="22" t="n">
        <f aca="true">NORMINV(RAND(),$B$6,$C$6)</f>
        <v>0.225095294520308</v>
      </c>
      <c r="C110" s="22" t="n">
        <f aca="true">MAX(0.03,NORMINV(RAND(),$B$7,$C$7))</f>
        <v>0.284397065887591</v>
      </c>
      <c r="D110" s="34" t="n">
        <f aca="true">MAX(0.08,NORMINV(RAND(),$B$8,$C$8))</f>
        <v>0.146084045498837</v>
      </c>
      <c r="E110" s="70" t="n">
        <f aca="true">MAX(4,NORMINV(RAND(),$B$9,$C$9))</f>
        <v>12.1733392089913</v>
      </c>
      <c r="F110" s="27" t="n">
        <f aca="false">$B$18*(1+(B110+$B$17)/2)^9</f>
        <v>8838.18106750506</v>
      </c>
      <c r="G110" s="27" t="n">
        <f aca="false">F110*C110</f>
        <v>2513.55276338169</v>
      </c>
      <c r="H110" s="27" t="n">
        <f aca="false">E110*G110/(1+D110)^9</f>
        <v>8969.11368189429</v>
      </c>
      <c r="I110" s="27" t="n">
        <f aca="false">$B$13*G110/$B$12*((1+$B$8)/(1+D110))^4.5</f>
        <v>3678.67383923834</v>
      </c>
      <c r="J110" s="27" t="n">
        <f aca="false">H110+I110+$B$14</f>
        <v>14734.1863992148</v>
      </c>
      <c r="K110" s="45" t="n">
        <f aca="false">J110/$B$15</f>
        <v>23.3875974590711</v>
      </c>
    </row>
    <row r="111" customFormat="false" ht="15" hidden="false" customHeight="true" outlineLevel="0" collapsed="false">
      <c r="A111" s="74" t="n">
        <v>71</v>
      </c>
      <c r="B111" s="22" t="n">
        <f aca="true">NORMINV(RAND(),$B$6,$C$6)</f>
        <v>0.168236888315435</v>
      </c>
      <c r="C111" s="22" t="n">
        <f aca="true">MAX(0.03,NORMINV(RAND(),$B$7,$C$7))</f>
        <v>0.236412775483987</v>
      </c>
      <c r="D111" s="34" t="n">
        <f aca="true">MAX(0.08,NORMINV(RAND(),$B$8,$C$8))</f>
        <v>0.13198601984581</v>
      </c>
      <c r="E111" s="70" t="n">
        <f aca="true">MAX(4,NORMINV(RAND(),$B$9,$C$9))</f>
        <v>13.3051597585646</v>
      </c>
      <c r="F111" s="27" t="n">
        <f aca="false">$B$18*(1+(B111+$B$17)/2)^9</f>
        <v>7037.81543067062</v>
      </c>
      <c r="G111" s="27" t="n">
        <f aca="false">F111*C111</f>
        <v>1663.82947930887</v>
      </c>
      <c r="H111" s="27" t="n">
        <f aca="false">E111*G111/(1+D111)^9</f>
        <v>7253.6958024113</v>
      </c>
      <c r="I111" s="27" t="n">
        <f aca="false">$B$13*G111/$B$12*((1+$B$8)/(1+D111))^4.5</f>
        <v>2574.55046006422</v>
      </c>
      <c r="J111" s="27" t="n">
        <f aca="false">H111+I111+$B$14</f>
        <v>11914.6451405577</v>
      </c>
      <c r="K111" s="45" t="n">
        <f aca="false">J111/$B$15</f>
        <v>18.9121351437424</v>
      </c>
    </row>
    <row r="112" customFormat="false" ht="15" hidden="false" customHeight="true" outlineLevel="0" collapsed="false">
      <c r="A112" s="74" t="n">
        <v>72</v>
      </c>
      <c r="B112" s="22" t="n">
        <f aca="true">NORMINV(RAND(),$B$6,$C$6)</f>
        <v>0.255839722407823</v>
      </c>
      <c r="C112" s="22" t="n">
        <f aca="true">MAX(0.03,NORMINV(RAND(),$B$7,$C$7))</f>
        <v>0.2062381595654</v>
      </c>
      <c r="D112" s="34" t="n">
        <f aca="true">MAX(0.08,NORMINV(RAND(),$B$8,$C$8))</f>
        <v>0.120749278636996</v>
      </c>
      <c r="E112" s="70" t="n">
        <f aca="true">MAX(4,NORMINV(RAND(),$B$9,$C$9))</f>
        <v>12.799642806687</v>
      </c>
      <c r="F112" s="27" t="n">
        <f aca="false">$B$18*(1+(B112+$B$17)/2)^9</f>
        <v>9973.06415615229</v>
      </c>
      <c r="G112" s="27" t="n">
        <f aca="false">F112*C112</f>
        <v>2056.82639679251</v>
      </c>
      <c r="H112" s="27" t="n">
        <f aca="false">E112*G112/(1+D112)^9</f>
        <v>9436.68102420998</v>
      </c>
      <c r="I112" s="27" t="n">
        <f aca="false">$B$13*G112/$B$12*((1+$B$8)/(1+D112))^4.5</f>
        <v>3328.79392031786</v>
      </c>
      <c r="J112" s="27" t="n">
        <f aca="false">H112+I112+$B$14</f>
        <v>14851.87382261</v>
      </c>
      <c r="K112" s="45" t="n">
        <f aca="false">J112/$B$15</f>
        <v>23.5744028930318</v>
      </c>
    </row>
    <row r="113" customFormat="false" ht="15" hidden="false" customHeight="true" outlineLevel="0" collapsed="false">
      <c r="A113" s="74" t="n">
        <v>73</v>
      </c>
      <c r="B113" s="22" t="n">
        <f aca="true">NORMINV(RAND(),$B$6,$C$6)</f>
        <v>0.181013364281037</v>
      </c>
      <c r="C113" s="22" t="n">
        <f aca="true">MAX(0.03,NORMINV(RAND(),$B$7,$C$7))</f>
        <v>0.194213581814751</v>
      </c>
      <c r="D113" s="34" t="n">
        <f aca="true">MAX(0.08,NORMINV(RAND(),$B$8,$C$8))</f>
        <v>0.134671561367104</v>
      </c>
      <c r="E113" s="70" t="n">
        <f aca="true">MAX(4,NORMINV(RAND(),$B$9,$C$9))</f>
        <v>9.88698170180045</v>
      </c>
      <c r="F113" s="27" t="n">
        <f aca="false">$B$18*(1+(B113+$B$17)/2)^9</f>
        <v>7411.15866489779</v>
      </c>
      <c r="G113" s="27" t="n">
        <f aca="false">F113*C113</f>
        <v>1439.34766970723</v>
      </c>
      <c r="H113" s="27" t="n">
        <f aca="false">E113*G113/(1+D113)^9</f>
        <v>4564.54936373865</v>
      </c>
      <c r="I113" s="27" t="n">
        <f aca="false">$B$13*G113/$B$12*((1+$B$8)/(1+D113))^4.5</f>
        <v>2203.57238768228</v>
      </c>
      <c r="J113" s="27" t="n">
        <f aca="false">H113+I113+$B$14</f>
        <v>8854.52062950313</v>
      </c>
      <c r="K113" s="45" t="n">
        <f aca="false">J113/$B$15</f>
        <v>14.054794650005</v>
      </c>
    </row>
    <row r="114" customFormat="false" ht="15" hidden="false" customHeight="true" outlineLevel="0" collapsed="false">
      <c r="A114" s="74" t="n">
        <v>74</v>
      </c>
      <c r="B114" s="22" t="n">
        <f aca="true">NORMINV(RAND(),$B$6,$C$6)</f>
        <v>0.137272463389731</v>
      </c>
      <c r="C114" s="22" t="n">
        <f aca="true">MAX(0.03,NORMINV(RAND(),$B$7,$C$7))</f>
        <v>0.179532807957119</v>
      </c>
      <c r="D114" s="34" t="n">
        <f aca="true">MAX(0.08,NORMINV(RAND(),$B$8,$C$8))</f>
        <v>0.142214892213321</v>
      </c>
      <c r="E114" s="70" t="n">
        <f aca="true">MAX(4,NORMINV(RAND(),$B$9,$C$9))</f>
        <v>9.23967877396473</v>
      </c>
      <c r="F114" s="27" t="n">
        <f aca="false">$B$18*(1+(B114+$B$17)/2)^9</f>
        <v>6201.43982402821</v>
      </c>
      <c r="G114" s="27" t="n">
        <f aca="false">F114*C114</f>
        <v>1113.36190498488</v>
      </c>
      <c r="H114" s="27" t="n">
        <f aca="false">E114*G114/(1+D114)^9</f>
        <v>3108.5858536836</v>
      </c>
      <c r="I114" s="27" t="n">
        <f aca="false">$B$13*G114/$B$12*((1+$B$8)/(1+D114))^4.5</f>
        <v>1654.43059857356</v>
      </c>
      <c r="J114" s="27" t="n">
        <f aca="false">H114+I114+$B$14</f>
        <v>6849.41533033935</v>
      </c>
      <c r="K114" s="45" t="n">
        <f aca="false">J114/$B$15</f>
        <v>10.8720878259355</v>
      </c>
    </row>
    <row r="115" customFormat="false" ht="15" hidden="false" customHeight="true" outlineLevel="0" collapsed="false">
      <c r="A115" s="74" t="n">
        <v>75</v>
      </c>
      <c r="B115" s="22" t="n">
        <f aca="true">NORMINV(RAND(),$B$6,$C$6)</f>
        <v>0.217991744919634</v>
      </c>
      <c r="C115" s="22" t="n">
        <f aca="true">MAX(0.03,NORMINV(RAND(),$B$7,$C$7))</f>
        <v>0.243525369920237</v>
      </c>
      <c r="D115" s="34" t="n">
        <f aca="true">MAX(0.08,NORMINV(RAND(),$B$8,$C$8))</f>
        <v>0.133771536711099</v>
      </c>
      <c r="E115" s="70" t="n">
        <f aca="true">MAX(4,NORMINV(RAND(),$B$9,$C$9))</f>
        <v>8.74222150628042</v>
      </c>
      <c r="F115" s="27" t="n">
        <f aca="false">$B$18*(1+(B115+$B$17)/2)^9</f>
        <v>8592.90063958451</v>
      </c>
      <c r="G115" s="27" t="n">
        <f aca="false">F115*C115</f>
        <v>2092.58930694266</v>
      </c>
      <c r="H115" s="27" t="n">
        <f aca="false">E115*G115/(1+D115)^9</f>
        <v>5909.84185355978</v>
      </c>
      <c r="I115" s="27" t="n">
        <f aca="false">$B$13*G115/$B$12*((1+$B$8)/(1+D115))^4.5</f>
        <v>3215.11421644748</v>
      </c>
      <c r="J115" s="27" t="n">
        <f aca="false">H115+I115+$B$14</f>
        <v>11211.3549480895</v>
      </c>
      <c r="K115" s="45" t="n">
        <f aca="false">J115/$B$15</f>
        <v>17.7958015049039</v>
      </c>
    </row>
    <row r="116" customFormat="false" ht="15" hidden="false" customHeight="true" outlineLevel="0" collapsed="false">
      <c r="A116" s="74" t="n">
        <v>76</v>
      </c>
      <c r="B116" s="22" t="n">
        <f aca="true">NORMINV(RAND(),$B$6,$C$6)</f>
        <v>0.163217347299444</v>
      </c>
      <c r="C116" s="22" t="n">
        <f aca="true">MAX(0.03,NORMINV(RAND(),$B$7,$C$7))</f>
        <v>0.257391651576224</v>
      </c>
      <c r="D116" s="34" t="n">
        <f aca="true">MAX(0.08,NORMINV(RAND(),$B$8,$C$8))</f>
        <v>0.121317538148858</v>
      </c>
      <c r="E116" s="70" t="n">
        <f aca="true">MAX(4,NORMINV(RAND(),$B$9,$C$9))</f>
        <v>10.9061042362246</v>
      </c>
      <c r="F116" s="27" t="n">
        <f aca="false">$B$18*(1+(B116+$B$17)/2)^9</f>
        <v>6895.77614945362</v>
      </c>
      <c r="G116" s="27" t="n">
        <f aca="false">F116*C116</f>
        <v>1774.9152120078</v>
      </c>
      <c r="H116" s="27" t="n">
        <f aca="false">E116*G116/(1+D116)^9</f>
        <v>6907.00423072546</v>
      </c>
      <c r="I116" s="27" t="n">
        <f aca="false">$B$13*G116/$B$12*((1+$B$8)/(1+D116))^4.5</f>
        <v>2866.00024397556</v>
      </c>
      <c r="J116" s="27" t="n">
        <f aca="false">H116+I116+$B$14</f>
        <v>11859.4033527832</v>
      </c>
      <c r="K116" s="45" t="n">
        <f aca="false">J116/$B$15</f>
        <v>18.8244497663226</v>
      </c>
    </row>
    <row r="117" customFormat="false" ht="15" hidden="false" customHeight="true" outlineLevel="0" collapsed="false">
      <c r="A117" s="74" t="n">
        <v>77</v>
      </c>
      <c r="B117" s="22" t="n">
        <f aca="true">NORMINV(RAND(),$B$6,$C$6)</f>
        <v>0.220060658469789</v>
      </c>
      <c r="C117" s="22" t="n">
        <f aca="true">MAX(0.03,NORMINV(RAND(),$B$7,$C$7))</f>
        <v>0.162251379761433</v>
      </c>
      <c r="D117" s="34" t="n">
        <f aca="true">MAX(0.08,NORMINV(RAND(),$B$8,$C$8))</f>
        <v>0.136523576342669</v>
      </c>
      <c r="E117" s="70" t="n">
        <f aca="true">MAX(4,NORMINV(RAND(),$B$9,$C$9))</f>
        <v>13.166013204788</v>
      </c>
      <c r="F117" s="27" t="n">
        <f aca="false">$B$18*(1+(B117+$B$17)/2)^9</f>
        <v>8663.70636039933</v>
      </c>
      <c r="G117" s="27" t="n">
        <f aca="false">F117*C117</f>
        <v>1405.6983108227</v>
      </c>
      <c r="H117" s="27" t="n">
        <f aca="false">E117*G117/(1+D117)^9</f>
        <v>5849.79121343692</v>
      </c>
      <c r="I117" s="27" t="n">
        <f aca="false">$B$13*G117/$B$12*((1+$B$8)/(1+D117))^4.5</f>
        <v>2136.32085213296</v>
      </c>
      <c r="J117" s="27" t="n">
        <f aca="false">H117+I117+$B$14</f>
        <v>10072.5109436521</v>
      </c>
      <c r="K117" s="45" t="n">
        <f aca="false">J117/$B$15</f>
        <v>15.9881126089715</v>
      </c>
    </row>
    <row r="118" customFormat="false" ht="15" hidden="false" customHeight="true" outlineLevel="0" collapsed="false">
      <c r="A118" s="74" t="n">
        <v>78</v>
      </c>
      <c r="B118" s="22" t="n">
        <f aca="true">NORMINV(RAND(),$B$6,$C$6)</f>
        <v>0.252404353603702</v>
      </c>
      <c r="C118" s="22" t="n">
        <f aca="true">MAX(0.03,NORMINV(RAND(),$B$7,$C$7))</f>
        <v>0.173121212463163</v>
      </c>
      <c r="D118" s="34" t="n">
        <f aca="true">MAX(0.08,NORMINV(RAND(),$B$8,$C$8))</f>
        <v>0.115263414698168</v>
      </c>
      <c r="E118" s="70" t="n">
        <f aca="true">MAX(4,NORMINV(RAND(),$B$9,$C$9))</f>
        <v>13.6768959205255</v>
      </c>
      <c r="F118" s="27" t="n">
        <f aca="false">$B$18*(1+(B118+$B$17)/2)^9</f>
        <v>9840.13246896281</v>
      </c>
      <c r="G118" s="27" t="n">
        <f aca="false">F118*C118</f>
        <v>1703.53566382498</v>
      </c>
      <c r="H118" s="27" t="n">
        <f aca="false">E118*G118/(1+D118)^9</f>
        <v>8728.54128066925</v>
      </c>
      <c r="I118" s="27" t="n">
        <f aca="false">$B$13*G118/$B$12*((1+$B$8)/(1+D118))^4.5</f>
        <v>2818.57799778473</v>
      </c>
      <c r="J118" s="27" t="n">
        <f aca="false">H118+I118+$B$14</f>
        <v>13633.5181565362</v>
      </c>
      <c r="K118" s="45" t="n">
        <f aca="false">J118/$B$15</f>
        <v>21.6405050103749</v>
      </c>
    </row>
    <row r="119" customFormat="false" ht="15" hidden="false" customHeight="true" outlineLevel="0" collapsed="false">
      <c r="A119" s="74" t="n">
        <v>79</v>
      </c>
      <c r="B119" s="22" t="n">
        <f aca="true">NORMINV(RAND(),$B$6,$C$6)</f>
        <v>0.221668261609498</v>
      </c>
      <c r="C119" s="22" t="n">
        <f aca="true">MAX(0.03,NORMINV(RAND(),$B$7,$C$7))</f>
        <v>0.23797900514893</v>
      </c>
      <c r="D119" s="34" t="n">
        <f aca="true">MAX(0.08,NORMINV(RAND(),$B$8,$C$8))</f>
        <v>0.136820260625613</v>
      </c>
      <c r="E119" s="70" t="n">
        <f aca="true">MAX(4,NORMINV(RAND(),$B$9,$C$9))</f>
        <v>11.1809892288387</v>
      </c>
      <c r="F119" s="27" t="n">
        <f aca="false">$B$18*(1+(B119+$B$17)/2)^9</f>
        <v>8719.08192096438</v>
      </c>
      <c r="G119" s="27" t="n">
        <f aca="false">F119*C119</f>
        <v>2074.95844136312</v>
      </c>
      <c r="H119" s="27" t="n">
        <f aca="false">E119*G119/(1+D119)^9</f>
        <v>7315.82631419883</v>
      </c>
      <c r="I119" s="27" t="n">
        <f aca="false">$B$13*G119/$B$12*((1+$B$8)/(1+D119))^4.5</f>
        <v>3149.73240330138</v>
      </c>
      <c r="J119" s="27" t="n">
        <f aca="false">H119+I119+$B$14</f>
        <v>12551.9575955824</v>
      </c>
      <c r="K119" s="45" t="n">
        <f aca="false">J119/$B$15</f>
        <v>19.9237422152102</v>
      </c>
    </row>
    <row r="120" customFormat="false" ht="15" hidden="false" customHeight="true" outlineLevel="0" collapsed="false">
      <c r="A120" s="74" t="n">
        <v>80</v>
      </c>
      <c r="B120" s="22" t="n">
        <f aca="true">NORMINV(RAND(),$B$6,$C$6)</f>
        <v>0.243994243720509</v>
      </c>
      <c r="C120" s="22" t="n">
        <f aca="true">MAX(0.03,NORMINV(RAND(),$B$7,$C$7))</f>
        <v>0.261121295904433</v>
      </c>
      <c r="D120" s="34" t="n">
        <f aca="true">MAX(0.08,NORMINV(RAND(),$B$8,$C$8))</f>
        <v>0.1175708326178</v>
      </c>
      <c r="E120" s="70" t="n">
        <f aca="true">MAX(4,NORMINV(RAND(),$B$9,$C$9))</f>
        <v>10.9006453971148</v>
      </c>
      <c r="F120" s="27" t="n">
        <f aca="false">$B$18*(1+(B120+$B$17)/2)^9</f>
        <v>9521.32696045471</v>
      </c>
      <c r="G120" s="27" t="n">
        <f aca="false">F120*C120</f>
        <v>2486.22123464375</v>
      </c>
      <c r="H120" s="27" t="n">
        <f aca="false">E120*G120/(1+D120)^9</f>
        <v>9965.89840913401</v>
      </c>
      <c r="I120" s="27" t="n">
        <f aca="false">$B$13*G120/$B$12*((1+$B$8)/(1+D120))^4.5</f>
        <v>4075.48581475064</v>
      </c>
      <c r="J120" s="27" t="n">
        <f aca="false">H120+I120+$B$14</f>
        <v>16127.7831019668</v>
      </c>
      <c r="K120" s="45" t="n">
        <f aca="false">J120/$B$15</f>
        <v>25.5996557174077</v>
      </c>
    </row>
    <row r="121" customFormat="false" ht="15" hidden="false" customHeight="true" outlineLevel="0" collapsed="false">
      <c r="A121" s="74" t="n">
        <v>81</v>
      </c>
      <c r="B121" s="22" t="n">
        <f aca="true">NORMINV(RAND(),$B$6,$C$6)</f>
        <v>0.245757290054324</v>
      </c>
      <c r="C121" s="22" t="n">
        <f aca="true">MAX(0.03,NORMINV(RAND(),$B$7,$C$7))</f>
        <v>0.254775760735322</v>
      </c>
      <c r="D121" s="34" t="n">
        <f aca="true">MAX(0.08,NORMINV(RAND(),$B$8,$C$8))</f>
        <v>0.151161595621651</v>
      </c>
      <c r="E121" s="70" t="n">
        <f aca="true">MAX(4,NORMINV(RAND(),$B$9,$C$9))</f>
        <v>10.5870275287003</v>
      </c>
      <c r="F121" s="27" t="n">
        <f aca="false">$B$18*(1+(B121+$B$17)/2)^9</f>
        <v>9587.38821821342</v>
      </c>
      <c r="G121" s="27" t="n">
        <f aca="false">F121*C121</f>
        <v>2442.63412676019</v>
      </c>
      <c r="H121" s="27" t="n">
        <f aca="false">E121*G121/(1+D121)^9</f>
        <v>7284.60202760787</v>
      </c>
      <c r="I121" s="27" t="n">
        <f aca="false">$B$13*G121/$B$12*((1+$B$8)/(1+D121))^4.5</f>
        <v>3504.47109755591</v>
      </c>
      <c r="J121" s="27" t="n">
        <f aca="false">H121+I121+$B$14</f>
        <v>12875.472003246</v>
      </c>
      <c r="K121" s="45" t="n">
        <f aca="false">J121/$B$15</f>
        <v>20.4372571480095</v>
      </c>
    </row>
    <row r="122" customFormat="false" ht="15" hidden="false" customHeight="true" outlineLevel="0" collapsed="false">
      <c r="A122" s="74" t="n">
        <v>82</v>
      </c>
      <c r="B122" s="22" t="n">
        <f aca="true">NORMINV(RAND(),$B$6,$C$6)</f>
        <v>0.178696078638794</v>
      </c>
      <c r="C122" s="22" t="n">
        <f aca="true">MAX(0.03,NORMINV(RAND(),$B$7,$C$7))</f>
        <v>0.204393983517723</v>
      </c>
      <c r="D122" s="34" t="n">
        <f aca="true">MAX(0.08,NORMINV(RAND(),$B$8,$C$8))</f>
        <v>0.130426382338084</v>
      </c>
      <c r="E122" s="70" t="n">
        <f aca="true">MAX(4,NORMINV(RAND(),$B$9,$C$9))</f>
        <v>8.8846039636719</v>
      </c>
      <c r="F122" s="27" t="n">
        <f aca="false">$B$18*(1+(B122+$B$17)/2)^9</f>
        <v>7342.16609989731</v>
      </c>
      <c r="G122" s="27" t="n">
        <f aca="false">F122*C122</f>
        <v>1500.6945768068</v>
      </c>
      <c r="H122" s="27" t="n">
        <f aca="false">E122*G122/(1+D122)^9</f>
        <v>4423.33492565377</v>
      </c>
      <c r="I122" s="27" t="n">
        <f aca="false">$B$13*G122/$B$12*((1+$B$8)/(1+D122))^4.5</f>
        <v>2336.57330315572</v>
      </c>
      <c r="J122" s="27" t="n">
        <f aca="false">H122+I122+$B$14</f>
        <v>8846.30710689168</v>
      </c>
      <c r="K122" s="45" t="n">
        <f aca="false">J122/$B$15</f>
        <v>14.0417573125265</v>
      </c>
    </row>
    <row r="123" customFormat="false" ht="15" hidden="false" customHeight="true" outlineLevel="0" collapsed="false">
      <c r="A123" s="74" t="n">
        <v>83</v>
      </c>
      <c r="B123" s="22" t="n">
        <f aca="true">NORMINV(RAND(),$B$6,$C$6)</f>
        <v>0.218677304073615</v>
      </c>
      <c r="C123" s="22" t="n">
        <f aca="true">MAX(0.03,NORMINV(RAND(),$B$7,$C$7))</f>
        <v>0.2051765877086</v>
      </c>
      <c r="D123" s="34" t="n">
        <f aca="true">MAX(0.08,NORMINV(RAND(),$B$8,$C$8))</f>
        <v>0.136159708689324</v>
      </c>
      <c r="E123" s="70" t="n">
        <f aca="true">MAX(4,NORMINV(RAND(),$B$9,$C$9))</f>
        <v>10.2833937193201</v>
      </c>
      <c r="F123" s="27" t="n">
        <f aca="false">$B$18*(1+(B123+$B$17)/2)^9</f>
        <v>8616.30576238017</v>
      </c>
      <c r="G123" s="27" t="n">
        <f aca="false">F123*C123</f>
        <v>1767.86421497911</v>
      </c>
      <c r="H123" s="27" t="n">
        <f aca="false">E123*G123/(1+D123)^9</f>
        <v>5762.7650458035</v>
      </c>
      <c r="I123" s="27" t="n">
        <f aca="false">$B$13*G123/$B$12*((1+$B$8)/(1+D123))^4.5</f>
        <v>2690.59948964891</v>
      </c>
      <c r="J123" s="27" t="n">
        <f aca="false">H123+I123+$B$14</f>
        <v>10539.7634135346</v>
      </c>
      <c r="K123" s="45" t="n">
        <f aca="false">J123/$B$15</f>
        <v>16.7297831960867</v>
      </c>
    </row>
    <row r="124" customFormat="false" ht="15" hidden="false" customHeight="true" outlineLevel="0" collapsed="false">
      <c r="A124" s="74" t="n">
        <v>84</v>
      </c>
      <c r="B124" s="22" t="n">
        <f aca="true">NORMINV(RAND(),$B$6,$C$6)</f>
        <v>0.169917482914075</v>
      </c>
      <c r="C124" s="22" t="n">
        <f aca="true">MAX(0.03,NORMINV(RAND(),$B$7,$C$7))</f>
        <v>0.165466957663427</v>
      </c>
      <c r="D124" s="34" t="n">
        <f aca="true">MAX(0.08,NORMINV(RAND(),$B$8,$C$8))</f>
        <v>0.13046792225795</v>
      </c>
      <c r="E124" s="70" t="n">
        <f aca="true">MAX(4,NORMINV(RAND(),$B$9,$C$9))</f>
        <v>13.8675628667693</v>
      </c>
      <c r="F124" s="27" t="n">
        <f aca="false">$B$18*(1+(B124+$B$17)/2)^9</f>
        <v>7085.94942322964</v>
      </c>
      <c r="G124" s="27" t="n">
        <f aca="false">F124*C124</f>
        <v>1172.49049321872</v>
      </c>
      <c r="H124" s="27" t="n">
        <f aca="false">E124*G124/(1+D124)^9</f>
        <v>5392.43951086132</v>
      </c>
      <c r="I124" s="27" t="n">
        <f aca="false">$B$13*G124/$B$12*((1+$B$8)/(1+D124))^4.5</f>
        <v>1825.25947998251</v>
      </c>
      <c r="J124" s="27" t="n">
        <f aca="false">H124+I124+$B$14</f>
        <v>9304.09786892602</v>
      </c>
      <c r="K124" s="45" t="n">
        <f aca="false">J124/$B$15</f>
        <v>14.7684093157556</v>
      </c>
    </row>
    <row r="125" customFormat="false" ht="15" hidden="false" customHeight="true" outlineLevel="0" collapsed="false">
      <c r="A125" s="74" t="n">
        <v>85</v>
      </c>
      <c r="B125" s="22" t="n">
        <f aca="true">NORMINV(RAND(),$B$6,$C$6)</f>
        <v>0.165546849204056</v>
      </c>
      <c r="C125" s="22" t="n">
        <f aca="true">MAX(0.03,NORMINV(RAND(),$B$7,$C$7))</f>
        <v>0.193542527082495</v>
      </c>
      <c r="D125" s="34" t="n">
        <f aca="true">MAX(0.08,NORMINV(RAND(),$B$8,$C$8))</f>
        <v>0.12022338215128</v>
      </c>
      <c r="E125" s="70" t="n">
        <f aca="true">MAX(4,NORMINV(RAND(),$B$9,$C$9))</f>
        <v>13.3679285993787</v>
      </c>
      <c r="F125" s="27" t="n">
        <f aca="false">$B$18*(1+(B125+$B$17)/2)^9</f>
        <v>6961.37462700514</v>
      </c>
      <c r="G125" s="27" t="n">
        <f aca="false">F125*C125</f>
        <v>1347.32203727854</v>
      </c>
      <c r="H125" s="27" t="n">
        <f aca="false">E125*G125/(1+D125)^9</f>
        <v>6483.26584911802</v>
      </c>
      <c r="I125" s="27" t="n">
        <f aca="false">$B$13*G125/$B$12*((1+$B$8)/(1+D125))^4.5</f>
        <v>2185.13333080538</v>
      </c>
      <c r="J125" s="27" t="n">
        <f aca="false">H125+I125+$B$14</f>
        <v>10754.7980580056</v>
      </c>
      <c r="K125" s="45" t="n">
        <f aca="false">J125/$B$15</f>
        <v>17.0711080285803</v>
      </c>
    </row>
    <row r="126" customFormat="false" ht="15" hidden="false" customHeight="true" outlineLevel="0" collapsed="false">
      <c r="A126" s="74" t="n">
        <v>86</v>
      </c>
      <c r="B126" s="22" t="n">
        <f aca="true">NORMINV(RAND(),$B$6,$C$6)</f>
        <v>0.22932352684799</v>
      </c>
      <c r="C126" s="22" t="n">
        <f aca="true">MAX(0.03,NORMINV(RAND(),$B$7,$C$7))</f>
        <v>0.16789044763027</v>
      </c>
      <c r="D126" s="34" t="n">
        <f aca="true">MAX(0.08,NORMINV(RAND(),$B$8,$C$8))</f>
        <v>0.145511643897224</v>
      </c>
      <c r="E126" s="70" t="n">
        <f aca="true">MAX(4,NORMINV(RAND(),$B$9,$C$9))</f>
        <v>11.541224667305</v>
      </c>
      <c r="F126" s="27" t="n">
        <f aca="false">$B$18*(1+(B126+$B$17)/2)^9</f>
        <v>8987.11551865423</v>
      </c>
      <c r="G126" s="27" t="n">
        <f aca="false">F126*C126</f>
        <v>1508.85084733181</v>
      </c>
      <c r="H126" s="27" t="n">
        <f aca="false">E126*G126/(1+D126)^9</f>
        <v>5127.46416473282</v>
      </c>
      <c r="I126" s="27" t="n">
        <f aca="false">$B$13*G126/$B$12*((1+$B$8)/(1+D126))^4.5</f>
        <v>2213.2267117253</v>
      </c>
      <c r="J126" s="27" t="n">
        <f aca="false">H126+I126+$B$14</f>
        <v>9427.08975454031</v>
      </c>
      <c r="K126" s="45" t="n">
        <f aca="false">J126/$B$15</f>
        <v>14.9636345310164</v>
      </c>
    </row>
    <row r="127" customFormat="false" ht="15" hidden="false" customHeight="true" outlineLevel="0" collapsed="false">
      <c r="A127" s="74" t="n">
        <v>87</v>
      </c>
      <c r="B127" s="22" t="n">
        <f aca="true">NORMINV(RAND(),$B$6,$C$6)</f>
        <v>0.227453741141478</v>
      </c>
      <c r="C127" s="22" t="n">
        <f aca="true">MAX(0.03,NORMINV(RAND(),$B$7,$C$7))</f>
        <v>0.230590886706839</v>
      </c>
      <c r="D127" s="34" t="n">
        <f aca="true">MAX(0.08,NORMINV(RAND(),$B$8,$C$8))</f>
        <v>0.127625750977751</v>
      </c>
      <c r="E127" s="70" t="n">
        <f aca="true">MAX(4,NORMINV(RAND(),$B$9,$C$9))</f>
        <v>14.5868329739182</v>
      </c>
      <c r="F127" s="27" t="n">
        <f aca="false">$B$18*(1+(B127+$B$17)/2)^9</f>
        <v>8920.98163367605</v>
      </c>
      <c r="G127" s="27" t="n">
        <f aca="false">F127*C127</f>
        <v>2057.09706520479</v>
      </c>
      <c r="H127" s="27" t="n">
        <f aca="false">E127*G127/(1+D127)^9</f>
        <v>10179.6050654056</v>
      </c>
      <c r="I127" s="27" t="n">
        <f aca="false">$B$13*G127/$B$12*((1+$B$8)/(1+D127))^4.5</f>
        <v>3238.84175950232</v>
      </c>
      <c r="J127" s="27" t="n">
        <f aca="false">H127+I127+$B$14</f>
        <v>15504.8457029901</v>
      </c>
      <c r="K127" s="45" t="n">
        <f aca="false">J127/$B$15</f>
        <v>24.6108661952225</v>
      </c>
    </row>
    <row r="128" customFormat="false" ht="15" hidden="false" customHeight="true" outlineLevel="0" collapsed="false">
      <c r="A128" s="74" t="n">
        <v>88</v>
      </c>
      <c r="B128" s="22" t="n">
        <f aca="true">NORMINV(RAND(),$B$6,$C$6)</f>
        <v>0.183008730277959</v>
      </c>
      <c r="C128" s="22" t="n">
        <f aca="true">MAX(0.03,NORMINV(RAND(),$B$7,$C$7))</f>
        <v>0.222534372451616</v>
      </c>
      <c r="D128" s="34" t="n">
        <f aca="true">MAX(0.08,NORMINV(RAND(),$B$8,$C$8))</f>
        <v>0.117940047330008</v>
      </c>
      <c r="E128" s="70" t="n">
        <f aca="true">MAX(4,NORMINV(RAND(),$B$9,$C$9))</f>
        <v>13.5599638772978</v>
      </c>
      <c r="F128" s="27" t="n">
        <f aca="false">$B$18*(1+(B128+$B$17)/2)^9</f>
        <v>7471.02782556724</v>
      </c>
      <c r="G128" s="27" t="n">
        <f aca="false">F128*C128</f>
        <v>1662.56048873117</v>
      </c>
      <c r="H128" s="27" t="n">
        <f aca="false">E128*G128/(1+D128)^9</f>
        <v>8265.50442094792</v>
      </c>
      <c r="I128" s="27" t="n">
        <f aca="false">$B$13*G128/$B$12*((1+$B$8)/(1+D128))^4.5</f>
        <v>2721.26929158221</v>
      </c>
      <c r="J128" s="27" t="n">
        <f aca="false">H128+I128+$B$14</f>
        <v>13073.1725906123</v>
      </c>
      <c r="K128" s="45" t="n">
        <f aca="false">J128/$B$15</f>
        <v>20.7510676041465</v>
      </c>
    </row>
    <row r="129" customFormat="false" ht="15" hidden="false" customHeight="true" outlineLevel="0" collapsed="false">
      <c r="A129" s="74" t="n">
        <v>89</v>
      </c>
      <c r="B129" s="22" t="n">
        <f aca="true">NORMINV(RAND(),$B$6,$C$6)</f>
        <v>0.150039198422556</v>
      </c>
      <c r="C129" s="22" t="n">
        <f aca="true">MAX(0.03,NORMINV(RAND(),$B$7,$C$7))</f>
        <v>0.278723559541932</v>
      </c>
      <c r="D129" s="34" t="n">
        <f aca="true">MAX(0.08,NORMINV(RAND(),$B$8,$C$8))</f>
        <v>0.126755719253953</v>
      </c>
      <c r="E129" s="70" t="n">
        <f aca="true">MAX(4,NORMINV(RAND(),$B$9,$C$9))</f>
        <v>11.4503887619511</v>
      </c>
      <c r="F129" s="27" t="n">
        <f aca="false">$B$18*(1+(B129+$B$17)/2)^9</f>
        <v>6534.92087991522</v>
      </c>
      <c r="G129" s="27" t="n">
        <f aca="false">F129*C129</f>
        <v>1821.43640897486</v>
      </c>
      <c r="H129" s="27" t="n">
        <f aca="false">E129*G129/(1+D129)^9</f>
        <v>7124.69545289797</v>
      </c>
      <c r="I129" s="27" t="n">
        <f aca="false">$B$13*G129/$B$12*((1+$B$8)/(1+D129))^4.5</f>
        <v>2877.77888400529</v>
      </c>
      <c r="J129" s="27" t="n">
        <f aca="false">H129+I129+$B$14</f>
        <v>12088.8732149854</v>
      </c>
      <c r="K129" s="45" t="n">
        <f aca="false">J129/$B$15</f>
        <v>19.188687642834</v>
      </c>
    </row>
    <row r="130" customFormat="false" ht="15" hidden="false" customHeight="true" outlineLevel="0" collapsed="false">
      <c r="A130" s="74" t="n">
        <v>90</v>
      </c>
      <c r="B130" s="22" t="n">
        <f aca="true">NORMINV(RAND(),$B$6,$C$6)</f>
        <v>0.198817432125004</v>
      </c>
      <c r="C130" s="22" t="n">
        <f aca="true">MAX(0.03,NORMINV(RAND(),$B$7,$C$7))</f>
        <v>0.26095954492522</v>
      </c>
      <c r="D130" s="34" t="n">
        <f aca="true">MAX(0.08,NORMINV(RAND(),$B$8,$C$8))</f>
        <v>0.158908388722715</v>
      </c>
      <c r="E130" s="70" t="n">
        <f aca="true">MAX(4,NORMINV(RAND(),$B$9,$C$9))</f>
        <v>8.00826394103422</v>
      </c>
      <c r="F130" s="27" t="n">
        <f aca="false">$B$18*(1+(B130+$B$17)/2)^9</f>
        <v>7960.75680841606</v>
      </c>
      <c r="G130" s="27" t="n">
        <f aca="false">F130*C130</f>
        <v>2077.4354739846</v>
      </c>
      <c r="H130" s="27" t="n">
        <f aca="false">E130*G130/(1+D130)^9</f>
        <v>4411.88276093732</v>
      </c>
      <c r="I130" s="27" t="n">
        <f aca="false">$B$13*G130/$B$12*((1+$B$8)/(1+D130))^4.5</f>
        <v>2891.90446873901</v>
      </c>
      <c r="J130" s="27" t="n">
        <f aca="false">H130+I130+$B$14</f>
        <v>9390.18610775853</v>
      </c>
      <c r="K130" s="45" t="n">
        <f aca="false">J130/$B$15</f>
        <v>14.9050573139024</v>
      </c>
    </row>
    <row r="131" customFormat="false" ht="15" hidden="false" customHeight="true" outlineLevel="0" collapsed="false">
      <c r="A131" s="74" t="n">
        <v>91</v>
      </c>
      <c r="B131" s="22" t="n">
        <f aca="true">NORMINV(RAND(),$B$6,$C$6)</f>
        <v>0.12730672146176</v>
      </c>
      <c r="C131" s="22" t="n">
        <f aca="true">MAX(0.03,NORMINV(RAND(),$B$7,$C$7))</f>
        <v>0.218434999095406</v>
      </c>
      <c r="D131" s="34" t="n">
        <f aca="true">MAX(0.08,NORMINV(RAND(),$B$8,$C$8))</f>
        <v>0.13308035783182</v>
      </c>
      <c r="E131" s="70" t="n">
        <f aca="true">MAX(4,NORMINV(RAND(),$B$9,$C$9))</f>
        <v>13.2194020254975</v>
      </c>
      <c r="F131" s="27" t="n">
        <f aca="false">$B$18*(1+(B131+$B$17)/2)^9</f>
        <v>5951.72812193149</v>
      </c>
      <c r="G131" s="27" t="n">
        <f aca="false">F131*C131</f>
        <v>1300.06572693021</v>
      </c>
      <c r="H131" s="27" t="n">
        <f aca="false">E131*G131/(1+D131)^9</f>
        <v>5582.52556359596</v>
      </c>
      <c r="I131" s="27" t="n">
        <f aca="false">$B$13*G131/$B$12*((1+$B$8)/(1+D131))^4.5</f>
        <v>2002.9471403316</v>
      </c>
      <c r="J131" s="27" t="n">
        <f aca="false">H131+I131+$B$14</f>
        <v>9671.87158200975</v>
      </c>
      <c r="K131" s="45" t="n">
        <f aca="false">J131/$B$15</f>
        <v>15.3521771143012</v>
      </c>
    </row>
    <row r="132" customFormat="false" ht="15" hidden="false" customHeight="true" outlineLevel="0" collapsed="false">
      <c r="A132" s="74" t="n">
        <v>92</v>
      </c>
      <c r="B132" s="22" t="n">
        <f aca="true">NORMINV(RAND(),$B$6,$C$6)</f>
        <v>0.247829108655179</v>
      </c>
      <c r="C132" s="22" t="n">
        <f aca="true">MAX(0.03,NORMINV(RAND(),$B$7,$C$7))</f>
        <v>0.230950124184333</v>
      </c>
      <c r="D132" s="34" t="n">
        <f aca="true">MAX(0.08,NORMINV(RAND(),$B$8,$C$8))</f>
        <v>0.135552422681239</v>
      </c>
      <c r="E132" s="70" t="n">
        <f aca="true">MAX(4,NORMINV(RAND(),$B$9,$C$9))</f>
        <v>11.3506570257219</v>
      </c>
      <c r="F132" s="27" t="n">
        <f aca="false">$B$18*(1+(B132+$B$17)/2)^9</f>
        <v>9665.53962053589</v>
      </c>
      <c r="G132" s="27" t="n">
        <f aca="false">F132*C132</f>
        <v>2232.25757567136</v>
      </c>
      <c r="H132" s="27" t="n">
        <f aca="false">E132*G132/(1+D132)^9</f>
        <v>8070.50317976617</v>
      </c>
      <c r="I132" s="27" t="n">
        <f aca="false">$B$13*G132/$B$12*((1+$B$8)/(1+D132))^4.5</f>
        <v>3405.56627964545</v>
      </c>
      <c r="J132" s="27" t="n">
        <f aca="false">H132+I132+$B$14</f>
        <v>13562.4683374938</v>
      </c>
      <c r="K132" s="45" t="n">
        <f aca="false">J132/$B$15</f>
        <v>21.5277275198314</v>
      </c>
    </row>
    <row r="133" customFormat="false" ht="15" hidden="false" customHeight="true" outlineLevel="0" collapsed="false">
      <c r="A133" s="74" t="n">
        <v>93</v>
      </c>
      <c r="B133" s="22" t="n">
        <f aca="true">NORMINV(RAND(),$B$6,$C$6)</f>
        <v>0.186101107532743</v>
      </c>
      <c r="C133" s="22" t="n">
        <f aca="true">MAX(0.03,NORMINV(RAND(),$B$7,$C$7))</f>
        <v>0.226271528271677</v>
      </c>
      <c r="D133" s="34" t="n">
        <f aca="true">MAX(0.08,NORMINV(RAND(),$B$8,$C$8))</f>
        <v>0.147938232732979</v>
      </c>
      <c r="E133" s="70" t="n">
        <f aca="true">MAX(4,NORMINV(RAND(),$B$9,$C$9))</f>
        <v>11.1465120877855</v>
      </c>
      <c r="F133" s="27" t="n">
        <f aca="false">$B$18*(1+(B133+$B$17)/2)^9</f>
        <v>7564.66143128881</v>
      </c>
      <c r="G133" s="27" t="n">
        <f aca="false">F133*C133</f>
        <v>1711.66750291553</v>
      </c>
      <c r="H133" s="27" t="n">
        <f aca="false">E133*G133/(1+D133)^9</f>
        <v>5511.77793368835</v>
      </c>
      <c r="I133" s="27" t="n">
        <f aca="false">$B$13*G133/$B$12*((1+$B$8)/(1+D133))^4.5</f>
        <v>2486.9293126167</v>
      </c>
      <c r="J133" s="27" t="n">
        <f aca="false">H133+I133+$B$14</f>
        <v>10085.1061243872</v>
      </c>
      <c r="K133" s="45" t="n">
        <f aca="false">J133/$B$15</f>
        <v>16.0081049593448</v>
      </c>
    </row>
    <row r="134" customFormat="false" ht="15" hidden="false" customHeight="true" outlineLevel="0" collapsed="false">
      <c r="A134" s="74" t="n">
        <v>94</v>
      </c>
      <c r="B134" s="22" t="n">
        <f aca="true">NORMINV(RAND(),$B$6,$C$6)</f>
        <v>0.197036066297601</v>
      </c>
      <c r="C134" s="22" t="n">
        <f aca="true">MAX(0.03,NORMINV(RAND(),$B$7,$C$7))</f>
        <v>0.23772010468338</v>
      </c>
      <c r="D134" s="34" t="n">
        <f aca="true">MAX(0.08,NORMINV(RAND(),$B$8,$C$8))</f>
        <v>0.12295205150075</v>
      </c>
      <c r="E134" s="70" t="n">
        <f aca="true">MAX(4,NORMINV(RAND(),$B$9,$C$9))</f>
        <v>13.6302969043044</v>
      </c>
      <c r="F134" s="27" t="n">
        <f aca="false">$B$18*(1+(B134+$B$17)/2)^9</f>
        <v>7904.18239374911</v>
      </c>
      <c r="G134" s="27" t="n">
        <f aca="false">F134*C134</f>
        <v>1878.98306607857</v>
      </c>
      <c r="H134" s="27" t="n">
        <f aca="false">E134*G134/(1+D134)^9</f>
        <v>9019.39207497832</v>
      </c>
      <c r="I134" s="27" t="n">
        <f aca="false">$B$13*G134/$B$12*((1+$B$8)/(1+D134))^4.5</f>
        <v>3014.21888492634</v>
      </c>
      <c r="J134" s="27" t="n">
        <f aca="false">H134+I134+$B$14</f>
        <v>14120.0098379869</v>
      </c>
      <c r="K134" s="45" t="n">
        <f aca="false">J134/$B$15</f>
        <v>22.4127140285506</v>
      </c>
    </row>
    <row r="135" customFormat="false" ht="15" hidden="false" customHeight="true" outlineLevel="0" collapsed="false">
      <c r="A135" s="74" t="n">
        <v>95</v>
      </c>
      <c r="B135" s="22" t="n">
        <f aca="true">NORMINV(RAND(),$B$6,$C$6)</f>
        <v>0.154979723751013</v>
      </c>
      <c r="C135" s="22" t="n">
        <f aca="true">MAX(0.03,NORMINV(RAND(),$B$7,$C$7))</f>
        <v>0.232701874748166</v>
      </c>
      <c r="D135" s="34" t="n">
        <f aca="true">MAX(0.08,NORMINV(RAND(),$B$8,$C$8))</f>
        <v>0.129093887443228</v>
      </c>
      <c r="E135" s="70" t="n">
        <f aca="true">MAX(4,NORMINV(RAND(),$B$9,$C$9))</f>
        <v>10.136315455655</v>
      </c>
      <c r="F135" s="27" t="n">
        <f aca="false">$B$18*(1+(B135+$B$17)/2)^9</f>
        <v>6668.19001044519</v>
      </c>
      <c r="G135" s="27" t="n">
        <f aca="false">F135*C135</f>
        <v>1551.70031660759</v>
      </c>
      <c r="H135" s="27" t="n">
        <f aca="false">E135*G135/(1+D135)^9</f>
        <v>5273.72476361579</v>
      </c>
      <c r="I135" s="27" t="n">
        <f aca="false">$B$13*G135/$B$12*((1+$B$8)/(1+D135))^4.5</f>
        <v>2428.84596877434</v>
      </c>
      <c r="J135" s="27" t="n">
        <f aca="false">H135+I135+$B$14</f>
        <v>9788.96961047232</v>
      </c>
      <c r="K135" s="45" t="n">
        <f aca="false">J135/$B$15</f>
        <v>15.5380470007497</v>
      </c>
    </row>
    <row r="136" customFormat="false" ht="15" hidden="false" customHeight="true" outlineLevel="0" collapsed="false">
      <c r="A136" s="74" t="n">
        <v>96</v>
      </c>
      <c r="B136" s="22" t="n">
        <f aca="true">NORMINV(RAND(),$B$6,$C$6)</f>
        <v>0.209291589256658</v>
      </c>
      <c r="C136" s="22" t="n">
        <f aca="true">MAX(0.03,NORMINV(RAND(),$B$7,$C$7))</f>
        <v>0.244816649852916</v>
      </c>
      <c r="D136" s="34" t="n">
        <f aca="true">MAX(0.08,NORMINV(RAND(),$B$8,$C$8))</f>
        <v>0.118769368848661</v>
      </c>
      <c r="E136" s="70" t="n">
        <f aca="true">MAX(4,NORMINV(RAND(),$B$9,$C$9))</f>
        <v>10.3306121874991</v>
      </c>
      <c r="F136" s="27" t="n">
        <f aca="false">$B$18*(1+(B136+$B$17)/2)^9</f>
        <v>8300.74619215085</v>
      </c>
      <c r="G136" s="27" t="n">
        <f aca="false">F136*C136</f>
        <v>2032.16087404172</v>
      </c>
      <c r="H136" s="27" t="n">
        <f aca="false">E136*G136/(1+D136)^9</f>
        <v>7645.73144278059</v>
      </c>
      <c r="I136" s="27" t="n">
        <f aca="false">$B$13*G136/$B$12*((1+$B$8)/(1+D136))^4.5</f>
        <v>3315.14792293439</v>
      </c>
      <c r="J136" s="27" t="n">
        <f aca="false">H136+I136+$B$14</f>
        <v>13047.2782437972</v>
      </c>
      <c r="K136" s="45" t="n">
        <f aca="false">J136/$B$15</f>
        <v>20.7099654663447</v>
      </c>
    </row>
    <row r="137" customFormat="false" ht="15" hidden="false" customHeight="true" outlineLevel="0" collapsed="false">
      <c r="A137" s="74" t="n">
        <v>97</v>
      </c>
      <c r="B137" s="22" t="n">
        <f aca="true">NORMINV(RAND(),$B$6,$C$6)</f>
        <v>0.203737259059806</v>
      </c>
      <c r="C137" s="22" t="n">
        <f aca="true">MAX(0.03,NORMINV(RAND(),$B$7,$C$7))</f>
        <v>0.229960659760043</v>
      </c>
      <c r="D137" s="34" t="n">
        <f aca="true">MAX(0.08,NORMINV(RAND(),$B$8,$C$8))</f>
        <v>0.135775544567173</v>
      </c>
      <c r="E137" s="70" t="n">
        <f aca="true">MAX(4,NORMINV(RAND(),$B$9,$C$9))</f>
        <v>11.8062974823718</v>
      </c>
      <c r="F137" s="27" t="n">
        <f aca="false">$B$18*(1+(B137+$B$17)/2)^9</f>
        <v>8118.88006436471</v>
      </c>
      <c r="G137" s="27" t="n">
        <f aca="false">F137*C137</f>
        <v>1867.02301611397</v>
      </c>
      <c r="H137" s="27" t="n">
        <f aca="false">E137*G137/(1+D137)^9</f>
        <v>7008.59193363044</v>
      </c>
      <c r="I137" s="27" t="n">
        <f aca="false">$B$13*G137/$B$12*((1+$B$8)/(1+D137))^4.5</f>
        <v>2845.84171146754</v>
      </c>
      <c r="J137" s="27" t="n">
        <f aca="false">H137+I137+$B$14</f>
        <v>11940.8325231802</v>
      </c>
      <c r="K137" s="45" t="n">
        <f aca="false">J137/$B$15</f>
        <v>18.9537024177463</v>
      </c>
    </row>
    <row r="138" customFormat="false" ht="15" hidden="false" customHeight="true" outlineLevel="0" collapsed="false">
      <c r="A138" s="74" t="n">
        <v>98</v>
      </c>
      <c r="B138" s="22" t="n">
        <f aca="true">NORMINV(RAND(),$B$6,$C$6)</f>
        <v>0.171665941588611</v>
      </c>
      <c r="C138" s="22" t="n">
        <f aca="true">MAX(0.03,NORMINV(RAND(),$B$7,$C$7))</f>
        <v>0.270118758597579</v>
      </c>
      <c r="D138" s="34" t="n">
        <f aca="true">MAX(0.08,NORMINV(RAND(),$B$8,$C$8))</f>
        <v>0.137885312744235</v>
      </c>
      <c r="E138" s="70" t="n">
        <f aca="true">MAX(4,NORMINV(RAND(),$B$9,$C$9))</f>
        <v>10.8767100416019</v>
      </c>
      <c r="F138" s="27" t="n">
        <f aca="false">$B$18*(1+(B138+$B$17)/2)^9</f>
        <v>7136.33749029857</v>
      </c>
      <c r="G138" s="27" t="n">
        <f aca="false">F138*C138</f>
        <v>1927.65862381281</v>
      </c>
      <c r="H138" s="27" t="n">
        <f aca="false">E138*G138/(1+D138)^9</f>
        <v>6556.0348022309</v>
      </c>
      <c r="I138" s="27" t="n">
        <f aca="false">$B$13*G138/$B$12*((1+$B$8)/(1+D138))^4.5</f>
        <v>2913.83053953105</v>
      </c>
      <c r="J138" s="27" t="n">
        <f aca="false">H138+I138+$B$14</f>
        <v>11556.2642198441</v>
      </c>
      <c r="K138" s="45" t="n">
        <f aca="false">J138/$B$15</f>
        <v>18.3432765394352</v>
      </c>
    </row>
    <row r="139" customFormat="false" ht="15" hidden="false" customHeight="true" outlineLevel="0" collapsed="false">
      <c r="A139" s="74" t="n">
        <v>99</v>
      </c>
      <c r="B139" s="22" t="n">
        <f aca="true">NORMINV(RAND(),$B$6,$C$6)</f>
        <v>0.232112605418229</v>
      </c>
      <c r="C139" s="22" t="n">
        <f aca="true">MAX(0.03,NORMINV(RAND(),$B$7,$C$7))</f>
        <v>0.181128225107656</v>
      </c>
      <c r="D139" s="34" t="n">
        <f aca="true">MAX(0.08,NORMINV(RAND(),$B$8,$C$8))</f>
        <v>0.135398225320246</v>
      </c>
      <c r="E139" s="70" t="n">
        <f aca="true">MAX(4,NORMINV(RAND(),$B$9,$C$9))</f>
        <v>9.98157525435952</v>
      </c>
      <c r="F139" s="27" t="n">
        <f aca="false">$B$18*(1+(B139+$B$17)/2)^9</f>
        <v>9086.57453513867</v>
      </c>
      <c r="G139" s="27" t="n">
        <f aca="false">F139*C139</f>
        <v>1645.83511785809</v>
      </c>
      <c r="H139" s="27" t="n">
        <f aca="false">E139*G139/(1+D139)^9</f>
        <v>5239.03754280863</v>
      </c>
      <c r="I139" s="27" t="n">
        <f aca="false">$B$13*G139/$B$12*((1+$B$8)/(1+D139))^4.5</f>
        <v>2512.44609888509</v>
      </c>
      <c r="J139" s="27" t="n">
        <f aca="false">H139+I139+$B$14</f>
        <v>9837.88251977591</v>
      </c>
      <c r="K139" s="45" t="n">
        <f aca="false">J139/$B$15</f>
        <v>15.6156865393268</v>
      </c>
    </row>
    <row r="140" customFormat="false" ht="15" hidden="false" customHeight="true" outlineLevel="0" collapsed="false">
      <c r="A140" s="74" t="n">
        <v>100</v>
      </c>
      <c r="B140" s="22" t="n">
        <f aca="true">NORMINV(RAND(),$B$6,$C$6)</f>
        <v>0.23205182838322</v>
      </c>
      <c r="C140" s="22" t="n">
        <f aca="true">MAX(0.03,NORMINV(RAND(),$B$7,$C$7))</f>
        <v>0.204701260092131</v>
      </c>
      <c r="D140" s="34" t="n">
        <f aca="true">MAX(0.08,NORMINV(RAND(),$B$8,$C$8))</f>
        <v>0.134941036187321</v>
      </c>
      <c r="E140" s="70" t="n">
        <f aca="true">MAX(4,NORMINV(RAND(),$B$9,$C$9))</f>
        <v>13.2603066226675</v>
      </c>
      <c r="F140" s="27" t="n">
        <f aca="false">$B$18*(1+(B140+$B$17)/2)^9</f>
        <v>9084.39683099085</v>
      </c>
      <c r="G140" s="27" t="n">
        <f aca="false">F140*C140</f>
        <v>1859.58747848078</v>
      </c>
      <c r="H140" s="27" t="n">
        <f aca="false">E140*G140/(1+D140)^9</f>
        <v>7892.42543589923</v>
      </c>
      <c r="I140" s="27" t="n">
        <f aca="false">$B$13*G140/$B$12*((1+$B$8)/(1+D140))^4.5</f>
        <v>2843.89884887522</v>
      </c>
      <c r="J140" s="27" t="n">
        <f aca="false">H140+I140+$B$14</f>
        <v>12822.7231628566</v>
      </c>
      <c r="K140" s="45" t="n">
        <f aca="false">J140/$B$15</f>
        <v>20.3535288299312</v>
      </c>
    </row>
    <row r="141" customFormat="false" ht="15" hidden="false" customHeight="true" outlineLevel="0" collapsed="false">
      <c r="A141" s="74" t="n">
        <v>101</v>
      </c>
      <c r="B141" s="22" t="n">
        <f aca="true">NORMINV(RAND(),$B$6,$C$6)</f>
        <v>0.184886570340516</v>
      </c>
      <c r="C141" s="22" t="n">
        <f aca="true">MAX(0.03,NORMINV(RAND(),$B$7,$C$7))</f>
        <v>0.231806988029923</v>
      </c>
      <c r="D141" s="34" t="n">
        <f aca="true">MAX(0.08,NORMINV(RAND(),$B$8,$C$8))</f>
        <v>0.14638189278791</v>
      </c>
      <c r="E141" s="70" t="n">
        <f aca="true">MAX(4,NORMINV(RAND(),$B$9,$C$9))</f>
        <v>10.9072546197087</v>
      </c>
      <c r="F141" s="27" t="n">
        <f aca="false">$B$18*(1+(B141+$B$17)/2)^9</f>
        <v>7527.76299088013</v>
      </c>
      <c r="G141" s="27" t="n">
        <f aca="false">F141*C141</f>
        <v>1744.98806551905</v>
      </c>
      <c r="H141" s="27" t="n">
        <f aca="false">E141*G141/(1+D141)^9</f>
        <v>5566.01090673739</v>
      </c>
      <c r="I141" s="27" t="n">
        <f aca="false">$B$13*G141/$B$12*((1+$B$8)/(1+D141))^4.5</f>
        <v>2550.86755308579</v>
      </c>
      <c r="J141" s="27" t="n">
        <f aca="false">H141+I141+$B$14</f>
        <v>10203.2773379054</v>
      </c>
      <c r="K141" s="45" t="n">
        <f aca="false">J141/$B$15</f>
        <v>16.1956783141355</v>
      </c>
    </row>
    <row r="142" customFormat="false" ht="15" hidden="false" customHeight="true" outlineLevel="0" collapsed="false">
      <c r="A142" s="74" t="n">
        <v>102</v>
      </c>
      <c r="B142" s="22" t="n">
        <f aca="true">NORMINV(RAND(),$B$6,$C$6)</f>
        <v>0.244994258508378</v>
      </c>
      <c r="C142" s="22" t="n">
        <f aca="true">MAX(0.03,NORMINV(RAND(),$B$7,$C$7))</f>
        <v>0.276196268813476</v>
      </c>
      <c r="D142" s="34" t="n">
        <f aca="true">MAX(0.08,NORMINV(RAND(),$B$8,$C$8))</f>
        <v>0.137673648360487</v>
      </c>
      <c r="E142" s="70" t="n">
        <f aca="true">MAX(4,NORMINV(RAND(),$B$9,$C$9))</f>
        <v>11.5263931933326</v>
      </c>
      <c r="F142" s="27" t="n">
        <f aca="false">$B$18*(1+(B142+$B$17)/2)^9</f>
        <v>9558.74762365707</v>
      </c>
      <c r="G142" s="27" t="n">
        <f aca="false">F142*C142</f>
        <v>2640.09042818377</v>
      </c>
      <c r="H142" s="27" t="n">
        <f aca="false">E142*G142/(1+D142)^9</f>
        <v>9531.3176632819</v>
      </c>
      <c r="I142" s="27" t="n">
        <f aca="false">$B$13*G142/$B$12*((1+$B$8)/(1+D142))^4.5</f>
        <v>3994.07795009601</v>
      </c>
      <c r="J142" s="27" t="n">
        <f aca="false">H142+I142+$B$14</f>
        <v>15611.7944914601</v>
      </c>
      <c r="K142" s="45" t="n">
        <f aca="false">J142/$B$15</f>
        <v>24.7806261769208</v>
      </c>
    </row>
    <row r="143" customFormat="false" ht="15" hidden="false" customHeight="true" outlineLevel="0" collapsed="false">
      <c r="A143" s="74" t="n">
        <v>103</v>
      </c>
      <c r="B143" s="22" t="n">
        <f aca="true">NORMINV(RAND(),$B$6,$C$6)</f>
        <v>0.182371510447467</v>
      </c>
      <c r="C143" s="22" t="n">
        <f aca="true">MAX(0.03,NORMINV(RAND(),$B$7,$C$7))</f>
        <v>0.157017491555391</v>
      </c>
      <c r="D143" s="34" t="n">
        <f aca="true">MAX(0.08,NORMINV(RAND(),$B$8,$C$8))</f>
        <v>0.123267939626784</v>
      </c>
      <c r="E143" s="70" t="n">
        <f aca="true">MAX(4,NORMINV(RAND(),$B$9,$C$9))</f>
        <v>12.314766868327</v>
      </c>
      <c r="F143" s="27" t="n">
        <f aca="false">$B$18*(1+(B143+$B$17)/2)^9</f>
        <v>7451.86206560641</v>
      </c>
      <c r="G143" s="27" t="n">
        <f aca="false">F143*C143</f>
        <v>1170.07268895829</v>
      </c>
      <c r="H143" s="27" t="n">
        <f aca="false">E143*G143/(1+D143)^9</f>
        <v>5061.61101330928</v>
      </c>
      <c r="I143" s="27" t="n">
        <f aca="false">$B$13*G143/$B$12*((1+$B$8)/(1+D143))^4.5</f>
        <v>1874.62793946757</v>
      </c>
      <c r="J143" s="27" t="n">
        <f aca="false">H143+I143+$B$14</f>
        <v>9022.63783085904</v>
      </c>
      <c r="K143" s="45" t="n">
        <f aca="false">J143/$B$15</f>
        <v>14.3216473505699</v>
      </c>
    </row>
    <row r="144" customFormat="false" ht="15" hidden="false" customHeight="true" outlineLevel="0" collapsed="false">
      <c r="A144" s="74" t="n">
        <v>104</v>
      </c>
      <c r="B144" s="22" t="n">
        <f aca="true">NORMINV(RAND(),$B$6,$C$6)</f>
        <v>0.143872480248877</v>
      </c>
      <c r="C144" s="22" t="n">
        <f aca="true">MAX(0.03,NORMINV(RAND(),$B$7,$C$7))</f>
        <v>0.21012036289185</v>
      </c>
      <c r="D144" s="34" t="n">
        <f aca="true">MAX(0.08,NORMINV(RAND(),$B$8,$C$8))</f>
        <v>0.134078754453537</v>
      </c>
      <c r="E144" s="70" t="n">
        <f aca="true">MAX(4,NORMINV(RAND(),$B$9,$C$9))</f>
        <v>11.9986261252411</v>
      </c>
      <c r="F144" s="27" t="n">
        <f aca="false">$B$18*(1+(B144+$B$17)/2)^9</f>
        <v>6371.90054613842</v>
      </c>
      <c r="G144" s="27" t="n">
        <f aca="false">F144*C144</f>
        <v>1338.86605506538</v>
      </c>
      <c r="H144" s="27" t="n">
        <f aca="false">E144*G144/(1+D144)^9</f>
        <v>5177.01854666073</v>
      </c>
      <c r="I144" s="27" t="n">
        <f aca="false">$B$13*G144/$B$12*((1+$B$8)/(1+D144))^4.5</f>
        <v>2054.56574803282</v>
      </c>
      <c r="J144" s="27" t="n">
        <f aca="false">H144+I144+$B$14</f>
        <v>9317.98317277574</v>
      </c>
      <c r="K144" s="45" t="n">
        <f aca="false">J144/$B$15</f>
        <v>14.7904494805964</v>
      </c>
    </row>
    <row r="145" customFormat="false" ht="15" hidden="false" customHeight="true" outlineLevel="0" collapsed="false">
      <c r="A145" s="74" t="n">
        <v>105</v>
      </c>
      <c r="B145" s="22" t="n">
        <f aca="true">NORMINV(RAND(),$B$6,$C$6)</f>
        <v>0.212671313309274</v>
      </c>
      <c r="C145" s="22" t="n">
        <f aca="true">MAX(0.03,NORMINV(RAND(),$B$7,$C$7))</f>
        <v>0.194070558498968</v>
      </c>
      <c r="D145" s="34" t="n">
        <f aca="true">MAX(0.08,NORMINV(RAND(),$B$8,$C$8))</f>
        <v>0.126513360364017</v>
      </c>
      <c r="E145" s="70" t="n">
        <f aca="true">MAX(4,NORMINV(RAND(),$B$9,$C$9))</f>
        <v>13.0231905385642</v>
      </c>
      <c r="F145" s="27" t="n">
        <f aca="false">$B$18*(1+(B145+$B$17)/2)^9</f>
        <v>8413.17266268942</v>
      </c>
      <c r="G145" s="27" t="n">
        <f aca="false">F145*C145</f>
        <v>1632.74911739638</v>
      </c>
      <c r="H145" s="27" t="n">
        <f aca="false">E145*G145/(1+D145)^9</f>
        <v>7277.96112018168</v>
      </c>
      <c r="I145" s="27" t="n">
        <f aca="false">$B$13*G145/$B$12*((1+$B$8)/(1+D145))^4.5</f>
        <v>2582.16075043488</v>
      </c>
      <c r="J145" s="27" t="n">
        <f aca="false">H145+I145+$B$14</f>
        <v>11946.5207486988</v>
      </c>
      <c r="K145" s="45" t="n">
        <f aca="false">J145/$B$15</f>
        <v>18.9627313471409</v>
      </c>
    </row>
    <row r="146" customFormat="false" ht="15" hidden="false" customHeight="true" outlineLevel="0" collapsed="false">
      <c r="A146" s="74" t="n">
        <v>106</v>
      </c>
      <c r="B146" s="22" t="n">
        <f aca="true">NORMINV(RAND(),$B$6,$C$6)</f>
        <v>0.189146843958043</v>
      </c>
      <c r="C146" s="22" t="n">
        <f aca="true">MAX(0.03,NORMINV(RAND(),$B$7,$C$7))</f>
        <v>0.245124097919938</v>
      </c>
      <c r="D146" s="34" t="n">
        <f aca="true">MAX(0.08,NORMINV(RAND(),$B$8,$C$8))</f>
        <v>0.116794346989075</v>
      </c>
      <c r="E146" s="70" t="n">
        <f aca="true">MAX(4,NORMINV(RAND(),$B$9,$C$9))</f>
        <v>12.4903926643877</v>
      </c>
      <c r="F146" s="27" t="n">
        <f aca="false">$B$18*(1+(B146+$B$17)/2)^9</f>
        <v>7657.90097148845</v>
      </c>
      <c r="G146" s="27" t="n">
        <f aca="false">F146*C146</f>
        <v>1877.13606759632</v>
      </c>
      <c r="H146" s="27" t="n">
        <f aca="false">E146*G146/(1+D146)^9</f>
        <v>8675.86895035462</v>
      </c>
      <c r="I146" s="27" t="n">
        <f aca="false">$B$13*G146/$B$12*((1+$B$8)/(1+D146))^4.5</f>
        <v>3086.69487861928</v>
      </c>
      <c r="J146" s="27" t="n">
        <f aca="false">H146+I146+$B$14</f>
        <v>13848.9627070561</v>
      </c>
      <c r="K146" s="45" t="n">
        <f aca="false">J146/$B$15</f>
        <v>21.9824804873906</v>
      </c>
    </row>
    <row r="147" customFormat="false" ht="15" hidden="false" customHeight="true" outlineLevel="0" collapsed="false">
      <c r="A147" s="74" t="n">
        <v>107</v>
      </c>
      <c r="B147" s="22" t="n">
        <f aca="true">NORMINV(RAND(),$B$6,$C$6)</f>
        <v>0.237034277892343</v>
      </c>
      <c r="C147" s="22" t="n">
        <f aca="true">MAX(0.03,NORMINV(RAND(),$B$7,$C$7))</f>
        <v>0.193119309417665</v>
      </c>
      <c r="D147" s="34" t="n">
        <f aca="true">MAX(0.08,NORMINV(RAND(),$B$8,$C$8))</f>
        <v>0.137427897441248</v>
      </c>
      <c r="E147" s="70" t="n">
        <f aca="true">MAX(4,NORMINV(RAND(),$B$9,$C$9))</f>
        <v>13.3778020918047</v>
      </c>
      <c r="F147" s="27" t="n">
        <f aca="false">$B$18*(1+(B147+$B$17)/2)^9</f>
        <v>9264.47106496898</v>
      </c>
      <c r="G147" s="27" t="n">
        <f aca="false">F147*C147</f>
        <v>1789.14825418675</v>
      </c>
      <c r="H147" s="27" t="n">
        <f aca="false">E147*G147/(1+D147)^9</f>
        <v>7511.31910832283</v>
      </c>
      <c r="I147" s="27" t="n">
        <f aca="false">$B$13*G147/$B$12*((1+$B$8)/(1+D147))^4.5</f>
        <v>2709.3571993318</v>
      </c>
      <c r="J147" s="27" t="n">
        <f aca="false">H147+I147+$B$14</f>
        <v>12307.0751857368</v>
      </c>
      <c r="K147" s="45" t="n">
        <f aca="false">J147/$B$15</f>
        <v>19.53503997736</v>
      </c>
    </row>
    <row r="148" customFormat="false" ht="15" hidden="false" customHeight="true" outlineLevel="0" collapsed="false">
      <c r="A148" s="74" t="n">
        <v>108</v>
      </c>
      <c r="B148" s="22" t="n">
        <f aca="true">NORMINV(RAND(),$B$6,$C$6)</f>
        <v>0.218893506107703</v>
      </c>
      <c r="C148" s="22" t="n">
        <f aca="true">MAX(0.03,NORMINV(RAND(),$B$7,$C$7))</f>
        <v>0.190089921588575</v>
      </c>
      <c r="D148" s="34" t="n">
        <f aca="true">MAX(0.08,NORMINV(RAND(),$B$8,$C$8))</f>
        <v>0.140093416138589</v>
      </c>
      <c r="E148" s="70" t="n">
        <f aca="true">MAX(4,NORMINV(RAND(),$B$9,$C$9))</f>
        <v>11.4551881680672</v>
      </c>
      <c r="F148" s="27" t="n">
        <f aca="false">$B$18*(1+(B148+$B$17)/2)^9</f>
        <v>8623.69868595917</v>
      </c>
      <c r="G148" s="27" t="n">
        <f aca="false">F148*C148</f>
        <v>1639.27820701747</v>
      </c>
      <c r="H148" s="27" t="n">
        <f aca="false">E148*G148/(1+D148)^9</f>
        <v>5770.20115712902</v>
      </c>
      <c r="I148" s="27" t="n">
        <f aca="false">$B$13*G148/$B$12*((1+$B$8)/(1+D148))^4.5</f>
        <v>2456.39426066566</v>
      </c>
      <c r="J148" s="27" t="n">
        <f aca="false">H148+I148+$B$14</f>
        <v>10312.9942958769</v>
      </c>
      <c r="K148" s="45" t="n">
        <f aca="false">J148/$B$15</f>
        <v>16.3698322156776</v>
      </c>
    </row>
    <row r="149" customFormat="false" ht="15" hidden="false" customHeight="true" outlineLevel="0" collapsed="false">
      <c r="A149" s="74" t="n">
        <v>109</v>
      </c>
      <c r="B149" s="22" t="n">
        <f aca="true">NORMINV(RAND(),$B$6,$C$6)</f>
        <v>0.186216388158297</v>
      </c>
      <c r="C149" s="22" t="n">
        <f aca="true">MAX(0.03,NORMINV(RAND(),$B$7,$C$7))</f>
        <v>0.235755445582069</v>
      </c>
      <c r="D149" s="34" t="n">
        <f aca="true">MAX(0.08,NORMINV(RAND(),$B$8,$C$8))</f>
        <v>0.127138417470026</v>
      </c>
      <c r="E149" s="70" t="n">
        <f aca="true">MAX(4,NORMINV(RAND(),$B$9,$C$9))</f>
        <v>9.64341276329392</v>
      </c>
      <c r="F149" s="27" t="n">
        <f aca="false">$B$18*(1+(B149+$B$17)/2)^9</f>
        <v>7568.17207255064</v>
      </c>
      <c r="G149" s="27" t="n">
        <f aca="false">F149*C149</f>
        <v>1784.23777920594</v>
      </c>
      <c r="H149" s="27" t="n">
        <f aca="false">E149*G149/(1+D149)^9</f>
        <v>5859.87313684238</v>
      </c>
      <c r="I149" s="27" t="n">
        <f aca="false">$B$13*G149/$B$12*((1+$B$8)/(1+D149))^4.5</f>
        <v>2814.70233001813</v>
      </c>
      <c r="J149" s="27" t="n">
        <f aca="false">H149+I149+$B$14</f>
        <v>10760.9743449427</v>
      </c>
      <c r="K149" s="45" t="n">
        <f aca="false">J149/$B$15</f>
        <v>17.0809116586392</v>
      </c>
    </row>
    <row r="150" customFormat="false" ht="15" hidden="false" customHeight="true" outlineLevel="0" collapsed="false">
      <c r="A150" s="74" t="n">
        <v>110</v>
      </c>
      <c r="B150" s="22" t="n">
        <f aca="true">NORMINV(RAND(),$B$6,$C$6)</f>
        <v>0.226926396666156</v>
      </c>
      <c r="C150" s="22" t="n">
        <f aca="true">MAX(0.03,NORMINV(RAND(),$B$7,$C$7))</f>
        <v>0.193583138838591</v>
      </c>
      <c r="D150" s="34" t="n">
        <f aca="true">MAX(0.08,NORMINV(RAND(),$B$8,$C$8))</f>
        <v>0.143929737661336</v>
      </c>
      <c r="E150" s="70" t="n">
        <f aca="true">MAX(4,NORMINV(RAND(),$B$9,$C$9))</f>
        <v>11.0702403827177</v>
      </c>
      <c r="F150" s="27" t="n">
        <f aca="false">$B$18*(1+(B150+$B$17)/2)^9</f>
        <v>8902.40796140722</v>
      </c>
      <c r="G150" s="27" t="n">
        <f aca="false">F150*C150</f>
        <v>1723.35607639088</v>
      </c>
      <c r="H150" s="27" t="n">
        <f aca="false">E150*G150/(1+D150)^9</f>
        <v>5687.71622810177</v>
      </c>
      <c r="I150" s="27" t="n">
        <f aca="false">$B$13*G150/$B$12*((1+$B$8)/(1+D150))^4.5</f>
        <v>2543.63810744017</v>
      </c>
      <c r="J150" s="27" t="n">
        <f aca="false">H150+I150+$B$14</f>
        <v>10317.7532136241</v>
      </c>
      <c r="K150" s="45" t="n">
        <f aca="false">J150/$B$15</f>
        <v>16.3773860533716</v>
      </c>
    </row>
    <row r="151" customFormat="false" ht="15" hidden="false" customHeight="true" outlineLevel="0" collapsed="false">
      <c r="A151" s="74" t="n">
        <v>111</v>
      </c>
      <c r="B151" s="22" t="n">
        <f aca="true">NORMINV(RAND(),$B$6,$C$6)</f>
        <v>0.219940338647289</v>
      </c>
      <c r="C151" s="22" t="n">
        <f aca="true">MAX(0.03,NORMINV(RAND(),$B$7,$C$7))</f>
        <v>0.258399455939944</v>
      </c>
      <c r="D151" s="34" t="n">
        <f aca="true">MAX(0.08,NORMINV(RAND(),$B$8,$C$8))</f>
        <v>0.13065578965611</v>
      </c>
      <c r="E151" s="70" t="n">
        <f aca="true">MAX(4,NORMINV(RAND(),$B$9,$C$9))</f>
        <v>13.1546377903496</v>
      </c>
      <c r="F151" s="27" t="n">
        <f aca="false">$B$18*(1+(B151+$B$17)/2)^9</f>
        <v>8659.57442160021</v>
      </c>
      <c r="G151" s="27" t="n">
        <f aca="false">F151*C151</f>
        <v>2237.62931921295</v>
      </c>
      <c r="H151" s="27" t="n">
        <f aca="false">E151*G151/(1+D151)^9</f>
        <v>9747.50215498846</v>
      </c>
      <c r="I151" s="27" t="n">
        <f aca="false">$B$13*G151/$B$12*((1+$B$8)/(1+D151))^4.5</f>
        <v>3480.79681587166</v>
      </c>
      <c r="J151" s="27" t="n">
        <f aca="false">H151+I151+$B$14</f>
        <v>15314.6978489423</v>
      </c>
      <c r="K151" s="45" t="n">
        <f aca="false">J151/$B$15</f>
        <v>24.3090442046703</v>
      </c>
    </row>
    <row r="152" customFormat="false" ht="15" hidden="false" customHeight="true" outlineLevel="0" collapsed="false">
      <c r="A152" s="74" t="n">
        <v>112</v>
      </c>
      <c r="B152" s="22" t="n">
        <f aca="true">NORMINV(RAND(),$B$6,$C$6)</f>
        <v>0.152656078537457</v>
      </c>
      <c r="C152" s="22" t="n">
        <f aca="true">MAX(0.03,NORMINV(RAND(),$B$7,$C$7))</f>
        <v>0.180001895781276</v>
      </c>
      <c r="D152" s="34" t="n">
        <f aca="true">MAX(0.08,NORMINV(RAND(),$B$8,$C$8))</f>
        <v>0.129887177811345</v>
      </c>
      <c r="E152" s="70" t="n">
        <f aca="true">MAX(4,NORMINV(RAND(),$B$9,$C$9))</f>
        <v>8.56601231434204</v>
      </c>
      <c r="F152" s="27" t="n">
        <f aca="false">$B$18*(1+(B152+$B$17)/2)^9</f>
        <v>6605.21247361016</v>
      </c>
      <c r="G152" s="27" t="n">
        <f aca="false">F152*C152</f>
        <v>1188.95076728796</v>
      </c>
      <c r="H152" s="27" t="n">
        <f aca="false">E152*G152/(1+D152)^9</f>
        <v>3393.33583930092</v>
      </c>
      <c r="I152" s="27" t="n">
        <f aca="false">$B$13*G152/$B$12*((1+$B$8)/(1+D152))^4.5</f>
        <v>1855.16861674589</v>
      </c>
      <c r="J152" s="27" t="n">
        <f aca="false">H152+I152+$B$14</f>
        <v>7334.90333412901</v>
      </c>
      <c r="K152" s="45" t="n">
        <f aca="false">J152/$B$15</f>
        <v>11.6427037049667</v>
      </c>
    </row>
    <row r="153" customFormat="false" ht="15" hidden="false" customHeight="true" outlineLevel="0" collapsed="false">
      <c r="A153" s="74" t="n">
        <v>113</v>
      </c>
      <c r="B153" s="22" t="n">
        <f aca="true">NORMINV(RAND(),$B$6,$C$6)</f>
        <v>0.204156221399077</v>
      </c>
      <c r="C153" s="22" t="n">
        <f aca="true">MAX(0.03,NORMINV(RAND(),$B$7,$C$7))</f>
        <v>0.239178134333337</v>
      </c>
      <c r="D153" s="34" t="n">
        <f aca="true">MAX(0.08,NORMINV(RAND(),$B$8,$C$8))</f>
        <v>0.1336834481078</v>
      </c>
      <c r="E153" s="70" t="n">
        <f aca="true">MAX(4,NORMINV(RAND(),$B$9,$C$9))</f>
        <v>10.6038493042662</v>
      </c>
      <c r="F153" s="27" t="n">
        <f aca="false">$B$18*(1+(B153+$B$17)/2)^9</f>
        <v>8132.47362698554</v>
      </c>
      <c r="G153" s="27" t="n">
        <f aca="false">F153*C153</f>
        <v>1945.10986961746</v>
      </c>
      <c r="H153" s="27" t="n">
        <f aca="false">E153*G153/(1+D153)^9</f>
        <v>6667.78259676114</v>
      </c>
      <c r="I153" s="27" t="n">
        <f aca="false">$B$13*G153/$B$12*((1+$B$8)/(1+D153))^4.5</f>
        <v>2989.56767556898</v>
      </c>
      <c r="J153" s="27" t="n">
        <f aca="false">H153+I153+$B$14</f>
        <v>11743.7491504123</v>
      </c>
      <c r="K153" s="45" t="n">
        <f aca="false">J153/$B$15</f>
        <v>18.6408716673211</v>
      </c>
    </row>
    <row r="154" customFormat="false" ht="15" hidden="false" customHeight="true" outlineLevel="0" collapsed="false">
      <c r="A154" s="74" t="n">
        <v>114</v>
      </c>
      <c r="B154" s="22" t="n">
        <f aca="true">NORMINV(RAND(),$B$6,$C$6)</f>
        <v>0.237146322537276</v>
      </c>
      <c r="C154" s="22" t="n">
        <f aca="true">MAX(0.03,NORMINV(RAND(),$B$7,$C$7))</f>
        <v>0.185429361835428</v>
      </c>
      <c r="D154" s="34" t="n">
        <f aca="true">MAX(0.08,NORMINV(RAND(),$B$8,$C$8))</f>
        <v>0.145763179223842</v>
      </c>
      <c r="E154" s="70" t="n">
        <f aca="true">MAX(4,NORMINV(RAND(),$B$9,$C$9))</f>
        <v>11.9458836751784</v>
      </c>
      <c r="F154" s="27" t="n">
        <f aca="false">$B$18*(1+(B154+$B$17)/2)^9</f>
        <v>9268.55676687719</v>
      </c>
      <c r="G154" s="27" t="n">
        <f aca="false">F154*C154</f>
        <v>1718.66256641748</v>
      </c>
      <c r="H154" s="27" t="n">
        <f aca="false">E154*G154/(1+D154)^9</f>
        <v>6033.30313286786</v>
      </c>
      <c r="I154" s="27" t="n">
        <f aca="false">$B$13*G154/$B$12*((1+$B$8)/(1+D154))^4.5</f>
        <v>2518.49515472211</v>
      </c>
      <c r="J154" s="27" t="n">
        <f aca="false">H154+I154+$B$14</f>
        <v>10638.1971656722</v>
      </c>
      <c r="K154" s="45" t="n">
        <f aca="false">J154/$B$15</f>
        <v>16.8860272470987</v>
      </c>
    </row>
    <row r="155" customFormat="false" ht="15" hidden="false" customHeight="true" outlineLevel="0" collapsed="false">
      <c r="A155" s="74" t="n">
        <v>115</v>
      </c>
      <c r="B155" s="22" t="n">
        <f aca="true">NORMINV(RAND(),$B$6,$C$6)</f>
        <v>0.131661433521666</v>
      </c>
      <c r="C155" s="22" t="n">
        <f aca="true">MAX(0.03,NORMINV(RAND(),$B$7,$C$7))</f>
        <v>0.171617789801515</v>
      </c>
      <c r="D155" s="34" t="n">
        <f aca="true">MAX(0.08,NORMINV(RAND(),$B$8,$C$8))</f>
        <v>0.134753358305685</v>
      </c>
      <c r="E155" s="70" t="n">
        <f aca="true">MAX(4,NORMINV(RAND(),$B$9,$C$9))</f>
        <v>9.21069917256809</v>
      </c>
      <c r="F155" s="27" t="n">
        <f aca="false">$B$18*(1+(B155+$B$17)/2)^9</f>
        <v>6059.72275380171</v>
      </c>
      <c r="G155" s="27" t="n">
        <f aca="false">F155*C155</f>
        <v>1039.9562258174</v>
      </c>
      <c r="H155" s="27" t="n">
        <f aca="false">E155*G155/(1+D155)^9</f>
        <v>3070.39582600961</v>
      </c>
      <c r="I155" s="27" t="n">
        <f aca="false">$B$13*G155/$B$12*((1+$B$8)/(1+D155))^4.5</f>
        <v>1591.60682336478</v>
      </c>
      <c r="J155" s="27" t="n">
        <f aca="false">H155+I155+$B$14</f>
        <v>6748.40152745658</v>
      </c>
      <c r="K155" s="45" t="n">
        <f aca="false">J155/$B$15</f>
        <v>10.7117484562803</v>
      </c>
    </row>
    <row r="156" customFormat="false" ht="15" hidden="false" customHeight="true" outlineLevel="0" collapsed="false">
      <c r="A156" s="74" t="n">
        <v>116</v>
      </c>
      <c r="B156" s="22" t="n">
        <f aca="true">NORMINV(RAND(),$B$6,$C$6)</f>
        <v>0.189139624026565</v>
      </c>
      <c r="C156" s="22" t="n">
        <f aca="true">MAX(0.03,NORMINV(RAND(),$B$7,$C$7))</f>
        <v>0.17711494554349</v>
      </c>
      <c r="D156" s="34" t="n">
        <f aca="true">MAX(0.08,NORMINV(RAND(),$B$8,$C$8))</f>
        <v>0.131012814709743</v>
      </c>
      <c r="E156" s="70" t="n">
        <f aca="true">MAX(4,NORMINV(RAND(),$B$9,$C$9))</f>
        <v>9.30036138387894</v>
      </c>
      <c r="F156" s="27" t="n">
        <f aca="false">$B$18*(1+(B156+$B$17)/2)^9</f>
        <v>7657.67874431922</v>
      </c>
      <c r="G156" s="27" t="n">
        <f aca="false">F156*C156</f>
        <v>1356.28935378964</v>
      </c>
      <c r="H156" s="27" t="n">
        <f aca="false">E156*G156/(1+D156)^9</f>
        <v>4165.28235211313</v>
      </c>
      <c r="I156" s="27" t="n">
        <f aca="false">$B$13*G156/$B$12*((1+$B$8)/(1+D156))^4.5</f>
        <v>2106.81239960019</v>
      </c>
      <c r="J156" s="27" t="n">
        <f aca="false">H156+I156+$B$14</f>
        <v>8358.49362979551</v>
      </c>
      <c r="K156" s="45" t="n">
        <f aca="false">J156/$B$15</f>
        <v>13.2674502060246</v>
      </c>
    </row>
    <row r="157" customFormat="false" ht="15" hidden="false" customHeight="true" outlineLevel="0" collapsed="false">
      <c r="A157" s="74" t="n">
        <v>117</v>
      </c>
      <c r="B157" s="22" t="n">
        <f aca="true">NORMINV(RAND(),$B$6,$C$6)</f>
        <v>0.27655683474677</v>
      </c>
      <c r="C157" s="22" t="n">
        <f aca="true">MAX(0.03,NORMINV(RAND(),$B$7,$C$7))</f>
        <v>0.219549765351096</v>
      </c>
      <c r="D157" s="34" t="n">
        <f aca="true">MAX(0.08,NORMINV(RAND(),$B$8,$C$8))</f>
        <v>0.140716804069259</v>
      </c>
      <c r="E157" s="70" t="n">
        <f aca="true">MAX(4,NORMINV(RAND(),$B$9,$C$9))</f>
        <v>11.1980436371038</v>
      </c>
      <c r="F157" s="27" t="n">
        <f aca="false">$B$18*(1+(B157+$B$17)/2)^9</f>
        <v>10809.1006546194</v>
      </c>
      <c r="G157" s="27" t="n">
        <f aca="false">F157*C157</f>
        <v>2373.13551237807</v>
      </c>
      <c r="H157" s="27" t="n">
        <f aca="false">E157*G157/(1+D157)^9</f>
        <v>8125.7627989546</v>
      </c>
      <c r="I157" s="27" t="n">
        <f aca="false">$B$13*G157/$B$12*((1+$B$8)/(1+D157))^4.5</f>
        <v>3547.31405788425</v>
      </c>
      <c r="J157" s="27" t="n">
        <f aca="false">H157+I157+$B$14</f>
        <v>13759.475734921</v>
      </c>
      <c r="K157" s="45" t="n">
        <f aca="false">J157/$B$15</f>
        <v>21.8404376744778</v>
      </c>
    </row>
    <row r="158" customFormat="false" ht="15" hidden="false" customHeight="true" outlineLevel="0" collapsed="false">
      <c r="A158" s="74" t="n">
        <v>118</v>
      </c>
      <c r="B158" s="22" t="n">
        <f aca="true">NORMINV(RAND(),$B$6,$C$6)</f>
        <v>0.189567228354005</v>
      </c>
      <c r="C158" s="22" t="n">
        <f aca="true">MAX(0.03,NORMINV(RAND(),$B$7,$C$7))</f>
        <v>0.180052017188142</v>
      </c>
      <c r="D158" s="34" t="n">
        <f aca="true">MAX(0.08,NORMINV(RAND(),$B$8,$C$8))</f>
        <v>0.117447404168026</v>
      </c>
      <c r="E158" s="70" t="n">
        <f aca="true">MAX(4,NORMINV(RAND(),$B$9,$C$9))</f>
        <v>11.1749203643197</v>
      </c>
      <c r="F158" s="27" t="n">
        <f aca="false">$B$18*(1+(B158+$B$17)/2)^9</f>
        <v>7670.85015634188</v>
      </c>
      <c r="G158" s="27" t="n">
        <f aca="false">F158*C158</f>
        <v>1381.15204419733</v>
      </c>
      <c r="H158" s="27" t="n">
        <f aca="false">E158*G158/(1+D158)^9</f>
        <v>5681.22655834468</v>
      </c>
      <c r="I158" s="27" t="n">
        <f aca="false">$B$13*G158/$B$12*((1+$B$8)/(1+D158))^4.5</f>
        <v>2265.14996258067</v>
      </c>
      <c r="J158" s="27" t="n">
        <f aca="false">H158+I158+$B$14</f>
        <v>10032.7753990075</v>
      </c>
      <c r="K158" s="45" t="n">
        <f aca="false">J158/$B$15</f>
        <v>15.925040315885</v>
      </c>
    </row>
    <row r="159" customFormat="false" ht="15" hidden="false" customHeight="true" outlineLevel="0" collapsed="false">
      <c r="A159" s="74" t="n">
        <v>119</v>
      </c>
      <c r="B159" s="22" t="n">
        <f aca="true">NORMINV(RAND(),$B$6,$C$6)</f>
        <v>0.182518008010683</v>
      </c>
      <c r="C159" s="22" t="n">
        <f aca="true">MAX(0.03,NORMINV(RAND(),$B$7,$C$7))</f>
        <v>0.145516270268552</v>
      </c>
      <c r="D159" s="34" t="n">
        <f aca="true">MAX(0.08,NORMINV(RAND(),$B$8,$C$8))</f>
        <v>0.132326511828165</v>
      </c>
      <c r="E159" s="70" t="n">
        <f aca="true">MAX(4,NORMINV(RAND(),$B$9,$C$9))</f>
        <v>8.85616545746559</v>
      </c>
      <c r="F159" s="27" t="n">
        <f aca="false">$B$18*(1+(B159+$B$17)/2)^9</f>
        <v>7456.26442252434</v>
      </c>
      <c r="G159" s="27" t="n">
        <f aca="false">F159*C159</f>
        <v>1085.00778890184</v>
      </c>
      <c r="H159" s="27" t="n">
        <f aca="false">E159*G159/(1+D159)^9</f>
        <v>3140.0278150865</v>
      </c>
      <c r="I159" s="27" t="n">
        <f aca="false">$B$13*G159/$B$12*((1+$B$8)/(1+D159))^4.5</f>
        <v>1676.63177671861</v>
      </c>
      <c r="J159" s="27" t="n">
        <f aca="false">H159+I159+$B$14</f>
        <v>6903.05846988731</v>
      </c>
      <c r="K159" s="45" t="n">
        <f aca="false">J159/$B$15</f>
        <v>10.9572356664878</v>
      </c>
    </row>
    <row r="160" customFormat="false" ht="15" hidden="false" customHeight="true" outlineLevel="0" collapsed="false">
      <c r="A160" s="74" t="n">
        <v>120</v>
      </c>
      <c r="B160" s="22" t="n">
        <f aca="true">NORMINV(RAND(),$B$6,$C$6)</f>
        <v>0.199474739559656</v>
      </c>
      <c r="C160" s="22" t="n">
        <f aca="true">MAX(0.03,NORMINV(RAND(),$B$7,$C$7))</f>
        <v>0.164241556081715</v>
      </c>
      <c r="D160" s="34" t="n">
        <f aca="true">MAX(0.08,NORMINV(RAND(),$B$8,$C$8))</f>
        <v>0.136202494169683</v>
      </c>
      <c r="E160" s="70" t="n">
        <f aca="true">MAX(4,NORMINV(RAND(),$B$9,$C$9))</f>
        <v>10.4131397257587</v>
      </c>
      <c r="F160" s="27" t="n">
        <f aca="false">$B$18*(1+(B160+$B$17)/2)^9</f>
        <v>7981.72297448371</v>
      </c>
      <c r="G160" s="27" t="n">
        <f aca="false">F160*C160</f>
        <v>1310.93060154238</v>
      </c>
      <c r="H160" s="27" t="n">
        <f aca="false">E160*G160/(1+D160)^9</f>
        <v>4325.73342830592</v>
      </c>
      <c r="I160" s="27" t="n">
        <f aca="false">$B$13*G160/$B$12*((1+$B$8)/(1+D160))^4.5</f>
        <v>1994.83168378273</v>
      </c>
      <c r="J160" s="27" t="n">
        <f aca="false">H160+I160+$B$14</f>
        <v>8406.96399017084</v>
      </c>
      <c r="K160" s="45" t="n">
        <f aca="false">J160/$B$15</f>
        <v>13.3443872859855</v>
      </c>
    </row>
    <row r="161" customFormat="false" ht="15" hidden="false" customHeight="true" outlineLevel="0" collapsed="false">
      <c r="A161" s="74" t="n">
        <v>121</v>
      </c>
      <c r="B161" s="22" t="n">
        <f aca="true">NORMINV(RAND(),$B$6,$C$6)</f>
        <v>0.19103008631934</v>
      </c>
      <c r="C161" s="22" t="n">
        <f aca="true">MAX(0.03,NORMINV(RAND(),$B$7,$C$7))</f>
        <v>0.210389520835015</v>
      </c>
      <c r="D161" s="34" t="n">
        <f aca="true">MAX(0.08,NORMINV(RAND(),$B$8,$C$8))</f>
        <v>0.124012687754707</v>
      </c>
      <c r="E161" s="70" t="n">
        <f aca="true">MAX(4,NORMINV(RAND(),$B$9,$C$9))</f>
        <v>10.3910063716631</v>
      </c>
      <c r="F161" s="27" t="n">
        <f aca="false">$B$18*(1+(B161+$B$17)/2)^9</f>
        <v>7716.06270778254</v>
      </c>
      <c r="G161" s="27" t="n">
        <f aca="false">F161*C161</f>
        <v>1623.3787358233</v>
      </c>
      <c r="H161" s="27" t="n">
        <f aca="false">E161*G161/(1+D161)^9</f>
        <v>5890.28816999957</v>
      </c>
      <c r="I161" s="27" t="n">
        <f aca="false">$B$13*G161/$B$12*((1+$B$8)/(1+D161))^4.5</f>
        <v>2593.1448127058</v>
      </c>
      <c r="J161" s="27" t="n">
        <f aca="false">H161+I161+$B$14</f>
        <v>10569.8318607876</v>
      </c>
      <c r="K161" s="45" t="n">
        <f aca="false">J161/$B$15</f>
        <v>16.777510890139</v>
      </c>
    </row>
    <row r="162" customFormat="false" ht="15" hidden="false" customHeight="true" outlineLevel="0" collapsed="false">
      <c r="A162" s="74" t="n">
        <v>122</v>
      </c>
      <c r="B162" s="22" t="n">
        <f aca="true">NORMINV(RAND(),$B$6,$C$6)</f>
        <v>0.189176958618116</v>
      </c>
      <c r="C162" s="22" t="n">
        <f aca="true">MAX(0.03,NORMINV(RAND(),$B$7,$C$7))</f>
        <v>0.157995966618982</v>
      </c>
      <c r="D162" s="34" t="n">
        <f aca="true">MAX(0.08,NORMINV(RAND(),$B$8,$C$8))</f>
        <v>0.118900692269632</v>
      </c>
      <c r="E162" s="70" t="n">
        <f aca="true">MAX(4,NORMINV(RAND(),$B$9,$C$9))</f>
        <v>12.4136290081519</v>
      </c>
      <c r="F162" s="27" t="n">
        <f aca="false">$B$18*(1+(B162+$B$17)/2)^9</f>
        <v>7658.82795286426</v>
      </c>
      <c r="G162" s="27" t="n">
        <f aca="false">F162*C162</f>
        <v>1210.06392558127</v>
      </c>
      <c r="H162" s="27" t="n">
        <f aca="false">E162*G162/(1+D162)^9</f>
        <v>5464.91225138593</v>
      </c>
      <c r="I162" s="27" t="n">
        <f aca="false">$B$13*G162/$B$12*((1+$B$8)/(1+D162))^4.5</f>
        <v>1972.98485167415</v>
      </c>
      <c r="J162" s="27" t="n">
        <f aca="false">H162+I162+$B$14</f>
        <v>9524.29598114227</v>
      </c>
      <c r="K162" s="45" t="n">
        <f aca="false">J162/$B$15</f>
        <v>15.1179301287973</v>
      </c>
    </row>
    <row r="163" customFormat="false" ht="15" hidden="false" customHeight="true" outlineLevel="0" collapsed="false">
      <c r="A163" s="74" t="n">
        <v>123</v>
      </c>
      <c r="B163" s="22" t="n">
        <f aca="true">NORMINV(RAND(),$B$6,$C$6)</f>
        <v>0.234007954579235</v>
      </c>
      <c r="C163" s="22" t="n">
        <f aca="true">MAX(0.03,NORMINV(RAND(),$B$7,$C$7))</f>
        <v>0.249846200739303</v>
      </c>
      <c r="D163" s="34" t="n">
        <f aca="true">MAX(0.08,NORMINV(RAND(),$B$8,$C$8))</f>
        <v>0.118564404223406</v>
      </c>
      <c r="E163" s="70" t="n">
        <f aca="true">MAX(4,NORMINV(RAND(),$B$9,$C$9))</f>
        <v>11.1384370179021</v>
      </c>
      <c r="F163" s="27" t="n">
        <f aca="false">$B$18*(1+(B163+$B$17)/2)^9</f>
        <v>9154.72016767985</v>
      </c>
      <c r="G163" s="27" t="n">
        <f aca="false">F163*C163</f>
        <v>2287.27205272629</v>
      </c>
      <c r="H163" s="27" t="n">
        <f aca="false">E163*G163/(1+D163)^9</f>
        <v>9293.79575644379</v>
      </c>
      <c r="I163" s="27" t="n">
        <f aca="false">$B$13*G163/$B$12*((1+$B$8)/(1+D163))^4.5</f>
        <v>3734.39906284904</v>
      </c>
      <c r="J163" s="27" t="n">
        <f aca="false">H163+I163+$B$14</f>
        <v>15114.593697375</v>
      </c>
      <c r="K163" s="45" t="n">
        <f aca="false">J163/$B$15</f>
        <v>23.9914185672619</v>
      </c>
    </row>
    <row r="164" customFormat="false" ht="15" hidden="false" customHeight="true" outlineLevel="0" collapsed="false">
      <c r="A164" s="74" t="n">
        <v>124</v>
      </c>
      <c r="B164" s="22" t="n">
        <f aca="true">NORMINV(RAND(),$B$6,$C$6)</f>
        <v>0.19479960441632</v>
      </c>
      <c r="C164" s="22" t="n">
        <f aca="true">MAX(0.03,NORMINV(RAND(),$B$7,$C$7))</f>
        <v>0.197160111502939</v>
      </c>
      <c r="D164" s="34" t="n">
        <f aca="true">MAX(0.08,NORMINV(RAND(),$B$8,$C$8))</f>
        <v>0.142923846250728</v>
      </c>
      <c r="E164" s="70" t="n">
        <f aca="true">MAX(4,NORMINV(RAND(),$B$9,$C$9))</f>
        <v>12.2328189806716</v>
      </c>
      <c r="F164" s="27" t="n">
        <f aca="false">$B$18*(1+(B164+$B$17)/2)^9</f>
        <v>7833.66073946178</v>
      </c>
      <c r="G164" s="27" t="n">
        <f aca="false">F164*C164</f>
        <v>1544.48542486848</v>
      </c>
      <c r="H164" s="27" t="n">
        <f aca="false">E164*G164/(1+D164)^9</f>
        <v>5677.46828758175</v>
      </c>
      <c r="I164" s="27" t="n">
        <f aca="false">$B$13*G164/$B$12*((1+$B$8)/(1+D164))^4.5</f>
        <v>2288.67101456959</v>
      </c>
      <c r="J164" s="27" t="n">
        <f aca="false">H164+I164+$B$14</f>
        <v>10052.5381802335</v>
      </c>
      <c r="K164" s="45" t="n">
        <f aca="false">J164/$B$15</f>
        <v>15.9564098098945</v>
      </c>
    </row>
    <row r="165" customFormat="false" ht="15" hidden="false" customHeight="true" outlineLevel="0" collapsed="false">
      <c r="A165" s="74" t="n">
        <v>125</v>
      </c>
      <c r="B165" s="22" t="n">
        <f aca="true">NORMINV(RAND(),$B$6,$C$6)</f>
        <v>0.287816837137463</v>
      </c>
      <c r="C165" s="22" t="n">
        <f aca="true">MAX(0.03,NORMINV(RAND(),$B$7,$C$7))</f>
        <v>0.165535620978263</v>
      </c>
      <c r="D165" s="34" t="n">
        <f aca="true">MAX(0.08,NORMINV(RAND(),$B$8,$C$8))</f>
        <v>0.135698592819496</v>
      </c>
      <c r="E165" s="70" t="n">
        <f aca="true">MAX(4,NORMINV(RAND(),$B$9,$C$9))</f>
        <v>7.55464619868485</v>
      </c>
      <c r="F165" s="27" t="n">
        <f aca="false">$B$18*(1+(B165+$B$17)/2)^9</f>
        <v>11289.1411722481</v>
      </c>
      <c r="G165" s="27" t="n">
        <f aca="false">F165*C165</f>
        <v>1868.75499425937</v>
      </c>
      <c r="H165" s="27" t="n">
        <f aca="false">E165*G165/(1+D165)^9</f>
        <v>4491.57553270559</v>
      </c>
      <c r="I165" s="27" t="n">
        <f aca="false">$B$13*G165/$B$12*((1+$B$8)/(1+D165))^4.5</f>
        <v>2849.35033476995</v>
      </c>
      <c r="J165" s="27" t="n">
        <f aca="false">H165+I165+$B$14</f>
        <v>9427.32474555773</v>
      </c>
      <c r="K165" s="45" t="n">
        <f aca="false">J165/$B$15</f>
        <v>14.9640075326313</v>
      </c>
    </row>
    <row r="166" customFormat="false" ht="15" hidden="false" customHeight="true" outlineLevel="0" collapsed="false">
      <c r="A166" s="74" t="n">
        <v>126</v>
      </c>
      <c r="B166" s="22" t="n">
        <f aca="true">NORMINV(RAND(),$B$6,$C$6)</f>
        <v>0.17710176119098</v>
      </c>
      <c r="C166" s="22" t="n">
        <f aca="true">MAX(0.03,NORMINV(RAND(),$B$7,$C$7))</f>
        <v>0.239612742650547</v>
      </c>
      <c r="D166" s="34" t="n">
        <f aca="true">MAX(0.08,NORMINV(RAND(),$B$8,$C$8))</f>
        <v>0.125418319682861</v>
      </c>
      <c r="E166" s="70" t="n">
        <f aca="true">MAX(4,NORMINV(RAND(),$B$9,$C$9))</f>
        <v>9.26088577617567</v>
      </c>
      <c r="F166" s="27" t="n">
        <f aca="false">$B$18*(1+(B166+$B$17)/2)^9</f>
        <v>7295.03058498615</v>
      </c>
      <c r="G166" s="27" t="n">
        <f aca="false">F166*C166</f>
        <v>1747.98228618815</v>
      </c>
      <c r="H166" s="27" t="n">
        <f aca="false">E166*G166/(1+D166)^9</f>
        <v>5589.38122225679</v>
      </c>
      <c r="I166" s="27" t="n">
        <f aca="false">$B$13*G166/$B$12*((1+$B$8)/(1+D166))^4.5</f>
        <v>2776.52439692914</v>
      </c>
      <c r="J166" s="27" t="n">
        <f aca="false">H166+I166+$B$14</f>
        <v>10452.3044972681</v>
      </c>
      <c r="K166" s="45" t="n">
        <f aca="false">J166/$B$15</f>
        <v>16.5909595194732</v>
      </c>
    </row>
    <row r="167" customFormat="false" ht="15" hidden="false" customHeight="true" outlineLevel="0" collapsed="false">
      <c r="A167" s="74" t="n">
        <v>127</v>
      </c>
      <c r="B167" s="22" t="n">
        <f aca="true">NORMINV(RAND(),$B$6,$C$6)</f>
        <v>0.170653412723766</v>
      </c>
      <c r="C167" s="22" t="n">
        <f aca="true">MAX(0.03,NORMINV(RAND(),$B$7,$C$7))</f>
        <v>0.283732733937562</v>
      </c>
      <c r="D167" s="34" t="n">
        <f aca="true">MAX(0.08,NORMINV(RAND(),$B$8,$C$8))</f>
        <v>0.130140532149357</v>
      </c>
      <c r="E167" s="70" t="n">
        <f aca="true">MAX(4,NORMINV(RAND(),$B$9,$C$9))</f>
        <v>11.3845983957753</v>
      </c>
      <c r="F167" s="27" t="n">
        <f aca="false">$B$18*(1+(B167+$B$17)/2)^9</f>
        <v>7107.11919034075</v>
      </c>
      <c r="G167" s="27" t="n">
        <f aca="false">F167*C167</f>
        <v>2016.52235829549</v>
      </c>
      <c r="H167" s="27" t="n">
        <f aca="false">E167*G167/(1+D167)^9</f>
        <v>7633.58766161739</v>
      </c>
      <c r="I167" s="27" t="n">
        <f aca="false">$B$13*G167/$B$12*((1+$B$8)/(1+D167))^4.5</f>
        <v>3143.28956128689</v>
      </c>
      <c r="J167" s="27" t="n">
        <f aca="false">H167+I167+$B$14</f>
        <v>12863.2761009865</v>
      </c>
      <c r="K167" s="45" t="n">
        <f aca="false">J167/$B$15</f>
        <v>20.4178985729944</v>
      </c>
    </row>
    <row r="168" customFormat="false" ht="15" hidden="false" customHeight="true" outlineLevel="0" collapsed="false">
      <c r="A168" s="74" t="n">
        <v>128</v>
      </c>
      <c r="B168" s="22" t="n">
        <f aca="true">NORMINV(RAND(),$B$6,$C$6)</f>
        <v>0.191681024439259</v>
      </c>
      <c r="C168" s="22" t="n">
        <f aca="true">MAX(0.03,NORMINV(RAND(),$B$7,$C$7))</f>
        <v>0.199130792282059</v>
      </c>
      <c r="D168" s="34" t="n">
        <f aca="true">MAX(0.08,NORMINV(RAND(),$B$8,$C$8))</f>
        <v>0.131573326593221</v>
      </c>
      <c r="E168" s="70" t="n">
        <f aca="true">MAX(4,NORMINV(RAND(),$B$9,$C$9))</f>
        <v>11.3114481728018</v>
      </c>
      <c r="F168" s="27" t="n">
        <f aca="false">$B$18*(1+(B168+$B$17)/2)^9</f>
        <v>7736.2572918235</v>
      </c>
      <c r="G168" s="27" t="n">
        <f aca="false">F168*C168</f>
        <v>1540.52704381867</v>
      </c>
      <c r="H168" s="27" t="n">
        <f aca="false">E168*G168/(1+D168)^9</f>
        <v>5728.53038662485</v>
      </c>
      <c r="I168" s="27" t="n">
        <f aca="false">$B$13*G168/$B$12*((1+$B$8)/(1+D168))^4.5</f>
        <v>2387.6713443195</v>
      </c>
      <c r="J168" s="27" t="n">
        <f aca="false">H168+I168+$B$14</f>
        <v>10202.6006090265</v>
      </c>
      <c r="K168" s="45" t="n">
        <f aca="false">J168/$B$15</f>
        <v>16.194604141312</v>
      </c>
    </row>
    <row r="169" customFormat="false" ht="15" hidden="false" customHeight="true" outlineLevel="0" collapsed="false">
      <c r="A169" s="74" t="n">
        <v>129</v>
      </c>
      <c r="B169" s="22" t="n">
        <f aca="true">NORMINV(RAND(),$B$6,$C$6)</f>
        <v>0.222889476803762</v>
      </c>
      <c r="C169" s="22" t="n">
        <f aca="true">MAX(0.03,NORMINV(RAND(),$B$7,$C$7))</f>
        <v>0.211531063583776</v>
      </c>
      <c r="D169" s="34" t="n">
        <f aca="true">MAX(0.08,NORMINV(RAND(),$B$8,$C$8))</f>
        <v>0.133185646975626</v>
      </c>
      <c r="E169" s="70" t="n">
        <f aca="true">MAX(4,NORMINV(RAND(),$B$9,$C$9))</f>
        <v>9.55767264003401</v>
      </c>
      <c r="F169" s="27" t="n">
        <f aca="false">$B$18*(1+(B169+$B$17)/2)^9</f>
        <v>8761.35799060631</v>
      </c>
      <c r="G169" s="27" t="n">
        <f aca="false">F169*C169</f>
        <v>1853.29937419116</v>
      </c>
      <c r="H169" s="27" t="n">
        <f aca="false">E169*G169/(1+D169)^9</f>
        <v>5748.94488173505</v>
      </c>
      <c r="I169" s="27" t="n">
        <f aca="false">$B$13*G169/$B$12*((1+$B$8)/(1+D169))^4.5</f>
        <v>2854.09329041515</v>
      </c>
      <c r="J169" s="27" t="n">
        <f aca="false">H169+I169+$B$14</f>
        <v>10689.4370502324</v>
      </c>
      <c r="K169" s="45" t="n">
        <f aca="false">J169/$B$15</f>
        <v>16.9673603971943</v>
      </c>
    </row>
    <row r="170" customFormat="false" ht="15" hidden="false" customHeight="true" outlineLevel="0" collapsed="false">
      <c r="A170" s="74" t="n">
        <v>130</v>
      </c>
      <c r="B170" s="22" t="n">
        <f aca="true">NORMINV(RAND(),$B$6,$C$6)</f>
        <v>0.174085910322633</v>
      </c>
      <c r="C170" s="22" t="n">
        <f aca="true">MAX(0.03,NORMINV(RAND(),$B$7,$C$7))</f>
        <v>0.233808316035272</v>
      </c>
      <c r="D170" s="34" t="n">
        <f aca="true">MAX(0.08,NORMINV(RAND(),$B$8,$C$8))</f>
        <v>0.114281515968142</v>
      </c>
      <c r="E170" s="70" t="n">
        <f aca="true">MAX(4,NORMINV(RAND(),$B$9,$C$9))</f>
        <v>10.6044061997591</v>
      </c>
      <c r="F170" s="27" t="n">
        <f aca="false">$B$18*(1+(B170+$B$17)/2)^9</f>
        <v>7206.60293665463</v>
      </c>
      <c r="G170" s="27" t="n">
        <f aca="false">F170*C170</f>
        <v>1684.96369695407</v>
      </c>
      <c r="H170" s="27" t="n">
        <f aca="false">E170*G170/(1+D170)^9</f>
        <v>6747.18418787074</v>
      </c>
      <c r="I170" s="27" t="n">
        <f aca="false">$B$13*G170/$B$12*((1+$B$8)/(1+D170))^4.5</f>
        <v>2798.92175628308</v>
      </c>
      <c r="J170" s="27" t="n">
        <f aca="false">H170+I170+$B$14</f>
        <v>11632.504822236</v>
      </c>
      <c r="K170" s="45" t="n">
        <f aca="false">J170/$B$15</f>
        <v>18.4642933686286</v>
      </c>
    </row>
    <row r="171" customFormat="false" ht="15" hidden="false" customHeight="true" outlineLevel="0" collapsed="false">
      <c r="A171" s="74" t="n">
        <v>131</v>
      </c>
      <c r="B171" s="22" t="n">
        <f aca="true">NORMINV(RAND(),$B$6,$C$6)</f>
        <v>0.224742224776868</v>
      </c>
      <c r="C171" s="22" t="n">
        <f aca="true">MAX(0.03,NORMINV(RAND(),$B$7,$C$7))</f>
        <v>0.245894006347215</v>
      </c>
      <c r="D171" s="34" t="n">
        <f aca="true">MAX(0.08,NORMINV(RAND(),$B$8,$C$8))</f>
        <v>0.131688057847385</v>
      </c>
      <c r="E171" s="70" t="n">
        <f aca="true">MAX(4,NORMINV(RAND(),$B$9,$C$9))</f>
        <v>10.5809770523547</v>
      </c>
      <c r="F171" s="27" t="n">
        <f aca="false">$B$18*(1+(B171+$B$17)/2)^9</f>
        <v>8825.84443189791</v>
      </c>
      <c r="G171" s="27" t="n">
        <f aca="false">F171*C171</f>
        <v>2170.22224675664</v>
      </c>
      <c r="H171" s="27" t="n">
        <f aca="false">E171*G171/(1+D171)^9</f>
        <v>7542.04963932662</v>
      </c>
      <c r="I171" s="27" t="n">
        <f aca="false">$B$13*G171/$B$12*((1+$B$8)/(1+D171))^4.5</f>
        <v>3362.10514189397</v>
      </c>
      <c r="J171" s="27" t="n">
        <f aca="false">H171+I171+$B$14</f>
        <v>12990.5536593028</v>
      </c>
      <c r="K171" s="45" t="n">
        <f aca="false">J171/$B$15</f>
        <v>20.6199264433378</v>
      </c>
    </row>
    <row r="172" customFormat="false" ht="15" hidden="false" customHeight="true" outlineLevel="0" collapsed="false">
      <c r="A172" s="74" t="n">
        <v>132</v>
      </c>
      <c r="B172" s="22" t="n">
        <f aca="true">NORMINV(RAND(),$B$6,$C$6)</f>
        <v>0.180549278131612</v>
      </c>
      <c r="C172" s="22" t="n">
        <f aca="true">MAX(0.03,NORMINV(RAND(),$B$7,$C$7))</f>
        <v>0.179549642031191</v>
      </c>
      <c r="D172" s="34" t="n">
        <f aca="true">MAX(0.08,NORMINV(RAND(),$B$8,$C$8))</f>
        <v>0.125948001916401</v>
      </c>
      <c r="E172" s="70" t="n">
        <f aca="true">MAX(4,NORMINV(RAND(),$B$9,$C$9))</f>
        <v>16.6477254550976</v>
      </c>
      <c r="F172" s="27" t="n">
        <f aca="false">$B$18*(1+(B172+$B$17)/2)^9</f>
        <v>7397.29545750061</v>
      </c>
      <c r="G172" s="27" t="n">
        <f aca="false">F172*C172</f>
        <v>1328.18175139319</v>
      </c>
      <c r="H172" s="27" t="n">
        <f aca="false">E172*G172/(1+D172)^9</f>
        <v>7602.34200095593</v>
      </c>
      <c r="I172" s="27" t="n">
        <f aca="false">$B$13*G172/$B$12*((1+$B$8)/(1+D172))^4.5</f>
        <v>2105.24372589745</v>
      </c>
      <c r="J172" s="27" t="n">
        <f aca="false">H172+I172+$B$14</f>
        <v>11793.9846049356</v>
      </c>
      <c r="K172" s="45" t="n">
        <f aca="false">J172/$B$15</f>
        <v>18.7206104840247</v>
      </c>
    </row>
    <row r="173" customFormat="false" ht="15" hidden="false" customHeight="true" outlineLevel="0" collapsed="false">
      <c r="A173" s="74" t="n">
        <v>133</v>
      </c>
      <c r="B173" s="22" t="n">
        <f aca="true">NORMINV(RAND(),$B$6,$C$6)</f>
        <v>0.252427677954156</v>
      </c>
      <c r="C173" s="22" t="n">
        <f aca="true">MAX(0.03,NORMINV(RAND(),$B$7,$C$7))</f>
        <v>0.193874583747755</v>
      </c>
      <c r="D173" s="34" t="n">
        <f aca="true">MAX(0.08,NORMINV(RAND(),$B$8,$C$8))</f>
        <v>0.146178054850862</v>
      </c>
      <c r="E173" s="70" t="n">
        <f aca="true">MAX(4,NORMINV(RAND(),$B$9,$C$9))</f>
        <v>12.2864780809653</v>
      </c>
      <c r="F173" s="27" t="n">
        <f aca="false">$B$18*(1+(B173+$B$17)/2)^9</f>
        <v>9841.02966844286</v>
      </c>
      <c r="G173" s="27" t="n">
        <f aca="false">F173*C173</f>
        <v>1907.92553061867</v>
      </c>
      <c r="H173" s="27" t="n">
        <f aca="false">E173*G173/(1+D173)^9</f>
        <v>6866.25658215035</v>
      </c>
      <c r="I173" s="27" t="n">
        <f aca="false">$B$13*G173/$B$12*((1+$B$8)/(1+D173))^4.5</f>
        <v>2791.28638443255</v>
      </c>
      <c r="J173" s="27" t="n">
        <f aca="false">H173+I173+$B$14</f>
        <v>11743.9418446651</v>
      </c>
      <c r="K173" s="45" t="n">
        <f aca="false">J173/$B$15</f>
        <v>18.6411775312144</v>
      </c>
    </row>
    <row r="174" customFormat="false" ht="15" hidden="false" customHeight="true" outlineLevel="0" collapsed="false">
      <c r="A174" s="74" t="n">
        <v>134</v>
      </c>
      <c r="B174" s="22" t="n">
        <f aca="true">NORMINV(RAND(),$B$6,$C$6)</f>
        <v>0.157121856433161</v>
      </c>
      <c r="C174" s="22" t="n">
        <f aca="true">MAX(0.03,NORMINV(RAND(),$B$7,$C$7))</f>
        <v>0.232061114382128</v>
      </c>
      <c r="D174" s="34" t="n">
        <f aca="true">MAX(0.08,NORMINV(RAND(),$B$8,$C$8))</f>
        <v>0.147148935594345</v>
      </c>
      <c r="E174" s="70" t="n">
        <f aca="true">MAX(4,NORMINV(RAND(),$B$9,$C$9))</f>
        <v>15.7794774316378</v>
      </c>
      <c r="F174" s="27" t="n">
        <f aca="false">$B$18*(1+(B174+$B$17)/2)^9</f>
        <v>6726.72027041345</v>
      </c>
      <c r="G174" s="27" t="n">
        <f aca="false">F174*C174</f>
        <v>1561.010202089</v>
      </c>
      <c r="H174" s="27" t="n">
        <f aca="false">E174*G174/(1+D174)^9</f>
        <v>7160.11668158831</v>
      </c>
      <c r="I174" s="27" t="n">
        <f aca="false">$B$13*G174/$B$12*((1+$B$8)/(1+D174))^4.5</f>
        <v>2275.06594996148</v>
      </c>
      <c r="J174" s="27" t="n">
        <f aca="false">H174+I174+$B$14</f>
        <v>11521.581509632</v>
      </c>
      <c r="K174" s="45" t="n">
        <f aca="false">J174/$B$15</f>
        <v>18.2882246184635</v>
      </c>
    </row>
    <row r="175" customFormat="false" ht="15" hidden="false" customHeight="true" outlineLevel="0" collapsed="false">
      <c r="A175" s="74" t="n">
        <v>135</v>
      </c>
      <c r="B175" s="22" t="n">
        <f aca="true">NORMINV(RAND(),$B$6,$C$6)</f>
        <v>0.142212673230984</v>
      </c>
      <c r="C175" s="22" t="n">
        <f aca="true">MAX(0.03,NORMINV(RAND(),$B$7,$C$7))</f>
        <v>0.220328101667368</v>
      </c>
      <c r="D175" s="34" t="n">
        <f aca="true">MAX(0.08,NORMINV(RAND(),$B$8,$C$8))</f>
        <v>0.143301020142503</v>
      </c>
      <c r="E175" s="70" t="n">
        <f aca="true">MAX(4,NORMINV(RAND(),$B$9,$C$9))</f>
        <v>10.5148467946598</v>
      </c>
      <c r="F175" s="27" t="n">
        <f aca="false">$B$18*(1+(B175+$B$17)/2)^9</f>
        <v>6328.64480495136</v>
      </c>
      <c r="G175" s="27" t="n">
        <f aca="false">F175*C175</f>
        <v>1394.37829600199</v>
      </c>
      <c r="H175" s="27" t="n">
        <f aca="false">E175*G175/(1+D175)^9</f>
        <v>4392.76777138865</v>
      </c>
      <c r="I175" s="27" t="n">
        <f aca="false">$B$13*G175/$B$12*((1+$B$8)/(1+D175))^4.5</f>
        <v>2063.1715145092</v>
      </c>
      <c r="J175" s="27" t="n">
        <f aca="false">H175+I175+$B$14</f>
        <v>8542.33816398005</v>
      </c>
      <c r="K175" s="45" t="n">
        <f aca="false">J175/$B$15</f>
        <v>13.5592669269525</v>
      </c>
    </row>
    <row r="176" customFormat="false" ht="15" hidden="false" customHeight="true" outlineLevel="0" collapsed="false">
      <c r="A176" s="74" t="n">
        <v>136</v>
      </c>
      <c r="B176" s="22" t="n">
        <f aca="true">NORMINV(RAND(),$B$6,$C$6)</f>
        <v>0.212805133334741</v>
      </c>
      <c r="C176" s="22" t="n">
        <f aca="true">MAX(0.03,NORMINV(RAND(),$B$7,$C$7))</f>
        <v>0.22266160457238</v>
      </c>
      <c r="D176" s="34" t="n">
        <f aca="true">MAX(0.08,NORMINV(RAND(),$B$8,$C$8))</f>
        <v>0.135737106328414</v>
      </c>
      <c r="E176" s="70" t="n">
        <f aca="true">MAX(4,NORMINV(RAND(),$B$9,$C$9))</f>
        <v>9.38865803743809</v>
      </c>
      <c r="F176" s="27" t="n">
        <f aca="false">$B$18*(1+(B176+$B$17)/2)^9</f>
        <v>8417.65190639303</v>
      </c>
      <c r="G176" s="27" t="n">
        <f aca="false">F176*C176</f>
        <v>1874.28788020923</v>
      </c>
      <c r="H176" s="27" t="n">
        <f aca="false">E176*G176/(1+D176)^9</f>
        <v>5596.79605945895</v>
      </c>
      <c r="I176" s="27" t="n">
        <f aca="false">$B$13*G176/$B$12*((1+$B$8)/(1+D176))^4.5</f>
        <v>2857.35043685534</v>
      </c>
      <c r="J176" s="27" t="n">
        <f aca="false">H176+I176+$B$14</f>
        <v>10540.5453743965</v>
      </c>
      <c r="K176" s="45" t="n">
        <f aca="false">J176/$B$15</f>
        <v>16.7310244038039</v>
      </c>
    </row>
    <row r="177" customFormat="false" ht="15" hidden="false" customHeight="true" outlineLevel="0" collapsed="false">
      <c r="A177" s="74" t="n">
        <v>137</v>
      </c>
      <c r="B177" s="22" t="n">
        <f aca="true">NORMINV(RAND(),$B$6,$C$6)</f>
        <v>0.142185286056917</v>
      </c>
      <c r="C177" s="22" t="n">
        <f aca="true">MAX(0.03,NORMINV(RAND(),$B$7,$C$7))</f>
        <v>0.274578661445795</v>
      </c>
      <c r="D177" s="34" t="n">
        <f aca="true">MAX(0.08,NORMINV(RAND(),$B$8,$C$8))</f>
        <v>0.13106596738511</v>
      </c>
      <c r="E177" s="70" t="n">
        <f aca="true">MAX(4,NORMINV(RAND(),$B$9,$C$9))</f>
        <v>10.1126074138947</v>
      </c>
      <c r="F177" s="27" t="n">
        <f aca="false">$B$18*(1+(B177+$B$17)/2)^9</f>
        <v>6327.93327028062</v>
      </c>
      <c r="G177" s="27" t="n">
        <f aca="false">F177*C177</f>
        <v>1737.51544707197</v>
      </c>
      <c r="H177" s="27" t="n">
        <f aca="false">E177*G177/(1+D177)^9</f>
        <v>5799.6315793798</v>
      </c>
      <c r="I177" s="27" t="n">
        <f aca="false">$B$13*G177/$B$12*((1+$B$8)/(1+D177))^4.5</f>
        <v>2698.42495557677</v>
      </c>
      <c r="J177" s="27" t="n">
        <f aca="false">H177+I177+$B$14</f>
        <v>10584.4554130388</v>
      </c>
      <c r="K177" s="45" t="n">
        <f aca="false">J177/$B$15</f>
        <v>16.8007228778393</v>
      </c>
    </row>
    <row r="178" customFormat="false" ht="15" hidden="false" customHeight="true" outlineLevel="0" collapsed="false">
      <c r="A178" s="74" t="n">
        <v>138</v>
      </c>
      <c r="B178" s="22" t="n">
        <f aca="true">NORMINV(RAND(),$B$6,$C$6)</f>
        <v>0.127436332513247</v>
      </c>
      <c r="C178" s="22" t="n">
        <f aca="true">MAX(0.03,NORMINV(RAND(),$B$7,$C$7))</f>
        <v>0.171926710480524</v>
      </c>
      <c r="D178" s="34" t="n">
        <f aca="true">MAX(0.08,NORMINV(RAND(),$B$8,$C$8))</f>
        <v>0.124444698451077</v>
      </c>
      <c r="E178" s="70" t="n">
        <f aca="true">MAX(4,NORMINV(RAND(),$B$9,$C$9))</f>
        <v>9.88766531232882</v>
      </c>
      <c r="F178" s="27" t="n">
        <f aca="false">$B$18*(1+(B178+$B$17)/2)^9</f>
        <v>5954.91753983166</v>
      </c>
      <c r="G178" s="27" t="n">
        <f aca="false">F178*C178</f>
        <v>1023.80938380603</v>
      </c>
      <c r="H178" s="27" t="n">
        <f aca="false">E178*G178/(1+D178)^9</f>
        <v>3522.65371252506</v>
      </c>
      <c r="I178" s="27" t="n">
        <f aca="false">$B$13*G178/$B$12*((1+$B$8)/(1+D178))^4.5</f>
        <v>1632.5820938829</v>
      </c>
      <c r="J178" s="27" t="n">
        <f aca="false">H178+I178+$B$14</f>
        <v>7241.63468449016</v>
      </c>
      <c r="K178" s="45" t="n">
        <f aca="false">J178/$B$15</f>
        <v>11.4946582293495</v>
      </c>
    </row>
    <row r="179" customFormat="false" ht="15" hidden="false" customHeight="true" outlineLevel="0" collapsed="false">
      <c r="A179" s="74" t="n">
        <v>139</v>
      </c>
      <c r="B179" s="22" t="n">
        <f aca="true">NORMINV(RAND(),$B$6,$C$6)</f>
        <v>0.213540387844723</v>
      </c>
      <c r="C179" s="22" t="n">
        <f aca="true">MAX(0.03,NORMINV(RAND(),$B$7,$C$7))</f>
        <v>0.236208566961247</v>
      </c>
      <c r="D179" s="34" t="n">
        <f aca="true">MAX(0.08,NORMINV(RAND(),$B$8,$C$8))</f>
        <v>0.131841693055873</v>
      </c>
      <c r="E179" s="70" t="n">
        <f aca="true">MAX(4,NORMINV(RAND(),$B$9,$C$9))</f>
        <v>10.9295693552158</v>
      </c>
      <c r="F179" s="27" t="n">
        <f aca="false">$B$18*(1+(B179+$B$17)/2)^9</f>
        <v>8442.30029525871</v>
      </c>
      <c r="G179" s="27" t="n">
        <f aca="false">F179*C179</f>
        <v>1994.14365459957</v>
      </c>
      <c r="H179" s="27" t="n">
        <f aca="false">E179*G179/(1+D179)^9</f>
        <v>7149.70793509456</v>
      </c>
      <c r="I179" s="27" t="n">
        <f aca="false">$B$13*G179/$B$12*((1+$B$8)/(1+D179))^4.5</f>
        <v>3087.43785175943</v>
      </c>
      <c r="J179" s="27" t="n">
        <f aca="false">H179+I179+$B$14</f>
        <v>12323.5446649362</v>
      </c>
      <c r="K179" s="45" t="n">
        <f aca="false">J179/$B$15</f>
        <v>19.5611820078352</v>
      </c>
    </row>
    <row r="180" customFormat="false" ht="15" hidden="false" customHeight="true" outlineLevel="0" collapsed="false">
      <c r="A180" s="74" t="n">
        <v>140</v>
      </c>
      <c r="B180" s="22" t="n">
        <f aca="true">NORMINV(RAND(),$B$6,$C$6)</f>
        <v>0.181159352252045</v>
      </c>
      <c r="C180" s="22" t="n">
        <f aca="true">MAX(0.03,NORMINV(RAND(),$B$7,$C$7))</f>
        <v>0.221871623860045</v>
      </c>
      <c r="D180" s="34" t="n">
        <f aca="true">MAX(0.08,NORMINV(RAND(),$B$8,$C$8))</f>
        <v>0.136203095805966</v>
      </c>
      <c r="E180" s="70" t="n">
        <f aca="true">MAX(4,NORMINV(RAND(),$B$9,$C$9))</f>
        <v>15.329993061001</v>
      </c>
      <c r="F180" s="27" t="n">
        <f aca="false">$B$18*(1+(B180+$B$17)/2)^9</f>
        <v>7415.52439815735</v>
      </c>
      <c r="G180" s="27" t="n">
        <f aca="false">F180*C180</f>
        <v>1645.29443999295</v>
      </c>
      <c r="H180" s="27" t="n">
        <f aca="false">E180*G180/(1+D180)^9</f>
        <v>7992.48581187401</v>
      </c>
      <c r="I180" s="27" t="n">
        <f aca="false">$B$13*G180/$B$12*((1+$B$8)/(1+D180))^4.5</f>
        <v>2503.62426019226</v>
      </c>
      <c r="J180" s="27" t="n">
        <f aca="false">H180+I180+$B$14</f>
        <v>12582.5089501485</v>
      </c>
      <c r="K180" s="45" t="n">
        <f aca="false">J180/$B$15</f>
        <v>19.9722364288071</v>
      </c>
    </row>
    <row r="181" customFormat="false" ht="15" hidden="false" customHeight="true" outlineLevel="0" collapsed="false">
      <c r="A181" s="74" t="n">
        <v>141</v>
      </c>
      <c r="B181" s="22" t="n">
        <f aca="true">NORMINV(RAND(),$B$6,$C$6)</f>
        <v>0.280595098724147</v>
      </c>
      <c r="C181" s="22" t="n">
        <f aca="true">MAX(0.03,NORMINV(RAND(),$B$7,$C$7))</f>
        <v>0.170115385949119</v>
      </c>
      <c r="D181" s="34" t="n">
        <f aca="true">MAX(0.08,NORMINV(RAND(),$B$8,$C$8))</f>
        <v>0.134943017601495</v>
      </c>
      <c r="E181" s="70" t="n">
        <f aca="true">MAX(4,NORMINV(RAND(),$B$9,$C$9))</f>
        <v>15.2675463358338</v>
      </c>
      <c r="F181" s="27" t="n">
        <f aca="false">$B$18*(1+(B181+$B$17)/2)^9</f>
        <v>10979.1324392591</v>
      </c>
      <c r="G181" s="27" t="n">
        <f aca="false">F181*C181</f>
        <v>1867.71935229107</v>
      </c>
      <c r="H181" s="27" t="n">
        <f aca="false">E181*G181/(1+D181)^9</f>
        <v>9126.71206690456</v>
      </c>
      <c r="I181" s="27" t="n">
        <f aca="false">$B$13*G181/$B$12*((1+$B$8)/(1+D181))^4.5</f>
        <v>2856.31262226203</v>
      </c>
      <c r="J181" s="27" t="n">
        <f aca="false">H181+I181+$B$14</f>
        <v>14069.4235672488</v>
      </c>
      <c r="K181" s="45" t="n">
        <f aca="false">J181/$B$15</f>
        <v>22.3324183607124</v>
      </c>
    </row>
    <row r="182" customFormat="false" ht="15" hidden="false" customHeight="true" outlineLevel="0" collapsed="false">
      <c r="A182" s="74" t="n">
        <v>142</v>
      </c>
      <c r="B182" s="22" t="n">
        <f aca="true">NORMINV(RAND(),$B$6,$C$6)</f>
        <v>0.216512244250582</v>
      </c>
      <c r="C182" s="22" t="n">
        <f aca="true">MAX(0.03,NORMINV(RAND(),$B$7,$C$7))</f>
        <v>0.21104637007269</v>
      </c>
      <c r="D182" s="34" t="n">
        <f aca="true">MAX(0.08,NORMINV(RAND(),$B$8,$C$8))</f>
        <v>0.146247793630409</v>
      </c>
      <c r="E182" s="70" t="n">
        <f aca="true">MAX(4,NORMINV(RAND(),$B$9,$C$9))</f>
        <v>15.5769719656712</v>
      </c>
      <c r="F182" s="27" t="n">
        <f aca="false">$B$18*(1+(B182+$B$17)/2)^9</f>
        <v>8542.58268107022</v>
      </c>
      <c r="G182" s="27" t="n">
        <f aca="false">F182*C182</f>
        <v>1802.8810658857</v>
      </c>
      <c r="H182" s="27" t="n">
        <f aca="false">E182*G182/(1+D182)^9</f>
        <v>8221.35689266874</v>
      </c>
      <c r="I182" s="27" t="n">
        <f aca="false">$B$13*G182/$B$12*((1+$B$8)/(1+D182))^4.5</f>
        <v>2636.88475157411</v>
      </c>
      <c r="J182" s="27" t="n">
        <f aca="false">H182+I182+$B$14</f>
        <v>12944.640522325</v>
      </c>
      <c r="K182" s="45" t="n">
        <f aca="false">J182/$B$15</f>
        <v>20.547048448135</v>
      </c>
    </row>
    <row r="183" customFormat="false" ht="15" hidden="false" customHeight="true" outlineLevel="0" collapsed="false">
      <c r="A183" s="74" t="n">
        <v>143</v>
      </c>
      <c r="B183" s="22" t="n">
        <f aca="true">NORMINV(RAND(),$B$6,$C$6)</f>
        <v>0.187111588797588</v>
      </c>
      <c r="C183" s="22" t="n">
        <f aca="true">MAX(0.03,NORMINV(RAND(),$B$7,$C$7))</f>
        <v>0.200109320633282</v>
      </c>
      <c r="D183" s="34" t="n">
        <f aca="true">MAX(0.08,NORMINV(RAND(),$B$8,$C$8))</f>
        <v>0.140147632918892</v>
      </c>
      <c r="E183" s="70" t="n">
        <f aca="true">MAX(4,NORMINV(RAND(),$B$9,$C$9))</f>
        <v>12.405158967886</v>
      </c>
      <c r="F183" s="27" t="n">
        <f aca="false">$B$18*(1+(B183+$B$17)/2)^9</f>
        <v>7595.48294560854</v>
      </c>
      <c r="G183" s="27" t="n">
        <f aca="false">F183*C183</f>
        <v>1519.92693212741</v>
      </c>
      <c r="H183" s="27" t="n">
        <f aca="false">E183*G183/(1+D183)^9</f>
        <v>5791.28896152683</v>
      </c>
      <c r="I183" s="27" t="n">
        <f aca="false">$B$13*G183/$B$12*((1+$B$8)/(1+D183))^4.5</f>
        <v>2277.06372131215</v>
      </c>
      <c r="J183" s="27" t="n">
        <f aca="false">H183+I183+$B$14</f>
        <v>10154.7515609212</v>
      </c>
      <c r="K183" s="45" t="n">
        <f aca="false">J183/$B$15</f>
        <v>16.1186532713035</v>
      </c>
    </row>
    <row r="184" customFormat="false" ht="15" hidden="false" customHeight="true" outlineLevel="0" collapsed="false">
      <c r="A184" s="74" t="n">
        <v>144</v>
      </c>
      <c r="B184" s="22" t="n">
        <f aca="true">NORMINV(RAND(),$B$6,$C$6)</f>
        <v>0.236384298958237</v>
      </c>
      <c r="C184" s="22" t="n">
        <f aca="true">MAX(0.03,NORMINV(RAND(),$B$7,$C$7))</f>
        <v>0.196091449858965</v>
      </c>
      <c r="D184" s="34" t="n">
        <f aca="true">MAX(0.08,NORMINV(RAND(),$B$8,$C$8))</f>
        <v>0.140699213940209</v>
      </c>
      <c r="E184" s="70" t="n">
        <f aca="true">MAX(4,NORMINV(RAND(),$B$9,$C$9))</f>
        <v>14.424650488884</v>
      </c>
      <c r="F184" s="27" t="n">
        <f aca="false">$B$18*(1+(B184+$B$17)/2)^9</f>
        <v>9240.80118344471</v>
      </c>
      <c r="G184" s="27" t="n">
        <f aca="false">F184*C184</f>
        <v>1812.04210192011</v>
      </c>
      <c r="H184" s="27" t="n">
        <f aca="false">E184*G184/(1+D184)^9</f>
        <v>7993.43232737545</v>
      </c>
      <c r="I184" s="27" t="n">
        <f aca="false">$B$13*G184/$B$12*((1+$B$8)/(1+D184))^4.5</f>
        <v>2708.79115194348</v>
      </c>
      <c r="J184" s="27" t="n">
        <f aca="false">H184+I184+$B$14</f>
        <v>12788.6223574011</v>
      </c>
      <c r="K184" s="45" t="n">
        <f aca="false">J184/$B$15</f>
        <v>20.2994005673034</v>
      </c>
    </row>
    <row r="185" customFormat="false" ht="15" hidden="false" customHeight="true" outlineLevel="0" collapsed="false">
      <c r="A185" s="74" t="n">
        <v>145</v>
      </c>
      <c r="B185" s="22" t="n">
        <f aca="true">NORMINV(RAND(),$B$6,$C$6)</f>
        <v>0.261184808361197</v>
      </c>
      <c r="C185" s="22" t="n">
        <f aca="true">MAX(0.03,NORMINV(RAND(),$B$7,$C$7))</f>
        <v>0.158841557182697</v>
      </c>
      <c r="D185" s="34" t="n">
        <f aca="true">MAX(0.08,NORMINV(RAND(),$B$8,$C$8))</f>
        <v>0.135751129961311</v>
      </c>
      <c r="E185" s="70" t="n">
        <f aca="true">MAX(4,NORMINV(RAND(),$B$9,$C$9))</f>
        <v>13.5063223651791</v>
      </c>
      <c r="F185" s="27" t="n">
        <f aca="false">$B$18*(1+(B185+$B$17)/2)^9</f>
        <v>10183.0677325964</v>
      </c>
      <c r="G185" s="27" t="n">
        <f aca="false">F185*C185</f>
        <v>1617.4943355425</v>
      </c>
      <c r="H185" s="27" t="n">
        <f aca="false">E185*G185/(1+D185)^9</f>
        <v>6947.54360883262</v>
      </c>
      <c r="I185" s="27" t="n">
        <f aca="false">$B$13*G185/$B$12*((1+$B$8)/(1+D185))^4.5</f>
        <v>2465.73186539519</v>
      </c>
      <c r="J185" s="27" t="n">
        <f aca="false">H185+I185+$B$14</f>
        <v>11499.67435231</v>
      </c>
      <c r="K185" s="45" t="n">
        <f aca="false">J185/$B$15</f>
        <v>18.253451352873</v>
      </c>
    </row>
    <row r="186" customFormat="false" ht="15" hidden="false" customHeight="true" outlineLevel="0" collapsed="false">
      <c r="A186" s="74" t="n">
        <v>146</v>
      </c>
      <c r="B186" s="22" t="n">
        <f aca="true">NORMINV(RAND(),$B$6,$C$6)</f>
        <v>0.259590382630065</v>
      </c>
      <c r="C186" s="22" t="n">
        <f aca="true">MAX(0.03,NORMINV(RAND(),$B$7,$C$7))</f>
        <v>0.181811583257549</v>
      </c>
      <c r="D186" s="34" t="n">
        <f aca="true">MAX(0.08,NORMINV(RAND(),$B$8,$C$8))</f>
        <v>0.128175398995707</v>
      </c>
      <c r="E186" s="70" t="n">
        <f aca="true">MAX(4,NORMINV(RAND(),$B$9,$C$9))</f>
        <v>10.9055189163669</v>
      </c>
      <c r="F186" s="27" t="n">
        <f aca="false">$B$18*(1+(B186+$B$17)/2)^9</f>
        <v>10120.0166417599</v>
      </c>
      <c r="G186" s="27" t="n">
        <f aca="false">F186*C186</f>
        <v>1839.93624823111</v>
      </c>
      <c r="H186" s="27" t="n">
        <f aca="false">E186*G186/(1+D186)^9</f>
        <v>6777.34327664998</v>
      </c>
      <c r="I186" s="27" t="n">
        <f aca="false">$B$13*G186/$B$12*((1+$B$8)/(1+D186))^4.5</f>
        <v>2890.58230712072</v>
      </c>
      <c r="J186" s="27" t="n">
        <f aca="false">H186+I186+$B$14</f>
        <v>11754.3244618529</v>
      </c>
      <c r="K186" s="45" t="n">
        <f aca="false">J186/$B$15</f>
        <v>18.657657875957</v>
      </c>
    </row>
    <row r="187" customFormat="false" ht="15" hidden="false" customHeight="true" outlineLevel="0" collapsed="false">
      <c r="A187" s="74" t="n">
        <v>147</v>
      </c>
      <c r="B187" s="22" t="n">
        <f aca="true">NORMINV(RAND(),$B$6,$C$6)</f>
        <v>0.17173367973677</v>
      </c>
      <c r="C187" s="22" t="n">
        <f aca="true">MAX(0.03,NORMINV(RAND(),$B$7,$C$7))</f>
        <v>0.212960628486953</v>
      </c>
      <c r="D187" s="34" t="n">
        <f aca="true">MAX(0.08,NORMINV(RAND(),$B$8,$C$8))</f>
        <v>0.158796601941458</v>
      </c>
      <c r="E187" s="70" t="n">
        <f aca="true">MAX(4,NORMINV(RAND(),$B$9,$C$9))</f>
        <v>17.2850743363224</v>
      </c>
      <c r="F187" s="27" t="n">
        <f aca="false">$B$18*(1+(B187+$B$17)/2)^9</f>
        <v>7138.2959986101</v>
      </c>
      <c r="G187" s="27" t="n">
        <f aca="false">F187*C187</f>
        <v>1520.17600218991</v>
      </c>
      <c r="H187" s="27" t="n">
        <f aca="false">E187*G187/(1+D187)^9</f>
        <v>6974.29329199345</v>
      </c>
      <c r="I187" s="27" t="n">
        <f aca="false">$B$13*G187/$B$12*((1+$B$8)/(1+D187))^4.5</f>
        <v>2117.08742319986</v>
      </c>
      <c r="J187" s="27" t="n">
        <f aca="false">H187+I187+$B$14</f>
        <v>11177.7795932755</v>
      </c>
      <c r="K187" s="45" t="n">
        <f aca="false">J187/$B$15</f>
        <v>17.7425072909135</v>
      </c>
    </row>
    <row r="188" customFormat="false" ht="15" hidden="false" customHeight="true" outlineLevel="0" collapsed="false">
      <c r="A188" s="74" t="n">
        <v>148</v>
      </c>
      <c r="B188" s="22" t="n">
        <f aca="true">NORMINV(RAND(),$B$6,$C$6)</f>
        <v>0.208005524461183</v>
      </c>
      <c r="C188" s="22" t="n">
        <f aca="true">MAX(0.03,NORMINV(RAND(),$B$7,$C$7))</f>
        <v>0.195817631658401</v>
      </c>
      <c r="D188" s="34" t="n">
        <f aca="true">MAX(0.08,NORMINV(RAND(),$B$8,$C$8))</f>
        <v>0.143406923140807</v>
      </c>
      <c r="E188" s="70" t="n">
        <f aca="true">MAX(4,NORMINV(RAND(),$B$9,$C$9))</f>
        <v>12.6018130031577</v>
      </c>
      <c r="F188" s="27" t="n">
        <f aca="false">$B$18*(1+(B188+$B$17)/2)^9</f>
        <v>8258.31731521034</v>
      </c>
      <c r="G188" s="27" t="n">
        <f aca="false">F188*C188</f>
        <v>1617.12413814805</v>
      </c>
      <c r="H188" s="27" t="n">
        <f aca="false">E188*G188/(1+D188)^9</f>
        <v>6100.55059593461</v>
      </c>
      <c r="I188" s="27" t="n">
        <f aca="false">$B$13*G188/$B$12*((1+$B$8)/(1+D188))^4.5</f>
        <v>2391.75703154259</v>
      </c>
      <c r="J188" s="27" t="n">
        <f aca="false">H188+I188+$B$14</f>
        <v>10578.7065055594</v>
      </c>
      <c r="K188" s="45" t="n">
        <f aca="false">J188/$B$15</f>
        <v>16.7915976278721</v>
      </c>
    </row>
    <row r="189" customFormat="false" ht="15" hidden="false" customHeight="true" outlineLevel="0" collapsed="false">
      <c r="A189" s="74" t="n">
        <v>149</v>
      </c>
      <c r="B189" s="22" t="n">
        <f aca="true">NORMINV(RAND(),$B$6,$C$6)</f>
        <v>0.24481854453578</v>
      </c>
      <c r="C189" s="22" t="n">
        <f aca="true">MAX(0.03,NORMINV(RAND(),$B$7,$C$7))</f>
        <v>0.154127926284924</v>
      </c>
      <c r="D189" s="34" t="n">
        <f aca="true">MAX(0.08,NORMINV(RAND(),$B$8,$C$8))</f>
        <v>0.135236749454303</v>
      </c>
      <c r="E189" s="70" t="n">
        <f aca="true">MAX(4,NORMINV(RAND(),$B$9,$C$9))</f>
        <v>8.60558149004571</v>
      </c>
      <c r="F189" s="27" t="n">
        <f aca="false">$B$18*(1+(B189+$B$17)/2)^9</f>
        <v>9552.16293573081</v>
      </c>
      <c r="G189" s="27" t="n">
        <f aca="false">F189*C189</f>
        <v>1472.2550648199</v>
      </c>
      <c r="H189" s="27" t="n">
        <f aca="false">E189*G189/(1+D189)^9</f>
        <v>4045.62202582256</v>
      </c>
      <c r="I189" s="27" t="n">
        <f aca="false">$B$13*G189/$B$12*((1+$B$8)/(1+D189))^4.5</f>
        <v>2248.90675355804</v>
      </c>
      <c r="J189" s="27" t="n">
        <f aca="false">H189+I189+$B$14</f>
        <v>8380.92765746278</v>
      </c>
      <c r="K189" s="45" t="n">
        <f aca="false">J189/$B$15</f>
        <v>13.3030597737505</v>
      </c>
    </row>
    <row r="190" customFormat="false" ht="15" hidden="false" customHeight="true" outlineLevel="0" collapsed="false">
      <c r="A190" s="74" t="n">
        <v>150</v>
      </c>
      <c r="B190" s="22" t="n">
        <f aca="true">NORMINV(RAND(),$B$6,$C$6)</f>
        <v>0.129689044335253</v>
      </c>
      <c r="C190" s="22" t="n">
        <f aca="true">MAX(0.03,NORMINV(RAND(),$B$7,$C$7))</f>
        <v>0.235742465396411</v>
      </c>
      <c r="D190" s="34" t="n">
        <f aca="true">MAX(0.08,NORMINV(RAND(),$B$8,$C$8))</f>
        <v>0.119013599565147</v>
      </c>
      <c r="E190" s="70" t="n">
        <f aca="true">MAX(4,NORMINV(RAND(),$B$9,$C$9))</f>
        <v>15.4800433540641</v>
      </c>
      <c r="F190" s="27" t="n">
        <f aca="false">$B$18*(1+(B190+$B$17)/2)^9</f>
        <v>6010.59459881817</v>
      </c>
      <c r="G190" s="27" t="n">
        <f aca="false">F190*C190</f>
        <v>1416.95238922375</v>
      </c>
      <c r="H190" s="27" t="n">
        <f aca="false">E190*G190/(1+D190)^9</f>
        <v>7972.76840801739</v>
      </c>
      <c r="I190" s="27" t="n">
        <f aca="false">$B$13*G190/$B$12*((1+$B$8)/(1+D190))^4.5</f>
        <v>2309.26352231966</v>
      </c>
      <c r="J190" s="27" t="n">
        <f aca="false">H190+I190+$B$14</f>
        <v>12368.4308084192</v>
      </c>
      <c r="K190" s="45" t="n">
        <f aca="false">J190/$B$15</f>
        <v>19.6324298546337</v>
      </c>
    </row>
    <row r="191" customFormat="false" ht="15" hidden="false" customHeight="true" outlineLevel="0" collapsed="false">
      <c r="A191" s="74" t="n">
        <v>151</v>
      </c>
      <c r="B191" s="22" t="n">
        <f aca="true">NORMINV(RAND(),$B$6,$C$6)</f>
        <v>0.247266285398576</v>
      </c>
      <c r="C191" s="22" t="n">
        <f aca="true">MAX(0.03,NORMINV(RAND(),$B$7,$C$7))</f>
        <v>0.178884708963715</v>
      </c>
      <c r="D191" s="34" t="n">
        <f aca="true">MAX(0.08,NORMINV(RAND(),$B$8,$C$8))</f>
        <v>0.138534971631305</v>
      </c>
      <c r="E191" s="70" t="n">
        <f aca="true">MAX(4,NORMINV(RAND(),$B$9,$C$9))</f>
        <v>11.1939490474217</v>
      </c>
      <c r="F191" s="27" t="n">
        <f aca="false">$B$18*(1+(B191+$B$17)/2)^9</f>
        <v>9644.25345385517</v>
      </c>
      <c r="G191" s="27" t="n">
        <f aca="false">F191*C191</f>
        <v>1725.20947226518</v>
      </c>
      <c r="H191" s="27" t="n">
        <f aca="false">E191*G191/(1+D191)^9</f>
        <v>6007.693722952</v>
      </c>
      <c r="I191" s="27" t="n">
        <f aca="false">$B$13*G191/$B$12*((1+$B$8)/(1+D191))^4.5</f>
        <v>2601.12081448798</v>
      </c>
      <c r="J191" s="27" t="n">
        <f aca="false">H191+I191+$B$14</f>
        <v>10695.2134155222</v>
      </c>
      <c r="K191" s="45" t="n">
        <f aca="false">J191/$B$15</f>
        <v>16.9765292309876</v>
      </c>
    </row>
    <row r="192" customFormat="false" ht="15" hidden="false" customHeight="true" outlineLevel="0" collapsed="false">
      <c r="A192" s="74" t="n">
        <v>152</v>
      </c>
      <c r="B192" s="22" t="n">
        <f aca="true">NORMINV(RAND(),$B$6,$C$6)</f>
        <v>0.224547712928267</v>
      </c>
      <c r="C192" s="22" t="n">
        <f aca="true">MAX(0.03,NORMINV(RAND(),$B$7,$C$7))</f>
        <v>0.170706948065122</v>
      </c>
      <c r="D192" s="34" t="n">
        <f aca="true">MAX(0.08,NORMINV(RAND(),$B$8,$C$8))</f>
        <v>0.138188765246557</v>
      </c>
      <c r="E192" s="70" t="n">
        <f aca="true">MAX(4,NORMINV(RAND(),$B$9,$C$9))</f>
        <v>9.26032803256086</v>
      </c>
      <c r="F192" s="27" t="n">
        <f aca="false">$B$18*(1+(B192+$B$17)/2)^9</f>
        <v>8819.05452047444</v>
      </c>
      <c r="G192" s="27" t="n">
        <f aca="false">F192*C192</f>
        <v>1505.47388201011</v>
      </c>
      <c r="H192" s="27" t="n">
        <f aca="false">E192*G192/(1+D192)^9</f>
        <v>4348.81513206928</v>
      </c>
      <c r="I192" s="27" t="n">
        <f aca="false">$B$13*G192/$B$12*((1+$B$8)/(1+D192))^4.5</f>
        <v>2272.93113959984</v>
      </c>
      <c r="J192" s="27" t="n">
        <f aca="false">H192+I192+$B$14</f>
        <v>8708.14514975131</v>
      </c>
      <c r="K192" s="45" t="n">
        <f aca="false">J192/$B$15</f>
        <v>13.8224526186529</v>
      </c>
    </row>
    <row r="193" customFormat="false" ht="15" hidden="false" customHeight="true" outlineLevel="0" collapsed="false">
      <c r="A193" s="74" t="n">
        <v>153</v>
      </c>
      <c r="B193" s="22" t="n">
        <f aca="true">NORMINV(RAND(),$B$6,$C$6)</f>
        <v>0.158868496070552</v>
      </c>
      <c r="C193" s="22" t="n">
        <f aca="true">MAX(0.03,NORMINV(RAND(),$B$7,$C$7))</f>
        <v>0.24749963155566</v>
      </c>
      <c r="D193" s="34" t="n">
        <f aca="true">MAX(0.08,NORMINV(RAND(),$B$8,$C$8))</f>
        <v>0.144237363813008</v>
      </c>
      <c r="E193" s="70" t="n">
        <f aca="true">MAX(4,NORMINV(RAND(),$B$9,$C$9))</f>
        <v>10.0851080080493</v>
      </c>
      <c r="F193" s="27" t="n">
        <f aca="false">$B$18*(1+(B193+$B$17)/2)^9</f>
        <v>6774.78184357294</v>
      </c>
      <c r="G193" s="27" t="n">
        <f aca="false">F193*C193</f>
        <v>1676.75601015428</v>
      </c>
      <c r="H193" s="27" t="n">
        <f aca="false">E193*G193/(1+D193)^9</f>
        <v>5029.27403141831</v>
      </c>
      <c r="I193" s="27" t="n">
        <f aca="false">$B$13*G193/$B$12*((1+$B$8)/(1+D193))^4.5</f>
        <v>2471.86465270151</v>
      </c>
      <c r="J193" s="27" t="n">
        <f aca="false">H193+I193+$B$14</f>
        <v>9587.537562202</v>
      </c>
      <c r="K193" s="45" t="n">
        <f aca="false">J193/$B$15</f>
        <v>15.2183135907968</v>
      </c>
    </row>
    <row r="194" customFormat="false" ht="15" hidden="false" customHeight="true" outlineLevel="0" collapsed="false">
      <c r="A194" s="74" t="n">
        <v>154</v>
      </c>
      <c r="B194" s="22" t="n">
        <f aca="true">NORMINV(RAND(),$B$6,$C$6)</f>
        <v>0.197815145867376</v>
      </c>
      <c r="C194" s="22" t="n">
        <f aca="true">MAX(0.03,NORMINV(RAND(),$B$7,$C$7))</f>
        <v>0.194645457915961</v>
      </c>
      <c r="D194" s="34" t="n">
        <f aca="true">MAX(0.08,NORMINV(RAND(),$B$8,$C$8))</f>
        <v>0.151618743903885</v>
      </c>
      <c r="E194" s="70" t="n">
        <f aca="true">MAX(4,NORMINV(RAND(),$B$9,$C$9))</f>
        <v>9.02885210202312</v>
      </c>
      <c r="F194" s="27" t="n">
        <f aca="false">$B$18*(1+(B194+$B$17)/2)^9</f>
        <v>7928.88106612737</v>
      </c>
      <c r="G194" s="27" t="n">
        <f aca="false">F194*C194</f>
        <v>1543.32068587756</v>
      </c>
      <c r="H194" s="27" t="n">
        <f aca="false">E194*G194/(1+D194)^9</f>
        <v>3911.20151308097</v>
      </c>
      <c r="I194" s="27" t="n">
        <f aca="false">$B$13*G194/$B$12*((1+$B$8)/(1+D194))^4.5</f>
        <v>2210.26473009809</v>
      </c>
      <c r="J194" s="27" t="n">
        <f aca="false">H194+I194+$B$14</f>
        <v>8207.86512126125</v>
      </c>
      <c r="K194" s="45" t="n">
        <f aca="false">J194/$B$15</f>
        <v>13.0283573353353</v>
      </c>
    </row>
    <row r="195" customFormat="false" ht="15" hidden="false" customHeight="true" outlineLevel="0" collapsed="false">
      <c r="A195" s="74" t="n">
        <v>155</v>
      </c>
      <c r="B195" s="22" t="n">
        <f aca="true">NORMINV(RAND(),$B$6,$C$6)</f>
        <v>0.169298120847054</v>
      </c>
      <c r="C195" s="22" t="n">
        <f aca="true">MAX(0.03,NORMINV(RAND(),$B$7,$C$7))</f>
        <v>0.156232920053407</v>
      </c>
      <c r="D195" s="34" t="n">
        <f aca="true">MAX(0.08,NORMINV(RAND(),$B$8,$C$8))</f>
        <v>0.143226756003873</v>
      </c>
      <c r="E195" s="70" t="n">
        <f aca="true">MAX(4,NORMINV(RAND(),$B$9,$C$9))</f>
        <v>15.0699355385605</v>
      </c>
      <c r="F195" s="27" t="n">
        <f aca="false">$B$18*(1+(B195+$B$17)/2)^9</f>
        <v>7068.17630221405</v>
      </c>
      <c r="G195" s="27" t="n">
        <f aca="false">F195*C195</f>
        <v>1104.2818231472</v>
      </c>
      <c r="H195" s="27" t="n">
        <f aca="false">E195*G195/(1+D195)^9</f>
        <v>4988.84369495898</v>
      </c>
      <c r="I195" s="27" t="n">
        <f aca="false">$B$13*G195/$B$12*((1+$B$8)/(1+D195))^4.5</f>
        <v>1634.41218515191</v>
      </c>
      <c r="J195" s="27" t="n">
        <f aca="false">H195+I195+$B$14</f>
        <v>8709.65475819309</v>
      </c>
      <c r="K195" s="45" t="n">
        <f aca="false">J195/$B$15</f>
        <v>13.8248488225287</v>
      </c>
    </row>
    <row r="196" customFormat="false" ht="15" hidden="false" customHeight="true" outlineLevel="0" collapsed="false">
      <c r="A196" s="74" t="n">
        <v>156</v>
      </c>
      <c r="B196" s="22" t="n">
        <f aca="true">NORMINV(RAND(),$B$6,$C$6)</f>
        <v>0.155174743881752</v>
      </c>
      <c r="C196" s="22" t="n">
        <f aca="true">MAX(0.03,NORMINV(RAND(),$B$7,$C$7))</f>
        <v>0.237491647934665</v>
      </c>
      <c r="D196" s="34" t="n">
        <f aca="true">MAX(0.08,NORMINV(RAND(),$B$8,$C$8))</f>
        <v>0.120039951187906</v>
      </c>
      <c r="E196" s="70" t="n">
        <f aca="true">MAX(4,NORMINV(RAND(),$B$9,$C$9))</f>
        <v>10.9831221650051</v>
      </c>
      <c r="F196" s="27" t="n">
        <f aca="false">$B$18*(1+(B196+$B$17)/2)^9</f>
        <v>6673.49982029571</v>
      </c>
      <c r="G196" s="27" t="n">
        <f aca="false">F196*C196</f>
        <v>1584.90046981372</v>
      </c>
      <c r="H196" s="27" t="n">
        <f aca="false">E196*G196/(1+D196)^9</f>
        <v>6275.17992405358</v>
      </c>
      <c r="I196" s="27" t="n">
        <f aca="false">$B$13*G196/$B$12*((1+$B$8)/(1+D196))^4.5</f>
        <v>2572.34111629245</v>
      </c>
      <c r="J196" s="27" t="n">
        <f aca="false">H196+I196+$B$14</f>
        <v>10933.9199184282</v>
      </c>
      <c r="K196" s="45" t="n">
        <f aca="false">J196/$B$15</f>
        <v>17.3554284419496</v>
      </c>
    </row>
    <row r="197" customFormat="false" ht="15" hidden="false" customHeight="true" outlineLevel="0" collapsed="false">
      <c r="A197" s="74" t="n">
        <v>157</v>
      </c>
      <c r="B197" s="22" t="n">
        <f aca="true">NORMINV(RAND(),$B$6,$C$6)</f>
        <v>0.225448348178311</v>
      </c>
      <c r="C197" s="22" t="n">
        <f aca="true">MAX(0.03,NORMINV(RAND(),$B$7,$C$7))</f>
        <v>0.165854493365822</v>
      </c>
      <c r="D197" s="34" t="n">
        <f aca="true">MAX(0.08,NORMINV(RAND(),$B$8,$C$8))</f>
        <v>0.147757815121252</v>
      </c>
      <c r="E197" s="70" t="n">
        <f aca="true">MAX(4,NORMINV(RAND(),$B$9,$C$9))</f>
        <v>13.1637708050525</v>
      </c>
      <c r="F197" s="27" t="n">
        <f aca="false">$B$18*(1+(B197+$B$17)/2)^9</f>
        <v>8850.53246561375</v>
      </c>
      <c r="G197" s="27" t="n">
        <f aca="false">F197*C197</f>
        <v>1467.90057810213</v>
      </c>
      <c r="H197" s="27" t="n">
        <f aca="false">E197*G197/(1+D197)^9</f>
        <v>5590.16499688515</v>
      </c>
      <c r="I197" s="27" t="n">
        <f aca="false">$B$13*G197/$B$12*((1+$B$8)/(1+D197))^4.5</f>
        <v>2134.26261095088</v>
      </c>
      <c r="J197" s="27" t="n">
        <f aca="false">H197+I197+$B$14</f>
        <v>9810.82648591822</v>
      </c>
      <c r="K197" s="45" t="n">
        <f aca="false">J197/$B$15</f>
        <v>15.5727404538385</v>
      </c>
    </row>
    <row r="198" customFormat="false" ht="15" hidden="false" customHeight="true" outlineLevel="0" collapsed="false">
      <c r="A198" s="74" t="n">
        <v>158</v>
      </c>
      <c r="B198" s="22" t="n">
        <f aca="true">NORMINV(RAND(),$B$6,$C$6)</f>
        <v>0.143345890437564</v>
      </c>
      <c r="C198" s="22" t="n">
        <f aca="true">MAX(0.03,NORMINV(RAND(),$B$7,$C$7))</f>
        <v>0.203833587125005</v>
      </c>
      <c r="D198" s="34" t="n">
        <f aca="true">MAX(0.08,NORMINV(RAND(),$B$8,$C$8))</f>
        <v>0.133009742581285</v>
      </c>
      <c r="E198" s="70" t="n">
        <f aca="true">MAX(4,NORMINV(RAND(),$B$9,$C$9))</f>
        <v>11.4554719764255</v>
      </c>
      <c r="F198" s="27" t="n">
        <f aca="false">$B$18*(1+(B198+$B$17)/2)^9</f>
        <v>6358.14887010928</v>
      </c>
      <c r="G198" s="27" t="n">
        <f aca="false">F198*C198</f>
        <v>1296.00429166917</v>
      </c>
      <c r="H198" s="27" t="n">
        <f aca="false">E198*G198/(1+D198)^9</f>
        <v>4825.2145431852</v>
      </c>
      <c r="I198" s="27" t="n">
        <f aca="false">$B$13*G198/$B$12*((1+$B$8)/(1+D198))^4.5</f>
        <v>1997.2499483904</v>
      </c>
      <c r="J198" s="27" t="n">
        <f aca="false">H198+I198+$B$14</f>
        <v>8908.86336965779</v>
      </c>
      <c r="K198" s="45" t="n">
        <f aca="false">J198/$B$15</f>
        <v>14.1410529677108</v>
      </c>
    </row>
    <row r="199" customFormat="false" ht="15" hidden="false" customHeight="true" outlineLevel="0" collapsed="false">
      <c r="A199" s="74" t="n">
        <v>159</v>
      </c>
      <c r="B199" s="22" t="n">
        <f aca="true">NORMINV(RAND(),$B$6,$C$6)</f>
        <v>0.216707077773834</v>
      </c>
      <c r="C199" s="22" t="n">
        <f aca="true">MAX(0.03,NORMINV(RAND(),$B$7,$C$7))</f>
        <v>0.190853571471094</v>
      </c>
      <c r="D199" s="34" t="n">
        <f aca="true">MAX(0.08,NORMINV(RAND(),$B$8,$C$8))</f>
        <v>0.126690554993388</v>
      </c>
      <c r="E199" s="70" t="n">
        <f aca="true">MAX(4,NORMINV(RAND(),$B$9,$C$9))</f>
        <v>8.25342729063932</v>
      </c>
      <c r="F199" s="27" t="n">
        <f aca="false">$B$18*(1+(B199+$B$17)/2)^9</f>
        <v>8549.19397780669</v>
      </c>
      <c r="G199" s="27" t="n">
        <f aca="false">F199*C199</f>
        <v>1631.64420386358</v>
      </c>
      <c r="H199" s="27" t="n">
        <f aca="false">E199*G199/(1+D199)^9</f>
        <v>4602.7555389444</v>
      </c>
      <c r="I199" s="27" t="n">
        <f aca="false">$B$13*G199/$B$12*((1+$B$8)/(1+D199))^4.5</f>
        <v>2578.58765657355</v>
      </c>
      <c r="J199" s="27" t="n">
        <f aca="false">H199+I199+$B$14</f>
        <v>9267.74207360013</v>
      </c>
      <c r="K199" s="45" t="n">
        <f aca="false">J199/$B$15</f>
        <v>14.7107017041272</v>
      </c>
    </row>
    <row r="200" customFormat="false" ht="15" hidden="false" customHeight="true" outlineLevel="0" collapsed="false">
      <c r="A200" s="74" t="n">
        <v>160</v>
      </c>
      <c r="B200" s="22" t="n">
        <f aca="true">NORMINV(RAND(),$B$6,$C$6)</f>
        <v>0.33007298476099</v>
      </c>
      <c r="C200" s="22" t="n">
        <f aca="true">MAX(0.03,NORMINV(RAND(),$B$7,$C$7))</f>
        <v>0.150714196286298</v>
      </c>
      <c r="D200" s="34" t="n">
        <f aca="true">MAX(0.08,NORMINV(RAND(),$B$8,$C$8))</f>
        <v>0.131758705256725</v>
      </c>
      <c r="E200" s="70" t="n">
        <f aca="true">MAX(4,NORMINV(RAND(),$B$9,$C$9))</f>
        <v>11.2236088797799</v>
      </c>
      <c r="F200" s="27" t="n">
        <f aca="false">$B$18*(1+(B200+$B$17)/2)^9</f>
        <v>13264.1382137331</v>
      </c>
      <c r="G200" s="27" t="n">
        <f aca="false">F200*C200</f>
        <v>1999.09393031315</v>
      </c>
      <c r="H200" s="27" t="n">
        <f aca="false">E200*G200/(1+D200)^9</f>
        <v>7365.1421174003</v>
      </c>
      <c r="I200" s="27" t="n">
        <f aca="false">$B$13*G200/$B$12*((1+$B$8)/(1+D200))^4.5</f>
        <v>3096.12354668223</v>
      </c>
      <c r="J200" s="27" t="n">
        <f aca="false">H200+I200+$B$14</f>
        <v>12547.6645421647</v>
      </c>
      <c r="K200" s="45" t="n">
        <f aca="false">J200/$B$15</f>
        <v>19.9169278447059</v>
      </c>
    </row>
    <row r="201" customFormat="false" ht="15" hidden="false" customHeight="true" outlineLevel="0" collapsed="false">
      <c r="A201" s="74" t="n">
        <v>161</v>
      </c>
      <c r="B201" s="22" t="n">
        <f aca="true">NORMINV(RAND(),$B$6,$C$6)</f>
        <v>0.177718098273096</v>
      </c>
      <c r="C201" s="22" t="n">
        <f aca="true">MAX(0.03,NORMINV(RAND(),$B$7,$C$7))</f>
        <v>0.199546629393293</v>
      </c>
      <c r="D201" s="34" t="n">
        <f aca="true">MAX(0.08,NORMINV(RAND(),$B$8,$C$8))</f>
        <v>0.131280104170879</v>
      </c>
      <c r="E201" s="70" t="n">
        <f aca="true">MAX(4,NORMINV(RAND(),$B$9,$C$9))</f>
        <v>12.7356768982014</v>
      </c>
      <c r="F201" s="27" t="n">
        <f aca="false">$B$18*(1+(B201+$B$17)/2)^9</f>
        <v>7313.22041585796</v>
      </c>
      <c r="G201" s="27" t="n">
        <f aca="false">F201*C201</f>
        <v>1459.32848399467</v>
      </c>
      <c r="H201" s="27" t="n">
        <f aca="false">E201*G201/(1+D201)^9</f>
        <v>6124.12079928703</v>
      </c>
      <c r="I201" s="27" t="n">
        <f aca="false">$B$13*G201/$B$12*((1+$B$8)/(1+D201))^4.5</f>
        <v>2264.46058632121</v>
      </c>
      <c r="J201" s="27" t="n">
        <f aca="false">H201+I201+$B$14</f>
        <v>10474.9802636904</v>
      </c>
      <c r="K201" s="45" t="n">
        <f aca="false">J201/$B$15</f>
        <v>16.6269527995086</v>
      </c>
    </row>
    <row r="202" customFormat="false" ht="15" hidden="false" customHeight="true" outlineLevel="0" collapsed="false">
      <c r="A202" s="74" t="n">
        <v>162</v>
      </c>
      <c r="B202" s="22" t="n">
        <f aca="true">NORMINV(RAND(),$B$6,$C$6)</f>
        <v>0.184299402289136</v>
      </c>
      <c r="C202" s="22" t="n">
        <f aca="true">MAX(0.03,NORMINV(RAND(),$B$7,$C$7))</f>
        <v>0.233828028539076</v>
      </c>
      <c r="D202" s="34" t="n">
        <f aca="true">MAX(0.08,NORMINV(RAND(),$B$8,$C$8))</f>
        <v>0.138306750761641</v>
      </c>
      <c r="E202" s="70" t="n">
        <f aca="true">MAX(4,NORMINV(RAND(),$B$9,$C$9))</f>
        <v>9.19237305283528</v>
      </c>
      <c r="F202" s="27" t="n">
        <f aca="false">$B$18*(1+(B202+$B$17)/2)^9</f>
        <v>7509.98187502171</v>
      </c>
      <c r="G202" s="27" t="n">
        <f aca="false">F202*C202</f>
        <v>1756.04425620052</v>
      </c>
      <c r="H202" s="27" t="n">
        <f aca="false">E202*G202/(1+D202)^9</f>
        <v>5030.7101392599</v>
      </c>
      <c r="I202" s="27" t="n">
        <f aca="false">$B$13*G202/$B$12*((1+$B$8)/(1+D202))^4.5</f>
        <v>2650.00036451919</v>
      </c>
      <c r="J202" s="27" t="n">
        <f aca="false">H202+I202+$B$14</f>
        <v>9767.10938186128</v>
      </c>
      <c r="K202" s="45" t="n">
        <f aca="false">J202/$B$15</f>
        <v>15.5033482251766</v>
      </c>
    </row>
    <row r="203" customFormat="false" ht="15" hidden="false" customHeight="true" outlineLevel="0" collapsed="false">
      <c r="A203" s="74" t="n">
        <v>163</v>
      </c>
      <c r="B203" s="22" t="n">
        <f aca="true">NORMINV(RAND(),$B$6,$C$6)</f>
        <v>0.20431373529025</v>
      </c>
      <c r="C203" s="22" t="n">
        <f aca="true">MAX(0.03,NORMINV(RAND(),$B$7,$C$7))</f>
        <v>0.210806307415491</v>
      </c>
      <c r="D203" s="34" t="n">
        <f aca="true">MAX(0.08,NORMINV(RAND(),$B$8,$C$8))</f>
        <v>0.14001817031393</v>
      </c>
      <c r="E203" s="70" t="n">
        <f aca="true">MAX(4,NORMINV(RAND(),$B$9,$C$9))</f>
        <v>14.3909365713015</v>
      </c>
      <c r="F203" s="27" t="n">
        <f aca="false">$B$18*(1+(B203+$B$17)/2)^9</f>
        <v>8137.58951953297</v>
      </c>
      <c r="G203" s="27" t="n">
        <f aca="false">F203*C203</f>
        <v>1715.45519787575</v>
      </c>
      <c r="H203" s="27" t="n">
        <f aca="false">E203*G203/(1+D203)^9</f>
        <v>7590.3618147081</v>
      </c>
      <c r="I203" s="27" t="n">
        <f aca="false">$B$13*G203/$B$12*((1+$B$8)/(1+D203))^4.5</f>
        <v>2571.30608748762</v>
      </c>
      <c r="J203" s="27" t="n">
        <f aca="false">H203+I203+$B$14</f>
        <v>12248.0667802779</v>
      </c>
      <c r="K203" s="45" t="n">
        <f aca="false">J203/$B$15</f>
        <v>19.441375841711</v>
      </c>
    </row>
    <row r="204" customFormat="false" ht="15" hidden="false" customHeight="true" outlineLevel="0" collapsed="false">
      <c r="A204" s="74" t="n">
        <v>164</v>
      </c>
      <c r="B204" s="22" t="n">
        <f aca="true">NORMINV(RAND(),$B$6,$C$6)</f>
        <v>0.22597236043035</v>
      </c>
      <c r="C204" s="22" t="n">
        <f aca="true">MAX(0.03,NORMINV(RAND(),$B$7,$C$7))</f>
        <v>0.267733454420186</v>
      </c>
      <c r="D204" s="34" t="n">
        <f aca="true">MAX(0.08,NORMINV(RAND(),$B$8,$C$8))</f>
        <v>0.133939765272131</v>
      </c>
      <c r="E204" s="70" t="n">
        <f aca="true">MAX(4,NORMINV(RAND(),$B$9,$C$9))</f>
        <v>15.1102947609931</v>
      </c>
      <c r="F204" s="27" t="n">
        <f aca="false">$B$18*(1+(B204+$B$17)/2)^9</f>
        <v>8868.89304803971</v>
      </c>
      <c r="G204" s="27" t="n">
        <f aca="false">F204*C204</f>
        <v>2374.49937263484</v>
      </c>
      <c r="H204" s="27" t="n">
        <f aca="false">E204*G204/(1+D204)^9</f>
        <v>11575.3765054408</v>
      </c>
      <c r="I204" s="27" t="n">
        <f aca="false">$B$13*G204/$B$12*((1+$B$8)/(1+D204))^4.5</f>
        <v>3645.81395320986</v>
      </c>
      <c r="J204" s="27" t="n">
        <f aca="false">H204+I204+$B$14</f>
        <v>17307.5893367328</v>
      </c>
      <c r="K204" s="45" t="n">
        <f aca="false">J204/$B$15</f>
        <v>27.47236402656</v>
      </c>
    </row>
    <row r="205" customFormat="false" ht="15" hidden="false" customHeight="true" outlineLevel="0" collapsed="false">
      <c r="A205" s="74" t="n">
        <v>165</v>
      </c>
      <c r="B205" s="22" t="n">
        <f aca="true">NORMINV(RAND(),$B$6,$C$6)</f>
        <v>0.179646058044946</v>
      </c>
      <c r="C205" s="22" t="n">
        <f aca="true">MAX(0.03,NORMINV(RAND(),$B$7,$C$7))</f>
        <v>0.223422991620164</v>
      </c>
      <c r="D205" s="34" t="n">
        <f aca="true">MAX(0.08,NORMINV(RAND(),$B$8,$C$8))</f>
        <v>0.139231402143542</v>
      </c>
      <c r="E205" s="70" t="n">
        <f aca="true">MAX(4,NORMINV(RAND(),$B$9,$C$9))</f>
        <v>10.9796161001033</v>
      </c>
      <c r="F205" s="27" t="n">
        <f aca="false">$B$18*(1+(B205+$B$17)/2)^9</f>
        <v>7370.38048772986</v>
      </c>
      <c r="G205" s="27" t="n">
        <f aca="false">F205*C205</f>
        <v>1646.71245794749</v>
      </c>
      <c r="H205" s="27" t="n">
        <f aca="false">E205*G205/(1+D205)^9</f>
        <v>5593.67718141588</v>
      </c>
      <c r="I205" s="27" t="n">
        <f aca="false">$B$13*G205/$B$12*((1+$B$8)/(1+D205))^4.5</f>
        <v>2475.94723805826</v>
      </c>
      <c r="J205" s="27" t="n">
        <f aca="false">H205+I205+$B$14</f>
        <v>10156.0232975563</v>
      </c>
      <c r="K205" s="45" t="n">
        <f aca="false">J205/$B$15</f>
        <v>16.1206719008831</v>
      </c>
    </row>
    <row r="206" customFormat="false" ht="15" hidden="false" customHeight="true" outlineLevel="0" collapsed="false">
      <c r="A206" s="74" t="n">
        <v>166</v>
      </c>
      <c r="B206" s="22" t="n">
        <f aca="true">NORMINV(RAND(),$B$6,$C$6)</f>
        <v>0.174670179874817</v>
      </c>
      <c r="C206" s="22" t="n">
        <f aca="true">MAX(0.03,NORMINV(RAND(),$B$7,$C$7))</f>
        <v>0.277977264921938</v>
      </c>
      <c r="D206" s="34" t="n">
        <f aca="true">MAX(0.08,NORMINV(RAND(),$B$8,$C$8))</f>
        <v>0.144815638584377</v>
      </c>
      <c r="E206" s="70" t="n">
        <f aca="true">MAX(4,NORMINV(RAND(),$B$9,$C$9))</f>
        <v>8.84784446849086</v>
      </c>
      <c r="F206" s="27" t="n">
        <f aca="false">$B$18*(1+(B206+$B$17)/2)^9</f>
        <v>7223.65948689848</v>
      </c>
      <c r="G206" s="27" t="n">
        <f aca="false">F206*C206</f>
        <v>2008.01310689545</v>
      </c>
      <c r="H206" s="27" t="n">
        <f aca="false">E206*G206/(1+D206)^9</f>
        <v>5259.97938884188</v>
      </c>
      <c r="I206" s="27" t="n">
        <f aca="false">$B$13*G206/$B$12*((1+$B$8)/(1+D206))^4.5</f>
        <v>2953.47929913723</v>
      </c>
      <c r="J206" s="27" t="n">
        <f aca="false">H206+I206+$B$14</f>
        <v>10299.8575660613</v>
      </c>
      <c r="K206" s="45" t="n">
        <f aca="false">J206/$B$15</f>
        <v>16.3489802635894</v>
      </c>
    </row>
    <row r="207" customFormat="false" ht="15" hidden="false" customHeight="true" outlineLevel="0" collapsed="false">
      <c r="A207" s="74" t="n">
        <v>167</v>
      </c>
      <c r="B207" s="22" t="n">
        <f aca="true">NORMINV(RAND(),$B$6,$C$6)</f>
        <v>0.158348046548088</v>
      </c>
      <c r="C207" s="22" t="n">
        <f aca="true">MAX(0.03,NORMINV(RAND(),$B$7,$C$7))</f>
        <v>0.232038526761681</v>
      </c>
      <c r="D207" s="34" t="n">
        <f aca="true">MAX(0.08,NORMINV(RAND(),$B$8,$C$8))</f>
        <v>0.153627316246516</v>
      </c>
      <c r="E207" s="70" t="n">
        <f aca="true">MAX(4,NORMINV(RAND(),$B$9,$C$9))</f>
        <v>10.796183199315</v>
      </c>
      <c r="F207" s="27" t="n">
        <f aca="false">$B$18*(1+(B207+$B$17)/2)^9</f>
        <v>6760.42902156409</v>
      </c>
      <c r="G207" s="27" t="n">
        <f aca="false">F207*C207</f>
        <v>1568.67999044064</v>
      </c>
      <c r="H207" s="27" t="n">
        <f aca="false">E207*G207/(1+D207)^9</f>
        <v>4679.66563512079</v>
      </c>
      <c r="I207" s="27" t="n">
        <f aca="false">$B$13*G207/$B$12*((1+$B$8)/(1+D207))^4.5</f>
        <v>2229.03478477957</v>
      </c>
      <c r="J207" s="27" t="n">
        <f aca="false">H207+I207+$B$14</f>
        <v>8995.09929798255</v>
      </c>
      <c r="K207" s="45" t="n">
        <f aca="false">J207/$B$15</f>
        <v>14.2779353936231</v>
      </c>
    </row>
    <row r="208" customFormat="false" ht="15" hidden="false" customHeight="true" outlineLevel="0" collapsed="false">
      <c r="A208" s="74" t="n">
        <v>168</v>
      </c>
      <c r="B208" s="22" t="n">
        <f aca="true">NORMINV(RAND(),$B$6,$C$6)</f>
        <v>0.192122058652484</v>
      </c>
      <c r="C208" s="22" t="n">
        <f aca="true">MAX(0.03,NORMINV(RAND(),$B$7,$C$7))</f>
        <v>0.181503095707587</v>
      </c>
      <c r="D208" s="34" t="n">
        <f aca="true">MAX(0.08,NORMINV(RAND(),$B$8,$C$8))</f>
        <v>0.135496095034526</v>
      </c>
      <c r="E208" s="70" t="n">
        <f aca="true">MAX(4,NORMINV(RAND(),$B$9,$C$9))</f>
        <v>12.660214327907</v>
      </c>
      <c r="F208" s="27" t="n">
        <f aca="false">$B$18*(1+(B208+$B$17)/2)^9</f>
        <v>7749.96654129284</v>
      </c>
      <c r="G208" s="27" t="n">
        <f aca="false">F208*C208</f>
        <v>1406.64291887487</v>
      </c>
      <c r="H208" s="27" t="n">
        <f aca="false">E208*G208/(1+D208)^9</f>
        <v>5674.8464790924</v>
      </c>
      <c r="I208" s="27" t="n">
        <f aca="false">$B$13*G208/$B$12*((1+$B$8)/(1+D208))^4.5</f>
        <v>2146.47502668139</v>
      </c>
      <c r="J208" s="27" t="n">
        <f aca="false">H208+I208+$B$14</f>
        <v>9907.72038385598</v>
      </c>
      <c r="K208" s="45" t="n">
        <f aca="false">J208/$B$15</f>
        <v>15.7265402918349</v>
      </c>
    </row>
    <row r="209" customFormat="false" ht="15" hidden="false" customHeight="true" outlineLevel="0" collapsed="false">
      <c r="A209" s="74" t="n">
        <v>169</v>
      </c>
      <c r="B209" s="22" t="n">
        <f aca="true">NORMINV(RAND(),$B$6,$C$6)</f>
        <v>0.226693764344279</v>
      </c>
      <c r="C209" s="22" t="n">
        <f aca="true">MAX(0.03,NORMINV(RAND(),$B$7,$C$7))</f>
        <v>0.174493250413133</v>
      </c>
      <c r="D209" s="34" t="n">
        <f aca="true">MAX(0.08,NORMINV(RAND(),$B$8,$C$8))</f>
        <v>0.157806570387018</v>
      </c>
      <c r="E209" s="70" t="n">
        <f aca="true">MAX(4,NORMINV(RAND(),$B$9,$C$9))</f>
        <v>12.8920003147943</v>
      </c>
      <c r="F209" s="27" t="n">
        <f aca="false">$B$18*(1+(B209+$B$17)/2)^9</f>
        <v>8894.22531876615</v>
      </c>
      <c r="G209" s="27" t="n">
        <f aca="false">F209*C209</f>
        <v>1551.98228577829</v>
      </c>
      <c r="H209" s="27" t="n">
        <f aca="false">E209*G209/(1+D209)^9</f>
        <v>5351.59179504966</v>
      </c>
      <c r="I209" s="27" t="n">
        <f aca="false">$B$13*G209/$B$12*((1+$B$8)/(1+D209))^4.5</f>
        <v>2169.71201621167</v>
      </c>
      <c r="J209" s="27" t="n">
        <f aca="false">H209+I209+$B$14</f>
        <v>9607.70268934351</v>
      </c>
      <c r="K209" s="45" t="n">
        <f aca="false">J209/$B$15</f>
        <v>15.2503217291167</v>
      </c>
    </row>
    <row r="210" customFormat="false" ht="15" hidden="false" customHeight="true" outlineLevel="0" collapsed="false">
      <c r="A210" s="74" t="n">
        <v>170</v>
      </c>
      <c r="B210" s="22" t="n">
        <f aca="true">NORMINV(RAND(),$B$6,$C$6)</f>
        <v>0.228359127101651</v>
      </c>
      <c r="C210" s="22" t="n">
        <f aca="true">MAX(0.03,NORMINV(RAND(),$B$7,$C$7))</f>
        <v>0.217886071997753</v>
      </c>
      <c r="D210" s="34" t="n">
        <f aca="true">MAX(0.08,NORMINV(RAND(),$B$8,$C$8))</f>
        <v>0.13275388857397</v>
      </c>
      <c r="E210" s="70" t="n">
        <f aca="true">MAX(4,NORMINV(RAND(),$B$9,$C$9))</f>
        <v>13.5773195345009</v>
      </c>
      <c r="F210" s="27" t="n">
        <f aca="false">$B$18*(1+(B210+$B$17)/2)^9</f>
        <v>8952.95070645526</v>
      </c>
      <c r="G210" s="27" t="n">
        <f aca="false">F210*C210</f>
        <v>1950.72326221904</v>
      </c>
      <c r="H210" s="27" t="n">
        <f aca="false">E210*G210/(1+D210)^9</f>
        <v>8625.60659284436</v>
      </c>
      <c r="I210" s="27" t="n">
        <f aca="false">$B$13*G210/$B$12*((1+$B$8)/(1+D210))^4.5</f>
        <v>3009.28287376869</v>
      </c>
      <c r="J210" s="27" t="n">
        <f aca="false">H210+I210+$B$14</f>
        <v>13721.2883446952</v>
      </c>
      <c r="K210" s="45" t="n">
        <f aca="false">J210/$B$15</f>
        <v>21.7798227693575</v>
      </c>
    </row>
    <row r="211" customFormat="false" ht="15" hidden="false" customHeight="true" outlineLevel="0" collapsed="false">
      <c r="A211" s="74" t="n">
        <v>171</v>
      </c>
      <c r="B211" s="22" t="n">
        <f aca="true">NORMINV(RAND(),$B$6,$C$6)</f>
        <v>0.178334303680605</v>
      </c>
      <c r="C211" s="22" t="n">
        <f aca="true">MAX(0.03,NORMINV(RAND(),$B$7,$C$7))</f>
        <v>0.201994222985318</v>
      </c>
      <c r="D211" s="34" t="n">
        <f aca="true">MAX(0.08,NORMINV(RAND(),$B$8,$C$8))</f>
        <v>0.130988491738795</v>
      </c>
      <c r="E211" s="70" t="n">
        <f aca="true">MAX(4,NORMINV(RAND(),$B$9,$C$9))</f>
        <v>12.44478775862</v>
      </c>
      <c r="F211" s="27" t="n">
        <f aca="false">$B$18*(1+(B211+$B$17)/2)^9</f>
        <v>7331.44665258198</v>
      </c>
      <c r="G211" s="27" t="n">
        <f aca="false">F211*C211</f>
        <v>1480.90986994661</v>
      </c>
      <c r="H211" s="27" t="n">
        <f aca="false">E211*G211/(1+D211)^9</f>
        <v>6086.84789761466</v>
      </c>
      <c r="I211" s="27" t="n">
        <f aca="false">$B$13*G211/$B$12*((1+$B$8)/(1+D211))^4.5</f>
        <v>2300.61617948312</v>
      </c>
      <c r="J211" s="27" t="n">
        <f aca="false">H211+I211+$B$14</f>
        <v>10473.86295518</v>
      </c>
      <c r="K211" s="45" t="n">
        <f aca="false">J211/$B$15</f>
        <v>16.6251792939365</v>
      </c>
    </row>
    <row r="212" customFormat="false" ht="15" hidden="false" customHeight="true" outlineLevel="0" collapsed="false">
      <c r="A212" s="74" t="n">
        <v>172</v>
      </c>
      <c r="B212" s="22" t="n">
        <f aca="true">NORMINV(RAND(),$B$6,$C$6)</f>
        <v>0.173003656011198</v>
      </c>
      <c r="C212" s="22" t="n">
        <f aca="true">MAX(0.03,NORMINV(RAND(),$B$7,$C$7))</f>
        <v>0.234210997076925</v>
      </c>
      <c r="D212" s="34" t="n">
        <f aca="true">MAX(0.08,NORMINV(RAND(),$B$8,$C$8))</f>
        <v>0.130600366796854</v>
      </c>
      <c r="E212" s="70" t="n">
        <f aca="true">MAX(4,NORMINV(RAND(),$B$9,$C$9))</f>
        <v>14.6367704558956</v>
      </c>
      <c r="F212" s="27" t="n">
        <f aca="false">$B$18*(1+(B212+$B$17)/2)^9</f>
        <v>7175.10328979611</v>
      </c>
      <c r="G212" s="27" t="n">
        <f aca="false">F212*C212</f>
        <v>1680.48809563307</v>
      </c>
      <c r="H212" s="27" t="n">
        <f aca="false">E212*G212/(1+D212)^9</f>
        <v>8148.89279039977</v>
      </c>
      <c r="I212" s="27" t="n">
        <f aca="false">$B$13*G212/$B$12*((1+$B$8)/(1+D212))^4.5</f>
        <v>2614.69941406393</v>
      </c>
      <c r="J212" s="27" t="n">
        <f aca="false">H212+I212+$B$14</f>
        <v>12849.9910825459</v>
      </c>
      <c r="K212" s="45" t="n">
        <f aca="false">J212/$B$15</f>
        <v>20.3968112421363</v>
      </c>
    </row>
    <row r="213" customFormat="false" ht="15" hidden="false" customHeight="true" outlineLevel="0" collapsed="false">
      <c r="A213" s="74" t="n">
        <v>173</v>
      </c>
      <c r="B213" s="22" t="n">
        <f aca="true">NORMINV(RAND(),$B$6,$C$6)</f>
        <v>0.190700058547486</v>
      </c>
      <c r="C213" s="22" t="n">
        <f aca="true">MAX(0.03,NORMINV(RAND(),$B$7,$C$7))</f>
        <v>0.262663373569519</v>
      </c>
      <c r="D213" s="34" t="n">
        <f aca="true">MAX(0.08,NORMINV(RAND(),$B$8,$C$8))</f>
        <v>0.139431005225258</v>
      </c>
      <c r="E213" s="70" t="n">
        <f aca="true">MAX(4,NORMINV(RAND(),$B$9,$C$9))</f>
        <v>12.2321685524795</v>
      </c>
      <c r="F213" s="27" t="n">
        <f aca="false">$B$18*(1+(B213+$B$17)/2)^9</f>
        <v>7705.84189947124</v>
      </c>
      <c r="G213" s="27" t="n">
        <f aca="false">F213*C213</f>
        <v>2024.04242950846</v>
      </c>
      <c r="H213" s="27" t="n">
        <f aca="false">E213*G213/(1+D213)^9</f>
        <v>7647.69875564846</v>
      </c>
      <c r="I213" s="27" t="n">
        <f aca="false">$B$13*G213/$B$12*((1+$B$8)/(1+D213))^4.5</f>
        <v>3040.89092411067</v>
      </c>
      <c r="J213" s="27" t="n">
        <f aca="false">H213+I213+$B$14</f>
        <v>12774.9885578413</v>
      </c>
      <c r="K213" s="45" t="n">
        <f aca="false">J213/$B$15</f>
        <v>20.2777596156212</v>
      </c>
    </row>
    <row r="214" customFormat="false" ht="15" hidden="false" customHeight="true" outlineLevel="0" collapsed="false">
      <c r="A214" s="74" t="n">
        <v>174</v>
      </c>
      <c r="B214" s="22" t="n">
        <f aca="true">NORMINV(RAND(),$B$6,$C$6)</f>
        <v>0.224422533659853</v>
      </c>
      <c r="C214" s="22" t="n">
        <f aca="true">MAX(0.03,NORMINV(RAND(),$B$7,$C$7))</f>
        <v>0.157174771176402</v>
      </c>
      <c r="D214" s="34" t="n">
        <f aca="true">MAX(0.08,NORMINV(RAND(),$B$8,$C$8))</f>
        <v>0.135518784919311</v>
      </c>
      <c r="E214" s="70" t="n">
        <f aca="true">MAX(4,NORMINV(RAND(),$B$9,$C$9))</f>
        <v>14.310525314053</v>
      </c>
      <c r="F214" s="27" t="n">
        <f aca="false">$B$18*(1+(B214+$B$17)/2)^9</f>
        <v>8814.68728819703</v>
      </c>
      <c r="G214" s="27" t="n">
        <f aca="false">F214*C214</f>
        <v>1385.44645751391</v>
      </c>
      <c r="H214" s="27" t="n">
        <f aca="false">E214*G214/(1+D214)^9</f>
        <v>6316.78963912263</v>
      </c>
      <c r="I214" s="27" t="n">
        <f aca="false">$B$13*G214/$B$12*((1+$B$8)/(1+D214))^4.5</f>
        <v>2113.94006853889</v>
      </c>
      <c r="J214" s="27" t="n">
        <f aca="false">H214+I214+$B$14</f>
        <v>10517.1285857437</v>
      </c>
      <c r="K214" s="45" t="n">
        <f aca="false">J214/$B$15</f>
        <v>16.6938548980059</v>
      </c>
    </row>
    <row r="215" customFormat="false" ht="15" hidden="false" customHeight="true" outlineLevel="0" collapsed="false">
      <c r="A215" s="74" t="n">
        <v>175</v>
      </c>
      <c r="B215" s="22" t="n">
        <f aca="true">NORMINV(RAND(),$B$6,$C$6)</f>
        <v>0.215337234609874</v>
      </c>
      <c r="C215" s="22" t="n">
        <f aca="true">MAX(0.03,NORMINV(RAND(),$B$7,$C$7))</f>
        <v>0.213001867485922</v>
      </c>
      <c r="D215" s="34" t="n">
        <f aca="true">MAX(0.08,NORMINV(RAND(),$B$8,$C$8))</f>
        <v>0.138112631919622</v>
      </c>
      <c r="E215" s="70" t="n">
        <f aca="true">MAX(4,NORMINV(RAND(),$B$9,$C$9))</f>
        <v>12.9774233956007</v>
      </c>
      <c r="F215" s="27" t="n">
        <f aca="false">$B$18*(1+(B215+$B$17)/2)^9</f>
        <v>8502.80727470469</v>
      </c>
      <c r="G215" s="27" t="n">
        <f aca="false">F215*C215</f>
        <v>1811.11382838498</v>
      </c>
      <c r="H215" s="27" t="n">
        <f aca="false">E215*G215/(1+D215)^9</f>
        <v>7336.13015889137</v>
      </c>
      <c r="I215" s="27" t="n">
        <f aca="false">$B$13*G215/$B$12*((1+$B$8)/(1+D215))^4.5</f>
        <v>2735.20277657583</v>
      </c>
      <c r="J215" s="27" t="n">
        <f aca="false">H215+I215+$B$14</f>
        <v>12157.7318135494</v>
      </c>
      <c r="K215" s="45" t="n">
        <f aca="false">J215/$B$15</f>
        <v>19.297987005634</v>
      </c>
    </row>
    <row r="216" customFormat="false" ht="15" hidden="false" customHeight="true" outlineLevel="0" collapsed="false">
      <c r="A216" s="74" t="n">
        <v>176</v>
      </c>
      <c r="B216" s="22" t="n">
        <f aca="true">NORMINV(RAND(),$B$6,$C$6)</f>
        <v>0.181790496196946</v>
      </c>
      <c r="C216" s="22" t="n">
        <f aca="true">MAX(0.03,NORMINV(RAND(),$B$7,$C$7))</f>
        <v>0.215254351773824</v>
      </c>
      <c r="D216" s="34" t="n">
        <f aca="true">MAX(0.08,NORMINV(RAND(),$B$8,$C$8))</f>
        <v>0.140233014312683</v>
      </c>
      <c r="E216" s="70" t="n">
        <f aca="true">MAX(4,NORMINV(RAND(),$B$9,$C$9))</f>
        <v>13.4314524133702</v>
      </c>
      <c r="F216" s="27" t="n">
        <f aca="false">$B$18*(1+(B216+$B$17)/2)^9</f>
        <v>7434.42491422716</v>
      </c>
      <c r="G216" s="27" t="n">
        <f aca="false">F216*C216</f>
        <v>1600.29231572313</v>
      </c>
      <c r="H216" s="27" t="n">
        <f aca="false">E216*G216/(1+D216)^9</f>
        <v>6597.50601532252</v>
      </c>
      <c r="I216" s="27" t="n">
        <f aca="false">$B$13*G216/$B$12*((1+$B$8)/(1+D216))^4.5</f>
        <v>2396.65458745712</v>
      </c>
      <c r="J216" s="27" t="n">
        <f aca="false">H216+I216+$B$14</f>
        <v>11080.5594808618</v>
      </c>
      <c r="K216" s="45" t="n">
        <f aca="false">J216/$B$15</f>
        <v>17.5881896521616</v>
      </c>
    </row>
    <row r="217" customFormat="false" ht="15" hidden="false" customHeight="true" outlineLevel="0" collapsed="false">
      <c r="A217" s="74" t="n">
        <v>177</v>
      </c>
      <c r="B217" s="22" t="n">
        <f aca="true">NORMINV(RAND(),$B$6,$C$6)</f>
        <v>0.228870330395954</v>
      </c>
      <c r="C217" s="22" t="n">
        <f aca="true">MAX(0.03,NORMINV(RAND(),$B$7,$C$7))</f>
        <v>0.275362658297075</v>
      </c>
      <c r="D217" s="34" t="n">
        <f aca="true">MAX(0.08,NORMINV(RAND(),$B$8,$C$8))</f>
        <v>0.13590750341245</v>
      </c>
      <c r="E217" s="70" t="n">
        <f aca="true">MAX(4,NORMINV(RAND(),$B$9,$C$9))</f>
        <v>11.7749291141332</v>
      </c>
      <c r="F217" s="27" t="n">
        <f aca="false">$B$18*(1+(B217+$B$17)/2)^9</f>
        <v>8971.04618077811</v>
      </c>
      <c r="G217" s="27" t="n">
        <f aca="false">F217*C217</f>
        <v>2470.29112404488</v>
      </c>
      <c r="H217" s="27" t="n">
        <f aca="false">E217*G217/(1+D217)^9</f>
        <v>9238.88846248857</v>
      </c>
      <c r="I217" s="27" t="n">
        <f aca="false">$B$13*G217/$B$12*((1+$B$8)/(1+D217))^4.5</f>
        <v>3763.41540815002</v>
      </c>
      <c r="J217" s="27" t="n">
        <f aca="false">H217+I217+$B$14</f>
        <v>15088.7027487208</v>
      </c>
      <c r="K217" s="45" t="n">
        <f aca="false">J217/$B$15</f>
        <v>23.9503218233663</v>
      </c>
    </row>
    <row r="218" customFormat="false" ht="15" hidden="false" customHeight="true" outlineLevel="0" collapsed="false">
      <c r="A218" s="74" t="n">
        <v>178</v>
      </c>
      <c r="B218" s="22" t="n">
        <f aca="true">NORMINV(RAND(),$B$6,$C$6)</f>
        <v>0.120813812681153</v>
      </c>
      <c r="C218" s="22" t="n">
        <f aca="true">MAX(0.03,NORMINV(RAND(),$B$7,$C$7))</f>
        <v>0.208634391634119</v>
      </c>
      <c r="D218" s="34" t="n">
        <f aca="true">MAX(0.08,NORMINV(RAND(),$B$8,$C$8))</f>
        <v>0.137077620722271</v>
      </c>
      <c r="E218" s="70" t="n">
        <f aca="true">MAX(4,NORMINV(RAND(),$B$9,$C$9))</f>
        <v>13.085582181588</v>
      </c>
      <c r="F218" s="27" t="n">
        <f aca="false">$B$18*(1+(B218+$B$17)/2)^9</f>
        <v>5793.88340666636</v>
      </c>
      <c r="G218" s="27" t="n">
        <f aca="false">F218*C218</f>
        <v>1208.80333974885</v>
      </c>
      <c r="H218" s="27" t="n">
        <f aca="false">E218*G218/(1+D218)^9</f>
        <v>4977.80284611589</v>
      </c>
      <c r="I218" s="27" t="n">
        <f aca="false">$B$13*G218/$B$12*((1+$B$8)/(1+D218))^4.5</f>
        <v>1833.06356463463</v>
      </c>
      <c r="J218" s="27" t="n">
        <f aca="false">H218+I218+$B$14</f>
        <v>8897.26528883271</v>
      </c>
      <c r="K218" s="45" t="n">
        <f aca="false">J218/$B$15</f>
        <v>14.1226433156075</v>
      </c>
    </row>
    <row r="219" customFormat="false" ht="15" hidden="false" customHeight="true" outlineLevel="0" collapsed="false">
      <c r="A219" s="74" t="n">
        <v>179</v>
      </c>
      <c r="B219" s="22" t="n">
        <f aca="true">NORMINV(RAND(),$B$6,$C$6)</f>
        <v>0.23188235814124</v>
      </c>
      <c r="C219" s="22" t="n">
        <f aca="true">MAX(0.03,NORMINV(RAND(),$B$7,$C$7))</f>
        <v>0.188908948799245</v>
      </c>
      <c r="D219" s="34" t="n">
        <f aca="true">MAX(0.08,NORMINV(RAND(),$B$8,$C$8))</f>
        <v>0.128040273580247</v>
      </c>
      <c r="E219" s="70" t="n">
        <f aca="true">MAX(4,NORMINV(RAND(),$B$9,$C$9))</f>
        <v>12.6764688343887</v>
      </c>
      <c r="F219" s="27" t="n">
        <f aca="false">$B$18*(1+(B219+$B$17)/2)^9</f>
        <v>9078.32698671769</v>
      </c>
      <c r="G219" s="27" t="n">
        <f aca="false">F219*C219</f>
        <v>1714.97720791666</v>
      </c>
      <c r="H219" s="27" t="n">
        <f aca="false">E219*G219/(1+D219)^9</f>
        <v>7350.81002116976</v>
      </c>
      <c r="I219" s="27" t="n">
        <f aca="false">$B$13*G219/$B$12*((1+$B$8)/(1+D219))^4.5</f>
        <v>2695.72140739526</v>
      </c>
      <c r="J219" s="27" t="n">
        <f aca="false">H219+I219+$B$14</f>
        <v>12132.9303066472</v>
      </c>
      <c r="K219" s="45" t="n">
        <f aca="false">J219/$B$15</f>
        <v>19.2586195343607</v>
      </c>
    </row>
    <row r="220" customFormat="false" ht="15" hidden="false" customHeight="true" outlineLevel="0" collapsed="false">
      <c r="A220" s="74" t="n">
        <v>180</v>
      </c>
      <c r="B220" s="22" t="n">
        <f aca="true">NORMINV(RAND(),$B$6,$C$6)</f>
        <v>0.255218706698774</v>
      </c>
      <c r="C220" s="22" t="n">
        <f aca="true">MAX(0.03,NORMINV(RAND(),$B$7,$C$7))</f>
        <v>0.230963340785114</v>
      </c>
      <c r="D220" s="34" t="n">
        <f aca="true">MAX(0.08,NORMINV(RAND(),$B$8,$C$8))</f>
        <v>0.13437507466945</v>
      </c>
      <c r="E220" s="70" t="n">
        <f aca="true">MAX(4,NORMINV(RAND(),$B$9,$C$9))</f>
        <v>15.5225024385825</v>
      </c>
      <c r="F220" s="27" t="n">
        <f aca="false">$B$18*(1+(B220+$B$17)/2)^9</f>
        <v>9948.91640053748</v>
      </c>
      <c r="G220" s="27" t="n">
        <f aca="false">F220*C220</f>
        <v>2297.83496905995</v>
      </c>
      <c r="H220" s="27" t="n">
        <f aca="false">E220*G220/(1+D220)^9</f>
        <v>11467.5460653423</v>
      </c>
      <c r="I220" s="27" t="n">
        <f aca="false">$B$13*G220/$B$12*((1+$B$8)/(1+D220))^4.5</f>
        <v>3522.01477748212</v>
      </c>
      <c r="J220" s="27" t="n">
        <f aca="false">H220+I220+$B$14</f>
        <v>17075.9597209066</v>
      </c>
      <c r="K220" s="45" t="n">
        <f aca="false">J220/$B$15</f>
        <v>27.104697969693</v>
      </c>
    </row>
    <row r="221" customFormat="false" ht="15" hidden="false" customHeight="true" outlineLevel="0" collapsed="false">
      <c r="A221" s="74" t="n">
        <v>181</v>
      </c>
      <c r="B221" s="22" t="n">
        <f aca="true">NORMINV(RAND(),$B$6,$C$6)</f>
        <v>0.176705727524743</v>
      </c>
      <c r="C221" s="22" t="n">
        <f aca="true">MAX(0.03,NORMINV(RAND(),$B$7,$C$7))</f>
        <v>0.209882406795777</v>
      </c>
      <c r="D221" s="34" t="n">
        <f aca="true">MAX(0.08,NORMINV(RAND(),$B$8,$C$8))</f>
        <v>0.142475449828185</v>
      </c>
      <c r="E221" s="70" t="n">
        <f aca="true">MAX(4,NORMINV(RAND(),$B$9,$C$9))</f>
        <v>9.05676993325571</v>
      </c>
      <c r="F221" s="27" t="n">
        <f aca="false">$B$18*(1+(B221+$B$17)/2)^9</f>
        <v>7283.36375748872</v>
      </c>
      <c r="G221" s="27" t="n">
        <f aca="false">F221*C221</f>
        <v>1528.64991499087</v>
      </c>
      <c r="H221" s="27" t="n">
        <f aca="false">E221*G221/(1+D221)^9</f>
        <v>4175.02887885035</v>
      </c>
      <c r="I221" s="27" t="n">
        <f aca="false">$B$13*G221/$B$12*((1+$B$8)/(1+D221))^4.5</f>
        <v>2269.20886065666</v>
      </c>
      <c r="J221" s="27" t="n">
        <f aca="false">H221+I221+$B$14</f>
        <v>8530.63661758921</v>
      </c>
      <c r="K221" s="45" t="n">
        <f aca="false">J221/$B$15</f>
        <v>13.5406930437924</v>
      </c>
    </row>
    <row r="222" customFormat="false" ht="15" hidden="false" customHeight="true" outlineLevel="0" collapsed="false">
      <c r="A222" s="74" t="n">
        <v>182</v>
      </c>
      <c r="B222" s="22" t="n">
        <f aca="true">NORMINV(RAND(),$B$6,$C$6)</f>
        <v>0.259913311083386</v>
      </c>
      <c r="C222" s="22" t="n">
        <f aca="true">MAX(0.03,NORMINV(RAND(),$B$7,$C$7))</f>
        <v>0.187348003577674</v>
      </c>
      <c r="D222" s="34" t="n">
        <f aca="true">MAX(0.08,NORMINV(RAND(),$B$8,$C$8))</f>
        <v>0.118545964835135</v>
      </c>
      <c r="E222" s="70" t="n">
        <f aca="true">MAX(4,NORMINV(RAND(),$B$9,$C$9))</f>
        <v>8.63516652443591</v>
      </c>
      <c r="F222" s="27" t="n">
        <f aca="false">$B$18*(1+(B222+$B$17)/2)^9</f>
        <v>10132.7586532064</v>
      </c>
      <c r="G222" s="27" t="n">
        <f aca="false">F222*C222</f>
        <v>1898.35210441263</v>
      </c>
      <c r="H222" s="27" t="n">
        <f aca="false">E222*G222/(1+D222)^9</f>
        <v>5980.85076984548</v>
      </c>
      <c r="I222" s="27" t="n">
        <f aca="false">$B$13*G222/$B$12*((1+$B$8)/(1+D222))^4.5</f>
        <v>3099.64449825905</v>
      </c>
      <c r="J222" s="27" t="n">
        <f aca="false">H222+I222+$B$14</f>
        <v>11166.8941461867</v>
      </c>
      <c r="K222" s="45" t="n">
        <f aca="false">J222/$B$15</f>
        <v>17.725228803471</v>
      </c>
    </row>
    <row r="223" customFormat="false" ht="15" hidden="false" customHeight="true" outlineLevel="0" collapsed="false">
      <c r="A223" s="74" t="n">
        <v>183</v>
      </c>
      <c r="B223" s="22" t="n">
        <f aca="true">NORMINV(RAND(),$B$6,$C$6)</f>
        <v>0.212704149438142</v>
      </c>
      <c r="C223" s="22" t="n">
        <f aca="true">MAX(0.03,NORMINV(RAND(),$B$7,$C$7))</f>
        <v>0.176471966097225</v>
      </c>
      <c r="D223" s="34" t="n">
        <f aca="true">MAX(0.08,NORMINV(RAND(),$B$8,$C$8))</f>
        <v>0.141681992020434</v>
      </c>
      <c r="E223" s="70" t="n">
        <f aca="true">MAX(4,NORMINV(RAND(),$B$9,$C$9))</f>
        <v>10.2264438604851</v>
      </c>
      <c r="F223" s="27" t="n">
        <f aca="false">$B$18*(1+(B223+$B$17)/2)^9</f>
        <v>8414.2715622565</v>
      </c>
      <c r="G223" s="27" t="n">
        <f aca="false">F223*C223</f>
        <v>1484.88304586737</v>
      </c>
      <c r="H223" s="27" t="n">
        <f aca="false">E223*G223/(1+D223)^9</f>
        <v>4607.97940212708</v>
      </c>
      <c r="I223" s="27" t="n">
        <f aca="false">$B$13*G223/$B$12*((1+$B$8)/(1+D223))^4.5</f>
        <v>2211.14105263939</v>
      </c>
      <c r="J223" s="27" t="n">
        <f aca="false">H223+I223+$B$14</f>
        <v>8905.51933284866</v>
      </c>
      <c r="K223" s="45" t="n">
        <f aca="false">J223/$B$15</f>
        <v>14.1357449727757</v>
      </c>
    </row>
    <row r="224" customFormat="false" ht="15" hidden="false" customHeight="true" outlineLevel="0" collapsed="false">
      <c r="A224" s="74" t="n">
        <v>184</v>
      </c>
      <c r="B224" s="22" t="n">
        <f aca="true">NORMINV(RAND(),$B$6,$C$6)</f>
        <v>0.24555763010415</v>
      </c>
      <c r="C224" s="22" t="n">
        <f aca="true">MAX(0.03,NORMINV(RAND(),$B$7,$C$7))</f>
        <v>0.220256209785735</v>
      </c>
      <c r="D224" s="34" t="n">
        <f aca="true">MAX(0.08,NORMINV(RAND(),$B$8,$C$8))</f>
        <v>0.13148873866249</v>
      </c>
      <c r="E224" s="70" t="n">
        <f aca="true">MAX(4,NORMINV(RAND(),$B$9,$C$9))</f>
        <v>16.8360646113891</v>
      </c>
      <c r="F224" s="27" t="n">
        <f aca="false">$B$18*(1+(B224+$B$17)/2)^9</f>
        <v>9579.88656933423</v>
      </c>
      <c r="G224" s="27" t="n">
        <f aca="false">F224*C224</f>
        <v>2110.02950593883</v>
      </c>
      <c r="H224" s="27" t="n">
        <f aca="false">E224*G224/(1+D224)^9</f>
        <v>11686.2988673989</v>
      </c>
      <c r="I224" s="27" t="n">
        <f aca="false">$B$13*G224/$B$12*((1+$B$8)/(1+D224))^4.5</f>
        <v>3271.44667058716</v>
      </c>
      <c r="J224" s="27" t="n">
        <f aca="false">H224+I224+$B$14</f>
        <v>17044.1444160683</v>
      </c>
      <c r="K224" s="45" t="n">
        <f aca="false">J224/$B$15</f>
        <v>27.0541974858227</v>
      </c>
    </row>
    <row r="225" customFormat="false" ht="15" hidden="false" customHeight="true" outlineLevel="0" collapsed="false">
      <c r="A225" s="74" t="n">
        <v>185</v>
      </c>
      <c r="B225" s="22" t="n">
        <f aca="true">NORMINV(RAND(),$B$6,$C$6)</f>
        <v>0.159719922693704</v>
      </c>
      <c r="C225" s="22" t="n">
        <f aca="true">MAX(0.03,NORMINV(RAND(),$B$7,$C$7))</f>
        <v>0.226456093349646</v>
      </c>
      <c r="D225" s="34" t="n">
        <f aca="true">MAX(0.08,NORMINV(RAND(),$B$8,$C$8))</f>
        <v>0.144809047485509</v>
      </c>
      <c r="E225" s="70" t="n">
        <f aca="true">MAX(4,NORMINV(RAND(),$B$9,$C$9))</f>
        <v>12.3255952518019</v>
      </c>
      <c r="F225" s="27" t="n">
        <f aca="false">$B$18*(1+(B225+$B$17)/2)^9</f>
        <v>6798.32067424511</v>
      </c>
      <c r="G225" s="27" t="n">
        <f aca="false">F225*C225</f>
        <v>1539.52114122768</v>
      </c>
      <c r="H225" s="27" t="n">
        <f aca="false">E225*G225/(1+D225)^9</f>
        <v>5618.18559986863</v>
      </c>
      <c r="I225" s="27" t="n">
        <f aca="false">$B$13*G225/$B$12*((1+$B$8)/(1+D225))^4.5</f>
        <v>2264.45814019586</v>
      </c>
      <c r="J225" s="27" t="n">
        <f aca="false">H225+I225+$B$14</f>
        <v>9969.04261814668</v>
      </c>
      <c r="K225" s="45" t="n">
        <f aca="false">J225/$B$15</f>
        <v>15.8238771716614</v>
      </c>
    </row>
    <row r="226" customFormat="false" ht="15" hidden="false" customHeight="true" outlineLevel="0" collapsed="false">
      <c r="A226" s="74" t="n">
        <v>186</v>
      </c>
      <c r="B226" s="22" t="n">
        <f aca="true">NORMINV(RAND(),$B$6,$C$6)</f>
        <v>0.192846691325915</v>
      </c>
      <c r="C226" s="22" t="n">
        <f aca="true">MAX(0.03,NORMINV(RAND(),$B$7,$C$7))</f>
        <v>0.235364662318233</v>
      </c>
      <c r="D226" s="34" t="n">
        <f aca="true">MAX(0.08,NORMINV(RAND(),$B$8,$C$8))</f>
        <v>0.141670987364918</v>
      </c>
      <c r="E226" s="70" t="n">
        <f aca="true">MAX(4,NORMINV(RAND(),$B$9,$C$9))</f>
        <v>12.6078738751076</v>
      </c>
      <c r="F226" s="27" t="n">
        <f aca="false">$B$18*(1+(B226+$B$17)/2)^9</f>
        <v>7772.53814921763</v>
      </c>
      <c r="G226" s="27" t="n">
        <f aca="false">F226*C226</f>
        <v>1829.38081684619</v>
      </c>
      <c r="H226" s="27" t="n">
        <f aca="false">E226*G226/(1+D226)^9</f>
        <v>6999.66561987503</v>
      </c>
      <c r="I226" s="27" t="n">
        <f aca="false">$B$13*G226/$B$12*((1+$B$8)/(1+D226))^4.5</f>
        <v>2724.2512434883</v>
      </c>
      <c r="J226" s="27" t="n">
        <f aca="false">H226+I226+$B$14</f>
        <v>11810.3157414455</v>
      </c>
      <c r="K226" s="45" t="n">
        <f aca="false">J226/$B$15</f>
        <v>18.7465329229294</v>
      </c>
    </row>
    <row r="227" customFormat="false" ht="15" hidden="false" customHeight="true" outlineLevel="0" collapsed="false">
      <c r="A227" s="74" t="n">
        <v>187</v>
      </c>
      <c r="B227" s="22" t="n">
        <f aca="true">NORMINV(RAND(),$B$6,$C$6)</f>
        <v>0.210382036782468</v>
      </c>
      <c r="C227" s="22" t="n">
        <f aca="true">MAX(0.03,NORMINV(RAND(),$B$7,$C$7))</f>
        <v>0.21211742087948</v>
      </c>
      <c r="D227" s="34" t="n">
        <f aca="true">MAX(0.08,NORMINV(RAND(),$B$8,$C$8))</f>
        <v>0.148725902919259</v>
      </c>
      <c r="E227" s="70" t="n">
        <f aca="true">MAX(4,NORMINV(RAND(),$B$9,$C$9))</f>
        <v>9.24354600714472</v>
      </c>
      <c r="F227" s="27" t="n">
        <f aca="false">$B$18*(1+(B227+$B$17)/2)^9</f>
        <v>8336.87309358758</v>
      </c>
      <c r="G227" s="27" t="n">
        <f aca="false">F227*C227</f>
        <v>1768.39601881133</v>
      </c>
      <c r="H227" s="27" t="n">
        <f aca="false">E227*G227/(1+D227)^9</f>
        <v>4693.21454422124</v>
      </c>
      <c r="I227" s="27" t="n">
        <f aca="false">$B$13*G227/$B$12*((1+$B$8)/(1+D227))^4.5</f>
        <v>2561.43325084696</v>
      </c>
      <c r="J227" s="27" t="n">
        <f aca="false">H227+I227+$B$14</f>
        <v>9341.04667315039</v>
      </c>
      <c r="K227" s="45" t="n">
        <f aca="false">J227/$B$15</f>
        <v>14.8270582113498</v>
      </c>
    </row>
    <row r="228" customFormat="false" ht="15" hidden="false" customHeight="true" outlineLevel="0" collapsed="false">
      <c r="A228" s="74" t="n">
        <v>188</v>
      </c>
      <c r="B228" s="22" t="n">
        <f aca="true">NORMINV(RAND(),$B$6,$C$6)</f>
        <v>0.226546614673678</v>
      </c>
      <c r="C228" s="22" t="n">
        <f aca="true">MAX(0.03,NORMINV(RAND(),$B$7,$C$7))</f>
        <v>0.1781960938257</v>
      </c>
      <c r="D228" s="34" t="n">
        <f aca="true">MAX(0.08,NORMINV(RAND(),$B$8,$C$8))</f>
        <v>0.122324758953515</v>
      </c>
      <c r="E228" s="70" t="n">
        <f aca="true">MAX(4,NORMINV(RAND(),$B$9,$C$9))</f>
        <v>11.3030446636485</v>
      </c>
      <c r="F228" s="27" t="n">
        <f aca="false">$B$18*(1+(B228+$B$17)/2)^9</f>
        <v>8889.05290765173</v>
      </c>
      <c r="G228" s="27" t="n">
        <f aca="false">F228*C228</f>
        <v>1583.99450595352</v>
      </c>
      <c r="H228" s="27" t="n">
        <f aca="false">E228*G228/(1+D228)^9</f>
        <v>6336.97831453074</v>
      </c>
      <c r="I228" s="27" t="n">
        <f aca="false">$B$13*G228/$B$12*((1+$B$8)/(1+D228))^4.5</f>
        <v>2547.40268606514</v>
      </c>
      <c r="J228" s="27" t="n">
        <f aca="false">H228+I228+$B$14</f>
        <v>10970.7798786781</v>
      </c>
      <c r="K228" s="45" t="n">
        <f aca="false">J228/$B$15</f>
        <v>17.413936315362</v>
      </c>
    </row>
    <row r="229" customFormat="false" ht="15" hidden="false" customHeight="true" outlineLevel="0" collapsed="false">
      <c r="A229" s="74" t="n">
        <v>189</v>
      </c>
      <c r="B229" s="22" t="n">
        <f aca="true">NORMINV(RAND(),$B$6,$C$6)</f>
        <v>0.123844458332503</v>
      </c>
      <c r="C229" s="22" t="n">
        <f aca="true">MAX(0.03,NORMINV(RAND(),$B$7,$C$7))</f>
        <v>0.204252116470542</v>
      </c>
      <c r="D229" s="34" t="n">
        <f aca="true">MAX(0.08,NORMINV(RAND(),$B$8,$C$8))</f>
        <v>0.131220667758159</v>
      </c>
      <c r="E229" s="70" t="n">
        <f aca="true">MAX(4,NORMINV(RAND(),$B$9,$C$9))</f>
        <v>11.3859877345335</v>
      </c>
      <c r="F229" s="27" t="n">
        <f aca="false">$B$18*(1+(B229+$B$17)/2)^9</f>
        <v>5867.09017299777</v>
      </c>
      <c r="G229" s="27" t="n">
        <f aca="false">F229*C229</f>
        <v>1198.36558535831</v>
      </c>
      <c r="H229" s="27" t="n">
        <f aca="false">E229*G229/(1+D229)^9</f>
        <v>4498.15129808457</v>
      </c>
      <c r="I229" s="27" t="n">
        <f aca="false">$B$13*G229/$B$12*((1+$B$8)/(1+D229))^4.5</f>
        <v>1859.96047902283</v>
      </c>
      <c r="J229" s="27" t="n">
        <f aca="false">H229+I229+$B$14</f>
        <v>8444.5106551896</v>
      </c>
      <c r="K229" s="45" t="n">
        <f aca="false">J229/$B$15</f>
        <v>13.4039851669676</v>
      </c>
    </row>
    <row r="230" customFormat="false" ht="15" hidden="false" customHeight="true" outlineLevel="0" collapsed="false">
      <c r="A230" s="74" t="n">
        <v>190</v>
      </c>
      <c r="B230" s="22" t="n">
        <f aca="true">NORMINV(RAND(),$B$6,$C$6)</f>
        <v>0.204526360810293</v>
      </c>
      <c r="C230" s="22" t="n">
        <f aca="true">MAX(0.03,NORMINV(RAND(),$B$7,$C$7))</f>
        <v>0.211555079139724</v>
      </c>
      <c r="D230" s="34" t="n">
        <f aca="true">MAX(0.08,NORMINV(RAND(),$B$8,$C$8))</f>
        <v>0.157197278518304</v>
      </c>
      <c r="E230" s="70" t="n">
        <f aca="true">MAX(4,NORMINV(RAND(),$B$9,$C$9))</f>
        <v>12.2691005767779</v>
      </c>
      <c r="F230" s="27" t="n">
        <f aca="false">$B$18*(1+(B230+$B$17)/2)^9</f>
        <v>8144.49991934692</v>
      </c>
      <c r="G230" s="27" t="n">
        <f aca="false">F230*C230</f>
        <v>1723.01032499091</v>
      </c>
      <c r="H230" s="27" t="n">
        <f aca="false">E230*G230/(1+D230)^9</f>
        <v>5681.12014756626</v>
      </c>
      <c r="I230" s="27" t="n">
        <f aca="false">$B$13*G230/$B$12*((1+$B$8)/(1+D230))^4.5</f>
        <v>2414.52630968983</v>
      </c>
      <c r="J230" s="27" t="n">
        <f aca="false">H230+I230+$B$14</f>
        <v>10182.0453353383</v>
      </c>
      <c r="K230" s="45" t="n">
        <f aca="false">J230/$B$15</f>
        <v>16.1619767227592</v>
      </c>
    </row>
    <row r="231" customFormat="false" ht="15" hidden="false" customHeight="true" outlineLevel="0" collapsed="false">
      <c r="A231" s="74" t="n">
        <v>191</v>
      </c>
      <c r="B231" s="22" t="n">
        <f aca="true">NORMINV(RAND(),$B$6,$C$6)</f>
        <v>0.17547231817729</v>
      </c>
      <c r="C231" s="22" t="n">
        <f aca="true">MAX(0.03,NORMINV(RAND(),$B$7,$C$7))</f>
        <v>0.283621045467221</v>
      </c>
      <c r="D231" s="34" t="n">
        <f aca="true">MAX(0.08,NORMINV(RAND(),$B$8,$C$8))</f>
        <v>0.121819435412573</v>
      </c>
      <c r="E231" s="70" t="n">
        <f aca="true">MAX(4,NORMINV(RAND(),$B$9,$C$9))</f>
        <v>15.5822968306322</v>
      </c>
      <c r="F231" s="27" t="n">
        <f aca="false">$B$18*(1+(B231+$B$17)/2)^9</f>
        <v>7247.13471588492</v>
      </c>
      <c r="G231" s="27" t="n">
        <f aca="false">F231*C231</f>
        <v>2055.43992476107</v>
      </c>
      <c r="H231" s="27" t="n">
        <f aca="false">E231*G231/(1+D231)^9</f>
        <v>11382.2893702463</v>
      </c>
      <c r="I231" s="27" t="n">
        <f aca="false">$B$13*G231/$B$12*((1+$B$8)/(1+D231))^4.5</f>
        <v>3312.29376428775</v>
      </c>
      <c r="J231" s="27" t="n">
        <f aca="false">H231+I231+$B$14</f>
        <v>16780.9820126162</v>
      </c>
      <c r="K231" s="45" t="n">
        <f aca="false">J231/$B$15</f>
        <v>26.6364793851051</v>
      </c>
    </row>
    <row r="232" customFormat="false" ht="15" hidden="false" customHeight="true" outlineLevel="0" collapsed="false">
      <c r="A232" s="74" t="n">
        <v>192</v>
      </c>
      <c r="B232" s="22" t="n">
        <f aca="true">NORMINV(RAND(),$B$6,$C$6)</f>
        <v>0.175159125446228</v>
      </c>
      <c r="C232" s="22" t="n">
        <f aca="true">MAX(0.03,NORMINV(RAND(),$B$7,$C$7))</f>
        <v>0.187213332449584</v>
      </c>
      <c r="D232" s="34" t="n">
        <f aca="true">MAX(0.08,NORMINV(RAND(),$B$8,$C$8))</f>
        <v>0.13561539150818</v>
      </c>
      <c r="E232" s="70" t="n">
        <f aca="true">MAX(4,NORMINV(RAND(),$B$9,$C$9))</f>
        <v>13.7304323723351</v>
      </c>
      <c r="F232" s="27" t="n">
        <f aca="false">$B$18*(1+(B232+$B$17)/2)^9</f>
        <v>7237.96081892272</v>
      </c>
      <c r="G232" s="27" t="n">
        <f aca="false">F232*C232</f>
        <v>1355.04276505004</v>
      </c>
      <c r="H232" s="27" t="n">
        <f aca="false">E232*G232/(1+D232)^9</f>
        <v>5923.19164396083</v>
      </c>
      <c r="I232" s="27" t="n">
        <f aca="false">$B$13*G232/$B$12*((1+$B$8)/(1+D232))^4.5</f>
        <v>2066.75817758122</v>
      </c>
      <c r="J232" s="27" t="n">
        <f aca="false">H232+I232+$B$14</f>
        <v>10076.3486996242</v>
      </c>
      <c r="K232" s="45" t="n">
        <f aca="false">J232/$B$15</f>
        <v>15.9942042851178</v>
      </c>
    </row>
    <row r="233" customFormat="false" ht="15" hidden="false" customHeight="true" outlineLevel="0" collapsed="false">
      <c r="A233" s="74" t="n">
        <v>193</v>
      </c>
      <c r="B233" s="22" t="n">
        <f aca="true">NORMINV(RAND(),$B$6,$C$6)</f>
        <v>0.193179536088886</v>
      </c>
      <c r="C233" s="22" t="n">
        <f aca="true">MAX(0.03,NORMINV(RAND(),$B$7,$C$7))</f>
        <v>0.228525630039133</v>
      </c>
      <c r="D233" s="34" t="n">
        <f aca="true">MAX(0.08,NORMINV(RAND(),$B$8,$C$8))</f>
        <v>0.121594209963639</v>
      </c>
      <c r="E233" s="70" t="n">
        <f aca="true">MAX(4,NORMINV(RAND(),$B$9,$C$9))</f>
        <v>11.8527383582916</v>
      </c>
      <c r="F233" s="27" t="n">
        <f aca="false">$B$18*(1+(B233+$B$17)/2)^9</f>
        <v>7782.92551262924</v>
      </c>
      <c r="G233" s="27" t="n">
        <f aca="false">F233*C233</f>
        <v>1778.59795632124</v>
      </c>
      <c r="H233" s="27" t="n">
        <f aca="false">E233*G233/(1+D233)^9</f>
        <v>7505.41409960471</v>
      </c>
      <c r="I233" s="27" t="n">
        <f aca="false">$B$13*G233/$B$12*((1+$B$8)/(1+D233))^4.5</f>
        <v>2868.76024154345</v>
      </c>
      <c r="J233" s="27" t="n">
        <f aca="false">H233+I233+$B$14</f>
        <v>12460.5732192303</v>
      </c>
      <c r="K233" s="45" t="n">
        <f aca="false">J233/$B$15</f>
        <v>19.778687649572</v>
      </c>
    </row>
    <row r="234" customFormat="false" ht="15" hidden="false" customHeight="true" outlineLevel="0" collapsed="false">
      <c r="A234" s="74" t="n">
        <v>194</v>
      </c>
      <c r="B234" s="22" t="n">
        <f aca="true">NORMINV(RAND(),$B$6,$C$6)</f>
        <v>0.163795331221343</v>
      </c>
      <c r="C234" s="22" t="n">
        <f aca="true">MAX(0.03,NORMINV(RAND(),$B$7,$C$7))</f>
        <v>0.216821401061674</v>
      </c>
      <c r="D234" s="34" t="n">
        <f aca="true">MAX(0.08,NORMINV(RAND(),$B$8,$C$8))</f>
        <v>0.148597583752088</v>
      </c>
      <c r="E234" s="70" t="n">
        <f aca="true">MAX(4,NORMINV(RAND(),$B$9,$C$9))</f>
        <v>10.7917266810227</v>
      </c>
      <c r="F234" s="27" t="n">
        <f aca="false">$B$18*(1+(B234+$B$17)/2)^9</f>
        <v>6912.00063973624</v>
      </c>
      <c r="G234" s="27" t="n">
        <f aca="false">F234*C234</f>
        <v>1498.6696628468</v>
      </c>
      <c r="H234" s="27" t="n">
        <f aca="false">E234*G234/(1+D234)^9</f>
        <v>4648.21029848106</v>
      </c>
      <c r="I234" s="27" t="n">
        <f aca="false">$B$13*G234/$B$12*((1+$B$8)/(1+D234))^4.5</f>
        <v>2171.83962179853</v>
      </c>
      <c r="J234" s="27" t="n">
        <f aca="false">H234+I234+$B$14</f>
        <v>8906.44879836178</v>
      </c>
      <c r="K234" s="45" t="n">
        <f aca="false">J234/$B$15</f>
        <v>14.13722031486</v>
      </c>
    </row>
    <row r="235" customFormat="false" ht="15" hidden="false" customHeight="true" outlineLevel="0" collapsed="false">
      <c r="A235" s="74" t="n">
        <v>195</v>
      </c>
      <c r="B235" s="22" t="n">
        <f aca="true">NORMINV(RAND(),$B$6,$C$6)</f>
        <v>0.123071807276171</v>
      </c>
      <c r="C235" s="22" t="n">
        <f aca="true">MAX(0.03,NORMINV(RAND(),$B$7,$C$7))</f>
        <v>0.183414564962068</v>
      </c>
      <c r="D235" s="34" t="n">
        <f aca="true">MAX(0.08,NORMINV(RAND(),$B$8,$C$8))</f>
        <v>0.134720897020493</v>
      </c>
      <c r="E235" s="70" t="n">
        <f aca="true">MAX(4,NORMINV(RAND(),$B$9,$C$9))</f>
        <v>13.1657088966376</v>
      </c>
      <c r="F235" s="27" t="n">
        <f aca="false">$B$18*(1+(B235+$B$17)/2)^9</f>
        <v>5848.34873823423</v>
      </c>
      <c r="G235" s="27" t="n">
        <f aca="false">F235*C235</f>
        <v>1072.67233956969</v>
      </c>
      <c r="H235" s="27" t="n">
        <f aca="false">E235*G235/(1+D235)^9</f>
        <v>4528.03582245376</v>
      </c>
      <c r="I235" s="27" t="n">
        <f aca="false">$B$13*G235/$B$12*((1+$B$8)/(1+D235))^4.5</f>
        <v>1641.88873095737</v>
      </c>
      <c r="J235" s="27" t="n">
        <f aca="false">H235+I235+$B$14</f>
        <v>8256.32343149333</v>
      </c>
      <c r="K235" s="45" t="n">
        <f aca="false">J235/$B$15</f>
        <v>13.1052752880846</v>
      </c>
    </row>
    <row r="236" customFormat="false" ht="15" hidden="false" customHeight="true" outlineLevel="0" collapsed="false">
      <c r="A236" s="74" t="n">
        <v>196</v>
      </c>
      <c r="B236" s="22" t="n">
        <f aca="true">NORMINV(RAND(),$B$6,$C$6)</f>
        <v>0.211005724875684</v>
      </c>
      <c r="C236" s="22" t="n">
        <f aca="true">MAX(0.03,NORMINV(RAND(),$B$7,$C$7))</f>
        <v>0.178463923666623</v>
      </c>
      <c r="D236" s="34" t="n">
        <f aca="true">MAX(0.08,NORMINV(RAND(),$B$8,$C$8))</f>
        <v>0.127318750914289</v>
      </c>
      <c r="E236" s="70" t="n">
        <f aca="true">MAX(4,NORMINV(RAND(),$B$9,$C$9))</f>
        <v>11.3854775036815</v>
      </c>
      <c r="F236" s="27" t="n">
        <f aca="false">$B$18*(1+(B236+$B$17)/2)^9</f>
        <v>8357.59886360128</v>
      </c>
      <c r="G236" s="27" t="n">
        <f aca="false">F236*C236</f>
        <v>1491.52988562999</v>
      </c>
      <c r="H236" s="27" t="n">
        <f aca="false">E236*G236/(1+D236)^9</f>
        <v>5775.14153626443</v>
      </c>
      <c r="I236" s="27" t="n">
        <f aca="false">$B$13*G236/$B$12*((1+$B$8)/(1+D236))^4.5</f>
        <v>2351.25130485977</v>
      </c>
      <c r="J236" s="27" t="n">
        <f aca="false">H236+I236+$B$14</f>
        <v>10212.7917192064</v>
      </c>
      <c r="K236" s="45" t="n">
        <f aca="false">J236/$B$15</f>
        <v>16.2107805066768</v>
      </c>
    </row>
    <row r="237" customFormat="false" ht="15" hidden="false" customHeight="true" outlineLevel="0" collapsed="false">
      <c r="A237" s="74" t="n">
        <v>197</v>
      </c>
      <c r="B237" s="22" t="n">
        <f aca="true">NORMINV(RAND(),$B$6,$C$6)</f>
        <v>0.217273921532846</v>
      </c>
      <c r="C237" s="22" t="n">
        <f aca="true">MAX(0.03,NORMINV(RAND(),$B$7,$C$7))</f>
        <v>0.175525078672054</v>
      </c>
      <c r="D237" s="34" t="n">
        <f aca="true">MAX(0.08,NORMINV(RAND(),$B$8,$C$8))</f>
        <v>0.14691866940493</v>
      </c>
      <c r="E237" s="70" t="n">
        <f aca="true">MAX(4,NORMINV(RAND(),$B$9,$C$9))</f>
        <v>11.2496304313908</v>
      </c>
      <c r="F237" s="27" t="n">
        <f aca="false">$B$18*(1+(B237+$B$17)/2)^9</f>
        <v>8568.45459093147</v>
      </c>
      <c r="G237" s="27" t="n">
        <f aca="false">F237*C237</f>
        <v>1503.97866617117</v>
      </c>
      <c r="H237" s="27" t="n">
        <f aca="false">E237*G237/(1+D237)^9</f>
        <v>4927.04276208837</v>
      </c>
      <c r="I237" s="27" t="n">
        <f aca="false">$B$13*G237/$B$12*((1+$B$8)/(1+D237))^4.5</f>
        <v>2193.92741135806</v>
      </c>
      <c r="J237" s="27" t="n">
        <f aca="false">H237+I237+$B$14</f>
        <v>9207.36905152863</v>
      </c>
      <c r="K237" s="45" t="n">
        <f aca="false">J237/$B$15</f>
        <v>14.6148715103629</v>
      </c>
    </row>
    <row r="238" customFormat="false" ht="15" hidden="false" customHeight="true" outlineLevel="0" collapsed="false">
      <c r="A238" s="74" t="n">
        <v>198</v>
      </c>
      <c r="B238" s="22" t="n">
        <f aca="true">NORMINV(RAND(),$B$6,$C$6)</f>
        <v>0.196022673377715</v>
      </c>
      <c r="C238" s="22" t="n">
        <f aca="true">MAX(0.03,NORMINV(RAND(),$B$7,$C$7))</f>
        <v>0.206299140718659</v>
      </c>
      <c r="D238" s="34" t="n">
        <f aca="true">MAX(0.08,NORMINV(RAND(),$B$8,$C$8))</f>
        <v>0.135307547151375</v>
      </c>
      <c r="E238" s="70" t="n">
        <f aca="true">MAX(4,NORMINV(RAND(),$B$9,$C$9))</f>
        <v>9.08363807301187</v>
      </c>
      <c r="F238" s="27" t="n">
        <f aca="false">$B$18*(1+(B238+$B$17)/2)^9</f>
        <v>7872.15777621962</v>
      </c>
      <c r="G238" s="27" t="n">
        <f aca="false">F238*C238</f>
        <v>1624.01938483581</v>
      </c>
      <c r="H238" s="27" t="n">
        <f aca="false">E238*G238/(1+D238)^9</f>
        <v>4707.92251642405</v>
      </c>
      <c r="I238" s="27" t="n">
        <f aca="false">$B$13*G238/$B$12*((1+$B$8)/(1+D238))^4.5</f>
        <v>2480.03451524437</v>
      </c>
      <c r="J238" s="27" t="n">
        <f aca="false">H238+I238+$B$14</f>
        <v>9274.35590975062</v>
      </c>
      <c r="K238" s="45" t="n">
        <f aca="false">J238/$B$15</f>
        <v>14.721199856747</v>
      </c>
    </row>
    <row r="239" customFormat="false" ht="15" hidden="false" customHeight="true" outlineLevel="0" collapsed="false">
      <c r="A239" s="74" t="n">
        <v>199</v>
      </c>
      <c r="B239" s="22" t="n">
        <f aca="true">NORMINV(RAND(),$B$6,$C$6)</f>
        <v>0.181027797651001</v>
      </c>
      <c r="C239" s="22" t="n">
        <f aca="true">MAX(0.03,NORMINV(RAND(),$B$7,$C$7))</f>
        <v>0.25101497794742</v>
      </c>
      <c r="D239" s="34" t="n">
        <f aca="true">MAX(0.08,NORMINV(RAND(),$B$8,$C$8))</f>
        <v>0.15522039273361</v>
      </c>
      <c r="E239" s="70" t="n">
        <f aca="true">MAX(4,NORMINV(RAND(),$B$9,$C$9))</f>
        <v>14.06787130385</v>
      </c>
      <c r="F239" s="27" t="n">
        <f aca="false">$B$18*(1+(B239+$B$17)/2)^9</f>
        <v>7411.59018937113</v>
      </c>
      <c r="G239" s="27" t="n">
        <f aca="false">F239*C239</f>
        <v>1860.42014794031</v>
      </c>
      <c r="H239" s="27" t="n">
        <f aca="false">E239*G239/(1+D239)^9</f>
        <v>7142.59129311034</v>
      </c>
      <c r="I239" s="27" t="n">
        <f aca="false">$B$13*G239/$B$12*((1+$B$8)/(1+D239))^4.5</f>
        <v>2627.22097122342</v>
      </c>
      <c r="J239" s="27" t="n">
        <f aca="false">H239+I239+$B$14</f>
        <v>11856.211142416</v>
      </c>
      <c r="K239" s="45" t="n">
        <f aca="false">J239/$B$15</f>
        <v>18.8193827657396</v>
      </c>
    </row>
    <row r="240" customFormat="false" ht="15" hidden="false" customHeight="true" outlineLevel="0" collapsed="false">
      <c r="A240" s="74" t="n">
        <v>200</v>
      </c>
      <c r="B240" s="22" t="n">
        <f aca="true">NORMINV(RAND(),$B$6,$C$6)</f>
        <v>0.235668231036945</v>
      </c>
      <c r="C240" s="22" t="n">
        <f aca="true">MAX(0.03,NORMINV(RAND(),$B$7,$C$7))</f>
        <v>0.201507554119265</v>
      </c>
      <c r="D240" s="34" t="n">
        <f aca="true">MAX(0.08,NORMINV(RAND(),$B$8,$C$8))</f>
        <v>0.140763856508922</v>
      </c>
      <c r="E240" s="70" t="n">
        <f aca="true">MAX(4,NORMINV(RAND(),$B$9,$C$9))</f>
        <v>11.986874295309</v>
      </c>
      <c r="F240" s="27" t="n">
        <f aca="false">$B$18*(1+(B240+$B$17)/2)^9</f>
        <v>9214.78682505902</v>
      </c>
      <c r="G240" s="27" t="n">
        <f aca="false">F240*C240</f>
        <v>1856.84915484807</v>
      </c>
      <c r="H240" s="27" t="n">
        <f aca="false">E240*G240/(1+D240)^9</f>
        <v>6803.31846426352</v>
      </c>
      <c r="I240" s="27" t="n">
        <f aca="false">$B$13*G240/$B$12*((1+$B$8)/(1+D240))^4.5</f>
        <v>2775.06471510423</v>
      </c>
      <c r="J240" s="27" t="n">
        <f aca="false">H240+I240+$B$14</f>
        <v>11664.7820574499</v>
      </c>
      <c r="K240" s="45" t="n">
        <f aca="false">J240/$B$15</f>
        <v>18.5155270753174</v>
      </c>
    </row>
    <row r="241" customFormat="false" ht="15" hidden="false" customHeight="true" outlineLevel="0" collapsed="false">
      <c r="A241" s="74" t="n">
        <v>201</v>
      </c>
      <c r="B241" s="22" t="n">
        <f aca="true">NORMINV(RAND(),$B$6,$C$6)</f>
        <v>0.101391344932005</v>
      </c>
      <c r="C241" s="22" t="n">
        <f aca="true">MAX(0.03,NORMINV(RAND(),$B$7,$C$7))</f>
        <v>0.255170964652095</v>
      </c>
      <c r="D241" s="34" t="n">
        <f aca="true">MAX(0.08,NORMINV(RAND(),$B$8,$C$8))</f>
        <v>0.145828328175321</v>
      </c>
      <c r="E241" s="70" t="n">
        <f aca="true">MAX(4,NORMINV(RAND(),$B$9,$C$9))</f>
        <v>11.9165031335115</v>
      </c>
      <c r="F241" s="27" t="n">
        <f aca="false">$B$18*(1+(B241+$B$17)/2)^9</f>
        <v>5343.6907769732</v>
      </c>
      <c r="G241" s="27" t="n">
        <f aca="false">F241*C241</f>
        <v>1363.55473036275</v>
      </c>
      <c r="H241" s="27" t="n">
        <f aca="false">E241*G241/(1+D241)^9</f>
        <v>4772.49421198717</v>
      </c>
      <c r="I241" s="27" t="n">
        <f aca="false">$B$13*G241/$B$12*((1+$B$8)/(1+D241))^4.5</f>
        <v>1997.61575647625</v>
      </c>
      <c r="J241" s="27" t="n">
        <f aca="false">H241+I241+$B$14</f>
        <v>8856.5088465456</v>
      </c>
      <c r="K241" s="45" t="n">
        <f aca="false">J241/$B$15</f>
        <v>14.0579505500724</v>
      </c>
    </row>
    <row r="242" customFormat="false" ht="15" hidden="false" customHeight="true" outlineLevel="0" collapsed="false">
      <c r="A242" s="74" t="n">
        <v>202</v>
      </c>
      <c r="B242" s="22" t="n">
        <f aca="true">NORMINV(RAND(),$B$6,$C$6)</f>
        <v>0.235720618884713</v>
      </c>
      <c r="C242" s="22" t="n">
        <f aca="true">MAX(0.03,NORMINV(RAND(),$B$7,$C$7))</f>
        <v>0.182808819091703</v>
      </c>
      <c r="D242" s="34" t="n">
        <f aca="true">MAX(0.08,NORMINV(RAND(),$B$8,$C$8))</f>
        <v>0.14262102248661</v>
      </c>
      <c r="E242" s="70" t="n">
        <f aca="true">MAX(4,NORMINV(RAND(),$B$9,$C$9))</f>
        <v>11.9225812679144</v>
      </c>
      <c r="F242" s="27" t="n">
        <f aca="false">$B$18*(1+(B242+$B$17)/2)^9</f>
        <v>9216.6878376077</v>
      </c>
      <c r="G242" s="27" t="n">
        <f aca="false">F242*C242</f>
        <v>1684.89181952992</v>
      </c>
      <c r="H242" s="27" t="n">
        <f aca="false">E242*G242/(1+D242)^9</f>
        <v>6050.93408057621</v>
      </c>
      <c r="I242" s="27" t="n">
        <f aca="false">$B$13*G242/$B$12*((1+$B$8)/(1+D242))^4.5</f>
        <v>2499.70900282746</v>
      </c>
      <c r="J242" s="27" t="n">
        <f aca="false">H242+I242+$B$14</f>
        <v>10637.0419614859</v>
      </c>
      <c r="K242" s="45" t="n">
        <f aca="false">J242/$B$15</f>
        <v>16.8841935896601</v>
      </c>
    </row>
    <row r="243" customFormat="false" ht="15" hidden="false" customHeight="true" outlineLevel="0" collapsed="false">
      <c r="A243" s="74" t="n">
        <v>203</v>
      </c>
      <c r="B243" s="22" t="n">
        <f aca="true">NORMINV(RAND(),$B$6,$C$6)</f>
        <v>0.179981781501345</v>
      </c>
      <c r="C243" s="22" t="n">
        <f aca="true">MAX(0.03,NORMINV(RAND(),$B$7,$C$7))</f>
        <v>0.199142397187843</v>
      </c>
      <c r="D243" s="34" t="n">
        <f aca="true">MAX(0.08,NORMINV(RAND(),$B$8,$C$8))</f>
        <v>0.125915201439872</v>
      </c>
      <c r="E243" s="70" t="n">
        <f aca="true">MAX(4,NORMINV(RAND(),$B$9,$C$9))</f>
        <v>15.6162332583375</v>
      </c>
      <c r="F243" s="27" t="n">
        <f aca="false">$B$18*(1+(B243+$B$17)/2)^9</f>
        <v>7380.37449729763</v>
      </c>
      <c r="G243" s="27" t="n">
        <f aca="false">F243*C243</f>
        <v>1469.74546953588</v>
      </c>
      <c r="H243" s="27" t="n">
        <f aca="false">E243*G243/(1+D243)^9</f>
        <v>7893.45745888604</v>
      </c>
      <c r="I243" s="27" t="n">
        <f aca="false">$B$13*G243/$B$12*((1+$B$8)/(1+D243))^4.5</f>
        <v>2329.93570132633</v>
      </c>
      <c r="J243" s="27" t="n">
        <f aca="false">H243+I243+$B$14</f>
        <v>12309.7920382946</v>
      </c>
      <c r="K243" s="45" t="n">
        <f aca="false">J243/$B$15</f>
        <v>19.5393524417374</v>
      </c>
    </row>
    <row r="244" customFormat="false" ht="15" hidden="false" customHeight="true" outlineLevel="0" collapsed="false">
      <c r="A244" s="74" t="n">
        <v>204</v>
      </c>
      <c r="B244" s="22" t="n">
        <f aca="true">NORMINV(RAND(),$B$6,$C$6)</f>
        <v>0.220988131922168</v>
      </c>
      <c r="C244" s="22" t="n">
        <f aca="true">MAX(0.03,NORMINV(RAND(),$B$7,$C$7))</f>
        <v>0.226974112163598</v>
      </c>
      <c r="D244" s="34" t="n">
        <f aca="true">MAX(0.08,NORMINV(RAND(),$B$8,$C$8))</f>
        <v>0.148865782788147</v>
      </c>
      <c r="E244" s="70" t="n">
        <f aca="true">MAX(4,NORMINV(RAND(),$B$9,$C$9))</f>
        <v>12.4001171439994</v>
      </c>
      <c r="F244" s="27" t="n">
        <f aca="false">$B$18*(1+(B244+$B$17)/2)^9</f>
        <v>8695.61586856965</v>
      </c>
      <c r="G244" s="27" t="n">
        <f aca="false">F244*C244</f>
        <v>1973.67969148429</v>
      </c>
      <c r="H244" s="27" t="n">
        <f aca="false">E244*G244/(1+D244)^9</f>
        <v>7019.05760822744</v>
      </c>
      <c r="I244" s="27" t="n">
        <f aca="false">$B$13*G244/$B$12*((1+$B$8)/(1+D244))^4.5</f>
        <v>2857.21041132144</v>
      </c>
      <c r="J244" s="27" t="n">
        <f aca="false">H244+I244+$B$14</f>
        <v>11962.6668976311</v>
      </c>
      <c r="K244" s="45" t="n">
        <f aca="false">J244/$B$15</f>
        <v>18.98836015497</v>
      </c>
    </row>
    <row r="245" customFormat="false" ht="15" hidden="false" customHeight="true" outlineLevel="0" collapsed="false">
      <c r="A245" s="74" t="n">
        <v>205</v>
      </c>
      <c r="B245" s="22" t="n">
        <f aca="true">NORMINV(RAND(),$B$6,$C$6)</f>
        <v>0.190739998558931</v>
      </c>
      <c r="C245" s="22" t="n">
        <f aca="true">MAX(0.03,NORMINV(RAND(),$B$7,$C$7))</f>
        <v>0.24152765549488</v>
      </c>
      <c r="D245" s="34" t="n">
        <f aca="true">MAX(0.08,NORMINV(RAND(),$B$8,$C$8))</f>
        <v>0.11841877297097</v>
      </c>
      <c r="E245" s="70" t="n">
        <f aca="true">MAX(4,NORMINV(RAND(),$B$9,$C$9))</f>
        <v>12.0424428715238</v>
      </c>
      <c r="F245" s="27" t="n">
        <f aca="false">$B$18*(1+(B245+$B$17)/2)^9</f>
        <v>7707.07818284405</v>
      </c>
      <c r="G245" s="27" t="n">
        <f aca="false">F245*C245</f>
        <v>1861.47252421806</v>
      </c>
      <c r="H245" s="27" t="n">
        <f aca="false">E245*G245/(1+D245)^9</f>
        <v>8187.1206621779</v>
      </c>
      <c r="I245" s="27" t="n">
        <f aca="false">$B$13*G245/$B$12*((1+$B$8)/(1+D245))^4.5</f>
        <v>3040.98299543979</v>
      </c>
      <c r="J245" s="27" t="n">
        <f aca="false">H245+I245+$B$14</f>
        <v>13314.5025356999</v>
      </c>
      <c r="K245" s="45" t="n">
        <f aca="false">J245/$B$15</f>
        <v>21.1341310090474</v>
      </c>
    </row>
    <row r="246" customFormat="false" ht="15" hidden="false" customHeight="true" outlineLevel="0" collapsed="false">
      <c r="A246" s="74" t="n">
        <v>206</v>
      </c>
      <c r="B246" s="22" t="n">
        <f aca="true">NORMINV(RAND(),$B$6,$C$6)</f>
        <v>0.161759829436714</v>
      </c>
      <c r="C246" s="22" t="n">
        <f aca="true">MAX(0.03,NORMINV(RAND(),$B$7,$C$7))</f>
        <v>0.212017595245315</v>
      </c>
      <c r="D246" s="34" t="n">
        <f aca="true">MAX(0.08,NORMINV(RAND(),$B$8,$C$8))</f>
        <v>0.124092023809874</v>
      </c>
      <c r="E246" s="70" t="n">
        <f aca="true">MAX(4,NORMINV(RAND(),$B$9,$C$9))</f>
        <v>9.94865077753806</v>
      </c>
      <c r="F246" s="27" t="n">
        <f aca="false">$B$18*(1+(B246+$B$17)/2)^9</f>
        <v>6855.01262608731</v>
      </c>
      <c r="G246" s="27" t="n">
        <f aca="false">F246*C246</f>
        <v>1453.3832923593</v>
      </c>
      <c r="H246" s="27" t="n">
        <f aca="false">E246*G246/(1+D246)^9</f>
        <v>5045.77120215769</v>
      </c>
      <c r="I246" s="27" t="n">
        <f aca="false">$B$13*G246/$B$12*((1+$B$8)/(1+D246))^4.5</f>
        <v>2320.8610699352</v>
      </c>
      <c r="J246" s="27" t="n">
        <f aca="false">H246+I246+$B$14</f>
        <v>9453.03115017508</v>
      </c>
      <c r="K246" s="45" t="n">
        <f aca="false">J246/$B$15</f>
        <v>15.0048113494843</v>
      </c>
    </row>
    <row r="247" customFormat="false" ht="15" hidden="false" customHeight="true" outlineLevel="0" collapsed="false">
      <c r="A247" s="74" t="n">
        <v>207</v>
      </c>
      <c r="B247" s="22" t="n">
        <f aca="true">NORMINV(RAND(),$B$6,$C$6)</f>
        <v>0.162798336951109</v>
      </c>
      <c r="C247" s="22" t="n">
        <f aca="true">MAX(0.03,NORMINV(RAND(),$B$7,$C$7))</f>
        <v>0.245104689105302</v>
      </c>
      <c r="D247" s="34" t="n">
        <f aca="true">MAX(0.08,NORMINV(RAND(),$B$8,$C$8))</f>
        <v>0.141686280566122</v>
      </c>
      <c r="E247" s="70" t="n">
        <f aca="true">MAX(4,NORMINV(RAND(),$B$9,$C$9))</f>
        <v>11.3803378885793</v>
      </c>
      <c r="F247" s="27" t="n">
        <f aca="false">$B$18*(1+(B247+$B$17)/2)^9</f>
        <v>6884.03535505657</v>
      </c>
      <c r="G247" s="27" t="n">
        <f aca="false">F247*C247</f>
        <v>1687.30934549105</v>
      </c>
      <c r="H247" s="27" t="n">
        <f aca="false">E247*G247/(1+D247)^9</f>
        <v>5826.78278432703</v>
      </c>
      <c r="I247" s="27" t="n">
        <f aca="false">$B$13*G247/$B$12*((1+$B$8)/(1+D247))^4.5</f>
        <v>2512.53181745753</v>
      </c>
      <c r="J247" s="27" t="n">
        <f aca="false">H247+I247+$B$14</f>
        <v>10425.7134798667</v>
      </c>
      <c r="K247" s="45" t="n">
        <f aca="false">J247/$B$15</f>
        <v>16.548751555344</v>
      </c>
    </row>
    <row r="248" customFormat="false" ht="15" hidden="false" customHeight="true" outlineLevel="0" collapsed="false">
      <c r="A248" s="74" t="n">
        <v>208</v>
      </c>
      <c r="B248" s="22" t="n">
        <f aca="true">NORMINV(RAND(),$B$6,$C$6)</f>
        <v>0.208553185955152</v>
      </c>
      <c r="C248" s="22" t="n">
        <f aca="true">MAX(0.03,NORMINV(RAND(),$B$7,$C$7))</f>
        <v>0.194106607692998</v>
      </c>
      <c r="D248" s="34" t="n">
        <f aca="true">MAX(0.08,NORMINV(RAND(),$B$8,$C$8))</f>
        <v>0.129339115657497</v>
      </c>
      <c r="E248" s="70" t="n">
        <f aca="true">MAX(4,NORMINV(RAND(),$B$9,$C$9))</f>
        <v>10.8914950527021</v>
      </c>
      <c r="F248" s="27" t="n">
        <f aca="false">$B$18*(1+(B248+$B$17)/2)^9</f>
        <v>8276.36172390617</v>
      </c>
      <c r="G248" s="27" t="n">
        <f aca="false">F248*C248</f>
        <v>1606.4964982676</v>
      </c>
      <c r="H248" s="27" t="n">
        <f aca="false">E248*G248/(1+D248)^9</f>
        <v>5855.28375769662</v>
      </c>
      <c r="I248" s="27" t="n">
        <f aca="false">$B$13*G248/$B$12*((1+$B$8)/(1+D248))^4.5</f>
        <v>2512.16114379612</v>
      </c>
      <c r="J248" s="27" t="n">
        <f aca="false">H248+I248+$B$14</f>
        <v>10453.8437795749</v>
      </c>
      <c r="K248" s="45" t="n">
        <f aca="false">J248/$B$15</f>
        <v>16.5934028247221</v>
      </c>
    </row>
    <row r="249" customFormat="false" ht="15" hidden="false" customHeight="true" outlineLevel="0" collapsed="false">
      <c r="A249" s="74" t="n">
        <v>209</v>
      </c>
      <c r="B249" s="22" t="n">
        <f aca="true">NORMINV(RAND(),$B$6,$C$6)</f>
        <v>0.251380118618633</v>
      </c>
      <c r="C249" s="22" t="n">
        <f aca="true">MAX(0.03,NORMINV(RAND(),$B$7,$C$7))</f>
        <v>0.204313951328493</v>
      </c>
      <c r="D249" s="34" t="n">
        <f aca="true">MAX(0.08,NORMINV(RAND(),$B$8,$C$8))</f>
        <v>0.135584706119449</v>
      </c>
      <c r="E249" s="70" t="n">
        <f aca="true">MAX(4,NORMINV(RAND(),$B$9,$C$9))</f>
        <v>13.191421014128</v>
      </c>
      <c r="F249" s="27" t="n">
        <f aca="false">$B$18*(1+(B249+$B$17)/2)^9</f>
        <v>9800.80565299215</v>
      </c>
      <c r="G249" s="27" t="n">
        <f aca="false">F249*C249</f>
        <v>2002.44132916546</v>
      </c>
      <c r="H249" s="27" t="n">
        <f aca="false">E249*G249/(1+D249)^9</f>
        <v>8411.54103090402</v>
      </c>
      <c r="I249" s="27" t="n">
        <f aca="false">$B$13*G249/$B$12*((1+$B$8)/(1+D249))^4.5</f>
        <v>3054.56429972685</v>
      </c>
      <c r="J249" s="27" t="n">
        <f aca="false">H249+I249+$B$14</f>
        <v>13552.5042087131</v>
      </c>
      <c r="K249" s="45" t="n">
        <f aca="false">J249/$B$15</f>
        <v>21.5119114424017</v>
      </c>
    </row>
    <row r="250" customFormat="false" ht="15" hidden="false" customHeight="true" outlineLevel="0" collapsed="false">
      <c r="A250" s="74" t="n">
        <v>210</v>
      </c>
      <c r="B250" s="22" t="n">
        <f aca="true">NORMINV(RAND(),$B$6,$C$6)</f>
        <v>0.205348217847111</v>
      </c>
      <c r="C250" s="22" t="n">
        <f aca="true">MAX(0.03,NORMINV(RAND(),$B$7,$C$7))</f>
        <v>0.157755931330031</v>
      </c>
      <c r="D250" s="34" t="n">
        <f aca="true">MAX(0.08,NORMINV(RAND(),$B$8,$C$8))</f>
        <v>0.128423098300802</v>
      </c>
      <c r="E250" s="70" t="n">
        <f aca="true">MAX(4,NORMINV(RAND(),$B$9,$C$9))</f>
        <v>12.6964820711079</v>
      </c>
      <c r="F250" s="27" t="n">
        <f aca="false">$B$18*(1+(B250+$B$17)/2)^9</f>
        <v>8171.25961900338</v>
      </c>
      <c r="G250" s="27" t="n">
        <f aca="false">F250*C250</f>
        <v>1289.06467133535</v>
      </c>
      <c r="H250" s="27" t="n">
        <f aca="false">E250*G250/(1+D250)^9</f>
        <v>5517.09425261038</v>
      </c>
      <c r="I250" s="27" t="n">
        <f aca="false">$B$13*G250/$B$12*((1+$B$8)/(1+D250))^4.5</f>
        <v>2023.15068884926</v>
      </c>
      <c r="J250" s="27" t="n">
        <f aca="false">H250+I250+$B$14</f>
        <v>9626.64381954183</v>
      </c>
      <c r="K250" s="45" t="n">
        <f aca="false">J250/$B$15</f>
        <v>15.2803870151458</v>
      </c>
    </row>
    <row r="251" customFormat="false" ht="15" hidden="false" customHeight="true" outlineLevel="0" collapsed="false">
      <c r="A251" s="74" t="n">
        <v>211</v>
      </c>
      <c r="B251" s="22" t="n">
        <f aca="true">NORMINV(RAND(),$B$6,$C$6)</f>
        <v>0.19218974391792</v>
      </c>
      <c r="C251" s="22" t="n">
        <f aca="true">MAX(0.03,NORMINV(RAND(),$B$7,$C$7))</f>
        <v>0.219572748677505</v>
      </c>
      <c r="D251" s="34" t="n">
        <f aca="true">MAX(0.08,NORMINV(RAND(),$B$8,$C$8))</f>
        <v>0.133243454173823</v>
      </c>
      <c r="E251" s="70" t="n">
        <f aca="true">MAX(4,NORMINV(RAND(),$B$9,$C$9))</f>
        <v>11.060828152106</v>
      </c>
      <c r="F251" s="27" t="n">
        <f aca="false">$B$18*(1+(B251+$B$17)/2)^9</f>
        <v>7752.07240211263</v>
      </c>
      <c r="G251" s="27" t="n">
        <f aca="false">F251*C251</f>
        <v>1702.1438452789</v>
      </c>
      <c r="H251" s="27" t="n">
        <f aca="false">E251*G251/(1+D251)^9</f>
        <v>6107.66110132641</v>
      </c>
      <c r="I251" s="27" t="n">
        <f aca="false">$B$13*G251/$B$12*((1+$B$8)/(1+D251))^4.5</f>
        <v>2620.71111622855</v>
      </c>
      <c r="J251" s="27" t="n">
        <f aca="false">H251+I251+$B$14</f>
        <v>10814.7710956372</v>
      </c>
      <c r="K251" s="45" t="n">
        <f aca="false">J251/$B$15</f>
        <v>17.1663033264082</v>
      </c>
    </row>
    <row r="252" customFormat="false" ht="15" hidden="false" customHeight="true" outlineLevel="0" collapsed="false">
      <c r="A252" s="74" t="n">
        <v>212</v>
      </c>
      <c r="B252" s="22" t="n">
        <f aca="true">NORMINV(RAND(),$B$6,$C$6)</f>
        <v>0.180098107845477</v>
      </c>
      <c r="C252" s="22" t="n">
        <f aca="true">MAX(0.03,NORMINV(RAND(),$B$7,$C$7))</f>
        <v>0.281405918249169</v>
      </c>
      <c r="D252" s="34" t="n">
        <f aca="true">MAX(0.08,NORMINV(RAND(),$B$8,$C$8))</f>
        <v>0.156729182842299</v>
      </c>
      <c r="E252" s="70" t="n">
        <f aca="true">MAX(4,NORMINV(RAND(),$B$9,$C$9))</f>
        <v>12.5963256021122</v>
      </c>
      <c r="F252" s="27" t="n">
        <f aca="false">$B$18*(1+(B252+$B$17)/2)^9</f>
        <v>7383.84017597502</v>
      </c>
      <c r="G252" s="27" t="n">
        <f aca="false">F252*C252</f>
        <v>2077.85632492535</v>
      </c>
      <c r="H252" s="27" t="n">
        <f aca="false">E252*G252/(1+D252)^9</f>
        <v>7059.50354922451</v>
      </c>
      <c r="I252" s="27" t="n">
        <f aca="false">$B$13*G252/$B$12*((1+$B$8)/(1+D252))^4.5</f>
        <v>2917.09301271051</v>
      </c>
      <c r="J252" s="27" t="n">
        <f aca="false">H252+I252+$B$14</f>
        <v>12062.9954400172</v>
      </c>
      <c r="K252" s="45" t="n">
        <f aca="false">J252/$B$15</f>
        <v>19.1476118095511</v>
      </c>
    </row>
    <row r="253" customFormat="false" ht="15" hidden="false" customHeight="true" outlineLevel="0" collapsed="false">
      <c r="A253" s="74" t="n">
        <v>213</v>
      </c>
      <c r="B253" s="22" t="n">
        <f aca="true">NORMINV(RAND(),$B$6,$C$6)</f>
        <v>0.189755838139546</v>
      </c>
      <c r="C253" s="22" t="n">
        <f aca="true">MAX(0.03,NORMINV(RAND(),$B$7,$C$7))</f>
        <v>0.192385919335881</v>
      </c>
      <c r="D253" s="34" t="n">
        <f aca="true">MAX(0.08,NORMINV(RAND(),$B$8,$C$8))</f>
        <v>0.144923487989189</v>
      </c>
      <c r="E253" s="70" t="n">
        <f aca="true">MAX(4,NORMINV(RAND(),$B$9,$C$9))</f>
        <v>9.66661032573499</v>
      </c>
      <c r="F253" s="27" t="n">
        <f aca="false">$B$18*(1+(B253+$B$17)/2)^9</f>
        <v>7676.66626391149</v>
      </c>
      <c r="G253" s="27" t="n">
        <f aca="false">F253*C253</f>
        <v>1476.88249661736</v>
      </c>
      <c r="H253" s="27" t="n">
        <f aca="false">E253*G253/(1+D253)^9</f>
        <v>4223.10588635472</v>
      </c>
      <c r="I253" s="27" t="n">
        <f aca="false">$B$13*G253/$B$12*((1+$B$8)/(1+D253))^4.5</f>
        <v>2171.34698204531</v>
      </c>
      <c r="J253" s="27" t="n">
        <f aca="false">H253+I253+$B$14</f>
        <v>8480.85174648223</v>
      </c>
      <c r="K253" s="45" t="n">
        <f aca="false">J253/$B$15</f>
        <v>13.4616694388607</v>
      </c>
    </row>
    <row r="254" customFormat="false" ht="15" hidden="false" customHeight="true" outlineLevel="0" collapsed="false">
      <c r="A254" s="74" t="n">
        <v>214</v>
      </c>
      <c r="B254" s="22" t="n">
        <f aca="true">NORMINV(RAND(),$B$6,$C$6)</f>
        <v>0.162082178487958</v>
      </c>
      <c r="C254" s="22" t="n">
        <f aca="true">MAX(0.03,NORMINV(RAND(),$B$7,$C$7))</f>
        <v>0.165340766200547</v>
      </c>
      <c r="D254" s="34" t="n">
        <f aca="true">MAX(0.08,NORMINV(RAND(),$B$8,$C$8))</f>
        <v>0.13606843885602</v>
      </c>
      <c r="E254" s="70" t="n">
        <f aca="true">MAX(4,NORMINV(RAND(),$B$9,$C$9))</f>
        <v>12.398669916517</v>
      </c>
      <c r="F254" s="27" t="n">
        <f aca="false">$B$18*(1+(B254+$B$17)/2)^9</f>
        <v>6864.00951572219</v>
      </c>
      <c r="G254" s="27" t="n">
        <f aca="false">F254*C254</f>
        <v>1134.90059253735</v>
      </c>
      <c r="H254" s="27" t="n">
        <f aca="false">E254*G254/(1+D254)^9</f>
        <v>4463.6739828028</v>
      </c>
      <c r="I254" s="27" t="n">
        <f aca="false">$B$13*G254/$B$12*((1+$B$8)/(1+D254))^4.5</f>
        <v>1727.8855559088</v>
      </c>
      <c r="J254" s="27" t="n">
        <f aca="false">H254+I254+$B$14</f>
        <v>8277.95841679379</v>
      </c>
      <c r="K254" s="45" t="n">
        <f aca="false">J254/$B$15</f>
        <v>13.1396165345933</v>
      </c>
    </row>
    <row r="255" customFormat="false" ht="15" hidden="false" customHeight="true" outlineLevel="0" collapsed="false">
      <c r="A255" s="74" t="n">
        <v>215</v>
      </c>
      <c r="B255" s="22" t="n">
        <f aca="true">NORMINV(RAND(),$B$6,$C$6)</f>
        <v>0.229975392739893</v>
      </c>
      <c r="C255" s="22" t="n">
        <f aca="true">MAX(0.03,NORMINV(RAND(),$B$7,$C$7))</f>
        <v>0.251133521681431</v>
      </c>
      <c r="D255" s="34" t="n">
        <f aca="true">MAX(0.08,NORMINV(RAND(),$B$8,$C$8))</f>
        <v>0.124930645010413</v>
      </c>
      <c r="E255" s="70" t="n">
        <f aca="true">MAX(4,NORMINV(RAND(),$B$9,$C$9))</f>
        <v>11.4162872520725</v>
      </c>
      <c r="F255" s="27" t="n">
        <f aca="false">$B$18*(1+(B255+$B$17)/2)^9</f>
        <v>9010.27410163727</v>
      </c>
      <c r="G255" s="27" t="n">
        <f aca="false">F255*C255</f>
        <v>2262.78186645915</v>
      </c>
      <c r="H255" s="27" t="n">
        <f aca="false">E255*G255/(1+D255)^9</f>
        <v>8954.38672336661</v>
      </c>
      <c r="I255" s="27" t="n">
        <f aca="false">$B$13*G255/$B$12*((1+$B$8)/(1+D255))^4.5</f>
        <v>3601.25772351523</v>
      </c>
      <c r="J255" s="27" t="n">
        <f aca="false">H255+I255+$B$14</f>
        <v>14642.043324964</v>
      </c>
      <c r="K255" s="45" t="n">
        <f aca="false">J255/$B$15</f>
        <v>23.241338611054</v>
      </c>
    </row>
    <row r="256" customFormat="false" ht="15" hidden="false" customHeight="true" outlineLevel="0" collapsed="false">
      <c r="A256" s="74" t="n">
        <v>216</v>
      </c>
      <c r="B256" s="22" t="n">
        <f aca="true">NORMINV(RAND(),$B$6,$C$6)</f>
        <v>0.205898234560484</v>
      </c>
      <c r="C256" s="22" t="n">
        <f aca="true">MAX(0.03,NORMINV(RAND(),$B$7,$C$7))</f>
        <v>0.23221896597015</v>
      </c>
      <c r="D256" s="34" t="n">
        <f aca="true">MAX(0.08,NORMINV(RAND(),$B$8,$C$8))</f>
        <v>0.136055666897733</v>
      </c>
      <c r="E256" s="70" t="n">
        <f aca="true">MAX(4,NORMINV(RAND(),$B$9,$C$9))</f>
        <v>11.2136871875195</v>
      </c>
      <c r="F256" s="27" t="n">
        <f aca="false">$B$18*(1+(B256+$B$17)/2)^9</f>
        <v>8189.21181099248</v>
      </c>
      <c r="G256" s="27" t="n">
        <f aca="false">F256*C256</f>
        <v>1901.69029885921</v>
      </c>
      <c r="H256" s="27" t="n">
        <f aca="false">E256*G256/(1+D256)^9</f>
        <v>6765.37254320395</v>
      </c>
      <c r="I256" s="27" t="n">
        <f aca="false">$B$13*G256/$B$12*((1+$B$8)/(1+D256))^4.5</f>
        <v>2895.46896011771</v>
      </c>
      <c r="J256" s="27" t="n">
        <f aca="false">H256+I256+$B$14</f>
        <v>11747.2403814038</v>
      </c>
      <c r="K256" s="45" t="n">
        <f aca="false">J256/$B$15</f>
        <v>18.6464133038156</v>
      </c>
    </row>
    <row r="257" customFormat="false" ht="15" hidden="false" customHeight="true" outlineLevel="0" collapsed="false">
      <c r="A257" s="74" t="n">
        <v>217</v>
      </c>
      <c r="B257" s="22" t="n">
        <f aca="true">NORMINV(RAND(),$B$6,$C$6)</f>
        <v>0.20917826334291</v>
      </c>
      <c r="C257" s="22" t="n">
        <f aca="true">MAX(0.03,NORMINV(RAND(),$B$7,$C$7))</f>
        <v>0.205892070176596</v>
      </c>
      <c r="D257" s="34" t="n">
        <f aca="true">MAX(0.08,NORMINV(RAND(),$B$8,$C$8))</f>
        <v>0.143293255570341</v>
      </c>
      <c r="E257" s="70" t="n">
        <f aca="true">MAX(4,NORMINV(RAND(),$B$9,$C$9))</f>
        <v>10.772399307016</v>
      </c>
      <c r="F257" s="27" t="n">
        <f aca="false">$B$18*(1+(B257+$B$17)/2)^9</f>
        <v>8296.9996600942</v>
      </c>
      <c r="G257" s="27" t="n">
        <f aca="false">F257*C257</f>
        <v>1708.28643627131</v>
      </c>
      <c r="H257" s="27" t="n">
        <f aca="false">E257*G257/(1+D257)^9</f>
        <v>5513.84256956935</v>
      </c>
      <c r="I257" s="27" t="n">
        <f aca="false">$B$13*G257/$B$12*((1+$B$8)/(1+D257))^4.5</f>
        <v>2527.71836624209</v>
      </c>
      <c r="J257" s="27" t="n">
        <f aca="false">H257+I257+$B$14</f>
        <v>10127.9598138936</v>
      </c>
      <c r="K257" s="45" t="n">
        <f aca="false">J257/$B$15</f>
        <v>16.0761266887201</v>
      </c>
    </row>
    <row r="258" customFormat="false" ht="15" hidden="false" customHeight="true" outlineLevel="0" collapsed="false">
      <c r="A258" s="74" t="n">
        <v>218</v>
      </c>
      <c r="B258" s="22" t="n">
        <f aca="true">NORMINV(RAND(),$B$6,$C$6)</f>
        <v>0.170273627778002</v>
      </c>
      <c r="C258" s="22" t="n">
        <f aca="true">MAX(0.03,NORMINV(RAND(),$B$7,$C$7))</f>
        <v>0.218250438658503</v>
      </c>
      <c r="D258" s="34" t="n">
        <f aca="true">MAX(0.08,NORMINV(RAND(),$B$8,$C$8))</f>
        <v>0.123333794329365</v>
      </c>
      <c r="E258" s="70" t="n">
        <f aca="true">MAX(4,NORMINV(RAND(),$B$9,$C$9))</f>
        <v>14.4243966467722</v>
      </c>
      <c r="F258" s="27" t="n">
        <f aca="false">$B$18*(1+(B258+$B$17)/2)^9</f>
        <v>7096.18728177919</v>
      </c>
      <c r="G258" s="27" t="n">
        <f aca="false">F258*C258</f>
        <v>1548.7459870512</v>
      </c>
      <c r="H258" s="27" t="n">
        <f aca="false">E258*G258/(1+D258)^9</f>
        <v>7843.29285163388</v>
      </c>
      <c r="I258" s="27" t="n">
        <f aca="false">$B$13*G258/$B$12*((1+$B$8)/(1+D258))^4.5</f>
        <v>2480.66353507983</v>
      </c>
      <c r="J258" s="27" t="n">
        <f aca="false">H258+I258+$B$14</f>
        <v>12410.3552647959</v>
      </c>
      <c r="K258" s="45" t="n">
        <f aca="false">J258/$B$15</f>
        <v>19.6989766107872</v>
      </c>
    </row>
    <row r="259" customFormat="false" ht="15" hidden="false" customHeight="true" outlineLevel="0" collapsed="false">
      <c r="A259" s="74" t="n">
        <v>219</v>
      </c>
      <c r="B259" s="22" t="n">
        <f aca="true">NORMINV(RAND(),$B$6,$C$6)</f>
        <v>0.222241859164085</v>
      </c>
      <c r="C259" s="22" t="n">
        <f aca="true">MAX(0.03,NORMINV(RAND(),$B$7,$C$7))</f>
        <v>0.187678728414937</v>
      </c>
      <c r="D259" s="34" t="n">
        <f aca="true">MAX(0.08,NORMINV(RAND(),$B$8,$C$8))</f>
        <v>0.133323999251865</v>
      </c>
      <c r="E259" s="70" t="n">
        <f aca="true">MAX(4,NORMINV(RAND(),$B$9,$C$9))</f>
        <v>12.0916276566539</v>
      </c>
      <c r="F259" s="27" t="n">
        <f aca="false">$B$18*(1+(B259+$B$17)/2)^9</f>
        <v>8738.91610431857</v>
      </c>
      <c r="G259" s="27" t="n">
        <f aca="false">F259*C259</f>
        <v>1640.10866218332</v>
      </c>
      <c r="H259" s="27" t="n">
        <f aca="false">E259*G259/(1+D259)^9</f>
        <v>6429.40255238208</v>
      </c>
      <c r="I259" s="27" t="n">
        <f aca="false">$B$13*G259/$B$12*((1+$B$8)/(1+D259))^4.5</f>
        <v>2524.3909584669</v>
      </c>
      <c r="J259" s="27" t="n">
        <f aca="false">H259+I259+$B$14</f>
        <v>11040.1923889312</v>
      </c>
      <c r="K259" s="45" t="n">
        <f aca="false">J259/$B$15</f>
        <v>17.5241149030653</v>
      </c>
    </row>
    <row r="260" customFormat="false" ht="15" hidden="false" customHeight="true" outlineLevel="0" collapsed="false">
      <c r="A260" s="74" t="n">
        <v>220</v>
      </c>
      <c r="B260" s="22" t="n">
        <f aca="true">NORMINV(RAND(),$B$6,$C$6)</f>
        <v>0.217532466910544</v>
      </c>
      <c r="C260" s="22" t="n">
        <f aca="true">MAX(0.03,NORMINV(RAND(),$B$7,$C$7))</f>
        <v>0.252485555565033</v>
      </c>
      <c r="D260" s="34" t="n">
        <f aca="true">MAX(0.08,NORMINV(RAND(),$B$8,$C$8))</f>
        <v>0.148946407849177</v>
      </c>
      <c r="E260" s="70" t="n">
        <f aca="true">MAX(4,NORMINV(RAND(),$B$9,$C$9))</f>
        <v>8.75005947457354</v>
      </c>
      <c r="F260" s="27" t="n">
        <f aca="false">$B$18*(1+(B260+$B$17)/2)^9</f>
        <v>8577.25242766307</v>
      </c>
      <c r="G260" s="27" t="n">
        <f aca="false">F260*C260</f>
        <v>2165.63234442004</v>
      </c>
      <c r="H260" s="27" t="n">
        <f aca="false">E260*G260/(1+D260)^9</f>
        <v>5431.22492947814</v>
      </c>
      <c r="I260" s="27" t="n">
        <f aca="false">$B$13*G260/$B$12*((1+$B$8)/(1+D260))^4.5</f>
        <v>3134.10206064226</v>
      </c>
      <c r="J260" s="27" t="n">
        <f aca="false">H260+I260+$B$14</f>
        <v>10651.7258682026</v>
      </c>
      <c r="K260" s="45" t="n">
        <f aca="false">J260/$B$15</f>
        <v>16.9075013780993</v>
      </c>
    </row>
    <row r="261" customFormat="false" ht="15" hidden="false" customHeight="true" outlineLevel="0" collapsed="false">
      <c r="A261" s="74" t="n">
        <v>221</v>
      </c>
      <c r="B261" s="22" t="n">
        <f aca="true">NORMINV(RAND(),$B$6,$C$6)</f>
        <v>0.194279349417469</v>
      </c>
      <c r="C261" s="22" t="n">
        <f aca="true">MAX(0.03,NORMINV(RAND(),$B$7,$C$7))</f>
        <v>0.223002333285713</v>
      </c>
      <c r="D261" s="34" t="n">
        <f aca="true">MAX(0.08,NORMINV(RAND(),$B$8,$C$8))</f>
        <v>0.126967077328625</v>
      </c>
      <c r="E261" s="70" t="n">
        <f aca="true">MAX(4,NORMINV(RAND(),$B$9,$C$9))</f>
        <v>9.19317793570119</v>
      </c>
      <c r="F261" s="27" t="n">
        <f aca="false">$B$18*(1+(B261+$B$17)/2)^9</f>
        <v>7817.33610836708</v>
      </c>
      <c r="G261" s="27" t="n">
        <f aca="false">F261*C261</f>
        <v>1743.28419224451</v>
      </c>
      <c r="H261" s="27" t="n">
        <f aca="false">E261*G261/(1+D261)^9</f>
        <v>5465.53648125747</v>
      </c>
      <c r="I261" s="27" t="n">
        <f aca="false">$B$13*G261/$B$12*((1+$B$8)/(1+D261))^4.5</f>
        <v>2751.97852188459</v>
      </c>
      <c r="J261" s="27" t="n">
        <f aca="false">H261+I261+$B$14</f>
        <v>10303.9138812243</v>
      </c>
      <c r="K261" s="45" t="n">
        <f aca="false">J261/$B$15</f>
        <v>16.3554188590861</v>
      </c>
    </row>
    <row r="262" customFormat="false" ht="15" hidden="false" customHeight="true" outlineLevel="0" collapsed="false">
      <c r="A262" s="74" t="n">
        <v>222</v>
      </c>
      <c r="B262" s="22" t="n">
        <f aca="true">NORMINV(RAND(),$B$6,$C$6)</f>
        <v>0.18098233954713</v>
      </c>
      <c r="C262" s="22" t="n">
        <f aca="true">MAX(0.03,NORMINV(RAND(),$B$7,$C$7))</f>
        <v>0.183405373183175</v>
      </c>
      <c r="D262" s="34" t="n">
        <f aca="true">MAX(0.08,NORMINV(RAND(),$B$8,$C$8))</f>
        <v>0.127906652756718</v>
      </c>
      <c r="E262" s="70" t="n">
        <f aca="true">MAX(4,NORMINV(RAND(),$B$9,$C$9))</f>
        <v>13.4192577599635</v>
      </c>
      <c r="F262" s="27" t="n">
        <f aca="false">$B$18*(1+(B262+$B$17)/2)^9</f>
        <v>7410.23117250383</v>
      </c>
      <c r="G262" s="27" t="n">
        <f aca="false">F262*C262</f>
        <v>1359.07621356666</v>
      </c>
      <c r="H262" s="27" t="n">
        <f aca="false">E262*G262/(1+D262)^9</f>
        <v>6173.25024179613</v>
      </c>
      <c r="I262" s="27" t="n">
        <f aca="false">$B$13*G262/$B$12*((1+$B$8)/(1+D262))^4.5</f>
        <v>2137.43037894955</v>
      </c>
      <c r="J262" s="27" t="n">
        <f aca="false">H262+I262+$B$14</f>
        <v>10397.0794988279</v>
      </c>
      <c r="K262" s="45" t="n">
        <f aca="false">J262/$B$15</f>
        <v>16.5033007917903</v>
      </c>
    </row>
    <row r="263" customFormat="false" ht="15" hidden="false" customHeight="true" outlineLevel="0" collapsed="false">
      <c r="A263" s="74" t="n">
        <v>223</v>
      </c>
      <c r="B263" s="22" t="n">
        <f aca="true">NORMINV(RAND(),$B$6,$C$6)</f>
        <v>0.190482222851844</v>
      </c>
      <c r="C263" s="22" t="n">
        <f aca="true">MAX(0.03,NORMINV(RAND(),$B$7,$C$7))</f>
        <v>0.187753488002998</v>
      </c>
      <c r="D263" s="34" t="n">
        <f aca="true">MAX(0.08,NORMINV(RAND(),$B$8,$C$8))</f>
        <v>0.11370618045506</v>
      </c>
      <c r="E263" s="70" t="n">
        <f aca="true">MAX(4,NORMINV(RAND(),$B$9,$C$9))</f>
        <v>13.897485755346</v>
      </c>
      <c r="F263" s="27" t="n">
        <f aca="false">$B$18*(1+(B263+$B$17)/2)^9</f>
        <v>7699.10222304802</v>
      </c>
      <c r="G263" s="27" t="n">
        <f aca="false">F263*C263</f>
        <v>1445.5332968689</v>
      </c>
      <c r="H263" s="27" t="n">
        <f aca="false">E263*G263/(1+D263)^9</f>
        <v>7621.2931954825</v>
      </c>
      <c r="I263" s="27" t="n">
        <f aca="false">$B$13*G263/$B$12*((1+$B$8)/(1+D263))^4.5</f>
        <v>2406.78692886894</v>
      </c>
      <c r="J263" s="27" t="n">
        <f aca="false">H263+I263+$B$14</f>
        <v>12114.4790024336</v>
      </c>
      <c r="K263" s="45" t="n">
        <f aca="false">J263/$B$15</f>
        <v>19.2293317498947</v>
      </c>
    </row>
    <row r="264" customFormat="false" ht="15" hidden="false" customHeight="true" outlineLevel="0" collapsed="false">
      <c r="A264" s="74" t="n">
        <v>224</v>
      </c>
      <c r="B264" s="22" t="n">
        <f aca="true">NORMINV(RAND(),$B$6,$C$6)</f>
        <v>0.241355427415877</v>
      </c>
      <c r="C264" s="22" t="n">
        <f aca="true">MAX(0.03,NORMINV(RAND(),$B$7,$C$7))</f>
        <v>0.156127070305036</v>
      </c>
      <c r="D264" s="34" t="n">
        <f aca="true">MAX(0.08,NORMINV(RAND(),$B$8,$C$8))</f>
        <v>0.126040458570836</v>
      </c>
      <c r="E264" s="70" t="n">
        <f aca="true">MAX(4,NORMINV(RAND(),$B$9,$C$9))</f>
        <v>10.0574231959799</v>
      </c>
      <c r="F264" s="27" t="n">
        <f aca="false">$B$18*(1+(B264+$B$17)/2)^9</f>
        <v>9423.20656521128</v>
      </c>
      <c r="G264" s="27" t="n">
        <f aca="false">F264*C264</f>
        <v>1471.21763390562</v>
      </c>
      <c r="H264" s="27" t="n">
        <f aca="false">E264*G264/(1+D264)^9</f>
        <v>5083.67398641784</v>
      </c>
      <c r="I264" s="27" t="n">
        <f aca="false">$B$13*G264/$B$12*((1+$B$8)/(1+D264))^4.5</f>
        <v>2331.10224505699</v>
      </c>
      <c r="J264" s="27" t="n">
        <f aca="false">H264+I264+$B$14</f>
        <v>9501.17510955702</v>
      </c>
      <c r="K264" s="45" t="n">
        <f aca="false">J264/$B$15</f>
        <v>15.0812303326302</v>
      </c>
    </row>
    <row r="265" customFormat="false" ht="15" hidden="false" customHeight="true" outlineLevel="0" collapsed="false">
      <c r="A265" s="74" t="n">
        <v>225</v>
      </c>
      <c r="B265" s="22" t="n">
        <f aca="true">NORMINV(RAND(),$B$6,$C$6)</f>
        <v>0.253173048932123</v>
      </c>
      <c r="C265" s="22" t="n">
        <f aca="true">MAX(0.03,NORMINV(RAND(),$B$7,$C$7))</f>
        <v>0.153977566951393</v>
      </c>
      <c r="D265" s="34" t="n">
        <f aca="true">MAX(0.08,NORMINV(RAND(),$B$8,$C$8))</f>
        <v>0.144785932555171</v>
      </c>
      <c r="E265" s="70" t="n">
        <f aca="true">MAX(4,NORMINV(RAND(),$B$9,$C$9))</f>
        <v>11.6513692880335</v>
      </c>
      <c r="F265" s="27" t="n">
        <f aca="false">$B$18*(1+(B265+$B$17)/2)^9</f>
        <v>9869.73958788661</v>
      </c>
      <c r="G265" s="27" t="n">
        <f aca="false">F265*C265</f>
        <v>1519.71848818663</v>
      </c>
      <c r="H265" s="27" t="n">
        <f aca="false">E265*G265/(1+D265)^9</f>
        <v>5243.50344649944</v>
      </c>
      <c r="I265" s="27" t="n">
        <f aca="false">$B$13*G265/$B$12*((1+$B$8)/(1+D265))^4.5</f>
        <v>2235.53383330564</v>
      </c>
      <c r="J265" s="27" t="n">
        <f aca="false">H265+I265+$B$14</f>
        <v>9565.43615788727</v>
      </c>
      <c r="K265" s="45" t="n">
        <f aca="false">J265/$B$15</f>
        <v>15.1832319966465</v>
      </c>
    </row>
    <row r="266" customFormat="false" ht="15" hidden="false" customHeight="true" outlineLevel="0" collapsed="false">
      <c r="A266" s="74" t="n">
        <v>226</v>
      </c>
      <c r="B266" s="22" t="n">
        <f aca="true">NORMINV(RAND(),$B$6,$C$6)</f>
        <v>0.255683582130401</v>
      </c>
      <c r="C266" s="22" t="n">
        <f aca="true">MAX(0.03,NORMINV(RAND(),$B$7,$C$7))</f>
        <v>0.202765089996745</v>
      </c>
      <c r="D266" s="34" t="n">
        <f aca="true">MAX(0.08,NORMINV(RAND(),$B$8,$C$8))</f>
        <v>0.139695778962223</v>
      </c>
      <c r="E266" s="70" t="n">
        <f aca="true">MAX(4,NORMINV(RAND(),$B$9,$C$9))</f>
        <v>12.0738028145698</v>
      </c>
      <c r="F266" s="27" t="n">
        <f aca="false">$B$18*(1+(B266+$B$17)/2)^9</f>
        <v>9966.98785455568</v>
      </c>
      <c r="G266" s="27" t="n">
        <f aca="false">F266*C266</f>
        <v>2020.95718932545</v>
      </c>
      <c r="H266" s="27" t="n">
        <f aca="false">E266*G266/(1+D266)^9</f>
        <v>7521.43547977233</v>
      </c>
      <c r="I266" s="27" t="n">
        <f aca="false">$B$13*G266/$B$12*((1+$B$8)/(1+D266))^4.5</f>
        <v>3033.08277735788</v>
      </c>
      <c r="J266" s="27" t="n">
        <f aca="false">H266+I266+$B$14</f>
        <v>12640.9171352124</v>
      </c>
      <c r="K266" s="45" t="n">
        <f aca="false">J266/$B$15</f>
        <v>20.0649478336705</v>
      </c>
    </row>
    <row r="267" customFormat="false" ht="15" hidden="false" customHeight="true" outlineLevel="0" collapsed="false">
      <c r="A267" s="74" t="n">
        <v>227</v>
      </c>
      <c r="B267" s="22" t="n">
        <f aca="true">NORMINV(RAND(),$B$6,$C$6)</f>
        <v>0.214834049999536</v>
      </c>
      <c r="C267" s="22" t="n">
        <f aca="true">MAX(0.03,NORMINV(RAND(),$B$7,$C$7))</f>
        <v>0.249097565286611</v>
      </c>
      <c r="D267" s="34" t="n">
        <f aca="true">MAX(0.08,NORMINV(RAND(),$B$8,$C$8))</f>
        <v>0.131870208390878</v>
      </c>
      <c r="E267" s="70" t="n">
        <f aca="true">MAX(4,NORMINV(RAND(),$B$9,$C$9))</f>
        <v>9.5804798825574</v>
      </c>
      <c r="F267" s="27" t="n">
        <f aca="false">$B$18*(1+(B267+$B$17)/2)^9</f>
        <v>8485.82431058823</v>
      </c>
      <c r="G267" s="27" t="n">
        <f aca="false">F267*C267</f>
        <v>2113.79817521747</v>
      </c>
      <c r="H267" s="27" t="n">
        <f aca="false">E267*G267/(1+D267)^9</f>
        <v>6641.72851672363</v>
      </c>
      <c r="I267" s="27" t="n">
        <f aca="false">$B$13*G267/$B$12*((1+$B$8)/(1+D267))^4.5</f>
        <v>3272.32225398725</v>
      </c>
      <c r="J267" s="27" t="n">
        <f aca="false">H267+I267+$B$14</f>
        <v>12000.4496487931</v>
      </c>
      <c r="K267" s="45" t="n">
        <f aca="false">J267/$B$15</f>
        <v>19.048332775862</v>
      </c>
    </row>
    <row r="268" customFormat="false" ht="15" hidden="false" customHeight="true" outlineLevel="0" collapsed="false">
      <c r="A268" s="74" t="n">
        <v>228</v>
      </c>
      <c r="B268" s="22" t="n">
        <f aca="true">NORMINV(RAND(),$B$6,$C$6)</f>
        <v>0.253073278154872</v>
      </c>
      <c r="C268" s="22" t="n">
        <f aca="true">MAX(0.03,NORMINV(RAND(),$B$7,$C$7))</f>
        <v>0.171808399297229</v>
      </c>
      <c r="D268" s="34" t="n">
        <f aca="true">MAX(0.08,NORMINV(RAND(),$B$8,$C$8))</f>
        <v>0.138240885076597</v>
      </c>
      <c r="E268" s="70" t="n">
        <f aca="true">MAX(4,NORMINV(RAND(),$B$9,$C$9))</f>
        <v>11.1043078377407</v>
      </c>
      <c r="F268" s="27" t="n">
        <f aca="false">$B$18*(1+(B268+$B$17)/2)^9</f>
        <v>9865.89234382796</v>
      </c>
      <c r="G268" s="27" t="n">
        <f aca="false">F268*C268</f>
        <v>1695.04317123187</v>
      </c>
      <c r="H268" s="27" t="n">
        <f aca="false">E268*G268/(1+D268)^9</f>
        <v>5869.00697798</v>
      </c>
      <c r="I268" s="27" t="n">
        <f aca="false">$B$13*G268/$B$12*((1+$B$8)/(1+D268))^4.5</f>
        <v>2558.61137703758</v>
      </c>
      <c r="J268" s="27" t="n">
        <f aca="false">H268+I268+$B$14</f>
        <v>10514.0172330998</v>
      </c>
      <c r="K268" s="45" t="n">
        <f aca="false">J268/$B$15</f>
        <v>16.6889162430155</v>
      </c>
    </row>
    <row r="269" customFormat="false" ht="15" hidden="false" customHeight="true" outlineLevel="0" collapsed="false">
      <c r="A269" s="74" t="n">
        <v>229</v>
      </c>
      <c r="B269" s="22" t="n">
        <f aca="true">NORMINV(RAND(),$B$6,$C$6)</f>
        <v>0.222710226851434</v>
      </c>
      <c r="C269" s="22" t="n">
        <f aca="true">MAX(0.03,NORMINV(RAND(),$B$7,$C$7))</f>
        <v>0.195273545415869</v>
      </c>
      <c r="D269" s="34" t="n">
        <f aca="true">MAX(0.08,NORMINV(RAND(),$B$8,$C$8))</f>
        <v>0.136303377923548</v>
      </c>
      <c r="E269" s="70" t="n">
        <f aca="true">MAX(4,NORMINV(RAND(),$B$9,$C$9))</f>
        <v>15.5048429105164</v>
      </c>
      <c r="F269" s="27" t="n">
        <f aca="false">$B$18*(1+(B269+$B$17)/2)^9</f>
        <v>8755.14132269178</v>
      </c>
      <c r="G269" s="27" t="n">
        <f aca="false">F269*C269</f>
        <v>1709.647486699</v>
      </c>
      <c r="H269" s="27" t="n">
        <f aca="false">E269*G269/(1+D269)^9</f>
        <v>8393.15538027257</v>
      </c>
      <c r="I269" s="27" t="n">
        <f aca="false">$B$13*G269/$B$12*((1+$B$8)/(1+D269))^4.5</f>
        <v>2600.51648254066</v>
      </c>
      <c r="J269" s="27" t="n">
        <f aca="false">H269+I269+$B$14</f>
        <v>13080.0707408954</v>
      </c>
      <c r="K269" s="45" t="n">
        <f aca="false">J269/$B$15</f>
        <v>20.7620170490403</v>
      </c>
    </row>
    <row r="270" customFormat="false" ht="15" hidden="false" customHeight="true" outlineLevel="0" collapsed="false">
      <c r="A270" s="74" t="n">
        <v>230</v>
      </c>
      <c r="B270" s="22" t="n">
        <f aca="true">NORMINV(RAND(),$B$6,$C$6)</f>
        <v>0.169145831180926</v>
      </c>
      <c r="C270" s="22" t="n">
        <f aca="true">MAX(0.03,NORMINV(RAND(),$B$7,$C$7))</f>
        <v>0.179971514811811</v>
      </c>
      <c r="D270" s="34" t="n">
        <f aca="true">MAX(0.08,NORMINV(RAND(),$B$8,$C$8))</f>
        <v>0.123240315332026</v>
      </c>
      <c r="E270" s="70" t="n">
        <f aca="true">MAX(4,NORMINV(RAND(),$B$9,$C$9))</f>
        <v>10.2797102965707</v>
      </c>
      <c r="F270" s="27" t="n">
        <f aca="false">$B$18*(1+(B270+$B$17)/2)^9</f>
        <v>7063.81229491151</v>
      </c>
      <c r="G270" s="27" t="n">
        <f aca="false">F270*C270</f>
        <v>1271.28499906152</v>
      </c>
      <c r="H270" s="27" t="n">
        <f aca="false">E270*G270/(1+D270)^9</f>
        <v>4591.65926896946</v>
      </c>
      <c r="I270" s="27" t="n">
        <f aca="false">$B$13*G270/$B$12*((1+$B$8)/(1+D270))^4.5</f>
        <v>2037.0103157071</v>
      </c>
      <c r="J270" s="27" t="n">
        <f aca="false">H270+I270+$B$14</f>
        <v>8715.06846275876</v>
      </c>
      <c r="K270" s="45" t="n">
        <f aca="false">J270/$B$15</f>
        <v>13.833442004379</v>
      </c>
    </row>
    <row r="271" customFormat="false" ht="15" hidden="false" customHeight="true" outlineLevel="0" collapsed="false">
      <c r="A271" s="74" t="n">
        <v>231</v>
      </c>
      <c r="B271" s="22" t="n">
        <f aca="true">NORMINV(RAND(),$B$6,$C$6)</f>
        <v>0.105902989862008</v>
      </c>
      <c r="C271" s="22" t="n">
        <f aca="true">MAX(0.03,NORMINV(RAND(),$B$7,$C$7))</f>
        <v>0.258336606539246</v>
      </c>
      <c r="D271" s="34" t="n">
        <f aca="true">MAX(0.08,NORMINV(RAND(),$B$8,$C$8))</f>
        <v>0.135055473062191</v>
      </c>
      <c r="E271" s="70" t="n">
        <f aca="true">MAX(4,NORMINV(RAND(),$B$9,$C$9))</f>
        <v>10.1012947900203</v>
      </c>
      <c r="F271" s="27" t="n">
        <f aca="false">$B$18*(1+(B271+$B$17)/2)^9</f>
        <v>5445.39637739839</v>
      </c>
      <c r="G271" s="27" t="n">
        <f aca="false">F271*C271</f>
        <v>1406.7452213982</v>
      </c>
      <c r="H271" s="27" t="n">
        <f aca="false">E271*G271/(1+D271)^9</f>
        <v>4544.00405100872</v>
      </c>
      <c r="I271" s="27" t="n">
        <f aca="false">$B$13*G271/$B$12*((1+$B$8)/(1+D271))^4.5</f>
        <v>2150.38357817768</v>
      </c>
      <c r="J271" s="27" t="n">
        <f aca="false">H271+I271+$B$14</f>
        <v>8780.78650726859</v>
      </c>
      <c r="K271" s="45" t="n">
        <f aca="false">J271/$B$15</f>
        <v>13.9377563607438</v>
      </c>
    </row>
    <row r="272" customFormat="false" ht="15" hidden="false" customHeight="true" outlineLevel="0" collapsed="false">
      <c r="A272" s="74" t="n">
        <v>232</v>
      </c>
      <c r="B272" s="22" t="n">
        <f aca="true">NORMINV(RAND(),$B$6,$C$6)</f>
        <v>0.19162959337266</v>
      </c>
      <c r="C272" s="22" t="n">
        <f aca="true">MAX(0.03,NORMINV(RAND(),$B$7,$C$7))</f>
        <v>0.270173992589374</v>
      </c>
      <c r="D272" s="34" t="n">
        <f aca="true">MAX(0.08,NORMINV(RAND(),$B$8,$C$8))</f>
        <v>0.123460439202276</v>
      </c>
      <c r="E272" s="70" t="n">
        <f aca="true">MAX(4,NORMINV(RAND(),$B$9,$C$9))</f>
        <v>15.5182159906616</v>
      </c>
      <c r="F272" s="27" t="n">
        <f aca="false">$B$18*(1+(B272+$B$17)/2)^9</f>
        <v>7734.65999630199</v>
      </c>
      <c r="G272" s="27" t="n">
        <f aca="false">F272*C272</f>
        <v>2089.70397252222</v>
      </c>
      <c r="H272" s="27" t="n">
        <f aca="false">E272*G272/(1+D272)^9</f>
        <v>11373.8240106495</v>
      </c>
      <c r="I272" s="27" t="n">
        <f aca="false">$B$13*G272/$B$12*((1+$B$8)/(1+D272))^4.5</f>
        <v>3345.43131913852</v>
      </c>
      <c r="J272" s="27" t="n">
        <f aca="false">H272+I272+$B$14</f>
        <v>16805.6542078702</v>
      </c>
      <c r="K272" s="45" t="n">
        <f aca="false">J272/$B$15</f>
        <v>26.675641599794</v>
      </c>
    </row>
    <row r="273" customFormat="false" ht="15" hidden="false" customHeight="true" outlineLevel="0" collapsed="false">
      <c r="A273" s="74" t="n">
        <v>233</v>
      </c>
      <c r="B273" s="22" t="n">
        <f aca="true">NORMINV(RAND(),$B$6,$C$6)</f>
        <v>0.167335894251102</v>
      </c>
      <c r="C273" s="22" t="n">
        <f aca="true">MAX(0.03,NORMINV(RAND(),$B$7,$C$7))</f>
        <v>0.215298604483953</v>
      </c>
      <c r="D273" s="34" t="n">
        <f aca="true">MAX(0.08,NORMINV(RAND(),$B$8,$C$8))</f>
        <v>0.126245447663366</v>
      </c>
      <c r="E273" s="70" t="n">
        <f aca="true">MAX(4,NORMINV(RAND(),$B$9,$C$9))</f>
        <v>13.6166594734204</v>
      </c>
      <c r="F273" s="27" t="n">
        <f aca="false">$B$18*(1+(B273+$B$17)/2)^9</f>
        <v>7012.12987974247</v>
      </c>
      <c r="G273" s="27" t="n">
        <f aca="false">F273*C273</f>
        <v>1509.70177756878</v>
      </c>
      <c r="H273" s="27" t="n">
        <f aca="false">E273*G273/(1+D273)^9</f>
        <v>7051.22066829372</v>
      </c>
      <c r="I273" s="27" t="n">
        <f aca="false">$B$13*G273/$B$12*((1+$B$8)/(1+D273))^4.5</f>
        <v>2390.12066186618</v>
      </c>
      <c r="J273" s="27" t="n">
        <f aca="false">H273+I273+$B$14</f>
        <v>11527.7402082421</v>
      </c>
      <c r="K273" s="45" t="n">
        <f aca="false">J273/$B$15</f>
        <v>18.298000330543</v>
      </c>
    </row>
    <row r="274" customFormat="false" ht="15" hidden="false" customHeight="true" outlineLevel="0" collapsed="false">
      <c r="A274" s="74" t="n">
        <v>234</v>
      </c>
      <c r="B274" s="22" t="n">
        <f aca="true">NORMINV(RAND(),$B$6,$C$6)</f>
        <v>0.21132624139873</v>
      </c>
      <c r="C274" s="22" t="n">
        <f aca="true">MAX(0.03,NORMINV(RAND(),$B$7,$C$7))</f>
        <v>0.186546282910294</v>
      </c>
      <c r="D274" s="34" t="n">
        <f aca="true">MAX(0.08,NORMINV(RAND(),$B$8,$C$8))</f>
        <v>0.13728497276658</v>
      </c>
      <c r="E274" s="70" t="n">
        <f aca="true">MAX(4,NORMINV(RAND(),$B$9,$C$9))</f>
        <v>16.3326009353151</v>
      </c>
      <c r="F274" s="27" t="n">
        <f aca="false">$B$18*(1+(B274+$B$17)/2)^9</f>
        <v>8368.26774934481</v>
      </c>
      <c r="G274" s="27" t="n">
        <f aca="false">F274*C274</f>
        <v>1561.06924303837</v>
      </c>
      <c r="H274" s="27" t="n">
        <f aca="false">E274*G274/(1+D274)^9</f>
        <v>8010.39277158126</v>
      </c>
      <c r="I274" s="27" t="n">
        <f aca="false">$B$13*G274/$B$12*((1+$B$8)/(1+D274))^4.5</f>
        <v>2365.30795341006</v>
      </c>
      <c r="J274" s="27" t="n">
        <f aca="false">H274+I274+$B$14</f>
        <v>12462.0996030735</v>
      </c>
      <c r="K274" s="45" t="n">
        <f aca="false">J274/$B$15</f>
        <v>19.7811104810691</v>
      </c>
    </row>
    <row r="275" customFormat="false" ht="15" hidden="false" customHeight="true" outlineLevel="0" collapsed="false">
      <c r="A275" s="74" t="n">
        <v>235</v>
      </c>
      <c r="B275" s="22" t="n">
        <f aca="true">NORMINV(RAND(),$B$6,$C$6)</f>
        <v>0.186498806367494</v>
      </c>
      <c r="C275" s="22" t="n">
        <f aca="true">MAX(0.03,NORMINV(RAND(),$B$7,$C$7))</f>
        <v>0.25619407297985</v>
      </c>
      <c r="D275" s="34" t="n">
        <f aca="true">MAX(0.08,NORMINV(RAND(),$B$8,$C$8))</f>
        <v>0.140919780171008</v>
      </c>
      <c r="E275" s="70" t="n">
        <f aca="true">MAX(4,NORMINV(RAND(),$B$9,$C$9))</f>
        <v>13.1431153778991</v>
      </c>
      <c r="F275" s="27" t="n">
        <f aca="false">$B$18*(1+(B275+$B$17)/2)^9</f>
        <v>7576.77867571032</v>
      </c>
      <c r="G275" s="27" t="n">
        <f aca="false">F275*C275</f>
        <v>1941.1257889971</v>
      </c>
      <c r="H275" s="27" t="n">
        <f aca="false">E275*G275/(1+D275)^9</f>
        <v>7788.53926518339</v>
      </c>
      <c r="I275" s="27" t="n">
        <f aca="false">$B$13*G275/$B$12*((1+$B$8)/(1+D275))^4.5</f>
        <v>2899.23263561484</v>
      </c>
      <c r="J275" s="27" t="n">
        <f aca="false">H275+I275+$B$14</f>
        <v>12774.1707788804</v>
      </c>
      <c r="K275" s="45" t="n">
        <f aca="false">J275/$B$15</f>
        <v>20.2764615537784</v>
      </c>
    </row>
    <row r="276" customFormat="false" ht="15" hidden="false" customHeight="true" outlineLevel="0" collapsed="false">
      <c r="A276" s="74" t="n">
        <v>236</v>
      </c>
      <c r="B276" s="22" t="n">
        <f aca="true">NORMINV(RAND(),$B$6,$C$6)</f>
        <v>0.245861463251812</v>
      </c>
      <c r="C276" s="22" t="n">
        <f aca="true">MAX(0.03,NORMINV(RAND(),$B$7,$C$7))</f>
        <v>0.140325890096346</v>
      </c>
      <c r="D276" s="34" t="n">
        <f aca="true">MAX(0.08,NORMINV(RAND(),$B$8,$C$8))</f>
        <v>0.13653255182898</v>
      </c>
      <c r="E276" s="70" t="n">
        <f aca="true">MAX(4,NORMINV(RAND(),$B$9,$C$9))</f>
        <v>10.9975153603001</v>
      </c>
      <c r="F276" s="27" t="n">
        <f aca="false">$B$18*(1+(B276+$B$17)/2)^9</f>
        <v>9591.30429927933</v>
      </c>
      <c r="G276" s="27" t="n">
        <f aca="false">F276*C276</f>
        <v>1345.90831298128</v>
      </c>
      <c r="H276" s="27" t="n">
        <f aca="false">E276*G276/(1+D276)^9</f>
        <v>4678.13921416966</v>
      </c>
      <c r="I276" s="27" t="n">
        <f aca="false">$B$13*G276/$B$12*((1+$B$8)/(1+D276))^4.5</f>
        <v>2045.38185203425</v>
      </c>
      <c r="J276" s="27" t="n">
        <f aca="false">H276+I276+$B$14</f>
        <v>8809.9199442861</v>
      </c>
      <c r="K276" s="45" t="n">
        <f aca="false">J276/$B$15</f>
        <v>13.9839999115652</v>
      </c>
    </row>
    <row r="277" customFormat="false" ht="15" hidden="false" customHeight="true" outlineLevel="0" collapsed="false">
      <c r="A277" s="74" t="n">
        <v>237</v>
      </c>
      <c r="B277" s="22" t="n">
        <f aca="true">NORMINV(RAND(),$B$6,$C$6)</f>
        <v>0.20018936283019</v>
      </c>
      <c r="C277" s="22" t="n">
        <f aca="true">MAX(0.03,NORMINV(RAND(),$B$7,$C$7))</f>
        <v>0.219939797491942</v>
      </c>
      <c r="D277" s="34" t="n">
        <f aca="true">MAX(0.08,NORMINV(RAND(),$B$8,$C$8))</f>
        <v>0.145253316825462</v>
      </c>
      <c r="E277" s="70" t="n">
        <f aca="true">MAX(4,NORMINV(RAND(),$B$9,$C$9))</f>
        <v>10.4463346721258</v>
      </c>
      <c r="F277" s="27" t="n">
        <f aca="false">$B$18*(1+(B277+$B$17)/2)^9</f>
        <v>8004.57302299165</v>
      </c>
      <c r="G277" s="27" t="n">
        <f aca="false">F277*C277</f>
        <v>1760.52416968625</v>
      </c>
      <c r="H277" s="27" t="n">
        <f aca="false">E277*G277/(1+D277)^9</f>
        <v>5426.15134688303</v>
      </c>
      <c r="I277" s="27" t="n">
        <f aca="false">$B$13*G277/$B$12*((1+$B$8)/(1+D277))^4.5</f>
        <v>2585.01077701819</v>
      </c>
      <c r="J277" s="27" t="n">
        <f aca="false">H277+I277+$B$14</f>
        <v>10097.5610019834</v>
      </c>
      <c r="K277" s="45" t="n">
        <f aca="false">J277/$B$15</f>
        <v>16.0278746063229</v>
      </c>
    </row>
    <row r="278" customFormat="false" ht="15" hidden="false" customHeight="true" outlineLevel="0" collapsed="false">
      <c r="A278" s="74" t="n">
        <v>238</v>
      </c>
      <c r="B278" s="22" t="n">
        <f aca="true">NORMINV(RAND(),$B$6,$C$6)</f>
        <v>0.205460327560689</v>
      </c>
      <c r="C278" s="22" t="n">
        <f aca="true">MAX(0.03,NORMINV(RAND(),$B$7,$C$7))</f>
        <v>0.182409070092767</v>
      </c>
      <c r="D278" s="34" t="n">
        <f aca="true">MAX(0.08,NORMINV(RAND(),$B$8,$C$8))</f>
        <v>0.139600966485952</v>
      </c>
      <c r="E278" s="70" t="n">
        <f aca="true">MAX(4,NORMINV(RAND(),$B$9,$C$9))</f>
        <v>14.4305671040942</v>
      </c>
      <c r="F278" s="27" t="n">
        <f aca="false">$B$18*(1+(B278+$B$17)/2)^9</f>
        <v>8174.91596689081</v>
      </c>
      <c r="G278" s="27" t="n">
        <f aca="false">F278*C278</f>
        <v>1491.17881960707</v>
      </c>
      <c r="H278" s="27" t="n">
        <f aca="false">E278*G278/(1+D278)^9</f>
        <v>6638.00912543528</v>
      </c>
      <c r="I278" s="27" t="n">
        <f aca="false">$B$13*G278/$B$12*((1+$B$8)/(1+D278))^4.5</f>
        <v>2238.82147862245</v>
      </c>
      <c r="J278" s="27" t="n">
        <f aca="false">H278+I278+$B$14</f>
        <v>10963.2294821399</v>
      </c>
      <c r="K278" s="45" t="n">
        <f aca="false">J278/$B$15</f>
        <v>17.4019515589523</v>
      </c>
    </row>
    <row r="279" customFormat="false" ht="15" hidden="false" customHeight="true" outlineLevel="0" collapsed="false">
      <c r="A279" s="74" t="n">
        <v>239</v>
      </c>
      <c r="B279" s="22" t="n">
        <f aca="true">NORMINV(RAND(),$B$6,$C$6)</f>
        <v>0.210939922701227</v>
      </c>
      <c r="C279" s="22" t="n">
        <f aca="true">MAX(0.03,NORMINV(RAND(),$B$7,$C$7))</f>
        <v>0.1824533757447</v>
      </c>
      <c r="D279" s="34" t="n">
        <f aca="true">MAX(0.08,NORMINV(RAND(),$B$8,$C$8))</f>
        <v>0.13863175615123</v>
      </c>
      <c r="E279" s="70" t="n">
        <f aca="true">MAX(4,NORMINV(RAND(),$B$9,$C$9))</f>
        <v>15.2483830906713</v>
      </c>
      <c r="F279" s="27" t="n">
        <f aca="false">$B$18*(1+(B279+$B$17)/2)^9</f>
        <v>8355.41003346932</v>
      </c>
      <c r="G279" s="27" t="n">
        <f aca="false">F279*C279</f>
        <v>1524.47276633762</v>
      </c>
      <c r="H279" s="27" t="n">
        <f aca="false">E279*G279/(1+D279)^9</f>
        <v>7225.93144091759</v>
      </c>
      <c r="I279" s="27" t="n">
        <f aca="false">$B$13*G279/$B$12*((1+$B$8)/(1+D279))^4.5</f>
        <v>2297.58842527891</v>
      </c>
      <c r="J279" s="27" t="n">
        <f aca="false">H279+I279+$B$14</f>
        <v>11609.9187442787</v>
      </c>
      <c r="K279" s="45" t="n">
        <f aca="false">J279/$B$15</f>
        <v>18.428442451236</v>
      </c>
    </row>
    <row r="280" customFormat="false" ht="15" hidden="false" customHeight="true" outlineLevel="0" collapsed="false">
      <c r="A280" s="74" t="n">
        <v>240</v>
      </c>
      <c r="B280" s="22" t="n">
        <f aca="true">NORMINV(RAND(),$B$6,$C$6)</f>
        <v>0.239596810050514</v>
      </c>
      <c r="C280" s="22" t="n">
        <f aca="true">MAX(0.03,NORMINV(RAND(),$B$7,$C$7))</f>
        <v>0.172911386774596</v>
      </c>
      <c r="D280" s="34" t="n">
        <f aca="true">MAX(0.08,NORMINV(RAND(),$B$8,$C$8))</f>
        <v>0.119432187621467</v>
      </c>
      <c r="E280" s="70" t="n">
        <f aca="true">MAX(4,NORMINV(RAND(),$B$9,$C$9))</f>
        <v>20.4658805801657</v>
      </c>
      <c r="F280" s="27" t="n">
        <f aca="false">$B$18*(1+(B280+$B$17)/2)^9</f>
        <v>9358.31516084364</v>
      </c>
      <c r="G280" s="27" t="n">
        <f aca="false">F280*C280</f>
        <v>1618.1592523352</v>
      </c>
      <c r="H280" s="27" t="n">
        <f aca="false">E280*G280/(1+D280)^9</f>
        <v>11996.9703143417</v>
      </c>
      <c r="I280" s="27" t="n">
        <f aca="false">$B$13*G280/$B$12*((1+$B$8)/(1+D280))^4.5</f>
        <v>2632.74370488694</v>
      </c>
      <c r="J280" s="27" t="n">
        <f aca="false">H280+I280+$B$14</f>
        <v>16716.1128973108</v>
      </c>
      <c r="K280" s="45" t="n">
        <f aca="false">J280/$B$15</f>
        <v>26.533512535414</v>
      </c>
    </row>
    <row r="281" customFormat="false" ht="15" hidden="false" customHeight="true" outlineLevel="0" collapsed="false">
      <c r="A281" s="74" t="n">
        <v>241</v>
      </c>
      <c r="B281" s="22" t="n">
        <f aca="true">NORMINV(RAND(),$B$6,$C$6)</f>
        <v>0.231603726020544</v>
      </c>
      <c r="C281" s="22" t="n">
        <f aca="true">MAX(0.03,NORMINV(RAND(),$B$7,$C$7))</f>
        <v>0.197459695151344</v>
      </c>
      <c r="D281" s="34" t="n">
        <f aca="true">MAX(0.08,NORMINV(RAND(),$B$8,$C$8))</f>
        <v>0.150373738212959</v>
      </c>
      <c r="E281" s="70" t="n">
        <f aca="true">MAX(4,NORMINV(RAND(),$B$9,$C$9))</f>
        <v>9.51392089932804</v>
      </c>
      <c r="F281" s="27" t="n">
        <f aca="false">$B$18*(1+(B281+$B$17)/2)^9</f>
        <v>9068.35517318716</v>
      </c>
      <c r="G281" s="27" t="n">
        <f aca="false">F281*C281</f>
        <v>1790.63464802165</v>
      </c>
      <c r="H281" s="27" t="n">
        <f aca="false">E281*G281/(1+D281)^9</f>
        <v>4828.54064864483</v>
      </c>
      <c r="I281" s="27" t="n">
        <f aca="false">$B$13*G281/$B$12*((1+$B$8)/(1+D281))^4.5</f>
        <v>2576.9681321839</v>
      </c>
      <c r="J281" s="27" t="n">
        <f aca="false">H281+I281+$B$14</f>
        <v>9491.90765891093</v>
      </c>
      <c r="K281" s="45" t="n">
        <f aca="false">J281/$B$15</f>
        <v>15.0665200935094</v>
      </c>
    </row>
    <row r="282" customFormat="false" ht="15" hidden="false" customHeight="true" outlineLevel="0" collapsed="false">
      <c r="A282" s="74" t="n">
        <v>242</v>
      </c>
      <c r="B282" s="22" t="n">
        <f aca="true">NORMINV(RAND(),$B$6,$C$6)</f>
        <v>0.129737144153677</v>
      </c>
      <c r="C282" s="22" t="n">
        <f aca="true">MAX(0.03,NORMINV(RAND(),$B$7,$C$7))</f>
        <v>0.138925105547042</v>
      </c>
      <c r="D282" s="34" t="n">
        <f aca="true">MAX(0.08,NORMINV(RAND(),$B$8,$C$8))</f>
        <v>0.138713988266923</v>
      </c>
      <c r="E282" s="70" t="n">
        <f aca="true">MAX(4,NORMINV(RAND(),$B$9,$C$9))</f>
        <v>10.1333534570919</v>
      </c>
      <c r="F282" s="27" t="n">
        <f aca="false">$B$18*(1+(B282+$B$17)/2)^9</f>
        <v>6011.788441707</v>
      </c>
      <c r="G282" s="27" t="n">
        <f aca="false">F282*C282</f>
        <v>835.188343790633</v>
      </c>
      <c r="H282" s="27" t="n">
        <f aca="false">E282*G282/(1+D282)^9</f>
        <v>2629.09158322334</v>
      </c>
      <c r="I282" s="27" t="n">
        <f aca="false">$B$13*G282/$B$12*((1+$B$8)/(1+D282))^4.5</f>
        <v>1258.33377107135</v>
      </c>
      <c r="J282" s="27" t="n">
        <f aca="false">H282+I282+$B$14</f>
        <v>5973.82423237688</v>
      </c>
      <c r="K282" s="45" t="n">
        <f aca="false">J282/$B$15</f>
        <v>9.48226068631252</v>
      </c>
    </row>
    <row r="283" customFormat="false" ht="15" hidden="false" customHeight="true" outlineLevel="0" collapsed="false">
      <c r="A283" s="74" t="n">
        <v>243</v>
      </c>
      <c r="B283" s="22" t="n">
        <f aca="true">NORMINV(RAND(),$B$6,$C$6)</f>
        <v>0.17121018135034</v>
      </c>
      <c r="C283" s="22" t="n">
        <f aca="true">MAX(0.03,NORMINV(RAND(),$B$7,$C$7))</f>
        <v>0.147009516458609</v>
      </c>
      <c r="D283" s="34" t="n">
        <f aca="true">MAX(0.08,NORMINV(RAND(),$B$8,$C$8))</f>
        <v>0.136008584532009</v>
      </c>
      <c r="E283" s="70" t="n">
        <f aca="true">MAX(4,NORMINV(RAND(),$B$9,$C$9))</f>
        <v>10.9827379197082</v>
      </c>
      <c r="F283" s="27" t="n">
        <f aca="false">$B$18*(1+(B283+$B$17)/2)^9</f>
        <v>7123.17254012442</v>
      </c>
      <c r="G283" s="27" t="n">
        <f aca="false">F283*C283</f>
        <v>1047.17415077493</v>
      </c>
      <c r="H283" s="27" t="n">
        <f aca="false">E283*G283/(1+D283)^9</f>
        <v>3650.01806773455</v>
      </c>
      <c r="I283" s="27" t="n">
        <f aca="false">$B$13*G283/$B$12*((1+$B$8)/(1+D283))^4.5</f>
        <v>1594.70013857837</v>
      </c>
      <c r="J283" s="27" t="n">
        <f aca="false">H283+I283+$B$14</f>
        <v>7331.11708439511</v>
      </c>
      <c r="K283" s="45" t="n">
        <f aca="false">J283/$B$15</f>
        <v>11.6366937847541</v>
      </c>
    </row>
    <row r="284" customFormat="false" ht="15" hidden="false" customHeight="true" outlineLevel="0" collapsed="false">
      <c r="A284" s="74" t="n">
        <v>244</v>
      </c>
      <c r="B284" s="22" t="n">
        <f aca="true">NORMINV(RAND(),$B$6,$C$6)</f>
        <v>0.162619505722444</v>
      </c>
      <c r="C284" s="22" t="n">
        <f aca="true">MAX(0.03,NORMINV(RAND(),$B$7,$C$7))</f>
        <v>0.257096738940746</v>
      </c>
      <c r="D284" s="34" t="n">
        <f aca="true">MAX(0.08,NORMINV(RAND(),$B$8,$C$8))</f>
        <v>0.126510780331726</v>
      </c>
      <c r="E284" s="70" t="n">
        <f aca="true">MAX(4,NORMINV(RAND(),$B$9,$C$9))</f>
        <v>13.405257497847</v>
      </c>
      <c r="F284" s="27" t="n">
        <f aca="false">$B$18*(1+(B284+$B$17)/2)^9</f>
        <v>6879.02986346415</v>
      </c>
      <c r="G284" s="27" t="n">
        <f aca="false">F284*C284</f>
        <v>1768.57614497264</v>
      </c>
      <c r="H284" s="27" t="n">
        <f aca="false">E284*G284/(1+D284)^9</f>
        <v>8114.85481740699</v>
      </c>
      <c r="I284" s="27" t="n">
        <f aca="false">$B$13*G284/$B$12*((1+$B$8)/(1+D284))^4.5</f>
        <v>2796.99736074395</v>
      </c>
      <c r="J284" s="27" t="n">
        <f aca="false">H284+I284+$B$14</f>
        <v>12998.2510562331</v>
      </c>
      <c r="K284" s="45" t="n">
        <f aca="false">J284/$B$15</f>
        <v>20.6321445337034</v>
      </c>
    </row>
    <row r="285" customFormat="false" ht="15" hidden="false" customHeight="true" outlineLevel="0" collapsed="false">
      <c r="A285" s="74" t="n">
        <v>245</v>
      </c>
      <c r="B285" s="22" t="n">
        <f aca="true">NORMINV(RAND(),$B$6,$C$6)</f>
        <v>0.113911259966167</v>
      </c>
      <c r="C285" s="22" t="n">
        <f aca="true">MAX(0.03,NORMINV(RAND(),$B$7,$C$7))</f>
        <v>0.167701698909307</v>
      </c>
      <c r="D285" s="34" t="n">
        <f aca="true">MAX(0.08,NORMINV(RAND(),$B$8,$C$8))</f>
        <v>0.127303546812171</v>
      </c>
      <c r="E285" s="70" t="n">
        <f aca="true">MAX(4,NORMINV(RAND(),$B$9,$C$9))</f>
        <v>10.5212072093104</v>
      </c>
      <c r="F285" s="27" t="n">
        <f aca="false">$B$18*(1+(B285+$B$17)/2)^9</f>
        <v>5630.17100425492</v>
      </c>
      <c r="G285" s="27" t="n">
        <f aca="false">F285*C285</f>
        <v>944.189242563468</v>
      </c>
      <c r="H285" s="27" t="n">
        <f aca="false">E285*G285/(1+D285)^9</f>
        <v>3378.75546535975</v>
      </c>
      <c r="I285" s="27" t="n">
        <f aca="false">$B$13*G285/$B$12*((1+$B$8)/(1+D285))^4.5</f>
        <v>1488.51253421882</v>
      </c>
      <c r="J285" s="27" t="n">
        <f aca="false">H285+I285+$B$14</f>
        <v>6953.66687766076</v>
      </c>
      <c r="K285" s="45" t="n">
        <f aca="false">J285/$B$15</f>
        <v>11.0375664724774</v>
      </c>
    </row>
    <row r="286" customFormat="false" ht="15" hidden="false" customHeight="true" outlineLevel="0" collapsed="false">
      <c r="A286" s="74" t="n">
        <v>246</v>
      </c>
      <c r="B286" s="22" t="n">
        <f aca="true">NORMINV(RAND(),$B$6,$C$6)</f>
        <v>0.206023990335293</v>
      </c>
      <c r="C286" s="22" t="n">
        <f aca="true">MAX(0.03,NORMINV(RAND(),$B$7,$C$7))</f>
        <v>0.194064082818614</v>
      </c>
      <c r="D286" s="34" t="n">
        <f aca="true">MAX(0.08,NORMINV(RAND(),$B$8,$C$8))</f>
        <v>0.137629625792379</v>
      </c>
      <c r="E286" s="70" t="n">
        <f aca="true">MAX(4,NORMINV(RAND(),$B$9,$C$9))</f>
        <v>14.4448471983956</v>
      </c>
      <c r="F286" s="27" t="n">
        <f aca="false">$B$18*(1+(B286+$B$17)/2)^9</f>
        <v>8193.32131953811</v>
      </c>
      <c r="G286" s="27" t="n">
        <f aca="false">F286*C286</f>
        <v>1590.02938711436</v>
      </c>
      <c r="H286" s="27" t="n">
        <f aca="false">E286*G286/(1+D286)^9</f>
        <v>7196.31331571632</v>
      </c>
      <c r="I286" s="27" t="n">
        <f aca="false">$B$13*G286/$B$12*((1+$B$8)/(1+D286))^4.5</f>
        <v>2405.90519320461</v>
      </c>
      <c r="J286" s="27" t="n">
        <f aca="false">H286+I286+$B$14</f>
        <v>11688.6173870031</v>
      </c>
      <c r="K286" s="45" t="n">
        <f aca="false">J286/$B$15</f>
        <v>18.553360931751</v>
      </c>
    </row>
    <row r="287" customFormat="false" ht="15" hidden="false" customHeight="true" outlineLevel="0" collapsed="false">
      <c r="A287" s="74" t="n">
        <v>247</v>
      </c>
      <c r="B287" s="22" t="n">
        <f aca="true">NORMINV(RAND(),$B$6,$C$6)</f>
        <v>0.171642189089973</v>
      </c>
      <c r="C287" s="22" t="n">
        <f aca="true">MAX(0.03,NORMINV(RAND(),$B$7,$C$7))</f>
        <v>0.185268387942381</v>
      </c>
      <c r="D287" s="34" t="n">
        <f aca="true">MAX(0.08,NORMINV(RAND(),$B$8,$C$8))</f>
        <v>0.136953970316995</v>
      </c>
      <c r="E287" s="70" t="n">
        <f aca="true">MAX(4,NORMINV(RAND(),$B$9,$C$9))</f>
        <v>13.7132563548549</v>
      </c>
      <c r="F287" s="27" t="n">
        <f aca="false">$B$18*(1+(B287+$B$17)/2)^9</f>
        <v>7135.65084909337</v>
      </c>
      <c r="G287" s="27" t="n">
        <f aca="false">F287*C287</f>
        <v>1322.01052973121</v>
      </c>
      <c r="H287" s="27" t="n">
        <f aca="false">E287*G287/(1+D287)^9</f>
        <v>5710.70288933039</v>
      </c>
      <c r="I287" s="27" t="n">
        <f aca="false">$B$13*G287/$B$12*((1+$B$8)/(1+D287))^4.5</f>
        <v>2005.7154549541</v>
      </c>
      <c r="J287" s="27" t="n">
        <f aca="false">H287+I287+$B$14</f>
        <v>9802.81722236669</v>
      </c>
      <c r="K287" s="45" t="n">
        <f aca="false">J287/$B$15</f>
        <v>15.56002733709</v>
      </c>
    </row>
    <row r="288" customFormat="false" ht="15" hidden="false" customHeight="true" outlineLevel="0" collapsed="false">
      <c r="A288" s="74" t="n">
        <v>248</v>
      </c>
      <c r="B288" s="22" t="n">
        <f aca="true">NORMINV(RAND(),$B$6,$C$6)</f>
        <v>0.202407163317606</v>
      </c>
      <c r="C288" s="22" t="n">
        <f aca="true">MAX(0.03,NORMINV(RAND(),$B$7,$C$7))</f>
        <v>0.250327141744814</v>
      </c>
      <c r="D288" s="34" t="n">
        <f aca="true">MAX(0.08,NORMINV(RAND(),$B$8,$C$8))</f>
        <v>0.12412197962232</v>
      </c>
      <c r="E288" s="70" t="n">
        <f aca="true">MAX(4,NORMINV(RAND(),$B$9,$C$9))</f>
        <v>15.7903850016827</v>
      </c>
      <c r="F288" s="27" t="n">
        <f aca="false">$B$18*(1+(B288+$B$17)/2)^9</f>
        <v>8075.85780445209</v>
      </c>
      <c r="G288" s="27" t="n">
        <f aca="false">F288*C288</f>
        <v>2021.60640132604</v>
      </c>
      <c r="H288" s="27" t="n">
        <f aca="false">E288*G288/(1+D288)^9</f>
        <v>11137.0037902297</v>
      </c>
      <c r="I288" s="27" t="n">
        <f aca="false">$B$13*G288/$B$12*((1+$B$8)/(1+D288))^4.5</f>
        <v>3227.85118869353</v>
      </c>
      <c r="J288" s="27" t="n">
        <f aca="false">H288+I288+$B$14</f>
        <v>16451.2538570054</v>
      </c>
      <c r="K288" s="45" t="n">
        <f aca="false">J288/$B$15</f>
        <v>26.1131013603261</v>
      </c>
    </row>
    <row r="289" customFormat="false" ht="15" hidden="false" customHeight="true" outlineLevel="0" collapsed="false">
      <c r="A289" s="74" t="n">
        <v>249</v>
      </c>
      <c r="B289" s="22" t="n">
        <f aca="true">NORMINV(RAND(),$B$6,$C$6)</f>
        <v>0.131939999312753</v>
      </c>
      <c r="C289" s="22" t="n">
        <f aca="true">MAX(0.03,NORMINV(RAND(),$B$7,$C$7))</f>
        <v>0.210338803015251</v>
      </c>
      <c r="D289" s="34" t="n">
        <f aca="true">MAX(0.08,NORMINV(RAND(),$B$8,$C$8))</f>
        <v>0.129835633538062</v>
      </c>
      <c r="E289" s="70" t="n">
        <f aca="true">MAX(4,NORMINV(RAND(),$B$9,$C$9))</f>
        <v>12.6696978487096</v>
      </c>
      <c r="F289" s="27" t="n">
        <f aca="false">$B$18*(1+(B289+$B$17)/2)^9</f>
        <v>6066.68994154185</v>
      </c>
      <c r="G289" s="27" t="n">
        <f aca="false">F289*C289</f>
        <v>1276.06030056858</v>
      </c>
      <c r="H289" s="27" t="n">
        <f aca="false">E289*G289/(1+D289)^9</f>
        <v>5388.89902586928</v>
      </c>
      <c r="I289" s="27" t="n">
        <f aca="false">$B$13*G289/$B$12*((1+$B$8)/(1+D289))^4.5</f>
        <v>1991.49798473077</v>
      </c>
      <c r="J289" s="27" t="n">
        <f aca="false">H289+I289+$B$14</f>
        <v>9466.79588868225</v>
      </c>
      <c r="K289" s="45" t="n">
        <f aca="false">J289/$B$15</f>
        <v>15.0266601407655</v>
      </c>
    </row>
    <row r="290" customFormat="false" ht="15" hidden="false" customHeight="true" outlineLevel="0" collapsed="false">
      <c r="A290" s="74" t="n">
        <v>250</v>
      </c>
      <c r="B290" s="22" t="n">
        <f aca="true">NORMINV(RAND(),$B$6,$C$6)</f>
        <v>0.107622640286165</v>
      </c>
      <c r="C290" s="22" t="n">
        <f aca="true">MAX(0.03,NORMINV(RAND(),$B$7,$C$7))</f>
        <v>0.234296819423926</v>
      </c>
      <c r="D290" s="34" t="n">
        <f aca="true">MAX(0.08,NORMINV(RAND(),$B$8,$C$8))</f>
        <v>0.114870786640057</v>
      </c>
      <c r="E290" s="70" t="n">
        <f aca="true">MAX(4,NORMINV(RAND(),$B$9,$C$9))</f>
        <v>8.70958037873157</v>
      </c>
      <c r="F290" s="27" t="n">
        <f aca="false">$B$18*(1+(B290+$B$17)/2)^9</f>
        <v>5484.61289150725</v>
      </c>
      <c r="G290" s="27" t="n">
        <f aca="false">F290*C290</f>
        <v>1285.02735625161</v>
      </c>
      <c r="H290" s="27" t="n">
        <f aca="false">E290*G290/(1+D290)^9</f>
        <v>4206.18900726856</v>
      </c>
      <c r="I290" s="27" t="n">
        <f aca="false">$B$13*G290/$B$12*((1+$B$8)/(1+D290))^4.5</f>
        <v>2129.50831998149</v>
      </c>
      <c r="J290" s="27" t="n">
        <f aca="false">H290+I290+$B$14</f>
        <v>8422.09620533224</v>
      </c>
      <c r="K290" s="45" t="n">
        <f aca="false">J290/$B$15</f>
        <v>13.3684066751305</v>
      </c>
    </row>
    <row r="291" customFormat="false" ht="15" hidden="false" customHeight="true" outlineLevel="0" collapsed="false">
      <c r="A291" s="74" t="n">
        <v>251</v>
      </c>
      <c r="B291" s="22" t="n">
        <f aca="true">NORMINV(RAND(),$B$6,$C$6)</f>
        <v>0.201451776581124</v>
      </c>
      <c r="C291" s="22" t="n">
        <f aca="true">MAX(0.03,NORMINV(RAND(),$B$7,$C$7))</f>
        <v>0.122523781038161</v>
      </c>
      <c r="D291" s="34" t="n">
        <f aca="true">MAX(0.08,NORMINV(RAND(),$B$8,$C$8))</f>
        <v>0.108960771729448</v>
      </c>
      <c r="E291" s="70" t="n">
        <f aca="true">MAX(4,NORMINV(RAND(),$B$9,$C$9))</f>
        <v>9.99473113430701</v>
      </c>
      <c r="F291" s="27" t="n">
        <f aca="false">$B$18*(1+(B291+$B$17)/2)^9</f>
        <v>8045.08077222646</v>
      </c>
      <c r="G291" s="27" t="n">
        <f aca="false">F291*C291</f>
        <v>985.713714970597</v>
      </c>
      <c r="H291" s="27" t="n">
        <f aca="false">E291*G291/(1+D291)^9</f>
        <v>3883.97353006681</v>
      </c>
      <c r="I291" s="27" t="n">
        <f aca="false">$B$13*G291/$B$12*((1+$B$8)/(1+D291))^4.5</f>
        <v>1673.03624921589</v>
      </c>
      <c r="J291" s="27" t="n">
        <f aca="false">H291+I291+$B$14</f>
        <v>7643.40865736489</v>
      </c>
      <c r="K291" s="45" t="n">
        <f aca="false">J291/$B$15</f>
        <v>12.13239469423</v>
      </c>
    </row>
    <row r="292" customFormat="false" ht="15" hidden="false" customHeight="true" outlineLevel="0" collapsed="false">
      <c r="A292" s="74" t="n">
        <v>252</v>
      </c>
      <c r="B292" s="22" t="n">
        <f aca="true">NORMINV(RAND(),$B$6,$C$6)</f>
        <v>0.175175342225889</v>
      </c>
      <c r="C292" s="22" t="n">
        <f aca="true">MAX(0.03,NORMINV(RAND(),$B$7,$C$7))</f>
        <v>0.173665364876611</v>
      </c>
      <c r="D292" s="34" t="n">
        <f aca="true">MAX(0.08,NORMINV(RAND(),$B$8,$C$8))</f>
        <v>0.143783675217907</v>
      </c>
      <c r="E292" s="70" t="n">
        <f aca="true">MAX(4,NORMINV(RAND(),$B$9,$C$9))</f>
        <v>13.0342259733365</v>
      </c>
      <c r="F292" s="27" t="n">
        <f aca="false">$B$18*(1+(B292+$B$17)/2)^9</f>
        <v>7238.43557981784</v>
      </c>
      <c r="G292" s="27" t="n">
        <f aca="false">F292*C292</f>
        <v>1257.06555610491</v>
      </c>
      <c r="H292" s="27" t="n">
        <f aca="false">E292*G292/(1+D292)^9</f>
        <v>4890.44218690438</v>
      </c>
      <c r="I292" s="27" t="n">
        <f aca="false">$B$13*G292/$B$12*((1+$B$8)/(1+D292))^4.5</f>
        <v>1856.46934913821</v>
      </c>
      <c r="J292" s="27" t="n">
        <f aca="false">H292+I292+$B$14</f>
        <v>8833.31041412478</v>
      </c>
      <c r="K292" s="45" t="n">
        <f aca="false">J292/$B$15</f>
        <v>14.0211276414679</v>
      </c>
    </row>
    <row r="293" customFormat="false" ht="15" hidden="false" customHeight="true" outlineLevel="0" collapsed="false">
      <c r="A293" s="74" t="n">
        <v>253</v>
      </c>
      <c r="B293" s="22" t="n">
        <f aca="true">NORMINV(RAND(),$B$6,$C$6)</f>
        <v>0.271370076324331</v>
      </c>
      <c r="C293" s="22" t="n">
        <f aca="true">MAX(0.03,NORMINV(RAND(),$B$7,$C$7))</f>
        <v>0.224743261708501</v>
      </c>
      <c r="D293" s="34" t="n">
        <f aca="true">MAX(0.08,NORMINV(RAND(),$B$8,$C$8))</f>
        <v>0.123513194851156</v>
      </c>
      <c r="E293" s="70" t="n">
        <f aca="true">MAX(4,NORMINV(RAND(),$B$9,$C$9))</f>
        <v>11.3468867766859</v>
      </c>
      <c r="F293" s="27" t="n">
        <f aca="false">$B$18*(1+(B293+$B$17)/2)^9</f>
        <v>10594.1471657312</v>
      </c>
      <c r="G293" s="27" t="n">
        <f aca="false">F293*C293</f>
        <v>2380.9631890463</v>
      </c>
      <c r="H293" s="27" t="n">
        <f aca="false">E293*G293/(1+D293)^9</f>
        <v>9471.6536109433</v>
      </c>
      <c r="I293" s="27" t="n">
        <f aca="false">$B$13*G293/$B$12*((1+$B$8)/(1+D293))^4.5</f>
        <v>3810.90622040244</v>
      </c>
      <c r="J293" s="27" t="n">
        <f aca="false">H293+I293+$B$14</f>
        <v>15368.9587094279</v>
      </c>
      <c r="K293" s="45" t="n">
        <f aca="false">J293/$B$15</f>
        <v>24.3951725546475</v>
      </c>
    </row>
    <row r="294" customFormat="false" ht="15" hidden="false" customHeight="true" outlineLevel="0" collapsed="false">
      <c r="A294" s="74" t="n">
        <v>254</v>
      </c>
      <c r="B294" s="22" t="n">
        <f aca="true">NORMINV(RAND(),$B$6,$C$6)</f>
        <v>0.200451966326445</v>
      </c>
      <c r="C294" s="22" t="n">
        <f aca="true">MAX(0.03,NORMINV(RAND(),$B$7,$C$7))</f>
        <v>0.211404884139213</v>
      </c>
      <c r="D294" s="34" t="n">
        <f aca="true">MAX(0.08,NORMINV(RAND(),$B$8,$C$8))</f>
        <v>0.158558571033927</v>
      </c>
      <c r="E294" s="70" t="n">
        <f aca="true">MAX(4,NORMINV(RAND(),$B$9,$C$9))</f>
        <v>13.4251363152187</v>
      </c>
      <c r="F294" s="27" t="n">
        <f aca="false">$B$18*(1+(B294+$B$17)/2)^9</f>
        <v>8012.98435660358</v>
      </c>
      <c r="G294" s="27" t="n">
        <f aca="false">F294*C294</f>
        <v>1693.98402951711</v>
      </c>
      <c r="H294" s="27" t="n">
        <f aca="false">E294*G294/(1+D294)^9</f>
        <v>6047.36337552805</v>
      </c>
      <c r="I294" s="27" t="n">
        <f aca="false">$B$13*G294/$B$12*((1+$B$8)/(1+D294))^4.5</f>
        <v>2361.32472612912</v>
      </c>
      <c r="J294" s="27" t="n">
        <f aca="false">H294+I294+$B$14</f>
        <v>10495.0869797394</v>
      </c>
      <c r="K294" s="45" t="n">
        <f aca="false">J294/$B$15</f>
        <v>16.6588682218085</v>
      </c>
    </row>
    <row r="295" customFormat="false" ht="15" hidden="false" customHeight="true" outlineLevel="0" collapsed="false">
      <c r="A295" s="74" t="n">
        <v>255</v>
      </c>
      <c r="B295" s="22" t="n">
        <f aca="true">NORMINV(RAND(),$B$6,$C$6)</f>
        <v>0.187230568060862</v>
      </c>
      <c r="C295" s="22" t="n">
        <f aca="true">MAX(0.03,NORMINV(RAND(),$B$7,$C$7))</f>
        <v>0.201944318683747</v>
      </c>
      <c r="D295" s="34" t="n">
        <f aca="true">MAX(0.08,NORMINV(RAND(),$B$8,$C$8))</f>
        <v>0.152038719867348</v>
      </c>
      <c r="E295" s="70" t="n">
        <f aca="true">MAX(4,NORMINV(RAND(),$B$9,$C$9))</f>
        <v>16.2422439282049</v>
      </c>
      <c r="F295" s="27" t="n">
        <f aca="false">$B$18*(1+(B295+$B$17)/2)^9</f>
        <v>7599.11936464409</v>
      </c>
      <c r="G295" s="27" t="n">
        <f aca="false">F295*C295</f>
        <v>1534.59898268952</v>
      </c>
      <c r="H295" s="27" t="n">
        <f aca="false">E295*G295/(1+D295)^9</f>
        <v>6973.28236599112</v>
      </c>
      <c r="I295" s="27" t="n">
        <f aca="false">$B$13*G295/$B$12*((1+$B$8)/(1+D295))^4.5</f>
        <v>2194.17085817653</v>
      </c>
      <c r="J295" s="27" t="n">
        <f aca="false">H295+I295+$B$14</f>
        <v>11253.8521022498</v>
      </c>
      <c r="K295" s="45" t="n">
        <f aca="false">J295/$B$15</f>
        <v>17.8632573051585</v>
      </c>
    </row>
    <row r="296" customFormat="false" ht="15" hidden="false" customHeight="true" outlineLevel="0" collapsed="false">
      <c r="A296" s="74" t="n">
        <v>256</v>
      </c>
      <c r="B296" s="22" t="n">
        <f aca="true">NORMINV(RAND(),$B$6,$C$6)</f>
        <v>0.227081933106876</v>
      </c>
      <c r="C296" s="22" t="n">
        <f aca="true">MAX(0.03,NORMINV(RAND(),$B$7,$C$7))</f>
        <v>0.184764473540716</v>
      </c>
      <c r="D296" s="34" t="n">
        <f aca="true">MAX(0.08,NORMINV(RAND(),$B$8,$C$8))</f>
        <v>0.129461272982665</v>
      </c>
      <c r="E296" s="70" t="n">
        <f aca="true">MAX(4,NORMINV(RAND(),$B$9,$C$9))</f>
        <v>16.1054768137271</v>
      </c>
      <c r="F296" s="27" t="n">
        <f aca="false">$B$18*(1+(B296+$B$17)/2)^9</f>
        <v>8907.8825543755</v>
      </c>
      <c r="G296" s="27" t="n">
        <f aca="false">F296*C296</f>
        <v>1645.86023052171</v>
      </c>
      <c r="H296" s="27" t="n">
        <f aca="false">E296*G296/(1+D296)^9</f>
        <v>8861.85089741259</v>
      </c>
      <c r="I296" s="27" t="n">
        <f aca="false">$B$13*G296/$B$12*((1+$B$8)/(1+D296))^4.5</f>
        <v>2572.46384639247</v>
      </c>
      <c r="J296" s="27" t="n">
        <f aca="false">H296+I296+$B$14</f>
        <v>13520.7136218873</v>
      </c>
      <c r="K296" s="45" t="n">
        <f aca="false">J296/$B$15</f>
        <v>21.4614501934718</v>
      </c>
    </row>
    <row r="297" customFormat="false" ht="15" hidden="false" customHeight="true" outlineLevel="0" collapsed="false">
      <c r="A297" s="74" t="n">
        <v>257</v>
      </c>
      <c r="B297" s="22" t="n">
        <f aca="true">NORMINV(RAND(),$B$6,$C$6)</f>
        <v>0.262365624030864</v>
      </c>
      <c r="C297" s="22" t="n">
        <f aca="true">MAX(0.03,NORMINV(RAND(),$B$7,$C$7))</f>
        <v>0.236563658013476</v>
      </c>
      <c r="D297" s="34" t="n">
        <f aca="true">MAX(0.08,NORMINV(RAND(),$B$8,$C$8))</f>
        <v>0.131075706604993</v>
      </c>
      <c r="E297" s="70" t="n">
        <f aca="true">MAX(4,NORMINV(RAND(),$B$9,$C$9))</f>
        <v>11.3184897012236</v>
      </c>
      <c r="F297" s="27" t="n">
        <f aca="false">$B$18*(1+(B297+$B$17)/2)^9</f>
        <v>10229.9875457779</v>
      </c>
      <c r="G297" s="27" t="n">
        <f aca="false">F297*C297</f>
        <v>2420.04327526153</v>
      </c>
      <c r="H297" s="27" t="n">
        <f aca="false">E297*G297/(1+D297)^9</f>
        <v>9040.37696977538</v>
      </c>
      <c r="I297" s="27" t="n">
        <f aca="false">$B$13*G297/$B$12*((1+$B$8)/(1+D297))^4.5</f>
        <v>3758.26997600981</v>
      </c>
      <c r="J297" s="27" t="n">
        <f aca="false">H297+I297+$B$14</f>
        <v>14885.0458238674</v>
      </c>
      <c r="K297" s="45" t="n">
        <f aca="false">J297/$B$15</f>
        <v>23.6270568632816</v>
      </c>
    </row>
    <row r="298" customFormat="false" ht="15" hidden="false" customHeight="true" outlineLevel="0" collapsed="false">
      <c r="A298" s="74" t="n">
        <v>258</v>
      </c>
      <c r="B298" s="22" t="n">
        <f aca="true">NORMINV(RAND(),$B$6,$C$6)</f>
        <v>0.21655086307971</v>
      </c>
      <c r="C298" s="22" t="n">
        <f aca="true">MAX(0.03,NORMINV(RAND(),$B$7,$C$7))</f>
        <v>0.174815035712779</v>
      </c>
      <c r="D298" s="34" t="n">
        <f aca="true">MAX(0.08,NORMINV(RAND(),$B$8,$C$8))</f>
        <v>0.139633079850482</v>
      </c>
      <c r="E298" s="70" t="n">
        <f aca="true">MAX(4,NORMINV(RAND(),$B$9,$C$9))</f>
        <v>16.015803457448</v>
      </c>
      <c r="F298" s="27" t="n">
        <f aca="false">$B$18*(1+(B298+$B$17)/2)^9</f>
        <v>8543.89277469393</v>
      </c>
      <c r="G298" s="27" t="n">
        <f aca="false">F298*C298</f>
        <v>1493.60092053428</v>
      </c>
      <c r="H298" s="27" t="n">
        <f aca="false">E298*G298/(1+D298)^9</f>
        <v>7377.30741454154</v>
      </c>
      <c r="I298" s="27" t="n">
        <f aca="false">$B$13*G298/$B$12*((1+$B$8)/(1+D298))^4.5</f>
        <v>2242.17362624816</v>
      </c>
      <c r="J298" s="27" t="n">
        <f aca="false">H298+I298+$B$14</f>
        <v>11705.8799188719</v>
      </c>
      <c r="K298" s="45" t="n">
        <f aca="false">J298/$B$15</f>
        <v>18.5807617759871</v>
      </c>
    </row>
    <row r="299" customFormat="false" ht="15" hidden="false" customHeight="true" outlineLevel="0" collapsed="false">
      <c r="A299" s="74" t="n">
        <v>259</v>
      </c>
      <c r="B299" s="22" t="n">
        <f aca="true">NORMINV(RAND(),$B$6,$C$6)</f>
        <v>0.201489168999466</v>
      </c>
      <c r="C299" s="22" t="n">
        <f aca="true">MAX(0.03,NORMINV(RAND(),$B$7,$C$7))</f>
        <v>0.230340114664956</v>
      </c>
      <c r="D299" s="34" t="n">
        <f aca="true">MAX(0.08,NORMINV(RAND(),$B$8,$C$8))</f>
        <v>0.13438753183052</v>
      </c>
      <c r="E299" s="70" t="n">
        <f aca="true">MAX(4,NORMINV(RAND(),$B$9,$C$9))</f>
        <v>11.9055442212876</v>
      </c>
      <c r="F299" s="27" t="n">
        <f aca="false">$B$18*(1+(B299+$B$17)/2)^9</f>
        <v>8046.28337631012</v>
      </c>
      <c r="G299" s="27" t="n">
        <f aca="false">F299*C299</f>
        <v>1853.381835526</v>
      </c>
      <c r="H299" s="27" t="n">
        <f aca="false">E299*G299/(1+D299)^9</f>
        <v>7093.50949475445</v>
      </c>
      <c r="I299" s="27" t="n">
        <f aca="false">$B$13*G299/$B$12*((1+$B$8)/(1+D299))^4.5</f>
        <v>2840.63726745216</v>
      </c>
      <c r="J299" s="27" t="n">
        <f aca="false">H299+I299+$B$14</f>
        <v>12020.5456402888</v>
      </c>
      <c r="K299" s="45" t="n">
        <f aca="false">J299/$B$15</f>
        <v>19.0802311750616</v>
      </c>
    </row>
    <row r="300" customFormat="false" ht="15" hidden="false" customHeight="true" outlineLevel="0" collapsed="false">
      <c r="A300" s="74" t="n">
        <v>260</v>
      </c>
      <c r="B300" s="22" t="n">
        <f aca="true">NORMINV(RAND(),$B$6,$C$6)</f>
        <v>0.171933544704991</v>
      </c>
      <c r="C300" s="22" t="n">
        <f aca="true">MAX(0.03,NORMINV(RAND(),$B$7,$C$7))</f>
        <v>0.244294701345111</v>
      </c>
      <c r="D300" s="34" t="n">
        <f aca="true">MAX(0.08,NORMINV(RAND(),$B$8,$C$8))</f>
        <v>0.148413744813136</v>
      </c>
      <c r="E300" s="70" t="n">
        <f aca="true">MAX(4,NORMINV(RAND(),$B$9,$C$9))</f>
        <v>11.9741187158722</v>
      </c>
      <c r="F300" s="27" t="n">
        <f aca="false">$B$18*(1+(B300+$B$17)/2)^9</f>
        <v>7144.07746521926</v>
      </c>
      <c r="G300" s="27" t="n">
        <f aca="false">F300*C300</f>
        <v>1745.26027075208</v>
      </c>
      <c r="H300" s="27" t="n">
        <f aca="false">E300*G300/(1+D300)^9</f>
        <v>6014.76032876449</v>
      </c>
      <c r="I300" s="27" t="n">
        <f aca="false">$B$13*G300/$B$12*((1+$B$8)/(1+D300))^4.5</f>
        <v>2531.01583967908</v>
      </c>
      <c r="J300" s="27" t="n">
        <f aca="false">H300+I300+$B$14</f>
        <v>10632.1750465258</v>
      </c>
      <c r="K300" s="45" t="n">
        <f aca="false">J300/$B$15</f>
        <v>16.8764683278187</v>
      </c>
    </row>
    <row r="301" customFormat="false" ht="15" hidden="false" customHeight="true" outlineLevel="0" collapsed="false">
      <c r="A301" s="74" t="n">
        <v>261</v>
      </c>
      <c r="B301" s="22" t="n">
        <f aca="true">NORMINV(RAND(),$B$6,$C$6)</f>
        <v>0.165570519469275</v>
      </c>
      <c r="C301" s="22" t="n">
        <f aca="true">MAX(0.03,NORMINV(RAND(),$B$7,$C$7))</f>
        <v>0.134979977372229</v>
      </c>
      <c r="D301" s="34" t="n">
        <f aca="true">MAX(0.08,NORMINV(RAND(),$B$8,$C$8))</f>
        <v>0.139881970723872</v>
      </c>
      <c r="E301" s="70" t="n">
        <f aca="true">MAX(4,NORMINV(RAND(),$B$9,$C$9))</f>
        <v>15.1358844371174</v>
      </c>
      <c r="F301" s="27" t="n">
        <f aca="false">$B$18*(1+(B301+$B$17)/2)^9</f>
        <v>6962.04401552709</v>
      </c>
      <c r="G301" s="27" t="n">
        <f aca="false">F301*C301</f>
        <v>939.736543680312</v>
      </c>
      <c r="H301" s="27" t="n">
        <f aca="false">E301*G301/(1+D301)^9</f>
        <v>4377.99194092601</v>
      </c>
      <c r="I301" s="27" t="n">
        <f aca="false">$B$13*G301/$B$12*((1+$B$8)/(1+D301))^4.5</f>
        <v>1409.33427286311</v>
      </c>
      <c r="J301" s="27" t="n">
        <f aca="false">H301+I301+$B$14</f>
        <v>7873.7250918713</v>
      </c>
      <c r="K301" s="45" t="n">
        <f aca="false">J301/$B$15</f>
        <v>12.4979763363037</v>
      </c>
    </row>
    <row r="302" customFormat="false" ht="15" hidden="false" customHeight="true" outlineLevel="0" collapsed="false">
      <c r="A302" s="74" t="n">
        <v>262</v>
      </c>
      <c r="B302" s="22" t="n">
        <f aca="true">NORMINV(RAND(),$B$6,$C$6)</f>
        <v>0.256920209250671</v>
      </c>
      <c r="C302" s="22" t="n">
        <f aca="true">MAX(0.03,NORMINV(RAND(),$B$7,$C$7))</f>
        <v>0.202893823448702</v>
      </c>
      <c r="D302" s="34" t="n">
        <f aca="true">MAX(0.08,NORMINV(RAND(),$B$8,$C$8))</f>
        <v>0.148988277179719</v>
      </c>
      <c r="E302" s="70" t="n">
        <f aca="true">MAX(4,NORMINV(RAND(),$B$9,$C$9))</f>
        <v>10.8440164780841</v>
      </c>
      <c r="F302" s="27" t="n">
        <f aca="false">$B$18*(1+(B302+$B$17)/2)^9</f>
        <v>10015.2023226643</v>
      </c>
      <c r="G302" s="27" t="n">
        <f aca="false">F302*C302</f>
        <v>2032.02269185768</v>
      </c>
      <c r="H302" s="27" t="n">
        <f aca="false">E302*G302/(1+D302)^9</f>
        <v>6313.61859724087</v>
      </c>
      <c r="I302" s="27" t="n">
        <f aca="false">$B$13*G302/$B$12*((1+$B$8)/(1+D302))^4.5</f>
        <v>2940.26004291863</v>
      </c>
      <c r="J302" s="27" t="n">
        <f aca="false">H302+I302+$B$14</f>
        <v>11340.2775182417</v>
      </c>
      <c r="K302" s="45" t="n">
        <f aca="false">J302/$B$15</f>
        <v>18.0004405051455</v>
      </c>
    </row>
    <row r="303" customFormat="false" ht="15" hidden="false" customHeight="true" outlineLevel="0" collapsed="false">
      <c r="A303" s="74" t="n">
        <v>263</v>
      </c>
      <c r="B303" s="22" t="n">
        <f aca="true">NORMINV(RAND(),$B$6,$C$6)</f>
        <v>0.154666224674542</v>
      </c>
      <c r="C303" s="22" t="n">
        <f aca="true">MAX(0.03,NORMINV(RAND(),$B$7,$C$7))</f>
        <v>0.22282895081061</v>
      </c>
      <c r="D303" s="34" t="n">
        <f aca="true">MAX(0.08,NORMINV(RAND(),$B$8,$C$8))</f>
        <v>0.144068889470081</v>
      </c>
      <c r="E303" s="70" t="n">
        <f aca="true">MAX(4,NORMINV(RAND(),$B$9,$C$9))</f>
        <v>12.4061534271052</v>
      </c>
      <c r="F303" s="27" t="n">
        <f aca="false">$B$18*(1+(B303+$B$17)/2)^9</f>
        <v>6659.66224659822</v>
      </c>
      <c r="G303" s="27" t="n">
        <f aca="false">F303*C303</f>
        <v>1483.96555116251</v>
      </c>
      <c r="H303" s="27" t="n">
        <f aca="false">E303*G303/(1+D303)^9</f>
        <v>5482.66086105937</v>
      </c>
      <c r="I303" s="27" t="n">
        <f aca="false">$B$13*G303/$B$12*((1+$B$8)/(1+D303))^4.5</f>
        <v>2189.10405509196</v>
      </c>
      <c r="J303" s="27" t="n">
        <f aca="false">H303+I303+$B$14</f>
        <v>9758.16379423352</v>
      </c>
      <c r="K303" s="45" t="n">
        <f aca="false">J303/$B$15</f>
        <v>15.4891488797358</v>
      </c>
    </row>
    <row r="304" customFormat="false" ht="15" hidden="false" customHeight="true" outlineLevel="0" collapsed="false">
      <c r="A304" s="74" t="n">
        <v>264</v>
      </c>
      <c r="B304" s="22" t="n">
        <f aca="true">NORMINV(RAND(),$B$6,$C$6)</f>
        <v>0.161665971192161</v>
      </c>
      <c r="C304" s="22" t="n">
        <f aca="true">MAX(0.03,NORMINV(RAND(),$B$7,$C$7))</f>
        <v>0.180348553198537</v>
      </c>
      <c r="D304" s="34" t="n">
        <f aca="true">MAX(0.08,NORMINV(RAND(),$B$8,$C$8))</f>
        <v>0.15398438116033</v>
      </c>
      <c r="E304" s="70" t="n">
        <f aca="true">MAX(4,NORMINV(RAND(),$B$9,$C$9))</f>
        <v>12.3644633352283</v>
      </c>
      <c r="F304" s="27" t="n">
        <f aca="false">$B$18*(1+(B304+$B$17)/2)^9</f>
        <v>6852.39497648329</v>
      </c>
      <c r="G304" s="27" t="n">
        <f aca="false">F304*C304</f>
        <v>1235.81951995368</v>
      </c>
      <c r="H304" s="27" t="n">
        <f aca="false">E304*G304/(1+D304)^9</f>
        <v>4210.4735594016</v>
      </c>
      <c r="I304" s="27" t="n">
        <f aca="false">$B$13*G304/$B$12*((1+$B$8)/(1+D304))^4.5</f>
        <v>1753.60889755794</v>
      </c>
      <c r="J304" s="27" t="n">
        <f aca="false">H304+I304+$B$14</f>
        <v>8050.48133504173</v>
      </c>
      <c r="K304" s="45" t="n">
        <f aca="false">J304/$B$15</f>
        <v>12.7785418016535</v>
      </c>
    </row>
    <row r="305" customFormat="false" ht="15" hidden="false" customHeight="true" outlineLevel="0" collapsed="false">
      <c r="A305" s="74" t="n">
        <v>265</v>
      </c>
      <c r="B305" s="22" t="n">
        <f aca="true">NORMINV(RAND(),$B$6,$C$6)</f>
        <v>0.190667051277892</v>
      </c>
      <c r="C305" s="22" t="n">
        <f aca="true">MAX(0.03,NORMINV(RAND(),$B$7,$C$7))</f>
        <v>0.194086777041976</v>
      </c>
      <c r="D305" s="34" t="n">
        <f aca="true">MAX(0.08,NORMINV(RAND(),$B$8,$C$8))</f>
        <v>0.137653937063918</v>
      </c>
      <c r="E305" s="70" t="n">
        <f aca="true">MAX(4,NORMINV(RAND(),$B$9,$C$9))</f>
        <v>12.0571938555436</v>
      </c>
      <c r="F305" s="27" t="n">
        <f aca="false">$B$18*(1+(B305+$B$17)/2)^9</f>
        <v>7704.82034180143</v>
      </c>
      <c r="G305" s="27" t="n">
        <f aca="false">F305*C305</f>
        <v>1495.4037478277</v>
      </c>
      <c r="H305" s="27" t="n">
        <f aca="false">E305*G305/(1+D305)^9</f>
        <v>5648.23998933186</v>
      </c>
      <c r="I305" s="27" t="n">
        <f aca="false">$B$13*G305/$B$12*((1+$B$8)/(1+D305))^4.5</f>
        <v>2262.5076669148</v>
      </c>
      <c r="J305" s="27" t="n">
        <f aca="false">H305+I305+$B$14</f>
        <v>9997.14653432885</v>
      </c>
      <c r="K305" s="45" t="n">
        <f aca="false">J305/$B$15</f>
        <v>15.8684865624267</v>
      </c>
    </row>
    <row r="306" customFormat="false" ht="15" hidden="false" customHeight="true" outlineLevel="0" collapsed="false">
      <c r="A306" s="74" t="n">
        <v>266</v>
      </c>
      <c r="B306" s="22" t="n">
        <f aca="true">NORMINV(RAND(),$B$6,$C$6)</f>
        <v>0.226791595284478</v>
      </c>
      <c r="C306" s="22" t="n">
        <f aca="true">MAX(0.03,NORMINV(RAND(),$B$7,$C$7))</f>
        <v>0.241116632663644</v>
      </c>
      <c r="D306" s="34" t="n">
        <f aca="true">MAX(0.08,NORMINV(RAND(),$B$8,$C$8))</f>
        <v>0.138254510773987</v>
      </c>
      <c r="E306" s="70" t="n">
        <f aca="true">MAX(4,NORMINV(RAND(),$B$9,$C$9))</f>
        <v>14.5916745370897</v>
      </c>
      <c r="F306" s="27" t="n">
        <f aca="false">$B$18*(1+(B306+$B$17)/2)^9</f>
        <v>8897.66562335462</v>
      </c>
      <c r="G306" s="27" t="n">
        <f aca="false">F306*C306</f>
        <v>2145.37517367033</v>
      </c>
      <c r="H306" s="27" t="n">
        <f aca="false">E306*G306/(1+D306)^9</f>
        <v>9760.09319413637</v>
      </c>
      <c r="I306" s="27" t="n">
        <f aca="false">$B$13*G306/$B$12*((1+$B$8)/(1+D306))^4.5</f>
        <v>3238.19813843247</v>
      </c>
      <c r="J306" s="27" t="n">
        <f aca="false">H306+I306+$B$14</f>
        <v>15084.690210651</v>
      </c>
      <c r="K306" s="45" t="n">
        <f aca="false">J306/$B$15</f>
        <v>23.9439527153191</v>
      </c>
    </row>
    <row r="307" customFormat="false" ht="15" hidden="false" customHeight="true" outlineLevel="0" collapsed="false">
      <c r="A307" s="74" t="n">
        <v>267</v>
      </c>
      <c r="B307" s="22" t="n">
        <f aca="true">NORMINV(RAND(),$B$6,$C$6)</f>
        <v>0.185381701103274</v>
      </c>
      <c r="C307" s="22" t="n">
        <f aca="true">MAX(0.03,NORMINV(RAND(),$B$7,$C$7))</f>
        <v>0.182331273112727</v>
      </c>
      <c r="D307" s="34" t="n">
        <f aca="true">MAX(0.08,NORMINV(RAND(),$B$8,$C$8))</f>
        <v>0.128900611598309</v>
      </c>
      <c r="E307" s="70" t="n">
        <f aca="true">MAX(4,NORMINV(RAND(),$B$9,$C$9))</f>
        <v>10.2627301974805</v>
      </c>
      <c r="F307" s="27" t="n">
        <f aca="false">$B$18*(1+(B307+$B$17)/2)^9</f>
        <v>7542.78602883533</v>
      </c>
      <c r="G307" s="27" t="n">
        <f aca="false">F307*C307</f>
        <v>1375.28577945443</v>
      </c>
      <c r="H307" s="27" t="n">
        <f aca="false">E307*G307/(1+D307)^9</f>
        <v>4739.7396741752</v>
      </c>
      <c r="I307" s="27" t="n">
        <f aca="false">$B$13*G307/$B$12*((1+$B$8)/(1+D307))^4.5</f>
        <v>2154.36677774329</v>
      </c>
      <c r="J307" s="27" t="n">
        <f aca="false">H307+I307+$B$14</f>
        <v>8980.50533000068</v>
      </c>
      <c r="K307" s="45" t="n">
        <f aca="false">J307/$B$15</f>
        <v>14.2547703650804</v>
      </c>
    </row>
    <row r="308" customFormat="false" ht="15" hidden="false" customHeight="true" outlineLevel="0" collapsed="false">
      <c r="A308" s="74" t="n">
        <v>268</v>
      </c>
      <c r="B308" s="22" t="n">
        <f aca="true">NORMINV(RAND(),$B$6,$C$6)</f>
        <v>0.179919360409451</v>
      </c>
      <c r="C308" s="22" t="n">
        <f aca="true">MAX(0.03,NORMINV(RAND(),$B$7,$C$7))</f>
        <v>0.214752032095802</v>
      </c>
      <c r="D308" s="34" t="n">
        <f aca="true">MAX(0.08,NORMINV(RAND(),$B$8,$C$8))</f>
        <v>0.119112821214056</v>
      </c>
      <c r="E308" s="70" t="n">
        <f aca="true">MAX(4,NORMINV(RAND(),$B$9,$C$9))</f>
        <v>10.0592311428919</v>
      </c>
      <c r="F308" s="27" t="n">
        <f aca="false">$B$18*(1+(B308+$B$17)/2)^9</f>
        <v>7378.51539910349</v>
      </c>
      <c r="G308" s="27" t="n">
        <f aca="false">F308*C308</f>
        <v>1584.55117580764</v>
      </c>
      <c r="H308" s="27" t="n">
        <f aca="false">E308*G308/(1+D308)^9</f>
        <v>5789.03554134009</v>
      </c>
      <c r="I308" s="27" t="n">
        <f aca="false">$B$13*G308/$B$12*((1+$B$8)/(1+D308))^4.5</f>
        <v>2581.37575970038</v>
      </c>
      <c r="J308" s="27" t="n">
        <f aca="false">H308+I308+$B$14</f>
        <v>10456.8101791227</v>
      </c>
      <c r="K308" s="45" t="n">
        <f aca="false">J308/$B$15</f>
        <v>16.5981113954328</v>
      </c>
    </row>
    <row r="309" customFormat="false" ht="15" hidden="false" customHeight="true" outlineLevel="0" collapsed="false">
      <c r="A309" s="74" t="n">
        <v>269</v>
      </c>
      <c r="B309" s="22" t="n">
        <f aca="true">NORMINV(RAND(),$B$6,$C$6)</f>
        <v>0.159219672062908</v>
      </c>
      <c r="C309" s="22" t="n">
        <f aca="true">MAX(0.03,NORMINV(RAND(),$B$7,$C$7))</f>
        <v>0.191758648054503</v>
      </c>
      <c r="D309" s="34" t="n">
        <f aca="true">MAX(0.08,NORMINV(RAND(),$B$8,$C$8))</f>
        <v>0.133816618773824</v>
      </c>
      <c r="E309" s="70" t="n">
        <f aca="true">MAX(4,NORMINV(RAND(),$B$9,$C$9))</f>
        <v>9.64635398117819</v>
      </c>
      <c r="F309" s="27" t="n">
        <f aca="false">$B$18*(1+(B309+$B$17)/2)^9</f>
        <v>6784.48178207192</v>
      </c>
      <c r="G309" s="27" t="n">
        <f aca="false">F309*C309</f>
        <v>1300.98305428052</v>
      </c>
      <c r="H309" s="27" t="n">
        <f aca="false">E309*G309/(1+D309)^9</f>
        <v>4052.74678181969</v>
      </c>
      <c r="I309" s="27" t="n">
        <f aca="false">$B$13*G309/$B$12*((1+$B$8)/(1+D309))^4.5</f>
        <v>1998.51004591976</v>
      </c>
      <c r="J309" s="27" t="n">
        <f aca="false">H309+I309+$B$14</f>
        <v>8137.65570582164</v>
      </c>
      <c r="K309" s="45" t="n">
        <f aca="false">J309/$B$15</f>
        <v>12.9169138187645</v>
      </c>
    </row>
    <row r="310" customFormat="false" ht="15" hidden="false" customHeight="true" outlineLevel="0" collapsed="false">
      <c r="A310" s="74" t="n">
        <v>270</v>
      </c>
      <c r="B310" s="22" t="n">
        <f aca="true">NORMINV(RAND(),$B$6,$C$6)</f>
        <v>0.23355724045647</v>
      </c>
      <c r="C310" s="22" t="n">
        <f aca="true">MAX(0.03,NORMINV(RAND(),$B$7,$C$7))</f>
        <v>0.226386124304011</v>
      </c>
      <c r="D310" s="34" t="n">
        <f aca="true">MAX(0.08,NORMINV(RAND(),$B$8,$C$8))</f>
        <v>0.13510818755203</v>
      </c>
      <c r="E310" s="70" t="n">
        <f aca="true">MAX(4,NORMINV(RAND(),$B$9,$C$9))</f>
        <v>15.2336832660259</v>
      </c>
      <c r="F310" s="27" t="n">
        <f aca="false">$B$18*(1+(B310+$B$17)/2)^9</f>
        <v>9138.47409638994</v>
      </c>
      <c r="G310" s="27" t="n">
        <f aca="false">F310*C310</f>
        <v>2068.82373273432</v>
      </c>
      <c r="H310" s="27" t="n">
        <f aca="false">E310*G310/(1+D310)^9</f>
        <v>10073.7949104231</v>
      </c>
      <c r="I310" s="27" t="n">
        <f aca="false">$B$13*G310/$B$12*((1+$B$8)/(1+D310))^4.5</f>
        <v>3161.79140681228</v>
      </c>
      <c r="J310" s="27" t="n">
        <f aca="false">H310+I310+$B$14</f>
        <v>15321.9851953176</v>
      </c>
      <c r="K310" s="45" t="n">
        <f aca="false">J310/$B$15</f>
        <v>24.3206114211391</v>
      </c>
    </row>
    <row r="311" customFormat="false" ht="15" hidden="false" customHeight="true" outlineLevel="0" collapsed="false">
      <c r="A311" s="74" t="n">
        <v>271</v>
      </c>
      <c r="B311" s="22" t="n">
        <f aca="true">NORMINV(RAND(),$B$6,$C$6)</f>
        <v>0.191813089057122</v>
      </c>
      <c r="C311" s="22" t="n">
        <f aca="true">MAX(0.03,NORMINV(RAND(),$B$7,$C$7))</f>
        <v>0.123556464064907</v>
      </c>
      <c r="D311" s="34" t="n">
        <f aca="true">MAX(0.08,NORMINV(RAND(),$B$8,$C$8))</f>
        <v>0.133096416338744</v>
      </c>
      <c r="E311" s="70" t="n">
        <f aca="true">MAX(4,NORMINV(RAND(),$B$9,$C$9))</f>
        <v>11.1189456816432</v>
      </c>
      <c r="F311" s="27" t="n">
        <f aca="false">$B$18*(1+(B311+$B$17)/2)^9</f>
        <v>7740.36016811701</v>
      </c>
      <c r="G311" s="27" t="n">
        <f aca="false">F311*C311</f>
        <v>956.371532961387</v>
      </c>
      <c r="H311" s="27" t="n">
        <f aca="false">E311*G311/(1+D311)^9</f>
        <v>3453.73057408639</v>
      </c>
      <c r="I311" s="27" t="n">
        <f aca="false">$B$13*G311/$B$12*((1+$B$8)/(1+D311))^4.5</f>
        <v>1473.34048221759</v>
      </c>
      <c r="J311" s="27" t="n">
        <f aca="false">H311+I311+$B$14</f>
        <v>7013.46993438617</v>
      </c>
      <c r="K311" s="45" t="n">
        <f aca="false">J311/$B$15</f>
        <v>11.1324919593431</v>
      </c>
    </row>
    <row r="312" customFormat="false" ht="15" hidden="false" customHeight="true" outlineLevel="0" collapsed="false">
      <c r="A312" s="74" t="n">
        <v>272</v>
      </c>
      <c r="B312" s="22" t="n">
        <f aca="true">NORMINV(RAND(),$B$6,$C$6)</f>
        <v>0.152379837346429</v>
      </c>
      <c r="C312" s="22" t="n">
        <f aca="true">MAX(0.03,NORMINV(RAND(),$B$7,$C$7))</f>
        <v>0.265558338258895</v>
      </c>
      <c r="D312" s="34" t="n">
        <f aca="true">MAX(0.08,NORMINV(RAND(),$B$8,$C$8))</f>
        <v>0.126164737361473</v>
      </c>
      <c r="E312" s="70" t="n">
        <f aca="true">MAX(4,NORMINV(RAND(),$B$9,$C$9))</f>
        <v>11.4082803724823</v>
      </c>
      <c r="F312" s="27" t="n">
        <f aca="false">$B$18*(1+(B312+$B$17)/2)^9</f>
        <v>6597.76081083798</v>
      </c>
      <c r="G312" s="27" t="n">
        <f aca="false">F312*C312</f>
        <v>1752.09039715579</v>
      </c>
      <c r="H312" s="27" t="n">
        <f aca="false">E312*G312/(1+D312)^9</f>
        <v>6860.55696257009</v>
      </c>
      <c r="I312" s="27" t="n">
        <f aca="false">$B$13*G312/$B$12*((1+$B$8)/(1+D312))^4.5</f>
        <v>2774.75873553322</v>
      </c>
      <c r="J312" s="27" t="n">
        <f aca="false">H312+I312+$B$14</f>
        <v>11721.7145761855</v>
      </c>
      <c r="K312" s="45" t="n">
        <f aca="false">J312/$B$15</f>
        <v>18.6058961526754</v>
      </c>
    </row>
    <row r="313" customFormat="false" ht="15" hidden="false" customHeight="true" outlineLevel="0" collapsed="false">
      <c r="A313" s="74" t="n">
        <v>273</v>
      </c>
      <c r="B313" s="22" t="n">
        <f aca="true">NORMINV(RAND(),$B$6,$C$6)</f>
        <v>0.212383184919067</v>
      </c>
      <c r="C313" s="22" t="n">
        <f aca="true">MAX(0.03,NORMINV(RAND(),$B$7,$C$7))</f>
        <v>0.220681271307463</v>
      </c>
      <c r="D313" s="34" t="n">
        <f aca="true">MAX(0.08,NORMINV(RAND(),$B$8,$C$8))</f>
        <v>0.138551907719417</v>
      </c>
      <c r="E313" s="70" t="n">
        <f aca="true">MAX(4,NORMINV(RAND(),$B$9,$C$9))</f>
        <v>13.4941869610019</v>
      </c>
      <c r="F313" s="27" t="n">
        <f aca="false">$B$18*(1+(B313+$B$17)/2)^9</f>
        <v>8403.53557766269</v>
      </c>
      <c r="G313" s="27" t="n">
        <f aca="false">F313*C313</f>
        <v>1854.5029147561</v>
      </c>
      <c r="H313" s="27" t="n">
        <f aca="false">E313*G313/(1+D313)^9</f>
        <v>7783.9264802311</v>
      </c>
      <c r="I313" s="27" t="n">
        <f aca="false">$B$13*G313/$B$12*((1+$B$8)/(1+D313))^4.5</f>
        <v>2795.87106575472</v>
      </c>
      <c r="J313" s="27" t="n">
        <f aca="false">H313+I313+$B$14</f>
        <v>12666.196424068</v>
      </c>
      <c r="K313" s="45" t="n">
        <f aca="false">J313/$B$15</f>
        <v>20.1050736889968</v>
      </c>
    </row>
    <row r="314" customFormat="false" ht="15" hidden="false" customHeight="true" outlineLevel="0" collapsed="false">
      <c r="A314" s="74" t="n">
        <v>274</v>
      </c>
      <c r="B314" s="22" t="n">
        <f aca="true">NORMINV(RAND(),$B$6,$C$6)</f>
        <v>0.137582174938397</v>
      </c>
      <c r="C314" s="22" t="n">
        <f aca="true">MAX(0.03,NORMINV(RAND(),$B$7,$C$7))</f>
        <v>0.18281932244514</v>
      </c>
      <c r="D314" s="34" t="n">
        <f aca="true">MAX(0.08,NORMINV(RAND(),$B$8,$C$8))</f>
        <v>0.141307426216562</v>
      </c>
      <c r="E314" s="70" t="n">
        <f aca="true">MAX(4,NORMINV(RAND(),$B$9,$C$9))</f>
        <v>13.1688036845724</v>
      </c>
      <c r="F314" s="27" t="n">
        <f aca="false">$B$18*(1+(B314+$B$17)/2)^9</f>
        <v>6209.34725753658</v>
      </c>
      <c r="G314" s="27" t="n">
        <f aca="false">F314*C314</f>
        <v>1135.18865844943</v>
      </c>
      <c r="H314" s="27" t="n">
        <f aca="false">E314*G314/(1+D314)^9</f>
        <v>4549.78190111749</v>
      </c>
      <c r="I314" s="27" t="n">
        <f aca="false">$B$13*G314/$B$12*((1+$B$8)/(1+D314))^4.5</f>
        <v>1692.90866440885</v>
      </c>
      <c r="J314" s="27" t="n">
        <f aca="false">H314+I314+$B$14</f>
        <v>8329.08944360853</v>
      </c>
      <c r="K314" s="45" t="n">
        <f aca="false">J314/$B$15</f>
        <v>13.2207768946167</v>
      </c>
    </row>
    <row r="315" customFormat="false" ht="15" hidden="false" customHeight="true" outlineLevel="0" collapsed="false">
      <c r="A315" s="74" t="n">
        <v>275</v>
      </c>
      <c r="B315" s="22" t="n">
        <f aca="true">NORMINV(RAND(),$B$6,$C$6)</f>
        <v>0.177107400410782</v>
      </c>
      <c r="C315" s="22" t="n">
        <f aca="true">MAX(0.03,NORMINV(RAND(),$B$7,$C$7))</f>
        <v>0.213194554535612</v>
      </c>
      <c r="D315" s="34" t="n">
        <f aca="true">MAX(0.08,NORMINV(RAND(),$B$8,$C$8))</f>
        <v>0.13009976516761</v>
      </c>
      <c r="E315" s="70" t="n">
        <f aca="true">MAX(4,NORMINV(RAND(),$B$9,$C$9))</f>
        <v>12.0389130297934</v>
      </c>
      <c r="F315" s="27" t="n">
        <f aca="false">$B$18*(1+(B315+$B$17)/2)^9</f>
        <v>7295.1968316682</v>
      </c>
      <c r="G315" s="27" t="n">
        <f aca="false">F315*C315</f>
        <v>1555.29623877711</v>
      </c>
      <c r="H315" s="27" t="n">
        <f aca="false">E315*G315/(1+D315)^9</f>
        <v>6228.01050901499</v>
      </c>
      <c r="I315" s="27" t="n">
        <f aca="false">$B$13*G315/$B$12*((1+$B$8)/(1+D315))^4.5</f>
        <v>2424.73883926982</v>
      </c>
      <c r="J315" s="27" t="n">
        <f aca="false">H315+I315+$B$14</f>
        <v>10739.148226367</v>
      </c>
      <c r="K315" s="45" t="n">
        <f aca="false">J315/$B$15</f>
        <v>17.0462670259794</v>
      </c>
    </row>
    <row r="316" customFormat="false" ht="15" hidden="false" customHeight="true" outlineLevel="0" collapsed="false">
      <c r="A316" s="74" t="n">
        <v>276</v>
      </c>
      <c r="B316" s="22" t="n">
        <f aca="true">NORMINV(RAND(),$B$6,$C$6)</f>
        <v>0.240482211616478</v>
      </c>
      <c r="C316" s="22" t="n">
        <f aca="true">MAX(0.03,NORMINV(RAND(),$B$7,$C$7))</f>
        <v>0.266504575187459</v>
      </c>
      <c r="D316" s="34" t="n">
        <f aca="true">MAX(0.08,NORMINV(RAND(),$B$8,$C$8))</f>
        <v>0.146618389247536</v>
      </c>
      <c r="E316" s="70" t="n">
        <f aca="true">MAX(4,NORMINV(RAND(),$B$9,$C$9))</f>
        <v>12.7900714899</v>
      </c>
      <c r="F316" s="27" t="n">
        <f aca="false">$B$18*(1+(B316+$B$17)/2)^9</f>
        <v>9390.9358637534</v>
      </c>
      <c r="G316" s="27" t="n">
        <f aca="false">F316*C316</f>
        <v>2502.72737298227</v>
      </c>
      <c r="H316" s="27" t="n">
        <f aca="false">E316*G316/(1+D316)^9</f>
        <v>9343.64634138352</v>
      </c>
      <c r="I316" s="27" t="n">
        <f aca="false">$B$13*G316/$B$12*((1+$B$8)/(1+D316))^4.5</f>
        <v>3655.15552033192</v>
      </c>
      <c r="J316" s="27" t="n">
        <f aca="false">H316+I316+$B$14</f>
        <v>15085.2007397976</v>
      </c>
      <c r="K316" s="45" t="n">
        <f aca="false">J316/$B$15</f>
        <v>23.9447630790439</v>
      </c>
    </row>
    <row r="317" customFormat="false" ht="15" hidden="false" customHeight="true" outlineLevel="0" collapsed="false">
      <c r="A317" s="74" t="n">
        <v>277</v>
      </c>
      <c r="B317" s="22" t="n">
        <f aca="true">NORMINV(RAND(),$B$6,$C$6)</f>
        <v>0.167197523329397</v>
      </c>
      <c r="C317" s="22" t="n">
        <f aca="true">MAX(0.03,NORMINV(RAND(),$B$7,$C$7))</f>
        <v>0.203185277656035</v>
      </c>
      <c r="D317" s="34" t="n">
        <f aca="true">MAX(0.08,NORMINV(RAND(),$B$8,$C$8))</f>
        <v>0.133166545336272</v>
      </c>
      <c r="E317" s="70" t="n">
        <f aca="true">MAX(4,NORMINV(RAND(),$B$9,$C$9))</f>
        <v>10.6308642739448</v>
      </c>
      <c r="F317" s="27" t="n">
        <f aca="false">$B$18*(1+(B317+$B$17)/2)^9</f>
        <v>7008.19258975346</v>
      </c>
      <c r="G317" s="27" t="n">
        <f aca="false">F317*C317</f>
        <v>1423.96155721602</v>
      </c>
      <c r="H317" s="27" t="n">
        <f aca="false">E317*G317/(1+D317)^9</f>
        <v>4913.86408166369</v>
      </c>
      <c r="I317" s="27" t="n">
        <f aca="false">$B$13*G317/$B$12*((1+$B$8)/(1+D317))^4.5</f>
        <v>2193.07656356047</v>
      </c>
      <c r="J317" s="27" t="n">
        <f aca="false">H317+I317+$B$14</f>
        <v>9193.33952330635</v>
      </c>
      <c r="K317" s="45" t="n">
        <f aca="false">J317/$B$15</f>
        <v>14.5926024179466</v>
      </c>
    </row>
    <row r="318" customFormat="false" ht="15" hidden="false" customHeight="true" outlineLevel="0" collapsed="false">
      <c r="A318" s="74" t="n">
        <v>278</v>
      </c>
      <c r="B318" s="22" t="n">
        <f aca="true">NORMINV(RAND(),$B$6,$C$6)</f>
        <v>0.203213262589947</v>
      </c>
      <c r="C318" s="22" t="n">
        <f aca="true">MAX(0.03,NORMINV(RAND(),$B$7,$C$7))</f>
        <v>0.214985510926011</v>
      </c>
      <c r="D318" s="34" t="n">
        <f aca="true">MAX(0.08,NORMINV(RAND(),$B$8,$C$8))</f>
        <v>0.155687555919068</v>
      </c>
      <c r="E318" s="70" t="n">
        <f aca="true">MAX(4,NORMINV(RAND(),$B$9,$C$9))</f>
        <v>6.73651525520534</v>
      </c>
      <c r="F318" s="27" t="n">
        <f aca="false">$B$18*(1+(B318+$B$17)/2)^9</f>
        <v>8101.90701605306</v>
      </c>
      <c r="G318" s="27" t="n">
        <f aca="false">F318*C318</f>
        <v>1741.7926193212</v>
      </c>
      <c r="H318" s="27" t="n">
        <f aca="false">E318*G318/(1+D318)^9</f>
        <v>3190.56657362509</v>
      </c>
      <c r="I318" s="27" t="n">
        <f aca="false">$B$13*G318/$B$12*((1+$B$8)/(1+D318))^4.5</f>
        <v>2455.22816800847</v>
      </c>
      <c r="J318" s="27" t="n">
        <f aca="false">H318+I318+$B$14</f>
        <v>7732.19361971576</v>
      </c>
      <c r="K318" s="45" t="n">
        <f aca="false">J318/$B$15</f>
        <v>12.273323205898</v>
      </c>
    </row>
    <row r="319" customFormat="false" ht="15" hidden="false" customHeight="true" outlineLevel="0" collapsed="false">
      <c r="A319" s="74" t="n">
        <v>279</v>
      </c>
      <c r="B319" s="22" t="n">
        <f aca="true">NORMINV(RAND(),$B$6,$C$6)</f>
        <v>0.240404309077691</v>
      </c>
      <c r="C319" s="22" t="n">
        <f aca="true">MAX(0.03,NORMINV(RAND(),$B$7,$C$7))</f>
        <v>0.21196138364991</v>
      </c>
      <c r="D319" s="34" t="n">
        <f aca="true">MAX(0.08,NORMINV(RAND(),$B$8,$C$8))</f>
        <v>0.148336782127173</v>
      </c>
      <c r="E319" s="70" t="n">
        <f aca="true">MAX(4,NORMINV(RAND(),$B$9,$C$9))</f>
        <v>11.1196529350294</v>
      </c>
      <c r="F319" s="27" t="n">
        <f aca="false">$B$18*(1+(B319+$B$17)/2)^9</f>
        <v>9388.06166372938</v>
      </c>
      <c r="G319" s="27" t="n">
        <f aca="false">F319*C319</f>
        <v>1989.90654003476</v>
      </c>
      <c r="H319" s="27" t="n">
        <f aca="false">E319*G319/(1+D319)^9</f>
        <v>6372.36185299022</v>
      </c>
      <c r="I319" s="27" t="n">
        <f aca="false">$B$13*G319/$B$12*((1+$B$8)/(1+D319))^4.5</f>
        <v>2886.67782748458</v>
      </c>
      <c r="J319" s="27" t="n">
        <f aca="false">H319+I319+$B$14</f>
        <v>11345.438558557</v>
      </c>
      <c r="K319" s="45" t="n">
        <f aca="false">J319/$B$15</f>
        <v>18.0086326326301</v>
      </c>
    </row>
    <row r="320" customFormat="false" ht="15" hidden="false" customHeight="true" outlineLevel="0" collapsed="false">
      <c r="A320" s="74" t="n">
        <v>280</v>
      </c>
      <c r="B320" s="22" t="n">
        <f aca="true">NORMINV(RAND(),$B$6,$C$6)</f>
        <v>0.198723980078468</v>
      </c>
      <c r="C320" s="22" t="n">
        <f aca="true">MAX(0.03,NORMINV(RAND(),$B$7,$C$7))</f>
        <v>0.205912551025414</v>
      </c>
      <c r="D320" s="34" t="n">
        <f aca="true">MAX(0.08,NORMINV(RAND(),$B$8,$C$8))</f>
        <v>0.142092357982937</v>
      </c>
      <c r="E320" s="70" t="n">
        <f aca="true">MAX(4,NORMINV(RAND(),$B$9,$C$9))</f>
        <v>11.8002898116783</v>
      </c>
      <c r="F320" s="27" t="n">
        <f aca="false">$B$18*(1+(B320+$B$17)/2)^9</f>
        <v>7957.77994235663</v>
      </c>
      <c r="G320" s="27" t="n">
        <f aca="false">F320*C320</f>
        <v>1638.60676842952</v>
      </c>
      <c r="H320" s="27" t="n">
        <f aca="false">E320*G320/(1+D320)^9</f>
        <v>5848.66016932978</v>
      </c>
      <c r="I320" s="27" t="n">
        <f aca="false">$B$13*G320/$B$12*((1+$B$8)/(1+D320))^4.5</f>
        <v>2436.10839097541</v>
      </c>
      <c r="J320" s="27" t="n">
        <f aca="false">H320+I320+$B$14</f>
        <v>10371.1674383874</v>
      </c>
      <c r="K320" s="45" t="n">
        <f aca="false">J320/$B$15</f>
        <v>16.4621705371228</v>
      </c>
    </row>
    <row r="321" customFormat="false" ht="15" hidden="false" customHeight="true" outlineLevel="0" collapsed="false">
      <c r="A321" s="74" t="n">
        <v>281</v>
      </c>
      <c r="B321" s="22" t="n">
        <f aca="true">NORMINV(RAND(),$B$6,$C$6)</f>
        <v>0.234626253095283</v>
      </c>
      <c r="C321" s="22" t="n">
        <f aca="true">MAX(0.03,NORMINV(RAND(),$B$7,$C$7))</f>
        <v>0.184186207968833</v>
      </c>
      <c r="D321" s="34" t="n">
        <f aca="true">MAX(0.08,NORMINV(RAND(),$B$8,$C$8))</f>
        <v>0.132485128955928</v>
      </c>
      <c r="E321" s="70" t="n">
        <f aca="true">MAX(4,NORMINV(RAND(),$B$9,$C$9))</f>
        <v>11.0933081002802</v>
      </c>
      <c r="F321" s="27" t="n">
        <f aca="false">$B$18*(1+(B321+$B$17)/2)^9</f>
        <v>9177.04861299674</v>
      </c>
      <c r="G321" s="27" t="n">
        <f aca="false">F321*C321</f>
        <v>1690.28578437351</v>
      </c>
      <c r="H321" s="27" t="n">
        <f aca="false">E321*G321/(1+D321)^9</f>
        <v>6119.67901347126</v>
      </c>
      <c r="I321" s="27" t="n">
        <f aca="false">$B$13*G321/$B$12*((1+$B$8)/(1+D321))^4.5</f>
        <v>2610.30485997443</v>
      </c>
      <c r="J321" s="27" t="n">
        <f aca="false">H321+I321+$B$14</f>
        <v>10816.3827515279</v>
      </c>
      <c r="K321" s="45" t="n">
        <f aca="false">J321/$B$15</f>
        <v>17.1688615103617</v>
      </c>
    </row>
    <row r="322" customFormat="false" ht="15" hidden="false" customHeight="true" outlineLevel="0" collapsed="false">
      <c r="A322" s="74" t="n">
        <v>282</v>
      </c>
      <c r="B322" s="22" t="n">
        <f aca="true">NORMINV(RAND(),$B$6,$C$6)</f>
        <v>0.239985915213194</v>
      </c>
      <c r="C322" s="22" t="n">
        <f aca="true">MAX(0.03,NORMINV(RAND(),$B$7,$C$7))</f>
        <v>0.255301897556003</v>
      </c>
      <c r="D322" s="34" t="n">
        <f aca="true">MAX(0.08,NORMINV(RAND(),$B$8,$C$8))</f>
        <v>0.125557768394136</v>
      </c>
      <c r="E322" s="70" t="n">
        <f aca="true">MAX(4,NORMINV(RAND(),$B$9,$C$9))</f>
        <v>8.67637667115177</v>
      </c>
      <c r="F322" s="27" t="n">
        <f aca="false">$B$18*(1+(B322+$B$17)/2)^9</f>
        <v>9372.63847109884</v>
      </c>
      <c r="G322" s="27" t="n">
        <f aca="false">F322*C322</f>
        <v>2392.85238677793</v>
      </c>
      <c r="H322" s="27" t="n">
        <f aca="false">E322*G322/(1+D322)^9</f>
        <v>7160.51400389217</v>
      </c>
      <c r="I322" s="27" t="n">
        <f aca="false">$B$13*G322/$B$12*((1+$B$8)/(1+D322))^4.5</f>
        <v>3798.72830370977</v>
      </c>
      <c r="J322" s="27" t="n">
        <f aca="false">H322+I322+$B$14</f>
        <v>13045.6411856841</v>
      </c>
      <c r="K322" s="45" t="n">
        <f aca="false">J322/$B$15</f>
        <v>20.7073669614034</v>
      </c>
    </row>
    <row r="323" customFormat="false" ht="15" hidden="false" customHeight="true" outlineLevel="0" collapsed="false">
      <c r="A323" s="74" t="n">
        <v>283</v>
      </c>
      <c r="B323" s="22" t="n">
        <f aca="true">NORMINV(RAND(),$B$6,$C$6)</f>
        <v>0.174788305705295</v>
      </c>
      <c r="C323" s="22" t="n">
        <f aca="true">MAX(0.03,NORMINV(RAND(),$B$7,$C$7))</f>
        <v>0.20350365569575</v>
      </c>
      <c r="D323" s="34" t="n">
        <f aca="true">MAX(0.08,NORMINV(RAND(),$B$8,$C$8))</f>
        <v>0.142898253392231</v>
      </c>
      <c r="E323" s="70" t="n">
        <f aca="true">MAX(4,NORMINV(RAND(),$B$9,$C$9))</f>
        <v>14.137538698108</v>
      </c>
      <c r="F323" s="27" t="n">
        <f aca="false">$B$18*(1+(B323+$B$17)/2)^9</f>
        <v>7227.11228559548</v>
      </c>
      <c r="G323" s="27" t="n">
        <f aca="false">F323*C323</f>
        <v>1470.74377024234</v>
      </c>
      <c r="H323" s="27" t="n">
        <f aca="false">E323*G323/(1+D323)^9</f>
        <v>6249.4630273138</v>
      </c>
      <c r="I323" s="27" t="n">
        <f aca="false">$B$13*G323/$B$12*((1+$B$8)/(1+D323))^4.5</f>
        <v>2179.61774630577</v>
      </c>
      <c r="J323" s="27" t="n">
        <f aca="false">H323+I323+$B$14</f>
        <v>10515.4796517018</v>
      </c>
      <c r="K323" s="45" t="n">
        <f aca="false">J323/$B$15</f>
        <v>16.6912375423837</v>
      </c>
    </row>
    <row r="324" customFormat="false" ht="15" hidden="false" customHeight="true" outlineLevel="0" collapsed="false">
      <c r="A324" s="74" t="n">
        <v>284</v>
      </c>
      <c r="B324" s="22" t="n">
        <f aca="true">NORMINV(RAND(),$B$6,$C$6)</f>
        <v>0.208963747073217</v>
      </c>
      <c r="C324" s="22" t="n">
        <f aca="true">MAX(0.03,NORMINV(RAND(),$B$7,$C$7))</f>
        <v>0.231503444606142</v>
      </c>
      <c r="D324" s="34" t="n">
        <f aca="true">MAX(0.08,NORMINV(RAND(),$B$8,$C$8))</f>
        <v>0.129948742949642</v>
      </c>
      <c r="E324" s="70" t="n">
        <f aca="true">MAX(4,NORMINV(RAND(),$B$9,$C$9))</f>
        <v>12.3518075262261</v>
      </c>
      <c r="F324" s="27" t="n">
        <f aca="false">$B$18*(1+(B324+$B$17)/2)^9</f>
        <v>8289.91191040336</v>
      </c>
      <c r="G324" s="27" t="n">
        <f aca="false">F324*C324</f>
        <v>1919.14316273986</v>
      </c>
      <c r="H324" s="27" t="n">
        <f aca="false">E324*G324/(1+D324)^9</f>
        <v>7894.21951374724</v>
      </c>
      <c r="I324" s="27" t="n">
        <f aca="false">$B$13*G324/$B$12*((1+$B$8)/(1+D324))^4.5</f>
        <v>2993.78360969523</v>
      </c>
      <c r="J324" s="27" t="n">
        <f aca="false">H324+I324+$B$14</f>
        <v>12974.4020015247</v>
      </c>
      <c r="K324" s="45" t="n">
        <f aca="false">J324/$B$15</f>
        <v>20.594288891309</v>
      </c>
    </row>
    <row r="325" customFormat="false" ht="15" hidden="false" customHeight="true" outlineLevel="0" collapsed="false">
      <c r="A325" s="74" t="n">
        <v>285</v>
      </c>
      <c r="B325" s="22" t="n">
        <f aca="true">NORMINV(RAND(),$B$6,$C$6)</f>
        <v>0.170451389060235</v>
      </c>
      <c r="C325" s="22" t="n">
        <f aca="true">MAX(0.03,NORMINV(RAND(),$B$7,$C$7))</f>
        <v>0.15760016212152</v>
      </c>
      <c r="D325" s="34" t="n">
        <f aca="true">MAX(0.08,NORMINV(RAND(),$B$8,$C$8))</f>
        <v>0.141188316302642</v>
      </c>
      <c r="E325" s="70" t="n">
        <f aca="true">MAX(4,NORMINV(RAND(),$B$9,$C$9))</f>
        <v>11.8456148873204</v>
      </c>
      <c r="F325" s="27" t="n">
        <f aca="false">$B$18*(1+(B325+$B$17)/2)^9</f>
        <v>7101.30218403739</v>
      </c>
      <c r="G325" s="27" t="n">
        <f aca="false">F325*C325</f>
        <v>1119.1663754782</v>
      </c>
      <c r="H325" s="27" t="n">
        <f aca="false">E325*G325/(1+D325)^9</f>
        <v>4038.65181829198</v>
      </c>
      <c r="I325" s="27" t="n">
        <f aca="false">$B$13*G325/$B$12*((1+$B$8)/(1+D325))^4.5</f>
        <v>1669.79865600832</v>
      </c>
      <c r="J325" s="27" t="n">
        <f aca="false">H325+I325+$B$14</f>
        <v>7794.84935238249</v>
      </c>
      <c r="K325" s="45" t="n">
        <f aca="false">J325/$B$15</f>
        <v>12.3727767498135</v>
      </c>
    </row>
    <row r="326" customFormat="false" ht="15" hidden="false" customHeight="true" outlineLevel="0" collapsed="false">
      <c r="A326" s="74" t="n">
        <v>286</v>
      </c>
      <c r="B326" s="22" t="n">
        <f aca="true">NORMINV(RAND(),$B$6,$C$6)</f>
        <v>0.202232856419188</v>
      </c>
      <c r="C326" s="22" t="n">
        <f aca="true">MAX(0.03,NORMINV(RAND(),$B$7,$C$7))</f>
        <v>0.186192037804576</v>
      </c>
      <c r="D326" s="34" t="n">
        <f aca="true">MAX(0.08,NORMINV(RAND(),$B$8,$C$8))</f>
        <v>0.155436053690623</v>
      </c>
      <c r="E326" s="70" t="n">
        <f aca="true">MAX(4,NORMINV(RAND(),$B$9,$C$9))</f>
        <v>8.18911153393385</v>
      </c>
      <c r="F326" s="27" t="n">
        <f aca="false">$B$18*(1+(B326+$B$17)/2)^9</f>
        <v>8070.2348519253</v>
      </c>
      <c r="G326" s="27" t="n">
        <f aca="false">F326*C326</f>
        <v>1502.61347264148</v>
      </c>
      <c r="H326" s="27" t="n">
        <f aca="false">E326*G326/(1+D326)^9</f>
        <v>3352.51577566843</v>
      </c>
      <c r="I326" s="27" t="n">
        <f aca="false">$B$13*G326/$B$12*((1+$B$8)/(1+D326))^4.5</f>
        <v>2120.15708519276</v>
      </c>
      <c r="J326" s="27" t="n">
        <f aca="false">H326+I326+$B$14</f>
        <v>7559.07173894338</v>
      </c>
      <c r="K326" s="45" t="n">
        <f aca="false">J326/$B$15</f>
        <v>11.9985265697514</v>
      </c>
    </row>
    <row r="327" customFormat="false" ht="15" hidden="false" customHeight="true" outlineLevel="0" collapsed="false">
      <c r="A327" s="74" t="n">
        <v>287</v>
      </c>
      <c r="B327" s="22" t="n">
        <f aca="true">NORMINV(RAND(),$B$6,$C$6)</f>
        <v>0.16783213147543</v>
      </c>
      <c r="C327" s="22" t="n">
        <f aca="true">MAX(0.03,NORMINV(RAND(),$B$7,$C$7))</f>
        <v>0.131739262436905</v>
      </c>
      <c r="D327" s="34" t="n">
        <f aca="true">MAX(0.08,NORMINV(RAND(),$B$8,$C$8))</f>
        <v>0.129723804134622</v>
      </c>
      <c r="E327" s="70" t="n">
        <f aca="true">MAX(4,NORMINV(RAND(),$B$9,$C$9))</f>
        <v>12.0764477521331</v>
      </c>
      <c r="F327" s="27" t="n">
        <f aca="false">$B$18*(1+(B327+$B$17)/2)^9</f>
        <v>7026.26628933207</v>
      </c>
      <c r="G327" s="27" t="n">
        <f aca="false">F327*C327</f>
        <v>925.635138641898</v>
      </c>
      <c r="H327" s="27" t="n">
        <f aca="false">E327*G327/(1+D327)^9</f>
        <v>3729.310308692</v>
      </c>
      <c r="I327" s="27" t="n">
        <f aca="false">$B$13*G327/$B$12*((1+$B$8)/(1+D327))^4.5</f>
        <v>1445.2465861137</v>
      </c>
      <c r="J327" s="27" t="n">
        <f aca="false">H327+I327+$B$14</f>
        <v>7260.95577288789</v>
      </c>
      <c r="K327" s="45" t="n">
        <f aca="false">J327/$B$15</f>
        <v>11.5253266236316</v>
      </c>
    </row>
    <row r="328" customFormat="false" ht="15" hidden="false" customHeight="true" outlineLevel="0" collapsed="false">
      <c r="A328" s="74" t="n">
        <v>288</v>
      </c>
      <c r="B328" s="22" t="n">
        <f aca="true">NORMINV(RAND(),$B$6,$C$6)</f>
        <v>0.197769940301913</v>
      </c>
      <c r="C328" s="22" t="n">
        <f aca="true">MAX(0.03,NORMINV(RAND(),$B$7,$C$7))</f>
        <v>0.234162512541445</v>
      </c>
      <c r="D328" s="34" t="n">
        <f aca="true">MAX(0.08,NORMINV(RAND(),$B$8,$C$8))</f>
        <v>0.130746825946871</v>
      </c>
      <c r="E328" s="70" t="n">
        <f aca="true">MAX(4,NORMINV(RAND(),$B$9,$C$9))</f>
        <v>13.0422390400354</v>
      </c>
      <c r="F328" s="27" t="n">
        <f aca="false">$B$18*(1+(B328+$B$17)/2)^9</f>
        <v>7927.44606979916</v>
      </c>
      <c r="G328" s="27" t="n">
        <f aca="false">F328*C328</f>
        <v>1856.31068974098</v>
      </c>
      <c r="H328" s="27" t="n">
        <f aca="false">E328*G328/(1+D328)^9</f>
        <v>8011.51085251473</v>
      </c>
      <c r="I328" s="27" t="n">
        <f aca="false">$B$13*G328/$B$12*((1+$B$8)/(1+D328))^4.5</f>
        <v>2886.58164622393</v>
      </c>
      <c r="J328" s="27" t="n">
        <f aca="false">H328+I328+$B$14</f>
        <v>12984.4913768209</v>
      </c>
      <c r="K328" s="45" t="n">
        <f aca="false">J328/$B$15</f>
        <v>20.6103037727315</v>
      </c>
    </row>
    <row r="329" customFormat="false" ht="15" hidden="false" customHeight="true" outlineLevel="0" collapsed="false">
      <c r="A329" s="74" t="n">
        <v>289</v>
      </c>
      <c r="B329" s="22" t="n">
        <f aca="true">NORMINV(RAND(),$B$6,$C$6)</f>
        <v>0.221515076879397</v>
      </c>
      <c r="C329" s="22" t="n">
        <f aca="true">MAX(0.03,NORMINV(RAND(),$B$7,$C$7))</f>
        <v>0.204606894154962</v>
      </c>
      <c r="D329" s="34" t="n">
        <f aca="true">MAX(0.08,NORMINV(RAND(),$B$8,$C$8))</f>
        <v>0.144054900043732</v>
      </c>
      <c r="E329" s="70" t="n">
        <f aca="true">MAX(4,NORMINV(RAND(),$B$9,$C$9))</f>
        <v>12.6205221384294</v>
      </c>
      <c r="F329" s="27" t="n">
        <f aca="false">$B$18*(1+(B329+$B$17)/2)^9</f>
        <v>8713.79178672043</v>
      </c>
      <c r="G329" s="27" t="n">
        <f aca="false">F329*C329</f>
        <v>1782.90187379388</v>
      </c>
      <c r="H329" s="27" t="n">
        <f aca="false">E329*G329/(1+D329)^9</f>
        <v>6701.6690076016</v>
      </c>
      <c r="I329" s="27" t="n">
        <f aca="false">$B$13*G329/$B$12*((1+$B$8)/(1+D329))^4.5</f>
        <v>2630.2311979286</v>
      </c>
      <c r="J329" s="27" t="n">
        <f aca="false">H329+I329+$B$14</f>
        <v>11418.2990836124</v>
      </c>
      <c r="K329" s="45" t="n">
        <f aca="false">J329/$B$15</f>
        <v>18.1242842597022</v>
      </c>
    </row>
    <row r="330" customFormat="false" ht="15" hidden="false" customHeight="true" outlineLevel="0" collapsed="false">
      <c r="A330" s="74" t="n">
        <v>290</v>
      </c>
      <c r="B330" s="22" t="n">
        <f aca="true">NORMINV(RAND(),$B$6,$C$6)</f>
        <v>0.189919880682592</v>
      </c>
      <c r="C330" s="22" t="n">
        <f aca="true">MAX(0.03,NORMINV(RAND(),$B$7,$C$7))</f>
        <v>0.253192815197279</v>
      </c>
      <c r="D330" s="34" t="n">
        <f aca="true">MAX(0.08,NORMINV(RAND(),$B$8,$C$8))</f>
        <v>0.133034755125503</v>
      </c>
      <c r="E330" s="70" t="n">
        <f aca="true">MAX(4,NORMINV(RAND(),$B$9,$C$9))</f>
        <v>12.4812635960216</v>
      </c>
      <c r="F330" s="27" t="n">
        <f aca="false">$B$18*(1+(B330+$B$17)/2)^9</f>
        <v>7681.72798512971</v>
      </c>
      <c r="G330" s="27" t="n">
        <f aca="false">F330*C330</f>
        <v>1944.95833413471</v>
      </c>
      <c r="H330" s="27" t="n">
        <f aca="false">E330*G330/(1+D330)^9</f>
        <v>7888.23374885333</v>
      </c>
      <c r="I330" s="27" t="n">
        <f aca="false">$B$13*G330/$B$12*((1+$B$8)/(1+D330))^4.5</f>
        <v>2997.0441276371</v>
      </c>
      <c r="J330" s="27" t="n">
        <f aca="false">H330+I330+$B$14</f>
        <v>12971.6767545726</v>
      </c>
      <c r="K330" s="45" t="n">
        <f aca="false">J330/$B$15</f>
        <v>20.5899631024962</v>
      </c>
    </row>
    <row r="331" customFormat="false" ht="15" hidden="false" customHeight="true" outlineLevel="0" collapsed="false">
      <c r="A331" s="74" t="n">
        <v>291</v>
      </c>
      <c r="B331" s="22" t="n">
        <f aca="true">NORMINV(RAND(),$B$6,$C$6)</f>
        <v>0.163829985717194</v>
      </c>
      <c r="C331" s="22" t="n">
        <f aca="true">MAX(0.03,NORMINV(RAND(),$B$7,$C$7))</f>
        <v>0.243483369561734</v>
      </c>
      <c r="D331" s="34" t="n">
        <f aca="true">MAX(0.08,NORMINV(RAND(),$B$8,$C$8))</f>
        <v>0.133240785598689</v>
      </c>
      <c r="E331" s="70" t="n">
        <f aca="true">MAX(4,NORMINV(RAND(),$B$9,$C$9))</f>
        <v>11.0881626112589</v>
      </c>
      <c r="F331" s="27" t="n">
        <f aca="false">$B$18*(1+(B331+$B$17)/2)^9</f>
        <v>6912.97449763436</v>
      </c>
      <c r="G331" s="27" t="n">
        <f aca="false">F331*C331</f>
        <v>1683.19432437835</v>
      </c>
      <c r="H331" s="27" t="n">
        <f aca="false">E331*G331/(1+D331)^9</f>
        <v>6054.72016737769</v>
      </c>
      <c r="I331" s="27" t="n">
        <f aca="false">$B$13*G331/$B$12*((1+$B$8)/(1+D331))^4.5</f>
        <v>2591.56288865179</v>
      </c>
      <c r="J331" s="27" t="n">
        <f aca="false">H331+I331+$B$14</f>
        <v>10732.6819341117</v>
      </c>
      <c r="K331" s="45" t="n">
        <f aca="false">J331/$B$15</f>
        <v>17.0360030700185</v>
      </c>
    </row>
    <row r="332" customFormat="false" ht="15" hidden="false" customHeight="true" outlineLevel="0" collapsed="false">
      <c r="A332" s="74" t="n">
        <v>292</v>
      </c>
      <c r="B332" s="22" t="n">
        <f aca="true">NORMINV(RAND(),$B$6,$C$6)</f>
        <v>0.186307135680294</v>
      </c>
      <c r="C332" s="22" t="n">
        <f aca="true">MAX(0.03,NORMINV(RAND(),$B$7,$C$7))</f>
        <v>0.208505908779054</v>
      </c>
      <c r="D332" s="34" t="n">
        <f aca="true">MAX(0.08,NORMINV(RAND(),$B$8,$C$8))</f>
        <v>0.14722935704427</v>
      </c>
      <c r="E332" s="70" t="n">
        <f aca="true">MAX(4,NORMINV(RAND(),$B$9,$C$9))</f>
        <v>11.6463670093517</v>
      </c>
      <c r="F332" s="27" t="n">
        <f aca="false">$B$18*(1+(B332+$B$17)/2)^9</f>
        <v>7570.93662575977</v>
      </c>
      <c r="G332" s="27" t="n">
        <f aca="false">F332*C332</f>
        <v>1578.58502146267</v>
      </c>
      <c r="H332" s="27" t="n">
        <f aca="false">E332*G332/(1+D332)^9</f>
        <v>5340.79837422112</v>
      </c>
      <c r="I332" s="27" t="n">
        <f aca="false">$B$13*G332/$B$12*((1+$B$8)/(1+D332))^4.5</f>
        <v>2299.95438450218</v>
      </c>
      <c r="J332" s="27" t="n">
        <f aca="false">H332+I332+$B$14</f>
        <v>9727.1516368055</v>
      </c>
      <c r="K332" s="45" t="n">
        <f aca="false">J332/$B$15</f>
        <v>15.4399232330246</v>
      </c>
    </row>
    <row r="333" customFormat="false" ht="15" hidden="false" customHeight="true" outlineLevel="0" collapsed="false">
      <c r="A333" s="74" t="n">
        <v>293</v>
      </c>
      <c r="B333" s="22" t="n">
        <f aca="true">NORMINV(RAND(),$B$6,$C$6)</f>
        <v>0.209812422922037</v>
      </c>
      <c r="C333" s="22" t="n">
        <f aca="true">MAX(0.03,NORMINV(RAND(),$B$7,$C$7))</f>
        <v>0.168857466964374</v>
      </c>
      <c r="D333" s="34" t="n">
        <f aca="true">MAX(0.08,NORMINV(RAND(),$B$8,$C$8))</f>
        <v>0.125444050704576</v>
      </c>
      <c r="E333" s="70" t="n">
        <f aca="true">MAX(4,NORMINV(RAND(),$B$9,$C$9))</f>
        <v>8.38929194487592</v>
      </c>
      <c r="F333" s="27" t="n">
        <f aca="false">$B$18*(1+(B333+$B$17)/2)^9</f>
        <v>8317.98419343228</v>
      </c>
      <c r="G333" s="27" t="n">
        <f aca="false">F333*C333</f>
        <v>1404.55374115268</v>
      </c>
      <c r="H333" s="27" t="n">
        <f aca="false">E333*G333/(1+D333)^9</f>
        <v>4067.69593131267</v>
      </c>
      <c r="I333" s="27" t="n">
        <f aca="false">$B$13*G333/$B$12*((1+$B$8)/(1+D333))^4.5</f>
        <v>2230.7872072149</v>
      </c>
      <c r="J333" s="27" t="n">
        <f aca="false">H333+I333+$B$14</f>
        <v>8384.88201660976</v>
      </c>
      <c r="K333" s="45" t="n">
        <f aca="false">J333/$B$15</f>
        <v>13.3093365343012</v>
      </c>
    </row>
    <row r="334" customFormat="false" ht="15" hidden="false" customHeight="true" outlineLevel="0" collapsed="false">
      <c r="A334" s="74" t="n">
        <v>294</v>
      </c>
      <c r="B334" s="22" t="n">
        <f aca="true">NORMINV(RAND(),$B$6,$C$6)</f>
        <v>0.109006630515089</v>
      </c>
      <c r="C334" s="22" t="n">
        <f aca="true">MAX(0.03,NORMINV(RAND(),$B$7,$C$7))</f>
        <v>0.176253996056864</v>
      </c>
      <c r="D334" s="34" t="n">
        <f aca="true">MAX(0.08,NORMINV(RAND(),$B$8,$C$8))</f>
        <v>0.131252535894931</v>
      </c>
      <c r="E334" s="70" t="n">
        <f aca="true">MAX(4,NORMINV(RAND(),$B$9,$C$9))</f>
        <v>12.3811563302689</v>
      </c>
      <c r="F334" s="27" t="n">
        <f aca="false">$B$18*(1+(B334+$B$17)/2)^9</f>
        <v>5516.35681181754</v>
      </c>
      <c r="G334" s="27" t="n">
        <f aca="false">F334*C334</f>
        <v>972.279931758345</v>
      </c>
      <c r="H334" s="27" t="n">
        <f aca="false">E334*G334/(1+D334)^9</f>
        <v>3967.49544879615</v>
      </c>
      <c r="I334" s="27" t="n">
        <f aca="false">$B$13*G334/$B$12*((1+$B$8)/(1+D334))^4.5</f>
        <v>1508.86593664293</v>
      </c>
      <c r="J334" s="27" t="n">
        <f aca="false">H334+I334+$B$14</f>
        <v>7562.76026352127</v>
      </c>
      <c r="K334" s="45" t="n">
        <f aca="false">J334/$B$15</f>
        <v>12.0043813706687</v>
      </c>
    </row>
    <row r="335" customFormat="false" ht="15" hidden="false" customHeight="true" outlineLevel="0" collapsed="false">
      <c r="A335" s="74" t="n">
        <v>295</v>
      </c>
      <c r="B335" s="22" t="n">
        <f aca="true">NORMINV(RAND(),$B$6,$C$6)</f>
        <v>0.16610604353194</v>
      </c>
      <c r="C335" s="22" t="n">
        <f aca="true">MAX(0.03,NORMINV(RAND(),$B$7,$C$7))</f>
        <v>0.218483881430307</v>
      </c>
      <c r="D335" s="34" t="n">
        <f aca="true">MAX(0.08,NORMINV(RAND(),$B$8,$C$8))</f>
        <v>0.148391037395546</v>
      </c>
      <c r="E335" s="70" t="n">
        <f aca="true">MAX(4,NORMINV(RAND(),$B$9,$C$9))</f>
        <v>13.4978061380908</v>
      </c>
      <c r="F335" s="27" t="n">
        <f aca="false">$B$18*(1+(B335+$B$17)/2)^9</f>
        <v>6977.20378551488</v>
      </c>
      <c r="G335" s="27" t="n">
        <f aca="false">F335*C335</f>
        <v>1524.40656458952</v>
      </c>
      <c r="H335" s="27" t="n">
        <f aca="false">E335*G335/(1+D335)^9</f>
        <v>5923.19249910886</v>
      </c>
      <c r="I335" s="27" t="n">
        <f aca="false">$B$13*G335/$B$12*((1+$B$8)/(1+D335))^4.5</f>
        <v>2210.92552634306</v>
      </c>
      <c r="J335" s="27" t="n">
        <f aca="false">H335+I335+$B$14</f>
        <v>10220.5169035341</v>
      </c>
      <c r="K335" s="45" t="n">
        <f aca="false">J335/$B$15</f>
        <v>16.2230427040224</v>
      </c>
    </row>
    <row r="336" customFormat="false" ht="15" hidden="false" customHeight="true" outlineLevel="0" collapsed="false">
      <c r="A336" s="74" t="n">
        <v>296</v>
      </c>
      <c r="B336" s="22" t="n">
        <f aca="true">NORMINV(RAND(),$B$6,$C$6)</f>
        <v>0.195517673666521</v>
      </c>
      <c r="C336" s="22" t="n">
        <f aca="true">MAX(0.03,NORMINV(RAND(),$B$7,$C$7))</f>
        <v>0.197002106373928</v>
      </c>
      <c r="D336" s="34" t="n">
        <f aca="true">MAX(0.08,NORMINV(RAND(),$B$8,$C$8))</f>
        <v>0.147450350975027</v>
      </c>
      <c r="E336" s="70" t="n">
        <f aca="true">MAX(4,NORMINV(RAND(),$B$9,$C$9))</f>
        <v>11.1639747985656</v>
      </c>
      <c r="F336" s="27" t="n">
        <f aca="false">$B$18*(1+(B336+$B$17)/2)^9</f>
        <v>7856.24218661612</v>
      </c>
      <c r="G336" s="27" t="n">
        <f aca="false">F336*C336</f>
        <v>1547.69625894709</v>
      </c>
      <c r="H336" s="27" t="n">
        <f aca="false">E336*G336/(1+D336)^9</f>
        <v>5010.71212152482</v>
      </c>
      <c r="I336" s="27" t="n">
        <f aca="false">$B$13*G336/$B$12*((1+$B$8)/(1+D336))^4.5</f>
        <v>2252.9966557399</v>
      </c>
      <c r="J336" s="27" t="n">
        <f aca="false">H336+I336+$B$14</f>
        <v>9350.10765534691</v>
      </c>
      <c r="K336" s="45" t="n">
        <f aca="false">J336/$B$15</f>
        <v>14.8414407227729</v>
      </c>
    </row>
    <row r="337" customFormat="false" ht="15" hidden="false" customHeight="true" outlineLevel="0" collapsed="false">
      <c r="A337" s="74" t="n">
        <v>297</v>
      </c>
      <c r="B337" s="22" t="n">
        <f aca="true">NORMINV(RAND(),$B$6,$C$6)</f>
        <v>0.199624649510285</v>
      </c>
      <c r="C337" s="22" t="n">
        <f aca="true">MAX(0.03,NORMINV(RAND(),$B$7,$C$7))</f>
        <v>0.136051132370323</v>
      </c>
      <c r="D337" s="34" t="n">
        <f aca="true">MAX(0.08,NORMINV(RAND(),$B$8,$C$8))</f>
        <v>0.121487688584407</v>
      </c>
      <c r="E337" s="70" t="n">
        <f aca="true">MAX(4,NORMINV(RAND(),$B$9,$C$9))</f>
        <v>8.29601026485873</v>
      </c>
      <c r="F337" s="27" t="n">
        <f aca="false">$B$18*(1+(B337+$B$17)/2)^9</f>
        <v>7986.51152719417</v>
      </c>
      <c r="G337" s="27" t="n">
        <f aca="false">F337*C337</f>
        <v>1086.5739369634</v>
      </c>
      <c r="H337" s="27" t="n">
        <f aca="false">E337*G337/(1+D337)^9</f>
        <v>3212.01800521336</v>
      </c>
      <c r="I337" s="27" t="n">
        <f aca="false">$B$13*G337/$B$12*((1+$B$8)/(1+D337))^4.5</f>
        <v>1753.3207207148</v>
      </c>
      <c r="J337" s="27" t="n">
        <f aca="false">H337+I337+$B$14</f>
        <v>7051.73760401036</v>
      </c>
      <c r="K337" s="45" t="n">
        <f aca="false">J337/$B$15</f>
        <v>11.1932342920799</v>
      </c>
    </row>
    <row r="338" customFormat="false" ht="15" hidden="false" customHeight="true" outlineLevel="0" collapsed="false">
      <c r="A338" s="74" t="n">
        <v>298</v>
      </c>
      <c r="B338" s="22" t="n">
        <f aca="true">NORMINV(RAND(),$B$6,$C$6)</f>
        <v>0.229581469786185</v>
      </c>
      <c r="C338" s="22" t="n">
        <f aca="true">MAX(0.03,NORMINV(RAND(),$B$7,$C$7))</f>
        <v>0.23501022838163</v>
      </c>
      <c r="D338" s="34" t="n">
        <f aca="true">MAX(0.08,NORMINV(RAND(),$B$8,$C$8))</f>
        <v>0.133625572721236</v>
      </c>
      <c r="E338" s="70" t="n">
        <f aca="true">MAX(4,NORMINV(RAND(),$B$9,$C$9))</f>
        <v>12.7549823973036</v>
      </c>
      <c r="F338" s="27" t="n">
        <f aca="false">$B$18*(1+(B338+$B$17)/2)^9</f>
        <v>8996.27302230425</v>
      </c>
      <c r="G338" s="27" t="n">
        <f aca="false">F338*C338</f>
        <v>2114.21617755522</v>
      </c>
      <c r="H338" s="27" t="n">
        <f aca="false">E338*G338/(1+D338)^9</f>
        <v>8721.72815964511</v>
      </c>
      <c r="I338" s="27" t="n">
        <f aca="false">$B$13*G338/$B$12*((1+$B$8)/(1+D338))^4.5</f>
        <v>3250.22491814974</v>
      </c>
      <c r="J338" s="27" t="n">
        <f aca="false">H338+I338+$B$14</f>
        <v>14058.351955877</v>
      </c>
      <c r="K338" s="45" t="n">
        <f aca="false">J338/$B$15</f>
        <v>22.314844374408</v>
      </c>
    </row>
    <row r="339" customFormat="false" ht="15" hidden="false" customHeight="true" outlineLevel="0" collapsed="false">
      <c r="A339" s="74" t="n">
        <v>299</v>
      </c>
      <c r="B339" s="22" t="n">
        <f aca="true">NORMINV(RAND(),$B$6,$C$6)</f>
        <v>0.224036827440179</v>
      </c>
      <c r="C339" s="22" t="n">
        <f aca="true">MAX(0.03,NORMINV(RAND(),$B$7,$C$7))</f>
        <v>0.251739112686428</v>
      </c>
      <c r="D339" s="34" t="n">
        <f aca="true">MAX(0.08,NORMINV(RAND(),$B$8,$C$8))</f>
        <v>0.130576321661155</v>
      </c>
      <c r="E339" s="70" t="n">
        <f aca="true">MAX(4,NORMINV(RAND(),$B$9,$C$9))</f>
        <v>10.7553108244163</v>
      </c>
      <c r="F339" s="27" t="n">
        <f aca="false">$B$18*(1+(B339+$B$17)/2)^9</f>
        <v>8801.24292208402</v>
      </c>
      <c r="G339" s="27" t="n">
        <f aca="false">F339*C339</f>
        <v>2215.61708374314</v>
      </c>
      <c r="H339" s="27" t="n">
        <f aca="false">E339*G339/(1+D339)^9</f>
        <v>7896.21020645193</v>
      </c>
      <c r="I339" s="27" t="n">
        <f aca="false">$B$13*G339/$B$12*((1+$B$8)/(1+D339))^4.5</f>
        <v>3447.64546004109</v>
      </c>
      <c r="J339" s="27" t="n">
        <f aca="false">H339+I339+$B$14</f>
        <v>13430.2545445752</v>
      </c>
      <c r="K339" s="45" t="n">
        <f aca="false">J339/$B$15</f>
        <v>21.3178643564686</v>
      </c>
    </row>
    <row r="340" customFormat="false" ht="15" hidden="false" customHeight="true" outlineLevel="0" collapsed="false">
      <c r="A340" s="74" t="n">
        <v>300</v>
      </c>
      <c r="B340" s="22" t="n">
        <f aca="true">NORMINV(RAND(),$B$6,$C$6)</f>
        <v>0.170637423301174</v>
      </c>
      <c r="C340" s="22" t="n">
        <f aca="true">MAX(0.03,NORMINV(RAND(),$B$7,$C$7))</f>
        <v>0.236312514165363</v>
      </c>
      <c r="D340" s="34" t="n">
        <f aca="true">MAX(0.08,NORMINV(RAND(),$B$8,$C$8))</f>
        <v>0.128841233419599</v>
      </c>
      <c r="E340" s="70" t="n">
        <f aca="true">MAX(4,NORMINV(RAND(),$B$9,$C$9))</f>
        <v>14.6711739713069</v>
      </c>
      <c r="F340" s="27" t="n">
        <f aca="false">$B$18*(1+(B340+$B$17)/2)^9</f>
        <v>7106.65864159981</v>
      </c>
      <c r="G340" s="27" t="n">
        <f aca="false">F340*C340</f>
        <v>1679.39237091146</v>
      </c>
      <c r="H340" s="27" t="n">
        <f aca="false">E340*G340/(1+D340)^9</f>
        <v>8277.92069759239</v>
      </c>
      <c r="I340" s="27" t="n">
        <f aca="false">$B$13*G340/$B$12*((1+$B$8)/(1+D340))^4.5</f>
        <v>2631.36845221864</v>
      </c>
      <c r="J340" s="27" t="n">
        <f aca="false">H340+I340+$B$14</f>
        <v>12995.6880278932</v>
      </c>
      <c r="K340" s="45" t="n">
        <f aca="false">J340/$B$15</f>
        <v>20.6280762347511</v>
      </c>
    </row>
    <row r="341" customFormat="false" ht="15" hidden="false" customHeight="true" outlineLevel="0" collapsed="false">
      <c r="A341" s="74" t="n">
        <v>301</v>
      </c>
      <c r="B341" s="22" t="n">
        <f aca="true">NORMINV(RAND(),$B$6,$C$6)</f>
        <v>0.145634444639321</v>
      </c>
      <c r="C341" s="22" t="n">
        <f aca="true">MAX(0.03,NORMINV(RAND(),$B$7,$C$7))</f>
        <v>0.159725815601508</v>
      </c>
      <c r="D341" s="34" t="n">
        <f aca="true">MAX(0.08,NORMINV(RAND(),$B$8,$C$8))</f>
        <v>0.132960283094581</v>
      </c>
      <c r="E341" s="70" t="n">
        <f aca="true">MAX(4,NORMINV(RAND(),$B$9,$C$9))</f>
        <v>13.6265381461718</v>
      </c>
      <c r="F341" s="27" t="n">
        <f aca="false">$B$18*(1+(B341+$B$17)/2)^9</f>
        <v>6418.10595282044</v>
      </c>
      <c r="G341" s="27" t="n">
        <f aca="false">F341*C341</f>
        <v>1025.13720793114</v>
      </c>
      <c r="H341" s="27" t="n">
        <f aca="false">E341*G341/(1+D341)^9</f>
        <v>4541.87694002787</v>
      </c>
      <c r="I341" s="27" t="n">
        <f aca="false">$B$13*G341/$B$12*((1+$B$8)/(1+D341))^4.5</f>
        <v>1580.13171549448</v>
      </c>
      <c r="J341" s="27" t="n">
        <f aca="false">H341+I341+$B$14</f>
        <v>8208.40753360454</v>
      </c>
      <c r="K341" s="45" t="n">
        <f aca="false">J341/$B$15</f>
        <v>13.0292183073088</v>
      </c>
    </row>
    <row r="342" customFormat="false" ht="15" hidden="false" customHeight="true" outlineLevel="0" collapsed="false">
      <c r="A342" s="74" t="n">
        <v>302</v>
      </c>
      <c r="B342" s="22" t="n">
        <f aca="true">NORMINV(RAND(),$B$6,$C$6)</f>
        <v>0.191810467001343</v>
      </c>
      <c r="C342" s="22" t="n">
        <f aca="true">MAX(0.03,NORMINV(RAND(),$B$7,$C$7))</f>
        <v>0.237626085982323</v>
      </c>
      <c r="D342" s="34" t="n">
        <f aca="true">MAX(0.08,NORMINV(RAND(),$B$8,$C$8))</f>
        <v>0.140703923770299</v>
      </c>
      <c r="E342" s="70" t="n">
        <f aca="true">MAX(4,NORMINV(RAND(),$B$9,$C$9))</f>
        <v>13.5776461882328</v>
      </c>
      <c r="F342" s="27" t="n">
        <f aca="false">$B$18*(1+(B342+$B$17)/2)^9</f>
        <v>7740.2786894017</v>
      </c>
      <c r="G342" s="27" t="n">
        <f aca="false">F342*C342</f>
        <v>1839.29212937491</v>
      </c>
      <c r="H342" s="27" t="n">
        <f aca="false">E342*G342/(1+D342)^9</f>
        <v>7636.92949307868</v>
      </c>
      <c r="I342" s="27" t="n">
        <f aca="false">$B$13*G342/$B$12*((1+$B$8)/(1+D342))^4.5</f>
        <v>2749.47567228786</v>
      </c>
      <c r="J342" s="27" t="n">
        <f aca="false">H342+I342+$B$14</f>
        <v>12472.8040434487</v>
      </c>
      <c r="K342" s="45" t="n">
        <f aca="false">J342/$B$15</f>
        <v>19.7981016562678</v>
      </c>
    </row>
    <row r="343" customFormat="false" ht="15" hidden="false" customHeight="true" outlineLevel="0" collapsed="false">
      <c r="A343" s="74" t="n">
        <v>303</v>
      </c>
      <c r="B343" s="22" t="n">
        <f aca="true">NORMINV(RAND(),$B$6,$C$6)</f>
        <v>0.260843649372819</v>
      </c>
      <c r="C343" s="22" t="n">
        <f aca="true">MAX(0.03,NORMINV(RAND(),$B$7,$C$7))</f>
        <v>0.208155813035102</v>
      </c>
      <c r="D343" s="34" t="n">
        <f aca="true">MAX(0.08,NORMINV(RAND(),$B$8,$C$8))</f>
        <v>0.149544657295362</v>
      </c>
      <c r="E343" s="70" t="n">
        <f aca="true">MAX(4,NORMINV(RAND(),$B$9,$C$9))</f>
        <v>13.6042836107636</v>
      </c>
      <c r="F343" s="27" t="n">
        <f aca="false">$B$18*(1+(B343+$B$17)/2)^9</f>
        <v>10169.5474157385</v>
      </c>
      <c r="G343" s="27" t="n">
        <f aca="false">F343*C343</f>
        <v>2116.85041052208</v>
      </c>
      <c r="H343" s="27" t="n">
        <f aca="false">E343*G343/(1+D343)^9</f>
        <v>8215.48525412917</v>
      </c>
      <c r="I343" s="27" t="n">
        <f aca="false">$B$13*G343/$B$12*((1+$B$8)/(1+D343))^4.5</f>
        <v>3056.33696879622</v>
      </c>
      <c r="J343" s="27" t="n">
        <f aca="false">H343+I343+$B$14</f>
        <v>13358.2211010076</v>
      </c>
      <c r="K343" s="45" t="n">
        <f aca="false">J343/$B$15</f>
        <v>21.2035255571549</v>
      </c>
    </row>
    <row r="344" customFormat="false" ht="15" hidden="false" customHeight="true" outlineLevel="0" collapsed="false">
      <c r="A344" s="74" t="n">
        <v>304</v>
      </c>
      <c r="B344" s="22" t="n">
        <f aca="true">NORMINV(RAND(),$B$6,$C$6)</f>
        <v>0.200729909724435</v>
      </c>
      <c r="C344" s="22" t="n">
        <f aca="true">MAX(0.03,NORMINV(RAND(),$B$7,$C$7))</f>
        <v>0.197485444818511</v>
      </c>
      <c r="D344" s="34" t="n">
        <f aca="true">MAX(0.08,NORMINV(RAND(),$B$8,$C$8))</f>
        <v>0.131176076876932</v>
      </c>
      <c r="E344" s="70" t="n">
        <f aca="true">MAX(4,NORMINV(RAND(),$B$9,$C$9))</f>
        <v>11.1983720249764</v>
      </c>
      <c r="F344" s="27" t="n">
        <f aca="false">$B$18*(1+(B344+$B$17)/2)^9</f>
        <v>8021.89559329715</v>
      </c>
      <c r="G344" s="27" t="n">
        <f aca="false">F344*C344</f>
        <v>1584.20761952994</v>
      </c>
      <c r="H344" s="27" t="n">
        <f aca="false">E344*G344/(1+D344)^9</f>
        <v>5850.52829002962</v>
      </c>
      <c r="I344" s="27" t="n">
        <f aca="false">$B$13*G344/$B$12*((1+$B$8)/(1+D344))^4.5</f>
        <v>2459.25477578375</v>
      </c>
      <c r="J344" s="27" t="n">
        <f aca="false">H344+I344+$B$14</f>
        <v>10396.1819438956</v>
      </c>
      <c r="K344" s="45" t="n">
        <f aca="false">J344/$B$15</f>
        <v>16.5018761014215</v>
      </c>
    </row>
    <row r="345" customFormat="false" ht="15" hidden="false" customHeight="true" outlineLevel="0" collapsed="false">
      <c r="A345" s="74" t="n">
        <v>305</v>
      </c>
      <c r="B345" s="22" t="n">
        <f aca="true">NORMINV(RAND(),$B$6,$C$6)</f>
        <v>0.20632868777616</v>
      </c>
      <c r="C345" s="22" t="n">
        <f aca="true">MAX(0.03,NORMINV(RAND(),$B$7,$C$7))</f>
        <v>0.195732757943544</v>
      </c>
      <c r="D345" s="34" t="n">
        <f aca="true">MAX(0.08,NORMINV(RAND(),$B$8,$C$8))</f>
        <v>0.123611860444753</v>
      </c>
      <c r="E345" s="70" t="n">
        <f aca="true">MAX(4,NORMINV(RAND(),$B$9,$C$9))</f>
        <v>11.1438002017783</v>
      </c>
      <c r="F345" s="27" t="n">
        <f aca="false">$B$18*(1+(B345+$B$17)/2)^9</f>
        <v>8203.28597351578</v>
      </c>
      <c r="G345" s="27" t="n">
        <f aca="false">F345*C345</f>
        <v>1605.65178779584</v>
      </c>
      <c r="H345" s="27" t="n">
        <f aca="false">E345*G345/(1+D345)^9</f>
        <v>6268.12791865638</v>
      </c>
      <c r="I345" s="27" t="n">
        <f aca="false">$B$13*G345/$B$12*((1+$B$8)/(1+D345))^4.5</f>
        <v>2568.94809110246</v>
      </c>
      <c r="J345" s="27" t="n">
        <f aca="false">H345+I345+$B$14</f>
        <v>10923.474887841</v>
      </c>
      <c r="K345" s="45" t="n">
        <f aca="false">J345/$B$15</f>
        <v>17.3388490283191</v>
      </c>
    </row>
    <row r="346" customFormat="false" ht="15" hidden="false" customHeight="true" outlineLevel="0" collapsed="false">
      <c r="A346" s="74" t="n">
        <v>306</v>
      </c>
      <c r="B346" s="22" t="n">
        <f aca="true">NORMINV(RAND(),$B$6,$C$6)</f>
        <v>0.197847114410866</v>
      </c>
      <c r="C346" s="22" t="n">
        <f aca="true">MAX(0.03,NORMINV(RAND(),$B$7,$C$7))</f>
        <v>0.289686065405398</v>
      </c>
      <c r="D346" s="34" t="n">
        <f aca="true">MAX(0.08,NORMINV(RAND(),$B$8,$C$8))</f>
        <v>0.141784667448349</v>
      </c>
      <c r="E346" s="70" t="n">
        <f aca="true">MAX(4,NORMINV(RAND(),$B$9,$C$9))</f>
        <v>13.1831942295416</v>
      </c>
      <c r="F346" s="27" t="n">
        <f aca="false">$B$18*(1+(B346+$B$17)/2)^9</f>
        <v>7929.89600848093</v>
      </c>
      <c r="G346" s="27" t="n">
        <f aca="false">F346*C346</f>
        <v>2297.18037377081</v>
      </c>
      <c r="H346" s="27" t="n">
        <f aca="false">E346*G346/(1+D346)^9</f>
        <v>9182.43551366018</v>
      </c>
      <c r="I346" s="27" t="n">
        <f aca="false">$B$13*G346/$B$12*((1+$B$8)/(1+D346))^4.5</f>
        <v>3419.34990766051</v>
      </c>
      <c r="J346" s="27" t="n">
        <f aca="false">H346+I346+$B$14</f>
        <v>14688.1842994029</v>
      </c>
      <c r="K346" s="45" t="n">
        <f aca="false">J346/$B$15</f>
        <v>23.3145782530204</v>
      </c>
    </row>
    <row r="347" customFormat="false" ht="15" hidden="false" customHeight="true" outlineLevel="0" collapsed="false">
      <c r="A347" s="74" t="n">
        <v>307</v>
      </c>
      <c r="B347" s="22" t="n">
        <f aca="true">NORMINV(RAND(),$B$6,$C$6)</f>
        <v>0.194773101034863</v>
      </c>
      <c r="C347" s="22" t="n">
        <f aca="true">MAX(0.03,NORMINV(RAND(),$B$7,$C$7))</f>
        <v>0.255774376968859</v>
      </c>
      <c r="D347" s="34" t="n">
        <f aca="true">MAX(0.08,NORMINV(RAND(),$B$8,$C$8))</f>
        <v>0.128286010599265</v>
      </c>
      <c r="E347" s="70" t="n">
        <f aca="true">MAX(4,NORMINV(RAND(),$B$9,$C$9))</f>
        <v>13.1688653022223</v>
      </c>
      <c r="F347" s="27" t="n">
        <f aca="false">$B$18*(1+(B347+$B$17)/2)^9</f>
        <v>7832.82838086622</v>
      </c>
      <c r="G347" s="27" t="n">
        <f aca="false">F347*C347</f>
        <v>2003.43679902005</v>
      </c>
      <c r="H347" s="27" t="n">
        <f aca="false">E347*G347/(1+D347)^9</f>
        <v>8903.30335806211</v>
      </c>
      <c r="I347" s="27" t="n">
        <f aca="false">$B$13*G347/$B$12*((1+$B$8)/(1+D347))^4.5</f>
        <v>3146.05716356794</v>
      </c>
      <c r="J347" s="27" t="n">
        <f aca="false">H347+I347+$B$14</f>
        <v>14135.7593997122</v>
      </c>
      <c r="K347" s="45" t="n">
        <f aca="false">J347/$B$15</f>
        <v>22.4377133328766</v>
      </c>
    </row>
    <row r="348" customFormat="false" ht="15" hidden="false" customHeight="true" outlineLevel="0" collapsed="false">
      <c r="A348" s="74" t="n">
        <v>308</v>
      </c>
      <c r="B348" s="22" t="n">
        <f aca="true">NORMINV(RAND(),$B$6,$C$6)</f>
        <v>0.175317786180271</v>
      </c>
      <c r="C348" s="22" t="n">
        <f aca="true">MAX(0.03,NORMINV(RAND(),$B$7,$C$7))</f>
        <v>0.218492078371836</v>
      </c>
      <c r="D348" s="34" t="n">
        <f aca="true">MAX(0.08,NORMINV(RAND(),$B$8,$C$8))</f>
        <v>0.12484627526446</v>
      </c>
      <c r="E348" s="70" t="n">
        <f aca="true">MAX(4,NORMINV(RAND(),$B$9,$C$9))</f>
        <v>13.2178426265759</v>
      </c>
      <c r="F348" s="27" t="n">
        <f aca="false">$B$18*(1+(B348+$B$17)/2)^9</f>
        <v>7242.60694501366</v>
      </c>
      <c r="G348" s="27" t="n">
        <f aca="false">F348*C348</f>
        <v>1582.45224424633</v>
      </c>
      <c r="H348" s="27" t="n">
        <f aca="false">E348*G348/(1+D348)^9</f>
        <v>7255.25394993146</v>
      </c>
      <c r="I348" s="27" t="n">
        <f aca="false">$B$13*G348/$B$12*((1+$B$8)/(1+D348))^4.5</f>
        <v>2519.35115706296</v>
      </c>
      <c r="J348" s="27" t="n">
        <f aca="false">H348+I348+$B$14</f>
        <v>11861.0039850766</v>
      </c>
      <c r="K348" s="45" t="n">
        <f aca="false">J348/$B$15</f>
        <v>18.8269904525026</v>
      </c>
    </row>
    <row r="349" customFormat="false" ht="15" hidden="false" customHeight="true" outlineLevel="0" collapsed="false">
      <c r="A349" s="74" t="n">
        <v>309</v>
      </c>
      <c r="B349" s="22" t="n">
        <f aca="true">NORMINV(RAND(),$B$6,$C$6)</f>
        <v>0.174886104371017</v>
      </c>
      <c r="C349" s="22" t="n">
        <f aca="true">MAX(0.03,NORMINV(RAND(),$B$7,$C$7))</f>
        <v>0.199358416009128</v>
      </c>
      <c r="D349" s="34" t="n">
        <f aca="true">MAX(0.08,NORMINV(RAND(),$B$8,$C$8))</f>
        <v>0.140324266949866</v>
      </c>
      <c r="E349" s="70" t="n">
        <f aca="true">MAX(4,NORMINV(RAND(),$B$9,$C$9))</f>
        <v>12.1137732298014</v>
      </c>
      <c r="F349" s="27" t="n">
        <f aca="false">$B$18*(1+(B349+$B$17)/2)^9</f>
        <v>7229.97203457352</v>
      </c>
      <c r="G349" s="27" t="n">
        <f aca="false">F349*C349</f>
        <v>1441.35577260287</v>
      </c>
      <c r="H349" s="27" t="n">
        <f aca="false">E349*G349/(1+D349)^9</f>
        <v>5355.44215023902</v>
      </c>
      <c r="I349" s="27" t="n">
        <f aca="false">$B$13*G349/$B$12*((1+$B$8)/(1+D349))^4.5</f>
        <v>2157.84835396674</v>
      </c>
      <c r="J349" s="27" t="n">
        <f aca="false">H349+I349+$B$14</f>
        <v>9599.68938228794</v>
      </c>
      <c r="K349" s="45" t="n">
        <f aca="false">J349/$B$15</f>
        <v>15.2376021941078</v>
      </c>
    </row>
    <row r="350" customFormat="false" ht="15" hidden="false" customHeight="true" outlineLevel="0" collapsed="false">
      <c r="A350" s="74" t="n">
        <v>310</v>
      </c>
      <c r="B350" s="22" t="n">
        <f aca="true">NORMINV(RAND(),$B$6,$C$6)</f>
        <v>0.214174197872827</v>
      </c>
      <c r="C350" s="22" t="n">
        <f aca="true">MAX(0.03,NORMINV(RAND(),$B$7,$C$7))</f>
        <v>0.17169469147827</v>
      </c>
      <c r="D350" s="34" t="n">
        <f aca="true">MAX(0.08,NORMINV(RAND(),$B$8,$C$8))</f>
        <v>0.151008591840124</v>
      </c>
      <c r="E350" s="70" t="n">
        <f aca="true">MAX(4,NORMINV(RAND(),$B$9,$C$9))</f>
        <v>7.65222622548018</v>
      </c>
      <c r="F350" s="27" t="n">
        <f aca="false">$B$18*(1+(B350+$B$17)/2)^9</f>
        <v>8463.59936489528</v>
      </c>
      <c r="G350" s="27" t="n">
        <f aca="false">F350*C350</f>
        <v>1453.15508175137</v>
      </c>
      <c r="H350" s="27" t="n">
        <f aca="false">E350*G350/(1+D350)^9</f>
        <v>3136.1200308334</v>
      </c>
      <c r="I350" s="27" t="n">
        <f aca="false">$B$13*G350/$B$12*((1+$B$8)/(1+D350))^4.5</f>
        <v>2086.10324500455</v>
      </c>
      <c r="J350" s="27" t="n">
        <f aca="false">H350+I350+$B$14</f>
        <v>7308.62215392014</v>
      </c>
      <c r="K350" s="45" t="n">
        <f aca="false">J350/$B$15</f>
        <v>11.600987545905</v>
      </c>
    </row>
    <row r="351" customFormat="false" ht="15" hidden="false" customHeight="true" outlineLevel="0" collapsed="false">
      <c r="A351" s="74" t="n">
        <v>311</v>
      </c>
      <c r="B351" s="22" t="n">
        <f aca="true">NORMINV(RAND(),$B$6,$C$6)</f>
        <v>0.165052755149088</v>
      </c>
      <c r="C351" s="22" t="n">
        <f aca="true">MAX(0.03,NORMINV(RAND(),$B$7,$C$7))</f>
        <v>0.16735576898217</v>
      </c>
      <c r="D351" s="34" t="n">
        <f aca="true">MAX(0.08,NORMINV(RAND(),$B$8,$C$8))</f>
        <v>0.13357976041371</v>
      </c>
      <c r="E351" s="70" t="n">
        <f aca="true">MAX(4,NORMINV(RAND(),$B$9,$C$9))</f>
        <v>12.034047402024</v>
      </c>
      <c r="F351" s="27" t="n">
        <f aca="false">$B$18*(1+(B351+$B$17)/2)^9</f>
        <v>6947.41483900939</v>
      </c>
      <c r="G351" s="27" t="n">
        <f aca="false">F351*C351</f>
        <v>1162.68995282056</v>
      </c>
      <c r="H351" s="27" t="n">
        <f aca="false">E351*G351/(1+D351)^9</f>
        <v>4526.96241679551</v>
      </c>
      <c r="I351" s="27" t="n">
        <f aca="false">$B$13*G351/$B$12*((1+$B$8)/(1+D351))^4.5</f>
        <v>1787.75056386251</v>
      </c>
      <c r="J351" s="27" t="n">
        <f aca="false">H351+I351+$B$14</f>
        <v>8401.11185874022</v>
      </c>
      <c r="K351" s="45" t="n">
        <f aca="false">J351/$B$15</f>
        <v>13.3350981884765</v>
      </c>
    </row>
    <row r="352" customFormat="false" ht="15" hidden="false" customHeight="true" outlineLevel="0" collapsed="false">
      <c r="A352" s="74" t="n">
        <v>312</v>
      </c>
      <c r="B352" s="22" t="n">
        <f aca="true">NORMINV(RAND(),$B$6,$C$6)</f>
        <v>0.221679041908146</v>
      </c>
      <c r="C352" s="22" t="n">
        <f aca="true">MAX(0.03,NORMINV(RAND(),$B$7,$C$7))</f>
        <v>0.234976304609879</v>
      </c>
      <c r="D352" s="34" t="n">
        <f aca="true">MAX(0.08,NORMINV(RAND(),$B$8,$C$8))</f>
        <v>0.132593884752337</v>
      </c>
      <c r="E352" s="70" t="n">
        <f aca="true">MAX(4,NORMINV(RAND(),$B$9,$C$9))</f>
        <v>12.3088873934006</v>
      </c>
      <c r="F352" s="27" t="n">
        <f aca="false">$B$18*(1+(B352+$B$17)/2)^9</f>
        <v>8719.45431901028</v>
      </c>
      <c r="G352" s="27" t="n">
        <f aca="false">F352*C352</f>
        <v>2048.86515409569</v>
      </c>
      <c r="H352" s="27" t="n">
        <f aca="false">E352*G352/(1+D352)^9</f>
        <v>8223.64327623247</v>
      </c>
      <c r="I352" s="27" t="n">
        <f aca="false">$B$13*G352/$B$12*((1+$B$8)/(1+D352))^4.5</f>
        <v>3162.69126291989</v>
      </c>
      <c r="J352" s="27" t="n">
        <f aca="false">H352+I352+$B$14</f>
        <v>13472.7334172346</v>
      </c>
      <c r="K352" s="45" t="n">
        <f aca="false">J352/$B$15</f>
        <v>21.3852911384675</v>
      </c>
    </row>
    <row r="353" customFormat="false" ht="15" hidden="false" customHeight="true" outlineLevel="0" collapsed="false">
      <c r="A353" s="74" t="n">
        <v>313</v>
      </c>
      <c r="B353" s="22" t="n">
        <f aca="true">NORMINV(RAND(),$B$6,$C$6)</f>
        <v>0.254193590732936</v>
      </c>
      <c r="C353" s="22" t="n">
        <f aca="true">MAX(0.03,NORMINV(RAND(),$B$7,$C$7))</f>
        <v>0.170888816433245</v>
      </c>
      <c r="D353" s="34" t="n">
        <f aca="true">MAX(0.08,NORMINV(RAND(),$B$8,$C$8))</f>
        <v>0.121300696579848</v>
      </c>
      <c r="E353" s="70" t="n">
        <f aca="true">MAX(4,NORMINV(RAND(),$B$9,$C$9))</f>
        <v>10.0684756226549</v>
      </c>
      <c r="F353" s="27" t="n">
        <f aca="false">$B$18*(1+(B353+$B$17)/2)^9</f>
        <v>9909.1691807712</v>
      </c>
      <c r="G353" s="27" t="n">
        <f aca="false">F353*C353</f>
        <v>1693.36619313878</v>
      </c>
      <c r="H353" s="27" t="n">
        <f aca="false">E353*G353/(1+D353)^9</f>
        <v>6084.37230065944</v>
      </c>
      <c r="I353" s="27" t="n">
        <f aca="false">$B$13*G353/$B$12*((1+$B$8)/(1+D353))^4.5</f>
        <v>2734.50580527854</v>
      </c>
      <c r="J353" s="27" t="n">
        <f aca="false">H353+I353+$B$14</f>
        <v>10905.2769840202</v>
      </c>
      <c r="K353" s="45" t="n">
        <f aca="false">J353/$B$15</f>
        <v>17.3099634666987</v>
      </c>
    </row>
    <row r="354" customFormat="false" ht="15" hidden="false" customHeight="true" outlineLevel="0" collapsed="false">
      <c r="A354" s="74" t="n">
        <v>314</v>
      </c>
      <c r="B354" s="22" t="n">
        <f aca="true">NORMINV(RAND(),$B$6,$C$6)</f>
        <v>0.153915275375049</v>
      </c>
      <c r="C354" s="22" t="n">
        <f aca="true">MAX(0.03,NORMINV(RAND(),$B$7,$C$7))</f>
        <v>0.180940093437407</v>
      </c>
      <c r="D354" s="34" t="n">
        <f aca="true">MAX(0.08,NORMINV(RAND(),$B$8,$C$8))</f>
        <v>0.127300645265487</v>
      </c>
      <c r="E354" s="70" t="n">
        <f aca="true">MAX(4,NORMINV(RAND(),$B$9,$C$9))</f>
        <v>13.3369602020913</v>
      </c>
      <c r="F354" s="27" t="n">
        <f aca="false">$B$18*(1+(B354+$B$17)/2)^9</f>
        <v>6639.27442456307</v>
      </c>
      <c r="G354" s="27" t="n">
        <f aca="false">F354*C354</f>
        <v>1201.31093473703</v>
      </c>
      <c r="H354" s="27" t="n">
        <f aca="false">E354*G354/(1+D354)^9</f>
        <v>5449.47274812286</v>
      </c>
      <c r="I354" s="27" t="n">
        <f aca="false">$B$13*G354/$B$12*((1+$B$8)/(1+D354))^4.5</f>
        <v>1893.88632571821</v>
      </c>
      <c r="J354" s="27" t="n">
        <f aca="false">H354+I354+$B$14</f>
        <v>9429.75795192326</v>
      </c>
      <c r="K354" s="45" t="n">
        <f aca="false">J354/$B$15</f>
        <v>14.9678697649576</v>
      </c>
    </row>
    <row r="355" customFormat="false" ht="15" hidden="false" customHeight="true" outlineLevel="0" collapsed="false">
      <c r="A355" s="74" t="n">
        <v>315</v>
      </c>
      <c r="B355" s="22" t="n">
        <f aca="true">NORMINV(RAND(),$B$6,$C$6)</f>
        <v>0.214189052270842</v>
      </c>
      <c r="C355" s="22" t="n">
        <f aca="true">MAX(0.03,NORMINV(RAND(),$B$7,$C$7))</f>
        <v>0.231690242933036</v>
      </c>
      <c r="D355" s="34" t="n">
        <f aca="true">MAX(0.08,NORMINV(RAND(),$B$8,$C$8))</f>
        <v>0.138264025573677</v>
      </c>
      <c r="E355" s="70" t="n">
        <f aca="true">MAX(4,NORMINV(RAND(),$B$9,$C$9))</f>
        <v>9.54206623298849</v>
      </c>
      <c r="F355" s="27" t="n">
        <f aca="false">$B$18*(1+(B355+$B$17)/2)^9</f>
        <v>8464.09911652976</v>
      </c>
      <c r="G355" s="27" t="n">
        <f aca="false">F355*C355</f>
        <v>1961.04918051807</v>
      </c>
      <c r="H355" s="27" t="n">
        <f aca="false">E355*G355/(1+D355)^9</f>
        <v>5833.69633753843</v>
      </c>
      <c r="I355" s="27" t="n">
        <f aca="false">$B$13*G355/$B$12*((1+$B$8)/(1+D355))^4.5</f>
        <v>2959.86782053717</v>
      </c>
      <c r="J355" s="27" t="n">
        <f aca="false">H355+I355+$B$14</f>
        <v>10879.9630361578</v>
      </c>
      <c r="K355" s="45" t="n">
        <f aca="false">J355/$B$15</f>
        <v>17.2697825970759</v>
      </c>
    </row>
    <row r="356" customFormat="false" ht="15" hidden="false" customHeight="true" outlineLevel="0" collapsed="false">
      <c r="A356" s="74" t="n">
        <v>316</v>
      </c>
      <c r="B356" s="22" t="n">
        <f aca="true">NORMINV(RAND(),$B$6,$C$6)</f>
        <v>0.222972861726521</v>
      </c>
      <c r="C356" s="22" t="n">
        <f aca="true">MAX(0.03,NORMINV(RAND(),$B$7,$C$7))</f>
        <v>0.195140099279535</v>
      </c>
      <c r="D356" s="34" t="n">
        <f aca="true">MAX(0.08,NORMINV(RAND(),$B$8,$C$8))</f>
        <v>0.1286040614469</v>
      </c>
      <c r="E356" s="70" t="n">
        <f aca="true">MAX(4,NORMINV(RAND(),$B$9,$C$9))</f>
        <v>12.143547228339</v>
      </c>
      <c r="F356" s="27" t="n">
        <f aca="false">$B$18*(1+(B356+$B$17)/2)^9</f>
        <v>8764.25124672706</v>
      </c>
      <c r="G356" s="27" t="n">
        <f aca="false">F356*C356</f>
        <v>1710.25685839711</v>
      </c>
      <c r="H356" s="27" t="n">
        <f aca="false">E356*G356/(1+D356)^9</f>
        <v>6990.88933915524</v>
      </c>
      <c r="I356" s="27" t="n">
        <f aca="false">$B$13*G356/$B$12*((1+$B$8)/(1+D356))^4.5</f>
        <v>2682.26374443193</v>
      </c>
      <c r="J356" s="27" t="n">
        <f aca="false">H356+I356+$B$14</f>
        <v>11759.5519616694</v>
      </c>
      <c r="K356" s="45" t="n">
        <f aca="false">J356/$B$15</f>
        <v>18.6659554947133</v>
      </c>
    </row>
    <row r="357" customFormat="false" ht="15" hidden="false" customHeight="true" outlineLevel="0" collapsed="false">
      <c r="A357" s="74" t="n">
        <v>317</v>
      </c>
      <c r="B357" s="22" t="n">
        <f aca="true">NORMINV(RAND(),$B$6,$C$6)</f>
        <v>0.192972686369826</v>
      </c>
      <c r="C357" s="22" t="n">
        <f aca="true">MAX(0.03,NORMINV(RAND(),$B$7,$C$7))</f>
        <v>0.137958746120557</v>
      </c>
      <c r="D357" s="34" t="n">
        <f aca="true">MAX(0.08,NORMINV(RAND(),$B$8,$C$8))</f>
        <v>0.162155600154616</v>
      </c>
      <c r="E357" s="70" t="n">
        <f aca="true">MAX(4,NORMINV(RAND(),$B$9,$C$9))</f>
        <v>9.25292889933366</v>
      </c>
      <c r="F357" s="27" t="n">
        <f aca="false">$B$18*(1+(B357+$B$17)/2)^9</f>
        <v>7776.46873098795</v>
      </c>
      <c r="G357" s="27" t="n">
        <f aca="false">F357*C357</f>
        <v>1072.83187537281</v>
      </c>
      <c r="H357" s="27" t="n">
        <f aca="false">E357*G357/(1+D357)^9</f>
        <v>2567.03848539116</v>
      </c>
      <c r="I357" s="27" t="n">
        <f aca="false">$B$13*G357/$B$12*((1+$B$8)/(1+D357))^4.5</f>
        <v>1474.75470350729</v>
      </c>
      <c r="J357" s="27" t="n">
        <f aca="false">H357+I357+$B$14</f>
        <v>6128.19206698064</v>
      </c>
      <c r="K357" s="45" t="n">
        <f aca="false">J357/$B$15</f>
        <v>9.72728899520737</v>
      </c>
    </row>
    <row r="358" customFormat="false" ht="15" hidden="false" customHeight="true" outlineLevel="0" collapsed="false">
      <c r="A358" s="74" t="n">
        <v>318</v>
      </c>
      <c r="B358" s="22" t="n">
        <f aca="true">NORMINV(RAND(),$B$6,$C$6)</f>
        <v>0.224923934702849</v>
      </c>
      <c r="C358" s="22" t="n">
        <f aca="true">MAX(0.03,NORMINV(RAND(),$B$7,$C$7))</f>
        <v>0.218384575691356</v>
      </c>
      <c r="D358" s="34" t="n">
        <f aca="true">MAX(0.08,NORMINV(RAND(),$B$8,$C$8))</f>
        <v>0.125897141011127</v>
      </c>
      <c r="E358" s="70" t="n">
        <f aca="true">MAX(4,NORMINV(RAND(),$B$9,$C$9))</f>
        <v>12.6984181722416</v>
      </c>
      <c r="F358" s="27" t="n">
        <f aca="false">$B$18*(1+(B358+$B$17)/2)^9</f>
        <v>8832.19165862578</v>
      </c>
      <c r="G358" s="27" t="n">
        <f aca="false">F358*C358</f>
        <v>1928.81442779372</v>
      </c>
      <c r="H358" s="27" t="n">
        <f aca="false">E358*G358/(1+D358)^9</f>
        <v>8424.64527591796</v>
      </c>
      <c r="I358" s="27" t="n">
        <f aca="false">$B$13*G358/$B$12*((1+$B$8)/(1+D358))^4.5</f>
        <v>3057.90226632379</v>
      </c>
      <c r="J358" s="27" t="n">
        <f aca="false">H358+I358+$B$14</f>
        <v>13568.9464203239</v>
      </c>
      <c r="K358" s="45" t="n">
        <f aca="false">J358/$B$15</f>
        <v>21.5380101909904</v>
      </c>
    </row>
    <row r="359" customFormat="false" ht="15" hidden="false" customHeight="true" outlineLevel="0" collapsed="false">
      <c r="A359" s="74" t="n">
        <v>319</v>
      </c>
      <c r="B359" s="22" t="n">
        <f aca="true">NORMINV(RAND(),$B$6,$C$6)</f>
        <v>0.220804940199626</v>
      </c>
      <c r="C359" s="22" t="n">
        <f aca="true">MAX(0.03,NORMINV(RAND(),$B$7,$C$7))</f>
        <v>0.202115999818431</v>
      </c>
      <c r="D359" s="34" t="n">
        <f aca="true">MAX(0.08,NORMINV(RAND(),$B$8,$C$8))</f>
        <v>0.138493137415027</v>
      </c>
      <c r="E359" s="70" t="n">
        <f aca="true">MAX(4,NORMINV(RAND(),$B$9,$C$9))</f>
        <v>11.0799799761599</v>
      </c>
      <c r="F359" s="27" t="n">
        <f aca="false">$B$18*(1+(B359+$B$17)/2)^9</f>
        <v>8689.30493352851</v>
      </c>
      <c r="G359" s="27" t="n">
        <f aca="false">F359*C359</f>
        <v>1756.24755436734</v>
      </c>
      <c r="H359" s="27" t="n">
        <f aca="false">E359*G359/(1+D359)^9</f>
        <v>6055.51318194659</v>
      </c>
      <c r="I359" s="27" t="n">
        <f aca="false">$B$13*G359/$B$12*((1+$B$8)/(1+D359))^4.5</f>
        <v>2648.35520644557</v>
      </c>
      <c r="J359" s="27" t="n">
        <f aca="false">H359+I359+$B$14</f>
        <v>10790.2672664744</v>
      </c>
      <c r="K359" s="45" t="n">
        <f aca="false">J359/$B$15</f>
        <v>17.1274083594831</v>
      </c>
    </row>
    <row r="360" customFormat="false" ht="15" hidden="false" customHeight="true" outlineLevel="0" collapsed="false">
      <c r="A360" s="74" t="n">
        <v>320</v>
      </c>
      <c r="B360" s="22" t="n">
        <f aca="true">NORMINV(RAND(),$B$6,$C$6)</f>
        <v>0.186537525122444</v>
      </c>
      <c r="C360" s="22" t="n">
        <f aca="true">MAX(0.03,NORMINV(RAND(),$B$7,$C$7))</f>
        <v>0.239081795394993</v>
      </c>
      <c r="D360" s="34" t="n">
        <f aca="true">MAX(0.08,NORMINV(RAND(),$B$8,$C$8))</f>
        <v>0.141155049489239</v>
      </c>
      <c r="E360" s="70" t="n">
        <f aca="true">MAX(4,NORMINV(RAND(),$B$9,$C$9))</f>
        <v>15.1651644754454</v>
      </c>
      <c r="F360" s="27" t="n">
        <f aca="false">$B$18*(1+(B360+$B$17)/2)^9</f>
        <v>7577.9592950638</v>
      </c>
      <c r="G360" s="27" t="n">
        <f aca="false">F360*C360</f>
        <v>1811.75211369403</v>
      </c>
      <c r="H360" s="27" t="n">
        <f aca="false">E360*G360/(1+D360)^9</f>
        <v>8372.28482826529</v>
      </c>
      <c r="I360" s="27" t="n">
        <f aca="false">$B$13*G360/$B$12*((1+$B$8)/(1+D360))^4.5</f>
        <v>2703.49270244845</v>
      </c>
      <c r="J360" s="27" t="n">
        <f aca="false">H360+I360+$B$14</f>
        <v>13162.1764087959</v>
      </c>
      <c r="K360" s="45" t="n">
        <f aca="false">J360/$B$15</f>
        <v>20.8923435060253</v>
      </c>
    </row>
    <row r="361" customFormat="false" ht="15" hidden="false" customHeight="true" outlineLevel="0" collapsed="false">
      <c r="A361" s="74" t="n">
        <v>321</v>
      </c>
      <c r="B361" s="22" t="n">
        <f aca="true">NORMINV(RAND(),$B$6,$C$6)</f>
        <v>0.19304680701688</v>
      </c>
      <c r="C361" s="22" t="n">
        <f aca="true">MAX(0.03,NORMINV(RAND(),$B$7,$C$7))</f>
        <v>0.195782101487842</v>
      </c>
      <c r="D361" s="34" t="n">
        <f aca="true">MAX(0.08,NORMINV(RAND(),$B$8,$C$8))</f>
        <v>0.141731622559588</v>
      </c>
      <c r="E361" s="70" t="n">
        <f aca="true">MAX(4,NORMINV(RAND(),$B$9,$C$9))</f>
        <v>10.9442454941805</v>
      </c>
      <c r="F361" s="27" t="n">
        <f aca="false">$B$18*(1+(B361+$B$17)/2)^9</f>
        <v>7778.78184779041</v>
      </c>
      <c r="G361" s="27" t="n">
        <f aca="false">F361*C361</f>
        <v>1522.94625717589</v>
      </c>
      <c r="H361" s="27" t="n">
        <f aca="false">E361*G361/(1+D361)^9</f>
        <v>5055.84947272869</v>
      </c>
      <c r="I361" s="27" t="n">
        <f aca="false">$B$13*G361/$B$12*((1+$B$8)/(1+D361))^4.5</f>
        <v>2267.37744312105</v>
      </c>
      <c r="J361" s="27" t="n">
        <f aca="false">H361+I361+$B$14</f>
        <v>9409.62579393193</v>
      </c>
      <c r="K361" s="45" t="n">
        <f aca="false">J361/$B$15</f>
        <v>14.9359139586221</v>
      </c>
    </row>
    <row r="362" customFormat="false" ht="15" hidden="false" customHeight="true" outlineLevel="0" collapsed="false">
      <c r="A362" s="74" t="n">
        <v>322</v>
      </c>
      <c r="B362" s="22" t="n">
        <f aca="true">NORMINV(RAND(),$B$6,$C$6)</f>
        <v>0.169295968919645</v>
      </c>
      <c r="C362" s="22" t="n">
        <f aca="true">MAX(0.03,NORMINV(RAND(),$B$7,$C$7))</f>
        <v>0.257664317901497</v>
      </c>
      <c r="D362" s="34" t="n">
        <f aca="true">MAX(0.08,NORMINV(RAND(),$B$8,$C$8))</f>
        <v>0.146537941975635</v>
      </c>
      <c r="E362" s="70" t="n">
        <f aca="true">MAX(4,NORMINV(RAND(),$B$9,$C$9))</f>
        <v>13.9877872670549</v>
      </c>
      <c r="F362" s="27" t="n">
        <f aca="false">$B$18*(1+(B362+$B$17)/2)^9</f>
        <v>7068.1146199693</v>
      </c>
      <c r="G362" s="27" t="n">
        <f aca="false">F362*C362</f>
        <v>1821.20093240399</v>
      </c>
      <c r="H362" s="27" t="n">
        <f aca="false">E362*G362/(1+D362)^9</f>
        <v>7440.65214346104</v>
      </c>
      <c r="I362" s="27" t="n">
        <f aca="false">$B$13*G362/$B$12*((1+$B$8)/(1+D362))^4.5</f>
        <v>2660.64726392166</v>
      </c>
      <c r="J362" s="27" t="n">
        <f aca="false">H362+I362+$B$14</f>
        <v>12187.6982854649</v>
      </c>
      <c r="K362" s="45" t="n">
        <f aca="false">J362/$B$15</f>
        <v>19.3455528340713</v>
      </c>
    </row>
    <row r="363" customFormat="false" ht="15" hidden="false" customHeight="true" outlineLevel="0" collapsed="false">
      <c r="A363" s="74" t="n">
        <v>323</v>
      </c>
      <c r="B363" s="22" t="n">
        <f aca="true">NORMINV(RAND(),$B$6,$C$6)</f>
        <v>0.282352833026544</v>
      </c>
      <c r="C363" s="22" t="n">
        <f aca="true">MAX(0.03,NORMINV(RAND(),$B$7,$C$7))</f>
        <v>0.205629016388717</v>
      </c>
      <c r="D363" s="34" t="n">
        <f aca="true">MAX(0.08,NORMINV(RAND(),$B$8,$C$8))</f>
        <v>0.13364418971787</v>
      </c>
      <c r="E363" s="70" t="n">
        <f aca="true">MAX(4,NORMINV(RAND(),$B$9,$C$9))</f>
        <v>15.0200599894577</v>
      </c>
      <c r="F363" s="27" t="n">
        <f aca="false">$B$18*(1+(B363+$B$17)/2)^9</f>
        <v>11053.8817927702</v>
      </c>
      <c r="G363" s="27" t="n">
        <f aca="false">F363*C363</f>
        <v>2272.99884032449</v>
      </c>
      <c r="H363" s="27" t="n">
        <f aca="false">E363*G363/(1+D363)^9</f>
        <v>11040.2773350834</v>
      </c>
      <c r="I363" s="27" t="n">
        <f aca="false">$B$13*G363/$B$12*((1+$B$8)/(1+D363))^4.5</f>
        <v>3494.06631517468</v>
      </c>
      <c r="J363" s="27" t="n">
        <f aca="false">H363+I363+$B$14</f>
        <v>16620.7425283403</v>
      </c>
      <c r="K363" s="45" t="n">
        <f aca="false">J363/$B$15</f>
        <v>26.3821309973656</v>
      </c>
    </row>
    <row r="364" customFormat="false" ht="15" hidden="false" customHeight="true" outlineLevel="0" collapsed="false">
      <c r="A364" s="74" t="n">
        <v>324</v>
      </c>
      <c r="B364" s="22" t="n">
        <f aca="true">NORMINV(RAND(),$B$6,$C$6)</f>
        <v>0.144824583661267</v>
      </c>
      <c r="C364" s="22" t="n">
        <f aca="true">MAX(0.03,NORMINV(RAND(),$B$7,$C$7))</f>
        <v>0.177881507927552</v>
      </c>
      <c r="D364" s="34" t="n">
        <f aca="true">MAX(0.08,NORMINV(RAND(),$B$8,$C$8))</f>
        <v>0.132960619805346</v>
      </c>
      <c r="E364" s="70" t="n">
        <f aca="true">MAX(4,NORMINV(RAND(),$B$9,$C$9))</f>
        <v>14.027450822933</v>
      </c>
      <c r="F364" s="27" t="n">
        <f aca="false">$B$18*(1+(B364+$B$17)/2)^9</f>
        <v>6396.83146320715</v>
      </c>
      <c r="G364" s="27" t="n">
        <f aca="false">F364*C364</f>
        <v>1137.8780266337</v>
      </c>
      <c r="H364" s="27" t="n">
        <f aca="false">E364*G364/(1+D364)^9</f>
        <v>5189.68662450101</v>
      </c>
      <c r="I364" s="27" t="n">
        <f aca="false">$B$13*G364/$B$12*((1+$B$8)/(1+D364))^4.5</f>
        <v>1753.9064427027</v>
      </c>
      <c r="J364" s="27" t="n">
        <f aca="false">H364+I364+$B$14</f>
        <v>9029.9919452859</v>
      </c>
      <c r="K364" s="45" t="n">
        <f aca="false">J364/$B$15</f>
        <v>14.3333205480729</v>
      </c>
    </row>
    <row r="365" customFormat="false" ht="15" hidden="false" customHeight="true" outlineLevel="0" collapsed="false">
      <c r="A365" s="74" t="n">
        <v>325</v>
      </c>
      <c r="B365" s="22" t="n">
        <f aca="true">NORMINV(RAND(),$B$6,$C$6)</f>
        <v>0.242584518950887</v>
      </c>
      <c r="C365" s="22" t="n">
        <f aca="true">MAX(0.03,NORMINV(RAND(),$B$7,$C$7))</f>
        <v>0.16333605519878</v>
      </c>
      <c r="D365" s="34" t="n">
        <f aca="true">MAX(0.08,NORMINV(RAND(),$B$8,$C$8))</f>
        <v>0.142266483167575</v>
      </c>
      <c r="E365" s="70" t="n">
        <f aca="true">MAX(4,NORMINV(RAND(),$B$9,$C$9))</f>
        <v>14.2368114859202</v>
      </c>
      <c r="F365" s="27" t="n">
        <f aca="false">$B$18*(1+(B365+$B$17)/2)^9</f>
        <v>9468.79608134531</v>
      </c>
      <c r="G365" s="27" t="n">
        <f aca="false">F365*C365</f>
        <v>1546.59579940861</v>
      </c>
      <c r="H365" s="27" t="n">
        <f aca="false">E365*G365/(1+D365)^9</f>
        <v>6650.93428925539</v>
      </c>
      <c r="I365" s="27" t="n">
        <f aca="false">$B$13*G365/$B$12*((1+$B$8)/(1+D365))^4.5</f>
        <v>2297.73930211622</v>
      </c>
      <c r="J365" s="27" t="n">
        <f aca="false">H365+I365+$B$14</f>
        <v>11035.0724694538</v>
      </c>
      <c r="K365" s="45" t="n">
        <f aca="false">J365/$B$15</f>
        <v>17.5159880467521</v>
      </c>
    </row>
    <row r="366" customFormat="false" ht="15" hidden="false" customHeight="true" outlineLevel="0" collapsed="false">
      <c r="A366" s="74" t="n">
        <v>326</v>
      </c>
      <c r="B366" s="22" t="n">
        <f aca="true">NORMINV(RAND(),$B$6,$C$6)</f>
        <v>0.105692584092313</v>
      </c>
      <c r="C366" s="22" t="n">
        <f aca="true">MAX(0.03,NORMINV(RAND(),$B$7,$C$7))</f>
        <v>0.220104981039562</v>
      </c>
      <c r="D366" s="34" t="n">
        <f aca="true">MAX(0.08,NORMINV(RAND(),$B$8,$C$8))</f>
        <v>0.132086700443295</v>
      </c>
      <c r="E366" s="70" t="n">
        <f aca="true">MAX(4,NORMINV(RAND(),$B$9,$C$9))</f>
        <v>14.4745983428675</v>
      </c>
      <c r="F366" s="27" t="n">
        <f aca="false">$B$18*(1+(B366+$B$17)/2)^9</f>
        <v>5440.61524354123</v>
      </c>
      <c r="G366" s="27" t="n">
        <f aca="false">F366*C366</f>
        <v>1197.50651502319</v>
      </c>
      <c r="H366" s="27" t="n">
        <f aca="false">E366*G366/(1+D366)^9</f>
        <v>5675.01757022447</v>
      </c>
      <c r="I366" s="27" t="n">
        <f aca="false">$B$13*G366/$B$12*((1+$B$8)/(1+D366))^4.5</f>
        <v>1852.23746916333</v>
      </c>
      <c r="J366" s="27" t="n">
        <f aca="false">H366+I366+$B$14</f>
        <v>9613.65391747</v>
      </c>
      <c r="K366" s="45" t="n">
        <f aca="false">J366/$B$15</f>
        <v>15.2597681229683</v>
      </c>
    </row>
    <row r="367" customFormat="false" ht="15" hidden="false" customHeight="true" outlineLevel="0" collapsed="false">
      <c r="A367" s="74" t="n">
        <v>327</v>
      </c>
      <c r="B367" s="22" t="n">
        <f aca="true">NORMINV(RAND(),$B$6,$C$6)</f>
        <v>0.2272673530653</v>
      </c>
      <c r="C367" s="22" t="n">
        <f aca="true">MAX(0.03,NORMINV(RAND(),$B$7,$C$7))</f>
        <v>0.207330646922832</v>
      </c>
      <c r="D367" s="34" t="n">
        <f aca="true">MAX(0.08,NORMINV(RAND(),$B$8,$C$8))</f>
        <v>0.133018339848233</v>
      </c>
      <c r="E367" s="70" t="n">
        <f aca="true">MAX(4,NORMINV(RAND(),$B$9,$C$9))</f>
        <v>13.1495366511095</v>
      </c>
      <c r="F367" s="27" t="n">
        <f aca="false">$B$18*(1+(B367+$B$17)/2)^9</f>
        <v>8914.41290160159</v>
      </c>
      <c r="G367" s="27" t="n">
        <f aca="false">F367*C367</f>
        <v>1848.2309938263</v>
      </c>
      <c r="H367" s="27" t="n">
        <f aca="false">E367*G367/(1+D367)^9</f>
        <v>7898.31119914514</v>
      </c>
      <c r="I367" s="27" t="n">
        <f aca="false">$B$13*G367/$B$12*((1+$B$8)/(1+D367))^4.5</f>
        <v>2848.17977665337</v>
      </c>
      <c r="J367" s="27" t="n">
        <f aca="false">H367+I367+$B$14</f>
        <v>12832.8898538807</v>
      </c>
      <c r="K367" s="45" t="n">
        <f aca="false">J367/$B$15</f>
        <v>20.3696664347313</v>
      </c>
    </row>
    <row r="368" customFormat="false" ht="15" hidden="false" customHeight="true" outlineLevel="0" collapsed="false">
      <c r="A368" s="74" t="n">
        <v>328</v>
      </c>
      <c r="B368" s="22" t="n">
        <f aca="true">NORMINV(RAND(),$B$6,$C$6)</f>
        <v>0.172047642326697</v>
      </c>
      <c r="C368" s="22" t="n">
        <f aca="true">MAX(0.03,NORMINV(RAND(),$B$7,$C$7))</f>
        <v>0.253151514731048</v>
      </c>
      <c r="D368" s="34" t="n">
        <f aca="true">MAX(0.08,NORMINV(RAND(),$B$8,$C$8))</f>
        <v>0.138319064775176</v>
      </c>
      <c r="E368" s="70" t="n">
        <f aca="true">MAX(4,NORMINV(RAND(),$B$9,$C$9))</f>
        <v>12.1743124896541</v>
      </c>
      <c r="F368" s="27" t="n">
        <f aca="false">$B$18*(1+(B368+$B$17)/2)^9</f>
        <v>7147.37981748052</v>
      </c>
      <c r="G368" s="27" t="n">
        <f aca="false">F368*C368</f>
        <v>1809.37002715331</v>
      </c>
      <c r="H368" s="27" t="n">
        <f aca="false">E368*G368/(1+D368)^9</f>
        <v>6864.29201806627</v>
      </c>
      <c r="I368" s="27" t="n">
        <f aca="false">$B$13*G368/$B$12*((1+$B$8)/(1+D368))^4.5</f>
        <v>2730.33997174151</v>
      </c>
      <c r="J368" s="27" t="n">
        <f aca="false">H368+I368+$B$14</f>
        <v>11681.03086789</v>
      </c>
      <c r="K368" s="45" t="n">
        <f aca="false">J368/$B$15</f>
        <v>18.5413188379206</v>
      </c>
    </row>
    <row r="369" customFormat="false" ht="15" hidden="false" customHeight="true" outlineLevel="0" collapsed="false">
      <c r="A369" s="74" t="n">
        <v>329</v>
      </c>
      <c r="B369" s="22" t="n">
        <f aca="true">NORMINV(RAND(),$B$6,$C$6)</f>
        <v>0.284842448443881</v>
      </c>
      <c r="C369" s="22" t="n">
        <f aca="true">MAX(0.03,NORMINV(RAND(),$B$7,$C$7))</f>
        <v>0.18769786894602</v>
      </c>
      <c r="D369" s="34" t="n">
        <f aca="true">MAX(0.08,NORMINV(RAND(),$B$8,$C$8))</f>
        <v>0.122189771398001</v>
      </c>
      <c r="E369" s="70" t="n">
        <f aca="true">MAX(4,NORMINV(RAND(),$B$9,$C$9))</f>
        <v>10.8085590979888</v>
      </c>
      <c r="F369" s="27" t="n">
        <f aca="false">$B$18*(1+(B369+$B$17)/2)^9</f>
        <v>11160.5292017702</v>
      </c>
      <c r="G369" s="27" t="n">
        <f aca="false">F369*C369</f>
        <v>2094.80754748209</v>
      </c>
      <c r="H369" s="27" t="n">
        <f aca="false">E369*G369/(1+D369)^9</f>
        <v>8022.60073160358</v>
      </c>
      <c r="I369" s="27" t="n">
        <f aca="false">$B$13*G369/$B$12*((1+$B$8)/(1+D369))^4.5</f>
        <v>3370.72352407972</v>
      </c>
      <c r="J369" s="27" t="n">
        <f aca="false">H369+I369+$B$14</f>
        <v>13479.7231337655</v>
      </c>
      <c r="K369" s="45" t="n">
        <f aca="false">J369/$B$15</f>
        <v>21.3963859266119</v>
      </c>
    </row>
    <row r="370" customFormat="false" ht="15" hidden="false" customHeight="true" outlineLevel="0" collapsed="false">
      <c r="A370" s="74" t="n">
        <v>330</v>
      </c>
      <c r="B370" s="22" t="n">
        <f aca="true">NORMINV(RAND(),$B$6,$C$6)</f>
        <v>0.223148455664189</v>
      </c>
      <c r="C370" s="22" t="n">
        <f aca="true">MAX(0.03,NORMINV(RAND(),$B$7,$C$7))</f>
        <v>0.16388178618921</v>
      </c>
      <c r="D370" s="34" t="n">
        <f aca="true">MAX(0.08,NORMINV(RAND(),$B$8,$C$8))</f>
        <v>0.149544180689067</v>
      </c>
      <c r="E370" s="70" t="n">
        <f aca="true">MAX(4,NORMINV(RAND(),$B$9,$C$9))</f>
        <v>12.7474324533093</v>
      </c>
      <c r="F370" s="27" t="n">
        <f aca="false">$B$18*(1+(B370+$B$17)/2)^9</f>
        <v>8770.34671116159</v>
      </c>
      <c r="G370" s="27" t="n">
        <f aca="false">F370*C370</f>
        <v>1437.30008452382</v>
      </c>
      <c r="H370" s="27" t="n">
        <f aca="false">E370*G370/(1+D370)^9</f>
        <v>5226.83950801686</v>
      </c>
      <c r="I370" s="27" t="n">
        <f aca="false">$B$13*G370/$B$12*((1+$B$8)/(1+D370))^4.5</f>
        <v>2075.19698020667</v>
      </c>
      <c r="J370" s="27" t="n">
        <f aca="false">H370+I370+$B$14</f>
        <v>9388.43536630572</v>
      </c>
      <c r="K370" s="45" t="n">
        <f aca="false">J370/$B$15</f>
        <v>14.9022783592154</v>
      </c>
    </row>
    <row r="371" customFormat="false" ht="15" hidden="false" customHeight="true" outlineLevel="0" collapsed="false">
      <c r="A371" s="74" t="n">
        <v>331</v>
      </c>
      <c r="B371" s="22" t="n">
        <f aca="true">NORMINV(RAND(),$B$6,$C$6)</f>
        <v>0.279011466559826</v>
      </c>
      <c r="C371" s="22" t="n">
        <f aca="true">MAX(0.03,NORMINV(RAND(),$B$7,$C$7))</f>
        <v>0.206537644022032</v>
      </c>
      <c r="D371" s="34" t="n">
        <f aca="true">MAX(0.08,NORMINV(RAND(),$B$8,$C$8))</f>
        <v>0.123211186505484</v>
      </c>
      <c r="E371" s="70" t="n">
        <f aca="true">MAX(4,NORMINV(RAND(),$B$9,$C$9))</f>
        <v>14.8311278785542</v>
      </c>
      <c r="F371" s="27" t="n">
        <f aca="false">$B$18*(1+(B371+$B$17)/2)^9</f>
        <v>10912.1720639675</v>
      </c>
      <c r="G371" s="27" t="n">
        <f aca="false">F371*C371</f>
        <v>2253.77430925488</v>
      </c>
      <c r="H371" s="27" t="n">
        <f aca="false">E371*G371/(1+D371)^9</f>
        <v>11747.1312882366</v>
      </c>
      <c r="I371" s="27" t="n">
        <f aca="false">$B$13*G371/$B$12*((1+$B$8)/(1+D371))^4.5</f>
        <v>3611.69786013608</v>
      </c>
      <c r="J371" s="27" t="n">
        <f aca="false">H371+I371+$B$14</f>
        <v>17445.2280264549</v>
      </c>
      <c r="K371" s="45" t="n">
        <f aca="false">J371/$B$15</f>
        <v>27.69083813723</v>
      </c>
    </row>
    <row r="372" customFormat="false" ht="15" hidden="false" customHeight="true" outlineLevel="0" collapsed="false">
      <c r="A372" s="74" t="n">
        <v>332</v>
      </c>
      <c r="B372" s="22" t="n">
        <f aca="true">NORMINV(RAND(),$B$6,$C$6)</f>
        <v>0.149319145803618</v>
      </c>
      <c r="C372" s="22" t="n">
        <f aca="true">MAX(0.03,NORMINV(RAND(),$B$7,$C$7))</f>
        <v>0.208468938759425</v>
      </c>
      <c r="D372" s="34" t="n">
        <f aca="true">MAX(0.08,NORMINV(RAND(),$B$8,$C$8))</f>
        <v>0.144105120003776</v>
      </c>
      <c r="E372" s="70" t="n">
        <f aca="true">MAX(4,NORMINV(RAND(),$B$9,$C$9))</f>
        <v>12.3159297092418</v>
      </c>
      <c r="F372" s="27" t="n">
        <f aca="false">$B$18*(1+(B372+$B$17)/2)^9</f>
        <v>6515.69668511812</v>
      </c>
      <c r="G372" s="27" t="n">
        <f aca="false">F372*C372</f>
        <v>1358.32037322488</v>
      </c>
      <c r="H372" s="27" t="n">
        <f aca="false">E372*G372/(1+D372)^9</f>
        <v>4980.53566202268</v>
      </c>
      <c r="I372" s="27" t="n">
        <f aca="false">$B$13*G372/$B$12*((1+$B$8)/(1+D372))^4.5</f>
        <v>2003.47031478421</v>
      </c>
      <c r="J372" s="27" t="n">
        <f aca="false">H372+I372+$B$14</f>
        <v>9070.40485488909</v>
      </c>
      <c r="K372" s="45" t="n">
        <f aca="false">J372/$B$15</f>
        <v>14.3974680236335</v>
      </c>
    </row>
    <row r="373" customFormat="false" ht="15" hidden="false" customHeight="true" outlineLevel="0" collapsed="false">
      <c r="A373" s="74" t="n">
        <v>333</v>
      </c>
      <c r="B373" s="22" t="n">
        <f aca="true">NORMINV(RAND(),$B$6,$C$6)</f>
        <v>0.208246345742971</v>
      </c>
      <c r="C373" s="22" t="n">
        <f aca="true">MAX(0.03,NORMINV(RAND(),$B$7,$C$7))</f>
        <v>0.145722651363532</v>
      </c>
      <c r="D373" s="34" t="n">
        <f aca="true">MAX(0.08,NORMINV(RAND(),$B$8,$C$8))</f>
        <v>0.131438336339554</v>
      </c>
      <c r="E373" s="70" t="n">
        <f aca="true">MAX(4,NORMINV(RAND(),$B$9,$C$9))</f>
        <v>9.53130689615041</v>
      </c>
      <c r="F373" s="27" t="n">
        <f aca="false">$B$18*(1+(B373+$B$17)/2)^9</f>
        <v>8266.24760795435</v>
      </c>
      <c r="G373" s="27" t="n">
        <f aca="false">F373*C373</f>
        <v>1204.57951825856</v>
      </c>
      <c r="H373" s="27" t="n">
        <f aca="false">E373*G373/(1+D373)^9</f>
        <v>3778.4172905005</v>
      </c>
      <c r="I373" s="27" t="n">
        <f aca="false">$B$13*G373/$B$12*((1+$B$8)/(1+D373))^4.5</f>
        <v>1867.98699701266</v>
      </c>
      <c r="J373" s="27" t="n">
        <f aca="false">H373+I373+$B$14</f>
        <v>7732.80316559535</v>
      </c>
      <c r="K373" s="45" t="n">
        <f aca="false">J373/$B$15</f>
        <v>12.2742907390402</v>
      </c>
    </row>
    <row r="374" customFormat="false" ht="15" hidden="false" customHeight="true" outlineLevel="0" collapsed="false">
      <c r="A374" s="74" t="n">
        <v>334</v>
      </c>
      <c r="B374" s="22" t="n">
        <f aca="true">NORMINV(RAND(),$B$6,$C$6)</f>
        <v>0.173599234421527</v>
      </c>
      <c r="C374" s="22" t="n">
        <f aca="true">MAX(0.03,NORMINV(RAND(),$B$7,$C$7))</f>
        <v>0.159112938552782</v>
      </c>
      <c r="D374" s="34" t="n">
        <f aca="true">MAX(0.08,NORMINV(RAND(),$B$8,$C$8))</f>
        <v>0.138603506950775</v>
      </c>
      <c r="E374" s="70" t="n">
        <f aca="true">MAX(4,NORMINV(RAND(),$B$9,$C$9))</f>
        <v>13.2484962436693</v>
      </c>
      <c r="F374" s="27" t="n">
        <f aca="false">$B$18*(1+(B374+$B$17)/2)^9</f>
        <v>7192.42277166648</v>
      </c>
      <c r="G374" s="27" t="n">
        <f aca="false">F374*C374</f>
        <v>1144.4075225138</v>
      </c>
      <c r="H374" s="27" t="n">
        <f aca="false">E374*G374/(1+D374)^9</f>
        <v>4714.05490741047</v>
      </c>
      <c r="I374" s="27" t="n">
        <f aca="false">$B$13*G374/$B$12*((1+$B$8)/(1+D374))^4.5</f>
        <v>1724.97082915543</v>
      </c>
      <c r="J374" s="27" t="n">
        <f aca="false">H374+I374+$B$14</f>
        <v>8525.42461464809</v>
      </c>
      <c r="K374" s="45" t="n">
        <f aca="false">J374/$B$15</f>
        <v>13.5324200232509</v>
      </c>
    </row>
    <row r="375" customFormat="false" ht="15" hidden="false" customHeight="true" outlineLevel="0" collapsed="false">
      <c r="A375" s="74" t="n">
        <v>335</v>
      </c>
      <c r="B375" s="22" t="n">
        <f aca="true">NORMINV(RAND(),$B$6,$C$6)</f>
        <v>0.29901000032574</v>
      </c>
      <c r="C375" s="22" t="n">
        <f aca="true">MAX(0.03,NORMINV(RAND(),$B$7,$C$7))</f>
        <v>0.258478397766516</v>
      </c>
      <c r="D375" s="34" t="n">
        <f aca="true">MAX(0.08,NORMINV(RAND(),$B$8,$C$8))</f>
        <v>0.121708734734948</v>
      </c>
      <c r="E375" s="70" t="n">
        <f aca="true">MAX(4,NORMINV(RAND(),$B$9,$C$9))</f>
        <v>10.8673104585799</v>
      </c>
      <c r="F375" s="27" t="n">
        <f aca="false">$B$18*(1+(B375+$B$17)/2)^9</f>
        <v>11785.0208699212</v>
      </c>
      <c r="G375" s="27" t="n">
        <f aca="false">F375*C375</f>
        <v>3046.17331210219</v>
      </c>
      <c r="H375" s="27" t="n">
        <f aca="false">E375*G375/(1+D375)^9</f>
        <v>11774.8604153922</v>
      </c>
      <c r="I375" s="27" t="n">
        <f aca="false">$B$13*G375/$B$12*((1+$B$8)/(1+D375))^4.5</f>
        <v>4911.01803959176</v>
      </c>
      <c r="J375" s="27" t="n">
        <f aca="false">H375+I375+$B$14</f>
        <v>18772.2773330661</v>
      </c>
      <c r="K375" s="45" t="n">
        <f aca="false">J375/$B$15</f>
        <v>29.7972656080415</v>
      </c>
    </row>
    <row r="376" customFormat="false" ht="15" hidden="false" customHeight="true" outlineLevel="0" collapsed="false">
      <c r="A376" s="74" t="n">
        <v>336</v>
      </c>
      <c r="B376" s="22" t="n">
        <f aca="true">NORMINV(RAND(),$B$6,$C$6)</f>
        <v>0.191835355144789</v>
      </c>
      <c r="C376" s="22" t="n">
        <f aca="true">MAX(0.03,NORMINV(RAND(),$B$7,$C$7))</f>
        <v>0.207478237627181</v>
      </c>
      <c r="D376" s="34" t="n">
        <f aca="true">MAX(0.08,NORMINV(RAND(),$B$8,$C$8))</f>
        <v>0.133660694566523</v>
      </c>
      <c r="E376" s="70" t="n">
        <f aca="true">MAX(4,NORMINV(RAND(),$B$9,$C$9))</f>
        <v>13.4357617015803</v>
      </c>
      <c r="F376" s="27" t="n">
        <f aca="false">$B$18*(1+(B376+$B$17)/2)^9</f>
        <v>7741.05210335283</v>
      </c>
      <c r="G376" s="27" t="n">
        <f aca="false">F376*C376</f>
        <v>1606.09984778383</v>
      </c>
      <c r="H376" s="27" t="n">
        <f aca="false">E376*G376/(1+D376)^9</f>
        <v>6977.29409792408</v>
      </c>
      <c r="I376" s="27" t="n">
        <f aca="false">$B$13*G376/$B$12*((1+$B$8)/(1+D376))^4.5</f>
        <v>2468.74377066443</v>
      </c>
      <c r="J376" s="27" t="n">
        <f aca="false">H376+I376+$B$14</f>
        <v>11532.4367466707</v>
      </c>
      <c r="K376" s="45" t="n">
        <f aca="false">J376/$B$15</f>
        <v>18.3054551534456</v>
      </c>
    </row>
    <row r="377" customFormat="false" ht="15" hidden="false" customHeight="true" outlineLevel="0" collapsed="false">
      <c r="A377" s="74" t="n">
        <v>337</v>
      </c>
      <c r="B377" s="22" t="n">
        <f aca="true">NORMINV(RAND(),$B$6,$C$6)</f>
        <v>0.249326567309897</v>
      </c>
      <c r="C377" s="22" t="n">
        <f aca="true">MAX(0.03,NORMINV(RAND(),$B$7,$C$7))</f>
        <v>0.223235502667982</v>
      </c>
      <c r="D377" s="34" t="n">
        <f aca="true">MAX(0.08,NORMINV(RAND(),$B$8,$C$8))</f>
        <v>0.145587202205947</v>
      </c>
      <c r="E377" s="70" t="n">
        <f aca="true">MAX(4,NORMINV(RAND(),$B$9,$C$9))</f>
        <v>10.874730262271</v>
      </c>
      <c r="F377" s="27" t="n">
        <f aca="false">$B$18*(1+(B377+$B$17)/2)^9</f>
        <v>9722.37752598414</v>
      </c>
      <c r="G377" s="27" t="n">
        <f aca="false">F377*C377</f>
        <v>2170.37983414096</v>
      </c>
      <c r="H377" s="27" t="n">
        <f aca="false">E377*G377/(1+D377)^9</f>
        <v>6945.45751606477</v>
      </c>
      <c r="I377" s="27" t="n">
        <f aca="false">$B$13*G377/$B$12*((1+$B$8)/(1+D377))^4.5</f>
        <v>3182.63206483522</v>
      </c>
      <c r="J377" s="27" t="n">
        <f aca="false">H377+I377+$B$14</f>
        <v>12214.4884589822</v>
      </c>
      <c r="K377" s="45" t="n">
        <f aca="false">J377/$B$15</f>
        <v>19.3880769190193</v>
      </c>
    </row>
    <row r="378" customFormat="false" ht="15" hidden="false" customHeight="true" outlineLevel="0" collapsed="false">
      <c r="A378" s="74" t="n">
        <v>338</v>
      </c>
      <c r="B378" s="22" t="n">
        <f aca="true">NORMINV(RAND(),$B$6,$C$6)</f>
        <v>0.287437502793014</v>
      </c>
      <c r="C378" s="22" t="n">
        <f aca="true">MAX(0.03,NORMINV(RAND(),$B$7,$C$7))</f>
        <v>0.186604756012531</v>
      </c>
      <c r="D378" s="34" t="n">
        <f aca="true">MAX(0.08,NORMINV(RAND(),$B$8,$C$8))</f>
        <v>0.140102001776827</v>
      </c>
      <c r="E378" s="70" t="n">
        <f aca="true">MAX(4,NORMINV(RAND(),$B$9,$C$9))</f>
        <v>17.0146127126623</v>
      </c>
      <c r="F378" s="27" t="n">
        <f aca="false">$B$18*(1+(B378+$B$17)/2)^9</f>
        <v>11272.6658758358</v>
      </c>
      <c r="G378" s="27" t="n">
        <f aca="false">F378*C378</f>
        <v>2103.53306537111</v>
      </c>
      <c r="H378" s="27" t="n">
        <f aca="false">E378*G378/(1+D378)^9</f>
        <v>10997.0965338774</v>
      </c>
      <c r="I378" s="27" t="n">
        <f aca="false">$B$13*G378/$B$12*((1+$B$8)/(1+D378))^4.5</f>
        <v>3151.95518857852</v>
      </c>
      <c r="J378" s="27" t="n">
        <f aca="false">H378+I378+$B$14</f>
        <v>16235.4506005381</v>
      </c>
      <c r="K378" s="45" t="n">
        <f aca="false">J378/$B$15</f>
        <v>25.7705565087906</v>
      </c>
    </row>
    <row r="379" customFormat="false" ht="15" hidden="false" customHeight="true" outlineLevel="0" collapsed="false">
      <c r="A379" s="74" t="n">
        <v>339</v>
      </c>
      <c r="B379" s="22" t="n">
        <f aca="true">NORMINV(RAND(),$B$6,$C$6)</f>
        <v>0.173252325254364</v>
      </c>
      <c r="C379" s="22" t="n">
        <f aca="true">MAX(0.03,NORMINV(RAND(),$B$7,$C$7))</f>
        <v>0.23217627617598</v>
      </c>
      <c r="D379" s="34" t="n">
        <f aca="true">MAX(0.08,NORMINV(RAND(),$B$8,$C$8))</f>
        <v>0.144905770543815</v>
      </c>
      <c r="E379" s="70" t="n">
        <f aca="true">MAX(4,NORMINV(RAND(),$B$9,$C$9))</f>
        <v>8.89117905422073</v>
      </c>
      <c r="F379" s="27" t="n">
        <f aca="false">$B$18*(1+(B379+$B$17)/2)^9</f>
        <v>7182.33010406814</v>
      </c>
      <c r="G379" s="27" t="n">
        <f aca="false">F379*C379</f>
        <v>1667.56665782918</v>
      </c>
      <c r="H379" s="27" t="n">
        <f aca="false">E379*G379/(1+D379)^9</f>
        <v>4386.46694136908</v>
      </c>
      <c r="I379" s="27" t="n">
        <f aca="false">$B$13*G379/$B$12*((1+$B$8)/(1+D379))^4.5</f>
        <v>2451.86600383582</v>
      </c>
      <c r="J379" s="27" t="n">
        <f aca="false">H379+I379+$B$14</f>
        <v>8924.73182328709</v>
      </c>
      <c r="K379" s="45" t="n">
        <f aca="false">J379/$B$15</f>
        <v>14.1662409893446</v>
      </c>
    </row>
    <row r="380" customFormat="false" ht="15" hidden="false" customHeight="true" outlineLevel="0" collapsed="false">
      <c r="A380" s="74" t="n">
        <v>340</v>
      </c>
      <c r="B380" s="22" t="n">
        <f aca="true">NORMINV(RAND(),$B$6,$C$6)</f>
        <v>0.228662665102655</v>
      </c>
      <c r="C380" s="22" t="n">
        <f aca="true">MAX(0.03,NORMINV(RAND(),$B$7,$C$7))</f>
        <v>0.21968692034239</v>
      </c>
      <c r="D380" s="34" t="n">
        <f aca="true">MAX(0.08,NORMINV(RAND(),$B$8,$C$8))</f>
        <v>0.119068224313129</v>
      </c>
      <c r="E380" s="70" t="n">
        <f aca="true">MAX(4,NORMINV(RAND(),$B$9,$C$9))</f>
        <v>14.4483747571268</v>
      </c>
      <c r="F380" s="27" t="n">
        <f aca="false">$B$18*(1+(B380+$B$17)/2)^9</f>
        <v>8963.6913682123</v>
      </c>
      <c r="G380" s="27" t="n">
        <f aca="false">F380*C380</f>
        <v>1969.20575158223</v>
      </c>
      <c r="H380" s="27" t="n">
        <f aca="false">E380*G380/(1+D380)^9</f>
        <v>10337.1546892089</v>
      </c>
      <c r="I380" s="27" t="n">
        <f aca="false">$B$13*G380/$B$12*((1+$B$8)/(1+D380))^4.5</f>
        <v>3208.58785209061</v>
      </c>
      <c r="J380" s="27" t="n">
        <f aca="false">H380+I380+$B$14</f>
        <v>15632.1414193817</v>
      </c>
      <c r="K380" s="45" t="n">
        <f aca="false">J380/$B$15</f>
        <v>24.8129228879075</v>
      </c>
    </row>
    <row r="381" customFormat="false" ht="15" hidden="false" customHeight="true" outlineLevel="0" collapsed="false">
      <c r="A381" s="74" t="n">
        <v>341</v>
      </c>
      <c r="B381" s="22" t="n">
        <f aca="true">NORMINV(RAND(),$B$6,$C$6)</f>
        <v>0.229873068475232</v>
      </c>
      <c r="C381" s="22" t="n">
        <f aca="true">MAX(0.03,NORMINV(RAND(),$B$7,$C$7))</f>
        <v>0.217338090543402</v>
      </c>
      <c r="D381" s="34" t="n">
        <f aca="true">MAX(0.08,NORMINV(RAND(),$B$8,$C$8))</f>
        <v>0.13154496976163</v>
      </c>
      <c r="E381" s="70" t="n">
        <f aca="true">MAX(4,NORMINV(RAND(),$B$9,$C$9))</f>
        <v>7.00307104230214</v>
      </c>
      <c r="F381" s="27" t="n">
        <f aca="false">$B$18*(1+(B381+$B$17)/2)^9</f>
        <v>9006.6353616596</v>
      </c>
      <c r="G381" s="27" t="n">
        <f aca="false">F381*C381</f>
        <v>1957.48493172378</v>
      </c>
      <c r="H381" s="27" t="n">
        <f aca="false">E381*G381/(1+D381)^9</f>
        <v>4507.5504350202</v>
      </c>
      <c r="I381" s="27" t="n">
        <f aca="false">$B$13*G381/$B$12*((1+$B$8)/(1+D381))^4.5</f>
        <v>3034.25882331597</v>
      </c>
      <c r="J381" s="27" t="n">
        <f aca="false">H381+I381+$B$14</f>
        <v>9628.20813641836</v>
      </c>
      <c r="K381" s="45" t="n">
        <f aca="false">J381/$B$15</f>
        <v>15.2828700578069</v>
      </c>
    </row>
    <row r="382" customFormat="false" ht="15" hidden="false" customHeight="true" outlineLevel="0" collapsed="false">
      <c r="A382" s="74" t="n">
        <v>342</v>
      </c>
      <c r="B382" s="22" t="n">
        <f aca="true">NORMINV(RAND(),$B$6,$C$6)</f>
        <v>0.199333605230667</v>
      </c>
      <c r="C382" s="22" t="n">
        <f aca="true">MAX(0.03,NORMINV(RAND(),$B$7,$C$7))</f>
        <v>0.213691308280864</v>
      </c>
      <c r="D382" s="34" t="n">
        <f aca="true">MAX(0.08,NORMINV(RAND(),$B$8,$C$8))</f>
        <v>0.120895842489144</v>
      </c>
      <c r="E382" s="70" t="n">
        <f aca="true">MAX(4,NORMINV(RAND(),$B$9,$C$9))</f>
        <v>12.4131528405373</v>
      </c>
      <c r="F382" s="27" t="n">
        <f aca="false">$B$18*(1+(B382+$B$17)/2)^9</f>
        <v>7977.21707279399</v>
      </c>
      <c r="G382" s="27" t="n">
        <f aca="false">F382*C382</f>
        <v>1704.66195272579</v>
      </c>
      <c r="H382" s="27" t="n">
        <f aca="false">E382*G382/(1+D382)^9</f>
        <v>7575.87928345855</v>
      </c>
      <c r="I382" s="27" t="n">
        <f aca="false">$B$13*G382/$B$12*((1+$B$8)/(1+D382))^4.5</f>
        <v>2757.22357938615</v>
      </c>
      <c r="J382" s="27" t="n">
        <f aca="false">H382+I382+$B$14</f>
        <v>12419.5017409269</v>
      </c>
      <c r="K382" s="45" t="n">
        <f aca="false">J382/$B$15</f>
        <v>19.7134948268681</v>
      </c>
    </row>
    <row r="383" customFormat="false" ht="15" hidden="false" customHeight="true" outlineLevel="0" collapsed="false">
      <c r="A383" s="74" t="n">
        <v>343</v>
      </c>
      <c r="B383" s="22" t="n">
        <f aca="true">NORMINV(RAND(),$B$6,$C$6)</f>
        <v>0.218728062254672</v>
      </c>
      <c r="C383" s="22" t="n">
        <f aca="true">MAX(0.03,NORMINV(RAND(),$B$7,$C$7))</f>
        <v>0.232234259901116</v>
      </c>
      <c r="D383" s="34" t="n">
        <f aca="true">MAX(0.08,NORMINV(RAND(),$B$8,$C$8))</f>
        <v>0.149873359053199</v>
      </c>
      <c r="E383" s="70" t="n">
        <f aca="true">MAX(4,NORMINV(RAND(),$B$9,$C$9))</f>
        <v>12.7703898670553</v>
      </c>
      <c r="F383" s="27" t="n">
        <f aca="false">$B$18*(1+(B383+$B$17)/2)^9</f>
        <v>8618.04090749863</v>
      </c>
      <c r="G383" s="27" t="n">
        <f aca="false">F383*C383</f>
        <v>2001.40435195049</v>
      </c>
      <c r="H383" s="27" t="n">
        <f aca="false">E383*G383/(1+D383)^9</f>
        <v>7272.5863577796</v>
      </c>
      <c r="I383" s="27" t="n">
        <f aca="false">$B$13*G383/$B$12*((1+$B$8)/(1+D383))^4.5</f>
        <v>2885.93910963634</v>
      </c>
      <c r="J383" s="27" t="n">
        <f aca="false">H383+I383+$B$14</f>
        <v>12244.9243454981</v>
      </c>
      <c r="K383" s="45" t="n">
        <f aca="false">J383/$B$15</f>
        <v>19.436387849997</v>
      </c>
    </row>
    <row r="384" customFormat="false" ht="15" hidden="false" customHeight="true" outlineLevel="0" collapsed="false">
      <c r="A384" s="74" t="n">
        <v>344</v>
      </c>
      <c r="B384" s="22" t="n">
        <f aca="true">NORMINV(RAND(),$B$6,$C$6)</f>
        <v>0.174516106478837</v>
      </c>
      <c r="C384" s="22" t="n">
        <f aca="true">MAX(0.03,NORMINV(RAND(),$B$7,$C$7))</f>
        <v>0.167335528301516</v>
      </c>
      <c r="D384" s="34" t="n">
        <f aca="true">MAX(0.08,NORMINV(RAND(),$B$8,$C$8))</f>
        <v>0.133299591778594</v>
      </c>
      <c r="E384" s="70" t="n">
        <f aca="true">MAX(4,NORMINV(RAND(),$B$9,$C$9))</f>
        <v>9.45642868734926</v>
      </c>
      <c r="F384" s="27" t="n">
        <f aca="false">$B$18*(1+(B384+$B$17)/2)^9</f>
        <v>7219.15815031277</v>
      </c>
      <c r="G384" s="27" t="n">
        <f aca="false">F384*C384</f>
        <v>1208.02164297478</v>
      </c>
      <c r="H384" s="27" t="n">
        <f aca="false">E384*G384/(1+D384)^9</f>
        <v>3704.24135522126</v>
      </c>
      <c r="I384" s="27" t="n">
        <f aca="false">$B$13*G384/$B$12*((1+$B$8)/(1+D384))^4.5</f>
        <v>1859.51976138747</v>
      </c>
      <c r="J384" s="27" t="n">
        <f aca="false">H384+I384+$B$14</f>
        <v>7650.15999469092</v>
      </c>
      <c r="K384" s="45" t="n">
        <f aca="false">J384/$B$15</f>
        <v>12.143111102684</v>
      </c>
    </row>
    <row r="385" customFormat="false" ht="15" hidden="false" customHeight="true" outlineLevel="0" collapsed="false">
      <c r="A385" s="74" t="n">
        <v>345</v>
      </c>
      <c r="B385" s="22" t="n">
        <f aca="true">NORMINV(RAND(),$B$6,$C$6)</f>
        <v>0.173006581916638</v>
      </c>
      <c r="C385" s="22" t="n">
        <f aca="true">MAX(0.03,NORMINV(RAND(),$B$7,$C$7))</f>
        <v>0.174379204351964</v>
      </c>
      <c r="D385" s="34" t="n">
        <f aca="true">MAX(0.08,NORMINV(RAND(),$B$8,$C$8))</f>
        <v>0.144340723857166</v>
      </c>
      <c r="E385" s="70" t="n">
        <f aca="true">MAX(4,NORMINV(RAND(),$B$9,$C$9))</f>
        <v>11.5762752996834</v>
      </c>
      <c r="F385" s="27" t="n">
        <f aca="false">$B$18*(1+(B385+$B$17)/2)^9</f>
        <v>7175.18828473436</v>
      </c>
      <c r="G385" s="27" t="n">
        <f aca="false">F385*C385</f>
        <v>1251.20362416751</v>
      </c>
      <c r="H385" s="27" t="n">
        <f aca="false">E385*G385/(1+D385)^9</f>
        <v>4304.26159691048</v>
      </c>
      <c r="I385" s="27" t="n">
        <f aca="false">$B$13*G385/$B$12*((1+$B$8)/(1+D385))^4.5</f>
        <v>1843.76803363291</v>
      </c>
      <c r="J385" s="27" t="n">
        <f aca="false">H385+I385+$B$14</f>
        <v>8234.42850862558</v>
      </c>
      <c r="K385" s="45" t="n">
        <f aca="false">J385/$B$15</f>
        <v>13.0705214422628</v>
      </c>
    </row>
    <row r="386" customFormat="false" ht="15" hidden="false" customHeight="true" outlineLevel="0" collapsed="false">
      <c r="A386" s="74" t="n">
        <v>346</v>
      </c>
      <c r="B386" s="22" t="n">
        <f aca="true">NORMINV(RAND(),$B$6,$C$6)</f>
        <v>0.179470945274016</v>
      </c>
      <c r="C386" s="22" t="n">
        <f aca="true">MAX(0.03,NORMINV(RAND(),$B$7,$C$7))</f>
        <v>0.193817498220431</v>
      </c>
      <c r="D386" s="34" t="n">
        <f aca="true">MAX(0.08,NORMINV(RAND(),$B$8,$C$8))</f>
        <v>0.114515521559754</v>
      </c>
      <c r="E386" s="70" t="n">
        <f aca="true">MAX(4,NORMINV(RAND(),$B$9,$C$9))</f>
        <v>8.67307549337583</v>
      </c>
      <c r="F386" s="27" t="n">
        <f aca="false">$B$18*(1+(B386+$B$17)/2)^9</f>
        <v>7365.17240493868</v>
      </c>
      <c r="G386" s="27" t="n">
        <f aca="false">F386*C386</f>
        <v>1427.49928948737</v>
      </c>
      <c r="H386" s="27" t="n">
        <f aca="false">E386*G386/(1+D386)^9</f>
        <v>4666.31375814197</v>
      </c>
      <c r="I386" s="27" t="n">
        <f aca="false">$B$13*G386/$B$12*((1+$B$8)/(1+D386))^4.5</f>
        <v>2369.00367183465</v>
      </c>
      <c r="J386" s="27" t="n">
        <f aca="false">H386+I386+$B$14</f>
        <v>9121.7163080588</v>
      </c>
      <c r="K386" s="45" t="n">
        <f aca="false">J386/$B$15</f>
        <v>14.4789147746965</v>
      </c>
    </row>
    <row r="387" customFormat="false" ht="15" hidden="false" customHeight="true" outlineLevel="0" collapsed="false">
      <c r="A387" s="74" t="n">
        <v>347</v>
      </c>
      <c r="B387" s="22" t="n">
        <f aca="true">NORMINV(RAND(),$B$6,$C$6)</f>
        <v>0.196609905494753</v>
      </c>
      <c r="C387" s="22" t="n">
        <f aca="true">MAX(0.03,NORMINV(RAND(),$B$7,$C$7))</f>
        <v>0.214524007919651</v>
      </c>
      <c r="D387" s="34" t="n">
        <f aca="true">MAX(0.08,NORMINV(RAND(),$B$8,$C$8))</f>
        <v>0.134973081015621</v>
      </c>
      <c r="E387" s="70" t="n">
        <f aca="true">MAX(4,NORMINV(RAND(),$B$9,$C$9))</f>
        <v>15.1553640207671</v>
      </c>
      <c r="F387" s="27" t="n">
        <f aca="false">$B$18*(1+(B387+$B$17)/2)^9</f>
        <v>7890.7010408123</v>
      </c>
      <c r="G387" s="27" t="n">
        <f aca="false">F387*C387</f>
        <v>1692.74481257082</v>
      </c>
      <c r="H387" s="27" t="n">
        <f aca="false">E387*G387/(1+D387)^9</f>
        <v>8208.95383447655</v>
      </c>
      <c r="I387" s="27" t="n">
        <f aca="false">$B$13*G387/$B$12*((1+$B$8)/(1+D387))^4.5</f>
        <v>2588.41462278712</v>
      </c>
      <c r="J387" s="27" t="n">
        <f aca="false">H387+I387+$B$14</f>
        <v>12883.7673353459</v>
      </c>
      <c r="K387" s="45" t="n">
        <f aca="false">J387/$B$15</f>
        <v>20.4504243418188</v>
      </c>
    </row>
    <row r="388" customFormat="false" ht="15" hidden="false" customHeight="true" outlineLevel="0" collapsed="false">
      <c r="A388" s="74" t="n">
        <v>348</v>
      </c>
      <c r="B388" s="22" t="n">
        <f aca="true">NORMINV(RAND(),$B$6,$C$6)</f>
        <v>0.17073259159282</v>
      </c>
      <c r="C388" s="22" t="n">
        <f aca="true">MAX(0.03,NORMINV(RAND(),$B$7,$C$7))</f>
        <v>0.181527362985698</v>
      </c>
      <c r="D388" s="34" t="n">
        <f aca="true">MAX(0.08,NORMINV(RAND(),$B$8,$C$8))</f>
        <v>0.147978860339383</v>
      </c>
      <c r="E388" s="70" t="n">
        <f aca="true">MAX(4,NORMINV(RAND(),$B$9,$C$9))</f>
        <v>13.8833534956065</v>
      </c>
      <c r="F388" s="27" t="n">
        <f aca="false">$B$18*(1+(B388+$B$17)/2)^9</f>
        <v>7109.40019704612</v>
      </c>
      <c r="G388" s="27" t="n">
        <f aca="false">F388*C388</f>
        <v>1290.55067017978</v>
      </c>
      <c r="H388" s="27" t="n">
        <f aca="false">E388*G388/(1+D388)^9</f>
        <v>5174.45275172485</v>
      </c>
      <c r="I388" s="27" t="n">
        <f aca="false">$B$13*G388/$B$12*((1+$B$8)/(1+D388))^4.5</f>
        <v>1874.77835447063</v>
      </c>
      <c r="J388" s="27" t="n">
        <f aca="false">H388+I388+$B$14</f>
        <v>9135.62998427767</v>
      </c>
      <c r="K388" s="45" t="n">
        <f aca="false">J388/$B$15</f>
        <v>14.5009999750439</v>
      </c>
    </row>
    <row r="389" customFormat="false" ht="15" hidden="false" customHeight="true" outlineLevel="0" collapsed="false">
      <c r="A389" s="74" t="n">
        <v>349</v>
      </c>
      <c r="B389" s="22" t="n">
        <f aca="true">NORMINV(RAND(),$B$6,$C$6)</f>
        <v>0.175434419629072</v>
      </c>
      <c r="C389" s="22" t="n">
        <f aca="true">MAX(0.03,NORMINV(RAND(),$B$7,$C$7))</f>
        <v>0.225128318567323</v>
      </c>
      <c r="D389" s="34" t="n">
        <f aca="true">MAX(0.08,NORMINV(RAND(),$B$8,$C$8))</f>
        <v>0.119803414989652</v>
      </c>
      <c r="E389" s="70" t="n">
        <f aca="true">MAX(4,NORMINV(RAND(),$B$9,$C$9))</f>
        <v>12.3564897209771</v>
      </c>
      <c r="F389" s="27" t="n">
        <f aca="false">$B$18*(1+(B389+$B$17)/2)^9</f>
        <v>7246.02405970365</v>
      </c>
      <c r="G389" s="27" t="n">
        <f aca="false">F389*C389</f>
        <v>1631.28521285945</v>
      </c>
      <c r="H389" s="27" t="n">
        <f aca="false">E389*G389/(1+D389)^9</f>
        <v>7280.29409228515</v>
      </c>
      <c r="I389" s="27" t="n">
        <f aca="false">$B$13*G389/$B$12*((1+$B$8)/(1+D389))^4.5</f>
        <v>2650.14254086575</v>
      </c>
      <c r="J389" s="27" t="n">
        <f aca="false">H389+I389+$B$14</f>
        <v>12016.8355112331</v>
      </c>
      <c r="K389" s="45" t="n">
        <f aca="false">J389/$B$15</f>
        <v>19.0743420813224</v>
      </c>
    </row>
    <row r="390" customFormat="false" ht="15" hidden="false" customHeight="true" outlineLevel="0" collapsed="false">
      <c r="A390" s="74" t="n">
        <v>350</v>
      </c>
      <c r="B390" s="22" t="n">
        <f aca="true">NORMINV(RAND(),$B$6,$C$6)</f>
        <v>0.158027372920688</v>
      </c>
      <c r="C390" s="22" t="n">
        <f aca="true">MAX(0.03,NORMINV(RAND(),$B$7,$C$7))</f>
        <v>0.197509640243757</v>
      </c>
      <c r="D390" s="34" t="n">
        <f aca="true">MAX(0.08,NORMINV(RAND(),$B$8,$C$8))</f>
        <v>0.130240192995865</v>
      </c>
      <c r="E390" s="70" t="n">
        <f aca="true">MAX(4,NORMINV(RAND(),$B$9,$C$9))</f>
        <v>14.3966573564737</v>
      </c>
      <c r="F390" s="27" t="n">
        <f aca="false">$B$18*(1+(B390+$B$17)/2)^9</f>
        <v>6751.59903084649</v>
      </c>
      <c r="G390" s="27" t="n">
        <f aca="false">F390*C390</f>
        <v>1333.50589565259</v>
      </c>
      <c r="H390" s="27" t="n">
        <f aca="false">E390*G390/(1+D390)^9</f>
        <v>6378.5194202999</v>
      </c>
      <c r="I390" s="27" t="n">
        <f aca="false">$B$13*G390/$B$12*((1+$B$8)/(1+D390))^4.5</f>
        <v>2077.80102042822</v>
      </c>
      <c r="J390" s="27" t="n">
        <f aca="false">H390+I390+$B$14</f>
        <v>10542.7193188103</v>
      </c>
      <c r="K390" s="45" t="n">
        <f aca="false">J390/$B$15</f>
        <v>16.7344751092227</v>
      </c>
    </row>
    <row r="391" customFormat="false" ht="15" hidden="false" customHeight="true" outlineLevel="0" collapsed="false">
      <c r="A391" s="74" t="n">
        <v>351</v>
      </c>
      <c r="B391" s="22" t="n">
        <f aca="true">NORMINV(RAND(),$B$6,$C$6)</f>
        <v>0.239969774309739</v>
      </c>
      <c r="C391" s="22" t="n">
        <f aca="true">MAX(0.03,NORMINV(RAND(),$B$7,$C$7))</f>
        <v>0.209277178627892</v>
      </c>
      <c r="D391" s="34" t="n">
        <f aca="true">MAX(0.08,NORMINV(RAND(),$B$8,$C$8))</f>
        <v>0.142648149180434</v>
      </c>
      <c r="E391" s="70" t="n">
        <f aca="true">MAX(4,NORMINV(RAND(),$B$9,$C$9))</f>
        <v>13.2749431034637</v>
      </c>
      <c r="F391" s="27" t="n">
        <f aca="false">$B$18*(1+(B391+$B$17)/2)^9</f>
        <v>9372.04392277499</v>
      </c>
      <c r="G391" s="27" t="n">
        <f aca="false">F391*C391</f>
        <v>1961.35491013503</v>
      </c>
      <c r="H391" s="27" t="n">
        <f aca="false">E391*G391/(1+D391)^9</f>
        <v>7841.08516207348</v>
      </c>
      <c r="I391" s="27" t="n">
        <f aca="false">$B$13*G391/$B$12*((1+$B$8)/(1+D391))^4.5</f>
        <v>2909.5593671195</v>
      </c>
      <c r="J391" s="27" t="n">
        <f aca="false">H391+I391+$B$14</f>
        <v>12837.0434072752</v>
      </c>
      <c r="K391" s="45" t="n">
        <f aca="false">J391/$B$15</f>
        <v>20.3762593766273</v>
      </c>
    </row>
    <row r="392" customFormat="false" ht="15" hidden="false" customHeight="true" outlineLevel="0" collapsed="false">
      <c r="A392" s="74" t="n">
        <v>352</v>
      </c>
      <c r="B392" s="22" t="n">
        <f aca="true">NORMINV(RAND(),$B$6,$C$6)</f>
        <v>0.269619121215864</v>
      </c>
      <c r="C392" s="22" t="n">
        <f aca="true">MAX(0.03,NORMINV(RAND(),$B$7,$C$7))</f>
        <v>0.262257628695297</v>
      </c>
      <c r="D392" s="34" t="n">
        <f aca="true">MAX(0.08,NORMINV(RAND(),$B$8,$C$8))</f>
        <v>0.136859550520025</v>
      </c>
      <c r="E392" s="70" t="n">
        <f aca="true">MAX(4,NORMINV(RAND(),$B$9,$C$9))</f>
        <v>13.3640352032205</v>
      </c>
      <c r="F392" s="27" t="n">
        <f aca="false">$B$18*(1+(B392+$B$17)/2)^9</f>
        <v>10522.4455143853</v>
      </c>
      <c r="G392" s="27" t="n">
        <f aca="false">F392*C392</f>
        <v>2759.59160867816</v>
      </c>
      <c r="H392" s="27" t="n">
        <f aca="false">E392*G392/(1+D392)^9</f>
        <v>11625.7531055416</v>
      </c>
      <c r="I392" s="27" t="n">
        <f aca="false">$B$13*G392/$B$12*((1+$B$8)/(1+D392))^4.5</f>
        <v>4188.33613305132</v>
      </c>
      <c r="J392" s="27" t="n">
        <f aca="false">H392+I392+$B$14</f>
        <v>17900.4881166751</v>
      </c>
      <c r="K392" s="45" t="n">
        <f aca="false">J392/$B$15</f>
        <v>28.4134732010715</v>
      </c>
    </row>
    <row r="393" customFormat="false" ht="15" hidden="false" customHeight="true" outlineLevel="0" collapsed="false">
      <c r="A393" s="74" t="n">
        <v>353</v>
      </c>
      <c r="B393" s="22" t="n">
        <f aca="true">NORMINV(RAND(),$B$6,$C$6)</f>
        <v>0.183321450356219</v>
      </c>
      <c r="C393" s="22" t="n">
        <f aca="true">MAX(0.03,NORMINV(RAND(),$B$7,$C$7))</f>
        <v>0.187213728593611</v>
      </c>
      <c r="D393" s="34" t="n">
        <f aca="true">MAX(0.08,NORMINV(RAND(),$B$8,$C$8))</f>
        <v>0.127141585649795</v>
      </c>
      <c r="E393" s="70" t="n">
        <f aca="true">MAX(4,NORMINV(RAND(),$B$9,$C$9))</f>
        <v>12.1487459870645</v>
      </c>
      <c r="F393" s="27" t="n">
        <f aca="false">$B$18*(1+(B393+$B$17)/2)^9</f>
        <v>7480.4495739466</v>
      </c>
      <c r="G393" s="27" t="n">
        <f aca="false">F393*C393</f>
        <v>1400.44285629503</v>
      </c>
      <c r="H393" s="27" t="n">
        <f aca="false">E393*G393/(1+D393)^9</f>
        <v>5794.16134826877</v>
      </c>
      <c r="I393" s="27" t="n">
        <f aca="false">$B$13*G393/$B$12*((1+$B$8)/(1+D393))^4.5</f>
        <v>2209.2234331468</v>
      </c>
      <c r="J393" s="27" t="n">
        <f aca="false">H393+I393+$B$14</f>
        <v>10089.7836594978</v>
      </c>
      <c r="K393" s="45" t="n">
        <f aca="false">J393/$B$15</f>
        <v>16.0155296182504</v>
      </c>
    </row>
    <row r="394" customFormat="false" ht="15" hidden="false" customHeight="true" outlineLevel="0" collapsed="false">
      <c r="A394" s="74" t="n">
        <v>354</v>
      </c>
      <c r="B394" s="22" t="n">
        <f aca="true">NORMINV(RAND(),$B$6,$C$6)</f>
        <v>0.211628792985894</v>
      </c>
      <c r="C394" s="22" t="n">
        <f aca="true">MAX(0.03,NORMINV(RAND(),$B$7,$C$7))</f>
        <v>0.202672280149302</v>
      </c>
      <c r="D394" s="34" t="n">
        <f aca="true">MAX(0.08,NORMINV(RAND(),$B$8,$C$8))</f>
        <v>0.129546719076003</v>
      </c>
      <c r="E394" s="70" t="n">
        <f aca="true">MAX(4,NORMINV(RAND(),$B$9,$C$9))</f>
        <v>11.8615683566998</v>
      </c>
      <c r="F394" s="27" t="n">
        <f aca="false">$B$18*(1+(B394+$B$17)/2)^9</f>
        <v>8378.34975006092</v>
      </c>
      <c r="G394" s="27" t="n">
        <f aca="false">F394*C394</f>
        <v>1698.05924773318</v>
      </c>
      <c r="H394" s="27" t="n">
        <f aca="false">E394*G394/(1+D394)^9</f>
        <v>6729.10289764433</v>
      </c>
      <c r="I394" s="27" t="n">
        <f aca="false">$B$13*G394/$B$12*((1+$B$8)/(1+D394))^4.5</f>
        <v>2653.14707055821</v>
      </c>
      <c r="J394" s="27" t="n">
        <f aca="false">H394+I394+$B$14</f>
        <v>11468.6488462847</v>
      </c>
      <c r="K394" s="45" t="n">
        <f aca="false">J394/$B$15</f>
        <v>18.2042045179123</v>
      </c>
    </row>
    <row r="395" customFormat="false" ht="15" hidden="false" customHeight="true" outlineLevel="0" collapsed="false">
      <c r="A395" s="74" t="n">
        <v>355</v>
      </c>
      <c r="B395" s="22" t="n">
        <f aca="true">NORMINV(RAND(),$B$6,$C$6)</f>
        <v>0.141837871988863</v>
      </c>
      <c r="C395" s="22" t="n">
        <f aca="true">MAX(0.03,NORMINV(RAND(),$B$7,$C$7))</f>
        <v>0.256592860620135</v>
      </c>
      <c r="D395" s="34" t="n">
        <f aca="true">MAX(0.08,NORMINV(RAND(),$B$8,$C$8))</f>
        <v>0.122091512094861</v>
      </c>
      <c r="E395" s="70" t="n">
        <f aca="true">MAX(4,NORMINV(RAND(),$B$9,$C$9))</f>
        <v>11.4439833925898</v>
      </c>
      <c r="F395" s="27" t="n">
        <f aca="false">$B$18*(1+(B395+$B$17)/2)^9</f>
        <v>6318.913421601</v>
      </c>
      <c r="G395" s="27" t="n">
        <f aca="false">F395*C395</f>
        <v>1621.38807085957</v>
      </c>
      <c r="H395" s="27" t="n">
        <f aca="false">E395*G395/(1+D395)^9</f>
        <v>6579.75461458421</v>
      </c>
      <c r="I395" s="27" t="n">
        <f aca="false">$B$13*G395/$B$12*((1+$B$8)/(1+D395))^4.5</f>
        <v>2609.97954848225</v>
      </c>
      <c r="J395" s="27" t="n">
        <f aca="false">H395+I395+$B$14</f>
        <v>11276.1330411487</v>
      </c>
      <c r="K395" s="45" t="n">
        <f aca="false">J395/$B$15</f>
        <v>17.8986238748391</v>
      </c>
    </row>
    <row r="396" customFormat="false" ht="15" hidden="false" customHeight="true" outlineLevel="0" collapsed="false">
      <c r="A396" s="74" t="n">
        <v>356</v>
      </c>
      <c r="B396" s="22" t="n">
        <f aca="true">NORMINV(RAND(),$B$6,$C$6)</f>
        <v>0.227854313723291</v>
      </c>
      <c r="C396" s="22" t="n">
        <f aca="true">MAX(0.03,NORMINV(RAND(),$B$7,$C$7))</f>
        <v>0.214773224749606</v>
      </c>
      <c r="D396" s="34" t="n">
        <f aca="true">MAX(0.08,NORMINV(RAND(),$B$8,$C$8))</f>
        <v>0.136968118200757</v>
      </c>
      <c r="E396" s="70" t="n">
        <f aca="true">MAX(4,NORMINV(RAND(),$B$9,$C$9))</f>
        <v>15.3884236122742</v>
      </c>
      <c r="F396" s="27" t="n">
        <f aca="false">$B$18*(1+(B396+$B$17)/2)^9</f>
        <v>8935.11326742533</v>
      </c>
      <c r="G396" s="27" t="n">
        <f aca="false">F396*C396</f>
        <v>1919.02308994793</v>
      </c>
      <c r="H396" s="27" t="n">
        <f aca="false">E396*G396/(1+D396)^9</f>
        <v>9301.21647749464</v>
      </c>
      <c r="I396" s="27" t="n">
        <f aca="false">$B$13*G396/$B$12*((1+$B$8)/(1+D396))^4.5</f>
        <v>2911.32230742348</v>
      </c>
      <c r="J396" s="27" t="n">
        <f aca="false">H396+I396+$B$14</f>
        <v>14298.9376630003</v>
      </c>
      <c r="K396" s="45" t="n">
        <f aca="false">J396/$B$15</f>
        <v>22.6967264492068</v>
      </c>
    </row>
    <row r="397" customFormat="false" ht="15" hidden="false" customHeight="true" outlineLevel="0" collapsed="false">
      <c r="A397" s="74" t="n">
        <v>357</v>
      </c>
      <c r="B397" s="22" t="n">
        <f aca="true">NORMINV(RAND(),$B$6,$C$6)</f>
        <v>0.251853706922425</v>
      </c>
      <c r="C397" s="22" t="n">
        <f aca="true">MAX(0.03,NORMINV(RAND(),$B$7,$C$7))</f>
        <v>0.221337216655284</v>
      </c>
      <c r="D397" s="34" t="n">
        <f aca="true">MAX(0.08,NORMINV(RAND(),$B$8,$C$8))</f>
        <v>0.131770310868296</v>
      </c>
      <c r="E397" s="70" t="n">
        <f aca="true">MAX(4,NORMINV(RAND(),$B$9,$C$9))</f>
        <v>13.795735113665</v>
      </c>
      <c r="F397" s="27" t="n">
        <f aca="false">$B$18*(1+(B397+$B$17)/2)^9</f>
        <v>9818.97228448497</v>
      </c>
      <c r="G397" s="27" t="n">
        <f aca="false">F397*C397</f>
        <v>2173.30399586328</v>
      </c>
      <c r="H397" s="27" t="n">
        <f aca="false">E397*G397/(1+D397)^9</f>
        <v>9841.03216727236</v>
      </c>
      <c r="I397" s="27" t="n">
        <f aca="false">$B$13*G397/$B$12*((1+$B$8)/(1+D397))^4.5</f>
        <v>3365.77840573751</v>
      </c>
      <c r="J397" s="27" t="n">
        <f aca="false">H397+I397+$B$14</f>
        <v>15293.2094510921</v>
      </c>
      <c r="K397" s="45" t="n">
        <f aca="false">J397/$B$15</f>
        <v>24.2749356366541</v>
      </c>
    </row>
    <row r="398" customFormat="false" ht="15" hidden="false" customHeight="true" outlineLevel="0" collapsed="false">
      <c r="A398" s="74" t="n">
        <v>358</v>
      </c>
      <c r="B398" s="22" t="n">
        <f aca="true">NORMINV(RAND(),$B$6,$C$6)</f>
        <v>0.173099326503115</v>
      </c>
      <c r="C398" s="22" t="n">
        <f aca="true">MAX(0.03,NORMINV(RAND(),$B$7,$C$7))</f>
        <v>0.19504859824456</v>
      </c>
      <c r="D398" s="34" t="n">
        <f aca="true">MAX(0.08,NORMINV(RAND(),$B$8,$C$8))</f>
        <v>0.137721469371694</v>
      </c>
      <c r="E398" s="70" t="n">
        <f aca="true">MAX(4,NORMINV(RAND(),$B$9,$C$9))</f>
        <v>11.4677517059806</v>
      </c>
      <c r="F398" s="27" t="n">
        <f aca="false">$B$18*(1+(B398+$B$17)/2)^9</f>
        <v>7177.88289592216</v>
      </c>
      <c r="G398" s="27" t="n">
        <f aca="false">F398*C398</f>
        <v>1400.03599721322</v>
      </c>
      <c r="H398" s="27" t="n">
        <f aca="false">E398*G398/(1+D398)^9</f>
        <v>5026.82656881463</v>
      </c>
      <c r="I398" s="27" t="n">
        <f aca="false">$B$13*G398/$B$12*((1+$B$8)/(1+D398))^4.5</f>
        <v>2117.65296059864</v>
      </c>
      <c r="J398" s="27" t="n">
        <f aca="false">H398+I398+$B$14</f>
        <v>9230.87840749546</v>
      </c>
      <c r="K398" s="45" t="n">
        <f aca="false">J398/$B$15</f>
        <v>14.6521879484055</v>
      </c>
    </row>
    <row r="399" customFormat="false" ht="15" hidden="false" customHeight="true" outlineLevel="0" collapsed="false">
      <c r="A399" s="74" t="n">
        <v>359</v>
      </c>
      <c r="B399" s="22" t="n">
        <f aca="true">NORMINV(RAND(),$B$6,$C$6)</f>
        <v>0.201884017330625</v>
      </c>
      <c r="C399" s="22" t="n">
        <f aca="true">MAX(0.03,NORMINV(RAND(),$B$7,$C$7))</f>
        <v>0.212036054150244</v>
      </c>
      <c r="D399" s="34" t="n">
        <f aca="true">MAX(0.08,NORMINV(RAND(),$B$8,$C$8))</f>
        <v>0.122476280940654</v>
      </c>
      <c r="E399" s="70" t="n">
        <f aca="true">MAX(4,NORMINV(RAND(),$B$9,$C$9))</f>
        <v>14.8926879432685</v>
      </c>
      <c r="F399" s="27" t="n">
        <f aca="false">$B$18*(1+(B399+$B$17)/2)^9</f>
        <v>8058.99212957273</v>
      </c>
      <c r="G399" s="27" t="n">
        <f aca="false">F399*C399</f>
        <v>1708.79689158247</v>
      </c>
      <c r="H399" s="27" t="n">
        <f aca="false">E399*G399/(1+D399)^9</f>
        <v>8996.40463517268</v>
      </c>
      <c r="I399" s="27" t="n">
        <f aca="false">$B$13*G399/$B$12*((1+$B$8)/(1+D399))^4.5</f>
        <v>2746.44272495436</v>
      </c>
      <c r="J399" s="27" t="n">
        <f aca="false">H399+I399+$B$14</f>
        <v>13829.2462382092</v>
      </c>
      <c r="K399" s="45" t="n">
        <f aca="false">J399/$B$15</f>
        <v>21.951184505094</v>
      </c>
    </row>
    <row r="400" customFormat="false" ht="15" hidden="false" customHeight="true" outlineLevel="0" collapsed="false">
      <c r="A400" s="74" t="n">
        <v>360</v>
      </c>
      <c r="B400" s="22" t="n">
        <f aca="true">NORMINV(RAND(),$B$6,$C$6)</f>
        <v>0.194753133780084</v>
      </c>
      <c r="C400" s="22" t="n">
        <f aca="true">MAX(0.03,NORMINV(RAND(),$B$7,$C$7))</f>
        <v>0.213447826223839</v>
      </c>
      <c r="D400" s="34" t="n">
        <f aca="true">MAX(0.08,NORMINV(RAND(),$B$8,$C$8))</f>
        <v>0.135003540613437</v>
      </c>
      <c r="E400" s="70" t="n">
        <f aca="true">MAX(4,NORMINV(RAND(),$B$9,$C$9))</f>
        <v>10.4663221820548</v>
      </c>
      <c r="F400" s="27" t="n">
        <f aca="false">$B$18*(1+(B400+$B$17)/2)^9</f>
        <v>7832.20134616177</v>
      </c>
      <c r="G400" s="27" t="n">
        <f aca="false">F400*C400</f>
        <v>1671.76635188565</v>
      </c>
      <c r="H400" s="27" t="n">
        <f aca="false">E400*G400/(1+D400)^9</f>
        <v>5597.50812292079</v>
      </c>
      <c r="I400" s="27" t="n">
        <f aca="false">$B$13*G400/$B$12*((1+$B$8)/(1+D400))^4.5</f>
        <v>2556.02728078382</v>
      </c>
      <c r="J400" s="27" t="n">
        <f aca="false">H400+I400+$B$14</f>
        <v>10239.9342817868</v>
      </c>
      <c r="K400" s="45" t="n">
        <f aca="false">J400/$B$15</f>
        <v>16.2538639393441</v>
      </c>
    </row>
    <row r="401" customFormat="false" ht="15" hidden="false" customHeight="true" outlineLevel="0" collapsed="false">
      <c r="A401" s="74" t="n">
        <v>361</v>
      </c>
      <c r="B401" s="22" t="n">
        <f aca="true">NORMINV(RAND(),$B$6,$C$6)</f>
        <v>0.175372999261557</v>
      </c>
      <c r="C401" s="22" t="n">
        <f aca="true">MAX(0.03,NORMINV(RAND(),$B$7,$C$7))</f>
        <v>0.233317380993466</v>
      </c>
      <c r="D401" s="34" t="n">
        <f aca="true">MAX(0.08,NORMINV(RAND(),$B$8,$C$8))</f>
        <v>0.120469202582982</v>
      </c>
      <c r="E401" s="70" t="n">
        <f aca="true">MAX(4,NORMINV(RAND(),$B$9,$C$9))</f>
        <v>9.56119665824279</v>
      </c>
      <c r="F401" s="27" t="n">
        <f aca="false">$B$18*(1+(B401+$B$17)/2)^9</f>
        <v>7244.22439355908</v>
      </c>
      <c r="G401" s="27" t="n">
        <f aca="false">F401*C401</f>
        <v>1690.20346283418</v>
      </c>
      <c r="H401" s="27" t="n">
        <f aca="false">E401*G401/(1+D401)^9</f>
        <v>5805.66433501824</v>
      </c>
      <c r="I401" s="27" t="n">
        <f aca="false">$B$13*G401/$B$12*((1+$B$8)/(1+D401))^4.5</f>
        <v>2738.52498601985</v>
      </c>
      <c r="J401" s="27" t="n">
        <f aca="false">H401+I401+$B$14</f>
        <v>10630.5881991203</v>
      </c>
      <c r="K401" s="45" t="n">
        <f aca="false">J401/$B$15</f>
        <v>16.8739495224131</v>
      </c>
    </row>
    <row r="402" customFormat="false" ht="15" hidden="false" customHeight="true" outlineLevel="0" collapsed="false">
      <c r="A402" s="74" t="n">
        <v>362</v>
      </c>
      <c r="B402" s="22" t="n">
        <f aca="true">NORMINV(RAND(),$B$6,$C$6)</f>
        <v>0.189375194599011</v>
      </c>
      <c r="C402" s="22" t="n">
        <f aca="true">MAX(0.03,NORMINV(RAND(),$B$7,$C$7))</f>
        <v>0.189814769574067</v>
      </c>
      <c r="D402" s="34" t="n">
        <f aca="true">MAX(0.08,NORMINV(RAND(),$B$8,$C$8))</f>
        <v>0.135025844463162</v>
      </c>
      <c r="E402" s="70" t="n">
        <f aca="true">MAX(4,NORMINV(RAND(),$B$9,$C$9))</f>
        <v>8.19232934743785</v>
      </c>
      <c r="F402" s="27" t="n">
        <f aca="false">$B$18*(1+(B402+$B$17)/2)^9</f>
        <v>7664.93248928061</v>
      </c>
      <c r="G402" s="27" t="n">
        <f aca="false">F402*C402</f>
        <v>1454.91739425358</v>
      </c>
      <c r="H402" s="27" t="n">
        <f aca="false">E402*G402/(1+D402)^9</f>
        <v>3812.36071006168</v>
      </c>
      <c r="I402" s="27" t="n">
        <f aca="false">$B$13*G402/$B$12*((1+$B$8)/(1+D402))^4.5</f>
        <v>2224.2819480966</v>
      </c>
      <c r="J402" s="27" t="n">
        <f aca="false">H402+I402+$B$14</f>
        <v>8123.04153624048</v>
      </c>
      <c r="K402" s="45" t="n">
        <f aca="false">J402/$B$15</f>
        <v>12.8937167241912</v>
      </c>
    </row>
    <row r="403" customFormat="false" ht="15" hidden="false" customHeight="true" outlineLevel="0" collapsed="false">
      <c r="A403" s="74" t="n">
        <v>363</v>
      </c>
      <c r="B403" s="22" t="n">
        <f aca="true">NORMINV(RAND(),$B$6,$C$6)</f>
        <v>0.229609349261754</v>
      </c>
      <c r="C403" s="22" t="n">
        <f aca="true">MAX(0.03,NORMINV(RAND(),$B$7,$C$7))</f>
        <v>0.200814520932966</v>
      </c>
      <c r="D403" s="34" t="n">
        <f aca="true">MAX(0.08,NORMINV(RAND(),$B$8,$C$8))</f>
        <v>0.118621996434539</v>
      </c>
      <c r="E403" s="70" t="n">
        <f aca="true">MAX(4,NORMINV(RAND(),$B$9,$C$9))</f>
        <v>11.8020385181333</v>
      </c>
      <c r="F403" s="27" t="n">
        <f aca="false">$B$18*(1+(B403+$B$17)/2)^9</f>
        <v>8997.26329741682</v>
      </c>
      <c r="G403" s="27" t="n">
        <f aca="false">F403*C403</f>
        <v>1806.78111877852</v>
      </c>
      <c r="H403" s="27" t="n">
        <f aca="false">E403*G403/(1+D403)^9</f>
        <v>7775.21445082953</v>
      </c>
      <c r="I403" s="27" t="n">
        <f aca="false">$B$13*G403/$B$12*((1+$B$8)/(1+D403))^4.5</f>
        <v>2949.22444090447</v>
      </c>
      <c r="J403" s="27" t="n">
        <f aca="false">H403+I403+$B$14</f>
        <v>12810.8377698162</v>
      </c>
      <c r="K403" s="45" t="n">
        <f aca="false">J403/$B$15</f>
        <v>20.3346631266924</v>
      </c>
    </row>
    <row r="404" customFormat="false" ht="15" hidden="false" customHeight="true" outlineLevel="0" collapsed="false">
      <c r="A404" s="74" t="n">
        <v>364</v>
      </c>
      <c r="B404" s="22" t="n">
        <f aca="true">NORMINV(RAND(),$B$6,$C$6)</f>
        <v>0.226383710653823</v>
      </c>
      <c r="C404" s="22" t="n">
        <f aca="true">MAX(0.03,NORMINV(RAND(),$B$7,$C$7))</f>
        <v>0.226223861341629</v>
      </c>
      <c r="D404" s="34" t="n">
        <f aca="true">MAX(0.08,NORMINV(RAND(),$B$8,$C$8))</f>
        <v>0.154915024606701</v>
      </c>
      <c r="E404" s="70" t="n">
        <f aca="true">MAX(4,NORMINV(RAND(),$B$9,$C$9))</f>
        <v>11.8649562870668</v>
      </c>
      <c r="F404" s="27" t="n">
        <f aca="false">$B$18*(1+(B404+$B$17)/2)^9</f>
        <v>8883.32983908374</v>
      </c>
      <c r="G404" s="27" t="n">
        <f aca="false">F404*C404</f>
        <v>2009.62117776884</v>
      </c>
      <c r="H404" s="27" t="n">
        <f aca="false">E404*G404/(1+D404)^9</f>
        <v>6522.73988705216</v>
      </c>
      <c r="I404" s="27" t="n">
        <f aca="false">$B$13*G404/$B$12*((1+$B$8)/(1+D404))^4.5</f>
        <v>2841.29571594431</v>
      </c>
      <c r="J404" s="27" t="n">
        <f aca="false">H404+I404+$B$14</f>
        <v>11450.4344810787</v>
      </c>
      <c r="K404" s="45" t="n">
        <f aca="false">J404/$B$15</f>
        <v>18.175292827109</v>
      </c>
    </row>
    <row r="405" customFormat="false" ht="15" hidden="false" customHeight="true" outlineLevel="0" collapsed="false">
      <c r="A405" s="74" t="n">
        <v>365</v>
      </c>
      <c r="B405" s="22" t="n">
        <f aca="true">NORMINV(RAND(),$B$6,$C$6)</f>
        <v>0.165828864500177</v>
      </c>
      <c r="C405" s="22" t="n">
        <f aca="true">MAX(0.03,NORMINV(RAND(),$B$7,$C$7))</f>
        <v>0.232418701906301</v>
      </c>
      <c r="D405" s="34" t="n">
        <f aca="true">MAX(0.08,NORMINV(RAND(),$B$8,$C$8))</f>
        <v>0.138136879796236</v>
      </c>
      <c r="E405" s="70" t="n">
        <f aca="true">MAX(4,NORMINV(RAND(),$B$9,$C$9))</f>
        <v>14.6534534674111</v>
      </c>
      <c r="F405" s="27" t="n">
        <f aca="false">$B$18*(1+(B405+$B$17)/2)^9</f>
        <v>6969.35366210356</v>
      </c>
      <c r="G405" s="27" t="n">
        <f aca="false">F405*C405</f>
        <v>1619.80813127204</v>
      </c>
      <c r="H405" s="27" t="n">
        <f aca="false">E405*G405/(1+D405)^9</f>
        <v>7407.1833964519</v>
      </c>
      <c r="I405" s="27" t="n">
        <f aca="false">$B$13*G405/$B$12*((1+$B$8)/(1+D405))^4.5</f>
        <v>2446.05219361986</v>
      </c>
      <c r="J405" s="27" t="n">
        <f aca="false">H405+I405+$B$14</f>
        <v>11939.6344681539</v>
      </c>
      <c r="K405" s="45" t="n">
        <f aca="false">J405/$B$15</f>
        <v>18.9518007431015</v>
      </c>
    </row>
    <row r="406" customFormat="false" ht="15" hidden="false" customHeight="true" outlineLevel="0" collapsed="false">
      <c r="A406" s="74" t="n">
        <v>366</v>
      </c>
      <c r="B406" s="22" t="n">
        <f aca="true">NORMINV(RAND(),$B$6,$C$6)</f>
        <v>0.169813534337791</v>
      </c>
      <c r="C406" s="22" t="n">
        <f aca="true">MAX(0.03,NORMINV(RAND(),$B$7,$C$7))</f>
        <v>0.18187286517748</v>
      </c>
      <c r="D406" s="34" t="n">
        <f aca="true">MAX(0.08,NORMINV(RAND(),$B$8,$C$8))</f>
        <v>0.113618731449465</v>
      </c>
      <c r="E406" s="70" t="n">
        <f aca="true">MAX(4,NORMINV(RAND(),$B$9,$C$9))</f>
        <v>14.0301125151025</v>
      </c>
      <c r="F406" s="27" t="n">
        <f aca="false">$B$18*(1+(B406+$B$17)/2)^9</f>
        <v>7082.9637592491</v>
      </c>
      <c r="G406" s="27" t="n">
        <f aca="false">F406*C406</f>
        <v>1288.19891284289</v>
      </c>
      <c r="H406" s="27" t="n">
        <f aca="false">E406*G406/(1+D406)^9</f>
        <v>6861.441049074</v>
      </c>
      <c r="I406" s="27" t="n">
        <f aca="false">$B$13*G406/$B$12*((1+$B$8)/(1+D406))^4.5</f>
        <v>2145.5860345896</v>
      </c>
      <c r="J406" s="27" t="n">
        <f aca="false">H406+I406+$B$14</f>
        <v>11093.4259617458</v>
      </c>
      <c r="K406" s="45" t="n">
        <f aca="false">J406/$B$15</f>
        <v>17.6086126376917</v>
      </c>
    </row>
    <row r="407" customFormat="false" ht="15" hidden="false" customHeight="true" outlineLevel="0" collapsed="false">
      <c r="A407" s="74" t="n">
        <v>367</v>
      </c>
      <c r="B407" s="22" t="n">
        <f aca="true">NORMINV(RAND(),$B$6,$C$6)</f>
        <v>0.17967663962189</v>
      </c>
      <c r="C407" s="22" t="n">
        <f aca="true">MAX(0.03,NORMINV(RAND(),$B$7,$C$7))</f>
        <v>0.229643407947743</v>
      </c>
      <c r="D407" s="34" t="n">
        <f aca="true">MAX(0.08,NORMINV(RAND(),$B$8,$C$8))</f>
        <v>0.135988484971331</v>
      </c>
      <c r="E407" s="70" t="n">
        <f aca="true">MAX(4,NORMINV(RAND(),$B$9,$C$9))</f>
        <v>13.4620110938375</v>
      </c>
      <c r="F407" s="27" t="n">
        <f aca="false">$B$18*(1+(B407+$B$17)/2)^9</f>
        <v>7371.29035950675</v>
      </c>
      <c r="G407" s="27" t="n">
        <f aca="false">F407*C407</f>
        <v>1692.76823912947</v>
      </c>
      <c r="H407" s="27" t="n">
        <f aca="false">E407*G407/(1+D407)^9</f>
        <v>7233.39336998815</v>
      </c>
      <c r="I407" s="27" t="n">
        <f aca="false">$B$13*G407/$B$12*((1+$B$8)/(1+D407))^4.5</f>
        <v>2578.05512337838</v>
      </c>
      <c r="J407" s="27" t="n">
        <f aca="false">H407+I407+$B$14</f>
        <v>11897.8473714487</v>
      </c>
      <c r="K407" s="45" t="n">
        <f aca="false">J407/$B$15</f>
        <v>18.8854720181726</v>
      </c>
    </row>
    <row r="408" customFormat="false" ht="15" hidden="false" customHeight="true" outlineLevel="0" collapsed="false">
      <c r="A408" s="74" t="n">
        <v>368</v>
      </c>
      <c r="B408" s="22" t="n">
        <f aca="true">NORMINV(RAND(),$B$6,$C$6)</f>
        <v>0.229191366402511</v>
      </c>
      <c r="C408" s="22" t="n">
        <f aca="true">MAX(0.03,NORMINV(RAND(),$B$7,$C$7))</f>
        <v>0.254007973535318</v>
      </c>
      <c r="D408" s="34" t="n">
        <f aca="true">MAX(0.08,NORMINV(RAND(),$B$8,$C$8))</f>
        <v>0.139206886200383</v>
      </c>
      <c r="E408" s="70" t="n">
        <f aca="true">MAX(4,NORMINV(RAND(),$B$9,$C$9))</f>
        <v>9.03780692100384</v>
      </c>
      <c r="F408" s="27" t="n">
        <f aca="false">$B$18*(1+(B408+$B$17)/2)^9</f>
        <v>8982.4267626804</v>
      </c>
      <c r="G408" s="27" t="n">
        <f aca="false">F408*C408</f>
        <v>2281.60801941786</v>
      </c>
      <c r="H408" s="27" t="n">
        <f aca="false">E408*G408/(1+D408)^9</f>
        <v>6380.88151277611</v>
      </c>
      <c r="I408" s="27" t="n">
        <f aca="false">$B$13*G408/$B$12*((1+$B$8)/(1+D408))^4.5</f>
        <v>3430.88930606837</v>
      </c>
      <c r="J408" s="27" t="n">
        <f aca="false">H408+I408+$B$14</f>
        <v>11898.1696969267</v>
      </c>
      <c r="K408" s="45" t="n">
        <f aca="false">J408/$B$15</f>
        <v>18.8859836459154</v>
      </c>
    </row>
    <row r="409" customFormat="false" ht="15" hidden="false" customHeight="true" outlineLevel="0" collapsed="false">
      <c r="A409" s="74" t="n">
        <v>369</v>
      </c>
      <c r="B409" s="22" t="n">
        <f aca="true">NORMINV(RAND(),$B$6,$C$6)</f>
        <v>0.197623711462857</v>
      </c>
      <c r="C409" s="22" t="n">
        <f aca="true">MAX(0.03,NORMINV(RAND(),$B$7,$C$7))</f>
        <v>0.16505378095192</v>
      </c>
      <c r="D409" s="34" t="n">
        <f aca="true">MAX(0.08,NORMINV(RAND(),$B$8,$C$8))</f>
        <v>0.133093369838472</v>
      </c>
      <c r="E409" s="70" t="n">
        <f aca="true">MAX(4,NORMINV(RAND(),$B$9,$C$9))</f>
        <v>9.4417599484393</v>
      </c>
      <c r="F409" s="27" t="n">
        <f aca="false">$B$18*(1+(B409+$B$17)/2)^9</f>
        <v>7922.80579213185</v>
      </c>
      <c r="G409" s="27" t="n">
        <f aca="false">F409*C409</f>
        <v>1307.68905173913</v>
      </c>
      <c r="H409" s="27" t="n">
        <f aca="false">E409*G409/(1+D409)^9</f>
        <v>4010.20115090617</v>
      </c>
      <c r="I409" s="27" t="n">
        <f aca="false">$B$13*G409/$B$12*((1+$B$8)/(1+D409))^4.5</f>
        <v>2014.58791118707</v>
      </c>
      <c r="J409" s="27" t="n">
        <f aca="false">H409+I409+$B$14</f>
        <v>8111.18794017543</v>
      </c>
      <c r="K409" s="45" t="n">
        <f aca="false">J409/$B$15</f>
        <v>12.874901492342</v>
      </c>
    </row>
    <row r="410" customFormat="false" ht="15" hidden="false" customHeight="true" outlineLevel="0" collapsed="false">
      <c r="A410" s="74" t="n">
        <v>370</v>
      </c>
      <c r="B410" s="22" t="n">
        <f aca="true">NORMINV(RAND(),$B$6,$C$6)</f>
        <v>0.200887651004679</v>
      </c>
      <c r="C410" s="22" t="n">
        <f aca="true">MAX(0.03,NORMINV(RAND(),$B$7,$C$7))</f>
        <v>0.205615054208801</v>
      </c>
      <c r="D410" s="34" t="n">
        <f aca="true">MAX(0.08,NORMINV(RAND(),$B$8,$C$8))</f>
        <v>0.147278960714624</v>
      </c>
      <c r="E410" s="70" t="n">
        <f aca="true">MAX(4,NORMINV(RAND(),$B$9,$C$9))</f>
        <v>10.7100267630173</v>
      </c>
      <c r="F410" s="27" t="n">
        <f aca="false">$B$18*(1+(B410+$B$17)/2)^9</f>
        <v>8026.95690688167</v>
      </c>
      <c r="G410" s="27" t="n">
        <f aca="false">F410*C410</f>
        <v>1650.46317954019</v>
      </c>
      <c r="H410" s="27" t="n">
        <f aca="false">E410*G410/(1+D410)^9</f>
        <v>5133.0457097074</v>
      </c>
      <c r="I410" s="27" t="n">
        <f aca="false">$B$13*G410/$B$12*((1+$B$8)/(1+D410))^4.5</f>
        <v>2404.21103478268</v>
      </c>
      <c r="J410" s="27" t="n">
        <f aca="false">H410+I410+$B$14</f>
        <v>9623.65562257227</v>
      </c>
      <c r="K410" s="45" t="n">
        <f aca="false">J410/$B$15</f>
        <v>15.2756438453528</v>
      </c>
    </row>
    <row r="411" customFormat="false" ht="15" hidden="false" customHeight="true" outlineLevel="0" collapsed="false">
      <c r="A411" s="74" t="n">
        <v>371</v>
      </c>
      <c r="B411" s="22" t="n">
        <f aca="true">NORMINV(RAND(),$B$6,$C$6)</f>
        <v>0.234443257501096</v>
      </c>
      <c r="C411" s="22" t="n">
        <f aca="true">MAX(0.03,NORMINV(RAND(),$B$7,$C$7))</f>
        <v>0.220966389405759</v>
      </c>
      <c r="D411" s="34" t="n">
        <f aca="true">MAX(0.08,NORMINV(RAND(),$B$8,$C$8))</f>
        <v>0.133054739139752</v>
      </c>
      <c r="E411" s="70" t="n">
        <f aca="true">MAX(4,NORMINV(RAND(),$B$9,$C$9))</f>
        <v>14.2710294259029</v>
      </c>
      <c r="F411" s="27" t="n">
        <f aca="false">$B$18*(1+(B411+$B$17)/2)^9</f>
        <v>9170.43510519147</v>
      </c>
      <c r="G411" s="27" t="n">
        <f aca="false">F411*C411</f>
        <v>2026.35793447398</v>
      </c>
      <c r="H411" s="27" t="n">
        <f aca="false">E411*G411/(1+D411)^9</f>
        <v>9395.36027663023</v>
      </c>
      <c r="I411" s="27" t="n">
        <f aca="false">$B$13*G411/$B$12*((1+$B$8)/(1+D411))^4.5</f>
        <v>3122.22737575762</v>
      </c>
      <c r="J411" s="27" t="n">
        <f aca="false">H411+I411+$B$14</f>
        <v>14603.98653047</v>
      </c>
      <c r="K411" s="45" t="n">
        <f aca="false">J411/$B$15</f>
        <v>23.1809310007461</v>
      </c>
    </row>
    <row r="412" customFormat="false" ht="15" hidden="false" customHeight="true" outlineLevel="0" collapsed="false">
      <c r="A412" s="74" t="n">
        <v>372</v>
      </c>
      <c r="B412" s="22" t="n">
        <f aca="true">NORMINV(RAND(),$B$6,$C$6)</f>
        <v>0.0770801169645113</v>
      </c>
      <c r="C412" s="22" t="n">
        <f aca="true">MAX(0.03,NORMINV(RAND(),$B$7,$C$7))</f>
        <v>0.218789545575683</v>
      </c>
      <c r="D412" s="34" t="n">
        <f aca="true">MAX(0.08,NORMINV(RAND(),$B$8,$C$8))</f>
        <v>0.150287399871205</v>
      </c>
      <c r="E412" s="70" t="n">
        <f aca="true">MAX(4,NORMINV(RAND(),$B$9,$C$9))</f>
        <v>11.2399438015014</v>
      </c>
      <c r="F412" s="27" t="n">
        <f aca="false">$B$18*(1+(B412+$B$17)/2)^9</f>
        <v>4824.15437454561</v>
      </c>
      <c r="G412" s="27" t="n">
        <f aca="false">F412*C412</f>
        <v>1055.47454339378</v>
      </c>
      <c r="H412" s="27" t="n">
        <f aca="false">E412*G412/(1+D412)^9</f>
        <v>3364.76423852039</v>
      </c>
      <c r="I412" s="27" t="n">
        <f aca="false">$B$13*G412/$B$12*((1+$B$8)/(1+D412))^4.5</f>
        <v>1519.48532405883</v>
      </c>
      <c r="J412" s="27" t="n">
        <f aca="false">H412+I412+$B$14</f>
        <v>6970.64844066141</v>
      </c>
      <c r="K412" s="45" t="n">
        <f aca="false">J412/$B$15</f>
        <v>11.0645213343832</v>
      </c>
    </row>
    <row r="413" customFormat="false" ht="15" hidden="false" customHeight="true" outlineLevel="0" collapsed="false">
      <c r="A413" s="74" t="n">
        <v>373</v>
      </c>
      <c r="B413" s="22" t="n">
        <f aca="true">NORMINV(RAND(),$B$6,$C$6)</f>
        <v>0.242166832499943</v>
      </c>
      <c r="C413" s="22" t="n">
        <f aca="true">MAX(0.03,NORMINV(RAND(),$B$7,$C$7))</f>
        <v>0.204428170522878</v>
      </c>
      <c r="D413" s="34" t="n">
        <f aca="true">MAX(0.08,NORMINV(RAND(),$B$8,$C$8))</f>
        <v>0.139987799099789</v>
      </c>
      <c r="E413" s="70" t="n">
        <f aca="true">MAX(4,NORMINV(RAND(),$B$9,$C$9))</f>
        <v>8.43406683285527</v>
      </c>
      <c r="F413" s="27" t="n">
        <f aca="false">$B$18*(1+(B413+$B$17)/2)^9</f>
        <v>9453.28129397856</v>
      </c>
      <c r="G413" s="27" t="n">
        <f aca="false">F413*C413</f>
        <v>1932.51700036618</v>
      </c>
      <c r="H413" s="27" t="n">
        <f aca="false">E413*G413/(1+D413)^9</f>
        <v>5012.54785535803</v>
      </c>
      <c r="I413" s="27" t="n">
        <f aca="false">$B$13*G413/$B$12*((1+$B$8)/(1+D413))^4.5</f>
        <v>2897.00861556595</v>
      </c>
      <c r="J413" s="27" t="n">
        <f aca="false">H413+I413+$B$14</f>
        <v>9995.95534900617</v>
      </c>
      <c r="K413" s="45" t="n">
        <f aca="false">J413/$B$15</f>
        <v>15.8665957920733</v>
      </c>
    </row>
    <row r="414" customFormat="false" ht="15" hidden="false" customHeight="true" outlineLevel="0" collapsed="false">
      <c r="A414" s="74" t="n">
        <v>374</v>
      </c>
      <c r="B414" s="22" t="n">
        <f aca="true">NORMINV(RAND(),$B$6,$C$6)</f>
        <v>0.285755090389217</v>
      </c>
      <c r="C414" s="22" t="n">
        <f aca="true">MAX(0.03,NORMINV(RAND(),$B$7,$C$7))</f>
        <v>0.231621740372425</v>
      </c>
      <c r="D414" s="34" t="n">
        <f aca="true">MAX(0.08,NORMINV(RAND(),$B$8,$C$8))</f>
        <v>0.131637118200821</v>
      </c>
      <c r="E414" s="70" t="n">
        <f aca="true">MAX(4,NORMINV(RAND(),$B$9,$C$9))</f>
        <v>11.9351697428557</v>
      </c>
      <c r="F414" s="27" t="n">
        <f aca="false">$B$18*(1+(B414+$B$17)/2)^9</f>
        <v>11199.8524385207</v>
      </c>
      <c r="G414" s="27" t="n">
        <f aca="false">F414*C414</f>
        <v>2594.12931372451</v>
      </c>
      <c r="H414" s="27" t="n">
        <f aca="false">E414*G414/(1+D414)^9</f>
        <v>10173.1527288208</v>
      </c>
      <c r="I414" s="27" t="n">
        <f aca="false">$B$13*G414/$B$12*((1+$B$8)/(1+D414))^4.5</f>
        <v>4019.63548302858</v>
      </c>
      <c r="J414" s="27" t="n">
        <f aca="false">H414+I414+$B$14</f>
        <v>16279.1870899315</v>
      </c>
      <c r="K414" s="45" t="n">
        <f aca="false">J414/$B$15</f>
        <v>25.8399795078278</v>
      </c>
    </row>
    <row r="415" customFormat="false" ht="15" hidden="false" customHeight="true" outlineLevel="0" collapsed="false">
      <c r="A415" s="74" t="n">
        <v>375</v>
      </c>
      <c r="B415" s="22" t="n">
        <f aca="true">NORMINV(RAND(),$B$6,$C$6)</f>
        <v>0.236077467158244</v>
      </c>
      <c r="C415" s="22" t="n">
        <f aca="true">MAX(0.03,NORMINV(RAND(),$B$7,$C$7))</f>
        <v>0.161661393144579</v>
      </c>
      <c r="D415" s="34" t="n">
        <f aca="true">MAX(0.08,NORMINV(RAND(),$B$8,$C$8))</f>
        <v>0.125630766577525</v>
      </c>
      <c r="E415" s="70" t="n">
        <f aca="true">MAX(4,NORMINV(RAND(),$B$9,$C$9))</f>
        <v>10.0214547253455</v>
      </c>
      <c r="F415" s="27" t="n">
        <f aca="false">$B$18*(1+(B415+$B$17)/2)^9</f>
        <v>9229.64616849798</v>
      </c>
      <c r="G415" s="27" t="n">
        <f aca="false">F415*C415</f>
        <v>1492.07745783091</v>
      </c>
      <c r="H415" s="27" t="n">
        <f aca="false">E415*G415/(1+D415)^9</f>
        <v>5154.16767012605</v>
      </c>
      <c r="I415" s="27" t="n">
        <f aca="false">$B$13*G415/$B$12*((1+$B$8)/(1+D415))^4.5</f>
        <v>2368.02863516614</v>
      </c>
      <c r="J415" s="27" t="n">
        <f aca="false">H415+I415+$B$14</f>
        <v>9608.59518337438</v>
      </c>
      <c r="K415" s="45" t="n">
        <f aca="false">J415/$B$15</f>
        <v>15.2517383863085</v>
      </c>
    </row>
    <row r="416" customFormat="false" ht="15" hidden="false" customHeight="true" outlineLevel="0" collapsed="false">
      <c r="A416" s="74" t="n">
        <v>376</v>
      </c>
      <c r="B416" s="22" t="n">
        <f aca="true">NORMINV(RAND(),$B$6,$C$6)</f>
        <v>0.235454630697842</v>
      </c>
      <c r="C416" s="22" t="n">
        <f aca="true">MAX(0.03,NORMINV(RAND(),$B$7,$C$7))</f>
        <v>0.193189234000019</v>
      </c>
      <c r="D416" s="34" t="n">
        <f aca="true">MAX(0.08,NORMINV(RAND(),$B$8,$C$8))</f>
        <v>0.13225465956092</v>
      </c>
      <c r="E416" s="70" t="n">
        <f aca="true">MAX(4,NORMINV(RAND(),$B$9,$C$9))</f>
        <v>8.13376869271311</v>
      </c>
      <c r="F416" s="27" t="n">
        <f aca="false">$B$18*(1+(B416+$B$17)/2)^9</f>
        <v>9207.03945661697</v>
      </c>
      <c r="G416" s="27" t="n">
        <f aca="false">F416*C416</f>
        <v>1778.70090003178</v>
      </c>
      <c r="H416" s="27" t="n">
        <f aca="false">E416*G416/(1+D416)^9</f>
        <v>4730.39811758673</v>
      </c>
      <c r="I416" s="27" t="n">
        <f aca="false">$B$13*G416/$B$12*((1+$B$8)/(1+D416))^4.5</f>
        <v>2749.36106680732</v>
      </c>
      <c r="J416" s="27" t="n">
        <f aca="false">H416+I416+$B$14</f>
        <v>9566.15806247625</v>
      </c>
      <c r="K416" s="45" t="n">
        <f aca="false">J416/$B$15</f>
        <v>15.1843778769464</v>
      </c>
    </row>
    <row r="417" customFormat="false" ht="15" hidden="false" customHeight="true" outlineLevel="0" collapsed="false">
      <c r="A417" s="74" t="n">
        <v>377</v>
      </c>
      <c r="B417" s="22" t="n">
        <f aca="true">NORMINV(RAND(),$B$6,$C$6)</f>
        <v>0.205086892262864</v>
      </c>
      <c r="C417" s="22" t="n">
        <f aca="true">MAX(0.03,NORMINV(RAND(),$B$7,$C$7))</f>
        <v>0.159725668013031</v>
      </c>
      <c r="D417" s="34" t="n">
        <f aca="true">MAX(0.08,NORMINV(RAND(),$B$8,$C$8))</f>
        <v>0.142094775308564</v>
      </c>
      <c r="E417" s="70" t="n">
        <f aca="true">MAX(4,NORMINV(RAND(),$B$9,$C$9))</f>
        <v>10.8251455839528</v>
      </c>
      <c r="F417" s="27" t="n">
        <f aca="false">$B$18*(1+(B417+$B$17)/2)^9</f>
        <v>8162.74238526094</v>
      </c>
      <c r="G417" s="27" t="n">
        <f aca="false">F417*C417</f>
        <v>1303.79948030409</v>
      </c>
      <c r="H417" s="27" t="n">
        <f aca="false">E417*G417/(1+D417)^9</f>
        <v>4268.99106900197</v>
      </c>
      <c r="I417" s="27" t="n">
        <f aca="false">$B$13*G417/$B$12*((1+$B$8)/(1+D417))^4.5</f>
        <v>1938.33362799716</v>
      </c>
      <c r="J417" s="27" t="n">
        <f aca="false">H417+I417+$B$14</f>
        <v>8293.72357508132</v>
      </c>
      <c r="K417" s="45" t="n">
        <f aca="false">J417/$B$15</f>
        <v>13.1646405953672</v>
      </c>
    </row>
    <row r="418" customFormat="false" ht="15" hidden="false" customHeight="true" outlineLevel="0" collapsed="false">
      <c r="A418" s="74" t="n">
        <v>378</v>
      </c>
      <c r="B418" s="22" t="n">
        <f aca="true">NORMINV(RAND(),$B$6,$C$6)</f>
        <v>0.155287342917546</v>
      </c>
      <c r="C418" s="22" t="n">
        <f aca="true">MAX(0.03,NORMINV(RAND(),$B$7,$C$7))</f>
        <v>0.194771734440227</v>
      </c>
      <c r="D418" s="34" t="n">
        <f aca="true">MAX(0.08,NORMINV(RAND(),$B$8,$C$8))</f>
        <v>0.141238296602165</v>
      </c>
      <c r="E418" s="70" t="n">
        <f aca="true">MAX(4,NORMINV(RAND(),$B$9,$C$9))</f>
        <v>11.569801419041</v>
      </c>
      <c r="F418" s="27" t="n">
        <f aca="false">$B$18*(1+(B418+$B$17)/2)^9</f>
        <v>6676.56726348678</v>
      </c>
      <c r="G418" s="27" t="n">
        <f aca="false">F418*C418</f>
        <v>1300.40658601616</v>
      </c>
      <c r="H418" s="27" t="n">
        <f aca="false">E418*G418/(1+D418)^9</f>
        <v>4581.60910705439</v>
      </c>
      <c r="I418" s="27" t="n">
        <f aca="false">$B$13*G418/$B$12*((1+$B$8)/(1+D418))^4.5</f>
        <v>1939.8271020956</v>
      </c>
      <c r="J418" s="27" t="n">
        <f aca="false">H418+I418+$B$14</f>
        <v>8607.83508723218</v>
      </c>
      <c r="K418" s="45" t="n">
        <f aca="false">J418/$B$15</f>
        <v>13.6632302971939</v>
      </c>
    </row>
    <row r="419" customFormat="false" ht="15" hidden="false" customHeight="true" outlineLevel="0" collapsed="false">
      <c r="A419" s="74" t="n">
        <v>379</v>
      </c>
      <c r="B419" s="22" t="n">
        <f aca="true">NORMINV(RAND(),$B$6,$C$6)</f>
        <v>0.241044792820596</v>
      </c>
      <c r="C419" s="22" t="n">
        <f aca="true">MAX(0.03,NORMINV(RAND(),$B$7,$C$7))</f>
        <v>0.25120806527139</v>
      </c>
      <c r="D419" s="34" t="n">
        <f aca="true">MAX(0.08,NORMINV(RAND(),$B$8,$C$8))</f>
        <v>0.136641539653215</v>
      </c>
      <c r="E419" s="70" t="n">
        <f aca="true">MAX(4,NORMINV(RAND(),$B$9,$C$9))</f>
        <v>10.7107189948574</v>
      </c>
      <c r="F419" s="27" t="n">
        <f aca="false">$B$18*(1+(B419+$B$17)/2)^9</f>
        <v>9411.7154259948</v>
      </c>
      <c r="G419" s="27" t="n">
        <f aca="false">F419*C419</f>
        <v>2364.29882304905</v>
      </c>
      <c r="H419" s="27" t="n">
        <f aca="false">E419*G419/(1+D419)^9</f>
        <v>7996.67191050507</v>
      </c>
      <c r="I419" s="27" t="n">
        <f aca="false">$B$13*G419/$B$12*((1+$B$8)/(1+D419))^4.5</f>
        <v>3591.48360044428</v>
      </c>
      <c r="J419" s="27" t="n">
        <f aca="false">H419+I419+$B$14</f>
        <v>13674.5543890315</v>
      </c>
      <c r="K419" s="45" t="n">
        <f aca="false">J419/$B$15</f>
        <v>21.7056418873516</v>
      </c>
    </row>
    <row r="420" customFormat="false" ht="15" hidden="false" customHeight="true" outlineLevel="0" collapsed="false">
      <c r="A420" s="74" t="n">
        <v>380</v>
      </c>
      <c r="B420" s="22" t="n">
        <f aca="true">NORMINV(RAND(),$B$6,$C$6)</f>
        <v>0.231219713520369</v>
      </c>
      <c r="C420" s="22" t="n">
        <f aca="true">MAX(0.03,NORMINV(RAND(),$B$7,$C$7))</f>
        <v>0.223484873364329</v>
      </c>
      <c r="D420" s="34" t="n">
        <f aca="true">MAX(0.08,NORMINV(RAND(),$B$8,$C$8))</f>
        <v>0.12374275893922</v>
      </c>
      <c r="E420" s="70" t="n">
        <f aca="true">MAX(4,NORMINV(RAND(),$B$9,$C$9))</f>
        <v>9.79421987560248</v>
      </c>
      <c r="F420" s="27" t="n">
        <f aca="false">$B$18*(1+(B420+$B$17)/2)^9</f>
        <v>9054.62791474394</v>
      </c>
      <c r="G420" s="27" t="n">
        <f aca="false">F420*C420</f>
        <v>2023.57237288767</v>
      </c>
      <c r="H420" s="27" t="n">
        <f aca="false">E420*G420/(1+D420)^9</f>
        <v>6935.63827166422</v>
      </c>
      <c r="I420" s="27" t="n">
        <f aca="false">$B$13*G420/$B$12*((1+$B$8)/(1+D420))^4.5</f>
        <v>3235.89962397185</v>
      </c>
      <c r="J420" s="27" t="n">
        <f aca="false">H420+I420+$B$14</f>
        <v>12257.9367737183</v>
      </c>
      <c r="K420" s="45" t="n">
        <f aca="false">J420/$B$15</f>
        <v>19.4570424979655</v>
      </c>
    </row>
    <row r="421" customFormat="false" ht="15" hidden="false" customHeight="true" outlineLevel="0" collapsed="false">
      <c r="A421" s="74" t="n">
        <v>381</v>
      </c>
      <c r="B421" s="22" t="n">
        <f aca="true">NORMINV(RAND(),$B$6,$C$6)</f>
        <v>0.265272444865985</v>
      </c>
      <c r="C421" s="22" t="n">
        <f aca="true">MAX(0.03,NORMINV(RAND(),$B$7,$C$7))</f>
        <v>0.204754510364496</v>
      </c>
      <c r="D421" s="34" t="n">
        <f aca="true">MAX(0.08,NORMINV(RAND(),$B$8,$C$8))</f>
        <v>0.129869740401751</v>
      </c>
      <c r="E421" s="70" t="n">
        <f aca="true">MAX(4,NORMINV(RAND(),$B$9,$C$9))</f>
        <v>10.0842806840826</v>
      </c>
      <c r="F421" s="27" t="n">
        <f aca="false">$B$18*(1+(B421+$B$17)/2)^9</f>
        <v>10346.3101331097</v>
      </c>
      <c r="G421" s="27" t="n">
        <f aca="false">F421*C421</f>
        <v>2118.4536653841</v>
      </c>
      <c r="H421" s="27" t="n">
        <f aca="false">E421*G421/(1+D421)^9</f>
        <v>7118.82792120638</v>
      </c>
      <c r="I421" s="27" t="n">
        <f aca="false">$B$13*G421/$B$12*((1+$B$8)/(1+D421))^4.5</f>
        <v>3305.73965917021</v>
      </c>
      <c r="J421" s="27" t="n">
        <f aca="false">H421+I421+$B$14</f>
        <v>12510.9664584588</v>
      </c>
      <c r="K421" s="45" t="n">
        <f aca="false">J421/$B$15</f>
        <v>19.8586769181885</v>
      </c>
    </row>
    <row r="422" customFormat="false" ht="15" hidden="false" customHeight="true" outlineLevel="0" collapsed="false">
      <c r="A422" s="74" t="n">
        <v>382</v>
      </c>
      <c r="B422" s="22" t="n">
        <f aca="true">NORMINV(RAND(),$B$6,$C$6)</f>
        <v>0.246735033015861</v>
      </c>
      <c r="C422" s="22" t="n">
        <f aca="true">MAX(0.03,NORMINV(RAND(),$B$7,$C$7))</f>
        <v>0.17828017607024</v>
      </c>
      <c r="D422" s="34" t="n">
        <f aca="true">MAX(0.08,NORMINV(RAND(),$B$8,$C$8))</f>
        <v>0.140994664296685</v>
      </c>
      <c r="E422" s="70" t="n">
        <f aca="true">MAX(4,NORMINV(RAND(),$B$9,$C$9))</f>
        <v>10.5053820016295</v>
      </c>
      <c r="F422" s="27" t="n">
        <f aca="false">$B$18*(1+(B422+$B$17)/2)^9</f>
        <v>9624.19954771188</v>
      </c>
      <c r="G422" s="27" t="n">
        <f aca="false">F422*C422</f>
        <v>1715.8039899012</v>
      </c>
      <c r="H422" s="27" t="n">
        <f aca="false">E422*G422/(1+D422)^9</f>
        <v>5499.54805037859</v>
      </c>
      <c r="I422" s="27" t="n">
        <f aca="false">$B$13*G422/$B$12*((1+$B$8)/(1+D422))^4.5</f>
        <v>2561.93903544083</v>
      </c>
      <c r="J422" s="27" t="n">
        <f aca="false">H422+I422+$B$14</f>
        <v>10147.8859639016</v>
      </c>
      <c r="K422" s="45" t="n">
        <f aca="false">J422/$B$15</f>
        <v>16.1077554982565</v>
      </c>
    </row>
    <row r="423" customFormat="false" ht="15" hidden="false" customHeight="true" outlineLevel="0" collapsed="false">
      <c r="A423" s="74" t="n">
        <v>383</v>
      </c>
      <c r="B423" s="22" t="n">
        <f aca="true">NORMINV(RAND(),$B$6,$C$6)</f>
        <v>0.177086849256757</v>
      </c>
      <c r="C423" s="22" t="n">
        <f aca="true">MAX(0.03,NORMINV(RAND(),$B$7,$C$7))</f>
        <v>0.211941128696856</v>
      </c>
      <c r="D423" s="34" t="n">
        <f aca="true">MAX(0.08,NORMINV(RAND(),$B$8,$C$8))</f>
        <v>0.129485959258066</v>
      </c>
      <c r="E423" s="70" t="n">
        <f aca="true">MAX(4,NORMINV(RAND(),$B$9,$C$9))</f>
        <v>14.0817305161422</v>
      </c>
      <c r="F423" s="27" t="n">
        <f aca="false">$B$18*(1+(B423+$B$17)/2)^9</f>
        <v>7294.59099082745</v>
      </c>
      <c r="G423" s="27" t="n">
        <f aca="false">F423*C423</f>
        <v>1546.02384797789</v>
      </c>
      <c r="H423" s="27" t="n">
        <f aca="false">E423*G423/(1+D423)^9</f>
        <v>7276.87121438701</v>
      </c>
      <c r="I423" s="27" t="n">
        <f aca="false">$B$13*G423/$B$12*((1+$B$8)/(1+D423))^4.5</f>
        <v>2416.18287953583</v>
      </c>
      <c r="J423" s="27" t="n">
        <f aca="false">H423+I423+$B$14</f>
        <v>11779.452972005</v>
      </c>
      <c r="K423" s="45" t="n">
        <f aca="false">J423/$B$15</f>
        <v>18.697544400008</v>
      </c>
    </row>
    <row r="424" customFormat="false" ht="15" hidden="false" customHeight="true" outlineLevel="0" collapsed="false">
      <c r="A424" s="74" t="n">
        <v>384</v>
      </c>
      <c r="B424" s="22" t="n">
        <f aca="true">NORMINV(RAND(),$B$6,$C$6)</f>
        <v>0.165215142764471</v>
      </c>
      <c r="C424" s="22" t="n">
        <f aca="true">MAX(0.03,NORMINV(RAND(),$B$7,$C$7))</f>
        <v>0.151105430063939</v>
      </c>
      <c r="D424" s="34" t="n">
        <f aca="true">MAX(0.08,NORMINV(RAND(),$B$8,$C$8))</f>
        <v>0.145275239067531</v>
      </c>
      <c r="E424" s="70" t="n">
        <f aca="true">MAX(4,NORMINV(RAND(),$B$9,$C$9))</f>
        <v>6.95903537245767</v>
      </c>
      <c r="F424" s="27" t="n">
        <f aca="false">$B$18*(1+(B424+$B$17)/2)^9</f>
        <v>6952.00007749426</v>
      </c>
      <c r="G424" s="27" t="n">
        <f aca="false">F424*C424</f>
        <v>1050.4849615143</v>
      </c>
      <c r="H424" s="27" t="n">
        <f aca="false">E424*G424/(1+D424)^9</f>
        <v>2156.50287487451</v>
      </c>
      <c r="I424" s="27" t="n">
        <f aca="false">$B$13*G424/$B$12*((1+$B$8)/(1+D424))^4.5</f>
        <v>1542.31398582025</v>
      </c>
      <c r="J424" s="27" t="n">
        <f aca="false">H424+I424+$B$14</f>
        <v>5785.21573877695</v>
      </c>
      <c r="K424" s="45" t="n">
        <f aca="false">J424/$B$15</f>
        <v>9.18288212504278</v>
      </c>
    </row>
    <row r="425" customFormat="false" ht="15" hidden="false" customHeight="true" outlineLevel="0" collapsed="false">
      <c r="A425" s="74" t="n">
        <v>385</v>
      </c>
      <c r="B425" s="22" t="n">
        <f aca="true">NORMINV(RAND(),$B$6,$C$6)</f>
        <v>0.118105742628904</v>
      </c>
      <c r="C425" s="22" t="n">
        <f aca="true">MAX(0.03,NORMINV(RAND(),$B$7,$C$7))</f>
        <v>0.202285051569502</v>
      </c>
      <c r="D425" s="34" t="n">
        <f aca="true">MAX(0.08,NORMINV(RAND(),$B$8,$C$8))</f>
        <v>0.140544274302758</v>
      </c>
      <c r="E425" s="70" t="n">
        <f aca="true">MAX(4,NORMINV(RAND(),$B$9,$C$9))</f>
        <v>14.2051558824085</v>
      </c>
      <c r="F425" s="27" t="n">
        <f aca="false">$B$18*(1+(B425+$B$17)/2)^9</f>
        <v>5729.15672114182</v>
      </c>
      <c r="G425" s="27" t="n">
        <f aca="false">F425*C425</f>
        <v>1158.92276278593</v>
      </c>
      <c r="H425" s="27" t="n">
        <f aca="false">E425*G425/(1+D425)^9</f>
        <v>5040.70357859247</v>
      </c>
      <c r="I425" s="27" t="n">
        <f aca="false">$B$13*G425/$B$12*((1+$B$8)/(1+D425))^4.5</f>
        <v>1733.51339786645</v>
      </c>
      <c r="J425" s="27" t="n">
        <f aca="false">H425+I425+$B$14</f>
        <v>8860.61585454112</v>
      </c>
      <c r="K425" s="45" t="n">
        <f aca="false">J425/$B$15</f>
        <v>14.0644696103827</v>
      </c>
    </row>
    <row r="426" customFormat="false" ht="15" hidden="false" customHeight="true" outlineLevel="0" collapsed="false">
      <c r="A426" s="74" t="n">
        <v>386</v>
      </c>
      <c r="B426" s="22" t="n">
        <f aca="true">NORMINV(RAND(),$B$6,$C$6)</f>
        <v>0.23642898727165</v>
      </c>
      <c r="C426" s="22" t="n">
        <f aca="true">MAX(0.03,NORMINV(RAND(),$B$7,$C$7))</f>
        <v>0.191978953069211</v>
      </c>
      <c r="D426" s="34" t="n">
        <f aca="true">MAX(0.08,NORMINV(RAND(),$B$8,$C$8))</f>
        <v>0.150040936873373</v>
      </c>
      <c r="E426" s="70" t="n">
        <f aca="true">MAX(4,NORMINV(RAND(),$B$9,$C$9))</f>
        <v>13.1606338337121</v>
      </c>
      <c r="F426" s="27" t="n">
        <f aca="false">$B$18*(1+(B426+$B$17)/2)^9</f>
        <v>9242.42684758183</v>
      </c>
      <c r="G426" s="27" t="n">
        <f aca="false">F426*C426</f>
        <v>1774.35143001752</v>
      </c>
      <c r="H426" s="27" t="n">
        <f aca="false">E426*G426/(1+D426)^9</f>
        <v>6635.8528780351</v>
      </c>
      <c r="I426" s="27" t="n">
        <f aca="false">$B$13*G426/$B$12*((1+$B$8)/(1+D426))^4.5</f>
        <v>2556.86130197189</v>
      </c>
      <c r="J426" s="27" t="n">
        <f aca="false">H426+I426+$B$14</f>
        <v>11279.1130580892</v>
      </c>
      <c r="K426" s="45" t="n">
        <f aca="false">J426/$B$15</f>
        <v>17.903354060459</v>
      </c>
    </row>
    <row r="427" customFormat="false" ht="15" hidden="false" customHeight="true" outlineLevel="0" collapsed="false">
      <c r="A427" s="74" t="n">
        <v>387</v>
      </c>
      <c r="B427" s="22" t="n">
        <f aca="true">NORMINV(RAND(),$B$6,$C$6)</f>
        <v>0.154822256664771</v>
      </c>
      <c r="C427" s="22" t="n">
        <f aca="true">MAX(0.03,NORMINV(RAND(),$B$7,$C$7))</f>
        <v>0.206663293540656</v>
      </c>
      <c r="D427" s="34" t="n">
        <f aca="true">MAX(0.08,NORMINV(RAND(),$B$8,$C$8))</f>
        <v>0.135895393737409</v>
      </c>
      <c r="E427" s="70" t="n">
        <f aca="true">MAX(4,NORMINV(RAND(),$B$9,$C$9))</f>
        <v>12.4929514417062</v>
      </c>
      <c r="F427" s="27" t="n">
        <f aca="false">$B$18*(1+(B427+$B$17)/2)^9</f>
        <v>6663.9053973497</v>
      </c>
      <c r="G427" s="27" t="n">
        <f aca="false">F427*C427</f>
        <v>1377.18463725964</v>
      </c>
      <c r="H427" s="27" t="n">
        <f aca="false">E427*G427/(1+D427)^9</f>
        <v>5465.27696560343</v>
      </c>
      <c r="I427" s="27" t="n">
        <f aca="false">$B$13*G427/$B$12*((1+$B$8)/(1+D427))^4.5</f>
        <v>2098.20068721496</v>
      </c>
      <c r="J427" s="27" t="n">
        <f aca="false">H427+I427+$B$14</f>
        <v>9649.87653090058</v>
      </c>
      <c r="K427" s="45" t="n">
        <f aca="false">J427/$B$15</f>
        <v>15.3172643347628</v>
      </c>
    </row>
    <row r="428" customFormat="false" ht="15" hidden="false" customHeight="true" outlineLevel="0" collapsed="false">
      <c r="A428" s="74" t="n">
        <v>388</v>
      </c>
      <c r="B428" s="22" t="n">
        <f aca="true">NORMINV(RAND(),$B$6,$C$6)</f>
        <v>0.258510297462715</v>
      </c>
      <c r="C428" s="22" t="n">
        <f aca="true">MAX(0.03,NORMINV(RAND(),$B$7,$C$7))</f>
        <v>0.222860123707973</v>
      </c>
      <c r="D428" s="34" t="n">
        <f aca="true">MAX(0.08,NORMINV(RAND(),$B$8,$C$8))</f>
        <v>0.141028561403454</v>
      </c>
      <c r="E428" s="70" t="n">
        <f aca="true">MAX(4,NORMINV(RAND(),$B$9,$C$9))</f>
        <v>11.2615457780707</v>
      </c>
      <c r="F428" s="27" t="n">
        <f aca="false">$B$18*(1+(B428+$B$17)/2)^9</f>
        <v>10077.5023932074</v>
      </c>
      <c r="G428" s="27" t="n">
        <f aca="false">F428*C428</f>
        <v>2245.8734300176</v>
      </c>
      <c r="H428" s="27" t="n">
        <f aca="false">E428*G428/(1+D428)^9</f>
        <v>7714.62187333588</v>
      </c>
      <c r="I428" s="27" t="n">
        <f aca="false">$B$13*G428/$B$12*((1+$B$8)/(1+D428))^4.5</f>
        <v>3352.95971714729</v>
      </c>
      <c r="J428" s="27" t="n">
        <f aca="false">H428+I428+$B$14</f>
        <v>13153.9804685654</v>
      </c>
      <c r="K428" s="45" t="n">
        <f aca="false">J428/$B$15</f>
        <v>20.8793340770879</v>
      </c>
    </row>
    <row r="429" customFormat="false" ht="15" hidden="false" customHeight="true" outlineLevel="0" collapsed="false">
      <c r="A429" s="74" t="n">
        <v>389</v>
      </c>
      <c r="B429" s="22" t="n">
        <f aca="true">NORMINV(RAND(),$B$6,$C$6)</f>
        <v>0.212302786646567</v>
      </c>
      <c r="C429" s="22" t="n">
        <f aca="true">MAX(0.03,NORMINV(RAND(),$B$7,$C$7))</f>
        <v>0.223698366331609</v>
      </c>
      <c r="D429" s="34" t="n">
        <f aca="true">MAX(0.08,NORMINV(RAND(),$B$8,$C$8))</f>
        <v>0.123372651326788</v>
      </c>
      <c r="E429" s="70" t="n">
        <f aca="true">MAX(4,NORMINV(RAND(),$B$9,$C$9))</f>
        <v>10.114547866042</v>
      </c>
      <c r="F429" s="27" t="n">
        <f aca="false">$B$18*(1+(B429+$B$17)/2)^9</f>
        <v>8400.84823298654</v>
      </c>
      <c r="G429" s="27" t="n">
        <f aca="false">F429*C429</f>
        <v>1879.25602551887</v>
      </c>
      <c r="H429" s="27" t="n">
        <f aca="false">E429*G429/(1+D429)^9</f>
        <v>6671.41266461217</v>
      </c>
      <c r="I429" s="27" t="n">
        <f aca="false">$B$13*G429/$B$12*((1+$B$8)/(1+D429))^4.5</f>
        <v>3009.58088307613</v>
      </c>
      <c r="J429" s="27" t="n">
        <f aca="false">H429+I429+$B$14</f>
        <v>11767.3924257705</v>
      </c>
      <c r="K429" s="45" t="n">
        <f aca="false">J429/$B$15</f>
        <v>18.6784006758262</v>
      </c>
    </row>
    <row r="430" customFormat="false" ht="15" hidden="false" customHeight="true" outlineLevel="0" collapsed="false">
      <c r="A430" s="74" t="n">
        <v>390</v>
      </c>
      <c r="B430" s="22" t="n">
        <f aca="true">NORMINV(RAND(),$B$6,$C$6)</f>
        <v>0.117317164617449</v>
      </c>
      <c r="C430" s="22" t="n">
        <f aca="true">MAX(0.03,NORMINV(RAND(),$B$7,$C$7))</f>
        <v>0.216933904338459</v>
      </c>
      <c r="D430" s="34" t="n">
        <f aca="true">MAX(0.08,NORMINV(RAND(),$B$8,$C$8))</f>
        <v>0.13135798127529</v>
      </c>
      <c r="E430" s="70" t="n">
        <f aca="true">MAX(4,NORMINV(RAND(),$B$9,$C$9))</f>
        <v>16.1882853526882</v>
      </c>
      <c r="F430" s="27" t="n">
        <f aca="false">$B$18*(1+(B430+$B$17)/2)^9</f>
        <v>5710.42983155162</v>
      </c>
      <c r="G430" s="27" t="n">
        <f aca="false">F430*C430</f>
        <v>1238.7858388093</v>
      </c>
      <c r="H430" s="27" t="n">
        <f aca="false">E430*G430/(1+D430)^9</f>
        <v>6603.84206759822</v>
      </c>
      <c r="I430" s="27" t="n">
        <f aca="false">$B$13*G430/$B$12*((1+$B$8)/(1+D430))^4.5</f>
        <v>1921.64609637852</v>
      </c>
      <c r="J430" s="27" t="n">
        <f aca="false">H430+I430+$B$14</f>
        <v>10611.8870420589</v>
      </c>
      <c r="K430" s="45" t="n">
        <f aca="false">J430/$B$15</f>
        <v>16.8442651461253</v>
      </c>
    </row>
    <row r="431" customFormat="false" ht="15" hidden="false" customHeight="true" outlineLevel="0" collapsed="false">
      <c r="A431" s="74" t="n">
        <v>391</v>
      </c>
      <c r="B431" s="22" t="n">
        <f aca="true">NORMINV(RAND(),$B$6,$C$6)</f>
        <v>0.151230401877028</v>
      </c>
      <c r="C431" s="22" t="n">
        <f aca="true">MAX(0.03,NORMINV(RAND(),$B$7,$C$7))</f>
        <v>0.187780257479088</v>
      </c>
      <c r="D431" s="34" t="n">
        <f aca="true">MAX(0.08,NORMINV(RAND(),$B$8,$C$8))</f>
        <v>0.133434123570401</v>
      </c>
      <c r="E431" s="70" t="n">
        <f aca="true">MAX(4,NORMINV(RAND(),$B$9,$C$9))</f>
        <v>13.5324852785984</v>
      </c>
      <c r="F431" s="27" t="n">
        <f aca="false">$B$18*(1+(B431+$B$17)/2)^9</f>
        <v>6566.83472460197</v>
      </c>
      <c r="G431" s="27" t="n">
        <f aca="false">F431*C431</f>
        <v>1233.12191540837</v>
      </c>
      <c r="H431" s="27" t="n">
        <f aca="false">E431*G431/(1+D431)^9</f>
        <v>5405.26546246786</v>
      </c>
      <c r="I431" s="27" t="n">
        <f aca="false">$B$13*G431/$B$12*((1+$B$8)/(1+D431))^4.5</f>
        <v>1897.14322266361</v>
      </c>
      <c r="J431" s="27" t="n">
        <f aca="false">H431+I431+$B$14</f>
        <v>9388.80756321367</v>
      </c>
      <c r="K431" s="45" t="n">
        <f aca="false">J431/$B$15</f>
        <v>14.9028691479582</v>
      </c>
    </row>
    <row r="432" customFormat="false" ht="15" hidden="false" customHeight="true" outlineLevel="0" collapsed="false">
      <c r="A432" s="74" t="n">
        <v>392</v>
      </c>
      <c r="B432" s="22" t="n">
        <f aca="true">NORMINV(RAND(),$B$6,$C$6)</f>
        <v>0.299682167261131</v>
      </c>
      <c r="C432" s="22" t="n">
        <f aca="true">MAX(0.03,NORMINV(RAND(),$B$7,$C$7))</f>
        <v>0.176744439740945</v>
      </c>
      <c r="D432" s="34" t="n">
        <f aca="true">MAX(0.08,NORMINV(RAND(),$B$8,$C$8))</f>
        <v>0.12859838728796</v>
      </c>
      <c r="E432" s="70" t="n">
        <f aca="true">MAX(4,NORMINV(RAND(),$B$9,$C$9))</f>
        <v>9.88325123075329</v>
      </c>
      <c r="F432" s="27" t="n">
        <f aca="false">$B$18*(1+(B432+$B$17)/2)^9</f>
        <v>11815.4060828537</v>
      </c>
      <c r="G432" s="27" t="n">
        <f aca="false">F432*C432</f>
        <v>2088.30732842573</v>
      </c>
      <c r="H432" s="27" t="n">
        <f aca="false">E432*G432/(1+D432)^9</f>
        <v>6947.67379833182</v>
      </c>
      <c r="I432" s="27" t="n">
        <f aca="false">$B$13*G432/$B$12*((1+$B$8)/(1+D432))^4.5</f>
        <v>3275.24940786895</v>
      </c>
      <c r="J432" s="27" t="n">
        <f aca="false">H432+I432+$B$14</f>
        <v>12309.322084283</v>
      </c>
      <c r="K432" s="45" t="n">
        <f aca="false">J432/$B$15</f>
        <v>19.5386064829888</v>
      </c>
    </row>
    <row r="433" customFormat="false" ht="15" hidden="false" customHeight="true" outlineLevel="0" collapsed="false">
      <c r="A433" s="74" t="n">
        <v>393</v>
      </c>
      <c r="B433" s="22" t="n">
        <f aca="true">NORMINV(RAND(),$B$6,$C$6)</f>
        <v>0.177243354045041</v>
      </c>
      <c r="C433" s="22" t="n">
        <f aca="true">MAX(0.03,NORMINV(RAND(),$B$7,$C$7))</f>
        <v>0.200445513215528</v>
      </c>
      <c r="D433" s="34" t="n">
        <f aca="true">MAX(0.08,NORMINV(RAND(),$B$8,$C$8))</f>
        <v>0.151697168760544</v>
      </c>
      <c r="E433" s="70" t="n">
        <f aca="true">MAX(4,NORMINV(RAND(),$B$9,$C$9))</f>
        <v>11.9335615887025</v>
      </c>
      <c r="F433" s="27" t="n">
        <f aca="false">$B$18*(1+(B433+$B$17)/2)^9</f>
        <v>7299.20582405984</v>
      </c>
      <c r="G433" s="27" t="n">
        <f aca="false">F433*C433</f>
        <v>1463.09305746945</v>
      </c>
      <c r="H433" s="27" t="n">
        <f aca="false">E433*G433/(1+D433)^9</f>
        <v>4897.75814513691</v>
      </c>
      <c r="I433" s="27" t="n">
        <f aca="false">$B$13*G433/$B$12*((1+$B$8)/(1+D433))^4.5</f>
        <v>2094.72483370859</v>
      </c>
      <c r="J433" s="27" t="n">
        <f aca="false">H433+I433+$B$14</f>
        <v>9078.88185692769</v>
      </c>
      <c r="K433" s="45" t="n">
        <f aca="false">J433/$B$15</f>
        <v>14.4109235824249</v>
      </c>
    </row>
    <row r="434" customFormat="false" ht="15" hidden="false" customHeight="true" outlineLevel="0" collapsed="false">
      <c r="A434" s="74" t="n">
        <v>394</v>
      </c>
      <c r="B434" s="22" t="n">
        <f aca="true">NORMINV(RAND(),$B$6,$C$6)</f>
        <v>0.187088611506879</v>
      </c>
      <c r="C434" s="22" t="n">
        <f aca="true">MAX(0.03,NORMINV(RAND(),$B$7,$C$7))</f>
        <v>0.248458716006639</v>
      </c>
      <c r="D434" s="34" t="n">
        <f aca="true">MAX(0.08,NORMINV(RAND(),$B$8,$C$8))</f>
        <v>0.122135900617629</v>
      </c>
      <c r="E434" s="70" t="n">
        <f aca="true">MAX(4,NORMINV(RAND(),$B$9,$C$9))</f>
        <v>13.6867077621361</v>
      </c>
      <c r="F434" s="27" t="n">
        <f aca="false">$B$18*(1+(B434+$B$17)/2)^9</f>
        <v>7594.780858124</v>
      </c>
      <c r="G434" s="27" t="n">
        <f aca="false">F434*C434</f>
        <v>1886.98950036129</v>
      </c>
      <c r="H434" s="27" t="n">
        <f aca="false">E434*G434/(1+D434)^9</f>
        <v>9155.02142053545</v>
      </c>
      <c r="I434" s="27" t="n">
        <f aca="false">$B$13*G434/$B$12*((1+$B$8)/(1+D434))^4.5</f>
        <v>3036.98261187024</v>
      </c>
      <c r="J434" s="27" t="n">
        <f aca="false">H434+I434+$B$14</f>
        <v>14278.4029104879</v>
      </c>
      <c r="K434" s="45" t="n">
        <f aca="false">J434/$B$15</f>
        <v>22.664131603949</v>
      </c>
    </row>
    <row r="435" customFormat="false" ht="15" hidden="false" customHeight="true" outlineLevel="0" collapsed="false">
      <c r="A435" s="74" t="n">
        <v>395</v>
      </c>
      <c r="B435" s="22" t="n">
        <f aca="true">NORMINV(RAND(),$B$6,$C$6)</f>
        <v>0.187572802128573</v>
      </c>
      <c r="C435" s="22" t="n">
        <f aca="true">MAX(0.03,NORMINV(RAND(),$B$7,$C$7))</f>
        <v>0.242554311910303</v>
      </c>
      <c r="D435" s="34" t="n">
        <f aca="true">MAX(0.08,NORMINV(RAND(),$B$8,$C$8))</f>
        <v>0.158632189774688</v>
      </c>
      <c r="E435" s="70" t="n">
        <f aca="true">MAX(4,NORMINV(RAND(),$B$9,$C$9))</f>
        <v>8.71010369510827</v>
      </c>
      <c r="F435" s="27" t="n">
        <f aca="false">$B$18*(1+(B435+$B$17)/2)^9</f>
        <v>7609.58785419395</v>
      </c>
      <c r="G435" s="27" t="n">
        <f aca="false">F435*C435</f>
        <v>1845.73834589501</v>
      </c>
      <c r="H435" s="27" t="n">
        <f aca="false">E435*G435/(1+D435)^9</f>
        <v>4272.51060140633</v>
      </c>
      <c r="I435" s="27" t="n">
        <f aca="false">$B$13*G435/$B$12*((1+$B$8)/(1+D435))^4.5</f>
        <v>2572.12669994045</v>
      </c>
      <c r="J435" s="27" t="n">
        <f aca="false">H435+I435+$B$14</f>
        <v>8931.03617942898</v>
      </c>
      <c r="K435" s="45" t="n">
        <f aca="false">J435/$B$15</f>
        <v>14.1762479038555</v>
      </c>
    </row>
    <row r="436" customFormat="false" ht="15" hidden="false" customHeight="true" outlineLevel="0" collapsed="false">
      <c r="A436" s="74" t="n">
        <v>396</v>
      </c>
      <c r="B436" s="22" t="n">
        <f aca="true">NORMINV(RAND(),$B$6,$C$6)</f>
        <v>0.153956656803139</v>
      </c>
      <c r="C436" s="22" t="n">
        <f aca="true">MAX(0.03,NORMINV(RAND(),$B$7,$C$7))</f>
        <v>0.207890865548217</v>
      </c>
      <c r="D436" s="34" t="n">
        <f aca="true">MAX(0.08,NORMINV(RAND(),$B$8,$C$8))</f>
        <v>0.129478571796506</v>
      </c>
      <c r="E436" s="70" t="n">
        <f aca="true">MAX(4,NORMINV(RAND(),$B$9,$C$9))</f>
        <v>12.8843733776358</v>
      </c>
      <c r="F436" s="27" t="n">
        <f aca="false">$B$18*(1+(B436+$B$17)/2)^9</f>
        <v>6640.39645936265</v>
      </c>
      <c r="G436" s="27" t="n">
        <f aca="false">F436*C436</f>
        <v>1380.47776752022</v>
      </c>
      <c r="H436" s="27" t="n">
        <f aca="false">E436*G436/(1+D436)^9</f>
        <v>5945.5324604075</v>
      </c>
      <c r="I436" s="27" t="n">
        <f aca="false">$B$13*G436/$B$12*((1+$B$8)/(1+D436))^4.5</f>
        <v>2157.52488245887</v>
      </c>
      <c r="J436" s="27" t="n">
        <f aca="false">H436+I436+$B$14</f>
        <v>10189.4562209486</v>
      </c>
      <c r="K436" s="45" t="n">
        <f aca="false">J436/$B$15</f>
        <v>16.1737400332517</v>
      </c>
    </row>
    <row r="437" customFormat="false" ht="15" hidden="false" customHeight="true" outlineLevel="0" collapsed="false">
      <c r="A437" s="74" t="n">
        <v>397</v>
      </c>
      <c r="B437" s="22" t="n">
        <f aca="true">NORMINV(RAND(),$B$6,$C$6)</f>
        <v>0.190940649838399</v>
      </c>
      <c r="C437" s="22" t="n">
        <f aca="true">MAX(0.03,NORMINV(RAND(),$B$7,$C$7))</f>
        <v>0.201669683650879</v>
      </c>
      <c r="D437" s="34" t="n">
        <f aca="true">MAX(0.08,NORMINV(RAND(),$B$8,$C$8))</f>
        <v>0.126770787896806</v>
      </c>
      <c r="E437" s="70" t="n">
        <f aca="true">MAX(4,NORMINV(RAND(),$B$9,$C$9))</f>
        <v>12.3863421971849</v>
      </c>
      <c r="F437" s="27" t="n">
        <f aca="false">$B$18*(1+(B437+$B$17)/2)^9</f>
        <v>7713.29171148177</v>
      </c>
      <c r="G437" s="27" t="n">
        <f aca="false">F437*C437</f>
        <v>1555.53709936148</v>
      </c>
      <c r="H437" s="27" t="n">
        <f aca="false">E437*G437/(1+D437)^9</f>
        <v>6581.17190628486</v>
      </c>
      <c r="I437" s="27" t="n">
        <f aca="false">$B$13*G437/$B$12*((1+$B$8)/(1+D437))^4.5</f>
        <v>2457.5233082464</v>
      </c>
      <c r="J437" s="27" t="n">
        <f aca="false">H437+I437+$B$14</f>
        <v>11125.0940926135</v>
      </c>
      <c r="K437" s="45" t="n">
        <f aca="false">J437/$B$15</f>
        <v>17.6588795120848</v>
      </c>
    </row>
    <row r="438" customFormat="false" ht="15" hidden="false" customHeight="true" outlineLevel="0" collapsed="false">
      <c r="A438" s="74" t="n">
        <v>398</v>
      </c>
      <c r="B438" s="22" t="n">
        <f aca="true">NORMINV(RAND(),$B$6,$C$6)</f>
        <v>0.167122896538535</v>
      </c>
      <c r="C438" s="22" t="n">
        <f aca="true">MAX(0.03,NORMINV(RAND(),$B$7,$C$7))</f>
        <v>0.219018113792467</v>
      </c>
      <c r="D438" s="34" t="n">
        <f aca="true">MAX(0.08,NORMINV(RAND(),$B$8,$C$8))</f>
        <v>0.126038368271251</v>
      </c>
      <c r="E438" s="70" t="n">
        <f aca="true">MAX(4,NORMINV(RAND(),$B$9,$C$9))</f>
        <v>10.124727825391</v>
      </c>
      <c r="F438" s="27" t="n">
        <f aca="false">$B$18*(1+(B438+$B$17)/2)^9</f>
        <v>7006.06992968814</v>
      </c>
      <c r="G438" s="27" t="n">
        <f aca="false">F438*C438</f>
        <v>1534.45622109842</v>
      </c>
      <c r="H438" s="27" t="n">
        <f aca="false">E438*G438/(1+D438)^9</f>
        <v>5337.76144649505</v>
      </c>
      <c r="I438" s="27" t="n">
        <f aca="false">$B$13*G438/$B$12*((1+$B$8)/(1+D438))^4.5</f>
        <v>2431.32228694005</v>
      </c>
      <c r="J438" s="27" t="n">
        <f aca="false">H438+I438+$B$14</f>
        <v>9855.48261151729</v>
      </c>
      <c r="K438" s="45" t="n">
        <f aca="false">J438/$B$15</f>
        <v>15.6436231928846</v>
      </c>
    </row>
    <row r="439" customFormat="false" ht="15" hidden="false" customHeight="true" outlineLevel="0" collapsed="false">
      <c r="A439" s="74" t="n">
        <v>399</v>
      </c>
      <c r="B439" s="22" t="n">
        <f aca="true">NORMINV(RAND(),$B$6,$C$6)</f>
        <v>0.234042701879211</v>
      </c>
      <c r="C439" s="22" t="n">
        <f aca="true">MAX(0.03,NORMINV(RAND(),$B$7,$C$7))</f>
        <v>0.233605292073897</v>
      </c>
      <c r="D439" s="34" t="n">
        <f aca="true">MAX(0.08,NORMINV(RAND(),$B$8,$C$8))</f>
        <v>0.12317840469141</v>
      </c>
      <c r="E439" s="70" t="n">
        <f aca="true">MAX(4,NORMINV(RAND(),$B$9,$C$9))</f>
        <v>9.33340847429378</v>
      </c>
      <c r="F439" s="27" t="n">
        <f aca="false">$B$18*(1+(B439+$B$17)/2)^9</f>
        <v>9155.97370556216</v>
      </c>
      <c r="G439" s="27" t="n">
        <f aca="false">F439*C439</f>
        <v>2138.88391170877</v>
      </c>
      <c r="H439" s="27" t="n">
        <f aca="false">E439*G439/(1+D439)^9</f>
        <v>7017.60281997028</v>
      </c>
      <c r="I439" s="27" t="n">
        <f aca="false">$B$13*G439/$B$12*((1+$B$8)/(1+D439))^4.5</f>
        <v>3428.03494933343</v>
      </c>
      <c r="J439" s="27" t="n">
        <f aca="false">H439+I439+$B$14</f>
        <v>12532.0366473859</v>
      </c>
      <c r="K439" s="45" t="n">
        <f aca="false">J439/$B$15</f>
        <v>19.8921216625173</v>
      </c>
    </row>
    <row r="440" customFormat="false" ht="15" hidden="false" customHeight="true" outlineLevel="0" collapsed="false">
      <c r="A440" s="74" t="n">
        <v>400</v>
      </c>
      <c r="B440" s="22" t="n">
        <f aca="true">NORMINV(RAND(),$B$6,$C$6)</f>
        <v>0.231503817751861</v>
      </c>
      <c r="C440" s="22" t="n">
        <f aca="true">MAX(0.03,NORMINV(RAND(),$B$7,$C$7))</f>
        <v>0.206435491839659</v>
      </c>
      <c r="D440" s="34" t="n">
        <f aca="true">MAX(0.08,NORMINV(RAND(),$B$8,$C$8))</f>
        <v>0.135740403492766</v>
      </c>
      <c r="E440" s="70" t="n">
        <f aca="true">MAX(4,NORMINV(RAND(),$B$9,$C$9))</f>
        <v>11.674292127995</v>
      </c>
      <c r="F440" s="27" t="n">
        <f aca="false">$B$18*(1+(B440+$B$17)/2)^9</f>
        <v>9064.7819826177</v>
      </c>
      <c r="G440" s="27" t="n">
        <f aca="false">F440*C440</f>
        <v>1871.29272700096</v>
      </c>
      <c r="H440" s="27" t="n">
        <f aca="false">E440*G440/(1+D440)^9</f>
        <v>6948.01269123668</v>
      </c>
      <c r="I440" s="27" t="n">
        <f aca="false">$B$13*G440/$B$12*((1+$B$8)/(1+D440))^4.5</f>
        <v>2852.7470596833</v>
      </c>
      <c r="J440" s="27" t="n">
        <f aca="false">H440+I440+$B$14</f>
        <v>11887.1586290022</v>
      </c>
      <c r="K440" s="45" t="n">
        <f aca="false">J440/$B$15</f>
        <v>18.8685057603209</v>
      </c>
    </row>
    <row r="441" customFormat="false" ht="15" hidden="false" customHeight="true" outlineLevel="0" collapsed="false">
      <c r="A441" s="74" t="n">
        <v>401</v>
      </c>
      <c r="B441" s="22" t="n">
        <f aca="true">NORMINV(RAND(),$B$6,$C$6)</f>
        <v>0.286391920928277</v>
      </c>
      <c r="C441" s="22" t="n">
        <f aca="true">MAX(0.03,NORMINV(RAND(),$B$7,$C$7))</f>
        <v>0.184075620434374</v>
      </c>
      <c r="D441" s="34" t="n">
        <f aca="true">MAX(0.08,NORMINV(RAND(),$B$8,$C$8))</f>
        <v>0.130699554657969</v>
      </c>
      <c r="E441" s="70" t="n">
        <f aca="true">MAX(4,NORMINV(RAND(),$B$9,$C$9))</f>
        <v>13.0291303515691</v>
      </c>
      <c r="F441" s="27" t="n">
        <f aca="false">$B$18*(1+(B441+$B$17)/2)^9</f>
        <v>11227.3646222296</v>
      </c>
      <c r="G441" s="27" t="n">
        <f aca="false">F441*C441</f>
        <v>2066.68410867986</v>
      </c>
      <c r="H441" s="27" t="n">
        <f aca="false">E441*G441/(1+D441)^9</f>
        <v>8913.83393861377</v>
      </c>
      <c r="I441" s="27" t="n">
        <f aca="false">$B$13*G441/$B$12*((1+$B$8)/(1+D441))^4.5</f>
        <v>3214.31905878437</v>
      </c>
      <c r="J441" s="27" t="n">
        <f aca="false">H441+I441+$B$14</f>
        <v>14214.5518754803</v>
      </c>
      <c r="K441" s="45" t="n">
        <f aca="false">J441/$B$15</f>
        <v>22.5627807547307</v>
      </c>
    </row>
    <row r="442" customFormat="false" ht="15" hidden="false" customHeight="true" outlineLevel="0" collapsed="false">
      <c r="A442" s="74" t="n">
        <v>402</v>
      </c>
      <c r="B442" s="22" t="n">
        <f aca="true">NORMINV(RAND(),$B$6,$C$6)</f>
        <v>0.198424527255699</v>
      </c>
      <c r="C442" s="22" t="n">
        <f aca="true">MAX(0.03,NORMINV(RAND(),$B$7,$C$7))</f>
        <v>0.21931213582469</v>
      </c>
      <c r="D442" s="34" t="n">
        <f aca="true">MAX(0.08,NORMINV(RAND(),$B$8,$C$8))</f>
        <v>0.133722297052057</v>
      </c>
      <c r="E442" s="70" t="n">
        <f aca="true">MAX(4,NORMINV(RAND(),$B$9,$C$9))</f>
        <v>9.84869606312282</v>
      </c>
      <c r="F442" s="27" t="n">
        <f aca="false">$B$18*(1+(B442+$B$17)/2)^9</f>
        <v>7948.24769348095</v>
      </c>
      <c r="G442" s="27" t="n">
        <f aca="false">F442*C442</f>
        <v>1743.14717772097</v>
      </c>
      <c r="H442" s="27" t="n">
        <f aca="false">E442*G442/(1+D442)^9</f>
        <v>5548.20628227602</v>
      </c>
      <c r="I442" s="27" t="n">
        <f aca="false">$B$13*G442/$B$12*((1+$B$8)/(1+D442))^4.5</f>
        <v>2678.74478910241</v>
      </c>
      <c r="J442" s="27" t="n">
        <f aca="false">H442+I442+$B$14</f>
        <v>10313.3499494606</v>
      </c>
      <c r="K442" s="45" t="n">
        <f aca="false">J442/$B$15</f>
        <v>16.3703967451756</v>
      </c>
    </row>
    <row r="443" customFormat="false" ht="15" hidden="false" customHeight="true" outlineLevel="0" collapsed="false">
      <c r="A443" s="74" t="n">
        <v>403</v>
      </c>
      <c r="B443" s="22" t="n">
        <f aca="true">NORMINV(RAND(),$B$6,$C$6)</f>
        <v>0.15940323935044</v>
      </c>
      <c r="C443" s="22" t="n">
        <f aca="true">MAX(0.03,NORMINV(RAND(),$B$7,$C$7))</f>
        <v>0.236485471191235</v>
      </c>
      <c r="D443" s="34" t="n">
        <f aca="true">MAX(0.08,NORMINV(RAND(),$B$8,$C$8))</f>
        <v>0.122989676653801</v>
      </c>
      <c r="E443" s="70" t="n">
        <f aca="true">MAX(4,NORMINV(RAND(),$B$9,$C$9))</f>
        <v>15.3471310589894</v>
      </c>
      <c r="F443" s="27" t="n">
        <f aca="false">$B$18*(1+(B443+$B$17)/2)^9</f>
        <v>6789.55706114396</v>
      </c>
      <c r="G443" s="27" t="n">
        <f aca="false">F443*C443</f>
        <v>1605.63160078441</v>
      </c>
      <c r="H443" s="27" t="n">
        <f aca="false">E443*G443/(1+D443)^9</f>
        <v>8675.43446679825</v>
      </c>
      <c r="I443" s="27" t="n">
        <f aca="false">$B$13*G443/$B$12*((1+$B$8)/(1+D443))^4.5</f>
        <v>2575.32680201117</v>
      </c>
      <c r="J443" s="27" t="n">
        <f aca="false">H443+I443+$B$14</f>
        <v>13337.1601468916</v>
      </c>
      <c r="K443" s="45" t="n">
        <f aca="false">J443/$B$15</f>
        <v>21.1700954712565</v>
      </c>
    </row>
    <row r="444" customFormat="false" ht="15" hidden="false" customHeight="true" outlineLevel="0" collapsed="false">
      <c r="A444" s="74" t="n">
        <v>404</v>
      </c>
      <c r="B444" s="22" t="n">
        <f aca="true">NORMINV(RAND(),$B$6,$C$6)</f>
        <v>0.192674953769644</v>
      </c>
      <c r="C444" s="22" t="n">
        <f aca="true">MAX(0.03,NORMINV(RAND(),$B$7,$C$7))</f>
        <v>0.240505180201735</v>
      </c>
      <c r="D444" s="34" t="n">
        <f aca="true">MAX(0.08,NORMINV(RAND(),$B$8,$C$8))</f>
        <v>0.138935200233807</v>
      </c>
      <c r="E444" s="70" t="n">
        <f aca="true">MAX(4,NORMINV(RAND(),$B$9,$C$9))</f>
        <v>10.1338530356539</v>
      </c>
      <c r="F444" s="27" t="n">
        <f aca="false">$B$18*(1+(B444+$B$17)/2)^9</f>
        <v>7767.18341342141</v>
      </c>
      <c r="G444" s="27" t="n">
        <f aca="false">F444*C444</f>
        <v>1868.04784650484</v>
      </c>
      <c r="H444" s="27" t="n">
        <f aca="false">E444*G444/(1+D444)^9</f>
        <v>5870.45086189482</v>
      </c>
      <c r="I444" s="27" t="n">
        <f aca="false">$B$13*G444/$B$12*((1+$B$8)/(1+D444))^4.5</f>
        <v>2812.02905639474</v>
      </c>
      <c r="J444" s="27" t="n">
        <f aca="false">H444+I444+$B$14</f>
        <v>10768.8787963717</v>
      </c>
      <c r="K444" s="45" t="n">
        <f aca="false">J444/$B$15</f>
        <v>17.0934584069393</v>
      </c>
    </row>
    <row r="445" customFormat="false" ht="15" hidden="false" customHeight="true" outlineLevel="0" collapsed="false">
      <c r="A445" s="74" t="n">
        <v>405</v>
      </c>
      <c r="B445" s="22" t="n">
        <f aca="true">NORMINV(RAND(),$B$6,$C$6)</f>
        <v>0.105248715001668</v>
      </c>
      <c r="C445" s="22" t="n">
        <f aca="true">MAX(0.03,NORMINV(RAND(),$B$7,$C$7))</f>
        <v>0.225096960318745</v>
      </c>
      <c r="D445" s="34" t="n">
        <f aca="true">MAX(0.08,NORMINV(RAND(),$B$8,$C$8))</f>
        <v>0.128428243841124</v>
      </c>
      <c r="E445" s="70" t="n">
        <f aca="true">MAX(4,NORMINV(RAND(),$B$9,$C$9))</f>
        <v>11.6562673880643</v>
      </c>
      <c r="F445" s="27" t="n">
        <f aca="false">$B$18*(1+(B445+$B$17)/2)^9</f>
        <v>5430.54126713992</v>
      </c>
      <c r="G445" s="27" t="n">
        <f aca="false">F445*C445</f>
        <v>1222.3983321187</v>
      </c>
      <c r="H445" s="27" t="n">
        <f aca="false">E445*G445/(1+D445)^9</f>
        <v>4802.93512386678</v>
      </c>
      <c r="I445" s="27" t="n">
        <f aca="false">$B$13*G445/$B$12*((1+$B$8)/(1+D445))^4.5</f>
        <v>1918.48038042864</v>
      </c>
      <c r="J445" s="27" t="n">
        <f aca="false">H445+I445+$B$14</f>
        <v>8807.81438237762</v>
      </c>
      <c r="K445" s="45" t="n">
        <f aca="false">J445/$B$15</f>
        <v>13.9806577498057</v>
      </c>
    </row>
    <row r="446" customFormat="false" ht="15" hidden="false" customHeight="true" outlineLevel="0" collapsed="false">
      <c r="A446" s="74" t="n">
        <v>406</v>
      </c>
      <c r="B446" s="22" t="n">
        <f aca="true">NORMINV(RAND(),$B$6,$C$6)</f>
        <v>0.19294055917568</v>
      </c>
      <c r="C446" s="22" t="n">
        <f aca="true">MAX(0.03,NORMINV(RAND(),$B$7,$C$7))</f>
        <v>0.213464123193854</v>
      </c>
      <c r="D446" s="34" t="n">
        <f aca="true">MAX(0.08,NORMINV(RAND(),$B$8,$C$8))</f>
        <v>0.149577300322143</v>
      </c>
      <c r="E446" s="70" t="n">
        <f aca="true">MAX(4,NORMINV(RAND(),$B$9,$C$9))</f>
        <v>11.6027213267141</v>
      </c>
      <c r="F446" s="27" t="n">
        <f aca="false">$B$18*(1+(B446+$B$17)/2)^9</f>
        <v>7775.46631295706</v>
      </c>
      <c r="G446" s="27" t="n">
        <f aca="false">F446*C446</f>
        <v>1659.78309891873</v>
      </c>
      <c r="H446" s="27" t="n">
        <f aca="false">E446*G446/(1+D446)^9</f>
        <v>5492.46860582656</v>
      </c>
      <c r="I446" s="27" t="n">
        <f aca="false">$B$13*G446/$B$12*((1+$B$8)/(1+D446))^4.5</f>
        <v>2396.1108635814</v>
      </c>
      <c r="J446" s="27" t="n">
        <f aca="false">H446+I446+$B$14</f>
        <v>9974.97834749015</v>
      </c>
      <c r="K446" s="45" t="n">
        <f aca="false">J446/$B$15</f>
        <v>15.8332989642701</v>
      </c>
    </row>
    <row r="447" customFormat="false" ht="15" hidden="false" customHeight="true" outlineLevel="0" collapsed="false">
      <c r="A447" s="74" t="n">
        <v>407</v>
      </c>
      <c r="B447" s="22" t="n">
        <f aca="true">NORMINV(RAND(),$B$6,$C$6)</f>
        <v>0.181834460748954</v>
      </c>
      <c r="C447" s="22" t="n">
        <f aca="true">MAX(0.03,NORMINV(RAND(),$B$7,$C$7))</f>
        <v>0.194508442999509</v>
      </c>
      <c r="D447" s="34" t="n">
        <f aca="true">MAX(0.08,NORMINV(RAND(),$B$8,$C$8))</f>
        <v>0.15134193794686</v>
      </c>
      <c r="E447" s="70" t="n">
        <f aca="true">MAX(4,NORMINV(RAND(),$B$9,$C$9))</f>
        <v>12.2772799411012</v>
      </c>
      <c r="F447" s="27" t="n">
        <f aca="false">$B$18*(1+(B447+$B$17)/2)^9</f>
        <v>7435.74309004006</v>
      </c>
      <c r="G447" s="27" t="n">
        <f aca="false">F447*C447</f>
        <v>1446.31481098805</v>
      </c>
      <c r="H447" s="27" t="n">
        <f aca="false">E447*G447/(1+D447)^9</f>
        <v>4994.89167382014</v>
      </c>
      <c r="I447" s="27" t="n">
        <f aca="false">$B$13*G447/$B$12*((1+$B$8)/(1+D447))^4.5</f>
        <v>2073.57979691915</v>
      </c>
      <c r="J447" s="27" t="n">
        <f aca="false">H447+I447+$B$14</f>
        <v>9154.87034882149</v>
      </c>
      <c r="K447" s="45" t="n">
        <f aca="false">J447/$B$15</f>
        <v>14.5315402362246</v>
      </c>
    </row>
    <row r="448" customFormat="false" ht="15" hidden="false" customHeight="true" outlineLevel="0" collapsed="false">
      <c r="A448" s="74" t="n">
        <v>408</v>
      </c>
      <c r="B448" s="22" t="n">
        <f aca="true">NORMINV(RAND(),$B$6,$C$6)</f>
        <v>0.269379693651019</v>
      </c>
      <c r="C448" s="22" t="n">
        <f aca="true">MAX(0.03,NORMINV(RAND(),$B$7,$C$7))</f>
        <v>0.18211004118075</v>
      </c>
      <c r="D448" s="34" t="n">
        <f aca="true">MAX(0.08,NORMINV(RAND(),$B$8,$C$8))</f>
        <v>0.136118845195474</v>
      </c>
      <c r="E448" s="70" t="n">
        <f aca="true">MAX(4,NORMINV(RAND(),$B$9,$C$9))</f>
        <v>9.57799721006129</v>
      </c>
      <c r="F448" s="27" t="n">
        <f aca="false">$B$18*(1+(B448+$B$17)/2)^9</f>
        <v>10512.6745515652</v>
      </c>
      <c r="G448" s="27" t="n">
        <f aca="false">F448*C448</f>
        <v>1914.46359550535</v>
      </c>
      <c r="H448" s="27" t="n">
        <f aca="false">E448*G448/(1+D448)^9</f>
        <v>5814.44069708011</v>
      </c>
      <c r="I448" s="27" t="n">
        <f aca="false">$B$13*G448/$B$12*((1+$B$8)/(1+D448))^4.5</f>
        <v>2914.18792360757</v>
      </c>
      <c r="J448" s="27" t="n">
        <f aca="false">H448+I448+$B$14</f>
        <v>10815.0274987699</v>
      </c>
      <c r="K448" s="45" t="n">
        <f aca="false">J448/$B$15</f>
        <v>17.1667103155077</v>
      </c>
    </row>
    <row r="449" customFormat="false" ht="15" hidden="false" customHeight="true" outlineLevel="0" collapsed="false">
      <c r="A449" s="74" t="n">
        <v>409</v>
      </c>
      <c r="B449" s="22" t="n">
        <f aca="true">NORMINV(RAND(),$B$6,$C$6)</f>
        <v>0.176847911369477</v>
      </c>
      <c r="C449" s="22" t="n">
        <f aca="true">MAX(0.03,NORMINV(RAND(),$B$7,$C$7))</f>
        <v>0.234019660573824</v>
      </c>
      <c r="D449" s="34" t="n">
        <f aca="true">MAX(0.08,NORMINV(RAND(),$B$8,$C$8))</f>
        <v>0.132653107959213</v>
      </c>
      <c r="E449" s="70" t="n">
        <f aca="true">MAX(4,NORMINV(RAND(),$B$9,$C$9))</f>
        <v>10.4317120173125</v>
      </c>
      <c r="F449" s="27" t="n">
        <f aca="false">$B$18*(1+(B449+$B$17)/2)^9</f>
        <v>7287.5504673517</v>
      </c>
      <c r="G449" s="27" t="n">
        <f aca="false">F449*C449</f>
        <v>1705.43008678425</v>
      </c>
      <c r="H449" s="27" t="n">
        <f aca="false">E449*G449/(1+D449)^9</f>
        <v>5798.52081548019</v>
      </c>
      <c r="I449" s="27" t="n">
        <f aca="false">$B$13*G449/$B$12*((1+$B$8)/(1+D449))^4.5</f>
        <v>2631.93496817312</v>
      </c>
      <c r="J449" s="27" t="n">
        <f aca="false">H449+I449+$B$14</f>
        <v>10516.8546617355</v>
      </c>
      <c r="K449" s="45" t="n">
        <f aca="false">J449/$B$15</f>
        <v>16.6934200979929</v>
      </c>
    </row>
    <row r="450" customFormat="false" ht="15" hidden="false" customHeight="true" outlineLevel="0" collapsed="false">
      <c r="A450" s="74" t="n">
        <v>410</v>
      </c>
      <c r="B450" s="22" t="n">
        <f aca="true">NORMINV(RAND(),$B$6,$C$6)</f>
        <v>0.209537167936659</v>
      </c>
      <c r="C450" s="22" t="n">
        <f aca="true">MAX(0.03,NORMINV(RAND(),$B$7,$C$7))</f>
        <v>0.247322919924896</v>
      </c>
      <c r="D450" s="34" t="n">
        <f aca="true">MAX(0.08,NORMINV(RAND(),$B$8,$C$8))</f>
        <v>0.121805124402788</v>
      </c>
      <c r="E450" s="70" t="n">
        <f aca="true">MAX(4,NORMINV(RAND(),$B$9,$C$9))</f>
        <v>13.0114222182456</v>
      </c>
      <c r="F450" s="27" t="n">
        <f aca="false">$B$18*(1+(B450+$B$17)/2)^9</f>
        <v>8308.87013487085</v>
      </c>
      <c r="G450" s="27" t="n">
        <f aca="false">F450*C450</f>
        <v>2054.97402303302</v>
      </c>
      <c r="H450" s="27" t="n">
        <f aca="false">E450*G450/(1+D450)^9</f>
        <v>9503.29761717862</v>
      </c>
      <c r="I450" s="27" t="n">
        <f aca="false">$B$13*G450/$B$12*((1+$B$8)/(1+D450))^4.5</f>
        <v>3311.733084679</v>
      </c>
      <c r="J450" s="27" t="n">
        <f aca="false">H450+I450+$B$14</f>
        <v>14901.4295799398</v>
      </c>
      <c r="K450" s="45" t="n">
        <f aca="false">J450/$B$15</f>
        <v>23.6530628253013</v>
      </c>
    </row>
    <row r="451" customFormat="false" ht="15" hidden="false" customHeight="true" outlineLevel="0" collapsed="false">
      <c r="A451" s="74" t="n">
        <v>411</v>
      </c>
      <c r="B451" s="22" t="n">
        <f aca="true">NORMINV(RAND(),$B$6,$C$6)</f>
        <v>0.176032288398352</v>
      </c>
      <c r="C451" s="22" t="n">
        <f aca="true">MAX(0.03,NORMINV(RAND(),$B$7,$C$7))</f>
        <v>0.169478203889615</v>
      </c>
      <c r="D451" s="34" t="n">
        <f aca="true">MAX(0.08,NORMINV(RAND(),$B$8,$C$8))</f>
        <v>0.123319103158626</v>
      </c>
      <c r="E451" s="70" t="n">
        <f aca="true">MAX(4,NORMINV(RAND(),$B$9,$C$9))</f>
        <v>10.0830966386367</v>
      </c>
      <c r="F451" s="27" t="n">
        <f aca="false">$B$18*(1+(B451+$B$17)/2)^9</f>
        <v>7263.56286825357</v>
      </c>
      <c r="G451" s="27" t="n">
        <f aca="false">F451*C451</f>
        <v>1231.01558875091</v>
      </c>
      <c r="H451" s="27" t="n">
        <f aca="false">E451*G451/(1+D451)^9</f>
        <v>4358.42102720541</v>
      </c>
      <c r="I451" s="27" t="n">
        <f aca="false">$B$13*G451/$B$12*((1+$B$8)/(1+D451))^4.5</f>
        <v>1971.86319260801</v>
      </c>
      <c r="J451" s="27" t="n">
        <f aca="false">H451+I451+$B$14</f>
        <v>8416.68309789561</v>
      </c>
      <c r="K451" s="45" t="n">
        <f aca="false">J451/$B$15</f>
        <v>13.3598144411041</v>
      </c>
    </row>
    <row r="452" customFormat="false" ht="15" hidden="false" customHeight="true" outlineLevel="0" collapsed="false">
      <c r="A452" s="74" t="n">
        <v>412</v>
      </c>
      <c r="B452" s="22" t="n">
        <f aca="true">NORMINV(RAND(),$B$6,$C$6)</f>
        <v>0.227833025851291</v>
      </c>
      <c r="C452" s="22" t="n">
        <f aca="true">MAX(0.03,NORMINV(RAND(),$B$7,$C$7))</f>
        <v>0.185433339476407</v>
      </c>
      <c r="D452" s="34" t="n">
        <f aca="true">MAX(0.08,NORMINV(RAND(),$B$8,$C$8))</f>
        <v>0.133899101101549</v>
      </c>
      <c r="E452" s="70" t="n">
        <f aca="true">MAX(4,NORMINV(RAND(),$B$9,$C$9))</f>
        <v>9.51232024489315</v>
      </c>
      <c r="F452" s="27" t="n">
        <f aca="false">$B$18*(1+(B452+$B$17)/2)^9</f>
        <v>8934.3617610956</v>
      </c>
      <c r="G452" s="27" t="n">
        <f aca="false">F452*C452</f>
        <v>1656.72853745027</v>
      </c>
      <c r="H452" s="27" t="n">
        <f aca="false">E452*G452/(1+D452)^9</f>
        <v>5085.90351624799</v>
      </c>
      <c r="I452" s="27" t="n">
        <f aca="false">$B$13*G452/$B$12*((1+$B$8)/(1+D452))^4.5</f>
        <v>2544.15684637575</v>
      </c>
      <c r="J452" s="27" t="n">
        <f aca="false">H452+I452+$B$14</f>
        <v>9716.45924070594</v>
      </c>
      <c r="K452" s="45" t="n">
        <f aca="false">J452/$B$15</f>
        <v>15.4229511757237</v>
      </c>
    </row>
    <row r="453" customFormat="false" ht="15" hidden="false" customHeight="true" outlineLevel="0" collapsed="false">
      <c r="A453" s="74" t="n">
        <v>413</v>
      </c>
      <c r="B453" s="22" t="n">
        <f aca="true">NORMINV(RAND(),$B$6,$C$6)</f>
        <v>0.197736778266762</v>
      </c>
      <c r="C453" s="22" t="n">
        <f aca="true">MAX(0.03,NORMINV(RAND(),$B$7,$C$7))</f>
        <v>0.198482532992685</v>
      </c>
      <c r="D453" s="34" t="n">
        <f aca="true">MAX(0.08,NORMINV(RAND(),$B$8,$C$8))</f>
        <v>0.117653915709911</v>
      </c>
      <c r="E453" s="70" t="n">
        <f aca="true">MAX(4,NORMINV(RAND(),$B$9,$C$9))</f>
        <v>11.8037862721304</v>
      </c>
      <c r="F453" s="27" t="n">
        <f aca="false">$B$18*(1+(B453+$B$17)/2)^9</f>
        <v>7926.393527658</v>
      </c>
      <c r="G453" s="27" t="n">
        <f aca="false">F453*C453</f>
        <v>1573.25066486638</v>
      </c>
      <c r="H453" s="27" t="n">
        <f aca="false">E453*G453/(1+D453)^9</f>
        <v>6824.22229243943</v>
      </c>
      <c r="I453" s="27" t="n">
        <f aca="false">$B$13*G453/$B$12*((1+$B$8)/(1+D453))^4.5</f>
        <v>2578.0554506826</v>
      </c>
      <c r="J453" s="27" t="n">
        <f aca="false">H453+I453+$B$14</f>
        <v>11488.6766212042</v>
      </c>
      <c r="K453" s="45" t="n">
        <f aca="false">J453/$B$15</f>
        <v>18.2359946368321</v>
      </c>
    </row>
    <row r="454" customFormat="false" ht="15" hidden="false" customHeight="true" outlineLevel="0" collapsed="false">
      <c r="A454" s="74" t="n">
        <v>414</v>
      </c>
      <c r="B454" s="22" t="n">
        <f aca="true">NORMINV(RAND(),$B$6,$C$6)</f>
        <v>0.173591702890666</v>
      </c>
      <c r="C454" s="22" t="n">
        <f aca="true">MAX(0.03,NORMINV(RAND(),$B$7,$C$7))</f>
        <v>0.171182067226103</v>
      </c>
      <c r="D454" s="34" t="n">
        <f aca="true">MAX(0.08,NORMINV(RAND(),$B$8,$C$8))</f>
        <v>0.125519560240888</v>
      </c>
      <c r="E454" s="70" t="n">
        <f aca="true">MAX(4,NORMINV(RAND(),$B$9,$C$9))</f>
        <v>14.1742189748574</v>
      </c>
      <c r="F454" s="27" t="n">
        <f aca="false">$B$18*(1+(B454+$B$17)/2)^9</f>
        <v>7192.20352218398</v>
      </c>
      <c r="G454" s="27" t="n">
        <f aca="false">F454*C454</f>
        <v>1231.17626683831</v>
      </c>
      <c r="H454" s="27" t="n">
        <f aca="false">E454*G454/(1+D454)^9</f>
        <v>6020.63016790811</v>
      </c>
      <c r="I454" s="27" t="n">
        <f aca="false">$B$13*G454/$B$12*((1+$B$8)/(1+D454))^4.5</f>
        <v>1954.82958059115</v>
      </c>
      <c r="J454" s="27" t="n">
        <f aca="false">H454+I454+$B$14</f>
        <v>10061.8586265814</v>
      </c>
      <c r="K454" s="45" t="n">
        <f aca="false">J454/$B$15</f>
        <v>15.9712041691769</v>
      </c>
    </row>
    <row r="455" customFormat="false" ht="15" hidden="false" customHeight="true" outlineLevel="0" collapsed="false">
      <c r="A455" s="74" t="n">
        <v>415</v>
      </c>
      <c r="B455" s="22" t="n">
        <f aca="true">NORMINV(RAND(),$B$6,$C$6)</f>
        <v>0.262758451766557</v>
      </c>
      <c r="C455" s="22" t="n">
        <f aca="true">MAX(0.03,NORMINV(RAND(),$B$7,$C$7))</f>
        <v>0.213473492475484</v>
      </c>
      <c r="D455" s="34" t="n">
        <f aca="true">MAX(0.08,NORMINV(RAND(),$B$8,$C$8))</f>
        <v>0.135971343433296</v>
      </c>
      <c r="E455" s="70" t="n">
        <f aca="true">MAX(4,NORMINV(RAND(),$B$9,$C$9))</f>
        <v>14.6076815059199</v>
      </c>
      <c r="F455" s="27" t="n">
        <f aca="false">$B$18*(1+(B455+$B$17)/2)^9</f>
        <v>10245.6391329514</v>
      </c>
      <c r="G455" s="27" t="n">
        <f aca="false">F455*C455</f>
        <v>2187.17236835463</v>
      </c>
      <c r="H455" s="27" t="n">
        <f aca="false">E455*G455/(1+D455)^9</f>
        <v>10142.8013502995</v>
      </c>
      <c r="I455" s="27" t="n">
        <f aca="false">$B$13*G455/$B$12*((1+$B$8)/(1+D455))^4.5</f>
        <v>3331.24978144089</v>
      </c>
      <c r="J455" s="27" t="n">
        <f aca="false">H455+I455+$B$14</f>
        <v>15560.4500098225</v>
      </c>
      <c r="K455" s="45" t="n">
        <f aca="false">J455/$B$15</f>
        <v>24.6991269997183</v>
      </c>
    </row>
    <row r="456" customFormat="false" ht="15" hidden="false" customHeight="true" outlineLevel="0" collapsed="false">
      <c r="A456" s="74" t="n">
        <v>416</v>
      </c>
      <c r="B456" s="22" t="n">
        <f aca="true">NORMINV(RAND(),$B$6,$C$6)</f>
        <v>0.203687666094134</v>
      </c>
      <c r="C456" s="22" t="n">
        <f aca="true">MAX(0.03,NORMINV(RAND(),$B$7,$C$7))</f>
        <v>0.250856470207045</v>
      </c>
      <c r="D456" s="34" t="n">
        <f aca="true">MAX(0.08,NORMINV(RAND(),$B$8,$C$8))</f>
        <v>0.133889480232064</v>
      </c>
      <c r="E456" s="70" t="n">
        <f aca="true">MAX(4,NORMINV(RAND(),$B$9,$C$9))</f>
        <v>13.7166004701574</v>
      </c>
      <c r="F456" s="27" t="n">
        <f aca="false">$B$18*(1+(B456+$B$17)/2)^9</f>
        <v>8117.27231922701</v>
      </c>
      <c r="G456" s="27" t="n">
        <f aca="false">F456*C456</f>
        <v>2036.27028171064</v>
      </c>
      <c r="H456" s="27" t="n">
        <f aca="false">E456*G456/(1+D456)^9</f>
        <v>9014.57750405134</v>
      </c>
      <c r="I456" s="27" t="n">
        <f aca="false">$B$13*G456/$B$12*((1+$B$8)/(1+D456))^4.5</f>
        <v>3127.11990423829</v>
      </c>
      <c r="J456" s="27" t="n">
        <f aca="false">H456+I456+$B$14</f>
        <v>14228.0962863718</v>
      </c>
      <c r="K456" s="45" t="n">
        <f aca="false">J456/$B$15</f>
        <v>22.5842798196378</v>
      </c>
    </row>
    <row r="457" customFormat="false" ht="15" hidden="false" customHeight="true" outlineLevel="0" collapsed="false">
      <c r="A457" s="74" t="n">
        <v>417</v>
      </c>
      <c r="B457" s="22" t="n">
        <f aca="true">NORMINV(RAND(),$B$6,$C$6)</f>
        <v>0.215341808712527</v>
      </c>
      <c r="C457" s="22" t="n">
        <f aca="true">MAX(0.03,NORMINV(RAND(),$B$7,$C$7))</f>
        <v>0.196497793837149</v>
      </c>
      <c r="D457" s="34" t="n">
        <f aca="true">MAX(0.08,NORMINV(RAND(),$B$8,$C$8))</f>
        <v>0.121390828919491</v>
      </c>
      <c r="E457" s="70" t="n">
        <f aca="true">MAX(4,NORMINV(RAND(),$B$9,$C$9))</f>
        <v>12.6237748108463</v>
      </c>
      <c r="F457" s="27" t="n">
        <f aca="false">$B$18*(1+(B457+$B$17)/2)^9</f>
        <v>8502.96179352938</v>
      </c>
      <c r="G457" s="27" t="n">
        <f aca="false">F457*C457</f>
        <v>1670.81323351009</v>
      </c>
      <c r="H457" s="27" t="n">
        <f aca="false">E457*G457/(1+D457)^9</f>
        <v>7521.49455289729</v>
      </c>
      <c r="I457" s="27" t="n">
        <f aca="false">$B$13*G457/$B$12*((1+$B$8)/(1+D457))^4.5</f>
        <v>2697.11077969602</v>
      </c>
      <c r="J457" s="27" t="n">
        <f aca="false">H457+I457+$B$14</f>
        <v>12305.0042106755</v>
      </c>
      <c r="K457" s="45" t="n">
        <f aca="false">J457/$B$15</f>
        <v>19.5317527153579</v>
      </c>
    </row>
    <row r="458" customFormat="false" ht="15" hidden="false" customHeight="true" outlineLevel="0" collapsed="false">
      <c r="A458" s="74" t="n">
        <v>418</v>
      </c>
      <c r="B458" s="22" t="n">
        <f aca="true">NORMINV(RAND(),$B$6,$C$6)</f>
        <v>0.190798240076934</v>
      </c>
      <c r="C458" s="22" t="n">
        <f aca="true">MAX(0.03,NORMINV(RAND(),$B$7,$C$7))</f>
        <v>0.272157736000851</v>
      </c>
      <c r="D458" s="34" t="n">
        <f aca="true">MAX(0.08,NORMINV(RAND(),$B$8,$C$8))</f>
        <v>0.127419149007483</v>
      </c>
      <c r="E458" s="70" t="n">
        <f aca="true">MAX(4,NORMINV(RAND(),$B$9,$C$9))</f>
        <v>10.5639402177238</v>
      </c>
      <c r="F458" s="27" t="n">
        <f aca="false">$B$18*(1+(B458+$B$17)/2)^9</f>
        <v>7708.88127799965</v>
      </c>
      <c r="G458" s="27" t="n">
        <f aca="false">F458*C458</f>
        <v>2098.03167571973</v>
      </c>
      <c r="H458" s="27" t="n">
        <f aca="false">E458*G458/(1+D458)^9</f>
        <v>7531.28899654249</v>
      </c>
      <c r="I458" s="27" t="n">
        <f aca="false">$B$13*G458/$B$12*((1+$B$8)/(1+D458))^4.5</f>
        <v>3306.01704095376</v>
      </c>
      <c r="J458" s="27" t="n">
        <f aca="false">H458+I458+$B$14</f>
        <v>12923.7049155784</v>
      </c>
      <c r="K458" s="45" t="n">
        <f aca="false">J458/$B$15</f>
        <v>20.513817326315</v>
      </c>
    </row>
    <row r="459" customFormat="false" ht="15" hidden="false" customHeight="true" outlineLevel="0" collapsed="false">
      <c r="A459" s="74" t="n">
        <v>419</v>
      </c>
      <c r="B459" s="22" t="n">
        <f aca="true">NORMINV(RAND(),$B$6,$C$6)</f>
        <v>0.237487306650556</v>
      </c>
      <c r="C459" s="22" t="n">
        <f aca="true">MAX(0.03,NORMINV(RAND(),$B$7,$C$7))</f>
        <v>0.175732212246426</v>
      </c>
      <c r="D459" s="34" t="n">
        <f aca="true">MAX(0.08,NORMINV(RAND(),$B$8,$C$8))</f>
        <v>0.140426243733285</v>
      </c>
      <c r="E459" s="70" t="n">
        <f aca="true">MAX(4,NORMINV(RAND(),$B$9,$C$9))</f>
        <v>10.6380395692466</v>
      </c>
      <c r="F459" s="27" t="n">
        <f aca="false">$B$18*(1+(B459+$B$17)/2)^9</f>
        <v>9281.00058981107</v>
      </c>
      <c r="G459" s="27" t="n">
        <f aca="false">F459*C459</f>
        <v>1630.97076550788</v>
      </c>
      <c r="H459" s="27" t="n">
        <f aca="false">E459*G459/(1+D459)^9</f>
        <v>5317.4443378565</v>
      </c>
      <c r="I459" s="27" t="n">
        <f aca="false">$B$13*G459/$B$12*((1+$B$8)/(1+D459))^4.5</f>
        <v>2440.73788417425</v>
      </c>
      <c r="J459" s="27" t="n">
        <f aca="false">H459+I459+$B$14</f>
        <v>9844.58110011295</v>
      </c>
      <c r="K459" s="45" t="n">
        <f aca="false">J459/$B$15</f>
        <v>15.6263192065285</v>
      </c>
    </row>
    <row r="460" customFormat="false" ht="15" hidden="false" customHeight="true" outlineLevel="0" collapsed="false">
      <c r="A460" s="74" t="n">
        <v>420</v>
      </c>
      <c r="B460" s="22" t="n">
        <f aca="true">NORMINV(RAND(),$B$6,$C$6)</f>
        <v>0.177239084520929</v>
      </c>
      <c r="C460" s="22" t="n">
        <f aca="true">MAX(0.03,NORMINV(RAND(),$B$7,$C$7))</f>
        <v>0.202559086864944</v>
      </c>
      <c r="D460" s="34" t="n">
        <f aca="true">MAX(0.08,NORMINV(RAND(),$B$8,$C$8))</f>
        <v>0.144993784839453</v>
      </c>
      <c r="E460" s="70" t="n">
        <f aca="true">MAX(4,NORMINV(RAND(),$B$9,$C$9))</f>
        <v>15.2954008196687</v>
      </c>
      <c r="F460" s="27" t="n">
        <f aca="false">$B$18*(1+(B460+$B$17)/2)^9</f>
        <v>7299.07989481811</v>
      </c>
      <c r="G460" s="27" t="n">
        <f aca="false">F460*C460</f>
        <v>1478.49495844863</v>
      </c>
      <c r="H460" s="27" t="n">
        <f aca="false">E460*G460/(1+D460)^9</f>
        <v>6685.78715759756</v>
      </c>
      <c r="I460" s="27" t="n">
        <f aca="false">$B$13*G460/$B$12*((1+$B$8)/(1+D460))^4.5</f>
        <v>2173.11717652521</v>
      </c>
      <c r="J460" s="27" t="n">
        <f aca="false">H460+I460+$B$14</f>
        <v>10945.303212205</v>
      </c>
      <c r="K460" s="45" t="n">
        <f aca="false">J460/$B$15</f>
        <v>17.3734971622301</v>
      </c>
    </row>
    <row r="461" customFormat="false" ht="15" hidden="false" customHeight="true" outlineLevel="0" collapsed="false">
      <c r="A461" s="74" t="n">
        <v>421</v>
      </c>
      <c r="B461" s="22" t="n">
        <f aca="true">NORMINV(RAND(),$B$6,$C$6)</f>
        <v>0.241157067695709</v>
      </c>
      <c r="C461" s="22" t="n">
        <f aca="true">MAX(0.03,NORMINV(RAND(),$B$7,$C$7))</f>
        <v>0.157427336544238</v>
      </c>
      <c r="D461" s="34" t="n">
        <f aca="true">MAX(0.08,NORMINV(RAND(),$B$8,$C$8))</f>
        <v>0.14247757156944</v>
      </c>
      <c r="E461" s="70" t="n">
        <f aca="true">MAX(4,NORMINV(RAND(),$B$9,$C$9))</f>
        <v>13.0323929892934</v>
      </c>
      <c r="F461" s="27" t="n">
        <f aca="false">$B$18*(1+(B461+$B$17)/2)^9</f>
        <v>9415.86731209233</v>
      </c>
      <c r="G461" s="27" t="n">
        <f aca="false">F461*C461</f>
        <v>1482.31491219665</v>
      </c>
      <c r="H461" s="27" t="n">
        <f aca="false">E461*G461/(1+D461)^9</f>
        <v>5825.53073720202</v>
      </c>
      <c r="I461" s="27" t="n">
        <f aca="false">$B$13*G461/$B$12*((1+$B$8)/(1+D461))^4.5</f>
        <v>2200.40834033387</v>
      </c>
      <c r="J461" s="27" t="n">
        <f aca="false">H461+I461+$B$14</f>
        <v>10112.3379556181</v>
      </c>
      <c r="K461" s="45" t="n">
        <f aca="false">J461/$B$15</f>
        <v>16.0513300882827</v>
      </c>
    </row>
    <row r="462" customFormat="false" ht="15" hidden="false" customHeight="true" outlineLevel="0" collapsed="false">
      <c r="A462" s="74" t="n">
        <v>422</v>
      </c>
      <c r="B462" s="22" t="n">
        <f aca="true">NORMINV(RAND(),$B$6,$C$6)</f>
        <v>0.180660296374902</v>
      </c>
      <c r="C462" s="22" t="n">
        <f aca="true">MAX(0.03,NORMINV(RAND(),$B$7,$C$7))</f>
        <v>0.18894699327348</v>
      </c>
      <c r="D462" s="34" t="n">
        <f aca="true">MAX(0.08,NORMINV(RAND(),$B$8,$C$8))</f>
        <v>0.140501321195656</v>
      </c>
      <c r="E462" s="70" t="n">
        <f aca="true">MAX(4,NORMINV(RAND(),$B$9,$C$9))</f>
        <v>14.6187986530011</v>
      </c>
      <c r="F462" s="27" t="n">
        <f aca="false">$B$18*(1+(B462+$B$17)/2)^9</f>
        <v>7400.60970141248</v>
      </c>
      <c r="G462" s="27" t="n">
        <f aca="false">F462*C462</f>
        <v>1398.32295147243</v>
      </c>
      <c r="H462" s="27" t="n">
        <f aca="false">E462*G462/(1+D462)^9</f>
        <v>6261.19220864306</v>
      </c>
      <c r="I462" s="27" t="n">
        <f aca="false">$B$13*G462/$B$12*((1+$B$8)/(1+D462))^4.5</f>
        <v>2091.96202764059</v>
      </c>
      <c r="J462" s="27" t="n">
        <f aca="false">H462+I462+$B$14</f>
        <v>10439.5531143658</v>
      </c>
      <c r="K462" s="45" t="n">
        <f aca="false">J462/$B$15</f>
        <v>16.5707192291521</v>
      </c>
    </row>
    <row r="463" customFormat="false" ht="15" hidden="false" customHeight="true" outlineLevel="0" collapsed="false">
      <c r="A463" s="74" t="n">
        <v>423</v>
      </c>
      <c r="B463" s="22" t="n">
        <f aca="true">NORMINV(RAND(),$B$6,$C$6)</f>
        <v>0.209725090277262</v>
      </c>
      <c r="C463" s="22" t="n">
        <f aca="true">MAX(0.03,NORMINV(RAND(),$B$7,$C$7))</f>
        <v>0.192853042198994</v>
      </c>
      <c r="D463" s="34" t="n">
        <f aca="true">MAX(0.08,NORMINV(RAND(),$B$8,$C$8))</f>
        <v>0.139856051799083</v>
      </c>
      <c r="E463" s="70" t="n">
        <f aca="true">MAX(4,NORMINV(RAND(),$B$9,$C$9))</f>
        <v>12.9423505161716</v>
      </c>
      <c r="F463" s="27" t="n">
        <f aca="false">$B$18*(1+(B463+$B$17)/2)^9</f>
        <v>8315.0915314562</v>
      </c>
      <c r="G463" s="27" t="n">
        <f aca="false">F463*C463</f>
        <v>1603.59069800442</v>
      </c>
      <c r="H463" s="27" t="n">
        <f aca="false">E463*G463/(1+D463)^9</f>
        <v>6389.34886554413</v>
      </c>
      <c r="I463" s="27" t="n">
        <f aca="false">$B$13*G463/$B$12*((1+$B$8)/(1+D463))^4.5</f>
        <v>2405.17047842741</v>
      </c>
      <c r="J463" s="27" t="n">
        <f aca="false">H463+I463+$B$14</f>
        <v>10880.9182220537</v>
      </c>
      <c r="K463" s="45" t="n">
        <f aca="false">J463/$B$15</f>
        <v>17.2712987651647</v>
      </c>
    </row>
    <row r="464" customFormat="false" ht="15" hidden="false" customHeight="true" outlineLevel="0" collapsed="false">
      <c r="A464" s="74" t="n">
        <v>424</v>
      </c>
      <c r="B464" s="22" t="n">
        <f aca="true">NORMINV(RAND(),$B$6,$C$6)</f>
        <v>0.221216012648487</v>
      </c>
      <c r="C464" s="22" t="n">
        <f aca="true">MAX(0.03,NORMINV(RAND(),$B$7,$C$7))</f>
        <v>0.208894014053772</v>
      </c>
      <c r="D464" s="34" t="n">
        <f aca="true">MAX(0.08,NORMINV(RAND(),$B$8,$C$8))</f>
        <v>0.124013658770059</v>
      </c>
      <c r="E464" s="70" t="n">
        <f aca="true">MAX(4,NORMINV(RAND(),$B$9,$C$9))</f>
        <v>12.3991518206478</v>
      </c>
      <c r="F464" s="27" t="n">
        <f aca="false">$B$18*(1+(B464+$B$17)/2)^9</f>
        <v>8703.47202112014</v>
      </c>
      <c r="G464" s="27" t="n">
        <f aca="false">F464*C464</f>
        <v>1818.10320669648</v>
      </c>
      <c r="H464" s="27" t="n">
        <f aca="false">E464*G464/(1+D464)^9</f>
        <v>7871.65791007151</v>
      </c>
      <c r="I464" s="27" t="n">
        <f aca="false">$B$13*G464/$B$12*((1+$B$8)/(1+D464))^4.5</f>
        <v>2904.18154896035</v>
      </c>
      <c r="J464" s="27" t="n">
        <f aca="false">H464+I464+$B$14</f>
        <v>12862.238337114</v>
      </c>
      <c r="K464" s="45" t="n">
        <f aca="false">J464/$B$15</f>
        <v>20.4162513287525</v>
      </c>
    </row>
    <row r="465" customFormat="false" ht="15" hidden="false" customHeight="true" outlineLevel="0" collapsed="false">
      <c r="A465" s="74" t="n">
        <v>425</v>
      </c>
      <c r="B465" s="22" t="n">
        <f aca="true">NORMINV(RAND(),$B$6,$C$6)</f>
        <v>0.217829503126723</v>
      </c>
      <c r="C465" s="22" t="n">
        <f aca="true">MAX(0.03,NORMINV(RAND(),$B$7,$C$7))</f>
        <v>0.232874078885343</v>
      </c>
      <c r="D465" s="34" t="n">
        <f aca="true">MAX(0.08,NORMINV(RAND(),$B$8,$C$8))</f>
        <v>0.131584675145759</v>
      </c>
      <c r="E465" s="70" t="n">
        <f aca="true">MAX(4,NORMINV(RAND(),$B$9,$C$9))</f>
        <v>13.1685236101787</v>
      </c>
      <c r="F465" s="27" t="n">
        <f aca="false">$B$18*(1+(B465+$B$17)/2)^9</f>
        <v>8587.36994979312</v>
      </c>
      <c r="G465" s="27" t="n">
        <f aca="false">F465*C465</f>
        <v>1999.77586710575</v>
      </c>
      <c r="H465" s="27" t="n">
        <f aca="false">E465*G465/(1+D465)^9</f>
        <v>8656.35172906123</v>
      </c>
      <c r="I465" s="27" t="n">
        <f aca="false">$B$13*G465/$B$12*((1+$B$8)/(1+D465))^4.5</f>
        <v>3099.32374672061</v>
      </c>
      <c r="J465" s="27" t="n">
        <f aca="false">H465+I465+$B$14</f>
        <v>13842.074353864</v>
      </c>
      <c r="K465" s="45" t="n">
        <f aca="false">J465/$B$15</f>
        <v>21.971546593435</v>
      </c>
    </row>
    <row r="466" customFormat="false" ht="15" hidden="false" customHeight="true" outlineLevel="0" collapsed="false">
      <c r="A466" s="74" t="n">
        <v>426</v>
      </c>
      <c r="B466" s="22" t="n">
        <f aca="true">NORMINV(RAND(),$B$6,$C$6)</f>
        <v>0.196264306711718</v>
      </c>
      <c r="C466" s="22" t="n">
        <f aca="true">MAX(0.03,NORMINV(RAND(),$B$7,$C$7))</f>
        <v>0.175349425005809</v>
      </c>
      <c r="D466" s="34" t="n">
        <f aca="true">MAX(0.08,NORMINV(RAND(),$B$8,$C$8))</f>
        <v>0.135088720982994</v>
      </c>
      <c r="E466" s="70" t="n">
        <f aca="true">MAX(4,NORMINV(RAND(),$B$9,$C$9))</f>
        <v>10.6208097524976</v>
      </c>
      <c r="F466" s="27" t="n">
        <f aca="false">$B$18*(1+(B466+$B$17)/2)^9</f>
        <v>7879.78323374673</v>
      </c>
      <c r="G466" s="27" t="n">
        <f aca="false">F466*C466</f>
        <v>1381.71545920791</v>
      </c>
      <c r="H466" s="27" t="n">
        <f aca="false">E466*G466/(1+D466)^9</f>
        <v>4691.45950451501</v>
      </c>
      <c r="I466" s="27" t="n">
        <f aca="false">$B$13*G466/$B$12*((1+$B$8)/(1+D466))^4.5</f>
        <v>2111.84411566022</v>
      </c>
      <c r="J466" s="27" t="n">
        <f aca="false">H466+I466+$B$14</f>
        <v>8889.70249825742</v>
      </c>
      <c r="K466" s="45" t="n">
        <f aca="false">J466/$B$15</f>
        <v>14.1106388861229</v>
      </c>
    </row>
    <row r="467" customFormat="false" ht="15" hidden="false" customHeight="true" outlineLevel="0" collapsed="false">
      <c r="A467" s="74" t="n">
        <v>427</v>
      </c>
      <c r="B467" s="22" t="n">
        <f aca="true">NORMINV(RAND(),$B$6,$C$6)</f>
        <v>0.233492165395568</v>
      </c>
      <c r="C467" s="22" t="n">
        <f aca="true">MAX(0.03,NORMINV(RAND(),$B$7,$C$7))</f>
        <v>0.188248863023856</v>
      </c>
      <c r="D467" s="34" t="n">
        <f aca="true">MAX(0.08,NORMINV(RAND(),$B$8,$C$8))</f>
        <v>0.136542207748042</v>
      </c>
      <c r="E467" s="70" t="n">
        <f aca="true">MAX(4,NORMINV(RAND(),$B$9,$C$9))</f>
        <v>12.1552326768966</v>
      </c>
      <c r="F467" s="27" t="n">
        <f aca="false">$B$18*(1+(B467+$B$17)/2)^9</f>
        <v>9136.13057257467</v>
      </c>
      <c r="G467" s="27" t="n">
        <f aca="false">F467*C467</f>
        <v>1719.86619272467</v>
      </c>
      <c r="H467" s="27" t="n">
        <f aca="false">E467*G467/(1+D467)^9</f>
        <v>6606.74915051904</v>
      </c>
      <c r="I467" s="27" t="n">
        <f aca="false">$B$13*G467/$B$12*((1+$B$8)/(1+D467))^4.5</f>
        <v>2613.58710449583</v>
      </c>
      <c r="J467" s="27" t="n">
        <f aca="false">H467+I467+$B$14</f>
        <v>11306.7351330971</v>
      </c>
      <c r="K467" s="45" t="n">
        <f aca="false">J467/$B$15</f>
        <v>17.9471986239636</v>
      </c>
    </row>
    <row r="468" customFormat="false" ht="15" hidden="false" customHeight="true" outlineLevel="0" collapsed="false">
      <c r="A468" s="74" t="n">
        <v>428</v>
      </c>
      <c r="B468" s="22" t="n">
        <f aca="true">NORMINV(RAND(),$B$6,$C$6)</f>
        <v>0.308238530889084</v>
      </c>
      <c r="C468" s="22" t="n">
        <f aca="true">MAX(0.03,NORMINV(RAND(),$B$7,$C$7))</f>
        <v>0.20854709431523</v>
      </c>
      <c r="D468" s="34" t="n">
        <f aca="true">MAX(0.08,NORMINV(RAND(),$B$8,$C$8))</f>
        <v>0.128518842537196</v>
      </c>
      <c r="E468" s="70" t="n">
        <f aca="true">MAX(4,NORMINV(RAND(),$B$9,$C$9))</f>
        <v>14.5907432134945</v>
      </c>
      <c r="F468" s="27" t="n">
        <f aca="false">$B$18*(1+(B468+$B$17)/2)^9</f>
        <v>12208.3267213549</v>
      </c>
      <c r="G468" s="27" t="n">
        <f aca="false">F468*C468</f>
        <v>2546.01106418954</v>
      </c>
      <c r="H468" s="27" t="n">
        <f aca="false">E468*G468/(1+D468)^9</f>
        <v>12512.9113596267</v>
      </c>
      <c r="I468" s="27" t="n">
        <f aca="false">$B$13*G468/$B$12*((1+$B$8)/(1+D468))^4.5</f>
        <v>3994.36730786451</v>
      </c>
      <c r="J468" s="27" t="n">
        <f aca="false">H468+I468+$B$14</f>
        <v>18593.6775455734</v>
      </c>
      <c r="K468" s="45" t="n">
        <f aca="false">J468/$B$15</f>
        <v>29.5137738818626</v>
      </c>
    </row>
    <row r="469" customFormat="false" ht="15" hidden="false" customHeight="true" outlineLevel="0" collapsed="false">
      <c r="A469" s="74" t="n">
        <v>429</v>
      </c>
      <c r="B469" s="22" t="n">
        <f aca="true">NORMINV(RAND(),$B$6,$C$6)</f>
        <v>0.21282341749846</v>
      </c>
      <c r="C469" s="22" t="n">
        <f aca="true">MAX(0.03,NORMINV(RAND(),$B$7,$C$7))</f>
        <v>0.17319651193166</v>
      </c>
      <c r="D469" s="34" t="n">
        <f aca="true">MAX(0.08,NORMINV(RAND(),$B$8,$C$8))</f>
        <v>0.119328481650661</v>
      </c>
      <c r="E469" s="70" t="n">
        <f aca="true">MAX(4,NORMINV(RAND(),$B$9,$C$9))</f>
        <v>10.5634691772875</v>
      </c>
      <c r="F469" s="27" t="n">
        <f aca="false">$B$18*(1+(B469+$B$17)/2)^9</f>
        <v>8418.26408120285</v>
      </c>
      <c r="G469" s="27" t="n">
        <f aca="false">F469*C469</f>
        <v>1458.01397538392</v>
      </c>
      <c r="H469" s="27" t="n">
        <f aca="false">E469*G469/(1+D469)^9</f>
        <v>5584.06242081737</v>
      </c>
      <c r="I469" s="27" t="n">
        <f aca="false">$B$13*G469/$B$12*((1+$B$8)/(1+D469))^4.5</f>
        <v>2373.17666412764</v>
      </c>
      <c r="J469" s="27" t="n">
        <f aca="false">H469+I469+$B$14</f>
        <v>10043.6379630272</v>
      </c>
      <c r="K469" s="45" t="n">
        <f aca="false">J469/$B$15</f>
        <v>15.9422824809956</v>
      </c>
    </row>
    <row r="470" customFormat="false" ht="15" hidden="false" customHeight="true" outlineLevel="0" collapsed="false">
      <c r="A470" s="74" t="n">
        <v>430</v>
      </c>
      <c r="B470" s="22" t="n">
        <f aca="true">NORMINV(RAND(),$B$6,$C$6)</f>
        <v>0.239895526252345</v>
      </c>
      <c r="C470" s="22" t="n">
        <f aca="true">MAX(0.03,NORMINV(RAND(),$B$7,$C$7))</f>
        <v>0.195504104141791</v>
      </c>
      <c r="D470" s="34" t="n">
        <f aca="true">MAX(0.08,NORMINV(RAND(),$B$8,$C$8))</f>
        <v>0.119777519004964</v>
      </c>
      <c r="E470" s="70" t="n">
        <f aca="true">MAX(4,NORMINV(RAND(),$B$9,$C$9))</f>
        <v>12.3132764517288</v>
      </c>
      <c r="F470" s="27" t="n">
        <f aca="false">$B$18*(1+(B470+$B$17)/2)^9</f>
        <v>9369.3094358832</v>
      </c>
      <c r="G470" s="27" t="n">
        <f aca="false">F470*C470</f>
        <v>1831.73844768958</v>
      </c>
      <c r="H470" s="27" t="n">
        <f aca="false">E470*G470/(1+D470)^9</f>
        <v>8148.00699981459</v>
      </c>
      <c r="I470" s="27" t="n">
        <f aca="false">$B$13*G470/$B$12*((1+$B$8)/(1+D470))^4.5</f>
        <v>2976.10322575084</v>
      </c>
      <c r="J470" s="27" t="n">
        <f aca="false">H470+I470+$B$14</f>
        <v>13210.5091036476</v>
      </c>
      <c r="K470" s="45" t="n">
        <f aca="false">J470/$B$15</f>
        <v>20.9690620692819</v>
      </c>
    </row>
    <row r="471" customFormat="false" ht="15" hidden="false" customHeight="true" outlineLevel="0" collapsed="false">
      <c r="A471" s="74" t="n">
        <v>431</v>
      </c>
      <c r="B471" s="22" t="n">
        <f aca="true">NORMINV(RAND(),$B$6,$C$6)</f>
        <v>0.191055174758107</v>
      </c>
      <c r="C471" s="22" t="n">
        <f aca="true">MAX(0.03,NORMINV(RAND(),$B$7,$C$7))</f>
        <v>0.222377908432964</v>
      </c>
      <c r="D471" s="34" t="n">
        <f aca="true">MAX(0.08,NORMINV(RAND(),$B$8,$C$8))</f>
        <v>0.129717249516403</v>
      </c>
      <c r="E471" s="70" t="n">
        <f aca="true">MAX(4,NORMINV(RAND(),$B$9,$C$9))</f>
        <v>8.8005616825399</v>
      </c>
      <c r="F471" s="27" t="n">
        <f aca="false">$B$18*(1+(B471+$B$17)/2)^9</f>
        <v>7716.84017780945</v>
      </c>
      <c r="G471" s="27" t="n">
        <f aca="false">F471*C471</f>
        <v>1716.05477845273</v>
      </c>
      <c r="H471" s="27" t="n">
        <f aca="false">E471*G471/(1+D471)^9</f>
        <v>5038.64427085512</v>
      </c>
      <c r="I471" s="27" t="n">
        <f aca="false">$B$13*G471/$B$12*((1+$B$8)/(1+D471))^4.5</f>
        <v>2679.44350939429</v>
      </c>
      <c r="J471" s="27" t="n">
        <f aca="false">H471+I471+$B$14</f>
        <v>9804.4866583316</v>
      </c>
      <c r="K471" s="45" t="n">
        <f aca="false">J471/$B$15</f>
        <v>15.562677235447</v>
      </c>
    </row>
    <row r="472" customFormat="false" ht="15" hidden="false" customHeight="true" outlineLevel="0" collapsed="false">
      <c r="A472" s="74" t="n">
        <v>432</v>
      </c>
      <c r="B472" s="22" t="n">
        <f aca="true">NORMINV(RAND(),$B$6,$C$6)</f>
        <v>0.217351751849296</v>
      </c>
      <c r="C472" s="22" t="n">
        <f aca="true">MAX(0.03,NORMINV(RAND(),$B$7,$C$7))</f>
        <v>0.21939672687762</v>
      </c>
      <c r="D472" s="34" t="n">
        <f aca="true">MAX(0.08,NORMINV(RAND(),$B$8,$C$8))</f>
        <v>0.130883240608455</v>
      </c>
      <c r="E472" s="70" t="n">
        <f aca="true">MAX(4,NORMINV(RAND(),$B$9,$C$9))</f>
        <v>8.60343285230613</v>
      </c>
      <c r="F472" s="27" t="n">
        <f aca="false">$B$18*(1+(B472+$B$17)/2)^9</f>
        <v>8571.10217309398</v>
      </c>
      <c r="G472" s="27" t="n">
        <f aca="false">F472*C472</f>
        <v>1880.47176251048</v>
      </c>
      <c r="H472" s="27" t="n">
        <f aca="false">E472*G472/(1+D472)^9</f>
        <v>5347.84335775314</v>
      </c>
      <c r="I472" s="27" t="n">
        <f aca="false">$B$13*G472/$B$12*((1+$B$8)/(1+D472))^4.5</f>
        <v>2922.56540229825</v>
      </c>
      <c r="J472" s="27" t="n">
        <f aca="false">H472+I472+$B$14</f>
        <v>10356.8076381336</v>
      </c>
      <c r="K472" s="45" t="n">
        <f aca="false">J472/$B$15</f>
        <v>16.4393772033866</v>
      </c>
    </row>
    <row r="473" customFormat="false" ht="15" hidden="false" customHeight="true" outlineLevel="0" collapsed="false">
      <c r="A473" s="74" t="n">
        <v>433</v>
      </c>
      <c r="B473" s="22" t="n">
        <f aca="true">NORMINV(RAND(),$B$6,$C$6)</f>
        <v>0.278010212514169</v>
      </c>
      <c r="C473" s="22" t="n">
        <f aca="true">MAX(0.03,NORMINV(RAND(),$B$7,$C$7))</f>
        <v>0.265736467941477</v>
      </c>
      <c r="D473" s="34" t="n">
        <f aca="true">MAX(0.08,NORMINV(RAND(),$B$8,$C$8))</f>
        <v>0.13795689620496</v>
      </c>
      <c r="E473" s="70" t="n">
        <f aca="true">MAX(4,NORMINV(RAND(),$B$9,$C$9))</f>
        <v>14.3238444975297</v>
      </c>
      <c r="F473" s="27" t="n">
        <f aca="false">$B$18*(1+(B473+$B$17)/2)^9</f>
        <v>10870.0238032993</v>
      </c>
      <c r="G473" s="27" t="n">
        <f aca="false">F473*C473</f>
        <v>2888.56173192854</v>
      </c>
      <c r="H473" s="27" t="n">
        <f aca="false">E473*G473/(1+D473)^9</f>
        <v>12930.3101574322</v>
      </c>
      <c r="I473" s="27" t="n">
        <f aca="false">$B$13*G473/$B$12*((1+$B$8)/(1+D473))^4.5</f>
        <v>4365.08673266259</v>
      </c>
      <c r="J473" s="27" t="n">
        <f aca="false">H473+I473+$B$14</f>
        <v>19381.795768177</v>
      </c>
      <c r="K473" s="45" t="n">
        <f aca="false">J473/$B$15</f>
        <v>30.7647551875825</v>
      </c>
    </row>
    <row r="474" customFormat="false" ht="15" hidden="false" customHeight="true" outlineLevel="0" collapsed="false">
      <c r="A474" s="74" t="n">
        <v>434</v>
      </c>
      <c r="B474" s="22" t="n">
        <f aca="true">NORMINV(RAND(),$B$6,$C$6)</f>
        <v>0.144336484138417</v>
      </c>
      <c r="C474" s="22" t="n">
        <f aca="true">MAX(0.03,NORMINV(RAND(),$B$7,$C$7))</f>
        <v>0.22976579221417</v>
      </c>
      <c r="D474" s="34" t="n">
        <f aca="true">MAX(0.08,NORMINV(RAND(),$B$8,$C$8))</f>
        <v>0.135762248796383</v>
      </c>
      <c r="E474" s="70" t="n">
        <f aca="true">MAX(4,NORMINV(RAND(),$B$9,$C$9))</f>
        <v>11.4709211923521</v>
      </c>
      <c r="F474" s="27" t="n">
        <f aca="false">$B$18*(1+(B474+$B$17)/2)^9</f>
        <v>6384.03972128697</v>
      </c>
      <c r="G474" s="27" t="n">
        <f aca="false">F474*C474</f>
        <v>1466.83394408823</v>
      </c>
      <c r="H474" s="27" t="n">
        <f aca="false">E474*G474/(1+D474)^9</f>
        <v>5350.47555839729</v>
      </c>
      <c r="I474" s="27" t="n">
        <f aca="false">$B$13*G474/$B$12*((1+$B$8)/(1+D474))^4.5</f>
        <v>2235.964470134</v>
      </c>
      <c r="J474" s="27" t="n">
        <f aca="false">H474+I474+$B$14</f>
        <v>9672.83890661348</v>
      </c>
      <c r="K474" s="45" t="n">
        <f aca="false">J474/$B$15</f>
        <v>15.3537125501801</v>
      </c>
    </row>
    <row r="475" customFormat="false" ht="15" hidden="false" customHeight="true" outlineLevel="0" collapsed="false">
      <c r="A475" s="74" t="n">
        <v>435</v>
      </c>
      <c r="B475" s="22" t="n">
        <f aca="true">NORMINV(RAND(),$B$6,$C$6)</f>
        <v>0.246610084613463</v>
      </c>
      <c r="C475" s="22" t="n">
        <f aca="true">MAX(0.03,NORMINV(RAND(),$B$7,$C$7))</f>
        <v>0.196619177603571</v>
      </c>
      <c r="D475" s="34" t="n">
        <f aca="true">MAX(0.08,NORMINV(RAND(),$B$8,$C$8))</f>
        <v>0.119097844195331</v>
      </c>
      <c r="E475" s="70" t="n">
        <f aca="true">MAX(4,NORMINV(RAND(),$B$9,$C$9))</f>
        <v>7.59481222372957</v>
      </c>
      <c r="F475" s="27" t="n">
        <f aca="false">$B$18*(1+(B475+$B$17)/2)^9</f>
        <v>9619.48833800808</v>
      </c>
      <c r="G475" s="27" t="n">
        <f aca="false">F475*C475</f>
        <v>1891.37588598629</v>
      </c>
      <c r="H475" s="27" t="n">
        <f aca="false">E475*G475/(1+D475)^9</f>
        <v>5217.73906157045</v>
      </c>
      <c r="I475" s="27" t="n">
        <f aca="false">$B$13*G475/$B$12*((1+$B$8)/(1+D475))^4.5</f>
        <v>3081.40625617794</v>
      </c>
      <c r="J475" s="27" t="n">
        <f aca="false">H475+I475+$B$14</f>
        <v>10385.5441958306</v>
      </c>
      <c r="K475" s="45" t="n">
        <f aca="false">J475/$B$15</f>
        <v>16.4849907870327</v>
      </c>
    </row>
    <row r="476" customFormat="false" ht="15" hidden="false" customHeight="true" outlineLevel="0" collapsed="false">
      <c r="A476" s="74" t="n">
        <v>436</v>
      </c>
      <c r="B476" s="22" t="n">
        <f aca="true">NORMINV(RAND(),$B$6,$C$6)</f>
        <v>0.246544931075887</v>
      </c>
      <c r="C476" s="22" t="n">
        <f aca="true">MAX(0.03,NORMINV(RAND(),$B$7,$C$7))</f>
        <v>0.201360623611588</v>
      </c>
      <c r="D476" s="34" t="n">
        <f aca="true">MAX(0.08,NORMINV(RAND(),$B$8,$C$8))</f>
        <v>0.0988245693963354</v>
      </c>
      <c r="E476" s="70" t="n">
        <f aca="true">MAX(4,NORMINV(RAND(),$B$9,$C$9))</f>
        <v>14.5538536342122</v>
      </c>
      <c r="F476" s="27" t="n">
        <f aca="false">$B$18*(1+(B476+$B$17)/2)^9</f>
        <v>9617.03252139342</v>
      </c>
      <c r="G476" s="27" t="n">
        <f aca="false">F476*C476</f>
        <v>1936.4916658007</v>
      </c>
      <c r="H476" s="27" t="n">
        <f aca="false">E476*G476/(1+D476)^9</f>
        <v>12068.0855779505</v>
      </c>
      <c r="I476" s="27" t="n">
        <f aca="false">$B$13*G476/$B$12*((1+$B$8)/(1+D476))^4.5</f>
        <v>3425.43226043117</v>
      </c>
      <c r="J476" s="27" t="n">
        <f aca="false">H476+I476+$B$14</f>
        <v>17579.9167164639</v>
      </c>
      <c r="K476" s="45" t="n">
        <f aca="false">J476/$B$15</f>
        <v>27.9046297086728</v>
      </c>
    </row>
    <row r="477" customFormat="false" ht="15" hidden="false" customHeight="true" outlineLevel="0" collapsed="false">
      <c r="A477" s="74" t="n">
        <v>437</v>
      </c>
      <c r="B477" s="22" t="n">
        <f aca="true">NORMINV(RAND(),$B$6,$C$6)</f>
        <v>0.188382179214259</v>
      </c>
      <c r="C477" s="22" t="n">
        <f aca="true">MAX(0.03,NORMINV(RAND(),$B$7,$C$7))</f>
        <v>0.233443532706569</v>
      </c>
      <c r="D477" s="34" t="n">
        <f aca="true">MAX(0.08,NORMINV(RAND(),$B$8,$C$8))</f>
        <v>0.140773055781465</v>
      </c>
      <c r="E477" s="70" t="n">
        <f aca="true">MAX(4,NORMINV(RAND(),$B$9,$C$9))</f>
        <v>13.7772089091555</v>
      </c>
      <c r="F477" s="27" t="n">
        <f aca="false">$B$18*(1+(B477+$B$17)/2)^9</f>
        <v>7634.39665800578</v>
      </c>
      <c r="G477" s="27" t="n">
        <f aca="false">F477*C477</f>
        <v>1782.2005259281</v>
      </c>
      <c r="H477" s="27" t="n">
        <f aca="false">E477*G477/(1+D477)^9</f>
        <v>7504.54760870467</v>
      </c>
      <c r="I477" s="27" t="n">
        <f aca="false">$B$13*G477/$B$12*((1+$B$8)/(1+D477))^4.5</f>
        <v>2663.40553968924</v>
      </c>
      <c r="J477" s="27" t="n">
        <f aca="false">H477+I477+$B$14</f>
        <v>12254.3520264761</v>
      </c>
      <c r="K477" s="45" t="n">
        <f aca="false">J477/$B$15</f>
        <v>19.4513524229779</v>
      </c>
    </row>
    <row r="478" customFormat="false" ht="15" hidden="false" customHeight="true" outlineLevel="0" collapsed="false">
      <c r="A478" s="74" t="n">
        <v>438</v>
      </c>
      <c r="B478" s="22" t="n">
        <f aca="true">NORMINV(RAND(),$B$6,$C$6)</f>
        <v>0.267823197785636</v>
      </c>
      <c r="C478" s="22" t="n">
        <f aca="true">MAX(0.03,NORMINV(RAND(),$B$7,$C$7))</f>
        <v>0.189621659777756</v>
      </c>
      <c r="D478" s="34" t="n">
        <f aca="true">MAX(0.08,NORMINV(RAND(),$B$8,$C$8))</f>
        <v>0.120171297974268</v>
      </c>
      <c r="E478" s="70" t="n">
        <f aca="true">MAX(4,NORMINV(RAND(),$B$9,$C$9))</f>
        <v>12.1873839131037</v>
      </c>
      <c r="F478" s="27" t="n">
        <f aca="false">$B$18*(1+(B478+$B$17)/2)^9</f>
        <v>10449.3508460014</v>
      </c>
      <c r="G478" s="27" t="n">
        <f aca="false">F478*C478</f>
        <v>1981.42325101888</v>
      </c>
      <c r="H478" s="27" t="n">
        <f aca="false">E478*G478/(1+D478)^9</f>
        <v>8696.16520315208</v>
      </c>
      <c r="I478" s="27" t="n">
        <f aca="false">$B$13*G478/$B$12*((1+$B$8)/(1+D478))^4.5</f>
        <v>3214.21297991097</v>
      </c>
      <c r="J478" s="27" t="n">
        <f aca="false">H478+I478+$B$14</f>
        <v>13996.7770611452</v>
      </c>
      <c r="K478" s="45" t="n">
        <f aca="false">J478/$B$15</f>
        <v>22.2171064462623</v>
      </c>
    </row>
    <row r="479" customFormat="false" ht="15" hidden="false" customHeight="true" outlineLevel="0" collapsed="false">
      <c r="A479" s="74" t="n">
        <v>439</v>
      </c>
      <c r="B479" s="22" t="n">
        <f aca="true">NORMINV(RAND(),$B$6,$C$6)</f>
        <v>0.27047490169117</v>
      </c>
      <c r="C479" s="22" t="n">
        <f aca="true">MAX(0.03,NORMINV(RAND(),$B$7,$C$7))</f>
        <v>0.160247812709178</v>
      </c>
      <c r="D479" s="34" t="n">
        <f aca="true">MAX(0.08,NORMINV(RAND(),$B$8,$C$8))</f>
        <v>0.113219504491266</v>
      </c>
      <c r="E479" s="70" t="n">
        <f aca="true">MAX(4,NORMINV(RAND(),$B$9,$C$9))</f>
        <v>9.96140901430628</v>
      </c>
      <c r="F479" s="27" t="n">
        <f aca="false">$B$18*(1+(B479+$B$17)/2)^9</f>
        <v>10557.4356694509</v>
      </c>
      <c r="G479" s="27" t="n">
        <f aca="false">F479*C479</f>
        <v>1691.80597384737</v>
      </c>
      <c r="H479" s="27" t="n">
        <f aca="false">E479*G479/(1+D479)^9</f>
        <v>6418.65546258917</v>
      </c>
      <c r="I479" s="27" t="n">
        <f aca="false">$B$13*G479/$B$12*((1+$B$8)/(1+D479))^4.5</f>
        <v>2822.37230157994</v>
      </c>
      <c r="J479" s="27" t="n">
        <f aca="false">H479+I479+$B$14</f>
        <v>11327.4266422513</v>
      </c>
      <c r="K479" s="45" t="n">
        <f aca="false">J479/$B$15</f>
        <v>17.9800422892878</v>
      </c>
    </row>
    <row r="480" customFormat="false" ht="15" hidden="false" customHeight="true" outlineLevel="0" collapsed="false">
      <c r="A480" s="74" t="n">
        <v>440</v>
      </c>
      <c r="B480" s="22" t="n">
        <f aca="true">NORMINV(RAND(),$B$6,$C$6)</f>
        <v>0.260886822556681</v>
      </c>
      <c r="C480" s="22" t="n">
        <f aca="true">MAX(0.03,NORMINV(RAND(),$B$7,$C$7))</f>
        <v>0.241837638470584</v>
      </c>
      <c r="D480" s="34" t="n">
        <f aca="true">MAX(0.08,NORMINV(RAND(),$B$8,$C$8))</f>
        <v>0.138568588769102</v>
      </c>
      <c r="E480" s="70" t="n">
        <f aca="true">MAX(4,NORMINV(RAND(),$B$9,$C$9))</f>
        <v>14.0775327478083</v>
      </c>
      <c r="F480" s="27" t="n">
        <f aca="false">$B$18*(1+(B480+$B$17)/2)^9</f>
        <v>10171.2575102212</v>
      </c>
      <c r="G480" s="27" t="n">
        <f aca="false">F480*C480</f>
        <v>2459.79289654808</v>
      </c>
      <c r="H480" s="27" t="n">
        <f aca="false">E480*G480/(1+D480)^9</f>
        <v>10769.4197836145</v>
      </c>
      <c r="I480" s="27" t="n">
        <f aca="false">$B$13*G480/$B$12*((1+$B$8)/(1+D480))^4.5</f>
        <v>3708.16909090752</v>
      </c>
      <c r="J480" s="27" t="n">
        <f aca="false">H480+I480+$B$14</f>
        <v>16563.9877526042</v>
      </c>
      <c r="K480" s="45" t="n">
        <f aca="false">J480/$B$15</f>
        <v>26.2920440517527</v>
      </c>
    </row>
    <row r="481" customFormat="false" ht="15" hidden="false" customHeight="true" outlineLevel="0" collapsed="false">
      <c r="A481" s="74" t="n">
        <v>441</v>
      </c>
      <c r="B481" s="22" t="n">
        <f aca="true">NORMINV(RAND(),$B$6,$C$6)</f>
        <v>0.204250545409473</v>
      </c>
      <c r="C481" s="22" t="n">
        <f aca="true">MAX(0.03,NORMINV(RAND(),$B$7,$C$7))</f>
        <v>0.162493875101349</v>
      </c>
      <c r="D481" s="34" t="n">
        <f aca="true">MAX(0.08,NORMINV(RAND(),$B$8,$C$8))</f>
        <v>0.12130313395208</v>
      </c>
      <c r="E481" s="70" t="n">
        <f aca="true">MAX(4,NORMINV(RAND(),$B$9,$C$9))</f>
        <v>15.6605530474135</v>
      </c>
      <c r="F481" s="27" t="n">
        <f aca="false">$B$18*(1+(B481+$B$17)/2)^9</f>
        <v>8135.53683233551</v>
      </c>
      <c r="G481" s="27" t="n">
        <f aca="false">F481*C481</f>
        <v>1321.97490591595</v>
      </c>
      <c r="H481" s="27" t="n">
        <f aca="false">E481*G481/(1+D481)^9</f>
        <v>7387.93358362152</v>
      </c>
      <c r="I481" s="27" t="n">
        <f aca="false">$B$13*G481/$B$12*((1+$B$8)/(1+D481))^4.5</f>
        <v>2134.74953577571</v>
      </c>
      <c r="J481" s="27" t="n">
        <f aca="false">H481+I481+$B$14</f>
        <v>11609.0819974794</v>
      </c>
      <c r="K481" s="45" t="n">
        <f aca="false">J481/$B$15</f>
        <v>18.4271142817134</v>
      </c>
    </row>
    <row r="482" customFormat="false" ht="15" hidden="false" customHeight="true" outlineLevel="0" collapsed="false">
      <c r="A482" s="74" t="n">
        <v>442</v>
      </c>
      <c r="B482" s="22" t="n">
        <f aca="true">NORMINV(RAND(),$B$6,$C$6)</f>
        <v>0.19504234193829</v>
      </c>
      <c r="C482" s="22" t="n">
        <f aca="true">MAX(0.03,NORMINV(RAND(),$B$7,$C$7))</f>
        <v>0.247028002670959</v>
      </c>
      <c r="D482" s="34" t="n">
        <f aca="true">MAX(0.08,NORMINV(RAND(),$B$8,$C$8))</f>
        <v>0.133198482949976</v>
      </c>
      <c r="E482" s="70" t="n">
        <f aca="true">MAX(4,NORMINV(RAND(),$B$9,$C$9))</f>
        <v>10.9108085689177</v>
      </c>
      <c r="F482" s="27" t="n">
        <f aca="false">$B$18*(1+(B482+$B$17)/2)^9</f>
        <v>7841.28775197677</v>
      </c>
      <c r="G482" s="27" t="n">
        <f aca="false">F482*C482</f>
        <v>1937.01765173907</v>
      </c>
      <c r="H482" s="27" t="n">
        <f aca="false">E482*G482/(1+D482)^9</f>
        <v>6858.61862518502</v>
      </c>
      <c r="I482" s="27" t="n">
        <f aca="false">$B$13*G482/$B$12*((1+$B$8)/(1+D482))^4.5</f>
        <v>2982.86794261595</v>
      </c>
      <c r="J482" s="27" t="n">
        <f aca="false">H482+I482+$B$14</f>
        <v>11927.8854458832</v>
      </c>
      <c r="K482" s="45" t="n">
        <f aca="false">J482/$B$15</f>
        <v>18.9331515014018</v>
      </c>
    </row>
    <row r="483" customFormat="false" ht="15" hidden="false" customHeight="true" outlineLevel="0" collapsed="false">
      <c r="A483" s="74" t="n">
        <v>443</v>
      </c>
      <c r="B483" s="22" t="n">
        <f aca="true">NORMINV(RAND(),$B$6,$C$6)</f>
        <v>0.158917469613489</v>
      </c>
      <c r="C483" s="22" t="n">
        <f aca="true">MAX(0.03,NORMINV(RAND(),$B$7,$C$7))</f>
        <v>0.228121243854702</v>
      </c>
      <c r="D483" s="34" t="n">
        <f aca="true">MAX(0.08,NORMINV(RAND(),$B$8,$C$8))</f>
        <v>0.137556257866698</v>
      </c>
      <c r="E483" s="70" t="n">
        <f aca="true">MAX(4,NORMINV(RAND(),$B$9,$C$9))</f>
        <v>14.6497410385475</v>
      </c>
      <c r="F483" s="27" t="n">
        <f aca="false">$B$18*(1+(B483+$B$17)/2)^9</f>
        <v>6776.1338165241</v>
      </c>
      <c r="G483" s="27" t="n">
        <f aca="false">F483*C483</f>
        <v>1545.78007475139</v>
      </c>
      <c r="H483" s="27" t="n">
        <f aca="false">E483*G483/(1+D483)^9</f>
        <v>7099.40083941207</v>
      </c>
      <c r="I483" s="27" t="n">
        <f aca="false">$B$13*G483/$B$12*((1+$B$8)/(1+D483))^4.5</f>
        <v>2339.6295915702</v>
      </c>
      <c r="J483" s="27" t="n">
        <f aca="false">H483+I483+$B$14</f>
        <v>11525.4293090645</v>
      </c>
      <c r="K483" s="45" t="n">
        <f aca="false">J483/$B$15</f>
        <v>18.2943322366103</v>
      </c>
    </row>
    <row r="484" customFormat="false" ht="15" hidden="false" customHeight="true" outlineLevel="0" collapsed="false">
      <c r="A484" s="74" t="n">
        <v>444</v>
      </c>
      <c r="B484" s="22" t="n">
        <f aca="true">NORMINV(RAND(),$B$6,$C$6)</f>
        <v>0.181710255682571</v>
      </c>
      <c r="C484" s="22" t="n">
        <f aca="true">MAX(0.03,NORMINV(RAND(),$B$7,$C$7))</f>
        <v>0.148136161739222</v>
      </c>
      <c r="D484" s="34" t="n">
        <f aca="true">MAX(0.08,NORMINV(RAND(),$B$8,$C$8))</f>
        <v>0.109382975408101</v>
      </c>
      <c r="E484" s="70" t="n">
        <f aca="true">MAX(4,NORMINV(RAND(),$B$9,$C$9))</f>
        <v>11.4084419247544</v>
      </c>
      <c r="F484" s="27" t="n">
        <f aca="false">$B$18*(1+(B484+$B$17)/2)^9</f>
        <v>7432.01962275005</v>
      </c>
      <c r="G484" s="27" t="n">
        <f aca="false">F484*C484</f>
        <v>1100.95086088477</v>
      </c>
      <c r="H484" s="27" t="n">
        <f aca="false">E484*G484/(1+D484)^9</f>
        <v>4934.70049787777</v>
      </c>
      <c r="I484" s="27" t="n">
        <f aca="false">$B$13*G484/$B$12*((1+$B$8)/(1+D484))^4.5</f>
        <v>1865.42837112951</v>
      </c>
      <c r="J484" s="27" t="n">
        <f aca="false">H484+I484+$B$14</f>
        <v>8886.52774708947</v>
      </c>
      <c r="K484" s="45" t="n">
        <f aca="false">J484/$B$15</f>
        <v>14.1055995985547</v>
      </c>
    </row>
    <row r="485" customFormat="false" ht="15" hidden="false" customHeight="true" outlineLevel="0" collapsed="false">
      <c r="A485" s="74" t="n">
        <v>445</v>
      </c>
      <c r="B485" s="22" t="n">
        <f aca="true">NORMINV(RAND(),$B$6,$C$6)</f>
        <v>0.16807938934858</v>
      </c>
      <c r="C485" s="22" t="n">
        <f aca="true">MAX(0.03,NORMINV(RAND(),$B$7,$C$7))</f>
        <v>0.221209046637557</v>
      </c>
      <c r="D485" s="34" t="n">
        <f aca="true">MAX(0.08,NORMINV(RAND(),$B$8,$C$8))</f>
        <v>0.126836114786763</v>
      </c>
      <c r="E485" s="70" t="n">
        <f aca="true">MAX(4,NORMINV(RAND(),$B$9,$C$9))</f>
        <v>10.1207123988034</v>
      </c>
      <c r="F485" s="27" t="n">
        <f aca="false">$B$18*(1+(B485+$B$17)/2)^9</f>
        <v>7033.31942522337</v>
      </c>
      <c r="G485" s="27" t="n">
        <f aca="false">F485*C485</f>
        <v>1555.83388475107</v>
      </c>
      <c r="H485" s="27" t="n">
        <f aca="false">E485*G485/(1+D485)^9</f>
        <v>5375.60676086002</v>
      </c>
      <c r="I485" s="27" t="n">
        <f aca="false">$B$13*G485/$B$12*((1+$B$8)/(1+D485))^4.5</f>
        <v>2457.35100586605</v>
      </c>
      <c r="J485" s="27" t="n">
        <f aca="false">H485+I485+$B$14</f>
        <v>9919.35664480826</v>
      </c>
      <c r="K485" s="45" t="n">
        <f aca="false">J485/$B$15</f>
        <v>15.7450105473147</v>
      </c>
    </row>
    <row r="486" customFormat="false" ht="15" hidden="false" customHeight="true" outlineLevel="0" collapsed="false">
      <c r="A486" s="74" t="n">
        <v>446</v>
      </c>
      <c r="B486" s="22" t="n">
        <f aca="true">NORMINV(RAND(),$B$6,$C$6)</f>
        <v>0.227651043246902</v>
      </c>
      <c r="C486" s="22" t="n">
        <f aca="true">MAX(0.03,NORMINV(RAND(),$B$7,$C$7))</f>
        <v>0.260718875601175</v>
      </c>
      <c r="D486" s="34" t="n">
        <f aca="true">MAX(0.08,NORMINV(RAND(),$B$8,$C$8))</f>
        <v>0.136261409862895</v>
      </c>
      <c r="E486" s="70" t="n">
        <f aca="true">MAX(4,NORMINV(RAND(),$B$9,$C$9))</f>
        <v>12.0362088969215</v>
      </c>
      <c r="F486" s="27" t="n">
        <f aca="false">$B$18*(1+(B486+$B$17)/2)^9</f>
        <v>8927.93968792973</v>
      </c>
      <c r="G486" s="27" t="n">
        <f aca="false">F486*C486</f>
        <v>2327.68239687214</v>
      </c>
      <c r="H486" s="27" t="n">
        <f aca="false">E486*G486/(1+D486)^9</f>
        <v>8873.78952441239</v>
      </c>
      <c r="I486" s="27" t="n">
        <f aca="false">$B$13*G486/$B$12*((1+$B$8)/(1+D486))^4.5</f>
        <v>3541.18766618681</v>
      </c>
      <c r="J486" s="27" t="n">
        <f aca="false">H486+I486+$B$14</f>
        <v>14501.3760686814</v>
      </c>
      <c r="K486" s="45" t="n">
        <f aca="false">J486/$B$15</f>
        <v>23.0180572518752</v>
      </c>
    </row>
    <row r="487" customFormat="false" ht="15" hidden="false" customHeight="true" outlineLevel="0" collapsed="false">
      <c r="A487" s="74" t="n">
        <v>447</v>
      </c>
      <c r="B487" s="22" t="n">
        <f aca="true">NORMINV(RAND(),$B$6,$C$6)</f>
        <v>0.191873614370644</v>
      </c>
      <c r="C487" s="22" t="n">
        <f aca="true">MAX(0.03,NORMINV(RAND(),$B$7,$C$7))</f>
        <v>0.208424694773436</v>
      </c>
      <c r="D487" s="34" t="n">
        <f aca="true">MAX(0.08,NORMINV(RAND(),$B$8,$C$8))</f>
        <v>0.134760773215967</v>
      </c>
      <c r="E487" s="70" t="n">
        <f aca="true">MAX(4,NORMINV(RAND(),$B$9,$C$9))</f>
        <v>10.8630835542579</v>
      </c>
      <c r="F487" s="27" t="n">
        <f aca="false">$B$18*(1+(B487+$B$17)/2)^9</f>
        <v>7742.24116565668</v>
      </c>
      <c r="G487" s="27" t="n">
        <f aca="false">F487*C487</f>
        <v>1613.67425181432</v>
      </c>
      <c r="H487" s="27" t="n">
        <f aca="false">E487*G487/(1+D487)^9</f>
        <v>5618.62643762795</v>
      </c>
      <c r="I487" s="27" t="n">
        <f aca="false">$B$13*G487/$B$12*((1+$B$8)/(1+D487))^4.5</f>
        <v>2469.58416741371</v>
      </c>
      <c r="J487" s="27" t="n">
        <f aca="false">H487+I487+$B$14</f>
        <v>10174.6094831238</v>
      </c>
      <c r="K487" s="45" t="n">
        <f aca="false">J487/$B$15</f>
        <v>16.1501737827363</v>
      </c>
    </row>
    <row r="488" customFormat="false" ht="15" hidden="false" customHeight="true" outlineLevel="0" collapsed="false">
      <c r="A488" s="74" t="n">
        <v>448</v>
      </c>
      <c r="B488" s="22" t="n">
        <f aca="true">NORMINV(RAND(),$B$6,$C$6)</f>
        <v>0.271084701853701</v>
      </c>
      <c r="C488" s="22" t="n">
        <f aca="true">MAX(0.03,NORMINV(RAND(),$B$7,$C$7))</f>
        <v>0.212913958719572</v>
      </c>
      <c r="D488" s="34" t="n">
        <f aca="true">MAX(0.08,NORMINV(RAND(),$B$8,$C$8))</f>
        <v>0.126798704398489</v>
      </c>
      <c r="E488" s="70" t="n">
        <f aca="true">MAX(4,NORMINV(RAND(),$B$9,$C$9))</f>
        <v>10.9843458918792</v>
      </c>
      <c r="F488" s="27" t="n">
        <f aca="false">$B$18*(1+(B488+$B$17)/2)^9</f>
        <v>10582.4315343368</v>
      </c>
      <c r="G488" s="27" t="n">
        <f aca="false">F488*C488</f>
        <v>2253.14739085449</v>
      </c>
      <c r="H488" s="27" t="n">
        <f aca="false">E488*G488/(1+D488)^9</f>
        <v>8451.75213138414</v>
      </c>
      <c r="I488" s="27" t="n">
        <f aca="false">$B$13*G488/$B$12*((1+$B$8)/(1+D488))^4.5</f>
        <v>3559.24968500721</v>
      </c>
      <c r="J488" s="27" t="n">
        <f aca="false">H488+I488+$B$14</f>
        <v>14097.4006944735</v>
      </c>
      <c r="K488" s="45" t="n">
        <f aca="false">J488/$B$15</f>
        <v>22.3768264991644</v>
      </c>
    </row>
    <row r="489" customFormat="false" ht="15" hidden="false" customHeight="true" outlineLevel="0" collapsed="false">
      <c r="A489" s="74" t="n">
        <v>449</v>
      </c>
      <c r="B489" s="22" t="n">
        <f aca="true">NORMINV(RAND(),$B$6,$C$6)</f>
        <v>0.206416628855937</v>
      </c>
      <c r="C489" s="22" t="n">
        <f aca="true">MAX(0.03,NORMINV(RAND(),$B$7,$C$7))</f>
        <v>0.210871598086154</v>
      </c>
      <c r="D489" s="34" t="n">
        <f aca="true">MAX(0.08,NORMINV(RAND(),$B$8,$C$8))</f>
        <v>0.137082568769172</v>
      </c>
      <c r="E489" s="70" t="n">
        <f aca="true">MAX(4,NORMINV(RAND(),$B$9,$C$9))</f>
        <v>11.3365939791963</v>
      </c>
      <c r="F489" s="27" t="n">
        <f aca="false">$B$18*(1+(B489+$B$17)/2)^9</f>
        <v>8206.16395170021</v>
      </c>
      <c r="G489" s="27" t="n">
        <f aca="false">F489*C489</f>
        <v>1730.44690665201</v>
      </c>
      <c r="H489" s="27" t="n">
        <f aca="false">E489*G489/(1+D489)^9</f>
        <v>6173.23562830446</v>
      </c>
      <c r="I489" s="27" t="n">
        <f aca="false">$B$13*G489/$B$12*((1+$B$8)/(1+D489))^4.5</f>
        <v>2624.047235145</v>
      </c>
      <c r="J489" s="27" t="n">
        <f aca="false">H489+I489+$B$14</f>
        <v>10883.6817415317</v>
      </c>
      <c r="K489" s="45" t="n">
        <f aca="false">J489/$B$15</f>
        <v>17.2756853040185</v>
      </c>
    </row>
    <row r="490" customFormat="false" ht="15" hidden="false" customHeight="true" outlineLevel="0" collapsed="false">
      <c r="A490" s="74" t="n">
        <v>450</v>
      </c>
      <c r="B490" s="22" t="n">
        <f aca="true">NORMINV(RAND(),$B$6,$C$6)</f>
        <v>0.219891761122375</v>
      </c>
      <c r="C490" s="22" t="n">
        <f aca="true">MAX(0.03,NORMINV(RAND(),$B$7,$C$7))</f>
        <v>0.260178918541335</v>
      </c>
      <c r="D490" s="34" t="n">
        <f aca="true">MAX(0.08,NORMINV(RAND(),$B$8,$C$8))</f>
        <v>0.141317615046424</v>
      </c>
      <c r="E490" s="70" t="n">
        <f aca="true">MAX(4,NORMINV(RAND(),$B$9,$C$9))</f>
        <v>10.914376421868</v>
      </c>
      <c r="F490" s="27" t="n">
        <f aca="false">$B$18*(1+(B490+$B$17)/2)^9</f>
        <v>8657.90670280636</v>
      </c>
      <c r="G490" s="27" t="n">
        <f aca="false">F490*C490</f>
        <v>2252.60480276793</v>
      </c>
      <c r="H490" s="27" t="n">
        <f aca="false">E490*G490/(1+D490)^9</f>
        <v>7482.13003763573</v>
      </c>
      <c r="I490" s="27" t="n">
        <f aca="false">$B$13*G490/$B$12*((1+$B$8)/(1+D490))^4.5</f>
        <v>3359.1781996826</v>
      </c>
      <c r="J490" s="27" t="n">
        <f aca="false">H490+I490+$B$14</f>
        <v>12927.7071154005</v>
      </c>
      <c r="K490" s="45" t="n">
        <f aca="false">J490/$B$15</f>
        <v>20.5201700244453</v>
      </c>
    </row>
    <row r="491" customFormat="false" ht="15" hidden="false" customHeight="true" outlineLevel="0" collapsed="false">
      <c r="A491" s="74" t="n">
        <v>451</v>
      </c>
      <c r="B491" s="22" t="n">
        <f aca="true">NORMINV(RAND(),$B$6,$C$6)</f>
        <v>0.156291554044036</v>
      </c>
      <c r="C491" s="22" t="n">
        <f aca="true">MAX(0.03,NORMINV(RAND(),$B$7,$C$7))</f>
        <v>0.238637958968443</v>
      </c>
      <c r="D491" s="34" t="n">
        <f aca="true">MAX(0.08,NORMINV(RAND(),$B$8,$C$8))</f>
        <v>0.115085457472001</v>
      </c>
      <c r="E491" s="70" t="n">
        <f aca="true">MAX(4,NORMINV(RAND(),$B$9,$C$9))</f>
        <v>13.231376661279</v>
      </c>
      <c r="F491" s="27" t="n">
        <f aca="false">$B$18*(1+(B491+$B$17)/2)^9</f>
        <v>6703.97964405941</v>
      </c>
      <c r="G491" s="27" t="n">
        <f aca="false">F491*C491</f>
        <v>1599.82401922433</v>
      </c>
      <c r="H491" s="27" t="n">
        <f aca="false">E491*G491/(1+D491)^9</f>
        <v>7941.52446487992</v>
      </c>
      <c r="I491" s="27" t="n">
        <f aca="false">$B$13*G491/$B$12*((1+$B$8)/(1+D491))^4.5</f>
        <v>2648.88380084839</v>
      </c>
      <c r="J491" s="27" t="n">
        <f aca="false">H491+I491+$B$14</f>
        <v>12676.8071438105</v>
      </c>
      <c r="K491" s="45" t="n">
        <f aca="false">J491/$B$15</f>
        <v>20.1219161012865</v>
      </c>
    </row>
    <row r="492" customFormat="false" ht="15" hidden="false" customHeight="true" outlineLevel="0" collapsed="false">
      <c r="A492" s="74" t="n">
        <v>452</v>
      </c>
      <c r="B492" s="22" t="n">
        <f aca="true">NORMINV(RAND(),$B$6,$C$6)</f>
        <v>0.203413516467171</v>
      </c>
      <c r="C492" s="22" t="n">
        <f aca="true">MAX(0.03,NORMINV(RAND(),$B$7,$C$7))</f>
        <v>0.256691038769704</v>
      </c>
      <c r="D492" s="34" t="n">
        <f aca="true">MAX(0.08,NORMINV(RAND(),$B$8,$C$8))</f>
        <v>0.144580742159705</v>
      </c>
      <c r="E492" s="70" t="n">
        <f aca="true">MAX(4,NORMINV(RAND(),$B$9,$C$9))</f>
        <v>13.6786175367921</v>
      </c>
      <c r="F492" s="27" t="n">
        <f aca="false">$B$18*(1+(B492+$B$17)/2)^9</f>
        <v>8108.38981860646</v>
      </c>
      <c r="G492" s="27" t="n">
        <f aca="false">F492*C492</f>
        <v>2081.35100528779</v>
      </c>
      <c r="H492" s="27" t="n">
        <f aca="false">E492*G492/(1+D492)^9</f>
        <v>8444.41605791619</v>
      </c>
      <c r="I492" s="27" t="n">
        <f aca="false">$B$13*G492/$B$12*((1+$B$8)/(1+D492))^4.5</f>
        <v>3064.17630627004</v>
      </c>
      <c r="J492" s="27" t="n">
        <f aca="false">H492+I492+$B$14</f>
        <v>13594.9912422684</v>
      </c>
      <c r="K492" s="45" t="n">
        <f aca="false">J492/$B$15</f>
        <v>21.5793511782039</v>
      </c>
    </row>
    <row r="493" customFormat="false" ht="15" hidden="false" customHeight="true" outlineLevel="0" collapsed="false">
      <c r="A493" s="74" t="n">
        <v>453</v>
      </c>
      <c r="B493" s="22" t="n">
        <f aca="true">NORMINV(RAND(),$B$6,$C$6)</f>
        <v>0.234038334314587</v>
      </c>
      <c r="C493" s="22" t="n">
        <f aca="true">MAX(0.03,NORMINV(RAND(),$B$7,$C$7))</f>
        <v>0.230125323240447</v>
      </c>
      <c r="D493" s="34" t="n">
        <f aca="true">MAX(0.08,NORMINV(RAND(),$B$8,$C$8))</f>
        <v>0.128302008320112</v>
      </c>
      <c r="E493" s="70" t="n">
        <f aca="true">MAX(4,NORMINV(RAND(),$B$9,$C$9))</f>
        <v>13.4490175078943</v>
      </c>
      <c r="F493" s="27" t="n">
        <f aca="false">$B$18*(1+(B493+$B$17)/2)^9</f>
        <v>9155.8161336356</v>
      </c>
      <c r="G493" s="27" t="n">
        <f aca="false">F493*C493</f>
        <v>2106.98514728299</v>
      </c>
      <c r="H493" s="27" t="n">
        <f aca="false">E493*G493/(1+D493)^9</f>
        <v>9561.45053537718</v>
      </c>
      <c r="I493" s="27" t="n">
        <f aca="false">$B$13*G493/$B$12*((1+$B$8)/(1+D493))^4.5</f>
        <v>3308.45115510803</v>
      </c>
      <c r="J493" s="27" t="n">
        <f aca="false">H493+I493+$B$14</f>
        <v>14956.3005685674</v>
      </c>
      <c r="K493" s="45" t="n">
        <f aca="false">J493/$B$15</f>
        <v>23.7401596326467</v>
      </c>
    </row>
    <row r="494" customFormat="false" ht="15" hidden="false" customHeight="true" outlineLevel="0" collapsed="false">
      <c r="A494" s="74" t="n">
        <v>454</v>
      </c>
      <c r="B494" s="22" t="n">
        <f aca="true">NORMINV(RAND(),$B$6,$C$6)</f>
        <v>0.213573830654803</v>
      </c>
      <c r="C494" s="22" t="n">
        <f aca="true">MAX(0.03,NORMINV(RAND(),$B$7,$C$7))</f>
        <v>0.224790911855336</v>
      </c>
      <c r="D494" s="34" t="n">
        <f aca="true">MAX(0.08,NORMINV(RAND(),$B$8,$C$8))</f>
        <v>0.133819506273518</v>
      </c>
      <c r="E494" s="70" t="n">
        <f aca="true">MAX(4,NORMINV(RAND(),$B$9,$C$9))</f>
        <v>7.77741120588776</v>
      </c>
      <c r="F494" s="27" t="n">
        <f aca="false">$B$18*(1+(B494+$B$17)/2)^9</f>
        <v>8443.42294294667</v>
      </c>
      <c r="G494" s="27" t="n">
        <f aca="false">F494*C494</f>
        <v>1898.00474252525</v>
      </c>
      <c r="H494" s="27" t="n">
        <f aca="false">E494*G494/(1+D494)^9</f>
        <v>4766.91091392188</v>
      </c>
      <c r="I494" s="27" t="n">
        <f aca="false">$B$13*G494/$B$12*((1+$B$8)/(1+D494))^4.5</f>
        <v>2915.59375996528</v>
      </c>
      <c r="J494" s="27" t="n">
        <f aca="false">H494+I494+$B$14</f>
        <v>9768.90355196935</v>
      </c>
      <c r="K494" s="45" t="n">
        <f aca="false">J494/$B$15</f>
        <v>15.5061961142371</v>
      </c>
    </row>
    <row r="495" customFormat="false" ht="15" hidden="false" customHeight="true" outlineLevel="0" collapsed="false">
      <c r="A495" s="74" t="n">
        <v>455</v>
      </c>
      <c r="B495" s="22" t="n">
        <f aca="true">NORMINV(RAND(),$B$6,$C$6)</f>
        <v>0.191005430090005</v>
      </c>
      <c r="C495" s="22" t="n">
        <f aca="true">MAX(0.03,NORMINV(RAND(),$B$7,$C$7))</f>
        <v>0.185146661884486</v>
      </c>
      <c r="D495" s="34" t="n">
        <f aca="true">MAX(0.08,NORMINV(RAND(),$B$8,$C$8))</f>
        <v>0.125819630520524</v>
      </c>
      <c r="E495" s="70" t="n">
        <f aca="true">MAX(4,NORMINV(RAND(),$B$9,$C$9))</f>
        <v>12.7750429091753</v>
      </c>
      <c r="F495" s="27" t="n">
        <f aca="false">$B$18*(1+(B495+$B$17)/2)^9</f>
        <v>7715.29869940802</v>
      </c>
      <c r="G495" s="27" t="n">
        <f aca="false">F495*C495</f>
        <v>1428.46179963711</v>
      </c>
      <c r="H495" s="27" t="n">
        <f aca="false">E495*G495/(1+D495)^9</f>
        <v>6280.75199685933</v>
      </c>
      <c r="I495" s="27" t="n">
        <f aca="false">$B$13*G495/$B$12*((1+$B$8)/(1+D495))^4.5</f>
        <v>2265.35533011044</v>
      </c>
      <c r="J495" s="27" t="n">
        <f aca="false">H495+I495+$B$14</f>
        <v>10632.506205052</v>
      </c>
      <c r="K495" s="45" t="n">
        <f aca="false">J495/$B$15</f>
        <v>16.876993976273</v>
      </c>
    </row>
    <row r="496" customFormat="false" ht="15" hidden="false" customHeight="true" outlineLevel="0" collapsed="false">
      <c r="A496" s="74" t="n">
        <v>456</v>
      </c>
      <c r="B496" s="22" t="n">
        <f aca="true">NORMINV(RAND(),$B$6,$C$6)</f>
        <v>0.193699101805431</v>
      </c>
      <c r="C496" s="22" t="n">
        <f aca="true">MAX(0.03,NORMINV(RAND(),$B$7,$C$7))</f>
        <v>0.240176856649088</v>
      </c>
      <c r="D496" s="34" t="n">
        <f aca="true">MAX(0.08,NORMINV(RAND(),$B$8,$C$8))</f>
        <v>0.142637520019311</v>
      </c>
      <c r="E496" s="70" t="n">
        <f aca="true">MAX(4,NORMINV(RAND(),$B$9,$C$9))</f>
        <v>9.83840830987322</v>
      </c>
      <c r="F496" s="27" t="n">
        <f aca="false">$B$18*(1+(B496+$B$17)/2)^9</f>
        <v>7799.16469773216</v>
      </c>
      <c r="G496" s="27" t="n">
        <f aca="false">F496*C496</f>
        <v>1873.17886158984</v>
      </c>
      <c r="H496" s="27" t="n">
        <f aca="false">E496*G496/(1+D496)^9</f>
        <v>5550.44451251021</v>
      </c>
      <c r="I496" s="27" t="n">
        <f aca="false">$B$13*G496/$B$12*((1+$B$8)/(1+D496))^4.5</f>
        <v>2778.87149480791</v>
      </c>
      <c r="J496" s="27" t="n">
        <f aca="false">H496+I496+$B$14</f>
        <v>10415.7148854003</v>
      </c>
      <c r="K496" s="45" t="n">
        <f aca="false">J496/$B$15</f>
        <v>16.5328807704767</v>
      </c>
    </row>
    <row r="497" customFormat="false" ht="15" hidden="false" customHeight="true" outlineLevel="0" collapsed="false">
      <c r="A497" s="74" t="n">
        <v>457</v>
      </c>
      <c r="B497" s="22" t="n">
        <f aca="true">NORMINV(RAND(),$B$6,$C$6)</f>
        <v>0.186824488828946</v>
      </c>
      <c r="C497" s="22" t="n">
        <f aca="true">MAX(0.03,NORMINV(RAND(),$B$7,$C$7))</f>
        <v>0.202208695779527</v>
      </c>
      <c r="D497" s="34" t="n">
        <f aca="true">MAX(0.08,NORMINV(RAND(),$B$8,$C$8))</f>
        <v>0.125202087149212</v>
      </c>
      <c r="E497" s="70" t="n">
        <f aca="true">MAX(4,NORMINV(RAND(),$B$9,$C$9))</f>
        <v>14.9871789841189</v>
      </c>
      <c r="F497" s="27" t="n">
        <f aca="false">$B$18*(1+(B497+$B$17)/2)^9</f>
        <v>7586.71454328491</v>
      </c>
      <c r="G497" s="27" t="n">
        <f aca="false">F497*C497</f>
        <v>1534.09965304921</v>
      </c>
      <c r="H497" s="27" t="n">
        <f aca="false">E497*G497/(1+D497)^9</f>
        <v>7952.40892349907</v>
      </c>
      <c r="I497" s="27" t="n">
        <f aca="false">$B$13*G497/$B$12*((1+$B$8)/(1+D497))^4.5</f>
        <v>2438.89761624835</v>
      </c>
      <c r="J497" s="27" t="n">
        <f aca="false">H497+I497+$B$14</f>
        <v>12477.7054178296</v>
      </c>
      <c r="K497" s="45" t="n">
        <f aca="false">J497/$B$15</f>
        <v>19.8058816156026</v>
      </c>
    </row>
    <row r="498" customFormat="false" ht="15" hidden="false" customHeight="true" outlineLevel="0" collapsed="false">
      <c r="A498" s="74" t="n">
        <v>458</v>
      </c>
      <c r="B498" s="22" t="n">
        <f aca="true">NORMINV(RAND(),$B$6,$C$6)</f>
        <v>0.206345937081883</v>
      </c>
      <c r="C498" s="22" t="n">
        <f aca="true">MAX(0.03,NORMINV(RAND(),$B$7,$C$7))</f>
        <v>0.164012322688796</v>
      </c>
      <c r="D498" s="34" t="n">
        <f aca="true">MAX(0.08,NORMINV(RAND(),$B$8,$C$8))</f>
        <v>0.129691188058089</v>
      </c>
      <c r="E498" s="70" t="n">
        <f aca="true">MAX(4,NORMINV(RAND(),$B$9,$C$9))</f>
        <v>10.2076066334727</v>
      </c>
      <c r="F498" s="27" t="n">
        <f aca="false">$B$18*(1+(B498+$B$17)/2)^9</f>
        <v>8203.85040716411</v>
      </c>
      <c r="G498" s="27" t="n">
        <f aca="false">F498*C498</f>
        <v>1345.53256027041</v>
      </c>
      <c r="H498" s="27" t="n">
        <f aca="false">E498*G498/(1+D498)^9</f>
        <v>4583.32302694868</v>
      </c>
      <c r="I498" s="27" t="n">
        <f aca="false">$B$13*G498/$B$12*((1+$B$8)/(1+D498))^4.5</f>
        <v>2101.12918319086</v>
      </c>
      <c r="J498" s="27" t="n">
        <f aca="false">H498+I498+$B$14</f>
        <v>8770.85108822173</v>
      </c>
      <c r="K498" s="45" t="n">
        <f aca="false">J498/$B$15</f>
        <v>13.9219858543202</v>
      </c>
    </row>
    <row r="499" customFormat="false" ht="15" hidden="false" customHeight="true" outlineLevel="0" collapsed="false">
      <c r="A499" s="74" t="n">
        <v>459</v>
      </c>
      <c r="B499" s="22" t="n">
        <f aca="true">NORMINV(RAND(),$B$6,$C$6)</f>
        <v>0.226693934239254</v>
      </c>
      <c r="C499" s="22" t="n">
        <f aca="true">MAX(0.03,NORMINV(RAND(),$B$7,$C$7))</f>
        <v>0.208214207631461</v>
      </c>
      <c r="D499" s="34" t="n">
        <f aca="true">MAX(0.08,NORMINV(RAND(),$B$8,$C$8))</f>
        <v>0.120483946450966</v>
      </c>
      <c r="E499" s="70" t="n">
        <f aca="true">MAX(4,NORMINV(RAND(),$B$9,$C$9))</f>
        <v>16.51314749433</v>
      </c>
      <c r="F499" s="27" t="n">
        <f aca="false">$B$18*(1+(B499+$B$17)/2)^9</f>
        <v>8894.23129223607</v>
      </c>
      <c r="G499" s="27" t="n">
        <f aca="false">F499*C499</f>
        <v>1851.90532100388</v>
      </c>
      <c r="H499" s="27" t="n">
        <f aca="false">E499*G499/(1+D499)^9</f>
        <v>10984.9451270904</v>
      </c>
      <c r="I499" s="27" t="n">
        <f aca="false">$B$13*G499/$B$12*((1+$B$8)/(1+D499))^4.5</f>
        <v>3000.34215572246</v>
      </c>
      <c r="J499" s="27" t="n">
        <f aca="false">H499+I499+$B$14</f>
        <v>16071.6861608951</v>
      </c>
      <c r="K499" s="45" t="n">
        <f aca="false">J499/$B$15</f>
        <v>25.5106129538017</v>
      </c>
    </row>
    <row r="500" customFormat="false" ht="15" hidden="false" customHeight="true" outlineLevel="0" collapsed="false">
      <c r="A500" s="74" t="n">
        <v>460</v>
      </c>
      <c r="B500" s="22" t="n">
        <f aca="true">NORMINV(RAND(),$B$6,$C$6)</f>
        <v>0.236407030783713</v>
      </c>
      <c r="C500" s="22" t="n">
        <f aca="true">MAX(0.03,NORMINV(RAND(),$B$7,$C$7))</f>
        <v>0.227094357959137</v>
      </c>
      <c r="D500" s="34" t="n">
        <f aca="true">MAX(0.08,NORMINV(RAND(),$B$8,$C$8))</f>
        <v>0.113651865209119</v>
      </c>
      <c r="E500" s="70" t="n">
        <f aca="true">MAX(4,NORMINV(RAND(),$B$9,$C$9))</f>
        <v>13.1287317428225</v>
      </c>
      <c r="F500" s="27" t="n">
        <f aca="false">$B$18*(1+(B500+$B$17)/2)^9</f>
        <v>9241.62808629979</v>
      </c>
      <c r="G500" s="27" t="n">
        <f aca="false">F500*C500</f>
        <v>2098.72159675538</v>
      </c>
      <c r="H500" s="27" t="n">
        <f aca="false">E500*G500/(1+D500)^9</f>
        <v>10457.6130255412</v>
      </c>
      <c r="I500" s="27" t="n">
        <f aca="false">$B$13*G500/$B$12*((1+$B$8)/(1+D500))^4.5</f>
        <v>3495.10067885932</v>
      </c>
      <c r="J500" s="27" t="n">
        <f aca="false">H500+I500+$B$14</f>
        <v>16039.1125824828</v>
      </c>
      <c r="K500" s="45" t="n">
        <f aca="false">J500/$B$15</f>
        <v>25.4589088610837</v>
      </c>
    </row>
    <row r="501" customFormat="false" ht="15" hidden="false" customHeight="true" outlineLevel="0" collapsed="false">
      <c r="A501" s="74" t="n">
        <v>461</v>
      </c>
      <c r="B501" s="22" t="n">
        <f aca="true">NORMINV(RAND(),$B$6,$C$6)</f>
        <v>0.204709682888318</v>
      </c>
      <c r="C501" s="22" t="n">
        <f aca="true">MAX(0.03,NORMINV(RAND(),$B$7,$C$7))</f>
        <v>0.20455670268741</v>
      </c>
      <c r="D501" s="34" t="n">
        <f aca="true">MAX(0.08,NORMINV(RAND(),$B$8,$C$8))</f>
        <v>0.129321915245875</v>
      </c>
      <c r="E501" s="70" t="n">
        <f aca="true">MAX(4,NORMINV(RAND(),$B$9,$C$9))</f>
        <v>14.5529594319588</v>
      </c>
      <c r="F501" s="27" t="n">
        <f aca="false">$B$18*(1+(B501+$B$17)/2)^9</f>
        <v>8150.46213452038</v>
      </c>
      <c r="G501" s="27" t="n">
        <f aca="false">F501*C501</f>
        <v>1667.23165961608</v>
      </c>
      <c r="H501" s="27" t="n">
        <f aca="false">E501*G501/(1+D501)^9</f>
        <v>8120.58774528436</v>
      </c>
      <c r="I501" s="27" t="n">
        <f aca="false">$B$13*G501/$B$12*((1+$B$8)/(1+D501))^4.5</f>
        <v>2607.31453074717</v>
      </c>
      <c r="J501" s="27" t="n">
        <f aca="false">H501+I501+$B$14</f>
        <v>12814.3011541137</v>
      </c>
      <c r="K501" s="45" t="n">
        <f aca="false">J501/$B$15</f>
        <v>20.3401605620853</v>
      </c>
    </row>
    <row r="502" customFormat="false" ht="15" hidden="false" customHeight="true" outlineLevel="0" collapsed="false">
      <c r="A502" s="74" t="n">
        <v>462</v>
      </c>
      <c r="B502" s="22" t="n">
        <f aca="true">NORMINV(RAND(),$B$6,$C$6)</f>
        <v>0.210278311222842</v>
      </c>
      <c r="C502" s="22" t="n">
        <f aca="true">MAX(0.03,NORMINV(RAND(),$B$7,$C$7))</f>
        <v>0.194694588436893</v>
      </c>
      <c r="D502" s="34" t="n">
        <f aca="true">MAX(0.08,NORMINV(RAND(),$B$8,$C$8))</f>
        <v>0.130586419338792</v>
      </c>
      <c r="E502" s="70" t="n">
        <f aca="true">MAX(4,NORMINV(RAND(),$B$9,$C$9))</f>
        <v>11.9995912043671</v>
      </c>
      <c r="F502" s="27" t="n">
        <f aca="false">$B$18*(1+(B502+$B$17)/2)^9</f>
        <v>8333.43062549107</v>
      </c>
      <c r="G502" s="27" t="n">
        <f aca="false">F502*C502</f>
        <v>1622.47384589738</v>
      </c>
      <c r="H502" s="27" t="n">
        <f aca="false">E502*G502/(1+D502)^9</f>
        <v>6450.75096823107</v>
      </c>
      <c r="I502" s="27" t="n">
        <f aca="false">$B$13*G502/$B$12*((1+$B$8)/(1+D502))^4.5</f>
        <v>2524.57422163376</v>
      </c>
      <c r="J502" s="27" t="n">
        <f aca="false">H502+I502+$B$14</f>
        <v>11061.724067947</v>
      </c>
      <c r="K502" s="45" t="n">
        <f aca="false">J502/$B$15</f>
        <v>17.5582921713445</v>
      </c>
    </row>
    <row r="503" customFormat="false" ht="15" hidden="false" customHeight="true" outlineLevel="0" collapsed="false">
      <c r="A503" s="74" t="n">
        <v>463</v>
      </c>
      <c r="B503" s="22" t="n">
        <f aca="true">NORMINV(RAND(),$B$6,$C$6)</f>
        <v>0.212803813660514</v>
      </c>
      <c r="C503" s="22" t="n">
        <f aca="true">MAX(0.03,NORMINV(RAND(),$B$7,$C$7))</f>
        <v>0.203972337135709</v>
      </c>
      <c r="D503" s="34" t="n">
        <f aca="true">MAX(0.08,NORMINV(RAND(),$B$8,$C$8))</f>
        <v>0.134491722773661</v>
      </c>
      <c r="E503" s="70" t="n">
        <f aca="true">MAX(4,NORMINV(RAND(),$B$9,$C$9))</f>
        <v>11.9311622056841</v>
      </c>
      <c r="F503" s="27" t="n">
        <f aca="false">$B$18*(1+(B503+$B$17)/2)^9</f>
        <v>8417.60772371478</v>
      </c>
      <c r="G503" s="27" t="n">
        <f aca="false">F503*C503</f>
        <v>1716.9591204977</v>
      </c>
      <c r="H503" s="27" t="n">
        <f aca="false">E503*G503/(1+D503)^9</f>
        <v>6580.07313151477</v>
      </c>
      <c r="I503" s="27" t="n">
        <f aca="false">$B$13*G503/$B$12*((1+$B$8)/(1+D503))^4.5</f>
        <v>2630.45781320935</v>
      </c>
      <c r="J503" s="27" t="n">
        <f aca="false">H503+I503+$B$14</f>
        <v>11296.9298228063</v>
      </c>
      <c r="K503" s="45" t="n">
        <f aca="false">J503/$B$15</f>
        <v>17.9316346393751</v>
      </c>
    </row>
    <row r="504" customFormat="false" ht="15" hidden="false" customHeight="true" outlineLevel="0" collapsed="false">
      <c r="A504" s="74" t="n">
        <v>464</v>
      </c>
      <c r="B504" s="22" t="n">
        <f aca="true">NORMINV(RAND(),$B$6,$C$6)</f>
        <v>0.206045021347359</v>
      </c>
      <c r="C504" s="22" t="n">
        <f aca="true">MAX(0.03,NORMINV(RAND(),$B$7,$C$7))</f>
        <v>0.17536335230804</v>
      </c>
      <c r="D504" s="34" t="n">
        <f aca="true">MAX(0.08,NORMINV(RAND(),$B$8,$C$8))</f>
        <v>0.114448536348792</v>
      </c>
      <c r="E504" s="70" t="n">
        <f aca="true">MAX(4,NORMINV(RAND(),$B$9,$C$9))</f>
        <v>10.6866098841608</v>
      </c>
      <c r="F504" s="27" t="n">
        <f aca="false">$B$18*(1+(B504+$B$17)/2)^9</f>
        <v>8194.00876009362</v>
      </c>
      <c r="G504" s="27" t="n">
        <f aca="false">F504*C504</f>
        <v>1436.92884501146</v>
      </c>
      <c r="H504" s="27" t="n">
        <f aca="false">E504*G504/(1+D504)^9</f>
        <v>5790.75318945944</v>
      </c>
      <c r="I504" s="27" t="n">
        <f aca="false">$B$13*G504/$B$12*((1+$B$8)/(1+D504))^4.5</f>
        <v>2385.29753548516</v>
      </c>
      <c r="J504" s="27" t="n">
        <f aca="false">H504+I504+$B$14</f>
        <v>10262.4496030268</v>
      </c>
      <c r="K504" s="45" t="n">
        <f aca="false">J504/$B$15</f>
        <v>16.289602544487</v>
      </c>
    </row>
    <row r="505" customFormat="false" ht="15" hidden="false" customHeight="true" outlineLevel="0" collapsed="false">
      <c r="A505" s="74" t="n">
        <v>465</v>
      </c>
      <c r="B505" s="22" t="n">
        <f aca="true">NORMINV(RAND(),$B$6,$C$6)</f>
        <v>0.15820350716987</v>
      </c>
      <c r="C505" s="22" t="n">
        <f aca="true">MAX(0.03,NORMINV(RAND(),$B$7,$C$7))</f>
        <v>0.203814496261868</v>
      </c>
      <c r="D505" s="34" t="n">
        <f aca="true">MAX(0.08,NORMINV(RAND(),$B$8,$C$8))</f>
        <v>0.133819335566018</v>
      </c>
      <c r="E505" s="70" t="n">
        <f aca="true">MAX(4,NORMINV(RAND(),$B$9,$C$9))</f>
        <v>9.74064541928707</v>
      </c>
      <c r="F505" s="27" t="n">
        <f aca="false">$B$18*(1+(B505+$B$17)/2)^9</f>
        <v>6756.44775066508</v>
      </c>
      <c r="G505" s="27" t="n">
        <f aca="false">F505*C505</f>
        <v>1377.06199482144</v>
      </c>
      <c r="H505" s="27" t="n">
        <f aca="false">E505*G505/(1+D505)^9</f>
        <v>4331.58156078274</v>
      </c>
      <c r="I505" s="27" t="n">
        <f aca="false">$B$13*G505/$B$12*((1+$B$8)/(1+D505))^4.5</f>
        <v>2115.35618928509</v>
      </c>
      <c r="J505" s="27" t="n">
        <f aca="false">H505+I505+$B$14</f>
        <v>8533.33662815002</v>
      </c>
      <c r="K505" s="45" t="n">
        <f aca="false">J505/$B$15</f>
        <v>13.5449787748413</v>
      </c>
    </row>
    <row r="506" customFormat="false" ht="15" hidden="false" customHeight="true" outlineLevel="0" collapsed="false">
      <c r="A506" s="74" t="n">
        <v>466</v>
      </c>
      <c r="B506" s="22" t="n">
        <f aca="true">NORMINV(RAND(),$B$6,$C$6)</f>
        <v>0.154097297423215</v>
      </c>
      <c r="C506" s="22" t="n">
        <f aca="true">MAX(0.03,NORMINV(RAND(),$B$7,$C$7))</f>
        <v>0.220572993835157</v>
      </c>
      <c r="D506" s="34" t="n">
        <f aca="true">MAX(0.08,NORMINV(RAND(),$B$8,$C$8))</f>
        <v>0.132237634742077</v>
      </c>
      <c r="E506" s="70" t="n">
        <f aca="true">MAX(4,NORMINV(RAND(),$B$9,$C$9))</f>
        <v>9.38432265683908</v>
      </c>
      <c r="F506" s="27" t="n">
        <f aca="false">$B$18*(1+(B506+$B$17)/2)^9</f>
        <v>6644.21111288915</v>
      </c>
      <c r="G506" s="27" t="n">
        <f aca="false">F506*C506</f>
        <v>1465.53353684278</v>
      </c>
      <c r="H506" s="27" t="n">
        <f aca="false">E506*G506/(1+D506)^9</f>
        <v>4497.38860223922</v>
      </c>
      <c r="I506" s="27" t="n">
        <f aca="false">$B$13*G506/$B$12*((1+$B$8)/(1+D506))^4.5</f>
        <v>2265.44749176558</v>
      </c>
      <c r="J506" s="27" t="n">
        <f aca="false">H506+I506+$B$14</f>
        <v>8849.23497208699</v>
      </c>
      <c r="K506" s="45" t="n">
        <f aca="false">J506/$B$15</f>
        <v>14.0464047175984</v>
      </c>
    </row>
    <row r="507" customFormat="false" ht="15" hidden="false" customHeight="true" outlineLevel="0" collapsed="false">
      <c r="A507" s="74" t="n">
        <v>467</v>
      </c>
      <c r="B507" s="22" t="n">
        <f aca="true">NORMINV(RAND(),$B$6,$C$6)</f>
        <v>0.244647438543346</v>
      </c>
      <c r="C507" s="22" t="n">
        <f aca="true">MAX(0.03,NORMINV(RAND(),$B$7,$C$7))</f>
        <v>0.171682127923794</v>
      </c>
      <c r="D507" s="34" t="n">
        <f aca="true">MAX(0.08,NORMINV(RAND(),$B$8,$C$8))</f>
        <v>0.128451698177894</v>
      </c>
      <c r="E507" s="70" t="n">
        <f aca="true">MAX(4,NORMINV(RAND(),$B$9,$C$9))</f>
        <v>13.9435296738808</v>
      </c>
      <c r="F507" s="27" t="n">
        <f aca="false">$B$18*(1+(B507+$B$17)/2)^9</f>
        <v>9545.7548018587</v>
      </c>
      <c r="G507" s="27" t="n">
        <f aca="false">F507*C507</f>
        <v>1638.83549702188</v>
      </c>
      <c r="H507" s="27" t="n">
        <f aca="false">E507*G507/(1+D507)^9</f>
        <v>7701.2516972266</v>
      </c>
      <c r="I507" s="27" t="n">
        <f aca="false">$B$13*G507/$B$12*((1+$B$8)/(1+D507))^4.5</f>
        <v>2571.81281213218</v>
      </c>
      <c r="J507" s="27" t="n">
        <f aca="false">H507+I507+$B$14</f>
        <v>12359.463387441</v>
      </c>
      <c r="K507" s="45" t="n">
        <f aca="false">J507/$B$15</f>
        <v>19.6181958530809</v>
      </c>
    </row>
    <row r="508" customFormat="false" ht="15" hidden="false" customHeight="true" outlineLevel="0" collapsed="false">
      <c r="A508" s="74" t="n">
        <v>468</v>
      </c>
      <c r="B508" s="22" t="n">
        <f aca="true">NORMINV(RAND(),$B$6,$C$6)</f>
        <v>0.233259184203314</v>
      </c>
      <c r="C508" s="22" t="n">
        <f aca="true">MAX(0.03,NORMINV(RAND(),$B$7,$C$7))</f>
        <v>0.189529003696972</v>
      </c>
      <c r="D508" s="34" t="n">
        <f aca="true">MAX(0.08,NORMINV(RAND(),$B$8,$C$8))</f>
        <v>0.145866813957106</v>
      </c>
      <c r="E508" s="70" t="n">
        <f aca="true">MAX(4,NORMINV(RAND(),$B$9,$C$9))</f>
        <v>15.2785596393967</v>
      </c>
      <c r="F508" s="27" t="n">
        <f aca="false">$B$18*(1+(B508+$B$17)/2)^9</f>
        <v>9127.74468744328</v>
      </c>
      <c r="G508" s="27" t="n">
        <f aca="false">F508*C508</f>
        <v>1729.97235661146</v>
      </c>
      <c r="H508" s="27" t="n">
        <f aca="false">E508*G508/(1+D508)^9</f>
        <v>7760.9395604386</v>
      </c>
      <c r="I508" s="27" t="n">
        <f aca="false">$B$13*G508/$B$12*((1+$B$8)/(1+D508))^4.5</f>
        <v>2534.03672022451</v>
      </c>
      <c r="J508" s="27" t="n">
        <f aca="false">H508+I508+$B$14</f>
        <v>12381.3751587453</v>
      </c>
      <c r="K508" s="45" t="n">
        <f aca="false">J508/$B$15</f>
        <v>19.6529764424529</v>
      </c>
    </row>
    <row r="509" customFormat="false" ht="15" hidden="false" customHeight="true" outlineLevel="0" collapsed="false">
      <c r="A509" s="74" t="n">
        <v>469</v>
      </c>
      <c r="B509" s="22" t="n">
        <f aca="true">NORMINV(RAND(),$B$6,$C$6)</f>
        <v>0.244057618974324</v>
      </c>
      <c r="C509" s="22" t="n">
        <f aca="true">MAX(0.03,NORMINV(RAND(),$B$7,$C$7))</f>
        <v>0.0867270469482089</v>
      </c>
      <c r="D509" s="34" t="n">
        <f aca="true">MAX(0.08,NORMINV(RAND(),$B$8,$C$8))</f>
        <v>0.146475183255515</v>
      </c>
      <c r="E509" s="70" t="n">
        <f aca="true">MAX(4,NORMINV(RAND(),$B$9,$C$9))</f>
        <v>12.0109307557662</v>
      </c>
      <c r="F509" s="27" t="n">
        <f aca="false">$B$18*(1+(B509+$B$17)/2)^9</f>
        <v>9523.69459882209</v>
      </c>
      <c r="G509" s="27" t="n">
        <f aca="false">F509*C509</f>
        <v>825.961908592448</v>
      </c>
      <c r="H509" s="27" t="n">
        <f aca="false">E509*G509/(1+D509)^9</f>
        <v>2899.04366705883</v>
      </c>
      <c r="I509" s="27" t="n">
        <f aca="false">$B$13*G509/$B$12*((1+$B$8)/(1+D509))^4.5</f>
        <v>1206.96988666795</v>
      </c>
      <c r="J509" s="27" t="n">
        <f aca="false">H509+I509+$B$14</f>
        <v>6192.41243180897</v>
      </c>
      <c r="K509" s="45" t="n">
        <f aca="false">J509/$B$15</f>
        <v>9.82922608223647</v>
      </c>
    </row>
    <row r="510" customFormat="false" ht="15" hidden="false" customHeight="true" outlineLevel="0" collapsed="false">
      <c r="A510" s="74" t="n">
        <v>470</v>
      </c>
      <c r="B510" s="22" t="n">
        <f aca="true">NORMINV(RAND(),$B$6,$C$6)</f>
        <v>0.176360859092285</v>
      </c>
      <c r="C510" s="22" t="n">
        <f aca="true">MAX(0.03,NORMINV(RAND(),$B$7,$C$7))</f>
        <v>0.24496556017227</v>
      </c>
      <c r="D510" s="34" t="n">
        <f aca="true">MAX(0.08,NORMINV(RAND(),$B$8,$C$8))</f>
        <v>0.136278109832063</v>
      </c>
      <c r="E510" s="70" t="n">
        <f aca="true">MAX(4,NORMINV(RAND(),$B$9,$C$9))</f>
        <v>12.3727260950202</v>
      </c>
      <c r="F510" s="27" t="n">
        <f aca="false">$B$18*(1+(B510+$B$17)/2)^9</f>
        <v>7273.21772871356</v>
      </c>
      <c r="G510" s="27" t="n">
        <f aca="false">F510*C510</f>
        <v>1781.6878551692</v>
      </c>
      <c r="H510" s="27" t="n">
        <f aca="false">E510*G510/(1+D510)^9</f>
        <v>6981.28321775225</v>
      </c>
      <c r="I510" s="27" t="n">
        <f aca="false">$B$13*G510/$B$12*((1+$B$8)/(1+D510))^4.5</f>
        <v>2710.36710173963</v>
      </c>
      <c r="J510" s="27" t="n">
        <f aca="false">H510+I510+$B$14</f>
        <v>11778.0491975741</v>
      </c>
      <c r="K510" s="45" t="n">
        <f aca="false">J510/$B$15</f>
        <v>18.6953161866255</v>
      </c>
    </row>
    <row r="511" customFormat="false" ht="15" hidden="false" customHeight="true" outlineLevel="0" collapsed="false">
      <c r="A511" s="74" t="n">
        <v>471</v>
      </c>
      <c r="B511" s="22" t="n">
        <f aca="true">NORMINV(RAND(),$B$6,$C$6)</f>
        <v>0.226243532411487</v>
      </c>
      <c r="C511" s="22" t="n">
        <f aca="true">MAX(0.03,NORMINV(RAND(),$B$7,$C$7))</f>
        <v>0.216903098803154</v>
      </c>
      <c r="D511" s="34" t="n">
        <f aca="true">MAX(0.08,NORMINV(RAND(),$B$8,$C$8))</f>
        <v>0.14331548075875</v>
      </c>
      <c r="E511" s="70" t="n">
        <f aca="true">MAX(4,NORMINV(RAND(),$B$9,$C$9))</f>
        <v>10.4125495382341</v>
      </c>
      <c r="F511" s="27" t="n">
        <f aca="false">$B$18*(1+(B511+$B$17)/2)^9</f>
        <v>8878.40778404066</v>
      </c>
      <c r="G511" s="27" t="n">
        <f aca="false">F511*C511</f>
        <v>1925.75416079646</v>
      </c>
      <c r="H511" s="27" t="n">
        <f aca="false">E511*G511/(1+D511)^9</f>
        <v>6007.07659590532</v>
      </c>
      <c r="I511" s="27" t="n">
        <f aca="false">$B$13*G511/$B$12*((1+$B$8)/(1+D511))^4.5</f>
        <v>2849.25189172418</v>
      </c>
      <c r="J511" s="27" t="n">
        <f aca="false">H511+I511+$B$14</f>
        <v>10942.7273657117</v>
      </c>
      <c r="K511" s="45" t="n">
        <f aca="false">J511/$B$15</f>
        <v>17.3694085170027</v>
      </c>
    </row>
    <row r="512" customFormat="false" ht="15" hidden="false" customHeight="true" outlineLevel="0" collapsed="false">
      <c r="A512" s="74" t="n">
        <v>472</v>
      </c>
      <c r="B512" s="22" t="n">
        <f aca="true">NORMINV(RAND(),$B$6,$C$6)</f>
        <v>0.214736083172529</v>
      </c>
      <c r="C512" s="22" t="n">
        <f aca="true">MAX(0.03,NORMINV(RAND(),$B$7,$C$7))</f>
        <v>0.211199699861244</v>
      </c>
      <c r="D512" s="34" t="n">
        <f aca="true">MAX(0.08,NORMINV(RAND(),$B$8,$C$8))</f>
        <v>0.130586309041793</v>
      </c>
      <c r="E512" s="70" t="n">
        <f aca="true">MAX(4,NORMINV(RAND(),$B$9,$C$9))</f>
        <v>12.0937581372728</v>
      </c>
      <c r="F512" s="27" t="n">
        <f aca="false">$B$18*(1+(B512+$B$17)/2)^9</f>
        <v>8482.52134491501</v>
      </c>
      <c r="G512" s="27" t="n">
        <f aca="false">F512*C512</f>
        <v>1791.50596211265</v>
      </c>
      <c r="H512" s="27" t="n">
        <f aca="false">E512*G512/(1+D512)^9</f>
        <v>7178.70387043913</v>
      </c>
      <c r="I512" s="27" t="n">
        <f aca="false">$B$13*G512/$B$12*((1+$B$8)/(1+D512))^4.5</f>
        <v>2787.58993054382</v>
      </c>
      <c r="J512" s="27" t="n">
        <f aca="false">H512+I512+$B$14</f>
        <v>12052.6926790651</v>
      </c>
      <c r="K512" s="45" t="n">
        <f aca="false">J512/$B$15</f>
        <v>19.1312582207383</v>
      </c>
    </row>
    <row r="513" customFormat="false" ht="15" hidden="false" customHeight="true" outlineLevel="0" collapsed="false">
      <c r="A513" s="74" t="n">
        <v>473</v>
      </c>
      <c r="B513" s="22" t="n">
        <f aca="true">NORMINV(RAND(),$B$6,$C$6)</f>
        <v>0.184215813554924</v>
      </c>
      <c r="C513" s="22" t="n">
        <f aca="true">MAX(0.03,NORMINV(RAND(),$B$7,$C$7))</f>
        <v>0.22864601044007</v>
      </c>
      <c r="D513" s="34" t="n">
        <f aca="true">MAX(0.08,NORMINV(RAND(),$B$8,$C$8))</f>
        <v>0.150521277780179</v>
      </c>
      <c r="E513" s="70" t="n">
        <f aca="true">MAX(4,NORMINV(RAND(),$B$9,$C$9))</f>
        <v>12.5200200251466</v>
      </c>
      <c r="F513" s="27" t="n">
        <f aca="false">$B$18*(1+(B513+$B$17)/2)^9</f>
        <v>7507.45360888458</v>
      </c>
      <c r="G513" s="27" t="n">
        <f aca="false">F513*C513</f>
        <v>1716.54931623536</v>
      </c>
      <c r="H513" s="27" t="n">
        <f aca="false">E513*G513/(1+D513)^9</f>
        <v>6084.28311112973</v>
      </c>
      <c r="I513" s="27" t="n">
        <f aca="false">$B$13*G513/$B$12*((1+$B$8)/(1+D513))^4.5</f>
        <v>2468.92397085966</v>
      </c>
      <c r="J513" s="27" t="n">
        <f aca="false">H513+I513+$B$14</f>
        <v>10639.6059600716</v>
      </c>
      <c r="K513" s="45" t="n">
        <f aca="false">J513/$B$15</f>
        <v>16.8882634286851</v>
      </c>
    </row>
    <row r="514" customFormat="false" ht="15" hidden="false" customHeight="true" outlineLevel="0" collapsed="false">
      <c r="A514" s="74" t="n">
        <v>474</v>
      </c>
      <c r="B514" s="22" t="n">
        <f aca="true">NORMINV(RAND(),$B$6,$C$6)</f>
        <v>0.172728095456552</v>
      </c>
      <c r="C514" s="22" t="n">
        <f aca="true">MAX(0.03,NORMINV(RAND(),$B$7,$C$7))</f>
        <v>0.237640546945075</v>
      </c>
      <c r="D514" s="34" t="n">
        <f aca="true">MAX(0.08,NORMINV(RAND(),$B$8,$C$8))</f>
        <v>0.129182262588824</v>
      </c>
      <c r="E514" s="70" t="n">
        <f aca="true">MAX(4,NORMINV(RAND(),$B$9,$C$9))</f>
        <v>16.5395575635623</v>
      </c>
      <c r="F514" s="27" t="n">
        <f aca="false">$B$18*(1+(B514+$B$17)/2)^9</f>
        <v>7167.10251196817</v>
      </c>
      <c r="G514" s="27" t="n">
        <f aca="false">F514*C514</f>
        <v>1703.19416095554</v>
      </c>
      <c r="H514" s="27" t="n">
        <f aca="false">E514*G514/(1+D514)^9</f>
        <v>9438.68776080854</v>
      </c>
      <c r="I514" s="27" t="n">
        <f aca="false">$B$13*G514/$B$12*((1+$B$8)/(1+D514))^4.5</f>
        <v>2665.03749696094</v>
      </c>
      <c r="J514" s="27" t="n">
        <f aca="false">H514+I514+$B$14</f>
        <v>14190.1241358517</v>
      </c>
      <c r="K514" s="45" t="n">
        <f aca="false">J514/$B$15</f>
        <v>22.5240065648439</v>
      </c>
    </row>
    <row r="515" customFormat="false" ht="15" hidden="false" customHeight="true" outlineLevel="0" collapsed="false">
      <c r="A515" s="74" t="n">
        <v>475</v>
      </c>
      <c r="B515" s="22" t="n">
        <f aca="true">NORMINV(RAND(),$B$6,$C$6)</f>
        <v>0.189011114679553</v>
      </c>
      <c r="C515" s="22" t="n">
        <f aca="true">MAX(0.03,NORMINV(RAND(),$B$7,$C$7))</f>
        <v>0.193492959037429</v>
      </c>
      <c r="D515" s="34" t="n">
        <f aca="true">MAX(0.08,NORMINV(RAND(),$B$8,$C$8))</f>
        <v>0.123205521565795</v>
      </c>
      <c r="E515" s="70" t="n">
        <f aca="true">MAX(4,NORMINV(RAND(),$B$9,$C$9))</f>
        <v>12.1032713964621</v>
      </c>
      <c r="F515" s="27" t="n">
        <f aca="false">$B$18*(1+(B515+$B$17)/2)^9</f>
        <v>7653.72422688036</v>
      </c>
      <c r="G515" s="27" t="n">
        <f aca="false">F515*C515</f>
        <v>1480.94174831554</v>
      </c>
      <c r="H515" s="27" t="n">
        <f aca="false">E515*G515/(1+D515)^9</f>
        <v>6299.52320908219</v>
      </c>
      <c r="I515" s="27" t="n">
        <f aca="false">$B$13*G515/$B$12*((1+$B$8)/(1+D515))^4.5</f>
        <v>2373.27913300437</v>
      </c>
      <c r="J515" s="27" t="n">
        <f aca="false">H515+I515+$B$14</f>
        <v>10759.2012201687</v>
      </c>
      <c r="K515" s="45" t="n">
        <f aca="false">J515/$B$15</f>
        <v>17.078097174871</v>
      </c>
    </row>
    <row r="516" customFormat="false" ht="15" hidden="false" customHeight="true" outlineLevel="0" collapsed="false">
      <c r="A516" s="74" t="n">
        <v>476</v>
      </c>
      <c r="B516" s="22" t="n">
        <f aca="true">NORMINV(RAND(),$B$6,$C$6)</f>
        <v>0.230277270020896</v>
      </c>
      <c r="C516" s="22" t="n">
        <f aca="true">MAX(0.03,NORMINV(RAND(),$B$7,$C$7))</f>
        <v>0.213142982838208</v>
      </c>
      <c r="D516" s="34" t="n">
        <f aca="true">MAX(0.08,NORMINV(RAND(),$B$8,$C$8))</f>
        <v>0.143539185368339</v>
      </c>
      <c r="E516" s="70" t="n">
        <f aca="true">MAX(4,NORMINV(RAND(),$B$9,$C$9))</f>
        <v>8.57079927836162</v>
      </c>
      <c r="F516" s="27" t="n">
        <f aca="false">$B$18*(1+(B516+$B$17)/2)^9</f>
        <v>9021.0167361705</v>
      </c>
      <c r="G516" s="27" t="n">
        <f aca="false">F516*C516</f>
        <v>1922.76641538077</v>
      </c>
      <c r="H516" s="27" t="n">
        <f aca="false">E516*G516/(1+D516)^9</f>
        <v>4928.20077449315</v>
      </c>
      <c r="I516" s="27" t="n">
        <f aca="false">$B$13*G516/$B$12*((1+$B$8)/(1+D516))^4.5</f>
        <v>2842.32788870552</v>
      </c>
      <c r="J516" s="27" t="n">
        <f aca="false">H516+I516+$B$14</f>
        <v>9856.92754128086</v>
      </c>
      <c r="K516" s="45" t="n">
        <f aca="false">J516/$B$15</f>
        <v>15.6459167321918</v>
      </c>
    </row>
    <row r="517" customFormat="false" ht="15" hidden="false" customHeight="true" outlineLevel="0" collapsed="false">
      <c r="A517" s="74" t="n">
        <v>477</v>
      </c>
      <c r="B517" s="22" t="n">
        <f aca="true">NORMINV(RAND(),$B$6,$C$6)</f>
        <v>0.211897315923319</v>
      </c>
      <c r="C517" s="22" t="n">
        <f aca="true">MAX(0.03,NORMINV(RAND(),$B$7,$C$7))</f>
        <v>0.24905264909926</v>
      </c>
      <c r="D517" s="34" t="n">
        <f aca="true">MAX(0.08,NORMINV(RAND(),$B$8,$C$8))</f>
        <v>0.145047476652944</v>
      </c>
      <c r="E517" s="70" t="n">
        <f aca="true">MAX(4,NORMINV(RAND(),$B$9,$C$9))</f>
        <v>8.62465827373405</v>
      </c>
      <c r="F517" s="27" t="n">
        <f aca="false">$B$18*(1+(B517+$B$17)/2)^9</f>
        <v>8387.30684800514</v>
      </c>
      <c r="G517" s="27" t="n">
        <f aca="false">F517*C517</f>
        <v>2088.88098930404</v>
      </c>
      <c r="H517" s="27" t="n">
        <f aca="false">E517*G517/(1+D517)^9</f>
        <v>5324.07479042011</v>
      </c>
      <c r="I517" s="27" t="n">
        <f aca="false">$B$13*G517/$B$12*((1+$B$8)/(1+D517))^4.5</f>
        <v>3069.62520778764</v>
      </c>
      <c r="J517" s="27" t="n">
        <f aca="false">H517+I517+$B$14</f>
        <v>10480.0988762899</v>
      </c>
      <c r="K517" s="45" t="n">
        <f aca="false">J517/$B$15</f>
        <v>16.6350775814126</v>
      </c>
    </row>
    <row r="518" customFormat="false" ht="15" hidden="false" customHeight="true" outlineLevel="0" collapsed="false">
      <c r="A518" s="74" t="n">
        <v>478</v>
      </c>
      <c r="B518" s="22" t="n">
        <f aca="true">NORMINV(RAND(),$B$6,$C$6)</f>
        <v>0.231733519287186</v>
      </c>
      <c r="C518" s="22" t="n">
        <f aca="true">MAX(0.03,NORMINV(RAND(),$B$7,$C$7))</f>
        <v>0.293991382526627</v>
      </c>
      <c r="D518" s="34" t="n">
        <f aca="true">MAX(0.08,NORMINV(RAND(),$B$8,$C$8))</f>
        <v>0.132840964702012</v>
      </c>
      <c r="E518" s="70" t="n">
        <f aca="true">MAX(4,NORMINV(RAND(),$B$9,$C$9))</f>
        <v>10.3374897259229</v>
      </c>
      <c r="F518" s="27" t="n">
        <f aca="false">$B$18*(1+(B518+$B$17)/2)^9</f>
        <v>9072.99906187016</v>
      </c>
      <c r="G518" s="27" t="n">
        <f aca="false">F518*C518</f>
        <v>2667.383537862</v>
      </c>
      <c r="H518" s="27" t="n">
        <f aca="false">E518*G518/(1+D518)^9</f>
        <v>8973.87572618141</v>
      </c>
      <c r="I518" s="27" t="n">
        <f aca="false">$B$13*G518/$B$12*((1+$B$8)/(1+D518))^4.5</f>
        <v>4113.41560784175</v>
      </c>
      <c r="J518" s="27" t="n">
        <f aca="false">H518+I518+$B$14</f>
        <v>15173.6902121054</v>
      </c>
      <c r="K518" s="45" t="n">
        <f aca="false">J518/$B$15</f>
        <v>24.0852225588974</v>
      </c>
    </row>
    <row r="519" customFormat="false" ht="15" hidden="false" customHeight="true" outlineLevel="0" collapsed="false">
      <c r="A519" s="74" t="n">
        <v>479</v>
      </c>
      <c r="B519" s="22" t="n">
        <f aca="true">NORMINV(RAND(),$B$6,$C$6)</f>
        <v>0.160255046596128</v>
      </c>
      <c r="C519" s="22" t="n">
        <f aca="true">MAX(0.03,NORMINV(RAND(),$B$7,$C$7))</f>
        <v>0.248821134795598</v>
      </c>
      <c r="D519" s="34" t="n">
        <f aca="true">MAX(0.08,NORMINV(RAND(),$B$8,$C$8))</f>
        <v>0.155392851333096</v>
      </c>
      <c r="E519" s="70" t="n">
        <f aca="true">MAX(4,NORMINV(RAND(),$B$9,$C$9))</f>
        <v>8.09124015989169</v>
      </c>
      <c r="F519" s="27" t="n">
        <f aca="false">$B$18*(1+(B519+$B$17)/2)^9</f>
        <v>6813.1520691153</v>
      </c>
      <c r="G519" s="27" t="n">
        <f aca="false">F519*C519</f>
        <v>1695.25622937224</v>
      </c>
      <c r="H519" s="27" t="n">
        <f aca="false">E519*G519/(1+D519)^9</f>
        <v>3738.37923328325</v>
      </c>
      <c r="I519" s="27" t="n">
        <f aca="false">$B$13*G519/$B$12*((1+$B$8)/(1+D519))^4.5</f>
        <v>2392.37460979061</v>
      </c>
      <c r="J519" s="27" t="n">
        <f aca="false">H519+I519+$B$14</f>
        <v>8217.15272115605</v>
      </c>
      <c r="K519" s="45" t="n">
        <f aca="false">J519/$B$15</f>
        <v>13.0430995573906</v>
      </c>
    </row>
    <row r="520" customFormat="false" ht="15" hidden="false" customHeight="true" outlineLevel="0" collapsed="false">
      <c r="A520" s="74" t="n">
        <v>480</v>
      </c>
      <c r="B520" s="22" t="n">
        <f aca="true">NORMINV(RAND(),$B$6,$C$6)</f>
        <v>0.122247535001133</v>
      </c>
      <c r="C520" s="22" t="n">
        <f aca="true">MAX(0.03,NORMINV(RAND(),$B$7,$C$7))</f>
        <v>0.251852721955866</v>
      </c>
      <c r="D520" s="34" t="n">
        <f aca="true">MAX(0.08,NORMINV(RAND(),$B$8,$C$8))</f>
        <v>0.1431732851608</v>
      </c>
      <c r="E520" s="70" t="n">
        <f aca="true">MAX(4,NORMINV(RAND(),$B$9,$C$9))</f>
        <v>16.2657631238278</v>
      </c>
      <c r="F520" s="27" t="n">
        <f aca="false">$B$18*(1+(B520+$B$17)/2)^9</f>
        <v>5828.41386230867</v>
      </c>
      <c r="G520" s="27" t="n">
        <f aca="false">F520*C520</f>
        <v>1467.90189590774</v>
      </c>
      <c r="H520" s="27" t="n">
        <f aca="false">E520*G520/(1+D520)^9</f>
        <v>7160.82191197699</v>
      </c>
      <c r="I520" s="27" t="n">
        <f aca="false">$B$13*G520/$B$12*((1+$B$8)/(1+D520))^4.5</f>
        <v>2173.05194973998</v>
      </c>
      <c r="J520" s="27" t="n">
        <f aca="false">H520+I520+$B$14</f>
        <v>11420.2727397992</v>
      </c>
      <c r="K520" s="45" t="n">
        <f aca="false">J520/$B$15</f>
        <v>18.1274170473003</v>
      </c>
    </row>
    <row r="521" customFormat="false" ht="15" hidden="false" customHeight="true" outlineLevel="0" collapsed="false">
      <c r="A521" s="74" t="n">
        <v>481</v>
      </c>
      <c r="B521" s="22" t="n">
        <f aca="true">NORMINV(RAND(),$B$6,$C$6)</f>
        <v>0.246805377835976</v>
      </c>
      <c r="C521" s="22" t="n">
        <f aca="true">MAX(0.03,NORMINV(RAND(),$B$7,$C$7))</f>
        <v>0.235321093064527</v>
      </c>
      <c r="D521" s="34" t="n">
        <f aca="true">MAX(0.08,NORMINV(RAND(),$B$8,$C$8))</f>
        <v>0.124395559766202</v>
      </c>
      <c r="E521" s="70" t="n">
        <f aca="true">MAX(4,NORMINV(RAND(),$B$9,$C$9))</f>
        <v>13.3819472765642</v>
      </c>
      <c r="F521" s="27" t="n">
        <f aca="false">$B$18*(1+(B521+$B$17)/2)^9</f>
        <v>9626.85281843016</v>
      </c>
      <c r="G521" s="27" t="n">
        <f aca="false">F521*C521</f>
        <v>2265.40152800431</v>
      </c>
      <c r="H521" s="27" t="n">
        <f aca="false">E521*G521/(1+D521)^9</f>
        <v>10553.4001721868</v>
      </c>
      <c r="I521" s="27" t="n">
        <f aca="false">$B$13*G521/$B$12*((1+$B$8)/(1+D521))^4.5</f>
        <v>3613.15438562695</v>
      </c>
      <c r="J521" s="27" t="n">
        <f aca="false">H521+I521+$B$14</f>
        <v>16252.9534358959</v>
      </c>
      <c r="K521" s="45" t="n">
        <f aca="false">J521/$B$15</f>
        <v>25.7983387871364</v>
      </c>
    </row>
    <row r="522" customFormat="false" ht="15" hidden="false" customHeight="true" outlineLevel="0" collapsed="false">
      <c r="A522" s="74" t="n">
        <v>482</v>
      </c>
      <c r="B522" s="22" t="n">
        <f aca="true">NORMINV(RAND(),$B$6,$C$6)</f>
        <v>0.180125324852573</v>
      </c>
      <c r="C522" s="22" t="n">
        <f aca="true">MAX(0.03,NORMINV(RAND(),$B$7,$C$7))</f>
        <v>0.217968898271181</v>
      </c>
      <c r="D522" s="34" t="n">
        <f aca="true">MAX(0.08,NORMINV(RAND(),$B$8,$C$8))</f>
        <v>0.140903635807988</v>
      </c>
      <c r="E522" s="70" t="n">
        <f aca="true">MAX(4,NORMINV(RAND(),$B$9,$C$9))</f>
        <v>13.5155483381725</v>
      </c>
      <c r="F522" s="27" t="n">
        <f aca="false">$B$18*(1+(B522+$B$17)/2)^9</f>
        <v>7384.65125355338</v>
      </c>
      <c r="G522" s="27" t="n">
        <f aca="false">F522*C522</f>
        <v>1609.62429785393</v>
      </c>
      <c r="H522" s="27" t="n">
        <f aca="false">E522*G522/(1+D522)^9</f>
        <v>6642.28509581494</v>
      </c>
      <c r="I522" s="27" t="n">
        <f aca="false">$B$13*G522/$B$12*((1+$B$8)/(1+D522))^4.5</f>
        <v>2404.26070808574</v>
      </c>
      <c r="J522" s="27" t="n">
        <f aca="false">H522+I522+$B$14</f>
        <v>11132.9446819829</v>
      </c>
      <c r="K522" s="45" t="n">
        <f aca="false">J522/$B$15</f>
        <v>17.6713407650522</v>
      </c>
    </row>
    <row r="523" customFormat="false" ht="15" hidden="false" customHeight="true" outlineLevel="0" collapsed="false">
      <c r="A523" s="74" t="n">
        <v>483</v>
      </c>
      <c r="B523" s="22" t="n">
        <f aca="true">NORMINV(RAND(),$B$6,$C$6)</f>
        <v>0.183853302609421</v>
      </c>
      <c r="C523" s="22" t="n">
        <f aca="true">MAX(0.03,NORMINV(RAND(),$B$7,$C$7))</f>
        <v>0.231388434988842</v>
      </c>
      <c r="D523" s="34" t="n">
        <f aca="true">MAX(0.08,NORMINV(RAND(),$B$8,$C$8))</f>
        <v>0.130472276049524</v>
      </c>
      <c r="E523" s="70" t="n">
        <f aca="true">MAX(4,NORMINV(RAND(),$B$9,$C$9))</f>
        <v>11.1999559293201</v>
      </c>
      <c r="F523" s="27" t="n">
        <f aca="false">$B$18*(1+(B523+$B$17)/2)^9</f>
        <v>7496.49767708563</v>
      </c>
      <c r="G523" s="27" t="n">
        <f aca="false">F523*C523</f>
        <v>1734.60286539834</v>
      </c>
      <c r="H523" s="27" t="n">
        <f aca="false">E523*G523/(1+D523)^9</f>
        <v>6442.83676915744</v>
      </c>
      <c r="I523" s="27" t="n">
        <f aca="false">$B$13*G523/$B$12*((1+$B$8)/(1+D523))^4.5</f>
        <v>2700.27387982919</v>
      </c>
      <c r="J523" s="27" t="n">
        <f aca="false">H523+I523+$B$14</f>
        <v>11229.5095270688</v>
      </c>
      <c r="K523" s="45" t="n">
        <f aca="false">J523/$B$15</f>
        <v>17.8246182969346</v>
      </c>
    </row>
    <row r="524" customFormat="false" ht="15" hidden="false" customHeight="true" outlineLevel="0" collapsed="false">
      <c r="A524" s="74" t="n">
        <v>484</v>
      </c>
      <c r="B524" s="22" t="n">
        <f aca="true">NORMINV(RAND(),$B$6,$C$6)</f>
        <v>0.199483353153211</v>
      </c>
      <c r="C524" s="22" t="n">
        <f aca="true">MAX(0.03,NORMINV(RAND(),$B$7,$C$7))</f>
        <v>0.269461386221845</v>
      </c>
      <c r="D524" s="34" t="n">
        <f aca="true">MAX(0.08,NORMINV(RAND(),$B$8,$C$8))</f>
        <v>0.121856770077178</v>
      </c>
      <c r="E524" s="70" t="n">
        <f aca="true">MAX(4,NORMINV(RAND(),$B$9,$C$9))</f>
        <v>8.6340671469633</v>
      </c>
      <c r="F524" s="27" t="n">
        <f aca="false">$B$18*(1+(B524+$B$17)/2)^9</f>
        <v>7981.9980481819</v>
      </c>
      <c r="G524" s="27" t="n">
        <f aca="false">F524*C524</f>
        <v>2150.84025888315</v>
      </c>
      <c r="H524" s="27" t="n">
        <f aca="false">E524*G524/(1+D524)^9</f>
        <v>6597.61335381563</v>
      </c>
      <c r="I524" s="27" t="n">
        <f aca="false">$B$13*G524/$B$12*((1+$B$8)/(1+D524))^4.5</f>
        <v>3465.5101578111</v>
      </c>
      <c r="J524" s="27" t="n">
        <f aca="false">H524+I524+$B$14</f>
        <v>12149.5223897089</v>
      </c>
      <c r="K524" s="45" t="n">
        <f aca="false">J524/$B$15</f>
        <v>19.2849561741411</v>
      </c>
    </row>
    <row r="525" customFormat="false" ht="15" hidden="false" customHeight="true" outlineLevel="0" collapsed="false">
      <c r="A525" s="74" t="n">
        <v>485</v>
      </c>
      <c r="B525" s="22" t="n">
        <f aca="true">NORMINV(RAND(),$B$6,$C$6)</f>
        <v>0.173890883719041</v>
      </c>
      <c r="C525" s="22" t="n">
        <f aca="true">MAX(0.03,NORMINV(RAND(),$B$7,$C$7))</f>
        <v>0.195321705188434</v>
      </c>
      <c r="D525" s="34" t="n">
        <f aca="true">MAX(0.08,NORMINV(RAND(),$B$8,$C$8))</f>
        <v>0.13882832342017</v>
      </c>
      <c r="E525" s="70" t="n">
        <f aca="true">MAX(4,NORMINV(RAND(),$B$9,$C$9))</f>
        <v>13.3628796559312</v>
      </c>
      <c r="F525" s="27" t="n">
        <f aca="false">$B$18*(1+(B525+$B$17)/2)^9</f>
        <v>7200.91750980009</v>
      </c>
      <c r="G525" s="27" t="n">
        <f aca="false">F525*C525</f>
        <v>1406.4954869354</v>
      </c>
      <c r="H525" s="27" t="n">
        <f aca="false">E525*G525/(1+D525)^9</f>
        <v>5833.29663810015</v>
      </c>
      <c r="I525" s="27" t="n">
        <f aca="false">$B$13*G525/$B$12*((1+$B$8)/(1+D525))^4.5</f>
        <v>2118.13458854755</v>
      </c>
      <c r="J525" s="27" t="n">
        <f aca="false">H525+I525+$B$14</f>
        <v>10037.8301047299</v>
      </c>
      <c r="K525" s="45" t="n">
        <f aca="false">J525/$B$15</f>
        <v>15.9330636583014</v>
      </c>
    </row>
    <row r="526" customFormat="false" ht="15" hidden="false" customHeight="true" outlineLevel="0" collapsed="false">
      <c r="A526" s="74" t="n">
        <v>486</v>
      </c>
      <c r="B526" s="22" t="n">
        <f aca="true">NORMINV(RAND(),$B$6,$C$6)</f>
        <v>0.171658185440493</v>
      </c>
      <c r="C526" s="22" t="n">
        <f aca="true">MAX(0.03,NORMINV(RAND(),$B$7,$C$7))</f>
        <v>0.183993890946947</v>
      </c>
      <c r="D526" s="34" t="n">
        <f aca="true">MAX(0.08,NORMINV(RAND(),$B$8,$C$8))</f>
        <v>0.13550765743452</v>
      </c>
      <c r="E526" s="70" t="n">
        <f aca="true">MAX(4,NORMINV(RAND(),$B$9,$C$9))</f>
        <v>17.2259887933033</v>
      </c>
      <c r="F526" s="27" t="n">
        <f aca="false">$B$18*(1+(B526+$B$17)/2)^9</f>
        <v>7136.11326781329</v>
      </c>
      <c r="G526" s="27" t="n">
        <f aca="false">F526*C526</f>
        <v>1313.0012463831</v>
      </c>
      <c r="H526" s="27" t="n">
        <f aca="false">E526*G526/(1+D526)^9</f>
        <v>7206.73732812161</v>
      </c>
      <c r="I526" s="27" t="n">
        <f aca="false">$B$13*G526/$B$12*((1+$B$8)/(1+D526))^4.5</f>
        <v>2003.49016062317</v>
      </c>
      <c r="J526" s="27" t="n">
        <f aca="false">H526+I526+$B$14</f>
        <v>11296.626366827</v>
      </c>
      <c r="K526" s="45" t="n">
        <f aca="false">J526/$B$15</f>
        <v>17.9311529632174</v>
      </c>
    </row>
    <row r="527" customFormat="false" ht="15" hidden="false" customHeight="true" outlineLevel="0" collapsed="false">
      <c r="A527" s="74" t="n">
        <v>487</v>
      </c>
      <c r="B527" s="22" t="n">
        <f aca="true">NORMINV(RAND(),$B$6,$C$6)</f>
        <v>0.197621921749735</v>
      </c>
      <c r="C527" s="22" t="n">
        <f aca="true">MAX(0.03,NORMINV(RAND(),$B$7,$C$7))</f>
        <v>0.183289857404505</v>
      </c>
      <c r="D527" s="34" t="n">
        <f aca="true">MAX(0.08,NORMINV(RAND(),$B$8,$C$8))</f>
        <v>0.129157861192623</v>
      </c>
      <c r="E527" s="70" t="n">
        <f aca="true">MAX(4,NORMINV(RAND(),$B$9,$C$9))</f>
        <v>11.6768249482335</v>
      </c>
      <c r="F527" s="27" t="n">
        <f aca="false">$B$18*(1+(B527+$B$17)/2)^9</f>
        <v>7922.74901414974</v>
      </c>
      <c r="G527" s="27" t="n">
        <f aca="false">F527*C527</f>
        <v>1452.15953705519</v>
      </c>
      <c r="H527" s="27" t="n">
        <f aca="false">E527*G527/(1+D527)^9</f>
        <v>5682.60068192494</v>
      </c>
      <c r="I527" s="27" t="n">
        <f aca="false">$B$13*G527/$B$12*((1+$B$8)/(1+D527))^4.5</f>
        <v>2272.45728600768</v>
      </c>
      <c r="J527" s="27" t="n">
        <f aca="false">H527+I527+$B$14</f>
        <v>10041.4568460148</v>
      </c>
      <c r="K527" s="45" t="n">
        <f aca="false">J527/$B$15</f>
        <v>15.9388203904997</v>
      </c>
    </row>
    <row r="528" customFormat="false" ht="15" hidden="false" customHeight="true" outlineLevel="0" collapsed="false">
      <c r="A528" s="74" t="n">
        <v>488</v>
      </c>
      <c r="B528" s="22" t="n">
        <f aca="true">NORMINV(RAND(),$B$6,$C$6)</f>
        <v>0.218008908708456</v>
      </c>
      <c r="C528" s="22" t="n">
        <f aca="true">MAX(0.03,NORMINV(RAND(),$B$7,$C$7))</f>
        <v>0.220308974148237</v>
      </c>
      <c r="D528" s="34" t="n">
        <f aca="true">MAX(0.08,NORMINV(RAND(),$B$8,$C$8))</f>
        <v>0.149751128862369</v>
      </c>
      <c r="E528" s="70" t="n">
        <f aca="true">MAX(4,NORMINV(RAND(),$B$9,$C$9))</f>
        <v>15.6281611262982</v>
      </c>
      <c r="F528" s="27" t="n">
        <f aca="false">$B$18*(1+(B528+$B$17)/2)^9</f>
        <v>8593.48592424119</v>
      </c>
      <c r="G528" s="27" t="n">
        <f aca="false">F528*C528</f>
        <v>1893.22206832689</v>
      </c>
      <c r="H528" s="27" t="n">
        <f aca="false">E528*G528/(1+D528)^9</f>
        <v>8427.0357527155</v>
      </c>
      <c r="I528" s="27" t="n">
        <f aca="false">$B$13*G528/$B$12*((1+$B$8)/(1+D528))^4.5</f>
        <v>2731.25113994964</v>
      </c>
      <c r="J528" s="27" t="n">
        <f aca="false">H528+I528+$B$14</f>
        <v>13244.6857707473</v>
      </c>
      <c r="K528" s="45" t="n">
        <f aca="false">J528/$B$15</f>
        <v>21.023310747218</v>
      </c>
    </row>
    <row r="529" customFormat="false" ht="15" hidden="false" customHeight="true" outlineLevel="0" collapsed="false">
      <c r="A529" s="74" t="n">
        <v>489</v>
      </c>
      <c r="B529" s="22" t="n">
        <f aca="true">NORMINV(RAND(),$B$6,$C$6)</f>
        <v>0.225518032441872</v>
      </c>
      <c r="C529" s="22" t="n">
        <f aca="true">MAX(0.03,NORMINV(RAND(),$B$7,$C$7))</f>
        <v>0.194112234806352</v>
      </c>
      <c r="D529" s="34" t="n">
        <f aca="true">MAX(0.08,NORMINV(RAND(),$B$8,$C$8))</f>
        <v>0.131260985768006</v>
      </c>
      <c r="E529" s="70" t="n">
        <f aca="true">MAX(4,NORMINV(RAND(),$B$9,$C$9))</f>
        <v>14.7286862980021</v>
      </c>
      <c r="F529" s="27" t="n">
        <f aca="false">$B$18*(1+(B529+$B$17)/2)^9</f>
        <v>8852.9721454825</v>
      </c>
      <c r="G529" s="27" t="n">
        <f aca="false">F529*C529</f>
        <v>1718.47020783799</v>
      </c>
      <c r="H529" s="27" t="n">
        <f aca="false">E529*G529/(1+D529)^9</f>
        <v>8341.43427989497</v>
      </c>
      <c r="I529" s="27" t="n">
        <f aca="false">$B$13*G529/$B$12*((1+$B$8)/(1+D529))^4.5</f>
        <v>2666.77725327891</v>
      </c>
      <c r="J529" s="27" t="n">
        <f aca="false">H529+I529+$B$14</f>
        <v>13094.6104112561</v>
      </c>
      <c r="K529" s="45" t="n">
        <f aca="false">J529/$B$15</f>
        <v>20.7850958908827</v>
      </c>
    </row>
    <row r="530" customFormat="false" ht="15" hidden="false" customHeight="true" outlineLevel="0" collapsed="false">
      <c r="A530" s="74" t="n">
        <v>490</v>
      </c>
      <c r="B530" s="22" t="n">
        <f aca="true">NORMINV(RAND(),$B$6,$C$6)</f>
        <v>0.203380948052878</v>
      </c>
      <c r="C530" s="22" t="n">
        <f aca="true">MAX(0.03,NORMINV(RAND(),$B$7,$C$7))</f>
        <v>0.176487118981081</v>
      </c>
      <c r="D530" s="34" t="n">
        <f aca="true">MAX(0.08,NORMINV(RAND(),$B$8,$C$8))</f>
        <v>0.138168494169174</v>
      </c>
      <c r="E530" s="70" t="n">
        <f aca="true">MAX(4,NORMINV(RAND(),$B$9,$C$9))</f>
        <v>11.6451203772089</v>
      </c>
      <c r="F530" s="27" t="n">
        <f aca="false">$B$18*(1+(B530+$B$17)/2)^9</f>
        <v>8107.33517010269</v>
      </c>
      <c r="G530" s="27" t="n">
        <f aca="false">F530*C530</f>
        <v>1430.84022678542</v>
      </c>
      <c r="H530" s="27" t="n">
        <f aca="false">E530*G530/(1+D530)^9</f>
        <v>5198.47652025681</v>
      </c>
      <c r="I530" s="27" t="n">
        <f aca="false">$B$13*G530/$B$12*((1+$B$8)/(1+D530))^4.5</f>
        <v>2160.42404038279</v>
      </c>
      <c r="J530" s="27" t="n">
        <f aca="false">H530+I530+$B$14</f>
        <v>9445.2994387218</v>
      </c>
      <c r="K530" s="45" t="n">
        <f aca="false">J530/$B$15</f>
        <v>14.9925387916219</v>
      </c>
    </row>
    <row r="531" customFormat="false" ht="15" hidden="false" customHeight="true" outlineLevel="0" collapsed="false">
      <c r="A531" s="74" t="n">
        <v>491</v>
      </c>
      <c r="B531" s="22" t="n">
        <f aca="true">NORMINV(RAND(),$B$6,$C$6)</f>
        <v>0.228968420970999</v>
      </c>
      <c r="C531" s="22" t="n">
        <f aca="true">MAX(0.03,NORMINV(RAND(),$B$7,$C$7))</f>
        <v>0.130708368928437</v>
      </c>
      <c r="D531" s="34" t="n">
        <f aca="true">MAX(0.08,NORMINV(RAND(),$B$8,$C$8))</f>
        <v>0.118301720406752</v>
      </c>
      <c r="E531" s="70" t="n">
        <f aca="true">MAX(4,NORMINV(RAND(),$B$9,$C$9))</f>
        <v>11.8568855789552</v>
      </c>
      <c r="F531" s="27" t="n">
        <f aca="false">$B$18*(1+(B531+$B$17)/2)^9</f>
        <v>8974.52208694033</v>
      </c>
      <c r="G531" s="27" t="n">
        <f aca="false">F531*C531</f>
        <v>1173.0451438962</v>
      </c>
      <c r="H531" s="27" t="n">
        <f aca="false">E531*G531/(1+D531)^9</f>
        <v>5084.57218872766</v>
      </c>
      <c r="I531" s="27" t="n">
        <f aca="false">$B$13*G531/$B$12*((1+$B$8)/(1+D531))^4.5</f>
        <v>1917.24068193717</v>
      </c>
      <c r="J531" s="27" t="n">
        <f aca="false">H531+I531+$B$14</f>
        <v>9088.21174874702</v>
      </c>
      <c r="K531" s="45" t="n">
        <f aca="false">J531/$B$15</f>
        <v>14.4257329345191</v>
      </c>
    </row>
    <row r="532" customFormat="false" ht="15" hidden="false" customHeight="true" outlineLevel="0" collapsed="false">
      <c r="A532" s="74" t="n">
        <v>492</v>
      </c>
      <c r="B532" s="22" t="n">
        <f aca="true">NORMINV(RAND(),$B$6,$C$6)</f>
        <v>0.245619842966153</v>
      </c>
      <c r="C532" s="22" t="n">
        <f aca="true">MAX(0.03,NORMINV(RAND(),$B$7,$C$7))</f>
        <v>0.187186195064629</v>
      </c>
      <c r="D532" s="34" t="n">
        <f aca="true">MAX(0.08,NORMINV(RAND(),$B$8,$C$8))</f>
        <v>0.142326408478483</v>
      </c>
      <c r="E532" s="70" t="n">
        <f aca="true">MAX(4,NORMINV(RAND(),$B$9,$C$9))</f>
        <v>14.4422574444982</v>
      </c>
      <c r="F532" s="27" t="n">
        <f aca="false">$B$18*(1+(B532+$B$17)/2)^9</f>
        <v>9582.2234790668</v>
      </c>
      <c r="G532" s="27" t="n">
        <f aca="false">F532*C532</f>
        <v>1793.65995330546</v>
      </c>
      <c r="H532" s="27" t="n">
        <f aca="false">E532*G532/(1+D532)^9</f>
        <v>7821.01720426217</v>
      </c>
      <c r="I532" s="27" t="n">
        <f aca="false">$B$13*G532/$B$12*((1+$B$8)/(1+D532))^4.5</f>
        <v>2664.16742400321</v>
      </c>
      <c r="J532" s="27" t="n">
        <f aca="false">H532+I532+$B$14</f>
        <v>12571.5835063476</v>
      </c>
      <c r="K532" s="45" t="n">
        <f aca="false">J532/$B$15</f>
        <v>19.95489445452</v>
      </c>
    </row>
    <row r="533" customFormat="false" ht="15" hidden="false" customHeight="true" outlineLevel="0" collapsed="false">
      <c r="A533" s="74" t="n">
        <v>493</v>
      </c>
      <c r="B533" s="22" t="n">
        <f aca="true">NORMINV(RAND(),$B$6,$C$6)</f>
        <v>0.215150422477344</v>
      </c>
      <c r="C533" s="22" t="n">
        <f aca="true">MAX(0.03,NORMINV(RAND(),$B$7,$C$7))</f>
        <v>0.224891753139677</v>
      </c>
      <c r="D533" s="34" t="n">
        <f aca="true">MAX(0.08,NORMINV(RAND(),$B$8,$C$8))</f>
        <v>0.141469143016529</v>
      </c>
      <c r="E533" s="70" t="n">
        <f aca="true">MAX(4,NORMINV(RAND(),$B$9,$C$9))</f>
        <v>13.7421522842507</v>
      </c>
      <c r="F533" s="27" t="n">
        <f aca="false">$B$18*(1+(B533+$B$17)/2)^9</f>
        <v>8496.49866287063</v>
      </c>
      <c r="G533" s="27" t="n">
        <f aca="false">F533*C533</f>
        <v>1910.7924798419</v>
      </c>
      <c r="H533" s="27" t="n">
        <f aca="false">E533*G533/(1+D533)^9</f>
        <v>7981.61357322273</v>
      </c>
      <c r="I533" s="27" t="n">
        <f aca="false">$B$13*G533/$B$12*((1+$B$8)/(1+D533))^4.5</f>
        <v>2847.75163884183</v>
      </c>
      <c r="J533" s="27" t="n">
        <f aca="false">H533+I533+$B$14</f>
        <v>12915.7640901467</v>
      </c>
      <c r="K533" s="45" t="n">
        <f aca="false">J533/$B$15</f>
        <v>20.5012128415028</v>
      </c>
    </row>
    <row r="534" customFormat="false" ht="15" hidden="false" customHeight="true" outlineLevel="0" collapsed="false">
      <c r="A534" s="74" t="n">
        <v>494</v>
      </c>
      <c r="B534" s="22" t="n">
        <f aca="true">NORMINV(RAND(),$B$6,$C$6)</f>
        <v>0.223098577222812</v>
      </c>
      <c r="C534" s="22" t="n">
        <f aca="true">MAX(0.03,NORMINV(RAND(),$B$7,$C$7))</f>
        <v>0.191458495038303</v>
      </c>
      <c r="D534" s="34" t="n">
        <f aca="true">MAX(0.08,NORMINV(RAND(),$B$8,$C$8))</f>
        <v>0.130020782860097</v>
      </c>
      <c r="E534" s="70" t="n">
        <f aca="true">MAX(4,NORMINV(RAND(),$B$9,$C$9))</f>
        <v>15.4700693813453</v>
      </c>
      <c r="F534" s="27" t="n">
        <f aca="false">$B$18*(1+(B534+$B$17)/2)^9</f>
        <v>8768.61487729413</v>
      </c>
      <c r="G534" s="27" t="n">
        <f aca="false">F534*C534</f>
        <v>1678.82580797721</v>
      </c>
      <c r="H534" s="27" t="n">
        <f aca="false">E534*G534/(1+D534)^9</f>
        <v>8644.10473010329</v>
      </c>
      <c r="I534" s="27" t="n">
        <f aca="false">$B$13*G534/$B$12*((1+$B$8)/(1+D534))^4.5</f>
        <v>2618.14729540117</v>
      </c>
      <c r="J534" s="27" t="n">
        <f aca="false">H534+I534+$B$14</f>
        <v>13348.6509035866</v>
      </c>
      <c r="K534" s="45" t="n">
        <f aca="false">J534/$B$15</f>
        <v>21.1883347675978</v>
      </c>
    </row>
    <row r="535" customFormat="false" ht="15" hidden="false" customHeight="true" outlineLevel="0" collapsed="false">
      <c r="A535" s="74" t="n">
        <v>495</v>
      </c>
      <c r="B535" s="22" t="n">
        <f aca="true">NORMINV(RAND(),$B$6,$C$6)</f>
        <v>0.184297725715184</v>
      </c>
      <c r="C535" s="22" t="n">
        <f aca="true">MAX(0.03,NORMINV(RAND(),$B$7,$C$7))</f>
        <v>0.159925511423487</v>
      </c>
      <c r="D535" s="34" t="n">
        <f aca="true">MAX(0.08,NORMINV(RAND(),$B$8,$C$8))</f>
        <v>0.126850191278489</v>
      </c>
      <c r="E535" s="70" t="n">
        <f aca="true">MAX(4,NORMINV(RAND(),$B$9,$C$9))</f>
        <v>10.0184945016005</v>
      </c>
      <c r="F535" s="27" t="n">
        <f aca="false">$B$18*(1+(B535+$B$17)/2)^9</f>
        <v>7509.93115710106</v>
      </c>
      <c r="G535" s="27" t="n">
        <f aca="false">F535*C535</f>
        <v>1201.02958105457</v>
      </c>
      <c r="H535" s="27" t="n">
        <f aca="false">E535*G535/(1+D535)^9</f>
        <v>4107.33875991402</v>
      </c>
      <c r="I535" s="27" t="n">
        <f aca="false">$B$13*G535/$B$12*((1+$B$8)/(1+D535))^4.5</f>
        <v>1896.85118430474</v>
      </c>
      <c r="J535" s="27" t="n">
        <f aca="false">H535+I535+$B$14</f>
        <v>8090.58882230094</v>
      </c>
      <c r="K535" s="45" t="n">
        <f aca="false">J535/$B$15</f>
        <v>12.8422044798428</v>
      </c>
    </row>
    <row r="536" customFormat="false" ht="15" hidden="false" customHeight="true" outlineLevel="0" collapsed="false">
      <c r="A536" s="74" t="n">
        <v>496</v>
      </c>
      <c r="B536" s="22" t="n">
        <f aca="true">NORMINV(RAND(),$B$6,$C$6)</f>
        <v>0.241208336105617</v>
      </c>
      <c r="C536" s="22" t="n">
        <f aca="true">MAX(0.03,NORMINV(RAND(),$B$7,$C$7))</f>
        <v>0.210763058385019</v>
      </c>
      <c r="D536" s="34" t="n">
        <f aca="true">MAX(0.08,NORMINV(RAND(),$B$8,$C$8))</f>
        <v>0.136818180500114</v>
      </c>
      <c r="E536" s="70" t="n">
        <f aca="true">MAX(4,NORMINV(RAND(),$B$9,$C$9))</f>
        <v>9.96751101520419</v>
      </c>
      <c r="F536" s="27" t="n">
        <f aca="false">$B$18*(1+(B536+$B$17)/2)^9</f>
        <v>9417.7637415687</v>
      </c>
      <c r="G536" s="27" t="n">
        <f aca="false">F536*C536</f>
        <v>1984.91668932055</v>
      </c>
      <c r="H536" s="27" t="n">
        <f aca="false">E536*G536/(1+D536)^9</f>
        <v>6238.92714171382</v>
      </c>
      <c r="I536" s="27" t="n">
        <f aca="false">$B$13*G536/$B$12*((1+$B$8)/(1+D536))^4.5</f>
        <v>3013.07619871874</v>
      </c>
      <c r="J536" s="27" t="n">
        <f aca="false">H536+I536+$B$14</f>
        <v>11338.4022185148</v>
      </c>
      <c r="K536" s="45" t="n">
        <f aca="false">J536/$B$15</f>
        <v>17.9974638389123</v>
      </c>
    </row>
    <row r="537" customFormat="false" ht="15" hidden="false" customHeight="true" outlineLevel="0" collapsed="false">
      <c r="A537" s="74" t="n">
        <v>497</v>
      </c>
      <c r="B537" s="22" t="n">
        <f aca="true">NORMINV(RAND(),$B$6,$C$6)</f>
        <v>0.169269662085872</v>
      </c>
      <c r="C537" s="22" t="n">
        <f aca="true">MAX(0.03,NORMINV(RAND(),$B$7,$C$7))</f>
        <v>0.169181660970625</v>
      </c>
      <c r="D537" s="34" t="n">
        <f aca="true">MAX(0.08,NORMINV(RAND(),$B$8,$C$8))</f>
        <v>0.13602479834853</v>
      </c>
      <c r="E537" s="70" t="n">
        <f aca="true">MAX(4,NORMINV(RAND(),$B$9,$C$9))</f>
        <v>10.3588485061715</v>
      </c>
      <c r="F537" s="27" t="n">
        <f aca="false">$B$18*(1+(B537+$B$17)/2)^9</f>
        <v>7067.36060692792</v>
      </c>
      <c r="G537" s="27" t="n">
        <f aca="false">F537*C537</f>
        <v>1195.66780615843</v>
      </c>
      <c r="H537" s="27" t="n">
        <f aca="false">E537*G537/(1+D537)^9</f>
        <v>3930.35439698295</v>
      </c>
      <c r="I537" s="27" t="n">
        <f aca="false">$B$13*G537/$B$12*((1+$B$8)/(1+D537))^4.5</f>
        <v>1820.71831732721</v>
      </c>
      <c r="J537" s="27" t="n">
        <f aca="false">H537+I537+$B$14</f>
        <v>7837.47159239235</v>
      </c>
      <c r="K537" s="45" t="n">
        <f aca="false">J537/$B$15</f>
        <v>12.4404310990355</v>
      </c>
    </row>
    <row r="538" customFormat="false" ht="15" hidden="false" customHeight="true" outlineLevel="0" collapsed="false">
      <c r="A538" s="74" t="n">
        <v>498</v>
      </c>
      <c r="B538" s="22" t="n">
        <f aca="true">NORMINV(RAND(),$B$6,$C$6)</f>
        <v>0.186945599460038</v>
      </c>
      <c r="C538" s="22" t="n">
        <f aca="true">MAX(0.03,NORMINV(RAND(),$B$7,$C$7))</f>
        <v>0.201700378360612</v>
      </c>
      <c r="D538" s="34" t="n">
        <f aca="true">MAX(0.08,NORMINV(RAND(),$B$8,$C$8))</f>
        <v>0.127038851636541</v>
      </c>
      <c r="E538" s="70" t="n">
        <f aca="true">MAX(4,NORMINV(RAND(),$B$9,$C$9))</f>
        <v>13.2630516598722</v>
      </c>
      <c r="F538" s="27" t="n">
        <f aca="false">$B$18*(1+(B538+$B$17)/2)^9</f>
        <v>7590.41231989465</v>
      </c>
      <c r="G538" s="27" t="n">
        <f aca="false">F538*C538</f>
        <v>1530.9890368358</v>
      </c>
      <c r="H538" s="27" t="n">
        <f aca="false">E538*G538/(1+D538)^9</f>
        <v>6920.94750342941</v>
      </c>
      <c r="I538" s="27" t="n">
        <f aca="false">$B$13*G538/$B$12*((1+$B$8)/(1+D538))^4.5</f>
        <v>2416.15318720179</v>
      </c>
      <c r="J538" s="27" t="n">
        <f aca="false">H538+I538+$B$14</f>
        <v>11423.4995687134</v>
      </c>
      <c r="K538" s="45" t="n">
        <f aca="false">J538/$B$15</f>
        <v>18.1325389979578</v>
      </c>
    </row>
    <row r="539" customFormat="false" ht="15" hidden="false" customHeight="true" outlineLevel="0" collapsed="false">
      <c r="A539" s="74" t="n">
        <v>499</v>
      </c>
      <c r="B539" s="22" t="n">
        <f aca="true">NORMINV(RAND(),$B$6,$C$6)</f>
        <v>0.205131585991141</v>
      </c>
      <c r="C539" s="22" t="n">
        <f aca="true">MAX(0.03,NORMINV(RAND(),$B$7,$C$7))</f>
        <v>0.204488394275665</v>
      </c>
      <c r="D539" s="34" t="n">
        <f aca="true">MAX(0.08,NORMINV(RAND(),$B$8,$C$8))</f>
        <v>0.120728625420875</v>
      </c>
      <c r="E539" s="70" t="n">
        <f aca="true">MAX(4,NORMINV(RAND(),$B$9,$C$9))</f>
        <v>12.6004936114121</v>
      </c>
      <c r="F539" s="27" t="n">
        <f aca="false">$B$18*(1+(B539+$B$17)/2)^9</f>
        <v>8164.19850246482</v>
      </c>
      <c r="G539" s="27" t="n">
        <f aca="false">F539*C539</f>
        <v>1669.48384231682</v>
      </c>
      <c r="H539" s="27" t="n">
        <f aca="false">E539*G539/(1+D539)^9</f>
        <v>7541.63650160506</v>
      </c>
      <c r="I539" s="27" t="n">
        <f aca="false">$B$13*G539/$B$12*((1+$B$8)/(1+D539))^4.5</f>
        <v>2702.13788958904</v>
      </c>
      <c r="J539" s="27" t="n">
        <f aca="false">H539+I539+$B$14</f>
        <v>12330.1732692763</v>
      </c>
      <c r="K539" s="45" t="n">
        <f aca="false">J539/$B$15</f>
        <v>19.5717036020259</v>
      </c>
    </row>
    <row r="540" customFormat="false" ht="15" hidden="false" customHeight="true" outlineLevel="0" collapsed="false">
      <c r="A540" s="74" t="n">
        <v>500</v>
      </c>
      <c r="B540" s="22" t="n">
        <f aca="true">NORMINV(RAND(),$B$6,$C$6)</f>
        <v>0.189736831427924</v>
      </c>
      <c r="C540" s="22" t="n">
        <f aca="true">MAX(0.03,NORMINV(RAND(),$B$7,$C$7))</f>
        <v>0.22706176225155</v>
      </c>
      <c r="D540" s="34" t="n">
        <f aca="true">MAX(0.08,NORMINV(RAND(),$B$8,$C$8))</f>
        <v>0.125015190690674</v>
      </c>
      <c r="E540" s="70" t="n">
        <f aca="true">MAX(4,NORMINV(RAND(),$B$9,$C$9))</f>
        <v>11.5041656780167</v>
      </c>
      <c r="F540" s="27" t="n">
        <f aca="false">$B$18*(1+(B540+$B$17)/2)^9</f>
        <v>7676.07998167443</v>
      </c>
      <c r="G540" s="27" t="n">
        <f aca="false">F540*C540</f>
        <v>1742.94424782284</v>
      </c>
      <c r="H540" s="27" t="n">
        <f aca="false">E540*G540/(1+D540)^9</f>
        <v>6945.65397563557</v>
      </c>
      <c r="I540" s="27" t="n">
        <f aca="false">$B$13*G540/$B$12*((1+$B$8)/(1+D540))^4.5</f>
        <v>2772.9889179932</v>
      </c>
      <c r="J540" s="27" t="n">
        <f aca="false">H540+I540+$B$14</f>
        <v>11805.041771711</v>
      </c>
      <c r="K540" s="45" t="n">
        <f aca="false">J540/$B$15</f>
        <v>18.7381615423984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0"/>
    <col collapsed="false" customWidth="true" hidden="false" outlineLevel="0" max="5" min="4" style="1" width="9"/>
    <col collapsed="false" customWidth="true" hidden="false" outlineLevel="0" max="6" min="6" style="1" width="10"/>
  </cols>
  <sheetData>
    <row r="1" customFormat="false" ht="17.25" hidden="false" customHeight="true" outlineLevel="0" collapsed="false">
      <c r="A1" s="2" t="s">
        <v>487</v>
      </c>
    </row>
    <row r="2" customFormat="false" ht="15" hidden="false" customHeight="true" outlineLevel="0" collapsed="false">
      <c r="A2" s="11" t="str">
        <f aca="false">CONCATENATE("Current price: $",TEXT(Assumptions!B43,"0.00"),"   ·   Scenario: ",CHOOSE(Assumptions!B4,"BASE","BULL","BEAR"),"   ·   Probability-weighted value: $",TEXT(Monte_Carlo!C35,"0.00"))</f>
        <v>Current price: $42.51   ·   Scenario: BASE   ·   Probability-weighted value: $18.79</v>
      </c>
    </row>
    <row r="4" customFormat="false" ht="15" hidden="false" customHeight="true" outlineLevel="0" collapsed="false">
      <c r="A4" s="12" t="s">
        <v>488</v>
      </c>
      <c r="B4" s="12" t="s">
        <v>371</v>
      </c>
      <c r="C4" s="12" t="s">
        <v>372</v>
      </c>
      <c r="D4" s="12" t="s">
        <v>489</v>
      </c>
      <c r="E4" s="12" t="s">
        <v>490</v>
      </c>
      <c r="F4" s="12" t="s">
        <v>491</v>
      </c>
    </row>
    <row r="5" customFormat="false" ht="15" hidden="false" customHeight="true" outlineLevel="0" collapsed="false">
      <c r="A5" s="4" t="s">
        <v>492</v>
      </c>
      <c r="B5" s="75" t="n">
        <v>38.19</v>
      </c>
      <c r="C5" s="75" t="n">
        <v>87.88</v>
      </c>
      <c r="D5" s="76" t="n">
        <f aca="false">B5</f>
        <v>38.19</v>
      </c>
      <c r="E5" s="76" t="n">
        <f aca="false">C5-B5</f>
        <v>49.69</v>
      </c>
      <c r="F5" s="41" t="n">
        <f aca="false">(B5+C5)/2</f>
        <v>63.035</v>
      </c>
    </row>
    <row r="6" customFormat="false" ht="15" hidden="false" customHeight="true" outlineLevel="0" collapsed="false">
      <c r="A6" s="4" t="s">
        <v>493</v>
      </c>
      <c r="B6" s="75" t="n">
        <v>44</v>
      </c>
      <c r="C6" s="75" t="n">
        <v>84</v>
      </c>
      <c r="D6" s="76" t="n">
        <f aca="false">B6</f>
        <v>44</v>
      </c>
      <c r="E6" s="76" t="n">
        <f aca="false">C6-B6</f>
        <v>40</v>
      </c>
      <c r="F6" s="41" t="n">
        <f aca="false">(B6+C6)/2</f>
        <v>64</v>
      </c>
    </row>
    <row r="7" customFormat="false" ht="15" hidden="false" customHeight="true" outlineLevel="0" collapsed="false">
      <c r="A7" s="4" t="s">
        <v>494</v>
      </c>
      <c r="B7" s="73" t="n">
        <f aca="false">(SUMPRODUCT(DCF!$B$10:$J$10,(1+(WACC!$B$20+0.01))^-DCF!$B$11:$J$11)+DCF!$J$10*(1+0.025)/((WACC!$B$20+0.01)-0.025)/(1+(WACC!$B$20+0.01))^9+DCF!$B$31)/DCF!$B$32</f>
        <v>10.6732320883948</v>
      </c>
      <c r="C7" s="73" t="n">
        <f aca="false">(SUMPRODUCT(DCF!$B$10:$J$10,(1+(WACC!$B$20-0.01))^-DCF!$B$11:$J$11)+DCF!$J$10*(1+0.035)/((WACC!$B$20-0.01)-0.035)/(1+(WACC!$B$20-0.01))^9+DCF!$B$31)/DCF!$B$32</f>
        <v>13.027297676393</v>
      </c>
      <c r="D7" s="76" t="n">
        <f aca="false">B7</f>
        <v>10.6732320883948</v>
      </c>
      <c r="E7" s="76" t="n">
        <f aca="false">C7-B7</f>
        <v>2.35406558799813</v>
      </c>
      <c r="F7" s="41" t="n">
        <f aca="false">(B7+C7)/2</f>
        <v>11.8502648823939</v>
      </c>
    </row>
    <row r="8" customFormat="false" ht="15" hidden="false" customHeight="true" outlineLevel="0" collapsed="false">
      <c r="A8" s="4" t="s">
        <v>495</v>
      </c>
      <c r="B8" s="73" t="n">
        <f aca="false">(SUMPRODUCT(DCF!$B$10:$J$10,(1+(WACC!$B$20+0.01))^-DCF!$B$11:$J$11)+10*Model_3S!$L$23/(1+(WACC!$B$20+0.01))^9+DCF!$B$31)/DCF!$B$32</f>
        <v>15.0851232944005</v>
      </c>
      <c r="C8" s="73" t="n">
        <f aca="false">(SUMPRODUCT(DCF!$B$10:$J$10,(1+(WACC!$B$20-0.01))^-DCF!$B$11:$J$11)+14*Model_3S!$L$23/(1+(WACC!$B$20-0.01))^9+DCF!$B$31)/DCF!$B$32</f>
        <v>20.4692319816068</v>
      </c>
      <c r="D8" s="76" t="n">
        <f aca="false">B8</f>
        <v>15.0851232944005</v>
      </c>
      <c r="E8" s="76" t="n">
        <f aca="false">C8-B8</f>
        <v>5.38410868720628</v>
      </c>
      <c r="F8" s="41" t="n">
        <f aca="false">(B8+C8)/2</f>
        <v>17.7771776380036</v>
      </c>
    </row>
    <row r="9" customFormat="false" ht="15" hidden="false" customHeight="true" outlineLevel="0" collapsed="false">
      <c r="A9" s="4" t="s">
        <v>496</v>
      </c>
      <c r="B9" s="73" t="n">
        <f aca="false">Comps!G21</f>
        <v>17.3866648858448</v>
      </c>
      <c r="C9" s="73" t="n">
        <f aca="false">Comps!H21</f>
        <v>31.9014267906067</v>
      </c>
      <c r="D9" s="76" t="n">
        <f aca="false">B9</f>
        <v>17.3866648858448</v>
      </c>
      <c r="E9" s="76" t="n">
        <f aca="false">C9-B9</f>
        <v>14.5147619047619</v>
      </c>
      <c r="F9" s="41" t="n">
        <f aca="false">(B9+C9)/2</f>
        <v>24.6440458382257</v>
      </c>
    </row>
    <row r="10" customFormat="false" ht="15" hidden="false" customHeight="true" outlineLevel="0" collapsed="false">
      <c r="A10" s="4" t="s">
        <v>497</v>
      </c>
      <c r="B10" s="73" t="n">
        <f aca="false">Comps!G22</f>
        <v>13.1817823461622</v>
      </c>
      <c r="C10" s="73" t="n">
        <f aca="false">Comps!H22</f>
        <v>21.7358153620352</v>
      </c>
      <c r="D10" s="76" t="n">
        <f aca="false">B10</f>
        <v>13.1817823461622</v>
      </c>
      <c r="E10" s="76" t="n">
        <f aca="false">C10-B10</f>
        <v>8.55403301587301</v>
      </c>
      <c r="F10" s="41" t="n">
        <f aca="false">(B10+C10)/2</f>
        <v>17.4587988540987</v>
      </c>
    </row>
    <row r="11" customFormat="false" ht="15" hidden="false" customHeight="true" outlineLevel="0" collapsed="false">
      <c r="A11" s="4" t="s">
        <v>498</v>
      </c>
      <c r="B11" s="73" t="n">
        <f aca="false">Precedents!B18</f>
        <v>12.1085696477495</v>
      </c>
      <c r="C11" s="73" t="n">
        <f aca="false">Precedents!C18</f>
        <v>29.7022204414003</v>
      </c>
      <c r="D11" s="76" t="n">
        <f aca="false">B11</f>
        <v>12.1085696477495</v>
      </c>
      <c r="E11" s="76" t="n">
        <f aca="false">C11-B11</f>
        <v>17.5936507936508</v>
      </c>
      <c r="F11" s="41" t="n">
        <f aca="false">(B11+C11)/2</f>
        <v>20.9053950445749</v>
      </c>
    </row>
    <row r="12" customFormat="false" ht="15" hidden="false" customHeight="true" outlineLevel="0" collapsed="false">
      <c r="A12" s="4" t="s">
        <v>499</v>
      </c>
      <c r="B12" s="73" t="n">
        <f aca="false">LBO!D52</f>
        <v>11.4593631626549</v>
      </c>
      <c r="C12" s="73" t="n">
        <f aca="false">LBO!D50</f>
        <v>14.5295652308123</v>
      </c>
      <c r="D12" s="76" t="n">
        <f aca="false">B12</f>
        <v>11.4593631626549</v>
      </c>
      <c r="E12" s="76" t="n">
        <f aca="false">C12-B12</f>
        <v>3.07020206815744</v>
      </c>
      <c r="F12" s="41" t="n">
        <f aca="false">(B12+C12)/2</f>
        <v>12.9944641967336</v>
      </c>
    </row>
    <row r="13" customFormat="false" ht="15" hidden="false" customHeight="true" outlineLevel="0" collapsed="false">
      <c r="A13" s="4" t="s">
        <v>500</v>
      </c>
      <c r="B13" s="73" t="n">
        <f aca="false">Monte_Carlo!B25</f>
        <v>15.2513842220106</v>
      </c>
      <c r="C13" s="73" t="n">
        <f aca="false">Monte_Carlo!B26</f>
        <v>19.9592299480917</v>
      </c>
      <c r="D13" s="76" t="n">
        <f aca="false">B13</f>
        <v>15.2513842220106</v>
      </c>
      <c r="E13" s="76" t="n">
        <f aca="false">C13-B13</f>
        <v>4.70784572608116</v>
      </c>
      <c r="F13" s="41" t="n">
        <f aca="false">(B13+C13)/2</f>
        <v>17.6053070850512</v>
      </c>
    </row>
    <row r="14" customFormat="false" ht="15" hidden="false" customHeight="true" outlineLevel="0" collapsed="false">
      <c r="A14" s="4" t="s">
        <v>501</v>
      </c>
      <c r="B14" s="73" t="n">
        <f aca="false">Assumptions!B43-0.4</f>
        <v>42.11</v>
      </c>
      <c r="C14" s="73" t="n">
        <f aca="false">Assumptions!B43+0.4</f>
        <v>42.91</v>
      </c>
      <c r="D14" s="76" t="n">
        <f aca="false">B14</f>
        <v>42.11</v>
      </c>
      <c r="E14" s="76" t="n">
        <f aca="false">C14-B14</f>
        <v>0.799999999999997</v>
      </c>
      <c r="F14" s="41" t="n">
        <f aca="false">(B14+C14)/2</f>
        <v>42.51</v>
      </c>
    </row>
    <row r="16" customFormat="false" ht="15" hidden="false" customHeight="true" outlineLevel="0" collapsed="false">
      <c r="A16" s="15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2026-07-20T05:53:26Z</dcterms:created>
  <dc:creator>openpyxl</dc:creator>
  <dc:description/>
  <dc:language>en-US</dc:language>
  <cp:lastModifiedBy/>
  <dcterms:modified xsi:type="dcterms:W3CDTF">2026-07-22T04:43:45Z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