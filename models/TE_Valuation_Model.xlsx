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Historicals" sheetId="3" state="visible" r:id="rId5"/>
    <sheet name="Model_3S" sheetId="4" state="visible" r:id="rId6"/>
    <sheet name="WACC" sheetId="5" state="visible" r:id="rId7"/>
    <sheet name="DCF" sheetId="6" state="visible" r:id="rId8"/>
    <sheet name="Comps" sheetId="7" state="visible" r:id="rId9"/>
    <sheet name="Precedents" sheetId="8" state="visible" r:id="rId10"/>
    <sheet name="LBO" sheetId="9" state="visible" r:id="rId11"/>
    <sheet name="Monte_Carlo" sheetId="10" state="visible" r:id="rId12"/>
    <sheet name="Football_Field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<sst xmlns="http://schemas.openxmlformats.org/spreadsheetml/2006/main" count="537" uniqueCount="488">
  <si>
    <t xml:space="preserve">T1 ENERGY INC. (NYSE: TE) — DCF VALUATION &amp; 3-STATEMENT OPERATING MODEL</t>
  </si>
  <si>
    <t xml:space="preserve">Prepared August 2026 · $ millions except per-share · Calendar fiscal year · Formerly FREYR Battery; pivoted to US solar manufacturing</t>
  </si>
  <si>
    <t xml:space="preserve">READ THIS FIRST — THE CRUX</t>
  </si>
  <si>
    <t xml:space="preserve">T1's profit engine is the Section 45X Advanced Manufacturing Production Credit (~$0.07/W modules, ~$0.04/W cells), NOT its operating margin. Module assembly against Chinese competition earns a thin-to-negative gross margin on its own; the credits are what make the P&amp;L work. 45X is scheduled to STEP DOWN (100% through 2029, then 75%/50%/25%/0% in 2030-33). So the entire investment question is: can T1 reach standalone profitability BEFORE the credits disappear? This model makes that explicit — see the '45X phase-out factor' row on Model_3S and the Bear scenario.</t>
  </si>
  <si>
    <t xml:space="preserve">CONTENTS</t>
  </si>
  <si>
    <t xml:space="preserve">Assumptions</t>
  </si>
  <si>
    <t xml:space="preserve">Scenario switch &amp; levers (edit yellow cells)</t>
  </si>
  <si>
    <t xml:space="preserve">Historicals</t>
  </si>
  <si>
    <t xml:space="preserve">FY2024–FY2025 actuals, Q2-2026 preliminary, FY2026E build</t>
  </si>
  <si>
    <t xml:space="preserve">Model_3S</t>
  </si>
  <si>
    <t xml:space="preserve">Linked IS/BS/CF FY2026E–FY2035E with explicit 45X credit line and phase-out schedule</t>
  </si>
  <si>
    <t xml:space="preserve">WACC</t>
  </si>
  <si>
    <t xml:space="preserve">CAPM — high beta small-cap with policy risk</t>
  </si>
  <si>
    <t xml:space="preserve">DCF</t>
  </si>
  <si>
    <t xml:space="preserve">Unlevered FCF, Gordon + exit-multiple TV, sensitivities</t>
  </si>
  <si>
    <t xml:space="preserve">Comps</t>
  </si>
  <si>
    <t xml:space="preserve">US/global solar manufacturing peers (FSLR primary)</t>
  </si>
  <si>
    <t xml:space="preserve">Precedents</t>
  </si>
  <si>
    <t xml:space="preserve">Solar manufacturing M&amp;A — incl. T1's own Trina-US and KORE deals</t>
  </si>
  <si>
    <t xml:space="preserve">LBO</t>
  </si>
  <si>
    <t xml:space="preserve">Illustrative — negative EBITDA means conventional debt capacity is ~zero</t>
  </si>
  <si>
    <t xml:space="preserve">Monte_Carlo</t>
  </si>
  <si>
    <t xml:space="preserve">500 live trials + scenario probability weights</t>
  </si>
  <si>
    <t xml:space="preserve">Football_Field</t>
  </si>
  <si>
    <t xml:space="preserve">Valuation summary chart vs. current price</t>
  </si>
  <si>
    <t xml:space="preserve">LEGEND</t>
  </si>
  <si>
    <t xml:space="preserve">Blue font / yellow fill</t>
  </si>
  <si>
    <t xml:space="preserve">Hardcoded input or scenario lever — edit these</t>
  </si>
  <si>
    <t xml:space="preserve">Black font</t>
  </si>
  <si>
    <t xml:space="preserve">Formula — do not overwrite</t>
  </si>
  <si>
    <t xml:space="preserve">Green font</t>
  </si>
  <si>
    <t xml:space="preserve">Link to another sheet</t>
  </si>
  <si>
    <t xml:space="preserve">'e'</t>
  </si>
  <si>
    <t xml:space="preserve">Estimated figure — see notes</t>
  </si>
  <si>
    <t xml:space="preserve">KEY MODELING NOTES</t>
  </si>
  <si>
    <t xml:space="preserve">1.</t>
  </si>
  <si>
    <t xml:space="preserve">Q2-2026 preliminary: revenue $245-255mm on 835 MW shipped, net loss from continuing ops $34-37mm, NEGATIVE adjusted EBITDA, cash + restricted cash $156.4mm at 6/30/26.</t>
  </si>
  <si>
    <t xml:space="preserve">2.</t>
  </si>
  <si>
    <t xml:space="preserve">G2_Austin (solar CELL plant) Phase 1 capex RAISED to $510mm from $425mm; first cell production DELAYED to Q1-2027. Cells are what stack the 45X credit and lift domestic content — the delay pushes the profitability inflection right.</t>
  </si>
  <si>
    <t xml:space="preserve">3.</t>
  </si>
  <si>
    <t xml:space="preserve">2026 actions: bought Evervolt solar patents ($135mm), monetized 2025 45X credits for $39.1mm, closed KORE Power acquisition (energy storage / AI data-center infrastructure, 'T1 NRI' brand), raised $120mm convertible notes (late July).</t>
  </si>
  <si>
    <t xml:space="preserve">4.</t>
  </si>
  <si>
    <t xml:space="preserve">Liquidity is the live risk: ~$150mm cash against a $510mm Phase 1 program and ~$670mm debt. The model's revolver-draw row is a FUNDING-GAP INDICATOR — draws mean an equity raise in practice (dilution not modeled).</t>
  </si>
  <si>
    <t xml:space="preserve">5.</t>
  </si>
  <si>
    <t xml:space="preserve">Share-count/market-cap sources conflict (279.27mm shares × $6.81 ≈ $1.90B vs. a $1.37B market cap quoted 7/28/26) — likely convertible/timing differences. Both are editable inputs; verify before relying on per-share output.</t>
  </si>
  <si>
    <t xml:space="preserve">KEY SOURCES</t>
  </si>
  <si>
    <t xml:space="preserve">Q2-2026 preliminary results (July 2026)</t>
  </si>
  <si>
    <t xml:space="preserve">stocktitan/Globe &amp; Mail/Benzinga: rev $245-255mm, 835 MW, net loss $34-37mm, cash $156.4mm; G2 capex $510mm, first cells Q1-2027; Evervolt patents $135mm; 45X monetization $39.1mm</t>
  </si>
  <si>
    <t xml:space="preserve">Market data (Aug 2026)</t>
  </si>
  <si>
    <t xml:space="preserve">stockanalysis/etoro/CNN: price ~$6.81, 279.27mm shares, cash $46.37mm &amp; debt $549.78mm (as reported; pre-convert), analyst avg target ~$10.07 'Strong Buy'; Alliance Global cut to $7</t>
  </si>
  <si>
    <t xml:space="preserve">45X credit mechanics</t>
  </si>
  <si>
    <t xml:space="preserve">IRA Section 45X: ~$0.07/W modules, ~$0.04/W cells; statutory step-down 2030-2032. Treat the phase-out row as an ASSUMPTION — subsequent legislation may alter it.</t>
  </si>
  <si>
    <t xml:space="preserve">10Y UST 4.55%</t>
  </si>
  <si>
    <t xml:space="preserve">tradingeconomics / FRED DGS10</t>
  </si>
  <si>
    <t xml:space="preserve">DISCLAIMER</t>
  </si>
  <si>
    <t xml:space="preserve">Educational model, not investment advice. TE is a small-cap, levered, policy-dependent manufacturer — outcomes are wide and the equity is speculative. Verify all figures against T1 filings.</t>
  </si>
  <si>
    <t xml:space="preserve">ASSUMPTIONS &amp; SCENARIO LEVERS — T1 ENERGY</t>
  </si>
  <si>
    <t xml:space="preserve">Edit yellow cells. Switch drives Model_3S, DCF, LBO, Monte Carlo.</t>
  </si>
  <si>
    <t xml:space="preserve">SCENARIO SWITCH  (1 = Base, 2 = Bull, 3 = Bear)</t>
  </si>
  <si>
    <t xml:space="preserve">Scenario probability weights</t>
  </si>
  <si>
    <t xml:space="preserve">Base</t>
  </si>
  <si>
    <t xml:space="preserve">Bull</t>
  </si>
  <si>
    <t xml:space="preserve">Bear</t>
  </si>
  <si>
    <t xml:space="preserve">Total</t>
  </si>
  <si>
    <t xml:space="preserve">Probability</t>
  </si>
  <si>
    <t xml:space="preserve">Heavy 40% bear weight: policy dependence + funding gap + commodity competition are all live</t>
  </si>
  <si>
    <t xml:space="preserve">Revenue growth — decays linearly FY2027 → FY2035</t>
  </si>
  <si>
    <t xml:space="preserve">Selected</t>
  </si>
  <si>
    <t xml:space="preserve">FY2027 revenue growth</t>
  </si>
  <si>
    <t xml:space="preserve">FY2035 revenue growth (terminal-year)</t>
  </si>
  <si>
    <t xml:space="preserve">FY27 growth = G2_Austin cells coming online (Q1-27) + KORE storage. Bear assumes the ramp slips and pricing stays brutal.</t>
  </si>
  <si>
    <t xml:space="preserve">Operating drivers — FY2026 start ramps linearly to FY2035 target</t>
  </si>
  <si>
    <t xml:space="preserve">Driver</t>
  </si>
  <si>
    <t xml:space="preserve">FY26 start</t>
  </si>
  <si>
    <t xml:space="preserve">Base target</t>
  </si>
  <si>
    <t xml:space="preserve">Bull target</t>
  </si>
  <si>
    <t xml:space="preserve">Bear target</t>
  </si>
  <si>
    <t xml:space="preserve">Gross margin EXCLUDING 45X credits</t>
  </si>
  <si>
    <t xml:space="preserve">45X credits as % of revenue (pre-phase-out)</t>
  </si>
  <si>
    <t xml:space="preserve">Cash opex — SG&amp;A + R&amp;D (% revenue)</t>
  </si>
  <si>
    <t xml:space="preserve">Stock-based compensation (% revenue)</t>
  </si>
  <si>
    <t xml:space="preserve">D&amp;A (% revenue)</t>
  </si>
  <si>
    <t xml:space="preserve">Cash tax rate (large NOLs early)</t>
  </si>
  <si>
    <t xml:space="preserve">Other current assets (% revenue)</t>
  </si>
  <si>
    <t xml:space="preserve">Customer deposits / deferred revenue (% rev)</t>
  </si>
  <si>
    <t xml:space="preserve">THE WHOLE THESIS IS ROW 17: ex-credit gross margin. Base says domestic cells lift it 3% → 14% by FY35. Bear says it never improves — and when 45X fades, EBITDA goes structurally negative.</t>
  </si>
  <si>
    <t xml:space="preserve">Working capital (held constant)</t>
  </si>
  <si>
    <t xml:space="preserve">Days sales outstanding (DSO)</t>
  </si>
  <si>
    <t xml:space="preserve">Days inventory (DIO, on COGS)</t>
  </si>
  <si>
    <t xml:space="preserve">Days payable (DPO, on COGS + cash opex)</t>
  </si>
  <si>
    <t xml:space="preserve">Capital, capex program &amp; financing</t>
  </si>
  <si>
    <t xml:space="preserve">Interest earned on cash</t>
  </si>
  <si>
    <t xml:space="preserve">Revolver / gap-funding rate</t>
  </si>
  <si>
    <t xml:space="preserve">Minimum cash balance ($mm)</t>
  </si>
  <si>
    <t xml:space="preserve">Diluted shares outstanding (mm)</t>
  </si>
  <si>
    <t xml:space="preserve">Marginal tax rate (valuation)</t>
  </si>
  <si>
    <t xml:space="preserve">Average rate on existing debt</t>
  </si>
  <si>
    <t xml:space="preserve">G2_Austin Phase 1 capex — FY2026 ($mm)</t>
  </si>
  <si>
    <t xml:space="preserve">Phase 1 total $510mm split across FY26/27; first cells Q1-2027</t>
  </si>
  <si>
    <t xml:space="preserve">G2_Austin Phase 1 capex — FY2027 ($mm)</t>
  </si>
  <si>
    <t xml:space="preserve">Maintenance capex thereafter (% revenue)</t>
  </si>
  <si>
    <t xml:space="preserve">Acquisitions FY2026 (Evervolt patents etc., $mm)</t>
  </si>
  <si>
    <t xml:space="preserve">Equity issuance FY2026 ($mm)</t>
  </si>
  <si>
    <t xml:space="preserve">Terminal value &amp; market inputs</t>
  </si>
  <si>
    <t xml:space="preserve">Terminal (perpetuity) growth rate g</t>
  </si>
  <si>
    <t xml:space="preserve">Exit EV / Adj. EBITDA multiple (FY2035)</t>
  </si>
  <si>
    <t xml:space="preserve">Current share price (Aug 2026)</t>
  </si>
  <si>
    <t xml:space="preserve">Exit 7x reflects commodity-manufacturing economics (FSLR-type range 6-10x), not a software/toll-booth multiple.</t>
  </si>
  <si>
    <t xml:space="preserve">HISTORICAL FINANCIALS  ($mm)</t>
  </si>
  <si>
    <t xml:space="preserve">FY2024A</t>
  </si>
  <si>
    <t xml:space="preserve">FY2025A e</t>
  </si>
  <si>
    <t xml:space="preserve">Q1-26A e</t>
  </si>
  <si>
    <t xml:space="preserve">Q2-26A prelim</t>
  </si>
  <si>
    <t xml:space="preserve">FY2026E</t>
  </si>
  <si>
    <t xml:space="preserve">Revenue</t>
  </si>
  <si>
    <t xml:space="preserve">FY26E ~$1.05B: ~3.5 GW at ~$0.30/W ASP (G1_Dallas target 3.1-4.2 GW, guided to upper end)</t>
  </si>
  <si>
    <t xml:space="preserve">Module shipments (MW)</t>
  </si>
  <si>
    <t xml:space="preserve">Net income (loss) from continuing ops</t>
  </si>
  <si>
    <t xml:space="preserve">Adjusted EBITDA</t>
  </si>
  <si>
    <t xml:space="preserve">NEGATIVE in Q2-26 — the company is not yet EBITDA-profitable</t>
  </si>
  <si>
    <t xml:space="preserve">Cash + restricted cash (period end)</t>
  </si>
  <si>
    <t xml:space="preserve">Business</t>
  </si>
  <si>
    <t xml:space="preserve">US solar manufacturing. G1_Dallas (5 GW module plant, ex-Trina) operating; G2_Austin (cells) Phase 1 $510mm, first output Q1-2027.</t>
  </si>
  <si>
    <t xml:space="preserve">Profit engine</t>
  </si>
  <si>
    <t xml:space="preserve">Section 45X credits (~$0.07/W modules, ~$0.04/W cells). Monetized $39.1mm of 2025 credits in 2026.</t>
  </si>
  <si>
    <t xml:space="preserve">2026 corporate actions</t>
  </si>
  <si>
    <t xml:space="preserve">Evervolt solar patents $135mm · KORE Power acquired (storage + AI data-center infra, 'T1 NRI') · $120mm convertible notes raised late July</t>
  </si>
  <si>
    <t xml:space="preserve">Capital structure</t>
  </si>
  <si>
    <t xml:space="preserve">~$550mm debt reported + ~$120mm new converts ≈ $670mm; cash ~$150mm → net debt ~$520mm vs ~$1.9B market cap</t>
  </si>
  <si>
    <t xml:space="preserve">Analyst view</t>
  </si>
  <si>
    <t xml:space="preserve">Avg target ~$10.07, 'Strong Buy' consensus; but Alliance Global cut to $7 — wide dispersion is itself a signal</t>
  </si>
  <si>
    <t xml:space="preserve">Risk file</t>
  </si>
  <si>
    <t xml:space="preserve">45X phase-out (2030-33) · Chinese module pricing · G2 execution/delay · funding gap vs $510mm program · tariff/policy swings</t>
  </si>
  <si>
    <t xml:space="preserve">Opening balance sheet, 12/31/2025 (estimated):</t>
  </si>
  <si>
    <t xml:space="preserve">  Cash + restricted e</t>
  </si>
  <si>
    <t xml:space="preserve">  Receivables e</t>
  </si>
  <si>
    <t xml:space="preserve">  Inventory e</t>
  </si>
  <si>
    <t xml:space="preserve">  Other current assets e</t>
  </si>
  <si>
    <t xml:space="preserve">  PP&amp;E net e</t>
  </si>
  <si>
    <t xml:space="preserve">  Goodwill + intangibles + other LT e</t>
  </si>
  <si>
    <t xml:space="preserve">  AP + accrued e</t>
  </si>
  <si>
    <t xml:space="preserve">  Customer deposits / deferred e</t>
  </si>
  <si>
    <t xml:space="preserve">  Total debt e</t>
  </si>
  <si>
    <t xml:space="preserve">  Other LT liabilities e</t>
  </si>
  <si>
    <t xml:space="preserve">Balance sheet substantially ESTIMATED (post-pivot reporting is discontinuous — FREYR→T1 with asset acquisitions and a discontinued battery segment). Equity is the plug. Verify against the 10-Q before relying on it.</t>
  </si>
  <si>
    <t xml:space="preserve">3-STATEMENT OPERATING MODEL — FY2026E–FY2035E  ($mm; 45X credits shown explicitly)</t>
  </si>
  <si>
    <t xml:space="preserve">FY2025A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</si>
  <si>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</si>
  <si>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</si>
  <si>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</si>
  <si>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</si>
  <si>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</si>
  <si>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FY2032E</t>
  </si>
  <si>
    <t xml:space="preserve">FY2033E</t>
  </si>
  <si>
    <t xml:space="preserve">FY2034E</t>
  </si>
  <si>
    <t xml:space="preserve">FY2035E</t>
  </si>
  <si>
    <t xml:space="preserve">DRIVERS</t>
  </si>
  <si>
    <t xml:space="preserve">Revenue growth %</t>
  </si>
  <si>
    <t xml:space="preserve">Gross margin ex-45X %</t>
  </si>
  <si>
    <t xml:space="preserve">45X credit % of revenue (pre-phase-out)</t>
  </si>
  <si>
    <t xml:space="preserve">Cash opex % rev</t>
  </si>
  <si>
    <t xml:space="preserve">SBC % rev</t>
  </si>
  <si>
    <t xml:space="preserve">D&amp;A % rev</t>
  </si>
  <si>
    <t xml:space="preserve">Cash tax rate %</t>
  </si>
  <si>
    <t xml:space="preserve">Other current assets % rev</t>
  </si>
  <si>
    <t xml:space="preserve">Deferred revenue % rev</t>
  </si>
  <si>
    <t xml:space="preserve">45X PHASE-OUT FACTOR  (statutory step-down — editable)</t>
  </si>
  <si>
    <t xml:space="preserve">IRA 45X: 100% through 2029, then 75%/50%/25%/0% for 2030-2032, zero thereafter. THE key policy assumption.</t>
  </si>
  <si>
    <t xml:space="preserve">INCOME STATEMENT</t>
  </si>
  <si>
    <t xml:space="preserve">Cost of revenue (excl. D&amp;A)</t>
  </si>
  <si>
    <t xml:space="preserve">Gross profit EXCLUDING 45X credits</t>
  </si>
  <si>
    <t xml:space="preserve">If this row is negative, the business loses money on every panel BEFORE credits</t>
  </si>
  <si>
    <t xml:space="preserve">45X production tax credits</t>
  </si>
  <si>
    <t xml:space="preserve">Gross profit including credits</t>
  </si>
  <si>
    <t xml:space="preserve">Cash opex (SG&amp;A + R&amp;D)</t>
  </si>
  <si>
    <t xml:space="preserve">Stock-based compensation</t>
  </si>
  <si>
    <t xml:space="preserve">D&amp;A</t>
  </si>
  <si>
    <t xml:space="preserve">EBIT</t>
  </si>
  <si>
    <t xml:space="preserve">Interest income (on beginning cash)</t>
  </si>
  <si>
    <t xml:space="preserve">Interest expense (beginning debt)</t>
  </si>
  <si>
    <t xml:space="preserve">Pre-tax income</t>
  </si>
  <si>
    <t xml:space="preserve">Taxes (NOL-shielded early)</t>
  </si>
  <si>
    <t xml:space="preserve">Net income (loss)</t>
  </si>
  <si>
    <t xml:space="preserve">  Adj. EBITDA margin %</t>
  </si>
  <si>
    <t xml:space="preserve">WORKING CAPITAL</t>
  </si>
  <si>
    <t xml:space="preserve">Accounts receivable</t>
  </si>
  <si>
    <t xml:space="preserve">Inventory (panels, cells, polysilicon)</t>
  </si>
  <si>
    <t xml:space="preserve">Other current assets (incl. 45X receivable)</t>
  </si>
  <si>
    <t xml:space="preserve">AP + accrued</t>
  </si>
  <si>
    <t xml:space="preserve">Customer deposits / deferred revenue</t>
  </si>
  <si>
    <t xml:space="preserve">Net working capital</t>
  </si>
  <si>
    <t xml:space="preserve">(Increase) / decrease in NWC — cash impact</t>
  </si>
  <si>
    <t xml:space="preserve">CAPEX &amp; PP&amp;E  (G2_Austin Phase 1 program, then maintenance)</t>
  </si>
  <si>
    <t xml:space="preserve">Capex</t>
  </si>
  <si>
    <t xml:space="preserve">FY26/27 = G2_Austin Phase 1 ($510mm total). 90% of D&amp;A depreciates PP&amp;E, 10% amortizes intangibles.</t>
  </si>
  <si>
    <t xml:space="preserve">PP&amp;E, net</t>
  </si>
  <si>
    <t xml:space="preserve">DEBT SCHEDULE  (converts + project debt; revolver row = FUNDING GAP indicator)</t>
  </si>
  <si>
    <t xml:space="preserve">Term debt &amp; converts — beginning</t>
  </si>
  <si>
    <t xml:space="preserve">  Net issuance / (repayment) — input</t>
  </si>
  <si>
    <t xml:space="preserve">Term debt &amp; converts — ending</t>
  </si>
  <si>
    <t xml:space="preserve">Gap funding — beginning</t>
  </si>
  <si>
    <t xml:space="preserve">  Draw (if cash &lt; minimum) = EQUITY RAISE NEEDED</t>
  </si>
  <si>
    <t xml:space="preserve">Non-zero draws = external funding need. In reality this is dilutive equity, NOT cheap debt — dilution is not modeled.</t>
  </si>
  <si>
    <t xml:space="preserve">  (Repayment)</t>
  </si>
  <si>
    <t xml:space="preserve">Gap funding — ending</t>
  </si>
  <si>
    <t xml:space="preserve">Total debt — ending</t>
  </si>
  <si>
    <t xml:space="preserve">CASH FLOW STATEMENT</t>
  </si>
  <si>
    <t xml:space="preserve">+ D&amp;A</t>
  </si>
  <si>
    <t xml:space="preserve">+ Stock-based compensation</t>
  </si>
  <si>
    <t xml:space="preserve">+/- Change in NWC</t>
  </si>
  <si>
    <t xml:space="preserve">Cash from operations</t>
  </si>
  <si>
    <t xml:space="preserve">- Capex</t>
  </si>
  <si>
    <t xml:space="preserve">Free cash flow</t>
  </si>
  <si>
    <t xml:space="preserve">- Acquisitions (Evervolt patents, KORE)</t>
  </si>
  <si>
    <t xml:space="preserve">+ Equity issuance</t>
  </si>
  <si>
    <t xml:space="preserve">+ Debt draws / (repayments)</t>
  </si>
  <si>
    <t xml:space="preserve">Net change in cash</t>
  </si>
  <si>
    <t xml:space="preserve">Cash — beginning</t>
  </si>
  <si>
    <t xml:space="preserve">Cash — ending</t>
  </si>
  <si>
    <t xml:space="preserve">BALANCE SHEET</t>
  </si>
  <si>
    <t xml:space="preserve">Cash + restricted</t>
  </si>
  <si>
    <t xml:space="preserve">Inventory</t>
  </si>
  <si>
    <t xml:space="preserve">Other current assets</t>
  </si>
  <si>
    <t xml:space="preserve">Goodwill + intangibles + other LT</t>
  </si>
  <si>
    <t xml:space="preserve">TOTAL ASSETS</t>
  </si>
  <si>
    <t xml:space="preserve">Customer deposits / deferred</t>
  </si>
  <si>
    <t xml:space="preserve">Total debt</t>
  </si>
  <si>
    <t xml:space="preserve">Other LT liabilities</t>
  </si>
  <si>
    <t xml:space="preserve">TOTAL LIABILITIES</t>
  </si>
  <si>
    <t xml:space="preserve">Total equity (opening = plug; rolls with NI + SBC + issuance)</t>
  </si>
  <si>
    <t xml:space="preserve">TOTAL LIABILITIES + EQUITY</t>
  </si>
  <si>
    <t xml:space="preserve">Balance check (must be 0)</t>
  </si>
  <si>
    <t xml:space="preserve">WEIGHTED AVERAGE COST OF CAPITAL — AUGUST 2026</t>
  </si>
  <si>
    <t xml:space="preserve">COST OF EQUITY (CAPM)</t>
  </si>
  <si>
    <t xml:space="preserve">Risk-free rate — 10Y UST</t>
  </si>
  <si>
    <t xml:space="preserve">Levered beta</t>
  </si>
  <si>
    <t xml:space="preserve">Small-cap solar manufacturer; post-pivot history is short — proxied high (e)</t>
  </si>
  <si>
    <t xml:space="preserve">Equity risk premium</t>
  </si>
  <si>
    <t xml:space="preserve">Damodaran implied ERP, mid-2026</t>
  </si>
  <si>
    <t xml:space="preserve">Company-specific premium</t>
  </si>
  <si>
    <t xml:space="preserve">Added for policy dependence (45X), funding gap, single-plant concentration, short operating history</t>
  </si>
  <si>
    <t xml:space="preserve">Cost of equity</t>
  </si>
  <si>
    <t xml:space="preserve">COST OF DEBT</t>
  </si>
  <si>
    <t xml:space="preserve">Pre-tax cost of debt</t>
  </si>
  <si>
    <t xml:space="preserve">Convertible + project debt; high-yield territory</t>
  </si>
  <si>
    <t xml:space="preserve">Tax rate</t>
  </si>
  <si>
    <t xml:space="preserve">After-tax cost of debt</t>
  </si>
  <si>
    <t xml:space="preserve">Note: NOLs mean little near-term tax shield in practice</t>
  </si>
  <si>
    <t xml:space="preserve">CAPITAL STRUCTURE (market weights)</t>
  </si>
  <si>
    <t xml:space="preserve">Debt / total capitalization</t>
  </si>
  <si>
    <t xml:space="preserve">~$670mm debt vs ~$1.9B market cap</t>
  </si>
  <si>
    <t xml:space="preserve">Equity / total capitalization</t>
  </si>
  <si>
    <t xml:space="preserve">WACC ≈ 13.5%. Sensitivity range in DCF: 11.5% – 15.5%. For a policy-dependent small-cap the discount rate is highly contestable — flex it.</t>
  </si>
  <si>
    <t xml:space="preserve">DISCOUNTED CASH FLOW — UNLEVERED FCF  ($mm; valuation as of FY2026 year-end, mid-year convention)</t>
  </si>
  <si>
    <t xml:space="preserve">Cash taxes on EBIT</t>
  </si>
  <si>
    <t xml:space="preserve">− Capex</t>
  </si>
  <si>
    <t xml:space="preserve">+/− Change in NWC</t>
  </si>
  <si>
    <t xml:space="preserve">Unlevered free cash flow</t>
  </si>
  <si>
    <t xml:space="preserve">Discount period (mid-year)</t>
  </si>
  <si>
    <t xml:space="preserve">Discount factor @ WACC</t>
  </si>
  <si>
    <t xml:space="preserve">PV of FCF</t>
  </si>
  <si>
    <t xml:space="preserve">Watch the FY2030-33 columns: that's where the 45X step-down bites. If FCF turns negative there, the business never reached standalone viability.</t>
  </si>
  <si>
    <t xml:space="preserve">Sum of PV of explicit FCF (FY27–35)</t>
  </si>
  <si>
    <t xml:space="preserve">TERMINAL VALUE — METHOD 1: GORDON GROWTH</t>
  </si>
  <si>
    <t xml:space="preserve">Terminal growth g</t>
  </si>
  <si>
    <t xml:space="preserve">Terminal value</t>
  </si>
  <si>
    <t xml:space="preserve">Floored at zero — a negative terminal FCF would imply a worthless (or liability) terminal business</t>
  </si>
  <si>
    <t xml:space="preserve">PV of terminal value (9.0 yrs)</t>
  </si>
  <si>
    <t xml:space="preserve">  Implied exit EV/EBITDA</t>
  </si>
  <si>
    <t xml:space="preserve">TERMINAL VALUE — METHOD 2: EXIT MULTIPLE</t>
  </si>
  <si>
    <t xml:space="preserve">Exit EV/Adj. EBITDA multiple</t>
  </si>
  <si>
    <t xml:space="preserve">PV of terminal value</t>
  </si>
  <si>
    <t xml:space="preserve">  Implied perpetuity growth</t>
  </si>
  <si>
    <t xml:space="preserve">ENTERPRISE → EQUITY VALUE BRIDGE</t>
  </si>
  <si>
    <t xml:space="preserve">Net debt, FY2026E year-end (debt − cash)</t>
  </si>
  <si>
    <t xml:space="preserve">Diluted shares (mm)</t>
  </si>
  <si>
    <t xml:space="preserve">Gordon growth</t>
  </si>
  <si>
    <t xml:space="preserve">Exit multiple</t>
  </si>
  <si>
    <t xml:space="preserve">Average</t>
  </si>
  <si>
    <t xml:space="preserve">Enterprise value</t>
  </si>
  <si>
    <t xml:space="preserve">− Net debt</t>
  </si>
  <si>
    <t xml:space="preserve">Equity value</t>
  </si>
  <si>
    <t xml:space="preserve">Implied value per share</t>
  </si>
  <si>
    <t xml:space="preserve">Upside / (downside) vs current price</t>
  </si>
  <si>
    <t xml:space="preserve">Equity floored at zero: with ~$520mm net debt, a weak enough operating case wipes out the equity before the enterprise. That IS the bear case for a levered manufacturer.</t>
  </si>
  <si>
    <t xml:space="preserve">SENSITIVITY — VALUE PER SHARE: WACC × TERMINAL GROWTH (Gordon)</t>
  </si>
  <si>
    <t xml:space="preserve">WACC \ g</t>
  </si>
  <si>
    <t xml:space="preserve">SENSITIVITY — VALUE PER SHARE: WACC × EXIT EV/EBITDA MULTIPLE</t>
  </si>
  <si>
    <t xml:space="preserve">WACC \ x</t>
  </si>
  <si>
    <t xml:space="preserve">SENSITIVITY — THE ONE THAT MATTERS: TERMINAL EX-45X GROSS MARGIN × 45X SURVIVAL</t>
  </si>
  <si>
    <t xml:space="preserve">Rev35 ≈ FY26E rev × (1+avg growth)^9. EBITDA35 = Rev35 × (ex-credit GM − opex% + credit%×survival factor). 'Survival' = share of 45X still in force at FY35 (0 = full statutory phase-out, 1 = credits extended indefinitely). Exit-multiple TV.</t>
  </si>
  <si>
    <t xml:space="preserve">term GM \ 45X survival</t>
  </si>
  <si>
    <t xml:space="preserve">TRADING COMPARABLES — SOLAR MANUFACTURING  (Aug 2026; peer multiples estimated)</t>
  </si>
  <si>
    <t xml:space="preserve">Company</t>
  </si>
  <si>
    <t xml:space="preserve">Ticker</t>
  </si>
  <si>
    <t xml:space="preserve">EV/Revenue</t>
  </si>
  <si>
    <t xml:space="preserve">EV/EBITDA</t>
  </si>
  <si>
    <t xml:space="preserve">Note</t>
  </si>
  <si>
    <t xml:space="preserve">First Solar</t>
  </si>
  <si>
    <t xml:space="preserve">FSLR</t>
  </si>
  <si>
    <t xml:space="preserve">e — the US-manufacturing benchmark; thin-film, 45X beneficiary, profitable</t>
  </si>
  <si>
    <t xml:space="preserve">Canadian Solar</t>
  </si>
  <si>
    <t xml:space="preserve">CSIQ</t>
  </si>
  <si>
    <t xml:space="preserve">e — global module maker; commodity economics</t>
  </si>
  <si>
    <t xml:space="preserve">JinkoSolar</t>
  </si>
  <si>
    <t xml:space="preserve">JKS</t>
  </si>
  <si>
    <t xml:space="preserve">e — Chinese scale player; the pricing pressure source</t>
  </si>
  <si>
    <t xml:space="preserve">Array Technologies</t>
  </si>
  <si>
    <t xml:space="preserve">ARRY</t>
  </si>
  <si>
    <t xml:space="preserve">e — US solar equipment (trackers)</t>
  </si>
  <si>
    <t xml:space="preserve">T1 Energy (self)</t>
  </si>
  <si>
    <t xml:space="preserve">TE</t>
  </si>
  <si>
    <t xml:space="preserve">EV/EBITDA is meaningless while FY26E EBITDA is ~zero/negative — use EV/Revenue</t>
  </si>
  <si>
    <t xml:space="preserve">Peer median (ex-TE)</t>
  </si>
  <si>
    <t xml:space="preserve">Solar manufacturing is a COMMODITY industry — module makers trade at fractions of revenue. Only FSLR earns a premium (differentiated thin-film + scale + credits). TE's valuation case rests on becoming FSLR-like, not CSIQ-like.</t>
  </si>
  <si>
    <t xml:space="preserve">IMPLIED VALUE PER SHARE</t>
  </si>
  <si>
    <t xml:space="preserve">Method</t>
  </si>
  <si>
    <t xml:space="preserve">Low x</t>
  </si>
  <si>
    <t xml:space="preserve">High x</t>
  </si>
  <si>
    <t xml:space="preserve">Metric</t>
  </si>
  <si>
    <t xml:space="preserve">$/sh low</t>
  </si>
  <si>
    <t xml:space="preserve">$/sh high</t>
  </si>
  <si>
    <t xml:space="preserve">EV/Revenue × FY2026E revenue</t>
  </si>
  <si>
    <t xml:space="preserve">EV/EBITDA × FY2029E (post-ramp, pre-phase-out)</t>
  </si>
  <si>
    <t xml:space="preserve">FY2029E is used for the EBITDA method: it's the last year of full 45X before the step-down, i.e. peak reported profitability.</t>
  </si>
  <si>
    <t xml:space="preserve">PRECEDENT TRANSACTIONS — SOLAR / CLEAN-ENERGY MANUFACTURING</t>
  </si>
  <si>
    <t xml:space="preserve">Date</t>
  </si>
  <si>
    <t xml:space="preserve">Acquirer</t>
  </si>
  <si>
    <t xml:space="preserve">Target</t>
  </si>
  <si>
    <t xml:space="preserve">EV ($mm)</t>
  </si>
  <si>
    <t xml:space="preserve">Basis</t>
  </si>
  <si>
    <t xml:space="preserve">Nov-2024</t>
  </si>
  <si>
    <t xml:space="preserve">T1 Energy (FREYR)</t>
  </si>
  <si>
    <t xml:space="preserve">Trina Solar US assets (G1_Dallas)</t>
  </si>
  <si>
    <t xml:space="preserve">~$0.07/W capacity</t>
  </si>
  <si>
    <t xml:space="preserve">T1's own founding deal — 5 GW module plant</t>
  </si>
  <si>
    <t xml:space="preserve">2026</t>
  </si>
  <si>
    <t xml:space="preserve">T1 Energy</t>
  </si>
  <si>
    <t xml:space="preserve">KORE Power</t>
  </si>
  <si>
    <t xml:space="preserve">n/d</t>
  </si>
  <si>
    <t xml:space="preserve">Storage + AI data-center infrastructure ('T1 NRI')</t>
  </si>
  <si>
    <t xml:space="preserve">Evervolt solar patents</t>
  </si>
  <si>
    <t xml:space="preserve">IP</t>
  </si>
  <si>
    <t xml:space="preserve">Foundational solar patents</t>
  </si>
  <si>
    <t xml:space="preserve">2023-25</t>
  </si>
  <si>
    <t xml:space="preserve">Qcells / Hanwha</t>
  </si>
  <si>
    <t xml:space="preserve">US manufacturing buildout</t>
  </si>
  <si>
    <t xml:space="preserve">capacity investment</t>
  </si>
  <si>
    <t xml:space="preserve">e — Georgia integrated plant; not an M&amp;A comp but a capacity benchmark</t>
  </si>
  <si>
    <t xml:space="preserve">2022</t>
  </si>
  <si>
    <t xml:space="preserve">SK / others</t>
  </si>
  <si>
    <t xml:space="preserve">US cell capacity investments</t>
  </si>
  <si>
    <t xml:space="preserve">Policy-driven capacity announcements post-IRA</t>
  </si>
  <si>
    <t xml:space="preserve">There is no clean M&amp;A comp set for a sub-scale US solar manufacturer — most transactions are capacity investments or distressed asset purchases, and several US module ventures have failed outright. The band below is a CAPACITY-BASED framework ($/W of installed nameplate), which is how these assets actually change hands.</t>
  </si>
  <si>
    <t xml:space="preserve">APPLIED RANGE — $/W OF NAMEPLATE CAPACITY</t>
  </si>
  <si>
    <t xml:space="preserve">Low</t>
  </si>
  <si>
    <t xml:space="preserve">High</t>
  </si>
  <si>
    <t xml:space="preserve">Nameplate capacity (GW) — G1 modules (+G2 cells from 2027)</t>
  </si>
  <si>
    <t xml:space="preserve">EV per watt ($/W)</t>
  </si>
  <si>
    <t xml:space="preserve">Implied EV ($mm)</t>
  </si>
  <si>
    <t xml:space="preserve">$0.07/W ≈ what T1 paid for Trina's G1 assets. $0.15/W reflects a strategic premium for a de-risked, credit-qualified US line. Note how sensitive the per-share result is to net debt — that's the leverage at work.</t>
  </si>
  <si>
    <t xml:space="preserve">LBO / CONTROL-BUYOUT ANALYSIS — 5-YEAR HOLD (ENTRY END-FY2026, EXIT END-FY2031)  ($mm)</t>
  </si>
  <si>
    <t xml:space="preserve">A conventional LBO is NOT viable here: FY2026E EBITDA is ~zero/negative and the company already carries ~$670mm of debt against a $510mm capex program. Debt capacity is sized off FY2029E EBITDA (peak-45X) and the sponsor must FUND the buildout — this is a growth-equity / distressed-control structure, not a classic buyout.</t>
  </si>
  <si>
    <t xml:space="preserve">ENTRY &amp; FINANCING</t>
  </si>
  <si>
    <t xml:space="preserve">Entry premium to current price</t>
  </si>
  <si>
    <t xml:space="preserve">Entry price per share</t>
  </si>
  <si>
    <t xml:space="preserve">Equity purchase price</t>
  </si>
  <si>
    <t xml:space="preserve">Plus: net debt assumed/refinanced</t>
  </si>
  <si>
    <t xml:space="preserve">Entry enterprise value</t>
  </si>
  <si>
    <t xml:space="preserve">Transaction fees (% of EV)</t>
  </si>
  <si>
    <t xml:space="preserve">FY2029E Adj. EBITDA (debt-sizing basis, peak 45X)</t>
  </si>
  <si>
    <t xml:space="preserve">  Entry EV / FY2029E EBITDA</t>
  </si>
  <si>
    <t xml:space="preserve">Debt tranche</t>
  </si>
  <si>
    <t xml:space="preserve">Multiple (on FY29E)</t>
  </si>
  <si>
    <t xml:space="preserve">Rate</t>
  </si>
  <si>
    <t xml:space="preserve">Amount</t>
  </si>
  <si>
    <t xml:space="preserve">Term Loan B</t>
  </si>
  <si>
    <t xml:space="preserve">Senior notes</t>
  </si>
  <si>
    <t xml:space="preserve">Total new debt</t>
  </si>
  <si>
    <t xml:space="preserve">Sponsor equity = EV×(1+fees) − debt</t>
  </si>
  <si>
    <t xml:space="preserve">Plus: capex/burn funding during hold (negative FCF)</t>
  </si>
  <si>
    <t xml:space="preserve">TOTAL SPONSOR COMMITMENT</t>
  </si>
  <si>
    <t xml:space="preserve">DEBT PAYDOWN — 100% FCF SWEEP (post-funding)</t>
  </si>
  <si>
    <t xml:space="preserve">Unlevered FCF (DCF sheet)</t>
  </si>
  <si>
    <t xml:space="preserve">Cash interest — TLB (beginning)</t>
  </si>
  <si>
    <t xml:space="preserve">Cash interest — notes</t>
  </si>
  <si>
    <t xml:space="preserve">Interest tax shield</t>
  </si>
  <si>
    <t xml:space="preserve">Levered FCF for paydown</t>
  </si>
  <si>
    <t xml:space="preserve">TLB — beginning</t>
  </si>
  <si>
    <t xml:space="preserve">TLB — (paydown)</t>
  </si>
  <si>
    <t xml:space="preserve">TLB — ending</t>
  </si>
  <si>
    <t xml:space="preserve">Notes — ending (bullet)</t>
  </si>
  <si>
    <t xml:space="preserve">EXIT &amp; RETURNS</t>
  </si>
  <si>
    <t xml:space="preserve">FY2031E Adj. EBITDA</t>
  </si>
  <si>
    <t xml:space="preserve">Exit EV/EBITDA multiple</t>
  </si>
  <si>
    <t xml:space="preserve">Exit enterprise value</t>
  </si>
  <si>
    <t xml:space="preserve">Less: exit net debt</t>
  </si>
  <si>
    <t xml:space="preserve">Exit equity value</t>
  </si>
  <si>
    <t xml:space="preserve">MOIC</t>
  </si>
  <si>
    <t xml:space="preserve">IRR (5-yr)</t>
  </si>
  <si>
    <t xml:space="preserve">Note FY2031 sits INSIDE the 45X step-down — a sponsor exiting then sells a business whose credits are already fading</t>
  </si>
  <si>
    <t xml:space="preserve">MAXIMUM ENTRY PRICE AT TARGET IRR THRESHOLDS</t>
  </si>
  <si>
    <t xml:space="preserve">Target IRR</t>
  </si>
  <si>
    <t xml:space="preserve">Max total commitment</t>
  </si>
  <si>
    <t xml:space="preserve">Max equity purchase</t>
  </si>
  <si>
    <t xml:space="preserve">Implied price/share</t>
  </si>
  <si>
    <t xml:space="preserve">Prem/(disc) to market</t>
  </si>
  <si>
    <t xml:space="preserve">If these implied prices land near or below zero, it means a financial buyer cannot underwrite the equity at ANY price on these assumptions — the buildout funding plus existing leverage consumes the whole return.</t>
  </si>
  <si>
    <t xml:space="preserve">MONTE CARLO SIMULATION — 500 LIVE TRIALS  (press F9 / recalc to refresh)</t>
  </si>
  <si>
    <t xml:space="preserve">Four random variables including 45X SURVIVAL — the policy variable that dominates this equity. Value floored at zero (levered small-cap: the equity can go to zero while the plant still exists).</t>
  </si>
  <si>
    <t xml:space="preserve">Distribution parameters</t>
  </si>
  <si>
    <t xml:space="preserve">Variable</t>
  </si>
  <si>
    <t xml:space="preserve">Mean (linked)</t>
  </si>
  <si>
    <t xml:space="preserve">σ (input)</t>
  </si>
  <si>
    <t xml:space="preserve">Terminal ex-45X gross margin</t>
  </si>
  <si>
    <t xml:space="preserve">45X survival factor at FY2035 (0=full phase-out, 1=extended)</t>
  </si>
  <si>
    <t xml:space="preserve">Calibration statics (linked)</t>
  </si>
  <si>
    <t xml:space="preserve">FY2026E revenue</t>
  </si>
  <si>
    <t xml:space="preserve">Base PV of explicit FCF (DCF)</t>
  </si>
  <si>
    <t xml:space="preserve">Net debt FY2026E</t>
  </si>
  <si>
    <t xml:space="preserve">Current share price</t>
  </si>
  <si>
    <t xml:space="preserve">FY2035 growth (selected)</t>
  </si>
  <si>
    <t xml:space="preserve">Terminal opex % revenue</t>
  </si>
  <si>
    <t xml:space="preserve">45X credit rate % revenue</t>
  </si>
  <si>
    <t xml:space="preserve">Simulation results ($/share)</t>
  </si>
  <si>
    <t xml:space="preserve">Mean</t>
  </si>
  <si>
    <t xml:space="preserve">Median</t>
  </si>
  <si>
    <t xml:space="preserve">Standard deviation</t>
  </si>
  <si>
    <t xml:space="preserve">5th percentile</t>
  </si>
  <si>
    <t xml:space="preserve">25th percentile</t>
  </si>
  <si>
    <t xml:space="preserve">75th percentile</t>
  </si>
  <si>
    <t xml:space="preserve">95th percentile</t>
  </si>
  <si>
    <t xml:space="preserve">P(value &gt; current price)</t>
  </si>
  <si>
    <t xml:space="preserve">P(equity ≈ zero)</t>
  </si>
  <si>
    <t xml:space="preserve">The wipeout probability — the number that matters most for a levered, policy-dependent equity</t>
  </si>
  <si>
    <t xml:space="preserve">Scenario probability-weighted value</t>
  </si>
  <si>
    <t xml:space="preserve">Scenario</t>
  </si>
  <si>
    <t xml:space="preserve">Value / share</t>
  </si>
  <si>
    <t xml:space="preserve">Probability-weighted value</t>
  </si>
  <si>
    <t xml:space="preserve">Bear assumes ZERO 45X survival at FY35 with unimproved margins — the structural-unviability case.</t>
  </si>
  <si>
    <t xml:space="preserve">#</t>
  </si>
  <si>
    <t xml:space="preserve">g FY27</t>
  </si>
  <si>
    <t xml:space="preserve">Term GM</t>
  </si>
  <si>
    <t xml:space="preserve">45X surv</t>
  </si>
  <si>
    <t xml:space="preserve">Rev FY35</t>
  </si>
  <si>
    <t xml:space="preserve">EBITDA FY35</t>
  </si>
  <si>
    <t xml:space="preserve">PV(TV)</t>
  </si>
  <si>
    <t xml:space="preserve">PV(FCF)</t>
  </si>
  <si>
    <t xml:space="preserve">Equity</t>
  </si>
  <si>
    <t xml:space="preserve">$ / share</t>
  </si>
  <si>
    <t xml:space="preserve">Bin ($/sh)</t>
  </si>
  <si>
    <t xml:space="preserve">low</t>
  </si>
  <si>
    <t xml:space="preserve">high</t>
  </si>
  <si>
    <t xml:space="preserve">Count</t>
  </si>
  <si>
    <t xml:space="preserve">0-1</t>
  </si>
  <si>
    <t xml:space="preserve">1-2</t>
  </si>
  <si>
    <t xml:space="preserve">2-3</t>
  </si>
  <si>
    <t xml:space="preserve">3-4</t>
  </si>
  <si>
    <t xml:space="preserve">4-5</t>
  </si>
  <si>
    <t xml:space="preserve">5-6</t>
  </si>
  <si>
    <t xml:space="preserve">6-7</t>
  </si>
  <si>
    <t xml:space="preserve">7-8</t>
  </si>
  <si>
    <t xml:space="preserve">8-10</t>
  </si>
  <si>
    <t xml:space="preserve">10-12</t>
  </si>
  <si>
    <t xml:space="preserve">12-14</t>
  </si>
  <si>
    <t xml:space="preserve">14-16</t>
  </si>
  <si>
    <t xml:space="preserve">16-18</t>
  </si>
  <si>
    <t xml:space="preserve">18-20</t>
  </si>
  <si>
    <t xml:space="preserve">20-25</t>
  </si>
  <si>
    <t xml:space="preserve">25-30</t>
  </si>
  <si>
    <t xml:space="preserve">30-40</t>
  </si>
  <si>
    <t xml:space="preserve">40+</t>
  </si>
  <si>
    <t xml:space="preserve">FOOTBALL FIELD — VALUATION SUMMARY  ($ per share)</t>
  </si>
  <si>
    <t xml:space="preserve">Methodology</t>
  </si>
  <si>
    <t xml:space="preserve">(base)</t>
  </si>
  <si>
    <t xml:space="preserve">(span)</t>
  </si>
  <si>
    <t xml:space="preserve">Midpoint</t>
  </si>
  <si>
    <t xml:space="preserve">52-week trading range (e)</t>
  </si>
  <si>
    <t xml:space="preserve">Analyst targets (avg ~$10.07; low $7 Alliance Global)</t>
  </si>
  <si>
    <t xml:space="preserve">DCF — Gordon growth (WACC ±2%, g 1.5-2.5%)</t>
  </si>
  <si>
    <t xml:space="preserve">DCF — exit multiple (5.5-8.5x, WACC ±2%)</t>
  </si>
  <si>
    <t xml:space="preserve">Comps — EV/Revenue (0.8-2.0x FY26E)</t>
  </si>
  <si>
    <t xml:space="preserve">Comps — EV/EBITDA (5-8x FY29E peak-45X)</t>
  </si>
  <si>
    <t xml:space="preserve">Precedent framework ($0.07-0.15/W capacity)</t>
  </si>
  <si>
    <t xml:space="preserve">Buyout capacity (25% → 15% IRR)</t>
  </si>
  <si>
    <t xml:space="preserve">Monte Carlo P25–P75 (live)</t>
  </si>
  <si>
    <t xml:space="preserve">Current price (marker)</t>
  </si>
  <si>
    <t xml:space="preserve">52-wk range estimated (post-rebrand ticker history is short). Analyst dispersion ($7 to $13+) is unusually wide — itself a signal that this is a binary, policy-dependent equity rather than a valuation debate.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</si>
</sst>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(#,##0\);\-"/>
    <numFmt numFmtId="166" formatCode="0.0%;\(0.0%\);\-"/>
    <numFmt numFmtId="167" formatCode="\$#,##0;&quot;($&quot;#,##0\);\-"/>
    <numFmt numFmtId="168" formatCode="0.0\x"/>
    <numFmt numFmtId="169" formatCode="\$#,##0.00"/>
    <numFmt numFmtId="170" formatCode="0.00"/>
    <numFmt numFmtId="171" formatCode="0.00%;\(0.00%\);\-"/>
    <numFmt numFmtId="172" formatCode="0.000"/>
    <numFmt numFmtId="173" formatCode="0.0"/>
    <numFmt numFmtId="174" formatCode="\$0.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2F2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Distribution of simulated value per share ($) — note the mass at zero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"Trials"</c:f>
              <c:strCache>
                <c:ptCount val="1"/>
                <c:pt idx="0">
                  <c:v>Trials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Monte_Carlo!$N$41:$N$58</c:f>
              <c:strCache>
                <c:ptCount val="18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8-10</c:v>
                </c:pt>
                <c:pt idx="9">
                  <c:v>10-12</c:v>
                </c:pt>
                <c:pt idx="10">
                  <c:v>12-14</c:v>
                </c:pt>
                <c:pt idx="11">
                  <c:v>14-16</c:v>
                </c:pt>
                <c:pt idx="12">
                  <c:v>16-18</c:v>
                </c:pt>
                <c:pt idx="13">
                  <c:v>18-20</c:v>
                </c:pt>
                <c:pt idx="14">
                  <c:v>20-25</c:v>
                </c:pt>
                <c:pt idx="15">
                  <c:v>25-30</c:v>
                </c:pt>
                <c:pt idx="16">
                  <c:v>30-40</c:v>
                </c:pt>
                <c:pt idx="17">
                  <c:v>40+</c:v>
                </c:pt>
              </c:strCache>
            </c:strRef>
          </c:cat>
          <c:val>
            <c:numRef>
              <c:f>Monte_Carlo!$Q$41:$Q$58</c:f>
              <c:numCache>
                <c:formatCode>#,##0;\(#,##0\);\-</c:formatCode>
                <c:ptCount val="18"/>
                <c:pt idx="0">
                  <c:v>43</c:v>
                </c:pt>
                <c:pt idx="1">
                  <c:v>45</c:v>
                </c:pt>
                <c:pt idx="2">
                  <c:v>47</c:v>
                </c:pt>
                <c:pt idx="3">
                  <c:v>56</c:v>
                </c:pt>
                <c:pt idx="4">
                  <c:v>53</c:v>
                </c:pt>
                <c:pt idx="5">
                  <c:v>40</c:v>
                </c:pt>
                <c:pt idx="6">
                  <c:v>27</c:v>
                </c:pt>
                <c:pt idx="7">
                  <c:v>31</c:v>
                </c:pt>
                <c:pt idx="8">
                  <c:v>53</c:v>
                </c:pt>
                <c:pt idx="9">
                  <c:v>32</c:v>
                </c:pt>
                <c:pt idx="10">
                  <c:v>23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8</c:v>
                </c:pt>
                <c:pt idx="15">
                  <c:v>4</c:v>
                </c:pt>
                <c:pt idx="16">
                  <c:v>2</c:v>
                </c:pt>
                <c:pt idx="17">
                  <c:v>3</c:v>
                </c:pt>
              </c:numCache>
            </c:numRef>
          </c:val>
        </c:ser>
        <c:gapWidth val="20"/>
        <c:overlap val="0"/>
        <c:axId val="925682"/>
        <c:axId val="74036958"/>
      </c:barChart>
      <c:catAx>
        <c:axId val="9256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per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036958"/>
        <c:crosses val="autoZero"/>
        <c:auto val="1"/>
        <c:lblAlgn val="ctr"/>
        <c:lblOffset val="100"/>
        <c:noMultiLvlLbl val="0"/>
      </c:catAx>
      <c:valAx>
        <c:axId val="740369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Trials (of 500)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56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 valuation ranges ($/share) — red = current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"base"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Football_Field!$A$5:$A$14</c:f>
              <c:strCache>
                <c:ptCount val="10"/>
                <c:pt idx="0">
                  <c:v>52-week trading range (e)</c:v>
                </c:pt>
                <c:pt idx="1">
                  <c:v>Analyst targets (avg ~$10.07; low $7 Alliance Global)</c:v>
                </c:pt>
                <c:pt idx="2">
                  <c:v>DCF — Gordon growth (WACC ±2%, g 1.5-2.5%)</c:v>
                </c:pt>
                <c:pt idx="3">
                  <c:v>DCF — exit multiple (5.5-8.5x, WACC ±2%)</c:v>
                </c:pt>
                <c:pt idx="4">
                  <c:v>Comps — EV/Revenue (0.8-2.0x FY26E)</c:v>
                </c:pt>
                <c:pt idx="5">
                  <c:v>Comps — EV/EBITDA (5-8x FY29E peak-45X)</c:v>
                </c:pt>
                <c:pt idx="6">
                  <c:v>Precedent framework ($0.07-0.15/W capacity)</c:v>
                </c:pt>
                <c:pt idx="7">
                  <c:v>Buyout capacity (25% → 15% IRR)</c:v>
                </c:pt>
                <c:pt idx="8">
                  <c:v>Monte Carlo P25–P75 (live)</c:v>
                </c:pt>
                <c:pt idx="9">
                  <c:v>Current price (marker)</c:v>
                </c:pt>
              </c:strCache>
            </c:strRef>
          </c:cat>
          <c:val>
            <c:numRef>
              <c:f>Football_Field!$D$5:$D$14</c:f>
              <c:numCache>
                <c:formatCode>\$#,##0.00</c:formatCode>
                <c:ptCount val="10"/>
                <c:pt idx="0">
                  <c:v>3</c:v>
                </c:pt>
                <c:pt idx="1">
                  <c:v>7</c:v>
                </c:pt>
                <c:pt idx="2">
                  <c:v>0.390679186849659</c:v>
                </c:pt>
                <c:pt idx="3">
                  <c:v>1.55800640267381</c:v>
                </c:pt>
                <c:pt idx="4">
                  <c:v>0.604826645871038</c:v>
                </c:pt>
                <c:pt idx="5">
                  <c:v>6.84185141971973</c:v>
                </c:pt>
                <c:pt idx="6">
                  <c:v>0</c:v>
                </c:pt>
                <c:pt idx="7">
                  <c:v>0</c:v>
                </c:pt>
                <c:pt idx="8">
                  <c:v>2.7557877506292</c:v>
                </c:pt>
                <c:pt idx="9">
                  <c:v>6.66</c:v>
                </c:pt>
              </c:numCache>
            </c:numRef>
          </c:val>
        </c:ser>
        <c:ser>
          <c:idx val="1"/>
          <c:order val="1"/>
          <c:tx>
            <c:strRef>
              <c:f>"range"</c:f>
              <c:strCache>
                <c:ptCount val="1"/>
                <c:pt idx="0">
                  <c:v>range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Pt>
            <c:idx val="9"/>
            <c:invertIfNegative val="0"/>
            <c:spPr>
              <a:solidFill>
                <a:srgbClr val="c00000"/>
              </a:solidFill>
              <a:ln w="0">
                <a:noFill/>
              </a:ln>
            </c:spPr>
          </c:dPt>
          <c:dLbls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Football_Field!$A$5:$A$14</c:f>
              <c:strCache>
                <c:ptCount val="10"/>
                <c:pt idx="0">
                  <c:v>52-week trading range (e)</c:v>
                </c:pt>
                <c:pt idx="1">
                  <c:v>Analyst targets (avg ~$10.07; low $7 Alliance Global)</c:v>
                </c:pt>
                <c:pt idx="2">
                  <c:v>DCF — Gordon growth (WACC ±2%, g 1.5-2.5%)</c:v>
                </c:pt>
                <c:pt idx="3">
                  <c:v>DCF — exit multiple (5.5-8.5x, WACC ±2%)</c:v>
                </c:pt>
                <c:pt idx="4">
                  <c:v>Comps — EV/Revenue (0.8-2.0x FY26E)</c:v>
                </c:pt>
                <c:pt idx="5">
                  <c:v>Comps — EV/EBITDA (5-8x FY29E peak-45X)</c:v>
                </c:pt>
                <c:pt idx="6">
                  <c:v>Precedent framework ($0.07-0.15/W capacity)</c:v>
                </c:pt>
                <c:pt idx="7">
                  <c:v>Buyout capacity (25% → 15% IRR)</c:v>
                </c:pt>
                <c:pt idx="8">
                  <c:v>Monte Carlo P25–P75 (live)</c:v>
                </c:pt>
                <c:pt idx="9">
                  <c:v>Current price (marker)</c:v>
                </c:pt>
              </c:strCache>
            </c:strRef>
          </c:cat>
          <c:val>
            <c:numRef>
              <c:f>Football_Field!$E$5:$E$14</c:f>
              <c:numCache>
                <c:formatCode>\$#,##0.00</c:formatCode>
                <c:ptCount val="10"/>
                <c:pt idx="0">
                  <c:v>9</c:v>
                </c:pt>
                <c:pt idx="1">
                  <c:v>6</c:v>
                </c:pt>
                <c:pt idx="2">
                  <c:v>1.06557181984087</c:v>
                </c:pt>
                <c:pt idx="3">
                  <c:v>2.39230389246141</c:v>
                </c:pt>
                <c:pt idx="4">
                  <c:v>4.51127819548872</c:v>
                </c:pt>
                <c:pt idx="5">
                  <c:v>5.5467261425047</c:v>
                </c:pt>
                <c:pt idx="6">
                  <c:v>1.89376327315353</c:v>
                </c:pt>
                <c:pt idx="7">
                  <c:v>0.121230708553033</c:v>
                </c:pt>
                <c:pt idx="8">
                  <c:v>6.54784423137684</c:v>
                </c:pt>
                <c:pt idx="9">
                  <c:v>0.300000000000001</c:v>
                </c:pt>
              </c:numCache>
            </c:numRef>
          </c:val>
        </c:ser>
        <c:gapWidth val="60"/>
        <c:overlap val="100"/>
        <c:axId val="5538089"/>
        <c:axId val="41381589"/>
      </c:barChart>
      <c:catAx>
        <c:axId val="55380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381589"/>
        <c:crosses val="autoZero"/>
        <c:auto val="1"/>
        <c:lblAlgn val="ctr"/>
        <c:lblOffset val="100"/>
        <c:noMultiLvlLbl val="0"/>
      </c:catAx>
      <c:valAx>
        <c:axId val="413815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per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380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2</xdr:row>
      <xdr:rowOff>160920</xdr:rowOff>
    </xdr:from>
    <xdr:to>
      <xdr:col>21</xdr:col>
      <xdr:colOff>240120</xdr:colOff>
      <xdr:row>21</xdr:row>
      <xdr:rowOff>141120</xdr:rowOff>
    </xdr:to>
    <xdr:graphicFrame>
      <xdr:nvGraphicFramePr>
        <xdr:cNvPr id="0" name="Chart 1"/>
        <xdr:cNvGraphicFramePr/>
      </xdr:nvGraphicFramePr>
      <xdr:xfrm>
        <a:off x="15338520" y="5716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160560</xdr:rowOff>
    </xdr:from>
    <xdr:to>
      <xdr:col>5</xdr:col>
      <xdr:colOff>638640</xdr:colOff>
      <xdr:row>41</xdr:row>
      <xdr:rowOff>77760</xdr:rowOff>
    </xdr:to>
    <xdr:graphicFrame>
      <xdr:nvGraphicFramePr>
        <xdr:cNvPr id="1" name="Chart 1"/>
        <xdr:cNvGraphicFramePr/>
      </xdr:nvGraphicFramePr>
      <xdr:xfrm>
        <a:off x="0" y="3238560"/>
        <a:ext cx="863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"/>
    <col collapsed="false" customWidth="true" hidden="false" outlineLevel="0" max="3" min="3" style="0" width="1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  <c r="C3" s="4"/>
    </row>
    <row r="4" customFormat="false" ht="15" hidden="false" customHeight="false" outlineLevel="0" collapsed="false">
      <c r="A4" s="5" t="s">
        <v>2</v>
      </c>
      <c r="C4" s="4"/>
    </row>
    <row r="5" customFormat="false" ht="79.5" hidden="false" customHeight="true" outlineLevel="0" collapsed="false">
      <c r="A5" s="3"/>
      <c r="C5" s="6" t="s">
        <v>3</v>
      </c>
    </row>
    <row r="6" customFormat="false" ht="15" hidden="false" customHeight="false" outlineLevel="0" collapsed="false">
      <c r="A6" s="3"/>
      <c r="C6" s="4"/>
    </row>
    <row r="7" customFormat="false" ht="15" hidden="false" customHeight="false" outlineLevel="0" collapsed="false">
      <c r="A7" s="7" t="s">
        <v>4</v>
      </c>
      <c r="C7" s="4"/>
    </row>
    <row r="8" customFormat="false" ht="15" hidden="false" customHeight="false" outlineLevel="0" collapsed="false">
      <c r="A8" s="3" t="s">
        <v>5</v>
      </c>
      <c r="C8" s="4" t="s">
        <v>6</v>
      </c>
    </row>
    <row r="9" customFormat="false" ht="15" hidden="false" customHeight="false" outlineLevel="0" collapsed="false">
      <c r="A9" s="3" t="s">
        <v>7</v>
      </c>
      <c r="C9" s="4" t="s">
        <v>8</v>
      </c>
    </row>
    <row r="10" customFormat="false" ht="15" hidden="false" customHeight="false" outlineLevel="0" collapsed="false">
      <c r="A10" s="3" t="s">
        <v>9</v>
      </c>
      <c r="C10" s="4" t="s">
        <v>10</v>
      </c>
    </row>
    <row r="11" customFormat="false" ht="15" hidden="false" customHeight="false" outlineLevel="0" collapsed="false">
      <c r="A11" s="3" t="s">
        <v>11</v>
      </c>
      <c r="C11" s="4" t="s">
        <v>12</v>
      </c>
    </row>
    <row r="12" customFormat="false" ht="15" hidden="false" customHeight="false" outlineLevel="0" collapsed="false">
      <c r="A12" s="3" t="s">
        <v>13</v>
      </c>
      <c r="C12" s="4" t="s">
        <v>14</v>
      </c>
    </row>
    <row r="13" customFormat="false" ht="15" hidden="false" customHeight="false" outlineLevel="0" collapsed="false">
      <c r="A13" s="3" t="s">
        <v>15</v>
      </c>
      <c r="C13" s="4" t="s">
        <v>16</v>
      </c>
    </row>
    <row r="14" customFormat="false" ht="15" hidden="false" customHeight="false" outlineLevel="0" collapsed="false">
      <c r="A14" s="3" t="s">
        <v>17</v>
      </c>
      <c r="C14" s="4" t="s">
        <v>18</v>
      </c>
    </row>
    <row r="15" customFormat="false" ht="15" hidden="false" customHeight="false" outlineLevel="0" collapsed="false">
      <c r="A15" s="3" t="s">
        <v>19</v>
      </c>
      <c r="C15" s="4" t="s">
        <v>20</v>
      </c>
    </row>
    <row r="16" customFormat="false" ht="15" hidden="false" customHeight="false" outlineLevel="0" collapsed="false">
      <c r="A16" s="3" t="s">
        <v>21</v>
      </c>
      <c r="C16" s="4" t="s">
        <v>22</v>
      </c>
    </row>
    <row r="17" customFormat="false" ht="15" hidden="false" customHeight="false" outlineLevel="0" collapsed="false">
      <c r="A17" s="3" t="s">
        <v>23</v>
      </c>
      <c r="C17" s="4" t="s">
        <v>24</v>
      </c>
    </row>
    <row r="18" customFormat="false" ht="15" hidden="false" customHeight="false" outlineLevel="0" collapsed="false">
      <c r="A18" s="3"/>
      <c r="C18" s="4"/>
    </row>
    <row r="19" customFormat="false" ht="15" hidden="false" customHeight="false" outlineLevel="0" collapsed="false">
      <c r="A19" s="7" t="s">
        <v>25</v>
      </c>
      <c r="C19" s="4"/>
    </row>
    <row r="20" customFormat="false" ht="15" hidden="false" customHeight="false" outlineLevel="0" collapsed="false">
      <c r="A20" s="8" t="s">
        <v>26</v>
      </c>
      <c r="C20" s="4" t="s">
        <v>27</v>
      </c>
    </row>
    <row r="21" customFormat="false" ht="15" hidden="false" customHeight="false" outlineLevel="0" collapsed="false">
      <c r="A21" s="3" t="s">
        <v>28</v>
      </c>
      <c r="C21" s="4" t="s">
        <v>29</v>
      </c>
    </row>
    <row r="22" customFormat="false" ht="15" hidden="false" customHeight="false" outlineLevel="0" collapsed="false">
      <c r="A22" s="3" t="s">
        <v>30</v>
      </c>
      <c r="C22" s="4" t="s">
        <v>31</v>
      </c>
    </row>
    <row r="23" customFormat="false" ht="15" hidden="false" customHeight="false" outlineLevel="0" collapsed="false">
      <c r="A23" s="3" t="s">
        <v>32</v>
      </c>
      <c r="C23" s="4" t="s">
        <v>33</v>
      </c>
    </row>
    <row r="24" customFormat="false" ht="15" hidden="false" customHeight="false" outlineLevel="0" collapsed="false">
      <c r="A24" s="3"/>
      <c r="C24" s="4"/>
    </row>
    <row r="25" customFormat="false" ht="15" hidden="false" customHeight="false" outlineLevel="0" collapsed="false">
      <c r="A25" s="7" t="s">
        <v>34</v>
      </c>
      <c r="C25" s="4"/>
    </row>
    <row r="26" customFormat="false" ht="15" hidden="false" customHeight="false" outlineLevel="0" collapsed="false">
      <c r="A26" s="3" t="s">
        <v>35</v>
      </c>
      <c r="C26" s="4" t="s">
        <v>36</v>
      </c>
    </row>
    <row r="27" customFormat="false" ht="79.5" hidden="false" customHeight="true" outlineLevel="0" collapsed="false">
      <c r="A27" s="3" t="s">
        <v>37</v>
      </c>
      <c r="C27" s="6" t="s">
        <v>38</v>
      </c>
    </row>
    <row r="28" customFormat="false" ht="79.5" hidden="false" customHeight="true" outlineLevel="0" collapsed="false">
      <c r="A28" s="3" t="s">
        <v>39</v>
      </c>
      <c r="C28" s="6" t="s">
        <v>40</v>
      </c>
    </row>
    <row r="29" customFormat="false" ht="79.5" hidden="false" customHeight="true" outlineLevel="0" collapsed="false">
      <c r="A29" s="3" t="s">
        <v>41</v>
      </c>
      <c r="C29" s="6" t="s">
        <v>42</v>
      </c>
    </row>
    <row r="30" customFormat="false" ht="79.5" hidden="false" customHeight="true" outlineLevel="0" collapsed="false">
      <c r="A30" s="3" t="s">
        <v>43</v>
      </c>
      <c r="C30" s="6" t="s">
        <v>44</v>
      </c>
    </row>
    <row r="31" customFormat="false" ht="15" hidden="false" customHeight="false" outlineLevel="0" collapsed="false">
      <c r="A31" s="3"/>
      <c r="C31" s="4"/>
    </row>
    <row r="32" customFormat="false" ht="15" hidden="false" customHeight="false" outlineLevel="0" collapsed="false">
      <c r="A32" s="7" t="s">
        <v>45</v>
      </c>
      <c r="C32" s="4"/>
    </row>
    <row r="33" customFormat="false" ht="15" hidden="false" customHeight="false" outlineLevel="0" collapsed="false">
      <c r="A33" s="3" t="s">
        <v>46</v>
      </c>
      <c r="C33" s="4" t="s">
        <v>47</v>
      </c>
    </row>
    <row r="34" customFormat="false" ht="15" hidden="false" customHeight="false" outlineLevel="0" collapsed="false">
      <c r="A34" s="3" t="s">
        <v>48</v>
      </c>
      <c r="C34" s="4" t="s">
        <v>49</v>
      </c>
    </row>
    <row r="35" customFormat="false" ht="15" hidden="false" customHeight="false" outlineLevel="0" collapsed="false">
      <c r="A35" s="3" t="s">
        <v>50</v>
      </c>
      <c r="C35" s="4" t="s">
        <v>51</v>
      </c>
    </row>
    <row r="36" customFormat="false" ht="15" hidden="false" customHeight="false" outlineLevel="0" collapsed="false">
      <c r="A36" s="3" t="s">
        <v>52</v>
      </c>
      <c r="C36" s="4" t="s">
        <v>53</v>
      </c>
    </row>
    <row r="37" customFormat="false" ht="15" hidden="false" customHeight="false" outlineLevel="0" collapsed="false">
      <c r="A37" s="3"/>
      <c r="C37" s="4"/>
    </row>
    <row r="38" customFormat="false" ht="15" hidden="false" customHeight="false" outlineLevel="0" collapsed="false">
      <c r="A38" s="7" t="s">
        <v>54</v>
      </c>
      <c r="C38" s="4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1" t="s">
        <v>56</v>
      </c>
    </row>
    <row r="2" customFormat="false" ht="15" hidden="false" customHeight="false" outlineLevel="0" collapsed="false">
      <c r="A2" s="2" t="s">
        <v>57</v>
      </c>
    </row>
    <row r="4" customFormat="false" ht="15" hidden="false" customHeight="false" outlineLevel="0" collapsed="false">
      <c r="A4" s="9" t="s">
        <v>58</v>
      </c>
      <c r="B4" s="10" t="n">
        <v>1</v>
      </c>
      <c r="C4" s="11" t="str">
        <f aca="false">CHOOSE($B$4,"BASE — G2 cells ramp, margins improve before 45X fades","BULL — full domestic stack + storage/AI datacenter scale","BEAR — thin margins persist, 45X fades, funding squeeze")</f>
        <v>BASE — G2 cells ramp, margins improve before 45X fades</v>
      </c>
    </row>
    <row r="6" customFormat="false" ht="15" hidden="false" customHeight="false" outlineLevel="0" collapsed="false">
      <c r="A6" s="7" t="s">
        <v>59</v>
      </c>
    </row>
    <row r="7" customFormat="false" ht="15" hidden="false" customHeight="false" outlineLevel="0" collapsed="false">
      <c r="A7" s="12"/>
      <c r="B7" s="12" t="s">
        <v>60</v>
      </c>
      <c r="C7" s="12" t="s">
        <v>61</v>
      </c>
      <c r="D7" s="12" t="s">
        <v>62</v>
      </c>
      <c r="E7" s="12" t="s">
        <v>63</v>
      </c>
    </row>
    <row r="8" customFormat="false" ht="15" hidden="false" customHeight="false" outlineLevel="0" collapsed="false">
      <c r="A8" s="3" t="s">
        <v>64</v>
      </c>
      <c r="B8" s="13" t="n">
        <v>0.4</v>
      </c>
      <c r="C8" s="13" t="n">
        <v>0.2</v>
      </c>
      <c r="D8" s="13" t="n">
        <v>0.4</v>
      </c>
      <c r="E8" s="14" t="n">
        <f aca="false">SUM(B8:D8)</f>
        <v>1</v>
      </c>
      <c r="F8" s="15" t="s">
        <v>65</v>
      </c>
    </row>
    <row r="10" customFormat="false" ht="15" hidden="false" customHeight="false" outlineLevel="0" collapsed="false">
      <c r="A10" s="7" t="s">
        <v>66</v>
      </c>
    </row>
    <row r="11" customFormat="false" ht="15" hidden="false" customHeight="false" outlineLevel="0" collapsed="false">
      <c r="A11" s="12"/>
      <c r="B11" s="12" t="s">
        <v>60</v>
      </c>
      <c r="C11" s="12" t="s">
        <v>61</v>
      </c>
      <c r="D11" s="12" t="s">
        <v>62</v>
      </c>
      <c r="E11" s="12" t="s">
        <v>67</v>
      </c>
    </row>
    <row r="12" customFormat="false" ht="15" hidden="false" customHeight="false" outlineLevel="0" collapsed="false">
      <c r="A12" s="3" t="s">
        <v>68</v>
      </c>
      <c r="B12" s="13" t="n">
        <v>0.35</v>
      </c>
      <c r="C12" s="13" t="n">
        <v>0.55</v>
      </c>
      <c r="D12" s="13" t="n">
        <v>0.1</v>
      </c>
      <c r="E12" s="14" t="n">
        <f aca="false">CHOOSE($B$4,B12,C12,D12)</f>
        <v>0.35</v>
      </c>
    </row>
    <row r="13" customFormat="false" ht="15" hidden="false" customHeight="false" outlineLevel="0" collapsed="false">
      <c r="A13" s="3" t="s">
        <v>69</v>
      </c>
      <c r="B13" s="13" t="n">
        <v>0.04</v>
      </c>
      <c r="C13" s="13" t="n">
        <v>0.07</v>
      </c>
      <c r="D13" s="13" t="n">
        <v>0</v>
      </c>
      <c r="E13" s="14" t="n">
        <f aca="false">CHOOSE($B$4,B13,C13,D13)</f>
        <v>0.04</v>
      </c>
    </row>
    <row r="14" customFormat="false" ht="15" hidden="false" customHeight="false" outlineLevel="0" collapsed="false">
      <c r="A14" s="15" t="s">
        <v>70</v>
      </c>
    </row>
    <row r="15" customFormat="false" ht="15" hidden="false" customHeight="false" outlineLevel="0" collapsed="false">
      <c r="A15" s="7" t="s">
        <v>71</v>
      </c>
    </row>
    <row r="16" customFormat="false" ht="15" hidden="false" customHeight="false" outlineLevel="0" collapsed="false">
      <c r="A16" s="12" t="s">
        <v>72</v>
      </c>
      <c r="B16" s="12" t="s">
        <v>73</v>
      </c>
      <c r="C16" s="12" t="s">
        <v>74</v>
      </c>
      <c r="D16" s="12" t="s">
        <v>75</v>
      </c>
      <c r="E16" s="12" t="s">
        <v>76</v>
      </c>
      <c r="F16" s="12" t="s">
        <v>67</v>
      </c>
    </row>
    <row r="17" customFormat="false" ht="15" hidden="false" customHeight="false" outlineLevel="0" collapsed="false">
      <c r="A17" s="3" t="s">
        <v>77</v>
      </c>
      <c r="B17" s="13" t="n">
        <v>0.03</v>
      </c>
      <c r="C17" s="13" t="n">
        <v>0.14</v>
      </c>
      <c r="D17" s="13" t="n">
        <v>0.2</v>
      </c>
      <c r="E17" s="13" t="n">
        <v>0.03</v>
      </c>
      <c r="F17" s="14" t="n">
        <f aca="false">CHOOSE($B$4,C17,D17,E17)</f>
        <v>0.14</v>
      </c>
    </row>
    <row r="18" customFormat="false" ht="15" hidden="false" customHeight="false" outlineLevel="0" collapsed="false">
      <c r="A18" s="3" t="s">
        <v>78</v>
      </c>
      <c r="B18" s="13" t="n">
        <v>0.23</v>
      </c>
      <c r="C18" s="13" t="n">
        <v>0.28</v>
      </c>
      <c r="D18" s="13" t="n">
        <v>0.3</v>
      </c>
      <c r="E18" s="13" t="n">
        <v>0.2</v>
      </c>
      <c r="F18" s="14" t="n">
        <f aca="false">CHOOSE($B$4,C18,D18,E18)</f>
        <v>0.28</v>
      </c>
    </row>
    <row r="19" customFormat="false" ht="15" hidden="false" customHeight="false" outlineLevel="0" collapsed="false">
      <c r="A19" s="3" t="s">
        <v>79</v>
      </c>
      <c r="B19" s="13" t="n">
        <v>0.11</v>
      </c>
      <c r="C19" s="13" t="n">
        <v>0.065</v>
      </c>
      <c r="D19" s="13" t="n">
        <v>0.055</v>
      </c>
      <c r="E19" s="13" t="n">
        <v>0.09</v>
      </c>
      <c r="F19" s="14" t="n">
        <f aca="false">CHOOSE($B$4,C19,D19,E19)</f>
        <v>0.065</v>
      </c>
    </row>
    <row r="20" customFormat="false" ht="15" hidden="false" customHeight="false" outlineLevel="0" collapsed="false">
      <c r="A20" s="3" t="s">
        <v>80</v>
      </c>
      <c r="B20" s="13" t="n">
        <v>0.02</v>
      </c>
      <c r="C20" s="13" t="n">
        <v>0.012</v>
      </c>
      <c r="D20" s="13" t="n">
        <v>0.012</v>
      </c>
      <c r="E20" s="13" t="n">
        <v>0.018</v>
      </c>
      <c r="F20" s="14" t="n">
        <f aca="false">CHOOSE($B$4,C20,D20,E20)</f>
        <v>0.012</v>
      </c>
    </row>
    <row r="21" customFormat="false" ht="15" hidden="false" customHeight="false" outlineLevel="0" collapsed="false">
      <c r="A21" s="3" t="s">
        <v>81</v>
      </c>
      <c r="B21" s="13" t="n">
        <v>0.055</v>
      </c>
      <c r="C21" s="13" t="n">
        <v>0.05</v>
      </c>
      <c r="D21" s="13" t="n">
        <v>0.045</v>
      </c>
      <c r="E21" s="13" t="n">
        <v>0.06</v>
      </c>
      <c r="F21" s="14" t="n">
        <f aca="false">CHOOSE($B$4,C21,D21,E21)</f>
        <v>0.05</v>
      </c>
    </row>
    <row r="22" customFormat="false" ht="15" hidden="false" customHeight="false" outlineLevel="0" collapsed="false">
      <c r="A22" s="3" t="s">
        <v>82</v>
      </c>
      <c r="B22" s="13" t="n">
        <v>0</v>
      </c>
      <c r="C22" s="13" t="n">
        <v>0.18</v>
      </c>
      <c r="D22" s="13" t="n">
        <v>0.18</v>
      </c>
      <c r="E22" s="13" t="n">
        <v>0</v>
      </c>
      <c r="F22" s="14" t="n">
        <f aca="false">CHOOSE($B$4,C22,D22,E22)</f>
        <v>0.18</v>
      </c>
    </row>
    <row r="23" customFormat="false" ht="15" hidden="false" customHeight="false" outlineLevel="0" collapsed="false">
      <c r="A23" s="3" t="s">
        <v>83</v>
      </c>
      <c r="B23" s="13" t="n">
        <v>0.08</v>
      </c>
      <c r="C23" s="13" t="n">
        <v>0.08</v>
      </c>
      <c r="D23" s="13" t="n">
        <v>0.08</v>
      </c>
      <c r="E23" s="13" t="n">
        <v>0.08</v>
      </c>
      <c r="F23" s="14" t="n">
        <f aca="false">CHOOSE($B$4,C23,D23,E23)</f>
        <v>0.08</v>
      </c>
    </row>
    <row r="24" customFormat="false" ht="15" hidden="false" customHeight="false" outlineLevel="0" collapsed="false">
      <c r="A24" s="3" t="s">
        <v>84</v>
      </c>
      <c r="B24" s="13" t="n">
        <v>0.05</v>
      </c>
      <c r="C24" s="13" t="n">
        <v>0.05</v>
      </c>
      <c r="D24" s="13" t="n">
        <v>0.06</v>
      </c>
      <c r="E24" s="13" t="n">
        <v>0.04</v>
      </c>
      <c r="F24" s="14" t="n">
        <f aca="false">CHOOSE($B$4,C24,D24,E24)</f>
        <v>0.05</v>
      </c>
    </row>
    <row r="25" customFormat="false" ht="15" hidden="false" customHeight="false" outlineLevel="0" collapsed="false">
      <c r="A25" s="15" t="s">
        <v>85</v>
      </c>
    </row>
    <row r="26" customFormat="false" ht="15" hidden="false" customHeight="false" outlineLevel="0" collapsed="false">
      <c r="A26" s="7" t="s">
        <v>86</v>
      </c>
    </row>
    <row r="27" customFormat="false" ht="15" hidden="false" customHeight="false" outlineLevel="0" collapsed="false">
      <c r="A27" s="3" t="s">
        <v>87</v>
      </c>
      <c r="B27" s="16" t="n">
        <v>45</v>
      </c>
    </row>
    <row r="28" customFormat="false" ht="15" hidden="false" customHeight="false" outlineLevel="0" collapsed="false">
      <c r="A28" s="3" t="s">
        <v>88</v>
      </c>
      <c r="B28" s="16" t="n">
        <v>75</v>
      </c>
    </row>
    <row r="29" customFormat="false" ht="15" hidden="false" customHeight="false" outlineLevel="0" collapsed="false">
      <c r="A29" s="3" t="s">
        <v>89</v>
      </c>
      <c r="B29" s="16" t="n">
        <v>60</v>
      </c>
    </row>
    <row r="33" customFormat="false" ht="15" hidden="false" customHeight="false" outlineLevel="0" collapsed="false">
      <c r="A33" s="7" t="s">
        <v>90</v>
      </c>
    </row>
    <row r="34" customFormat="false" ht="15" hidden="false" customHeight="false" outlineLevel="0" collapsed="false">
      <c r="A34" s="3" t="s">
        <v>91</v>
      </c>
      <c r="B34" s="13" t="n">
        <v>0.035</v>
      </c>
    </row>
    <row r="35" customFormat="false" ht="15" hidden="false" customHeight="false" outlineLevel="0" collapsed="false">
      <c r="A35" s="3" t="s">
        <v>92</v>
      </c>
      <c r="B35" s="13" t="n">
        <v>0.1</v>
      </c>
    </row>
    <row r="36" customFormat="false" ht="15" hidden="false" customHeight="false" outlineLevel="0" collapsed="false">
      <c r="A36" s="3" t="s">
        <v>93</v>
      </c>
      <c r="B36" s="17" t="n">
        <v>100</v>
      </c>
    </row>
    <row r="37" customFormat="false" ht="15" hidden="false" customHeight="false" outlineLevel="0" collapsed="false">
      <c r="A37" s="3" t="s">
        <v>94</v>
      </c>
      <c r="B37" s="16" t="n">
        <v>279.3</v>
      </c>
    </row>
    <row r="38" customFormat="false" ht="15" hidden="false" customHeight="false" outlineLevel="0" collapsed="false">
      <c r="A38" s="3" t="s">
        <v>95</v>
      </c>
      <c r="B38" s="13" t="n">
        <v>0.21</v>
      </c>
    </row>
    <row r="39" customFormat="false" ht="15" hidden="false" customHeight="false" outlineLevel="0" collapsed="false">
      <c r="A39" s="3" t="s">
        <v>96</v>
      </c>
      <c r="B39" s="13" t="n">
        <v>0.085</v>
      </c>
    </row>
    <row r="40" customFormat="false" ht="15" hidden="false" customHeight="false" outlineLevel="0" collapsed="false">
      <c r="A40" s="3" t="s">
        <v>97</v>
      </c>
      <c r="B40" s="17" t="n">
        <v>300</v>
      </c>
      <c r="C40" s="15" t="s">
        <v>98</v>
      </c>
    </row>
    <row r="41" customFormat="false" ht="15" hidden="false" customHeight="false" outlineLevel="0" collapsed="false">
      <c r="A41" s="3" t="s">
        <v>99</v>
      </c>
      <c r="B41" s="17" t="n">
        <v>210</v>
      </c>
    </row>
    <row r="42" customFormat="false" ht="15" hidden="false" customHeight="false" outlineLevel="0" collapsed="false">
      <c r="A42" s="3" t="s">
        <v>100</v>
      </c>
      <c r="B42" s="13" t="n">
        <v>0.03</v>
      </c>
    </row>
    <row r="43" customFormat="false" ht="15" hidden="false" customHeight="false" outlineLevel="0" collapsed="false">
      <c r="A43" s="3" t="s">
        <v>101</v>
      </c>
      <c r="B43" s="17" t="n">
        <v>135</v>
      </c>
    </row>
    <row r="44" customFormat="false" ht="15" hidden="false" customHeight="false" outlineLevel="0" collapsed="false">
      <c r="A44" s="3" t="s">
        <v>102</v>
      </c>
      <c r="B44" s="17" t="n">
        <v>0</v>
      </c>
    </row>
    <row r="46" customFormat="false" ht="15" hidden="false" customHeight="false" outlineLevel="0" collapsed="false">
      <c r="A46" s="7" t="s">
        <v>103</v>
      </c>
    </row>
    <row r="47" customFormat="false" ht="15" hidden="false" customHeight="false" outlineLevel="0" collapsed="false">
      <c r="A47" s="3" t="s">
        <v>104</v>
      </c>
      <c r="B47" s="13" t="n">
        <v>0.02</v>
      </c>
    </row>
    <row r="48" customFormat="false" ht="15" hidden="false" customHeight="false" outlineLevel="0" collapsed="false">
      <c r="A48" s="3" t="s">
        <v>105</v>
      </c>
      <c r="B48" s="18" t="n">
        <v>7</v>
      </c>
    </row>
    <row r="49" customFormat="false" ht="15" hidden="false" customHeight="false" outlineLevel="0" collapsed="false">
      <c r="A49" s="3" t="s">
        <v>106</v>
      </c>
      <c r="B49" s="19" t="n">
        <v>6.81</v>
      </c>
    </row>
    <row r="51" customFormat="false" ht="15" hidden="false" customHeight="false" outlineLevel="0" collapsed="false">
      <c r="A51" s="15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8" min="2" style="0" width="12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1" t="s">
        <v>108</v>
      </c>
    </row>
    <row r="4" customFormat="false" ht="15" hidden="false" customHeight="false" outlineLevel="0" collapsed="false">
      <c r="A4" s="12"/>
      <c r="B4" s="12" t="s">
        <v>109</v>
      </c>
      <c r="C4" s="12" t="s">
        <v>110</v>
      </c>
      <c r="D4" s="12"/>
      <c r="E4" s="12" t="s">
        <v>111</v>
      </c>
      <c r="F4" s="12" t="s">
        <v>112</v>
      </c>
      <c r="G4" s="12"/>
      <c r="H4" s="12" t="s">
        <v>113</v>
      </c>
    </row>
    <row r="5" customFormat="false" ht="15" hidden="false" customHeight="false" outlineLevel="0" collapsed="false">
      <c r="A5" s="9" t="s">
        <v>114</v>
      </c>
      <c r="B5" s="20" t="n">
        <v>0</v>
      </c>
      <c r="C5" s="20" t="n">
        <v>340</v>
      </c>
      <c r="E5" s="20" t="n">
        <v>190</v>
      </c>
      <c r="F5" s="20" t="n">
        <v>250</v>
      </c>
      <c r="H5" s="17" t="n">
        <v>1050</v>
      </c>
      <c r="I5" s="15" t="s">
        <v>115</v>
      </c>
    </row>
    <row r="6" customFormat="false" ht="15" hidden="false" customHeight="false" outlineLevel="0" collapsed="false">
      <c r="A6" s="3" t="s">
        <v>116</v>
      </c>
      <c r="F6" s="21" t="n">
        <v>835</v>
      </c>
      <c r="H6" s="16" t="n">
        <v>3500</v>
      </c>
    </row>
    <row r="7" customFormat="false" ht="15" hidden="false" customHeight="false" outlineLevel="0" collapsed="false">
      <c r="A7" s="3" t="s">
        <v>117</v>
      </c>
      <c r="C7" s="20" t="n">
        <v>-180</v>
      </c>
      <c r="F7" s="20" t="n">
        <v>-35</v>
      </c>
    </row>
    <row r="8" customFormat="false" ht="15" hidden="false" customHeight="false" outlineLevel="0" collapsed="false">
      <c r="A8" s="3" t="s">
        <v>118</v>
      </c>
      <c r="F8" s="20" t="n">
        <v>-15</v>
      </c>
      <c r="G8" s="15" t="s">
        <v>119</v>
      </c>
    </row>
    <row r="9" customFormat="false" ht="15" hidden="false" customHeight="false" outlineLevel="0" collapsed="false">
      <c r="A9" s="3" t="s">
        <v>120</v>
      </c>
      <c r="F9" s="20" t="n">
        <v>156.4</v>
      </c>
    </row>
    <row r="11" customFormat="false" ht="15" hidden="false" customHeight="false" outlineLevel="0" collapsed="false">
      <c r="A11" s="9" t="s">
        <v>121</v>
      </c>
      <c r="B11" s="4" t="s">
        <v>122</v>
      </c>
    </row>
    <row r="12" customFormat="false" ht="15" hidden="false" customHeight="false" outlineLevel="0" collapsed="false">
      <c r="A12" s="9" t="s">
        <v>123</v>
      </c>
      <c r="B12" s="4" t="s">
        <v>124</v>
      </c>
    </row>
    <row r="13" customFormat="false" ht="15" hidden="false" customHeight="false" outlineLevel="0" collapsed="false">
      <c r="A13" s="9" t="s">
        <v>125</v>
      </c>
      <c r="B13" s="4" t="s">
        <v>126</v>
      </c>
    </row>
    <row r="14" customFormat="false" ht="15" hidden="false" customHeight="false" outlineLevel="0" collapsed="false">
      <c r="A14" s="9" t="s">
        <v>127</v>
      </c>
      <c r="B14" s="4" t="s">
        <v>128</v>
      </c>
    </row>
    <row r="15" customFormat="false" ht="15" hidden="false" customHeight="false" outlineLevel="0" collapsed="false">
      <c r="A15" s="9" t="s">
        <v>129</v>
      </c>
      <c r="B15" s="4" t="s">
        <v>130</v>
      </c>
    </row>
    <row r="16" customFormat="false" ht="15" hidden="false" customHeight="false" outlineLevel="0" collapsed="false">
      <c r="A16" s="9" t="s">
        <v>131</v>
      </c>
      <c r="B16" s="4" t="s">
        <v>132</v>
      </c>
    </row>
    <row r="19" customFormat="false" ht="15" hidden="false" customHeight="false" outlineLevel="0" collapsed="false">
      <c r="A19" s="9" t="s">
        <v>133</v>
      </c>
    </row>
    <row r="20" customFormat="false" ht="15" hidden="false" customHeight="false" outlineLevel="0" collapsed="false">
      <c r="A20" s="3" t="s">
        <v>134</v>
      </c>
      <c r="B20" s="20" t="n">
        <v>200</v>
      </c>
    </row>
    <row r="21" customFormat="false" ht="15" hidden="false" customHeight="false" outlineLevel="0" collapsed="false">
      <c r="A21" s="3" t="s">
        <v>135</v>
      </c>
      <c r="B21" s="20" t="n">
        <v>120</v>
      </c>
    </row>
    <row r="22" customFormat="false" ht="15" hidden="false" customHeight="false" outlineLevel="0" collapsed="false">
      <c r="A22" s="3" t="s">
        <v>136</v>
      </c>
      <c r="B22" s="20" t="n">
        <v>180</v>
      </c>
    </row>
    <row r="23" customFormat="false" ht="15" hidden="false" customHeight="false" outlineLevel="0" collapsed="false">
      <c r="A23" s="3" t="s">
        <v>137</v>
      </c>
      <c r="B23" s="20" t="n">
        <v>90</v>
      </c>
    </row>
    <row r="24" customFormat="false" ht="15" hidden="false" customHeight="false" outlineLevel="0" collapsed="false">
      <c r="A24" s="3" t="s">
        <v>138</v>
      </c>
      <c r="B24" s="20" t="n">
        <v>900</v>
      </c>
    </row>
    <row r="25" customFormat="false" ht="15" hidden="false" customHeight="false" outlineLevel="0" collapsed="false">
      <c r="A25" s="3" t="s">
        <v>139</v>
      </c>
      <c r="B25" s="20" t="n">
        <v>300</v>
      </c>
    </row>
    <row r="26" customFormat="false" ht="15" hidden="false" customHeight="false" outlineLevel="0" collapsed="false">
      <c r="A26" s="3" t="s">
        <v>140</v>
      </c>
      <c r="B26" s="20" t="n">
        <v>160</v>
      </c>
    </row>
    <row r="27" customFormat="false" ht="15" hidden="false" customHeight="false" outlineLevel="0" collapsed="false">
      <c r="A27" s="3" t="s">
        <v>141</v>
      </c>
      <c r="B27" s="20" t="n">
        <v>50</v>
      </c>
    </row>
    <row r="28" customFormat="false" ht="15" hidden="false" customHeight="false" outlineLevel="0" collapsed="false">
      <c r="A28" s="3" t="s">
        <v>142</v>
      </c>
      <c r="B28" s="20" t="n">
        <v>550</v>
      </c>
    </row>
    <row r="29" customFormat="false" ht="15" hidden="false" customHeight="false" outlineLevel="0" collapsed="false">
      <c r="A29" s="3" t="s">
        <v>143</v>
      </c>
      <c r="B29" s="20" t="n">
        <v>120</v>
      </c>
    </row>
    <row r="31" customFormat="false" ht="15" hidden="false" customHeight="false" outlineLevel="0" collapsed="false">
      <c r="A31" s="15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12" min="2" style="0" width="11"/>
    <col collapsed="false" customWidth="true" hidden="false" outlineLevel="0" max="13" min="13" style="0" width="52"/>
  </cols>
  <sheetData>
    <row r="1" customFormat="false" ht="17.35" hidden="false" customHeight="false" outlineLevel="0" collapsed="false">
      <c r="A1" s="1" t="s">
        <v>145</v>
      </c>
    </row>
    <row r="2" customFormat="false" ht="15" hidden="false" customHeight="false" outlineLevel="0" collapsed="false">
      <c r="A2" s="11" t="str">
        <f aca="false">CONCATENATE("Active scenario: ",CHOOSE(Assumptions!$B$4,"BASE","BULL","BEAR"))</f>
        <v>Active scenario: BASE</v>
      </c>
    </row>
    <row r="4" customFormat="false" ht="15" hidden="false" customHeight="false" outlineLevel="0" collapsed="false">
      <c r="A4" s="12"/>
      <c r="B4" s="12" t="s">
        <v>146</v>
      </c>
      <c r="C4" s="12" t="s">
        <v>113</v>
      </c>
      <c r="D4" s="12" t="s">
        <v>147</v>
      </c>
      <c r="E4" s="12" t="s">
        <v>148</v>
      </c>
      <c r="F4" s="12" t="s">
        <v>149</v>
      </c>
      <c r="G4" s="12" t="s">
        <v>150</v>
      </c>
      <c r="H4" s="12" t="s">
        <v>151</v>
      </c>
      <c r="I4" s="12" t="s">
        <v>152</v>
      </c>
      <c r="J4" s="12" t="s">
        <v>153</v>
      </c>
      <c r="K4" s="12" t="s">
        <v>154</v>
      </c>
      <c r="L4" s="12" t="s">
        <v>155</v>
      </c>
    </row>
    <row r="6" customFormat="false" ht="15" hidden="false" customHeight="false" outlineLevel="0" collapsed="false">
      <c r="A6" s="7" t="s">
        <v>156</v>
      </c>
    </row>
    <row r="7" customFormat="false" ht="15" hidden="false" customHeight="false" outlineLevel="0" collapsed="false">
      <c r="A7" s="3" t="s">
        <v>157</v>
      </c>
      <c r="C7" s="22" t="n">
        <f aca="false">C19/B19-1</f>
        <v>2.08823529411765</v>
      </c>
      <c r="D7" s="23" t="n">
        <f aca="false">Assumptions!$E$12+(Assumptions!$E$13-Assumptions!$E$12)*0/8</f>
        <v>0.35</v>
      </c>
      <c r="E7" s="23" t="n">
        <f aca="false">Assumptions!$E$12+(Assumptions!$E$13-Assumptions!$E$12)*1/8</f>
        <v>0.31125</v>
      </c>
      <c r="F7" s="23" t="n">
        <f aca="false">Assumptions!$E$12+(Assumptions!$E$13-Assumptions!$E$12)*2/8</f>
        <v>0.2725</v>
      </c>
      <c r="G7" s="23" t="n">
        <f aca="false">Assumptions!$E$12+(Assumptions!$E$13-Assumptions!$E$12)*3/8</f>
        <v>0.23375</v>
      </c>
      <c r="H7" s="23" t="n">
        <f aca="false">Assumptions!$E$12+(Assumptions!$E$13-Assumptions!$E$12)*4/8</f>
        <v>0.195</v>
      </c>
      <c r="I7" s="23" t="n">
        <f aca="false">Assumptions!$E$12+(Assumptions!$E$13-Assumptions!$E$12)*5/8</f>
        <v>0.15625</v>
      </c>
      <c r="J7" s="23" t="n">
        <f aca="false">Assumptions!$E$12+(Assumptions!$E$13-Assumptions!$E$12)*6/8</f>
        <v>0.1175</v>
      </c>
      <c r="K7" s="23" t="n">
        <f aca="false">Assumptions!$E$12+(Assumptions!$E$13-Assumptions!$E$12)*7/8</f>
        <v>0.07875</v>
      </c>
      <c r="L7" s="23" t="n">
        <f aca="false">Assumptions!$E$12+(Assumptions!$E$13-Assumptions!$E$12)*8/8</f>
        <v>0.04</v>
      </c>
    </row>
    <row r="8" customFormat="false" ht="15" hidden="false" customHeight="false" outlineLevel="0" collapsed="false">
      <c r="A8" s="3" t="s">
        <v>158</v>
      </c>
      <c r="C8" s="23" t="n">
        <f aca="false">Assumptions!$B$17</f>
        <v>0.03</v>
      </c>
      <c r="D8" s="23" t="n">
        <f aca="false">Assumptions!$B$17+(Assumptions!$F$17-Assumptions!$B$17)*1/9</f>
        <v>0.0422222222222222</v>
      </c>
      <c r="E8" s="23" t="n">
        <f aca="false">Assumptions!$B$17+(Assumptions!$F$17-Assumptions!$B$17)*2/9</f>
        <v>0.0544444444444445</v>
      </c>
      <c r="F8" s="23" t="n">
        <f aca="false">Assumptions!$B$17+(Assumptions!$F$17-Assumptions!$B$17)*3/9</f>
        <v>0.0666666666666667</v>
      </c>
      <c r="G8" s="23" t="n">
        <f aca="false">Assumptions!$B$17+(Assumptions!$F$17-Assumptions!$B$17)*4/9</f>
        <v>0.0788888888888889</v>
      </c>
      <c r="H8" s="23" t="n">
        <f aca="false">Assumptions!$B$17+(Assumptions!$F$17-Assumptions!$B$17)*5/9</f>
        <v>0.0911111111111111</v>
      </c>
      <c r="I8" s="23" t="n">
        <f aca="false">Assumptions!$B$17+(Assumptions!$F$17-Assumptions!$B$17)*6/9</f>
        <v>0.103333333333333</v>
      </c>
      <c r="J8" s="23" t="n">
        <f aca="false">Assumptions!$B$17+(Assumptions!$F$17-Assumptions!$B$17)*7/9</f>
        <v>0.115555555555556</v>
      </c>
      <c r="K8" s="23" t="n">
        <f aca="false">Assumptions!$B$17+(Assumptions!$F$17-Assumptions!$B$17)*8/9</f>
        <v>0.127777777777778</v>
      </c>
      <c r="L8" s="23" t="n">
        <f aca="false">Assumptions!$B$17+(Assumptions!$F$17-Assumptions!$B$17)*9/9</f>
        <v>0.14</v>
      </c>
    </row>
    <row r="9" customFormat="false" ht="15" hidden="false" customHeight="false" outlineLevel="0" collapsed="false">
      <c r="A9" s="3" t="s">
        <v>159</v>
      </c>
      <c r="C9" s="23" t="n">
        <f aca="false">Assumptions!$B$18</f>
        <v>0.23</v>
      </c>
      <c r="D9" s="23" t="n">
        <f aca="false">Assumptions!$B$18+(Assumptions!$F$18-Assumptions!$B$18)*1/9</f>
        <v>0.235555555555556</v>
      </c>
      <c r="E9" s="23" t="n">
        <f aca="false">Assumptions!$B$18+(Assumptions!$F$18-Assumptions!$B$18)*2/9</f>
        <v>0.241111111111111</v>
      </c>
      <c r="F9" s="23" t="n">
        <f aca="false">Assumptions!$B$18+(Assumptions!$F$18-Assumptions!$B$18)*3/9</f>
        <v>0.246666666666667</v>
      </c>
      <c r="G9" s="23" t="n">
        <f aca="false">Assumptions!$B$18+(Assumptions!$F$18-Assumptions!$B$18)*4/9</f>
        <v>0.252222222222222</v>
      </c>
      <c r="H9" s="23" t="n">
        <f aca="false">Assumptions!$B$18+(Assumptions!$F$18-Assumptions!$B$18)*5/9</f>
        <v>0.257777777777778</v>
      </c>
      <c r="I9" s="23" t="n">
        <f aca="false">Assumptions!$B$18+(Assumptions!$F$18-Assumptions!$B$18)*6/9</f>
        <v>0.263333333333333</v>
      </c>
      <c r="J9" s="23" t="n">
        <f aca="false">Assumptions!$B$18+(Assumptions!$F$18-Assumptions!$B$18)*7/9</f>
        <v>0.268888888888889</v>
      </c>
      <c r="K9" s="23" t="n">
        <f aca="false">Assumptions!$B$18+(Assumptions!$F$18-Assumptions!$B$18)*8/9</f>
        <v>0.274444444444445</v>
      </c>
      <c r="L9" s="23" t="n">
        <f aca="false">Assumptions!$B$18+(Assumptions!$F$18-Assumptions!$B$18)*9/9</f>
        <v>0.28</v>
      </c>
    </row>
    <row r="10" customFormat="false" ht="15" hidden="false" customHeight="false" outlineLevel="0" collapsed="false">
      <c r="A10" s="3" t="s">
        <v>160</v>
      </c>
      <c r="C10" s="23" t="n">
        <f aca="false">Assumptions!$B$19</f>
        <v>0.11</v>
      </c>
      <c r="D10" s="23" t="n">
        <f aca="false">Assumptions!$B$19+(Assumptions!$F$19-Assumptions!$B$19)*1/9</f>
        <v>0.105</v>
      </c>
      <c r="E10" s="23" t="n">
        <f aca="false">Assumptions!$B$19+(Assumptions!$F$19-Assumptions!$B$19)*2/9</f>
        <v>0.1</v>
      </c>
      <c r="F10" s="23" t="n">
        <f aca="false">Assumptions!$B$19+(Assumptions!$F$19-Assumptions!$B$19)*3/9</f>
        <v>0.095</v>
      </c>
      <c r="G10" s="23" t="n">
        <f aca="false">Assumptions!$B$19+(Assumptions!$F$19-Assumptions!$B$19)*4/9</f>
        <v>0.09</v>
      </c>
      <c r="H10" s="23" t="n">
        <f aca="false">Assumptions!$B$19+(Assumptions!$F$19-Assumptions!$B$19)*5/9</f>
        <v>0.085</v>
      </c>
      <c r="I10" s="23" t="n">
        <f aca="false">Assumptions!$B$19+(Assumptions!$F$19-Assumptions!$B$19)*6/9</f>
        <v>0.08</v>
      </c>
      <c r="J10" s="23" t="n">
        <f aca="false">Assumptions!$B$19+(Assumptions!$F$19-Assumptions!$B$19)*7/9</f>
        <v>0.075</v>
      </c>
      <c r="K10" s="23" t="n">
        <f aca="false">Assumptions!$B$19+(Assumptions!$F$19-Assumptions!$B$19)*8/9</f>
        <v>0.07</v>
      </c>
      <c r="L10" s="23" t="n">
        <f aca="false">Assumptions!$B$19+(Assumptions!$F$19-Assumptions!$B$19)*9/9</f>
        <v>0.065</v>
      </c>
    </row>
    <row r="11" customFormat="false" ht="15" hidden="false" customHeight="false" outlineLevel="0" collapsed="false">
      <c r="A11" s="3" t="s">
        <v>161</v>
      </c>
      <c r="C11" s="23" t="n">
        <f aca="false">Assumptions!$B$20</f>
        <v>0.02</v>
      </c>
      <c r="D11" s="23" t="n">
        <f aca="false">Assumptions!$B$20+(Assumptions!$F$20-Assumptions!$B$20)*1/9</f>
        <v>0.0191111111111111</v>
      </c>
      <c r="E11" s="23" t="n">
        <f aca="false">Assumptions!$B$20+(Assumptions!$F$20-Assumptions!$B$20)*2/9</f>
        <v>0.0182222222222222</v>
      </c>
      <c r="F11" s="23" t="n">
        <f aca="false">Assumptions!$B$20+(Assumptions!$F$20-Assumptions!$B$20)*3/9</f>
        <v>0.0173333333333333</v>
      </c>
      <c r="G11" s="23" t="n">
        <f aca="false">Assumptions!$B$20+(Assumptions!$F$20-Assumptions!$B$20)*4/9</f>
        <v>0.0164444444444444</v>
      </c>
      <c r="H11" s="23" t="n">
        <f aca="false">Assumptions!$B$20+(Assumptions!$F$20-Assumptions!$B$20)*5/9</f>
        <v>0.0155555555555556</v>
      </c>
      <c r="I11" s="23" t="n">
        <f aca="false">Assumptions!$B$20+(Assumptions!$F$20-Assumptions!$B$20)*6/9</f>
        <v>0.0146666666666667</v>
      </c>
      <c r="J11" s="23" t="n">
        <f aca="false">Assumptions!$B$20+(Assumptions!$F$20-Assumptions!$B$20)*7/9</f>
        <v>0.0137777777777778</v>
      </c>
      <c r="K11" s="23" t="n">
        <f aca="false">Assumptions!$B$20+(Assumptions!$F$20-Assumptions!$B$20)*8/9</f>
        <v>0.0128888888888889</v>
      </c>
      <c r="L11" s="23" t="n">
        <f aca="false">Assumptions!$B$20+(Assumptions!$F$20-Assumptions!$B$20)*9/9</f>
        <v>0.012</v>
      </c>
    </row>
    <row r="12" customFormat="false" ht="15" hidden="false" customHeight="false" outlineLevel="0" collapsed="false">
      <c r="A12" s="3" t="s">
        <v>162</v>
      </c>
      <c r="C12" s="23" t="n">
        <f aca="false">Assumptions!$B$21</f>
        <v>0.055</v>
      </c>
      <c r="D12" s="23" t="n">
        <f aca="false">Assumptions!$B$21+(Assumptions!$F$21-Assumptions!$B$21)*1/9</f>
        <v>0.0544444444444445</v>
      </c>
      <c r="E12" s="23" t="n">
        <f aca="false">Assumptions!$B$21+(Assumptions!$F$21-Assumptions!$B$21)*2/9</f>
        <v>0.0538888888888889</v>
      </c>
      <c r="F12" s="23" t="n">
        <f aca="false">Assumptions!$B$21+(Assumptions!$F$21-Assumptions!$B$21)*3/9</f>
        <v>0.0533333333333333</v>
      </c>
      <c r="G12" s="23" t="n">
        <f aca="false">Assumptions!$B$21+(Assumptions!$F$21-Assumptions!$B$21)*4/9</f>
        <v>0.0527777777777778</v>
      </c>
      <c r="H12" s="23" t="n">
        <f aca="false">Assumptions!$B$21+(Assumptions!$F$21-Assumptions!$B$21)*5/9</f>
        <v>0.0522222222222222</v>
      </c>
      <c r="I12" s="23" t="n">
        <f aca="false">Assumptions!$B$21+(Assumptions!$F$21-Assumptions!$B$21)*6/9</f>
        <v>0.0516666666666667</v>
      </c>
      <c r="J12" s="23" t="n">
        <f aca="false">Assumptions!$B$21+(Assumptions!$F$21-Assumptions!$B$21)*7/9</f>
        <v>0.0511111111111111</v>
      </c>
      <c r="K12" s="23" t="n">
        <f aca="false">Assumptions!$B$21+(Assumptions!$F$21-Assumptions!$B$21)*8/9</f>
        <v>0.0505555555555556</v>
      </c>
      <c r="L12" s="23" t="n">
        <f aca="false">Assumptions!$B$21+(Assumptions!$F$21-Assumptions!$B$21)*9/9</f>
        <v>0.05</v>
      </c>
    </row>
    <row r="13" customFormat="false" ht="15" hidden="false" customHeight="false" outlineLevel="0" collapsed="false">
      <c r="A13" s="3" t="s">
        <v>163</v>
      </c>
      <c r="C13" s="23" t="n">
        <f aca="false">Assumptions!$B$22</f>
        <v>0</v>
      </c>
      <c r="D13" s="23" t="n">
        <f aca="false">Assumptions!$B$22+(Assumptions!$F$22-Assumptions!$B$22)*1/9</f>
        <v>0.02</v>
      </c>
      <c r="E13" s="23" t="n">
        <f aca="false">Assumptions!$B$22+(Assumptions!$F$22-Assumptions!$B$22)*2/9</f>
        <v>0.04</v>
      </c>
      <c r="F13" s="23" t="n">
        <f aca="false">Assumptions!$B$22+(Assumptions!$F$22-Assumptions!$B$22)*3/9</f>
        <v>0.06</v>
      </c>
      <c r="G13" s="23" t="n">
        <f aca="false">Assumptions!$B$22+(Assumptions!$F$22-Assumptions!$B$22)*4/9</f>
        <v>0.08</v>
      </c>
      <c r="H13" s="23" t="n">
        <f aca="false">Assumptions!$B$22+(Assumptions!$F$22-Assumptions!$B$22)*5/9</f>
        <v>0.1</v>
      </c>
      <c r="I13" s="23" t="n">
        <f aca="false">Assumptions!$B$22+(Assumptions!$F$22-Assumptions!$B$22)*6/9</f>
        <v>0.12</v>
      </c>
      <c r="J13" s="23" t="n">
        <f aca="false">Assumptions!$B$22+(Assumptions!$F$22-Assumptions!$B$22)*7/9</f>
        <v>0.14</v>
      </c>
      <c r="K13" s="23" t="n">
        <f aca="false">Assumptions!$B$22+(Assumptions!$F$22-Assumptions!$B$22)*8/9</f>
        <v>0.16</v>
      </c>
      <c r="L13" s="23" t="n">
        <f aca="false">Assumptions!$B$22+(Assumptions!$F$22-Assumptions!$B$22)*9/9</f>
        <v>0.18</v>
      </c>
    </row>
    <row r="14" customFormat="false" ht="15" hidden="false" customHeight="false" outlineLevel="0" collapsed="false">
      <c r="A14" s="3" t="s">
        <v>164</v>
      </c>
      <c r="C14" s="23" t="n">
        <f aca="false">Assumptions!$B$23</f>
        <v>0.08</v>
      </c>
      <c r="D14" s="23" t="n">
        <f aca="false">Assumptions!$B$23+(Assumptions!$F$23-Assumptions!$B$23)*1/9</f>
        <v>0.08</v>
      </c>
      <c r="E14" s="23" t="n">
        <f aca="false">Assumptions!$B$23+(Assumptions!$F$23-Assumptions!$B$23)*2/9</f>
        <v>0.08</v>
      </c>
      <c r="F14" s="23" t="n">
        <f aca="false">Assumptions!$B$23+(Assumptions!$F$23-Assumptions!$B$23)*3/9</f>
        <v>0.08</v>
      </c>
      <c r="G14" s="23" t="n">
        <f aca="false">Assumptions!$B$23+(Assumptions!$F$23-Assumptions!$B$23)*4/9</f>
        <v>0.08</v>
      </c>
      <c r="H14" s="23" t="n">
        <f aca="false">Assumptions!$B$23+(Assumptions!$F$23-Assumptions!$B$23)*5/9</f>
        <v>0.08</v>
      </c>
      <c r="I14" s="23" t="n">
        <f aca="false">Assumptions!$B$23+(Assumptions!$F$23-Assumptions!$B$23)*6/9</f>
        <v>0.08</v>
      </c>
      <c r="J14" s="23" t="n">
        <f aca="false">Assumptions!$B$23+(Assumptions!$F$23-Assumptions!$B$23)*7/9</f>
        <v>0.08</v>
      </c>
      <c r="K14" s="23" t="n">
        <f aca="false">Assumptions!$B$23+(Assumptions!$F$23-Assumptions!$B$23)*8/9</f>
        <v>0.08</v>
      </c>
      <c r="L14" s="23" t="n">
        <f aca="false">Assumptions!$B$23+(Assumptions!$F$23-Assumptions!$B$23)*9/9</f>
        <v>0.08</v>
      </c>
    </row>
    <row r="15" customFormat="false" ht="15" hidden="false" customHeight="false" outlineLevel="0" collapsed="false">
      <c r="A15" s="3" t="s">
        <v>165</v>
      </c>
      <c r="C15" s="23" t="n">
        <f aca="false">Assumptions!$B$24</f>
        <v>0.05</v>
      </c>
      <c r="D15" s="23" t="n">
        <f aca="false">Assumptions!$B$24+(Assumptions!$F$24-Assumptions!$B$24)*1/9</f>
        <v>0.05</v>
      </c>
      <c r="E15" s="23" t="n">
        <f aca="false">Assumptions!$B$24+(Assumptions!$F$24-Assumptions!$B$24)*2/9</f>
        <v>0.05</v>
      </c>
      <c r="F15" s="23" t="n">
        <f aca="false">Assumptions!$B$24+(Assumptions!$F$24-Assumptions!$B$24)*3/9</f>
        <v>0.05</v>
      </c>
      <c r="G15" s="23" t="n">
        <f aca="false">Assumptions!$B$24+(Assumptions!$F$24-Assumptions!$B$24)*4/9</f>
        <v>0.05</v>
      </c>
      <c r="H15" s="23" t="n">
        <f aca="false">Assumptions!$B$24+(Assumptions!$F$24-Assumptions!$B$24)*5/9</f>
        <v>0.05</v>
      </c>
      <c r="I15" s="23" t="n">
        <f aca="false">Assumptions!$B$24+(Assumptions!$F$24-Assumptions!$B$24)*6/9</f>
        <v>0.05</v>
      </c>
      <c r="J15" s="23" t="n">
        <f aca="false">Assumptions!$B$24+(Assumptions!$F$24-Assumptions!$B$24)*7/9</f>
        <v>0.05</v>
      </c>
      <c r="K15" s="23" t="n">
        <f aca="false">Assumptions!$B$24+(Assumptions!$F$24-Assumptions!$B$24)*8/9</f>
        <v>0.05</v>
      </c>
      <c r="L15" s="23" t="n">
        <f aca="false">Assumptions!$B$24+(Assumptions!$F$24-Assumptions!$B$24)*9/9</f>
        <v>0.05</v>
      </c>
    </row>
    <row r="16" customFormat="false" ht="15" hidden="false" customHeight="false" outlineLevel="0" collapsed="false">
      <c r="A16" s="11" t="s">
        <v>166</v>
      </c>
      <c r="C16" s="24" t="n">
        <v>1</v>
      </c>
      <c r="D16" s="24" t="n">
        <v>1</v>
      </c>
      <c r="E16" s="24" t="n">
        <v>1</v>
      </c>
      <c r="F16" s="24" t="n">
        <v>1</v>
      </c>
      <c r="G16" s="24" t="n">
        <v>0.75</v>
      </c>
      <c r="H16" s="24" t="n">
        <v>0.5</v>
      </c>
      <c r="I16" s="24" t="n">
        <v>0.25</v>
      </c>
      <c r="J16" s="24" t="n">
        <v>0</v>
      </c>
      <c r="K16" s="24" t="n">
        <v>0</v>
      </c>
      <c r="L16" s="24" t="n">
        <v>0</v>
      </c>
      <c r="M16" s="15" t="s">
        <v>167</v>
      </c>
    </row>
    <row r="18" customFormat="false" ht="15" hidden="false" customHeight="false" outlineLevel="0" collapsed="false">
      <c r="A18" s="7" t="s">
        <v>168</v>
      </c>
    </row>
    <row r="19" customFormat="false" ht="15" hidden="false" customHeight="false" outlineLevel="0" collapsed="false">
      <c r="A19" s="9" t="s">
        <v>114</v>
      </c>
      <c r="B19" s="25" t="n">
        <f aca="false">Historicals!C5</f>
        <v>340</v>
      </c>
      <c r="C19" s="26" t="n">
        <f aca="false">Historicals!H5</f>
        <v>1050</v>
      </c>
      <c r="D19" s="27" t="n">
        <f aca="false">C19*(1+D7)</f>
        <v>1417.5</v>
      </c>
      <c r="E19" s="27" t="n">
        <f aca="false">D19*(1+E7)</f>
        <v>1858.696875</v>
      </c>
      <c r="F19" s="27" t="n">
        <f aca="false">E19*(1+F7)</f>
        <v>2365.1917734375</v>
      </c>
      <c r="G19" s="27" t="n">
        <f aca="false">F19*(1+G7)</f>
        <v>2918.05535047852</v>
      </c>
      <c r="H19" s="27" t="n">
        <f aca="false">G19*(1+H7)</f>
        <v>3487.07614382183</v>
      </c>
      <c r="I19" s="27" t="n">
        <f aca="false">H19*(1+I7)</f>
        <v>4031.93179129399</v>
      </c>
      <c r="J19" s="27" t="n">
        <f aca="false">I19*(1+J7)</f>
        <v>4505.68377677103</v>
      </c>
      <c r="K19" s="27" t="n">
        <f aca="false">J19*(1+K7)</f>
        <v>4860.50637419175</v>
      </c>
      <c r="L19" s="27" t="n">
        <f aca="false">K19*(1+L7)</f>
        <v>5054.92662915942</v>
      </c>
    </row>
    <row r="20" customFormat="false" ht="15" hidden="false" customHeight="false" outlineLevel="0" collapsed="false">
      <c r="A20" s="3" t="s">
        <v>169</v>
      </c>
      <c r="C20" s="28" t="n">
        <f aca="false">-C19*(1-C8)</f>
        <v>-1018.5</v>
      </c>
      <c r="D20" s="28" t="n">
        <f aca="false">-D19*(1-D8)</f>
        <v>-1357.65</v>
      </c>
      <c r="E20" s="28" t="n">
        <f aca="false">-E19*(1-E8)</f>
        <v>-1757.50115625</v>
      </c>
      <c r="F20" s="28" t="n">
        <f aca="false">-F19*(1-F8)</f>
        <v>-2207.512321875</v>
      </c>
      <c r="G20" s="28" t="n">
        <f aca="false">-G19*(1-G8)</f>
        <v>-2687.85320616299</v>
      </c>
      <c r="H20" s="28" t="n">
        <f aca="false">-H19*(1-H8)</f>
        <v>-3169.36476182917</v>
      </c>
      <c r="I20" s="28" t="n">
        <f aca="false">-I19*(1-I8)</f>
        <v>-3615.29883952694</v>
      </c>
      <c r="J20" s="28" t="n">
        <f aca="false">-J19*(1-J8)</f>
        <v>-3985.0269847886</v>
      </c>
      <c r="K20" s="28" t="n">
        <f aca="false">-K19*(1-K8)</f>
        <v>-4239.4416708228</v>
      </c>
      <c r="L20" s="28" t="n">
        <f aca="false">-L19*(1-L8)</f>
        <v>-4347.2369010771</v>
      </c>
    </row>
    <row r="21" customFormat="false" ht="15" hidden="false" customHeight="false" outlineLevel="0" collapsed="false">
      <c r="A21" s="3" t="s">
        <v>170</v>
      </c>
      <c r="C21" s="28" t="n">
        <f aca="false">C19+C20</f>
        <v>31.5</v>
      </c>
      <c r="D21" s="28" t="n">
        <f aca="false">D19+D20</f>
        <v>59.8500000000001</v>
      </c>
      <c r="E21" s="28" t="n">
        <f aca="false">E19+E20</f>
        <v>101.19571875</v>
      </c>
      <c r="F21" s="28" t="n">
        <f aca="false">F19+F20</f>
        <v>157.6794515625</v>
      </c>
      <c r="G21" s="28" t="n">
        <f aca="false">G19+G20</f>
        <v>230.202144315527</v>
      </c>
      <c r="H21" s="28" t="n">
        <f aca="false">H19+H20</f>
        <v>317.711381992655</v>
      </c>
      <c r="I21" s="28" t="n">
        <f aca="false">I19+I20</f>
        <v>416.632951767046</v>
      </c>
      <c r="J21" s="28" t="n">
        <f aca="false">J19+J20</f>
        <v>520.65679198243</v>
      </c>
      <c r="K21" s="28" t="n">
        <f aca="false">K19+K20</f>
        <v>621.064703368946</v>
      </c>
      <c r="L21" s="28" t="n">
        <f aca="false">L19+L20</f>
        <v>707.689728082319</v>
      </c>
      <c r="M21" s="15" t="s">
        <v>171</v>
      </c>
    </row>
    <row r="22" customFormat="false" ht="15" hidden="false" customHeight="false" outlineLevel="0" collapsed="false">
      <c r="A22" s="9" t="s">
        <v>172</v>
      </c>
      <c r="C22" s="27" t="n">
        <f aca="false">C19*C9*C16</f>
        <v>241.5</v>
      </c>
      <c r="D22" s="27" t="n">
        <f aca="false">D19*D9*D16</f>
        <v>333.9</v>
      </c>
      <c r="E22" s="27" t="n">
        <f aca="false">E19*E9*E16</f>
        <v>448.15246875</v>
      </c>
      <c r="F22" s="27" t="n">
        <f aca="false">F19*F9*F16</f>
        <v>583.41397078125</v>
      </c>
      <c r="G22" s="27" t="n">
        <f aca="false">G19*G9*G16</f>
        <v>551.998803798853</v>
      </c>
      <c r="H22" s="27" t="n">
        <f aca="false">H19*H9*H16</f>
        <v>449.445369648147</v>
      </c>
      <c r="I22" s="27" t="n">
        <f aca="false">I19*I9*I16</f>
        <v>265.435509593521</v>
      </c>
      <c r="J22" s="27" t="n">
        <f aca="false">J19*J9*J16</f>
        <v>0</v>
      </c>
      <c r="K22" s="27" t="n">
        <f aca="false">K19*K9*K16</f>
        <v>0</v>
      </c>
      <c r="L22" s="27" t="n">
        <f aca="false">L19*L9*L16</f>
        <v>0</v>
      </c>
    </row>
    <row r="23" customFormat="false" ht="15" hidden="false" customHeight="false" outlineLevel="0" collapsed="false">
      <c r="A23" s="9" t="s">
        <v>173</v>
      </c>
      <c r="C23" s="27" t="n">
        <f aca="false">C21+C22</f>
        <v>273</v>
      </c>
      <c r="D23" s="27" t="n">
        <f aca="false">D21+D22</f>
        <v>393.75</v>
      </c>
      <c r="E23" s="27" t="n">
        <f aca="false">E21+E22</f>
        <v>549.3481875</v>
      </c>
      <c r="F23" s="27" t="n">
        <f aca="false">F21+F22</f>
        <v>741.09342234375</v>
      </c>
      <c r="G23" s="27" t="n">
        <f aca="false">G21+G22</f>
        <v>782.20094811438</v>
      </c>
      <c r="H23" s="27" t="n">
        <f aca="false">H21+H22</f>
        <v>767.156751640802</v>
      </c>
      <c r="I23" s="27" t="n">
        <f aca="false">I21+I22</f>
        <v>682.068461360566</v>
      </c>
      <c r="J23" s="27" t="n">
        <f aca="false">J21+J22</f>
        <v>520.65679198243</v>
      </c>
      <c r="K23" s="27" t="n">
        <f aca="false">K21+K22</f>
        <v>621.064703368946</v>
      </c>
      <c r="L23" s="27" t="n">
        <f aca="false">L21+L22</f>
        <v>707.689728082319</v>
      </c>
    </row>
    <row r="24" customFormat="false" ht="15" hidden="false" customHeight="false" outlineLevel="0" collapsed="false">
      <c r="A24" s="3" t="s">
        <v>174</v>
      </c>
      <c r="C24" s="28" t="n">
        <f aca="false">-C19*C10</f>
        <v>-115.5</v>
      </c>
      <c r="D24" s="28" t="n">
        <f aca="false">-D19*D10</f>
        <v>-148.8375</v>
      </c>
      <c r="E24" s="28" t="n">
        <f aca="false">-E19*E10</f>
        <v>-185.8696875</v>
      </c>
      <c r="F24" s="28" t="n">
        <f aca="false">-F19*F10</f>
        <v>-224.693218476563</v>
      </c>
      <c r="G24" s="28" t="n">
        <f aca="false">-G19*G10</f>
        <v>-262.624981543066</v>
      </c>
      <c r="H24" s="28" t="n">
        <f aca="false">-H19*H10</f>
        <v>-296.401472224855</v>
      </c>
      <c r="I24" s="28" t="n">
        <f aca="false">-I19*I10</f>
        <v>-322.554543303519</v>
      </c>
      <c r="J24" s="28" t="n">
        <f aca="false">-J19*J10</f>
        <v>-337.926283257827</v>
      </c>
      <c r="K24" s="28" t="n">
        <f aca="false">-K19*K10</f>
        <v>-340.235446193422</v>
      </c>
      <c r="L24" s="28" t="n">
        <f aca="false">-L19*L10</f>
        <v>-328.570230895362</v>
      </c>
    </row>
    <row r="25" customFormat="false" ht="15" hidden="false" customHeight="false" outlineLevel="0" collapsed="false">
      <c r="A25" s="9" t="s">
        <v>118</v>
      </c>
      <c r="C25" s="27" t="n">
        <f aca="false">C23+C24</f>
        <v>157.5</v>
      </c>
      <c r="D25" s="27" t="n">
        <f aca="false">D23+D24</f>
        <v>244.9125</v>
      </c>
      <c r="E25" s="27" t="n">
        <f aca="false">E23+E24</f>
        <v>363.4785</v>
      </c>
      <c r="F25" s="27" t="n">
        <f aca="false">F23+F24</f>
        <v>516.400203867188</v>
      </c>
      <c r="G25" s="27" t="n">
        <f aca="false">G23+G24</f>
        <v>519.575966571313</v>
      </c>
      <c r="H25" s="27" t="n">
        <f aca="false">H23+H24</f>
        <v>470.755279415947</v>
      </c>
      <c r="I25" s="27" t="n">
        <f aca="false">I23+I24</f>
        <v>359.513918057047</v>
      </c>
      <c r="J25" s="27" t="n">
        <f aca="false">J23+J24</f>
        <v>182.730508724603</v>
      </c>
      <c r="K25" s="27" t="n">
        <f aca="false">K23+K24</f>
        <v>280.829257175523</v>
      </c>
      <c r="L25" s="27" t="n">
        <f aca="false">L23+L24</f>
        <v>379.119497186956</v>
      </c>
    </row>
    <row r="26" customFormat="false" ht="15" hidden="false" customHeight="false" outlineLevel="0" collapsed="false">
      <c r="A26" s="3" t="s">
        <v>175</v>
      </c>
      <c r="C26" s="28" t="n">
        <f aca="false">-C19*C11</f>
        <v>-21</v>
      </c>
      <c r="D26" s="28" t="n">
        <f aca="false">-D19*D11</f>
        <v>-27.09</v>
      </c>
      <c r="E26" s="28" t="n">
        <f aca="false">-E19*E11</f>
        <v>-33.8695875</v>
      </c>
      <c r="F26" s="28" t="n">
        <f aca="false">-F19*F11</f>
        <v>-40.99665740625</v>
      </c>
      <c r="G26" s="28" t="n">
        <f aca="false">-G19*G11</f>
        <v>-47.9857990967578</v>
      </c>
      <c r="H26" s="28" t="n">
        <f aca="false">-H19*H11</f>
        <v>-54.2434066816729</v>
      </c>
      <c r="I26" s="28" t="n">
        <f aca="false">-I19*I11</f>
        <v>-59.1349996056452</v>
      </c>
      <c r="J26" s="28" t="n">
        <f aca="false">-J19*J11</f>
        <v>-62.0783098132898</v>
      </c>
      <c r="K26" s="28" t="n">
        <f aca="false">-K19*K11</f>
        <v>-62.6465266006937</v>
      </c>
      <c r="L26" s="28" t="n">
        <f aca="false">-L19*L11</f>
        <v>-60.659119549913</v>
      </c>
    </row>
    <row r="27" customFormat="false" ht="15" hidden="false" customHeight="false" outlineLevel="0" collapsed="false">
      <c r="A27" s="3" t="s">
        <v>176</v>
      </c>
      <c r="C27" s="28" t="n">
        <f aca="false">-C19*C12</f>
        <v>-57.75</v>
      </c>
      <c r="D27" s="28" t="n">
        <f aca="false">-D19*D12</f>
        <v>-77.175</v>
      </c>
      <c r="E27" s="28" t="n">
        <f aca="false">-E19*E12</f>
        <v>-100.163109375</v>
      </c>
      <c r="F27" s="28" t="n">
        <f aca="false">-F19*F12</f>
        <v>-126.14356125</v>
      </c>
      <c r="G27" s="28" t="n">
        <f aca="false">-G19*G12</f>
        <v>-154.008476830811</v>
      </c>
      <c r="H27" s="28" t="n">
        <f aca="false">-H19*H12</f>
        <v>-182.102865288473</v>
      </c>
      <c r="I27" s="28" t="n">
        <f aca="false">-I19*I12</f>
        <v>-208.316475883523</v>
      </c>
      <c r="J27" s="28" t="n">
        <f aca="false">-J19*J12</f>
        <v>-230.290504146075</v>
      </c>
      <c r="K27" s="28" t="n">
        <f aca="false">-K19*K12</f>
        <v>-245.725600028583</v>
      </c>
      <c r="L27" s="28" t="n">
        <f aca="false">-L19*L12</f>
        <v>-252.746331457971</v>
      </c>
    </row>
    <row r="28" customFormat="false" ht="15" hidden="false" customHeight="false" outlineLevel="0" collapsed="false">
      <c r="A28" s="9" t="s">
        <v>177</v>
      </c>
      <c r="C28" s="27" t="n">
        <f aca="false">C25+C26+C27</f>
        <v>78.75</v>
      </c>
      <c r="D28" s="27" t="n">
        <f aca="false">D25+D26+D27</f>
        <v>140.6475</v>
      </c>
      <c r="E28" s="27" t="n">
        <f aca="false">E25+E26+E27</f>
        <v>229.445803125</v>
      </c>
      <c r="F28" s="27" t="n">
        <f aca="false">F25+F26+F27</f>
        <v>349.259985210938</v>
      </c>
      <c r="G28" s="27" t="n">
        <f aca="false">G25+G26+G27</f>
        <v>317.581690643745</v>
      </c>
      <c r="H28" s="27" t="n">
        <f aca="false">H25+H26+H27</f>
        <v>234.409007445801</v>
      </c>
      <c r="I28" s="27" t="n">
        <f aca="false">I25+I26+I27</f>
        <v>92.0624425678796</v>
      </c>
      <c r="J28" s="27" t="n">
        <f aca="false">J25+J26+J27</f>
        <v>-109.638305234762</v>
      </c>
      <c r="K28" s="27" t="n">
        <f aca="false">K25+K26+K27</f>
        <v>-27.5428694537533</v>
      </c>
      <c r="L28" s="27" t="n">
        <f aca="false">L25+L26+L27</f>
        <v>65.7140461790725</v>
      </c>
    </row>
    <row r="29" customFormat="false" ht="15" hidden="false" customHeight="false" outlineLevel="0" collapsed="false">
      <c r="A29" s="3" t="s">
        <v>178</v>
      </c>
      <c r="C29" s="28" t="n">
        <f aca="false">B72*Assumptions!$B$34</f>
        <v>7</v>
      </c>
      <c r="D29" s="28" t="n">
        <f aca="false">C72*Assumptions!$B$34</f>
        <v>3.5</v>
      </c>
      <c r="E29" s="28" t="n">
        <f aca="false">D72*Assumptions!$B$34</f>
        <v>3.5</v>
      </c>
      <c r="F29" s="28" t="n">
        <f aca="false">E72*Assumptions!$B$34</f>
        <v>3.5</v>
      </c>
      <c r="G29" s="28" t="n">
        <f aca="false">F72*Assumptions!$B$34</f>
        <v>11.7106448224846</v>
      </c>
      <c r="H29" s="28" t="n">
        <f aca="false">G72*Assumptions!$B$34</f>
        <v>21.0470948747758</v>
      </c>
      <c r="I29" s="28" t="n">
        <f aca="false">H72*Assumptions!$B$34</f>
        <v>28.3596365155216</v>
      </c>
      <c r="J29" s="28" t="n">
        <f aca="false">I72*Assumptions!$B$34</f>
        <v>32.0277196394333</v>
      </c>
      <c r="K29" s="28" t="n">
        <f aca="false">J72*Assumptions!$B$34</f>
        <v>29.8349672065137</v>
      </c>
      <c r="L29" s="28" t="n">
        <f aca="false">K72*Assumptions!$B$34</f>
        <v>31.3551324919087</v>
      </c>
    </row>
    <row r="30" customFormat="false" ht="15" hidden="false" customHeight="false" outlineLevel="0" collapsed="false">
      <c r="A30" s="3" t="s">
        <v>179</v>
      </c>
      <c r="C30" s="28" t="n">
        <f aca="false">-(B52*Assumptions!$B$39+B56*Assumptions!$B$35)</f>
        <v>-46.75</v>
      </c>
      <c r="D30" s="28" t="n">
        <f aca="false">-(C52*Assumptions!$B$39+C56*Assumptions!$B$35)</f>
        <v>-67.0571917808219</v>
      </c>
      <c r="E30" s="28" t="n">
        <f aca="false">-(D52*Assumptions!$B$39+D56*Assumptions!$B$35)</f>
        <v>-76.5549169178082</v>
      </c>
      <c r="F30" s="28" t="n">
        <f aca="false">-(E52*Assumptions!$B$39+E56*Assumptions!$B$35)</f>
        <v>-61.5116925739384</v>
      </c>
      <c r="G30" s="28" t="n">
        <f aca="false">-(F52*Assumptions!$B$39+F56*Assumptions!$B$35)</f>
        <v>-56.95</v>
      </c>
      <c r="H30" s="28" t="n">
        <f aca="false">-(G52*Assumptions!$B$39+G56*Assumptions!$B$35)</f>
        <v>-56.95</v>
      </c>
      <c r="I30" s="28" t="n">
        <f aca="false">-(H52*Assumptions!$B$39+H56*Assumptions!$B$35)</f>
        <v>-56.95</v>
      </c>
      <c r="J30" s="28" t="n">
        <f aca="false">-(I52*Assumptions!$B$39+I56*Assumptions!$B$35)</f>
        <v>-56.95</v>
      </c>
      <c r="K30" s="28" t="n">
        <f aca="false">-(J52*Assumptions!$B$39+J56*Assumptions!$B$35)</f>
        <v>-56.95</v>
      </c>
      <c r="L30" s="28" t="n">
        <f aca="false">-(K52*Assumptions!$B$39+K56*Assumptions!$B$35)</f>
        <v>-56.95</v>
      </c>
    </row>
    <row r="31" customFormat="false" ht="15" hidden="false" customHeight="false" outlineLevel="0" collapsed="false">
      <c r="A31" s="3" t="s">
        <v>180</v>
      </c>
      <c r="C31" s="28" t="n">
        <f aca="false">C28+C29+C30</f>
        <v>39</v>
      </c>
      <c r="D31" s="28" t="n">
        <f aca="false">D28+D29+D30</f>
        <v>77.0903082191782</v>
      </c>
      <c r="E31" s="28" t="n">
        <f aca="false">E28+E29+E30</f>
        <v>156.390886207192</v>
      </c>
      <c r="F31" s="28" t="n">
        <f aca="false">F28+F29+F30</f>
        <v>291.248292636999</v>
      </c>
      <c r="G31" s="28" t="n">
        <f aca="false">G28+G29+G30</f>
        <v>272.34233546623</v>
      </c>
      <c r="H31" s="28" t="n">
        <f aca="false">H28+H29+H30</f>
        <v>198.506102320576</v>
      </c>
      <c r="I31" s="28" t="n">
        <f aca="false">I28+I29+I30</f>
        <v>63.4720790834012</v>
      </c>
      <c r="J31" s="28" t="n">
        <f aca="false">J28+J29+J30</f>
        <v>-134.560585595328</v>
      </c>
      <c r="K31" s="28" t="n">
        <f aca="false">K28+K29+K30</f>
        <v>-54.6579022472397</v>
      </c>
      <c r="L31" s="28" t="n">
        <f aca="false">L28+L29+L30</f>
        <v>40.1191786709812</v>
      </c>
    </row>
    <row r="32" customFormat="false" ht="15" hidden="false" customHeight="false" outlineLevel="0" collapsed="false">
      <c r="A32" s="3" t="s">
        <v>181</v>
      </c>
      <c r="C32" s="28" t="n">
        <f aca="false">-MAX(0,C31)*C13</f>
        <v>-0</v>
      </c>
      <c r="D32" s="28" t="n">
        <f aca="false">-MAX(0,D31)*D13</f>
        <v>-1.54180616438356</v>
      </c>
      <c r="E32" s="28" t="n">
        <f aca="false">-MAX(0,E31)*E13</f>
        <v>-6.25563544828767</v>
      </c>
      <c r="F32" s="28" t="n">
        <f aca="false">-MAX(0,F31)*F13</f>
        <v>-17.47489755822</v>
      </c>
      <c r="G32" s="28" t="n">
        <f aca="false">-MAX(0,G31)*G13</f>
        <v>-21.7873868372984</v>
      </c>
      <c r="H32" s="28" t="n">
        <f aca="false">-MAX(0,H31)*H13</f>
        <v>-19.8506102320576</v>
      </c>
      <c r="I32" s="28" t="n">
        <f aca="false">-MAX(0,I31)*I13</f>
        <v>-7.61664949000814</v>
      </c>
      <c r="J32" s="28" t="n">
        <f aca="false">-MAX(0,J31)*J13</f>
        <v>-0</v>
      </c>
      <c r="K32" s="28" t="n">
        <f aca="false">-MAX(0,K31)*K13</f>
        <v>-0</v>
      </c>
      <c r="L32" s="28" t="n">
        <f aca="false">-MAX(0,L31)*L13</f>
        <v>-7.22145216077662</v>
      </c>
    </row>
    <row r="33" customFormat="false" ht="15" hidden="false" customHeight="false" outlineLevel="0" collapsed="false">
      <c r="A33" s="9" t="s">
        <v>182</v>
      </c>
      <c r="C33" s="27" t="n">
        <f aca="false">C31+C32</f>
        <v>39</v>
      </c>
      <c r="D33" s="27" t="n">
        <f aca="false">D31+D32</f>
        <v>75.5485020547947</v>
      </c>
      <c r="E33" s="27" t="n">
        <f aca="false">E31+E32</f>
        <v>150.135250758904</v>
      </c>
      <c r="F33" s="27" t="n">
        <f aca="false">F31+F32</f>
        <v>273.773395078779</v>
      </c>
      <c r="G33" s="27" t="n">
        <f aca="false">G31+G32</f>
        <v>250.554948628931</v>
      </c>
      <c r="H33" s="27" t="n">
        <f aca="false">H31+H32</f>
        <v>178.655492088519</v>
      </c>
      <c r="I33" s="27" t="n">
        <f aca="false">I31+I32</f>
        <v>55.855429593393</v>
      </c>
      <c r="J33" s="27" t="n">
        <f aca="false">J31+J32</f>
        <v>-134.560585595328</v>
      </c>
      <c r="K33" s="27" t="n">
        <f aca="false">K31+K32</f>
        <v>-54.6579022472397</v>
      </c>
      <c r="L33" s="27" t="n">
        <f aca="false">L31+L32</f>
        <v>32.8977265102046</v>
      </c>
    </row>
    <row r="34" customFormat="false" ht="15" hidden="false" customHeight="false" outlineLevel="0" collapsed="false">
      <c r="A34" s="29" t="s">
        <v>183</v>
      </c>
      <c r="C34" s="30" t="n">
        <f aca="false">C25/C19</f>
        <v>0.15</v>
      </c>
      <c r="D34" s="30" t="n">
        <f aca="false">D25/D19</f>
        <v>0.172777777777778</v>
      </c>
      <c r="E34" s="30" t="n">
        <f aca="false">E25/E19</f>
        <v>0.195555555555556</v>
      </c>
      <c r="F34" s="30" t="n">
        <f aca="false">F25/F19</f>
        <v>0.218333333333333</v>
      </c>
      <c r="G34" s="30" t="n">
        <f aca="false">G25/G19</f>
        <v>0.178055555555556</v>
      </c>
      <c r="H34" s="30" t="n">
        <f aca="false">H25/H19</f>
        <v>0.135</v>
      </c>
      <c r="I34" s="30" t="n">
        <f aca="false">I25/I19</f>
        <v>0.0891666666666667</v>
      </c>
      <c r="J34" s="30" t="n">
        <f aca="false">J25/J19</f>
        <v>0.0405555555555556</v>
      </c>
      <c r="K34" s="30" t="n">
        <f aca="false">K25/K19</f>
        <v>0.0577777777777778</v>
      </c>
      <c r="L34" s="30" t="n">
        <f aca="false">L25/L19</f>
        <v>0.075</v>
      </c>
    </row>
    <row r="36" customFormat="false" ht="15" hidden="false" customHeight="false" outlineLevel="0" collapsed="false">
      <c r="A36" s="7" t="s">
        <v>184</v>
      </c>
    </row>
    <row r="37" customFormat="false" ht="15" hidden="false" customHeight="false" outlineLevel="0" collapsed="false">
      <c r="A37" s="3" t="s">
        <v>185</v>
      </c>
      <c r="B37" s="20" t="n">
        <v>120</v>
      </c>
      <c r="C37" s="28" t="n">
        <f aca="false">C19*Assumptions!$B$27/365</f>
        <v>129.452054794521</v>
      </c>
      <c r="D37" s="28" t="n">
        <f aca="false">D19*Assumptions!$B$27/365</f>
        <v>174.760273972603</v>
      </c>
      <c r="E37" s="28" t="n">
        <f aca="false">E19*Assumptions!$B$27/365</f>
        <v>229.154409246575</v>
      </c>
      <c r="F37" s="28" t="n">
        <f aca="false">F19*Assumptions!$B$27/365</f>
        <v>291.598985766267</v>
      </c>
      <c r="G37" s="28" t="n">
        <f aca="false">G19*Assumptions!$B$27/365</f>
        <v>359.760248689132</v>
      </c>
      <c r="H37" s="28" t="n">
        <f aca="false">H19*Assumptions!$B$27/365</f>
        <v>429.913497183513</v>
      </c>
      <c r="I37" s="28" t="n">
        <f aca="false">I19*Assumptions!$B$27/365</f>
        <v>497.087481118437</v>
      </c>
      <c r="J37" s="28" t="n">
        <f aca="false">J19*Assumptions!$B$27/365</f>
        <v>555.495260149853</v>
      </c>
      <c r="K37" s="28" t="n">
        <f aca="false">K19*Assumptions!$B$27/365</f>
        <v>599.240511886654</v>
      </c>
      <c r="L37" s="28" t="n">
        <f aca="false">L19*Assumptions!$B$27/365</f>
        <v>623.21013236212</v>
      </c>
    </row>
    <row r="38" customFormat="false" ht="15" hidden="false" customHeight="false" outlineLevel="0" collapsed="false">
      <c r="A38" s="3" t="s">
        <v>186</v>
      </c>
      <c r="B38" s="20" t="n">
        <v>180</v>
      </c>
      <c r="C38" s="28" t="n">
        <f aca="false">-C20*Assumptions!$B$28/365</f>
        <v>209.280821917808</v>
      </c>
      <c r="D38" s="28" t="n">
        <f aca="false">-D20*Assumptions!$B$28/365</f>
        <v>278.969178082192</v>
      </c>
      <c r="E38" s="28" t="n">
        <f aca="false">-E20*Assumptions!$B$28/365</f>
        <v>361.130374571918</v>
      </c>
      <c r="F38" s="28" t="n">
        <f aca="false">-F20*Assumptions!$B$28/365</f>
        <v>453.598422303082</v>
      </c>
      <c r="G38" s="28" t="n">
        <f aca="false">-G20*Assumptions!$B$28/365</f>
        <v>552.298604006094</v>
      </c>
      <c r="H38" s="28" t="n">
        <f aca="false">-H20*Assumptions!$B$28/365</f>
        <v>651.239334622432</v>
      </c>
      <c r="I38" s="28" t="n">
        <f aca="false">-I20*Assumptions!$B$28/365</f>
        <v>742.86962456033</v>
      </c>
      <c r="J38" s="28" t="n">
        <f aca="false">-J20*Assumptions!$B$28/365</f>
        <v>818.841161257932</v>
      </c>
      <c r="K38" s="28" t="n">
        <f aca="false">-K20*Assumptions!$B$28/365</f>
        <v>871.118151538932</v>
      </c>
      <c r="L38" s="28" t="n">
        <f aca="false">-L20*Assumptions!$B$28/365</f>
        <v>893.267856385705</v>
      </c>
    </row>
    <row r="39" customFormat="false" ht="15" hidden="false" customHeight="false" outlineLevel="0" collapsed="false">
      <c r="A39" s="3" t="s">
        <v>187</v>
      </c>
      <c r="B39" s="20" t="n">
        <v>90</v>
      </c>
      <c r="C39" s="28" t="n">
        <f aca="false">C19*C14</f>
        <v>84</v>
      </c>
      <c r="D39" s="28" t="n">
        <f aca="false">D19*D14</f>
        <v>113.4</v>
      </c>
      <c r="E39" s="28" t="n">
        <f aca="false">E19*E14</f>
        <v>148.69575</v>
      </c>
      <c r="F39" s="28" t="n">
        <f aca="false">F19*F14</f>
        <v>189.215341875</v>
      </c>
      <c r="G39" s="28" t="n">
        <f aca="false">G19*G14</f>
        <v>233.444428038281</v>
      </c>
      <c r="H39" s="28" t="n">
        <f aca="false">H19*H14</f>
        <v>278.966091505746</v>
      </c>
      <c r="I39" s="28" t="n">
        <f aca="false">I19*I14</f>
        <v>322.554543303519</v>
      </c>
      <c r="J39" s="28" t="n">
        <f aca="false">J19*J14</f>
        <v>360.454702141682</v>
      </c>
      <c r="K39" s="28" t="n">
        <f aca="false">K19*K14</f>
        <v>388.84050993534</v>
      </c>
      <c r="L39" s="28" t="n">
        <f aca="false">L19*L14</f>
        <v>404.394130332754</v>
      </c>
    </row>
    <row r="40" customFormat="false" ht="15" hidden="false" customHeight="false" outlineLevel="0" collapsed="false">
      <c r="A40" s="3" t="s">
        <v>188</v>
      </c>
      <c r="B40" s="20" t="n">
        <v>-160</v>
      </c>
      <c r="C40" s="28" t="n">
        <f aca="false">(C20+C24)*Assumptions!$B$29/365</f>
        <v>-186.41095890411</v>
      </c>
      <c r="D40" s="28" t="n">
        <f aca="false">(D20+D24)*Assumptions!$B$29/365</f>
        <v>-247.641780821918</v>
      </c>
      <c r="E40" s="28" t="n">
        <f aca="false">(E20+E24)*Assumptions!$B$29/365</f>
        <v>-319.458220890411</v>
      </c>
      <c r="F40" s="28" t="n">
        <f aca="false">(F20+F24)*Assumptions!$B$29/365</f>
        <v>-399.81460937286</v>
      </c>
      <c r="G40" s="28" t="n">
        <f aca="false">(G20+G24)*Assumptions!$B$29/365</f>
        <v>-485.010113047571</v>
      </c>
      <c r="H40" s="28" t="n">
        <f aca="false">(H20+H24)*Assumptions!$B$29/365</f>
        <v>-569.714997378744</v>
      </c>
      <c r="I40" s="28" t="n">
        <f aca="false">(I20+I24)*Assumptions!$B$29/365</f>
        <v>-647.318364300898</v>
      </c>
      <c r="J40" s="28" t="n">
        <f aca="false">(J20+J24)*Assumptions!$B$29/365</f>
        <v>-710.622455021331</v>
      </c>
      <c r="K40" s="28" t="n">
        <f aca="false">(K20+K24)*Assumptions!$B$29/365</f>
        <v>-752.8236356739</v>
      </c>
      <c r="L40" s="28" t="n">
        <f aca="false">(L20+L24)*Assumptions!$B$29/365</f>
        <v>-768.625829913282</v>
      </c>
    </row>
    <row r="41" customFormat="false" ht="15" hidden="false" customHeight="false" outlineLevel="0" collapsed="false">
      <c r="A41" s="3" t="s">
        <v>189</v>
      </c>
      <c r="B41" s="20" t="n">
        <v>-50</v>
      </c>
      <c r="C41" s="28" t="n">
        <f aca="false">-C19*C15</f>
        <v>-52.5</v>
      </c>
      <c r="D41" s="28" t="n">
        <f aca="false">-D19*D15</f>
        <v>-70.875</v>
      </c>
      <c r="E41" s="28" t="n">
        <f aca="false">-E19*E15</f>
        <v>-92.93484375</v>
      </c>
      <c r="F41" s="28" t="n">
        <f aca="false">-F19*F15</f>
        <v>-118.259588671875</v>
      </c>
      <c r="G41" s="28" t="n">
        <f aca="false">-G19*G15</f>
        <v>-145.902767523926</v>
      </c>
      <c r="H41" s="28" t="n">
        <f aca="false">-H19*H15</f>
        <v>-174.353807191091</v>
      </c>
      <c r="I41" s="28" t="n">
        <f aca="false">-I19*I15</f>
        <v>-201.596589564699</v>
      </c>
      <c r="J41" s="28" t="n">
        <f aca="false">-J19*J15</f>
        <v>-225.284188838552</v>
      </c>
      <c r="K41" s="28" t="n">
        <f aca="false">-K19*K15</f>
        <v>-243.025318709587</v>
      </c>
      <c r="L41" s="28" t="n">
        <f aca="false">-L19*L15</f>
        <v>-252.746331457971</v>
      </c>
    </row>
    <row r="42" customFormat="false" ht="15" hidden="false" customHeight="false" outlineLevel="0" collapsed="false">
      <c r="A42" s="9" t="s">
        <v>190</v>
      </c>
      <c r="B42" s="27" t="n">
        <f aca="false">SUM(B37:B41)</f>
        <v>180</v>
      </c>
      <c r="C42" s="27" t="n">
        <f aca="false">SUM(C37:C41)</f>
        <v>183.821917808219</v>
      </c>
      <c r="D42" s="27" t="n">
        <f aca="false">SUM(D37:D41)</f>
        <v>248.612671232877</v>
      </c>
      <c r="E42" s="27" t="n">
        <f aca="false">SUM(E37:E41)</f>
        <v>326.587469178082</v>
      </c>
      <c r="F42" s="27" t="n">
        <f aca="false">SUM(F37:F41)</f>
        <v>416.338551899615</v>
      </c>
      <c r="G42" s="27" t="n">
        <f aca="false">SUM(G37:G41)</f>
        <v>514.59040016201</v>
      </c>
      <c r="H42" s="27" t="n">
        <f aca="false">SUM(H37:H41)</f>
        <v>616.050118741856</v>
      </c>
      <c r="I42" s="27" t="n">
        <f aca="false">SUM(I37:I41)</f>
        <v>713.596695116689</v>
      </c>
      <c r="J42" s="27" t="n">
        <f aca="false">SUM(J37:J41)</f>
        <v>798.884479689585</v>
      </c>
      <c r="K42" s="27" t="n">
        <f aca="false">SUM(K37:K41)</f>
        <v>863.350218977438</v>
      </c>
      <c r="L42" s="27" t="n">
        <f aca="false">SUM(L37:L41)</f>
        <v>899.499957709327</v>
      </c>
    </row>
    <row r="43" customFormat="false" ht="15" hidden="false" customHeight="false" outlineLevel="0" collapsed="false">
      <c r="A43" s="3" t="s">
        <v>191</v>
      </c>
      <c r="C43" s="28" t="n">
        <f aca="false">-(C42-B42)</f>
        <v>-3.82191780821918</v>
      </c>
      <c r="D43" s="28" t="n">
        <f aca="false">-(D42-C42)</f>
        <v>-64.7907534246575</v>
      </c>
      <c r="E43" s="28" t="n">
        <f aca="false">-(E42-D42)</f>
        <v>-77.9747979452055</v>
      </c>
      <c r="F43" s="28" t="n">
        <f aca="false">-(F42-E42)</f>
        <v>-89.7510827215325</v>
      </c>
      <c r="G43" s="28" t="n">
        <f aca="false">-(G42-F42)</f>
        <v>-98.2518482623957</v>
      </c>
      <c r="H43" s="28" t="n">
        <f aca="false">-(H42-G42)</f>
        <v>-101.459718579845</v>
      </c>
      <c r="I43" s="28" t="n">
        <f aca="false">-(I42-H42)</f>
        <v>-97.5465763748332</v>
      </c>
      <c r="J43" s="28" t="n">
        <f aca="false">-(J42-I42)</f>
        <v>-85.287784572896</v>
      </c>
      <c r="K43" s="28" t="n">
        <f aca="false">-(K42-J42)</f>
        <v>-64.4657392878534</v>
      </c>
      <c r="L43" s="28" t="n">
        <f aca="false">-(L42-K42)</f>
        <v>-36.1497387318881</v>
      </c>
    </row>
    <row r="45" customFormat="false" ht="15" hidden="false" customHeight="false" outlineLevel="0" collapsed="false">
      <c r="A45" s="7" t="s">
        <v>192</v>
      </c>
    </row>
    <row r="46" customFormat="false" ht="15" hidden="false" customHeight="false" outlineLevel="0" collapsed="false">
      <c r="A46" s="3" t="s">
        <v>193</v>
      </c>
      <c r="C46" s="25" t="n">
        <f aca="false">Assumptions!$B$40</f>
        <v>300</v>
      </c>
      <c r="D46" s="25" t="n">
        <f aca="false">Assumptions!$B$41</f>
        <v>210</v>
      </c>
      <c r="E46" s="28" t="n">
        <f aca="false">E19*Assumptions!$B$42</f>
        <v>55.76090625</v>
      </c>
      <c r="F46" s="28" t="n">
        <f aca="false">F19*Assumptions!$B$42</f>
        <v>70.955753203125</v>
      </c>
      <c r="G46" s="28" t="n">
        <f aca="false">G19*Assumptions!$B$42</f>
        <v>87.5416605143555</v>
      </c>
      <c r="H46" s="28" t="n">
        <f aca="false">H19*Assumptions!$B$42</f>
        <v>104.612284314655</v>
      </c>
      <c r="I46" s="28" t="n">
        <f aca="false">I19*Assumptions!$B$42</f>
        <v>120.95795373882</v>
      </c>
      <c r="J46" s="28" t="n">
        <f aca="false">J19*Assumptions!$B$42</f>
        <v>135.170513303131</v>
      </c>
      <c r="K46" s="28" t="n">
        <f aca="false">K19*Assumptions!$B$42</f>
        <v>145.815191225752</v>
      </c>
      <c r="L46" s="28" t="n">
        <f aca="false">L19*Assumptions!$B$42</f>
        <v>151.647798874783</v>
      </c>
      <c r="M46" s="15" t="s">
        <v>194</v>
      </c>
    </row>
    <row r="47" customFormat="false" ht="15" hidden="false" customHeight="false" outlineLevel="0" collapsed="false">
      <c r="A47" s="3" t="s">
        <v>195</v>
      </c>
      <c r="B47" s="20" t="n">
        <v>900</v>
      </c>
      <c r="C47" s="28" t="n">
        <f aca="false">B47+C46+C27*0.9</f>
        <v>1148.025</v>
      </c>
      <c r="D47" s="28" t="n">
        <f aca="false">C47+D46+D27*0.9</f>
        <v>1288.5675</v>
      </c>
      <c r="E47" s="28" t="n">
        <f aca="false">D47+E46+E27*0.9</f>
        <v>1254.1816078125</v>
      </c>
      <c r="F47" s="28" t="n">
        <f aca="false">E47+F46+F27*0.9</f>
        <v>1211.60815589063</v>
      </c>
      <c r="G47" s="28" t="n">
        <f aca="false">F47+G46+G27*0.9</f>
        <v>1160.54218725725</v>
      </c>
      <c r="H47" s="28" t="n">
        <f aca="false">G47+H46+H27*0.9</f>
        <v>1101.26189281228</v>
      </c>
      <c r="I47" s="28" t="n">
        <f aca="false">H47+I46+I27*0.9</f>
        <v>1034.73501825593</v>
      </c>
      <c r="J47" s="28" t="n">
        <f aca="false">I47+J46+J27*0.9</f>
        <v>962.644077827593</v>
      </c>
      <c r="K47" s="28" t="n">
        <f aca="false">J47+K46+K27*0.9</f>
        <v>887.306229027621</v>
      </c>
      <c r="L47" s="28" t="n">
        <f aca="false">K47+L46+L27*0.9</f>
        <v>811.482329590229</v>
      </c>
    </row>
    <row r="49" customFormat="false" ht="15" hidden="false" customHeight="false" outlineLevel="0" collapsed="false">
      <c r="A49" s="7" t="s">
        <v>196</v>
      </c>
    </row>
    <row r="50" customFormat="false" ht="15" hidden="false" customHeight="false" outlineLevel="0" collapsed="false">
      <c r="A50" s="3" t="s">
        <v>197</v>
      </c>
      <c r="C50" s="28" t="n">
        <f aca="false">B52</f>
        <v>550</v>
      </c>
      <c r="D50" s="28" t="n">
        <f aca="false">C52</f>
        <v>670</v>
      </c>
      <c r="E50" s="28" t="n">
        <f aca="false">D52</f>
        <v>670</v>
      </c>
      <c r="F50" s="28" t="n">
        <f aca="false">E52</f>
        <v>670</v>
      </c>
      <c r="G50" s="28" t="n">
        <f aca="false">F52</f>
        <v>670</v>
      </c>
      <c r="H50" s="28" t="n">
        <f aca="false">G52</f>
        <v>670</v>
      </c>
      <c r="I50" s="28" t="n">
        <f aca="false">H52</f>
        <v>670</v>
      </c>
      <c r="J50" s="28" t="n">
        <f aca="false">I52</f>
        <v>670</v>
      </c>
      <c r="K50" s="28" t="n">
        <f aca="false">J52</f>
        <v>670</v>
      </c>
      <c r="L50" s="28" t="n">
        <f aca="false">K52</f>
        <v>670</v>
      </c>
    </row>
    <row r="51" customFormat="false" ht="15" hidden="false" customHeight="false" outlineLevel="0" collapsed="false">
      <c r="A51" s="3" t="s">
        <v>198</v>
      </c>
      <c r="C51" s="17" t="n">
        <v>120</v>
      </c>
      <c r="D51" s="17" t="n">
        <v>0</v>
      </c>
      <c r="E51" s="17" t="n">
        <v>0</v>
      </c>
      <c r="F51" s="17" t="n">
        <v>0</v>
      </c>
      <c r="G51" s="17" t="n">
        <v>0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</row>
    <row r="52" customFormat="false" ht="15" hidden="false" customHeight="false" outlineLevel="0" collapsed="false">
      <c r="A52" s="3" t="s">
        <v>199</v>
      </c>
      <c r="B52" s="20" t="n">
        <v>550</v>
      </c>
      <c r="C52" s="28" t="n">
        <f aca="false">MAX(0,C50+C51)</f>
        <v>670</v>
      </c>
      <c r="D52" s="28" t="n">
        <f aca="false">MAX(0,D50+D51)</f>
        <v>670</v>
      </c>
      <c r="E52" s="28" t="n">
        <f aca="false">MAX(0,E50+E51)</f>
        <v>670</v>
      </c>
      <c r="F52" s="28" t="n">
        <f aca="false">MAX(0,F50+F51)</f>
        <v>670</v>
      </c>
      <c r="G52" s="28" t="n">
        <f aca="false">MAX(0,G50+G51)</f>
        <v>670</v>
      </c>
      <c r="H52" s="28" t="n">
        <f aca="false">MAX(0,H50+H51)</f>
        <v>670</v>
      </c>
      <c r="I52" s="28" t="n">
        <f aca="false">MAX(0,I50+I51)</f>
        <v>670</v>
      </c>
      <c r="J52" s="28" t="n">
        <f aca="false">MAX(0,J50+J51)</f>
        <v>670</v>
      </c>
      <c r="K52" s="28" t="n">
        <f aca="false">MAX(0,K50+K51)</f>
        <v>670</v>
      </c>
      <c r="L52" s="28" t="n">
        <f aca="false">MAX(0,L50+L51)</f>
        <v>670</v>
      </c>
    </row>
    <row r="53" customFormat="false" ht="15" hidden="false" customHeight="false" outlineLevel="0" collapsed="false">
      <c r="A53" s="3" t="s">
        <v>200</v>
      </c>
      <c r="C53" s="28" t="n">
        <f aca="false">B56</f>
        <v>0</v>
      </c>
      <c r="D53" s="28" t="n">
        <f aca="false">C56</f>
        <v>101.071917808219</v>
      </c>
      <c r="E53" s="28" t="n">
        <f aca="false">D56</f>
        <v>196.049169178082</v>
      </c>
      <c r="F53" s="28" t="n">
        <f aca="false">E56</f>
        <v>45.6169257393835</v>
      </c>
      <c r="G53" s="28" t="n">
        <f aca="false">F56</f>
        <v>0</v>
      </c>
      <c r="H53" s="28" t="n">
        <f aca="false">G56</f>
        <v>0</v>
      </c>
      <c r="I53" s="28" t="n">
        <f aca="false">H56</f>
        <v>0</v>
      </c>
      <c r="J53" s="28" t="n">
        <f aca="false">I56</f>
        <v>0</v>
      </c>
      <c r="K53" s="28" t="n">
        <f aca="false">J56</f>
        <v>0</v>
      </c>
      <c r="L53" s="28" t="n">
        <f aca="false">K56</f>
        <v>0</v>
      </c>
    </row>
    <row r="54" customFormat="false" ht="15" hidden="false" customHeight="false" outlineLevel="0" collapsed="false">
      <c r="A54" s="3" t="s">
        <v>201</v>
      </c>
      <c r="C54" s="28" t="n">
        <f aca="false">MAX(0,Assumptions!$B$36-(B72+C33-C26-C27+C43-C46+C67+C68+C51))</f>
        <v>101.071917808219</v>
      </c>
      <c r="D54" s="28" t="n">
        <f aca="false">MAX(0,Assumptions!$B$36-(C72+D33-D26-D27+D43-D46+D67+D68+D51))</f>
        <v>94.9772513698628</v>
      </c>
      <c r="E54" s="28" t="n">
        <f aca="false">MAX(0,Assumptions!$B$36-(D72+E33-E26-E27+E43-E46+E67+E68+E51))</f>
        <v>0</v>
      </c>
      <c r="F54" s="28" t="n">
        <f aca="false">MAX(0,Assumptions!$B$36-(E72+F33-F26-F27+F43-F46+F67+F68+F51))</f>
        <v>0</v>
      </c>
      <c r="G54" s="28" t="n">
        <f aca="false">MAX(0,Assumptions!$B$36-(F72+G33-G26-G27+G43-G46+G67+G68+G51))</f>
        <v>0</v>
      </c>
      <c r="H54" s="28" t="n">
        <f aca="false">MAX(0,Assumptions!$B$36-(G72+H33-H26-H27+H43-H46+H67+H68+H51))</f>
        <v>0</v>
      </c>
      <c r="I54" s="28" t="n">
        <f aca="false">MAX(0,Assumptions!$B$36-(H72+I33-I26-I27+I43-I46+I67+I68+I51))</f>
        <v>0</v>
      </c>
      <c r="J54" s="28" t="n">
        <f aca="false">MAX(0,Assumptions!$B$36-(I72+J33-J26-J27+J43-J46+J67+J68+J51))</f>
        <v>0</v>
      </c>
      <c r="K54" s="28" t="n">
        <f aca="false">MAX(0,Assumptions!$B$36-(J72+K33-K26-K27+K43-K46+K67+K68+K51))</f>
        <v>0</v>
      </c>
      <c r="L54" s="28" t="n">
        <f aca="false">MAX(0,Assumptions!$B$36-(K72+L33-L26-L27+L43-L46+L67+L68+L51))</f>
        <v>0</v>
      </c>
      <c r="M54" s="15" t="s">
        <v>202</v>
      </c>
    </row>
    <row r="55" customFormat="false" ht="15" hidden="false" customHeight="false" outlineLevel="0" collapsed="false">
      <c r="A55" s="3" t="s">
        <v>203</v>
      </c>
      <c r="C55" s="28" t="n">
        <f aca="false">-MIN(C53,MAX(0,(B72+C33-C26-C27+C43-C46+C67+C68+C51)-Assumptions!$B$36))</f>
        <v>-0</v>
      </c>
      <c r="D55" s="28" t="n">
        <f aca="false">-MIN(D53,MAX(0,(C72+D33-D26-D27+D43-D46+D67+D68+D51)-Assumptions!$B$36))</f>
        <v>-0</v>
      </c>
      <c r="E55" s="28" t="n">
        <f aca="false">-MIN(E53,MAX(0,(D72+E33-E26-E27+E43-E46+E67+E68+E51)-Assumptions!$B$36))</f>
        <v>-150.432243438699</v>
      </c>
      <c r="F55" s="28" t="n">
        <f aca="false">-MIN(F53,MAX(0,(E72+F33-F26-F27+F43-F46+F67+F68+F51)-Assumptions!$B$36))</f>
        <v>-45.6169257393835</v>
      </c>
      <c r="G55" s="28" t="n">
        <f aca="false">-MIN(G53,MAX(0,(F72+G33-G26-G27+G43-G46+G67+G68+G51)-Assumptions!$B$36))</f>
        <v>-0</v>
      </c>
      <c r="H55" s="28" t="n">
        <f aca="false">-MIN(H53,MAX(0,(G72+H33-H26-H27+H43-H46+H67+H68+H51)-Assumptions!$B$36))</f>
        <v>-0</v>
      </c>
      <c r="I55" s="28" t="n">
        <f aca="false">-MIN(I53,MAX(0,(H72+I33-I26-I27+I43-I46+I67+I68+I51)-Assumptions!$B$36))</f>
        <v>-0</v>
      </c>
      <c r="J55" s="28" t="n">
        <f aca="false">-MIN(J53,MAX(0,(I72+J33-J26-J27+J43-J46+J67+J68+J51)-Assumptions!$B$36))</f>
        <v>-0</v>
      </c>
      <c r="K55" s="28" t="n">
        <f aca="false">-MIN(K53,MAX(0,(J72+K33-K26-K27+K43-K46+K67+K68+K51)-Assumptions!$B$36))</f>
        <v>-0</v>
      </c>
      <c r="L55" s="28" t="n">
        <f aca="false">-MIN(L53,MAX(0,(K72+L33-L26-L27+L43-L46+L67+L68+L51)-Assumptions!$B$36))</f>
        <v>-0</v>
      </c>
    </row>
    <row r="56" customFormat="false" ht="15" hidden="false" customHeight="false" outlineLevel="0" collapsed="false">
      <c r="A56" s="3" t="s">
        <v>204</v>
      </c>
      <c r="B56" s="28" t="n">
        <v>0</v>
      </c>
      <c r="C56" s="28" t="n">
        <f aca="false">C53+C54+C55</f>
        <v>101.071917808219</v>
      </c>
      <c r="D56" s="28" t="n">
        <f aca="false">D53+D54+D55</f>
        <v>196.049169178082</v>
      </c>
      <c r="E56" s="28" t="n">
        <f aca="false">E53+E54+E55</f>
        <v>45.6169257393835</v>
      </c>
      <c r="F56" s="28" t="n">
        <f aca="false">F53+F54+F55</f>
        <v>0</v>
      </c>
      <c r="G56" s="28" t="n">
        <f aca="false">G53+G54+G55</f>
        <v>0</v>
      </c>
      <c r="H56" s="28" t="n">
        <f aca="false">H53+H54+H55</f>
        <v>0</v>
      </c>
      <c r="I56" s="28" t="n">
        <f aca="false">I53+I54+I55</f>
        <v>0</v>
      </c>
      <c r="J56" s="28" t="n">
        <f aca="false">J53+J54+J55</f>
        <v>0</v>
      </c>
      <c r="K56" s="28" t="n">
        <f aca="false">K53+K54+K55</f>
        <v>0</v>
      </c>
      <c r="L56" s="28" t="n">
        <f aca="false">L53+L54+L55</f>
        <v>0</v>
      </c>
    </row>
    <row r="57" customFormat="false" ht="15" hidden="false" customHeight="false" outlineLevel="0" collapsed="false">
      <c r="A57" s="9" t="s">
        <v>205</v>
      </c>
      <c r="B57" s="28" t="n">
        <f aca="false">B52+B56</f>
        <v>550</v>
      </c>
      <c r="C57" s="27" t="n">
        <f aca="false">C52+C56</f>
        <v>771.071917808219</v>
      </c>
      <c r="D57" s="27" t="n">
        <f aca="false">D52+D56</f>
        <v>866.049169178082</v>
      </c>
      <c r="E57" s="27" t="n">
        <f aca="false">E52+E56</f>
        <v>715.616925739383</v>
      </c>
      <c r="F57" s="27" t="n">
        <f aca="false">F52+F56</f>
        <v>670</v>
      </c>
      <c r="G57" s="27" t="n">
        <f aca="false">G52+G56</f>
        <v>670</v>
      </c>
      <c r="H57" s="27" t="n">
        <f aca="false">H52+H56</f>
        <v>670</v>
      </c>
      <c r="I57" s="27" t="n">
        <f aca="false">I52+I56</f>
        <v>670</v>
      </c>
      <c r="J57" s="27" t="n">
        <f aca="false">J52+J56</f>
        <v>670</v>
      </c>
      <c r="K57" s="27" t="n">
        <f aca="false">K52+K56</f>
        <v>670</v>
      </c>
      <c r="L57" s="27" t="n">
        <f aca="false">L52+L56</f>
        <v>670</v>
      </c>
    </row>
    <row r="59" customFormat="false" ht="15" hidden="false" customHeight="false" outlineLevel="0" collapsed="false">
      <c r="A59" s="7" t="s">
        <v>206</v>
      </c>
    </row>
    <row r="60" customFormat="false" ht="15" hidden="false" customHeight="false" outlineLevel="0" collapsed="false">
      <c r="A60" s="3" t="s">
        <v>182</v>
      </c>
      <c r="C60" s="28" t="n">
        <f aca="false">C33</f>
        <v>39</v>
      </c>
      <c r="D60" s="28" t="n">
        <f aca="false">D33</f>
        <v>75.5485020547947</v>
      </c>
      <c r="E60" s="28" t="n">
        <f aca="false">E33</f>
        <v>150.135250758904</v>
      </c>
      <c r="F60" s="28" t="n">
        <f aca="false">F33</f>
        <v>273.773395078779</v>
      </c>
      <c r="G60" s="28" t="n">
        <f aca="false">G33</f>
        <v>250.554948628931</v>
      </c>
      <c r="H60" s="28" t="n">
        <f aca="false">H33</f>
        <v>178.655492088519</v>
      </c>
      <c r="I60" s="28" t="n">
        <f aca="false">I33</f>
        <v>55.855429593393</v>
      </c>
      <c r="J60" s="28" t="n">
        <f aca="false">J33</f>
        <v>-134.560585595328</v>
      </c>
      <c r="K60" s="28" t="n">
        <f aca="false">K33</f>
        <v>-54.6579022472397</v>
      </c>
      <c r="L60" s="28" t="n">
        <f aca="false">L33</f>
        <v>32.8977265102046</v>
      </c>
    </row>
    <row r="61" customFormat="false" ht="15" hidden="false" customHeight="false" outlineLevel="0" collapsed="false">
      <c r="A61" s="3" t="s">
        <v>207</v>
      </c>
      <c r="C61" s="28" t="n">
        <f aca="false">-C27</f>
        <v>57.75</v>
      </c>
      <c r="D61" s="28" t="n">
        <f aca="false">-D27</f>
        <v>77.175</v>
      </c>
      <c r="E61" s="28" t="n">
        <f aca="false">-E27</f>
        <v>100.163109375</v>
      </c>
      <c r="F61" s="28" t="n">
        <f aca="false">-F27</f>
        <v>126.14356125</v>
      </c>
      <c r="G61" s="28" t="n">
        <f aca="false">-G27</f>
        <v>154.008476830811</v>
      </c>
      <c r="H61" s="28" t="n">
        <f aca="false">-H27</f>
        <v>182.102865288473</v>
      </c>
      <c r="I61" s="28" t="n">
        <f aca="false">-I27</f>
        <v>208.316475883523</v>
      </c>
      <c r="J61" s="28" t="n">
        <f aca="false">-J27</f>
        <v>230.290504146075</v>
      </c>
      <c r="K61" s="28" t="n">
        <f aca="false">-K27</f>
        <v>245.725600028583</v>
      </c>
      <c r="L61" s="28" t="n">
        <f aca="false">-L27</f>
        <v>252.746331457971</v>
      </c>
    </row>
    <row r="62" customFormat="false" ht="15" hidden="false" customHeight="false" outlineLevel="0" collapsed="false">
      <c r="A62" s="3" t="s">
        <v>208</v>
      </c>
      <c r="C62" s="28" t="n">
        <f aca="false">-C26</f>
        <v>21</v>
      </c>
      <c r="D62" s="28" t="n">
        <f aca="false">-D26</f>
        <v>27.09</v>
      </c>
      <c r="E62" s="28" t="n">
        <f aca="false">-E26</f>
        <v>33.8695875</v>
      </c>
      <c r="F62" s="28" t="n">
        <f aca="false">-F26</f>
        <v>40.99665740625</v>
      </c>
      <c r="G62" s="28" t="n">
        <f aca="false">-G26</f>
        <v>47.9857990967578</v>
      </c>
      <c r="H62" s="28" t="n">
        <f aca="false">-H26</f>
        <v>54.2434066816729</v>
      </c>
      <c r="I62" s="28" t="n">
        <f aca="false">-I26</f>
        <v>59.1349996056452</v>
      </c>
      <c r="J62" s="28" t="n">
        <f aca="false">-J26</f>
        <v>62.0783098132898</v>
      </c>
      <c r="K62" s="28" t="n">
        <f aca="false">-K26</f>
        <v>62.6465266006937</v>
      </c>
      <c r="L62" s="28" t="n">
        <f aca="false">-L26</f>
        <v>60.659119549913</v>
      </c>
    </row>
    <row r="63" customFormat="false" ht="15" hidden="false" customHeight="false" outlineLevel="0" collapsed="false">
      <c r="A63" s="3" t="s">
        <v>209</v>
      </c>
      <c r="C63" s="28" t="n">
        <f aca="false">C43</f>
        <v>-3.82191780821918</v>
      </c>
      <c r="D63" s="28" t="n">
        <f aca="false">D43</f>
        <v>-64.7907534246575</v>
      </c>
      <c r="E63" s="28" t="n">
        <f aca="false">E43</f>
        <v>-77.9747979452055</v>
      </c>
      <c r="F63" s="28" t="n">
        <f aca="false">F43</f>
        <v>-89.7510827215325</v>
      </c>
      <c r="G63" s="28" t="n">
        <f aca="false">G43</f>
        <v>-98.2518482623957</v>
      </c>
      <c r="H63" s="28" t="n">
        <f aca="false">H43</f>
        <v>-101.459718579845</v>
      </c>
      <c r="I63" s="28" t="n">
        <f aca="false">I43</f>
        <v>-97.5465763748332</v>
      </c>
      <c r="J63" s="28" t="n">
        <f aca="false">J43</f>
        <v>-85.287784572896</v>
      </c>
      <c r="K63" s="28" t="n">
        <f aca="false">K43</f>
        <v>-64.4657392878534</v>
      </c>
      <c r="L63" s="28" t="n">
        <f aca="false">L43</f>
        <v>-36.1497387318881</v>
      </c>
    </row>
    <row r="64" customFormat="false" ht="15" hidden="false" customHeight="false" outlineLevel="0" collapsed="false">
      <c r="A64" s="9" t="s">
        <v>210</v>
      </c>
      <c r="C64" s="27" t="n">
        <f aca="false">SUM(C60:C63)</f>
        <v>113.928082191781</v>
      </c>
      <c r="D64" s="27" t="n">
        <f aca="false">SUM(D60:D63)</f>
        <v>115.022748630137</v>
      </c>
      <c r="E64" s="27" t="n">
        <f aca="false">SUM(E60:E63)</f>
        <v>206.193149688699</v>
      </c>
      <c r="F64" s="27" t="n">
        <f aca="false">SUM(F60:F63)</f>
        <v>351.162531013497</v>
      </c>
      <c r="G64" s="27" t="n">
        <f aca="false">SUM(G60:G63)</f>
        <v>354.297376294104</v>
      </c>
      <c r="H64" s="27" t="n">
        <f aca="false">SUM(H60:H63)</f>
        <v>313.542045478819</v>
      </c>
      <c r="I64" s="27" t="n">
        <f aca="false">SUM(I60:I63)</f>
        <v>225.760328707728</v>
      </c>
      <c r="J64" s="27" t="n">
        <f aca="false">SUM(J60:J63)</f>
        <v>72.5204437911402</v>
      </c>
      <c r="K64" s="27" t="n">
        <f aca="false">SUM(K60:K63)</f>
        <v>189.248485094183</v>
      </c>
      <c r="L64" s="27" t="n">
        <f aca="false">SUM(L60:L63)</f>
        <v>310.1534387862</v>
      </c>
    </row>
    <row r="65" customFormat="false" ht="15" hidden="false" customHeight="false" outlineLevel="0" collapsed="false">
      <c r="A65" s="3" t="s">
        <v>211</v>
      </c>
      <c r="C65" s="28" t="n">
        <f aca="false">-C46</f>
        <v>-300</v>
      </c>
      <c r="D65" s="28" t="n">
        <f aca="false">-D46</f>
        <v>-210</v>
      </c>
      <c r="E65" s="28" t="n">
        <f aca="false">-E46</f>
        <v>-55.76090625</v>
      </c>
      <c r="F65" s="28" t="n">
        <f aca="false">-F46</f>
        <v>-70.955753203125</v>
      </c>
      <c r="G65" s="28" t="n">
        <f aca="false">-G46</f>
        <v>-87.5416605143555</v>
      </c>
      <c r="H65" s="28" t="n">
        <f aca="false">-H46</f>
        <v>-104.612284314655</v>
      </c>
      <c r="I65" s="28" t="n">
        <f aca="false">-I46</f>
        <v>-120.95795373882</v>
      </c>
      <c r="J65" s="28" t="n">
        <f aca="false">-J46</f>
        <v>-135.170513303131</v>
      </c>
      <c r="K65" s="28" t="n">
        <f aca="false">-K46</f>
        <v>-145.815191225752</v>
      </c>
      <c r="L65" s="28" t="n">
        <f aca="false">-L46</f>
        <v>-151.647798874783</v>
      </c>
    </row>
    <row r="66" customFormat="false" ht="15" hidden="false" customHeight="false" outlineLevel="0" collapsed="false">
      <c r="A66" s="9" t="s">
        <v>212</v>
      </c>
      <c r="C66" s="27" t="n">
        <f aca="false">C64+C65</f>
        <v>-186.071917808219</v>
      </c>
      <c r="D66" s="27" t="n">
        <f aca="false">D64+D65</f>
        <v>-94.9772513698628</v>
      </c>
      <c r="E66" s="27" t="n">
        <f aca="false">E64+E65</f>
        <v>150.432243438699</v>
      </c>
      <c r="F66" s="27" t="n">
        <f aca="false">F64+F65</f>
        <v>280.206777810372</v>
      </c>
      <c r="G66" s="27" t="n">
        <f aca="false">G64+G65</f>
        <v>266.755715779748</v>
      </c>
      <c r="H66" s="27" t="n">
        <f aca="false">H64+H65</f>
        <v>208.929761164164</v>
      </c>
      <c r="I66" s="27" t="n">
        <f aca="false">I64+I65</f>
        <v>104.802374968908</v>
      </c>
      <c r="J66" s="27" t="n">
        <f aca="false">J64+J65</f>
        <v>-62.6500695119908</v>
      </c>
      <c r="K66" s="27" t="n">
        <f aca="false">K64+K65</f>
        <v>43.433293868431</v>
      </c>
      <c r="L66" s="27" t="n">
        <f aca="false">L64+L65</f>
        <v>158.505639911418</v>
      </c>
    </row>
    <row r="67" customFormat="false" ht="15" hidden="false" customHeight="false" outlineLevel="0" collapsed="false">
      <c r="A67" s="3" t="s">
        <v>213</v>
      </c>
      <c r="C67" s="25" t="n">
        <f aca="false">-Assumptions!$B$43</f>
        <v>-135</v>
      </c>
      <c r="D67" s="17" t="n">
        <v>0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  <c r="L67" s="17" t="n">
        <v>0</v>
      </c>
    </row>
    <row r="68" customFormat="false" ht="15" hidden="false" customHeight="false" outlineLevel="0" collapsed="false">
      <c r="A68" s="3" t="s">
        <v>214</v>
      </c>
      <c r="C68" s="25" t="n">
        <f aca="false">Assumptions!$B$44</f>
        <v>0</v>
      </c>
      <c r="D68" s="17" t="n">
        <v>0</v>
      </c>
      <c r="E68" s="17" t="n">
        <v>0</v>
      </c>
      <c r="F68" s="17" t="n">
        <v>0</v>
      </c>
      <c r="G68" s="17" t="n">
        <v>0</v>
      </c>
      <c r="H68" s="17" t="n">
        <v>0</v>
      </c>
      <c r="I68" s="17" t="n">
        <v>0</v>
      </c>
      <c r="J68" s="17" t="n">
        <v>0</v>
      </c>
      <c r="K68" s="17" t="n">
        <v>0</v>
      </c>
      <c r="L68" s="17" t="n">
        <v>0</v>
      </c>
    </row>
    <row r="69" customFormat="false" ht="15" hidden="false" customHeight="false" outlineLevel="0" collapsed="false">
      <c r="A69" s="3" t="s">
        <v>215</v>
      </c>
      <c r="C69" s="28" t="n">
        <f aca="false">C51+C54+C55</f>
        <v>221.071917808219</v>
      </c>
      <c r="D69" s="28" t="n">
        <f aca="false">D51+D54+D55</f>
        <v>94.9772513698628</v>
      </c>
      <c r="E69" s="28" t="n">
        <f aca="false">E51+E54+E55</f>
        <v>-150.432243438699</v>
      </c>
      <c r="F69" s="28" t="n">
        <f aca="false">F51+F54+F55</f>
        <v>-45.6169257393835</v>
      </c>
      <c r="G69" s="28" t="n">
        <f aca="false">G51+G54+G55</f>
        <v>0</v>
      </c>
      <c r="H69" s="28" t="n">
        <f aca="false">H51+H54+H55</f>
        <v>0</v>
      </c>
      <c r="I69" s="28" t="n">
        <f aca="false">I51+I54+I55</f>
        <v>0</v>
      </c>
      <c r="J69" s="28" t="n">
        <f aca="false">J51+J54+J55</f>
        <v>0</v>
      </c>
      <c r="K69" s="28" t="n">
        <f aca="false">K51+K54+K55</f>
        <v>0</v>
      </c>
      <c r="L69" s="28" t="n">
        <f aca="false">L51+L54+L55</f>
        <v>0</v>
      </c>
    </row>
    <row r="70" customFormat="false" ht="15" hidden="false" customHeight="false" outlineLevel="0" collapsed="false">
      <c r="A70" s="9" t="s">
        <v>216</v>
      </c>
      <c r="C70" s="27" t="n">
        <f aca="false">C66+C67+C68+C69</f>
        <v>-100</v>
      </c>
      <c r="D70" s="27" t="n">
        <f aca="false">D66+D67+D68+D69</f>
        <v>0</v>
      </c>
      <c r="E70" s="27" t="n">
        <f aca="false">E66+E67+E68+E69</f>
        <v>0</v>
      </c>
      <c r="F70" s="27" t="n">
        <f aca="false">F66+F67+F68+F69</f>
        <v>234.589852070988</v>
      </c>
      <c r="G70" s="27" t="n">
        <f aca="false">G66+G67+G68+G69</f>
        <v>266.755715779748</v>
      </c>
      <c r="H70" s="27" t="n">
        <f aca="false">H66+H67+H68+H69</f>
        <v>208.929761164164</v>
      </c>
      <c r="I70" s="27" t="n">
        <f aca="false">I66+I67+I68+I69</f>
        <v>104.802374968908</v>
      </c>
      <c r="J70" s="27" t="n">
        <f aca="false">J66+J67+J68+J69</f>
        <v>-62.6500695119908</v>
      </c>
      <c r="K70" s="27" t="n">
        <f aca="false">K66+K67+K68+K69</f>
        <v>43.433293868431</v>
      </c>
      <c r="L70" s="27" t="n">
        <f aca="false">L66+L67+L68+L69</f>
        <v>158.505639911418</v>
      </c>
    </row>
    <row r="71" customFormat="false" ht="15" hidden="false" customHeight="false" outlineLevel="0" collapsed="false">
      <c r="A71" s="3" t="s">
        <v>217</v>
      </c>
      <c r="C71" s="28" t="n">
        <f aca="false">B72</f>
        <v>200</v>
      </c>
      <c r="D71" s="28" t="n">
        <f aca="false">C72</f>
        <v>100</v>
      </c>
      <c r="E71" s="28" t="n">
        <f aca="false">D72</f>
        <v>100</v>
      </c>
      <c r="F71" s="28" t="n">
        <f aca="false">E72</f>
        <v>100</v>
      </c>
      <c r="G71" s="28" t="n">
        <f aca="false">F72</f>
        <v>334.589852070989</v>
      </c>
      <c r="H71" s="28" t="n">
        <f aca="false">G72</f>
        <v>601.345567850737</v>
      </c>
      <c r="I71" s="28" t="n">
        <f aca="false">H72</f>
        <v>810.275329014901</v>
      </c>
      <c r="J71" s="28" t="n">
        <f aca="false">I72</f>
        <v>915.077703983809</v>
      </c>
      <c r="K71" s="28" t="n">
        <f aca="false">J72</f>
        <v>852.427634471819</v>
      </c>
      <c r="L71" s="28" t="n">
        <f aca="false">K72</f>
        <v>895.86092834025</v>
      </c>
    </row>
    <row r="72" customFormat="false" ht="15" hidden="false" customHeight="false" outlineLevel="0" collapsed="false">
      <c r="A72" s="9" t="s">
        <v>218</v>
      </c>
      <c r="B72" s="20" t="n">
        <v>200</v>
      </c>
      <c r="C72" s="27" t="n">
        <f aca="false">C71+C70</f>
        <v>100</v>
      </c>
      <c r="D72" s="27" t="n">
        <f aca="false">D71+D70</f>
        <v>100</v>
      </c>
      <c r="E72" s="27" t="n">
        <f aca="false">E71+E70</f>
        <v>100</v>
      </c>
      <c r="F72" s="27" t="n">
        <f aca="false">F71+F70</f>
        <v>334.589852070989</v>
      </c>
      <c r="G72" s="27" t="n">
        <f aca="false">G71+G70</f>
        <v>601.345567850737</v>
      </c>
      <c r="H72" s="27" t="n">
        <f aca="false">H71+H70</f>
        <v>810.275329014901</v>
      </c>
      <c r="I72" s="27" t="n">
        <f aca="false">I71+I70</f>
        <v>915.077703983809</v>
      </c>
      <c r="J72" s="27" t="n">
        <f aca="false">J71+J70</f>
        <v>852.427634471819</v>
      </c>
      <c r="K72" s="27" t="n">
        <f aca="false">K71+K70</f>
        <v>895.86092834025</v>
      </c>
      <c r="L72" s="27" t="n">
        <f aca="false">L71+L70</f>
        <v>1054.36656825167</v>
      </c>
    </row>
    <row r="74" customFormat="false" ht="15" hidden="false" customHeight="false" outlineLevel="0" collapsed="false">
      <c r="A74" s="7" t="s">
        <v>219</v>
      </c>
    </row>
    <row r="75" customFormat="false" ht="15" hidden="false" customHeight="false" outlineLevel="0" collapsed="false">
      <c r="A75" s="3" t="s">
        <v>220</v>
      </c>
      <c r="B75" s="28" t="n">
        <f aca="false">B72</f>
        <v>200</v>
      </c>
      <c r="C75" s="28" t="n">
        <f aca="false">C72</f>
        <v>100</v>
      </c>
      <c r="D75" s="28" t="n">
        <f aca="false">D72</f>
        <v>100</v>
      </c>
      <c r="E75" s="28" t="n">
        <f aca="false">E72</f>
        <v>100</v>
      </c>
      <c r="F75" s="28" t="n">
        <f aca="false">F72</f>
        <v>334.589852070989</v>
      </c>
      <c r="G75" s="28" t="n">
        <f aca="false">G72</f>
        <v>601.345567850737</v>
      </c>
      <c r="H75" s="28" t="n">
        <f aca="false">H72</f>
        <v>810.275329014901</v>
      </c>
      <c r="I75" s="28" t="n">
        <f aca="false">I72</f>
        <v>915.077703983809</v>
      </c>
      <c r="J75" s="28" t="n">
        <f aca="false">J72</f>
        <v>852.427634471819</v>
      </c>
      <c r="K75" s="28" t="n">
        <f aca="false">K72</f>
        <v>895.86092834025</v>
      </c>
      <c r="L75" s="28" t="n">
        <f aca="false">L72</f>
        <v>1054.36656825167</v>
      </c>
    </row>
    <row r="76" customFormat="false" ht="15" hidden="false" customHeight="false" outlineLevel="0" collapsed="false">
      <c r="A76" s="3" t="s">
        <v>185</v>
      </c>
      <c r="B76" s="28" t="n">
        <f aca="false">B37</f>
        <v>120</v>
      </c>
      <c r="C76" s="28" t="n">
        <f aca="false">C37</f>
        <v>129.452054794521</v>
      </c>
      <c r="D76" s="28" t="n">
        <f aca="false">D37</f>
        <v>174.760273972603</v>
      </c>
      <c r="E76" s="28" t="n">
        <f aca="false">E37</f>
        <v>229.154409246575</v>
      </c>
      <c r="F76" s="28" t="n">
        <f aca="false">F37</f>
        <v>291.598985766267</v>
      </c>
      <c r="G76" s="28" t="n">
        <f aca="false">G37</f>
        <v>359.760248689132</v>
      </c>
      <c r="H76" s="28" t="n">
        <f aca="false">H37</f>
        <v>429.913497183513</v>
      </c>
      <c r="I76" s="28" t="n">
        <f aca="false">I37</f>
        <v>497.087481118437</v>
      </c>
      <c r="J76" s="28" t="n">
        <f aca="false">J37</f>
        <v>555.495260149853</v>
      </c>
      <c r="K76" s="28" t="n">
        <f aca="false">K37</f>
        <v>599.240511886654</v>
      </c>
      <c r="L76" s="28" t="n">
        <f aca="false">L37</f>
        <v>623.21013236212</v>
      </c>
    </row>
    <row r="77" customFormat="false" ht="15" hidden="false" customHeight="false" outlineLevel="0" collapsed="false">
      <c r="A77" s="3" t="s">
        <v>221</v>
      </c>
      <c r="B77" s="28" t="n">
        <f aca="false">B38</f>
        <v>180</v>
      </c>
      <c r="C77" s="28" t="n">
        <f aca="false">C38</f>
        <v>209.280821917808</v>
      </c>
      <c r="D77" s="28" t="n">
        <f aca="false">D38</f>
        <v>278.969178082192</v>
      </c>
      <c r="E77" s="28" t="n">
        <f aca="false">E38</f>
        <v>361.130374571918</v>
      </c>
      <c r="F77" s="28" t="n">
        <f aca="false">F38</f>
        <v>453.598422303082</v>
      </c>
      <c r="G77" s="28" t="n">
        <f aca="false">G38</f>
        <v>552.298604006094</v>
      </c>
      <c r="H77" s="28" t="n">
        <f aca="false">H38</f>
        <v>651.239334622432</v>
      </c>
      <c r="I77" s="28" t="n">
        <f aca="false">I38</f>
        <v>742.86962456033</v>
      </c>
      <c r="J77" s="28" t="n">
        <f aca="false">J38</f>
        <v>818.841161257932</v>
      </c>
      <c r="K77" s="28" t="n">
        <f aca="false">K38</f>
        <v>871.118151538932</v>
      </c>
      <c r="L77" s="28" t="n">
        <f aca="false">L38</f>
        <v>893.267856385705</v>
      </c>
    </row>
    <row r="78" customFormat="false" ht="15" hidden="false" customHeight="false" outlineLevel="0" collapsed="false">
      <c r="A78" s="3" t="s">
        <v>222</v>
      </c>
      <c r="B78" s="28" t="n">
        <f aca="false">B39</f>
        <v>90</v>
      </c>
      <c r="C78" s="28" t="n">
        <f aca="false">C39</f>
        <v>84</v>
      </c>
      <c r="D78" s="28" t="n">
        <f aca="false">D39</f>
        <v>113.4</v>
      </c>
      <c r="E78" s="28" t="n">
        <f aca="false">E39</f>
        <v>148.69575</v>
      </c>
      <c r="F78" s="28" t="n">
        <f aca="false">F39</f>
        <v>189.215341875</v>
      </c>
      <c r="G78" s="28" t="n">
        <f aca="false">G39</f>
        <v>233.444428038281</v>
      </c>
      <c r="H78" s="28" t="n">
        <f aca="false">H39</f>
        <v>278.966091505746</v>
      </c>
      <c r="I78" s="28" t="n">
        <f aca="false">I39</f>
        <v>322.554543303519</v>
      </c>
      <c r="J78" s="28" t="n">
        <f aca="false">J39</f>
        <v>360.454702141682</v>
      </c>
      <c r="K78" s="28" t="n">
        <f aca="false">K39</f>
        <v>388.84050993534</v>
      </c>
      <c r="L78" s="28" t="n">
        <f aca="false">L39</f>
        <v>404.394130332754</v>
      </c>
    </row>
    <row r="79" customFormat="false" ht="15" hidden="false" customHeight="false" outlineLevel="0" collapsed="false">
      <c r="A79" s="3" t="s">
        <v>195</v>
      </c>
      <c r="B79" s="28" t="n">
        <f aca="false">B47</f>
        <v>900</v>
      </c>
      <c r="C79" s="28" t="n">
        <f aca="false">C47</f>
        <v>1148.025</v>
      </c>
      <c r="D79" s="28" t="n">
        <f aca="false">D47</f>
        <v>1288.5675</v>
      </c>
      <c r="E79" s="28" t="n">
        <f aca="false">E47</f>
        <v>1254.1816078125</v>
      </c>
      <c r="F79" s="28" t="n">
        <f aca="false">F47</f>
        <v>1211.60815589063</v>
      </c>
      <c r="G79" s="28" t="n">
        <f aca="false">G47</f>
        <v>1160.54218725725</v>
      </c>
      <c r="H79" s="28" t="n">
        <f aca="false">H47</f>
        <v>1101.26189281228</v>
      </c>
      <c r="I79" s="28" t="n">
        <f aca="false">I47</f>
        <v>1034.73501825593</v>
      </c>
      <c r="J79" s="28" t="n">
        <f aca="false">J47</f>
        <v>962.644077827593</v>
      </c>
      <c r="K79" s="28" t="n">
        <f aca="false">K47</f>
        <v>887.306229027621</v>
      </c>
      <c r="L79" s="28" t="n">
        <f aca="false">L47</f>
        <v>811.482329590229</v>
      </c>
    </row>
    <row r="80" customFormat="false" ht="15" hidden="false" customHeight="false" outlineLevel="0" collapsed="false">
      <c r="A80" s="3" t="s">
        <v>223</v>
      </c>
      <c r="B80" s="20" t="n">
        <v>300</v>
      </c>
      <c r="C80" s="28" t="n">
        <f aca="false">B80-C67+C27*0.1</f>
        <v>429.225</v>
      </c>
      <c r="D80" s="28" t="n">
        <f aca="false">C80-D67+D27*0.1</f>
        <v>421.5075</v>
      </c>
      <c r="E80" s="28" t="n">
        <f aca="false">D80-E67+E27*0.1</f>
        <v>411.4911890625</v>
      </c>
      <c r="F80" s="28" t="n">
        <f aca="false">E80-F67+F27*0.1</f>
        <v>398.8768329375</v>
      </c>
      <c r="G80" s="28" t="n">
        <f aca="false">F80-G67+G27*0.1</f>
        <v>383.475985254419</v>
      </c>
      <c r="H80" s="28" t="n">
        <f aca="false">G80-H67+H27*0.1</f>
        <v>365.265698725572</v>
      </c>
      <c r="I80" s="28" t="n">
        <f aca="false">H80-I67+I27*0.1</f>
        <v>344.434051137219</v>
      </c>
      <c r="J80" s="28" t="n">
        <f aca="false">I80-J67+J27*0.1</f>
        <v>321.405000722612</v>
      </c>
      <c r="K80" s="28" t="n">
        <f aca="false">J80-K67+K27*0.1</f>
        <v>296.832440719754</v>
      </c>
      <c r="L80" s="28" t="n">
        <f aca="false">K80-L67+L27*0.1</f>
        <v>271.557807573957</v>
      </c>
    </row>
    <row r="81" customFormat="false" ht="15" hidden="false" customHeight="false" outlineLevel="0" collapsed="false">
      <c r="A81" s="9" t="s">
        <v>224</v>
      </c>
      <c r="B81" s="27" t="n">
        <f aca="false">SUM(B75:B80)</f>
        <v>1790</v>
      </c>
      <c r="C81" s="27" t="n">
        <f aca="false">SUM(C75:C80)</f>
        <v>2099.98287671233</v>
      </c>
      <c r="D81" s="27" t="n">
        <f aca="false">SUM(D75:D80)</f>
        <v>2377.20445205479</v>
      </c>
      <c r="E81" s="27" t="n">
        <f aca="false">SUM(E75:E80)</f>
        <v>2504.65333069349</v>
      </c>
      <c r="F81" s="27" t="n">
        <f aca="false">SUM(F75:F80)</f>
        <v>2879.48759084346</v>
      </c>
      <c r="G81" s="27" t="n">
        <f aca="false">SUM(G75:G80)</f>
        <v>3290.86702109591</v>
      </c>
      <c r="H81" s="27" t="n">
        <f aca="false">SUM(H75:H80)</f>
        <v>3636.92184386444</v>
      </c>
      <c r="I81" s="27" t="n">
        <f aca="false">SUM(I75:I80)</f>
        <v>3856.75842235924</v>
      </c>
      <c r="J81" s="27" t="n">
        <f aca="false">SUM(J75:J80)</f>
        <v>3871.26783657149</v>
      </c>
      <c r="K81" s="27" t="n">
        <f aca="false">SUM(K75:K80)</f>
        <v>3939.19877144855</v>
      </c>
      <c r="L81" s="27" t="n">
        <f aca="false">SUM(L75:L80)</f>
        <v>4058.27882449643</v>
      </c>
    </row>
    <row r="82" customFormat="false" ht="15" hidden="false" customHeight="false" outlineLevel="0" collapsed="false">
      <c r="A82" s="3" t="s">
        <v>188</v>
      </c>
      <c r="B82" s="28" t="n">
        <f aca="false">-B40</f>
        <v>160</v>
      </c>
      <c r="C82" s="28" t="n">
        <f aca="false">-C40</f>
        <v>186.41095890411</v>
      </c>
      <c r="D82" s="28" t="n">
        <f aca="false">-D40</f>
        <v>247.641780821918</v>
      </c>
      <c r="E82" s="28" t="n">
        <f aca="false">-E40</f>
        <v>319.458220890411</v>
      </c>
      <c r="F82" s="28" t="n">
        <f aca="false">-F40</f>
        <v>399.81460937286</v>
      </c>
      <c r="G82" s="28" t="n">
        <f aca="false">-G40</f>
        <v>485.010113047571</v>
      </c>
      <c r="H82" s="28" t="n">
        <f aca="false">-H40</f>
        <v>569.714997378744</v>
      </c>
      <c r="I82" s="28" t="n">
        <f aca="false">-I40</f>
        <v>647.318364300898</v>
      </c>
      <c r="J82" s="28" t="n">
        <f aca="false">-J40</f>
        <v>710.622455021331</v>
      </c>
      <c r="K82" s="28" t="n">
        <f aca="false">-K40</f>
        <v>752.8236356739</v>
      </c>
      <c r="L82" s="28" t="n">
        <f aca="false">-L40</f>
        <v>768.625829913282</v>
      </c>
    </row>
    <row r="83" customFormat="false" ht="15" hidden="false" customHeight="false" outlineLevel="0" collapsed="false">
      <c r="A83" s="3" t="s">
        <v>225</v>
      </c>
      <c r="B83" s="28" t="n">
        <f aca="false">-B41</f>
        <v>50</v>
      </c>
      <c r="C83" s="28" t="n">
        <f aca="false">-C41</f>
        <v>52.5</v>
      </c>
      <c r="D83" s="28" t="n">
        <f aca="false">-D41</f>
        <v>70.875</v>
      </c>
      <c r="E83" s="28" t="n">
        <f aca="false">-E41</f>
        <v>92.93484375</v>
      </c>
      <c r="F83" s="28" t="n">
        <f aca="false">-F41</f>
        <v>118.259588671875</v>
      </c>
      <c r="G83" s="28" t="n">
        <f aca="false">-G41</f>
        <v>145.902767523926</v>
      </c>
      <c r="H83" s="28" t="n">
        <f aca="false">-H41</f>
        <v>174.353807191091</v>
      </c>
      <c r="I83" s="28" t="n">
        <f aca="false">-I41</f>
        <v>201.596589564699</v>
      </c>
      <c r="J83" s="28" t="n">
        <f aca="false">-J41</f>
        <v>225.284188838552</v>
      </c>
      <c r="K83" s="28" t="n">
        <f aca="false">-K41</f>
        <v>243.025318709587</v>
      </c>
      <c r="L83" s="28" t="n">
        <f aca="false">-L41</f>
        <v>252.746331457971</v>
      </c>
    </row>
    <row r="84" customFormat="false" ht="15" hidden="false" customHeight="false" outlineLevel="0" collapsed="false">
      <c r="A84" s="3" t="s">
        <v>226</v>
      </c>
      <c r="B84" s="28" t="n">
        <f aca="false">B57</f>
        <v>550</v>
      </c>
      <c r="C84" s="28" t="n">
        <f aca="false">C57</f>
        <v>771.071917808219</v>
      </c>
      <c r="D84" s="28" t="n">
        <f aca="false">D57</f>
        <v>866.049169178082</v>
      </c>
      <c r="E84" s="28" t="n">
        <f aca="false">E57</f>
        <v>715.616925739383</v>
      </c>
      <c r="F84" s="28" t="n">
        <f aca="false">F57</f>
        <v>670</v>
      </c>
      <c r="G84" s="28" t="n">
        <f aca="false">G57</f>
        <v>670</v>
      </c>
      <c r="H84" s="28" t="n">
        <f aca="false">H57</f>
        <v>670</v>
      </c>
      <c r="I84" s="28" t="n">
        <f aca="false">I57</f>
        <v>670</v>
      </c>
      <c r="J84" s="28" t="n">
        <f aca="false">J57</f>
        <v>670</v>
      </c>
      <c r="K84" s="28" t="n">
        <f aca="false">K57</f>
        <v>670</v>
      </c>
      <c r="L84" s="28" t="n">
        <f aca="false">L57</f>
        <v>670</v>
      </c>
    </row>
    <row r="85" customFormat="false" ht="15" hidden="false" customHeight="false" outlineLevel="0" collapsed="false">
      <c r="A85" s="3" t="s">
        <v>227</v>
      </c>
      <c r="B85" s="20" t="n">
        <v>120</v>
      </c>
      <c r="C85" s="28" t="n">
        <f aca="false">B85</f>
        <v>120</v>
      </c>
      <c r="D85" s="28" t="n">
        <f aca="false">B85</f>
        <v>120</v>
      </c>
      <c r="E85" s="28" t="n">
        <f aca="false">B85</f>
        <v>120</v>
      </c>
      <c r="F85" s="28" t="n">
        <f aca="false">B85</f>
        <v>120</v>
      </c>
      <c r="G85" s="28" t="n">
        <f aca="false">B85</f>
        <v>120</v>
      </c>
      <c r="H85" s="28" t="n">
        <f aca="false">B85</f>
        <v>120</v>
      </c>
      <c r="I85" s="28" t="n">
        <f aca="false">B85</f>
        <v>120</v>
      </c>
      <c r="J85" s="28" t="n">
        <f aca="false">B85</f>
        <v>120</v>
      </c>
      <c r="K85" s="28" t="n">
        <f aca="false">B85</f>
        <v>120</v>
      </c>
      <c r="L85" s="28" t="n">
        <f aca="false">B85</f>
        <v>120</v>
      </c>
    </row>
    <row r="86" customFormat="false" ht="15" hidden="false" customHeight="false" outlineLevel="0" collapsed="false">
      <c r="A86" s="9" t="s">
        <v>228</v>
      </c>
      <c r="B86" s="27" t="n">
        <f aca="false">SUM(B82:B85)</f>
        <v>880</v>
      </c>
      <c r="C86" s="27" t="n">
        <f aca="false">SUM(C82:C85)</f>
        <v>1129.98287671233</v>
      </c>
      <c r="D86" s="27" t="n">
        <f aca="false">SUM(D82:D85)</f>
        <v>1304.56595</v>
      </c>
      <c r="E86" s="27" t="n">
        <f aca="false">SUM(E82:E85)</f>
        <v>1248.00999037979</v>
      </c>
      <c r="F86" s="27" t="n">
        <f aca="false">SUM(F82:F85)</f>
        <v>1308.07419804473</v>
      </c>
      <c r="G86" s="27" t="n">
        <f aca="false">SUM(G82:G85)</f>
        <v>1420.9128805715</v>
      </c>
      <c r="H86" s="27" t="n">
        <f aca="false">SUM(H82:H85)</f>
        <v>1534.06880456984</v>
      </c>
      <c r="I86" s="27" t="n">
        <f aca="false">SUM(I82:I85)</f>
        <v>1638.9149538656</v>
      </c>
      <c r="J86" s="27" t="n">
        <f aca="false">SUM(J82:J85)</f>
        <v>1725.90664385988</v>
      </c>
      <c r="K86" s="27" t="n">
        <f aca="false">SUM(K82:K85)</f>
        <v>1785.84895438349</v>
      </c>
      <c r="L86" s="27" t="n">
        <f aca="false">SUM(L82:L85)</f>
        <v>1811.37216137125</v>
      </c>
    </row>
    <row r="87" customFormat="false" ht="15" hidden="false" customHeight="false" outlineLevel="0" collapsed="false">
      <c r="A87" s="9" t="s">
        <v>229</v>
      </c>
      <c r="B87" s="27" t="n">
        <f aca="false">B81-B86</f>
        <v>910</v>
      </c>
      <c r="C87" s="27" t="n">
        <f aca="false">B87+C33-C26+C68</f>
        <v>970</v>
      </c>
      <c r="D87" s="27" t="n">
        <f aca="false">C87+D33-D26+D68</f>
        <v>1072.63850205479</v>
      </c>
      <c r="E87" s="27" t="n">
        <f aca="false">D87+E33-E26+E68</f>
        <v>1256.6433403137</v>
      </c>
      <c r="F87" s="27" t="n">
        <f aca="false">E87+F33-F26+F68</f>
        <v>1571.41339279873</v>
      </c>
      <c r="G87" s="27" t="n">
        <f aca="false">F87+G33-G26+G68</f>
        <v>1869.95414052442</v>
      </c>
      <c r="H87" s="27" t="n">
        <f aca="false">G87+H33-H26+H68</f>
        <v>2102.85303929461</v>
      </c>
      <c r="I87" s="27" t="n">
        <f aca="false">H87+I33-I26+I68</f>
        <v>2217.84346849365</v>
      </c>
      <c r="J87" s="27" t="n">
        <f aca="false">I87+J33-J26+J68</f>
        <v>2145.36119271161</v>
      </c>
      <c r="K87" s="27" t="n">
        <f aca="false">J87+K33-K26+K68</f>
        <v>2153.34981706506</v>
      </c>
      <c r="L87" s="27" t="n">
        <f aca="false">K87+L33-L26+L68</f>
        <v>2246.90666312518</v>
      </c>
    </row>
    <row r="88" customFormat="false" ht="15" hidden="false" customHeight="false" outlineLevel="0" collapsed="false">
      <c r="A88" s="9" t="s">
        <v>230</v>
      </c>
      <c r="B88" s="27" t="n">
        <f aca="false">B86+B87</f>
        <v>1790</v>
      </c>
      <c r="C88" s="27" t="n">
        <f aca="false">C86+C87</f>
        <v>2099.98287671233</v>
      </c>
      <c r="D88" s="27" t="n">
        <f aca="false">D86+D87</f>
        <v>2377.20445205479</v>
      </c>
      <c r="E88" s="27" t="n">
        <f aca="false">E86+E87</f>
        <v>2504.65333069349</v>
      </c>
      <c r="F88" s="27" t="n">
        <f aca="false">F86+F87</f>
        <v>2879.48759084346</v>
      </c>
      <c r="G88" s="27" t="n">
        <f aca="false">G86+G87</f>
        <v>3290.86702109591</v>
      </c>
      <c r="H88" s="27" t="n">
        <f aca="false">H86+H87</f>
        <v>3636.92184386444</v>
      </c>
      <c r="I88" s="27" t="n">
        <f aca="false">I86+I87</f>
        <v>3856.75842235924</v>
      </c>
      <c r="J88" s="27" t="n">
        <f aca="false">J86+J87</f>
        <v>3871.26783657149</v>
      </c>
      <c r="K88" s="27" t="n">
        <f aca="false">K86+K87</f>
        <v>3939.19877144855</v>
      </c>
      <c r="L88" s="27" t="n">
        <f aca="false">L86+L87</f>
        <v>4058.27882449643</v>
      </c>
    </row>
    <row r="89" customFormat="false" ht="15" hidden="false" customHeight="false" outlineLevel="0" collapsed="false">
      <c r="A89" s="29" t="s">
        <v>231</v>
      </c>
      <c r="B89" s="31" t="n">
        <f aca="false">B81-B88</f>
        <v>0</v>
      </c>
      <c r="C89" s="31" t="n">
        <f aca="false">C81-C88</f>
        <v>0</v>
      </c>
      <c r="D89" s="31" t="n">
        <f aca="false">D81-D88</f>
        <v>0</v>
      </c>
      <c r="E89" s="31" t="n">
        <f aca="false">E81-E88</f>
        <v>0</v>
      </c>
      <c r="F89" s="31" t="n">
        <f aca="false">F81-F88</f>
        <v>0</v>
      </c>
      <c r="G89" s="31" t="n">
        <f aca="false">G81-G88</f>
        <v>0</v>
      </c>
      <c r="H89" s="31" t="n">
        <f aca="false">H81-H88</f>
        <v>0</v>
      </c>
      <c r="I89" s="31" t="n">
        <f aca="false">I81-I88</f>
        <v>0</v>
      </c>
      <c r="J89" s="31" t="n">
        <f aca="false">J81-J88</f>
        <v>0</v>
      </c>
      <c r="K89" s="31" t="n">
        <f aca="false">K81-K88</f>
        <v>0</v>
      </c>
      <c r="L89" s="31" t="n">
        <f aca="false">L81-L88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95"/>
  </cols>
  <sheetData>
    <row r="1" customFormat="false" ht="17.35" hidden="false" customHeight="false" outlineLevel="0" collapsed="false">
      <c r="A1" s="1" t="s">
        <v>232</v>
      </c>
    </row>
    <row r="4" customFormat="false" ht="15" hidden="false" customHeight="false" outlineLevel="0" collapsed="false">
      <c r="A4" s="7" t="s">
        <v>233</v>
      </c>
    </row>
    <row r="5" customFormat="false" ht="15" hidden="false" customHeight="false" outlineLevel="0" collapsed="false">
      <c r="A5" s="3" t="s">
        <v>234</v>
      </c>
      <c r="B5" s="32" t="n">
        <v>0.0455</v>
      </c>
      <c r="C5" s="15" t="s">
        <v>53</v>
      </c>
    </row>
    <row r="6" customFormat="false" ht="15" hidden="false" customHeight="false" outlineLevel="0" collapsed="false">
      <c r="A6" s="3" t="s">
        <v>235</v>
      </c>
      <c r="B6" s="24" t="n">
        <v>2.2</v>
      </c>
      <c r="C6" s="15" t="s">
        <v>236</v>
      </c>
    </row>
    <row r="7" customFormat="false" ht="15" hidden="false" customHeight="false" outlineLevel="0" collapsed="false">
      <c r="A7" s="3" t="s">
        <v>237</v>
      </c>
      <c r="B7" s="32" t="n">
        <v>0.0475</v>
      </c>
      <c r="C7" s="15" t="s">
        <v>238</v>
      </c>
    </row>
    <row r="8" customFormat="false" ht="15" hidden="false" customHeight="false" outlineLevel="0" collapsed="false">
      <c r="A8" s="3" t="s">
        <v>239</v>
      </c>
      <c r="B8" s="32" t="n">
        <v>0.02</v>
      </c>
      <c r="C8" s="15" t="s">
        <v>240</v>
      </c>
    </row>
    <row r="9" customFormat="false" ht="15" hidden="false" customHeight="false" outlineLevel="0" collapsed="false">
      <c r="A9" s="9" t="s">
        <v>241</v>
      </c>
      <c r="B9" s="33" t="n">
        <f aca="false">B5+B6*B7+B8</f>
        <v>0.17</v>
      </c>
    </row>
    <row r="11" customFormat="false" ht="15" hidden="false" customHeight="false" outlineLevel="0" collapsed="false">
      <c r="A11" s="7" t="s">
        <v>242</v>
      </c>
    </row>
    <row r="12" customFormat="false" ht="15" hidden="false" customHeight="false" outlineLevel="0" collapsed="false">
      <c r="A12" s="3" t="s">
        <v>243</v>
      </c>
      <c r="B12" s="32" t="n">
        <v>0.085</v>
      </c>
      <c r="C12" s="15" t="s">
        <v>244</v>
      </c>
    </row>
    <row r="13" customFormat="false" ht="15" hidden="false" customHeight="false" outlineLevel="0" collapsed="false">
      <c r="A13" s="3" t="s">
        <v>245</v>
      </c>
      <c r="B13" s="23" t="n">
        <f aca="false">Assumptions!B38</f>
        <v>0.21</v>
      </c>
    </row>
    <row r="14" customFormat="false" ht="15" hidden="false" customHeight="false" outlineLevel="0" collapsed="false">
      <c r="A14" s="3" t="s">
        <v>246</v>
      </c>
      <c r="B14" s="34" t="n">
        <f aca="false">B12*(1-B13)</f>
        <v>0.06715</v>
      </c>
      <c r="C14" s="15" t="s">
        <v>247</v>
      </c>
    </row>
    <row r="16" customFormat="false" ht="15" hidden="false" customHeight="false" outlineLevel="0" collapsed="false">
      <c r="A16" s="7" t="s">
        <v>248</v>
      </c>
    </row>
    <row r="17" customFormat="false" ht="15" hidden="false" customHeight="false" outlineLevel="0" collapsed="false">
      <c r="A17" s="3" t="s">
        <v>249</v>
      </c>
      <c r="B17" s="13" t="n">
        <v>0.26</v>
      </c>
      <c r="C17" s="15" t="s">
        <v>250</v>
      </c>
    </row>
    <row r="18" customFormat="false" ht="15" hidden="false" customHeight="false" outlineLevel="0" collapsed="false">
      <c r="A18" s="3" t="s">
        <v>251</v>
      </c>
      <c r="B18" s="22" t="n">
        <f aca="false">1-B17</f>
        <v>0.74</v>
      </c>
    </row>
    <row r="20" customFormat="false" ht="15" hidden="false" customHeight="false" outlineLevel="0" collapsed="false">
      <c r="A20" s="9" t="s">
        <v>11</v>
      </c>
      <c r="B20" s="33" t="n">
        <f aca="false">B18*B9+B17*B14</f>
        <v>0.143259</v>
      </c>
    </row>
    <row r="22" customFormat="false" ht="15" hidden="false" customHeight="false" outlineLevel="0" collapsed="false">
      <c r="A22" s="15" t="s">
        <v>252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10" min="2" style="0" width="11"/>
  </cols>
  <sheetData>
    <row r="1" customFormat="false" ht="17.35" hidden="false" customHeight="false" outlineLevel="0" collapsed="false">
      <c r="A1" s="1" t="s">
        <v>253</v>
      </c>
    </row>
    <row r="4" customFormat="false" ht="15" hidden="false" customHeight="false" outlineLevel="0" collapsed="false">
      <c r="A4" s="12"/>
      <c r="B4" s="12" t="s">
        <v>147</v>
      </c>
      <c r="C4" s="12" t="s">
        <v>148</v>
      </c>
      <c r="D4" s="12" t="s">
        <v>149</v>
      </c>
      <c r="E4" s="12" t="s">
        <v>150</v>
      </c>
      <c r="F4" s="12" t="s">
        <v>151</v>
      </c>
      <c r="G4" s="12" t="s">
        <v>152</v>
      </c>
      <c r="H4" s="12" t="s">
        <v>153</v>
      </c>
      <c r="I4" s="12" t="s">
        <v>154</v>
      </c>
      <c r="J4" s="12" t="s">
        <v>155</v>
      </c>
    </row>
    <row r="5" customFormat="false" ht="15" hidden="false" customHeight="false" outlineLevel="0" collapsed="false">
      <c r="A5" s="3" t="s">
        <v>177</v>
      </c>
      <c r="B5" s="25" t="n">
        <f aca="false">Model_3S!D28</f>
        <v>140.6475</v>
      </c>
      <c r="C5" s="25" t="n">
        <f aca="false">Model_3S!E28</f>
        <v>229.445803125</v>
      </c>
      <c r="D5" s="25" t="n">
        <f aca="false">Model_3S!F28</f>
        <v>349.259985210938</v>
      </c>
      <c r="E5" s="25" t="n">
        <f aca="false">Model_3S!G28</f>
        <v>317.581690643745</v>
      </c>
      <c r="F5" s="25" t="n">
        <f aca="false">Model_3S!H28</f>
        <v>234.409007445801</v>
      </c>
      <c r="G5" s="25" t="n">
        <f aca="false">Model_3S!I28</f>
        <v>92.0624425678796</v>
      </c>
      <c r="H5" s="25" t="n">
        <f aca="false">Model_3S!J28</f>
        <v>-109.638305234762</v>
      </c>
      <c r="I5" s="25" t="n">
        <f aca="false">Model_3S!K28</f>
        <v>-27.5428694537533</v>
      </c>
      <c r="J5" s="25" t="n">
        <f aca="false">Model_3S!L28</f>
        <v>65.7140461790725</v>
      </c>
    </row>
    <row r="6" customFormat="false" ht="15" hidden="false" customHeight="false" outlineLevel="0" collapsed="false">
      <c r="A6" s="3" t="s">
        <v>254</v>
      </c>
      <c r="B6" s="25" t="n">
        <f aca="false">-MAX(0,B5)*Model_3S!D13</f>
        <v>-2.81295</v>
      </c>
      <c r="C6" s="25" t="n">
        <f aca="false">-MAX(0,C5)*Model_3S!E13</f>
        <v>-9.177832125</v>
      </c>
      <c r="D6" s="25" t="n">
        <f aca="false">-MAX(0,D5)*Model_3S!F13</f>
        <v>-20.9555991126563</v>
      </c>
      <c r="E6" s="25" t="n">
        <f aca="false">-MAX(0,E5)*Model_3S!G13</f>
        <v>-25.4065352514996</v>
      </c>
      <c r="F6" s="25" t="n">
        <f aca="false">-MAX(0,F5)*Model_3S!H13</f>
        <v>-23.4409007445801</v>
      </c>
      <c r="G6" s="25" t="n">
        <f aca="false">-MAX(0,G5)*Model_3S!I13</f>
        <v>-11.0474931081456</v>
      </c>
      <c r="H6" s="25" t="n">
        <f aca="false">-MAX(0,H5)*Model_3S!J13</f>
        <v>-0</v>
      </c>
      <c r="I6" s="25" t="n">
        <f aca="false">-MAX(0,I5)*Model_3S!K13</f>
        <v>-0</v>
      </c>
      <c r="J6" s="25" t="n">
        <f aca="false">-MAX(0,J5)*Model_3S!L13</f>
        <v>-11.828528312233</v>
      </c>
    </row>
    <row r="7" customFormat="false" ht="15" hidden="false" customHeight="false" outlineLevel="0" collapsed="false">
      <c r="A7" s="3" t="s">
        <v>207</v>
      </c>
      <c r="B7" s="25" t="n">
        <f aca="false">-Model_3S!D27</f>
        <v>77.175</v>
      </c>
      <c r="C7" s="25" t="n">
        <f aca="false">-Model_3S!E27</f>
        <v>100.163109375</v>
      </c>
      <c r="D7" s="25" t="n">
        <f aca="false">-Model_3S!F27</f>
        <v>126.14356125</v>
      </c>
      <c r="E7" s="25" t="n">
        <f aca="false">-Model_3S!G27</f>
        <v>154.008476830811</v>
      </c>
      <c r="F7" s="25" t="n">
        <f aca="false">-Model_3S!H27</f>
        <v>182.102865288473</v>
      </c>
      <c r="G7" s="25" t="n">
        <f aca="false">-Model_3S!I27</f>
        <v>208.316475883523</v>
      </c>
      <c r="H7" s="25" t="n">
        <f aca="false">-Model_3S!J27</f>
        <v>230.290504146075</v>
      </c>
      <c r="I7" s="25" t="n">
        <f aca="false">-Model_3S!K27</f>
        <v>245.725600028583</v>
      </c>
      <c r="J7" s="25" t="n">
        <f aca="false">-Model_3S!L27</f>
        <v>252.746331457971</v>
      </c>
    </row>
    <row r="8" customFormat="false" ht="15" hidden="false" customHeight="false" outlineLevel="0" collapsed="false">
      <c r="A8" s="3" t="s">
        <v>255</v>
      </c>
      <c r="B8" s="25" t="n">
        <f aca="false">-Model_3S!D46</f>
        <v>-210</v>
      </c>
      <c r="C8" s="25" t="n">
        <f aca="false">-Model_3S!E46</f>
        <v>-55.76090625</v>
      </c>
      <c r="D8" s="25" t="n">
        <f aca="false">-Model_3S!F46</f>
        <v>-70.955753203125</v>
      </c>
      <c r="E8" s="25" t="n">
        <f aca="false">-Model_3S!G46</f>
        <v>-87.5416605143555</v>
      </c>
      <c r="F8" s="25" t="n">
        <f aca="false">-Model_3S!H46</f>
        <v>-104.612284314655</v>
      </c>
      <c r="G8" s="25" t="n">
        <f aca="false">-Model_3S!I46</f>
        <v>-120.95795373882</v>
      </c>
      <c r="H8" s="25" t="n">
        <f aca="false">-Model_3S!J46</f>
        <v>-135.170513303131</v>
      </c>
      <c r="I8" s="25" t="n">
        <f aca="false">-Model_3S!K46</f>
        <v>-145.815191225752</v>
      </c>
      <c r="J8" s="25" t="n">
        <f aca="false">-Model_3S!L46</f>
        <v>-151.647798874783</v>
      </c>
    </row>
    <row r="9" customFormat="false" ht="15" hidden="false" customHeight="false" outlineLevel="0" collapsed="false">
      <c r="A9" s="3" t="s">
        <v>256</v>
      </c>
      <c r="B9" s="25" t="n">
        <f aca="false">Model_3S!D43</f>
        <v>-64.7907534246575</v>
      </c>
      <c r="C9" s="25" t="n">
        <f aca="false">Model_3S!E43</f>
        <v>-77.9747979452055</v>
      </c>
      <c r="D9" s="25" t="n">
        <f aca="false">Model_3S!F43</f>
        <v>-89.7510827215325</v>
      </c>
      <c r="E9" s="25" t="n">
        <f aca="false">Model_3S!G43</f>
        <v>-98.2518482623957</v>
      </c>
      <c r="F9" s="25" t="n">
        <f aca="false">Model_3S!H43</f>
        <v>-101.459718579845</v>
      </c>
      <c r="G9" s="25" t="n">
        <f aca="false">Model_3S!I43</f>
        <v>-97.5465763748332</v>
      </c>
      <c r="H9" s="25" t="n">
        <f aca="false">Model_3S!J43</f>
        <v>-85.287784572896</v>
      </c>
      <c r="I9" s="25" t="n">
        <f aca="false">Model_3S!K43</f>
        <v>-64.4657392878534</v>
      </c>
      <c r="J9" s="25" t="n">
        <f aca="false">Model_3S!L43</f>
        <v>-36.1497387318881</v>
      </c>
    </row>
    <row r="10" customFormat="false" ht="15" hidden="false" customHeight="false" outlineLevel="0" collapsed="false">
      <c r="A10" s="9" t="s">
        <v>257</v>
      </c>
      <c r="B10" s="27" t="n">
        <f aca="false">SUM(B5:B9)</f>
        <v>-59.7812034246573</v>
      </c>
      <c r="C10" s="27" t="n">
        <f aca="false">SUM(C5:C9)</f>
        <v>186.695376179794</v>
      </c>
      <c r="D10" s="27" t="n">
        <f aca="false">SUM(D5:D9)</f>
        <v>293.741111423624</v>
      </c>
      <c r="E10" s="27" t="n">
        <f aca="false">SUM(E5:E9)</f>
        <v>260.390123446305</v>
      </c>
      <c r="F10" s="27" t="n">
        <f aca="false">SUM(F5:F9)</f>
        <v>186.998969095193</v>
      </c>
      <c r="G10" s="27" t="n">
        <f aca="false">SUM(G5:G9)</f>
        <v>70.8268952296039</v>
      </c>
      <c r="H10" s="27" t="n">
        <f aca="false">SUM(H5:H9)</f>
        <v>-99.8060989647138</v>
      </c>
      <c r="I10" s="27" t="n">
        <f aca="false">SUM(I5:I9)</f>
        <v>7.90180006122375</v>
      </c>
      <c r="J10" s="27" t="n">
        <f aca="false">SUM(J5:J9)</f>
        <v>118.83431171814</v>
      </c>
    </row>
    <row r="11" customFormat="false" ht="15" hidden="false" customHeight="false" outlineLevel="0" collapsed="false">
      <c r="A11" s="3" t="s">
        <v>258</v>
      </c>
      <c r="B11" s="35" t="n">
        <v>0.5</v>
      </c>
      <c r="C11" s="35" t="n">
        <v>1.5</v>
      </c>
      <c r="D11" s="35" t="n">
        <v>2.5</v>
      </c>
      <c r="E11" s="35" t="n">
        <v>3.5</v>
      </c>
      <c r="F11" s="35" t="n">
        <v>4.5</v>
      </c>
      <c r="G11" s="35" t="n">
        <v>5.5</v>
      </c>
      <c r="H11" s="35" t="n">
        <v>6.5</v>
      </c>
      <c r="I11" s="35" t="n">
        <v>7.5</v>
      </c>
      <c r="J11" s="35" t="n">
        <v>8.5</v>
      </c>
    </row>
    <row r="12" customFormat="false" ht="15" hidden="false" customHeight="false" outlineLevel="0" collapsed="false">
      <c r="A12" s="3" t="s">
        <v>259</v>
      </c>
      <c r="B12" s="36" t="n">
        <f aca="false">(1+$B$16)^-B11</f>
        <v>0.935249932516488</v>
      </c>
      <c r="C12" s="36" t="n">
        <f aca="false">(1+$B$16)^-C11</f>
        <v>0.81805604199616</v>
      </c>
      <c r="D12" s="36" t="n">
        <f aca="false">(1+$B$16)^-D11</f>
        <v>0.715547432380729</v>
      </c>
      <c r="E12" s="36" t="n">
        <f aca="false">(1+$B$16)^-E11</f>
        <v>0.625883926897343</v>
      </c>
      <c r="F12" s="36" t="n">
        <f aca="false">(1+$B$16)^-F11</f>
        <v>0.547455936841383</v>
      </c>
      <c r="G12" s="36" t="n">
        <f aca="false">(1+$B$16)^-G11</f>
        <v>0.478855567147412</v>
      </c>
      <c r="H12" s="36" t="n">
        <f aca="false">(1+$B$16)^-H11</f>
        <v>0.418851342650626</v>
      </c>
      <c r="I12" s="36" t="n">
        <f aca="false">(1+$B$16)^-I11</f>
        <v>0.366366101338914</v>
      </c>
      <c r="J12" s="36" t="n">
        <f aca="false">(1+$B$16)^-J11</f>
        <v>0.320457657747645</v>
      </c>
    </row>
    <row r="13" customFormat="false" ht="15" hidden="false" customHeight="false" outlineLevel="0" collapsed="false">
      <c r="A13" s="3" t="s">
        <v>260</v>
      </c>
      <c r="B13" s="28" t="n">
        <f aca="false">B10*B12</f>
        <v>-55.9103664686652</v>
      </c>
      <c r="C13" s="28" t="n">
        <f aca="false">C10*C12</f>
        <v>152.727280496627</v>
      </c>
      <c r="D13" s="28" t="n">
        <f aca="false">D10*D12</f>
        <v>210.185698063836</v>
      </c>
      <c r="E13" s="28" t="n">
        <f aca="false">E10*E12</f>
        <v>162.973992987857</v>
      </c>
      <c r="F13" s="28" t="n">
        <f aca="false">F10*F12</f>
        <v>102.373695814382</v>
      </c>
      <c r="G13" s="28" t="n">
        <f aca="false">G10*G12</f>
        <v>33.9158530844623</v>
      </c>
      <c r="H13" s="28" t="n">
        <f aca="false">H10*H12</f>
        <v>-41.8039185560916</v>
      </c>
      <c r="I13" s="28" t="n">
        <f aca="false">I10*I12</f>
        <v>2.89495168199014</v>
      </c>
      <c r="J13" s="28" t="n">
        <f aca="false">J10*J12</f>
        <v>38.0813651932485</v>
      </c>
    </row>
    <row r="14" customFormat="false" ht="15" hidden="false" customHeight="false" outlineLevel="0" collapsed="false">
      <c r="A14" s="15" t="s">
        <v>261</v>
      </c>
    </row>
    <row r="15" customFormat="false" ht="15" hidden="false" customHeight="false" outlineLevel="0" collapsed="false">
      <c r="A15" s="9" t="s">
        <v>262</v>
      </c>
      <c r="B15" s="27" t="n">
        <f aca="false">SUM(B13:J13)</f>
        <v>605.438552297646</v>
      </c>
    </row>
    <row r="16" customFormat="false" ht="15" hidden="false" customHeight="false" outlineLevel="0" collapsed="false">
      <c r="A16" s="9" t="s">
        <v>11</v>
      </c>
      <c r="B16" s="37" t="n">
        <f aca="false">WACC!B20</f>
        <v>0.143259</v>
      </c>
    </row>
    <row r="18" customFormat="false" ht="15" hidden="false" customHeight="false" outlineLevel="0" collapsed="false">
      <c r="A18" s="7" t="s">
        <v>263</v>
      </c>
    </row>
    <row r="19" customFormat="false" ht="15" hidden="false" customHeight="false" outlineLevel="0" collapsed="false">
      <c r="A19" s="3" t="s">
        <v>264</v>
      </c>
      <c r="B19" s="23" t="n">
        <f aca="false">Assumptions!B47</f>
        <v>0.02</v>
      </c>
    </row>
    <row r="20" customFormat="false" ht="15" hidden="false" customHeight="false" outlineLevel="0" collapsed="false">
      <c r="A20" s="3" t="s">
        <v>265</v>
      </c>
      <c r="B20" s="28" t="n">
        <f aca="false">MAX(0,J10)*(1+B19)/(B16-B19)</f>
        <v>983.384563824975</v>
      </c>
      <c r="C20" s="15" t="s">
        <v>266</v>
      </c>
    </row>
    <row r="21" customFormat="false" ht="15" hidden="false" customHeight="false" outlineLevel="0" collapsed="false">
      <c r="A21" s="3" t="s">
        <v>267</v>
      </c>
      <c r="B21" s="28" t="n">
        <f aca="false">B20/(1+B16)^9</f>
        <v>294.728223591493</v>
      </c>
    </row>
    <row r="22" customFormat="false" ht="15" hidden="false" customHeight="false" outlineLevel="0" collapsed="false">
      <c r="A22" s="29" t="s">
        <v>268</v>
      </c>
      <c r="B22" s="38" t="n">
        <f aca="false">IFERROR(B20/Model_3S!L25,0)</f>
        <v>2.59386439136375</v>
      </c>
    </row>
    <row r="24" customFormat="false" ht="15" hidden="false" customHeight="false" outlineLevel="0" collapsed="false">
      <c r="A24" s="7" t="s">
        <v>269</v>
      </c>
    </row>
    <row r="25" customFormat="false" ht="15" hidden="false" customHeight="false" outlineLevel="0" collapsed="false">
      <c r="A25" s="3" t="s">
        <v>270</v>
      </c>
      <c r="B25" s="39" t="n">
        <f aca="false">Assumptions!B48</f>
        <v>7</v>
      </c>
    </row>
    <row r="26" customFormat="false" ht="15" hidden="false" customHeight="false" outlineLevel="0" collapsed="false">
      <c r="A26" s="3" t="s">
        <v>265</v>
      </c>
      <c r="B26" s="28" t="n">
        <f aca="false">MAX(0,B25*Model_3S!L25)</f>
        <v>2653.8364803087</v>
      </c>
    </row>
    <row r="27" customFormat="false" ht="15" hidden="false" customHeight="false" outlineLevel="0" collapsed="false">
      <c r="A27" s="3" t="s">
        <v>271</v>
      </c>
      <c r="B27" s="28" t="n">
        <f aca="false">B26/(1+B16)^9</f>
        <v>795.376031225658</v>
      </c>
    </row>
    <row r="28" customFormat="false" ht="15" hidden="false" customHeight="false" outlineLevel="0" collapsed="false">
      <c r="A28" s="29" t="s">
        <v>272</v>
      </c>
      <c r="B28" s="30" t="n">
        <f aca="false">IFERROR((B16*B26-J10)/(B26+J10),0)</f>
        <v>0.0942598917137777</v>
      </c>
    </row>
    <row r="30" customFormat="false" ht="15" hidden="false" customHeight="false" outlineLevel="0" collapsed="false">
      <c r="A30" s="7" t="s">
        <v>273</v>
      </c>
    </row>
    <row r="31" customFormat="false" ht="15" hidden="false" customHeight="false" outlineLevel="0" collapsed="false">
      <c r="A31" s="3" t="s">
        <v>274</v>
      </c>
      <c r="B31" s="25" t="n">
        <f aca="false">Model_3S!C57-Model_3S!C72</f>
        <v>671.071917808219</v>
      </c>
    </row>
    <row r="32" customFormat="false" ht="15" hidden="false" customHeight="false" outlineLevel="0" collapsed="false">
      <c r="A32" s="3" t="s">
        <v>275</v>
      </c>
      <c r="B32" s="40" t="n">
        <f aca="false">Assumptions!B37</f>
        <v>279.3</v>
      </c>
    </row>
    <row r="33" customFormat="false" ht="15" hidden="false" customHeight="false" outlineLevel="0" collapsed="false">
      <c r="A33" s="12"/>
      <c r="B33" s="12" t="s">
        <v>276</v>
      </c>
      <c r="C33" s="12" t="s">
        <v>277</v>
      </c>
      <c r="D33" s="12" t="s">
        <v>278</v>
      </c>
    </row>
    <row r="34" customFormat="false" ht="15" hidden="false" customHeight="false" outlineLevel="0" collapsed="false">
      <c r="A34" s="3" t="s">
        <v>279</v>
      </c>
      <c r="B34" s="28" t="n">
        <f aca="false">B15+B21</f>
        <v>900.166775889139</v>
      </c>
      <c r="C34" s="28" t="n">
        <f aca="false">B15+B27</f>
        <v>1400.8145835233</v>
      </c>
      <c r="D34" s="28" t="n">
        <f aca="false">AVERAGE(B34:C34)</f>
        <v>1150.49067970622</v>
      </c>
    </row>
    <row r="35" customFormat="false" ht="15" hidden="false" customHeight="false" outlineLevel="0" collapsed="false">
      <c r="A35" s="3" t="s">
        <v>280</v>
      </c>
      <c r="B35" s="28" t="n">
        <f aca="false">-$B$31</f>
        <v>-671.071917808219</v>
      </c>
      <c r="C35" s="28" t="n">
        <f aca="false">-$B$31</f>
        <v>-671.071917808219</v>
      </c>
      <c r="D35" s="28" t="n">
        <f aca="false">-$B$31</f>
        <v>-671.071917808219</v>
      </c>
    </row>
    <row r="36" customFormat="false" ht="15" hidden="false" customHeight="false" outlineLevel="0" collapsed="false">
      <c r="A36" s="9" t="s">
        <v>281</v>
      </c>
      <c r="B36" s="27" t="n">
        <f aca="false">B34+B35</f>
        <v>229.09485808092</v>
      </c>
      <c r="C36" s="27" t="n">
        <f aca="false">C34+C35</f>
        <v>729.742665715084</v>
      </c>
      <c r="D36" s="27" t="n">
        <f aca="false">D34+D35</f>
        <v>479.418761898002</v>
      </c>
    </row>
    <row r="37" customFormat="false" ht="15" hidden="false" customHeight="false" outlineLevel="0" collapsed="false">
      <c r="A37" s="9" t="s">
        <v>282</v>
      </c>
      <c r="B37" s="41" t="n">
        <f aca="false">MAX(0,B36)/$B$32</f>
        <v>0.820246538062728</v>
      </c>
      <c r="C37" s="41" t="n">
        <f aca="false">MAX(0,C36)/$B$32</f>
        <v>2.61275569536371</v>
      </c>
      <c r="D37" s="41" t="n">
        <f aca="false">MAX(0,D36)/$B$32</f>
        <v>1.71650111671322</v>
      </c>
    </row>
    <row r="38" customFormat="false" ht="15" hidden="false" customHeight="false" outlineLevel="0" collapsed="false">
      <c r="A38" s="29" t="s">
        <v>283</v>
      </c>
      <c r="B38" s="30" t="n">
        <f aca="false">B37/Assumptions!$B$49-1</f>
        <v>-0.879552637582566</v>
      </c>
      <c r="C38" s="30" t="n">
        <f aca="false">C37/Assumptions!$B$49-1</f>
        <v>-0.616335433867297</v>
      </c>
      <c r="D38" s="30" t="n">
        <f aca="false">D37/Assumptions!$B$49-1</f>
        <v>-0.747944035724931</v>
      </c>
    </row>
    <row r="40" customFormat="false" ht="15" hidden="false" customHeight="false" outlineLevel="0" collapsed="false">
      <c r="A40" s="15" t="s">
        <v>284</v>
      </c>
    </row>
    <row r="42" customFormat="false" ht="15" hidden="false" customHeight="false" outlineLevel="0" collapsed="false">
      <c r="A42" s="7" t="s">
        <v>285</v>
      </c>
    </row>
    <row r="43" customFormat="false" ht="15" hidden="false" customHeight="false" outlineLevel="0" collapsed="false">
      <c r="B43" s="42" t="s">
        <v>286</v>
      </c>
      <c r="C43" s="43" t="n">
        <v>0.01</v>
      </c>
      <c r="D43" s="43" t="n">
        <v>0.015</v>
      </c>
      <c r="E43" s="43" t="n">
        <v>0.02</v>
      </c>
      <c r="F43" s="43" t="n">
        <v>0.025</v>
      </c>
      <c r="G43" s="43" t="n">
        <v>0.03</v>
      </c>
    </row>
    <row r="44" customFormat="false" ht="15" hidden="false" customHeight="false" outlineLevel="0" collapsed="false">
      <c r="B44" s="44" t="n">
        <v>0.115</v>
      </c>
      <c r="C44" s="45" t="n">
        <f aca="false">MAX(0,SUMPRODUCT($B$10:$J$10,(1+$B$44)^-($B$11:$J$11))+MAX(0,$J$10)*(1+C$43)/($B$44-C$43)/(1+$B$44)^9-$B$31)/$B$32</f>
        <v>1.49154645739249</v>
      </c>
      <c r="D44" s="45" t="n">
        <f aca="false">MAX(0,SUMPRODUCT($B$10:$J$10,(1+$B$44)^-($B$11:$J$11))+MAX(0,$J$10)*(1+D$43)/($B$44-D$43)/(1+$B$44)^9-$B$31)/$B$32</f>
        <v>1.5763575553529</v>
      </c>
      <c r="E44" s="45" t="n">
        <f aca="false">MAX(0,SUMPRODUCT($B$10:$J$10,(1+$B$44)^-($B$11:$J$11))+MAX(0,$J$10)*(1+E$43)/($B$44-E$43)/(1+$B$44)^9-$B$31)/$B$32</f>
        <v>1.67009613730915</v>
      </c>
      <c r="F44" s="45" t="n">
        <f aca="false">MAX(0,SUMPRODUCT($B$10:$J$10,(1+$B$44)^-($B$11:$J$11))+MAX(0,$J$10)*(1+F$43)/($B$44-F$43)/(1+$B$44)^9-$B$31)/$B$32</f>
        <v>1.77425011726054</v>
      </c>
      <c r="G44" s="45" t="n">
        <f aca="false">MAX(0,SUMPRODUCT($B$10:$J$10,(1+$B$44)^-($B$11:$J$11))+MAX(0,$J$10)*(1+G$43)/($B$44-G$43)/(1+$B$44)^9-$B$31)/$B$32</f>
        <v>1.89065750661797</v>
      </c>
    </row>
    <row r="45" customFormat="false" ht="15" hidden="false" customHeight="false" outlineLevel="0" collapsed="false">
      <c r="B45" s="44" t="n">
        <v>0.125</v>
      </c>
      <c r="C45" s="45" t="n">
        <f aca="false">MAX(0,SUMPRODUCT($B$10:$J$10,(1+$B$45)^-($B$11:$J$11))+MAX(0,$J$10)*(1+C$43)/($B$45-C$43)/(1+$B$45)^9-$B$31)/$B$32</f>
        <v>1.17964515987972</v>
      </c>
      <c r="D45" s="45" t="n">
        <f aca="false">MAX(0,SUMPRODUCT($B$10:$J$10,(1+$B$45)^-($B$11:$J$11))+MAX(0,$J$10)*(1+D$43)/($B$45-D$43)/(1+$B$45)^9-$B$31)/$B$32</f>
        <v>1.24518874889428</v>
      </c>
      <c r="E45" s="45" t="n">
        <f aca="false">MAX(0,SUMPRODUCT($B$10:$J$10,(1+$B$45)^-($B$11:$J$11))+MAX(0,$J$10)*(1+E$43)/($B$45-E$43)/(1+$B$45)^9-$B$31)/$B$32</f>
        <v>1.31697458448165</v>
      </c>
      <c r="F45" s="45" t="n">
        <f aca="false">MAX(0,SUMPRODUCT($B$10:$J$10,(1+$B$45)^-($B$11:$J$11))+MAX(0,$J$10)*(1+F$43)/($B$45-F$43)/(1+$B$45)^9-$B$31)/$B$32</f>
        <v>1.39593900362776</v>
      </c>
      <c r="G45" s="45" t="n">
        <f aca="false">MAX(0,SUMPRODUCT($B$10:$J$10,(1+$B$45)^-($B$11:$J$11))+MAX(0,$J$10)*(1+G$43)/($B$45-G$43)/(1+$B$45)^9-$B$31)/$B$32</f>
        <v>1.48321546689451</v>
      </c>
    </row>
    <row r="46" customFormat="false" ht="15" hidden="false" customHeight="false" outlineLevel="0" collapsed="false">
      <c r="B46" s="44" t="n">
        <v>0.135</v>
      </c>
      <c r="C46" s="45" t="n">
        <f aca="false">MAX(0,SUMPRODUCT($B$10:$J$10,(1+$B$46)^-($B$11:$J$11))+MAX(0,$J$10)*(1+C$43)/($B$46-C$43)/(1+$B$46)^9-$B$31)/$B$32</f>
        <v>0.917955990368618</v>
      </c>
      <c r="D46" s="45" t="n">
        <f aca="false">MAX(0,SUMPRODUCT($B$10:$J$10,(1+$B$46)^-($B$11:$J$11))+MAX(0,$J$10)*(1+D$43)/($B$46-D$43)/(1+$B$46)^9-$B$31)/$B$32</f>
        <v>0.969453090311763</v>
      </c>
      <c r="E46" s="45" t="n">
        <f aca="false">MAX(0,SUMPRODUCT($B$10:$J$10,(1+$B$46)^-($B$11:$J$11))+MAX(0,$J$10)*(1+E$43)/($B$46-E$43)/(1+$B$46)^9-$B$31)/$B$32</f>
        <v>1.02542819894562</v>
      </c>
      <c r="F46" s="45" t="n">
        <f aca="false">MAX(0,SUMPRODUCT($B$10:$J$10,(1+$B$46)^-($B$11:$J$11))+MAX(0,$J$10)*(1+F$43)/($B$46-F$43)/(1+$B$46)^9-$B$31)/$B$32</f>
        <v>1.08649195381891</v>
      </c>
      <c r="G46" s="45" t="n">
        <f aca="false">MAX(0,SUMPRODUCT($B$10:$J$10,(1+$B$46)^-($B$11:$J$11))+MAX(0,$J$10)*(1+G$43)/($B$46-G$43)/(1+$B$46)^9-$B$31)/$B$32</f>
        <v>1.15337130439443</v>
      </c>
    </row>
    <row r="47" customFormat="false" ht="15" hidden="false" customHeight="false" outlineLevel="0" collapsed="false">
      <c r="B47" s="44" t="n">
        <v>0.145</v>
      </c>
      <c r="C47" s="45" t="n">
        <f aca="false">MAX(0,SUMPRODUCT($B$10:$J$10,(1+$B$47)^-($B$11:$J$11))+MAX(0,$J$10)*(1+C$43)/($B$47-C$43)/(1+$B$47)^9-$B$31)/$B$32</f>
        <v>0.695088603199416</v>
      </c>
      <c r="D47" s="45" t="n">
        <f aca="false">MAX(0,SUMPRODUCT($B$10:$J$10,(1+$B$47)^-($B$11:$J$11))+MAX(0,$J$10)*(1+D$43)/($B$47-D$43)/(1+$B$47)^9-$B$31)/$B$32</f>
        <v>0.736120340875342</v>
      </c>
      <c r="E47" s="45" t="n">
        <f aca="false">MAX(0,SUMPRODUCT($B$10:$J$10,(1+$B$47)^-($B$11:$J$11))+MAX(0,$J$10)*(1+E$43)/($B$47-E$43)/(1+$B$47)^9-$B$31)/$B$32</f>
        <v>0.780434617565343</v>
      </c>
      <c r="F47" s="45" t="n">
        <f aca="false">MAX(0,SUMPRODUCT($B$10:$J$10,(1+$B$47)^-($B$11:$J$11))+MAX(0,$J$10)*(1+F$43)/($B$47-F$43)/(1+$B$47)^9-$B$31)/$B$32</f>
        <v>0.828441750646177</v>
      </c>
      <c r="G47" s="45" t="n">
        <f aca="false">MAX(0,SUMPRODUCT($B$10:$J$10,(1+$B$47)^-($B$11:$J$11))+MAX(0,$J$10)*(1+G$43)/($B$47-G$43)/(1+$B$47)^9-$B$31)/$B$32</f>
        <v>0.880623417038389</v>
      </c>
    </row>
    <row r="48" customFormat="false" ht="15" hidden="false" customHeight="false" outlineLevel="0" collapsed="false">
      <c r="B48" s="44" t="n">
        <v>0.155</v>
      </c>
      <c r="C48" s="45" t="n">
        <f aca="false">MAX(0,SUMPRODUCT($B$10:$J$10,(1+$B$48)^-($B$11:$J$11))+MAX(0,$J$10)*(1+C$43)/($B$48-C$43)/(1+$B$48)^9-$B$31)/$B$32</f>
        <v>0.502827087714874</v>
      </c>
      <c r="D48" s="45" t="n">
        <f aca="false">MAX(0,SUMPRODUCT($B$10:$J$10,(1+$B$48)^-($B$11:$J$11))+MAX(0,$J$10)*(1+D$43)/($B$48-D$43)/(1+$B$48)^9-$B$31)/$B$32</f>
        <v>0.535916496835274</v>
      </c>
      <c r="E48" s="45" t="n">
        <f aca="false">MAX(0,SUMPRODUCT($B$10:$J$10,(1+$B$48)^-($B$11:$J$11))+MAX(0,$J$10)*(1+E$43)/($B$48-E$43)/(1+$B$48)^9-$B$31)/$B$32</f>
        <v>0.571456973297926</v>
      </c>
      <c r="F48" s="45" t="n">
        <f aca="false">MAX(0,SUMPRODUCT($B$10:$J$10,(1+$B$48)^-($B$11:$J$11))+MAX(0,$J$10)*(1+F$43)/($B$48-F$43)/(1+$B$48)^9-$B$31)/$B$32</f>
        <v>0.609731332565398</v>
      </c>
      <c r="G48" s="45" t="n">
        <f aca="false">MAX(0,SUMPRODUCT($B$10:$J$10,(1+$B$48)^-($B$11:$J$11))+MAX(0,$J$10)*(1+G$43)/($B$48-G$43)/(1+$B$48)^9-$B$31)/$B$32</f>
        <v>0.651067640574268</v>
      </c>
    </row>
    <row r="50" customFormat="false" ht="15" hidden="false" customHeight="false" outlineLevel="0" collapsed="false">
      <c r="A50" s="7" t="s">
        <v>287</v>
      </c>
    </row>
    <row r="51" customFormat="false" ht="15" hidden="false" customHeight="false" outlineLevel="0" collapsed="false">
      <c r="B51" s="42" t="s">
        <v>288</v>
      </c>
      <c r="C51" s="46" t="n">
        <v>4</v>
      </c>
      <c r="D51" s="46" t="n">
        <v>5.5</v>
      </c>
      <c r="E51" s="46" t="n">
        <v>7</v>
      </c>
      <c r="F51" s="46" t="n">
        <v>8.5</v>
      </c>
      <c r="G51" s="46" t="n">
        <v>10</v>
      </c>
    </row>
    <row r="52" customFormat="false" ht="15" hidden="false" customHeight="false" outlineLevel="0" collapsed="false">
      <c r="B52" s="44" t="n">
        <v>0.115</v>
      </c>
      <c r="C52" s="45" t="n">
        <f aca="false">MAX(0,SUMPRODUCT($B$10:$J$10,(1+$B$52)^-($B$11:$J$11))+MAX(0,C$51*Model_3S!$L$25)/(1+$B$52)^9-$B$31)/$B$32</f>
        <v>1.99346759573987</v>
      </c>
      <c r="D52" s="45" t="n">
        <f aca="false">MAX(0,SUMPRODUCT($B$10:$J$10,(1+$B$52)^-($B$11:$J$11))+MAX(0,D$51*Model_3S!$L$25)/(1+$B$52)^9-$B$31)/$B$32</f>
        <v>2.75787104239605</v>
      </c>
      <c r="E52" s="45" t="n">
        <f aca="false">MAX(0,SUMPRODUCT($B$10:$J$10,(1+$B$52)^-($B$11:$J$11))+MAX(0,E$51*Model_3S!$L$25)/(1+$B$52)^9-$B$31)/$B$32</f>
        <v>3.52227448905224</v>
      </c>
      <c r="F52" s="45" t="n">
        <f aca="false">MAX(0,SUMPRODUCT($B$10:$J$10,(1+$B$52)^-($B$11:$J$11))+MAX(0,F$51*Model_3S!$L$25)/(1+$B$52)^9-$B$31)/$B$32</f>
        <v>4.28667793570842</v>
      </c>
      <c r="G52" s="45" t="n">
        <f aca="false">MAX(0,SUMPRODUCT($B$10:$J$10,(1+$B$52)^-($B$11:$J$11))+MAX(0,G$51*Model_3S!$L$25)/(1+$B$52)^9-$B$31)/$B$32</f>
        <v>5.0510813823646</v>
      </c>
    </row>
    <row r="53" customFormat="false" ht="15" hidden="false" customHeight="false" outlineLevel="0" collapsed="false">
      <c r="B53" s="44" t="n">
        <v>0.125</v>
      </c>
      <c r="C53" s="45" t="n">
        <f aca="false">MAX(0,SUMPRODUCT($B$10:$J$10,(1+$B$53)^-($B$11:$J$11))+MAX(0,C$51*Model_3S!$L$25)/(1+$B$53)^9-$B$31)/$B$32</f>
        <v>1.76610237964213</v>
      </c>
      <c r="D53" s="45" t="n">
        <f aca="false">MAX(0,SUMPRODUCT($B$10:$J$10,(1+$B$53)^-($B$11:$J$11))+MAX(0,D$51*Model_3S!$L$25)/(1+$B$53)^9-$B$31)/$B$32</f>
        <v>2.47148335302085</v>
      </c>
      <c r="E53" s="45" t="n">
        <f aca="false">MAX(0,SUMPRODUCT($B$10:$J$10,(1+$B$53)^-($B$11:$J$11))+MAX(0,E$51*Model_3S!$L$25)/(1+$B$53)^9-$B$31)/$B$32</f>
        <v>3.17686432639957</v>
      </c>
      <c r="F53" s="45" t="n">
        <f aca="false">MAX(0,SUMPRODUCT($B$10:$J$10,(1+$B$53)^-($B$11:$J$11))+MAX(0,F$51*Model_3S!$L$25)/(1+$B$53)^9-$B$31)/$B$32</f>
        <v>3.88224529977828</v>
      </c>
      <c r="G53" s="45" t="n">
        <f aca="false">MAX(0,SUMPRODUCT($B$10:$J$10,(1+$B$53)^-($B$11:$J$11))+MAX(0,G$51*Model_3S!$L$25)/(1+$B$53)^9-$B$31)/$B$32</f>
        <v>4.587626273157</v>
      </c>
    </row>
    <row r="54" customFormat="false" ht="15" hidden="false" customHeight="false" outlineLevel="0" collapsed="false">
      <c r="B54" s="44" t="n">
        <v>0.135</v>
      </c>
      <c r="C54" s="45" t="n">
        <f aca="false">MAX(0,SUMPRODUCT($B$10:$J$10,(1+$B$54)^-($B$11:$J$11))+MAX(0,C$51*Model_3S!$L$25)/(1+$B$54)^9-$B$31)/$B$32</f>
        <v>1.55515168584535</v>
      </c>
      <c r="D54" s="45" t="n">
        <f aca="false">MAX(0,SUMPRODUCT($B$10:$J$10,(1+$B$54)^-($B$11:$J$11))+MAX(0,D$51*Model_3S!$L$25)/(1+$B$54)^9-$B$31)/$B$32</f>
        <v>2.20653059013651</v>
      </c>
      <c r="E54" s="45" t="n">
        <f aca="false">MAX(0,SUMPRODUCT($B$10:$J$10,(1+$B$54)^-($B$11:$J$11))+MAX(0,E$51*Model_3S!$L$25)/(1+$B$54)^9-$B$31)/$B$32</f>
        <v>2.85790949442768</v>
      </c>
      <c r="F54" s="45" t="n">
        <f aca="false">MAX(0,SUMPRODUCT($B$10:$J$10,(1+$B$54)^-($B$11:$J$11))+MAX(0,F$51*Model_3S!$L$25)/(1+$B$54)^9-$B$31)/$B$32</f>
        <v>3.50928839871885</v>
      </c>
      <c r="G54" s="45" t="n">
        <f aca="false">MAX(0,SUMPRODUCT($B$10:$J$10,(1+$B$54)^-($B$11:$J$11))+MAX(0,G$51*Model_3S!$L$25)/(1+$B$54)^9-$B$31)/$B$32</f>
        <v>4.16066730301002</v>
      </c>
    </row>
    <row r="55" customFormat="false" ht="15" hidden="false" customHeight="false" outlineLevel="0" collapsed="false">
      <c r="B55" s="44" t="n">
        <v>0.145</v>
      </c>
      <c r="C55" s="45" t="n">
        <f aca="false">MAX(0,SUMPRODUCT($B$10:$J$10,(1+$B$55)^-($B$11:$J$11))+MAX(0,C$51*Model_3S!$L$25)/(1+$B$55)^9-$B$31)/$B$32</f>
        <v>1.35919694125928</v>
      </c>
      <c r="D55" s="45" t="n">
        <f aca="false">MAX(0,SUMPRODUCT($B$10:$J$10,(1+$B$55)^-($B$11:$J$11))+MAX(0,D$51*Model_3S!$L$25)/(1+$B$55)^9-$B$31)/$B$32</f>
        <v>1.96112842983408</v>
      </c>
      <c r="E55" s="45" t="n">
        <f aca="false">MAX(0,SUMPRODUCT($B$10:$J$10,(1+$B$55)^-($B$11:$J$11))+MAX(0,E$51*Model_3S!$L$25)/(1+$B$55)^9-$B$31)/$B$32</f>
        <v>2.56305991840888</v>
      </c>
      <c r="F55" s="45" t="n">
        <f aca="false">MAX(0,SUMPRODUCT($B$10:$J$10,(1+$B$55)^-($B$11:$J$11))+MAX(0,F$51*Model_3S!$L$25)/(1+$B$55)^9-$B$31)/$B$32</f>
        <v>3.16499140698368</v>
      </c>
      <c r="G55" s="45" t="n">
        <f aca="false">MAX(0,SUMPRODUCT($B$10:$J$10,(1+$B$55)^-($B$11:$J$11))+MAX(0,G$51*Model_3S!$L$25)/(1+$B$55)^9-$B$31)/$B$32</f>
        <v>3.76692289555847</v>
      </c>
    </row>
    <row r="56" customFormat="false" ht="15" hidden="false" customHeight="false" outlineLevel="0" collapsed="false">
      <c r="B56" s="44" t="n">
        <v>0.155</v>
      </c>
      <c r="C56" s="45" t="n">
        <f aca="false">MAX(0,SUMPRODUCT($B$10:$J$10,(1+$B$56)^-($B$11:$J$11))+MAX(0,C$51*Model_3S!$L$25)/(1+$B$56)^9-$B$31)/$B$32</f>
        <v>1.17695716027882</v>
      </c>
      <c r="D56" s="45" t="n">
        <f aca="false">MAX(0,SUMPRODUCT($B$10:$J$10,(1+$B$56)^-($B$11:$J$11))+MAX(0,D$51*Model_3S!$L$25)/(1+$B$56)^9-$B$31)/$B$32</f>
        <v>1.73357687577761</v>
      </c>
      <c r="E56" s="45" t="n">
        <f aca="false">MAX(0,SUMPRODUCT($B$10:$J$10,(1+$B$56)^-($B$11:$J$11))+MAX(0,E$51*Model_3S!$L$25)/(1+$B$56)^9-$B$31)/$B$32</f>
        <v>2.29019659127641</v>
      </c>
      <c r="F56" s="45" t="n">
        <f aca="false">MAX(0,SUMPRODUCT($B$10:$J$10,(1+$B$56)^-($B$11:$J$11))+MAX(0,F$51*Model_3S!$L$25)/(1+$B$56)^9-$B$31)/$B$32</f>
        <v>2.8468163067752</v>
      </c>
      <c r="G56" s="45" t="n">
        <f aca="false">MAX(0,SUMPRODUCT($B$10:$J$10,(1+$B$56)^-($B$11:$J$11))+MAX(0,G$51*Model_3S!$L$25)/(1+$B$56)^9-$B$31)/$B$32</f>
        <v>3.40343602227399</v>
      </c>
    </row>
    <row r="58" customFormat="false" ht="15" hidden="false" customHeight="false" outlineLevel="0" collapsed="false">
      <c r="A58" s="7" t="s">
        <v>289</v>
      </c>
    </row>
    <row r="59" customFormat="false" ht="15" hidden="false" customHeight="false" outlineLevel="0" collapsed="false">
      <c r="A59" s="15" t="s">
        <v>290</v>
      </c>
    </row>
    <row r="60" customFormat="false" ht="15" hidden="false" customHeight="false" outlineLevel="0" collapsed="false">
      <c r="B60" s="42" t="s">
        <v>291</v>
      </c>
      <c r="C60" s="47" t="n">
        <v>0</v>
      </c>
      <c r="D60" s="47" t="n">
        <v>0.25</v>
      </c>
      <c r="E60" s="47" t="n">
        <v>0.5</v>
      </c>
      <c r="F60" s="47" t="n">
        <v>0.75</v>
      </c>
      <c r="G60" s="47" t="n">
        <v>1</v>
      </c>
    </row>
    <row r="61" customFormat="false" ht="15" hidden="false" customHeight="false" outlineLevel="0" collapsed="false">
      <c r="B61" s="43" t="n">
        <v>0.03</v>
      </c>
      <c r="C61" s="45" t="n">
        <f aca="false">MAX(0,$B$15+MAX(0,$B$25*((Model_3S!$C$19*(1+(Assumptions!$E$12+Assumptions!$E$13)/2)^9)*($B$61-Assumptions!$F$19+Assumptions!$F$18*C$60)))/(1+$B$16)^9-$B$31)/$B$32</f>
        <v>0</v>
      </c>
      <c r="D61" s="45" t="n">
        <f aca="false">MAX(0,$B$15+MAX(0,$B$25*((Model_3S!$C$19*(1+(Assumptions!$E$12+Assumptions!$E$13)/2)^9)*($B$61-Assumptions!$F$19+Assumptions!$F$18*D$60)))/(1+$B$16)^9-$B$31)/$B$32</f>
        <v>1.1368175491294</v>
      </c>
      <c r="E61" s="45" t="n">
        <f aca="false">MAX(0,$B$15+MAX(0,$B$25*((Model_3S!$C$19*(1+(Assumptions!$E$12+Assumptions!$E$13)/2)^9)*($B$61-Assumptions!$F$19+Assumptions!$F$18*E$60)))/(1+$B$16)^9-$B$31)/$B$32</f>
        <v>3.88043736282373</v>
      </c>
      <c r="F61" s="45" t="n">
        <f aca="false">MAX(0,$B$15+MAX(0,$B$25*((Model_3S!$C$19*(1+(Assumptions!$E$12+Assumptions!$E$13)/2)^9)*($B$61-Assumptions!$F$19+Assumptions!$F$18*F$60)))/(1+$B$16)^9-$B$31)/$B$32</f>
        <v>6.62405717651807</v>
      </c>
      <c r="G61" s="45" t="n">
        <f aca="false">MAX(0,$B$15+MAX(0,$B$25*((Model_3S!$C$19*(1+(Assumptions!$E$12+Assumptions!$E$13)/2)^9)*($B$61-Assumptions!$F$19+Assumptions!$F$18*G$60)))/(1+$B$16)^9-$B$31)/$B$32</f>
        <v>9.3676769902124</v>
      </c>
    </row>
    <row r="62" customFormat="false" ht="15" hidden="false" customHeight="false" outlineLevel="0" collapsed="false">
      <c r="B62" s="43" t="n">
        <v>0.08</v>
      </c>
      <c r="C62" s="45" t="n">
        <f aca="false">MAX(0,$B$15+MAX(0,$B$25*((Model_3S!$C$19*(1+(Assumptions!$E$12+Assumptions!$E$13)/2)^9)*($B$62-Assumptions!$F$19+Assumptions!$F$18*C$60)))/(1+$B$16)^9-$B$31)/$B$32</f>
        <v>0.352926173788159</v>
      </c>
      <c r="D62" s="45" t="n">
        <f aca="false">MAX(0,$B$15+MAX(0,$B$25*((Model_3S!$C$19*(1+(Assumptions!$E$12+Assumptions!$E$13)/2)^9)*($B$62-Assumptions!$F$19+Assumptions!$F$18*D$60)))/(1+$B$16)^9-$B$31)/$B$32</f>
        <v>3.09654598748249</v>
      </c>
      <c r="E62" s="45" t="n">
        <f aca="false">MAX(0,$B$15+MAX(0,$B$25*((Model_3S!$C$19*(1+(Assumptions!$E$12+Assumptions!$E$13)/2)^9)*($B$62-Assumptions!$F$19+Assumptions!$F$18*E$60)))/(1+$B$16)^9-$B$31)/$B$32</f>
        <v>5.84016580117683</v>
      </c>
      <c r="F62" s="45" t="n">
        <f aca="false">MAX(0,$B$15+MAX(0,$B$25*((Model_3S!$C$19*(1+(Assumptions!$E$12+Assumptions!$E$13)/2)^9)*($B$62-Assumptions!$F$19+Assumptions!$F$18*F$60)))/(1+$B$16)^9-$B$31)/$B$32</f>
        <v>8.58378561487116</v>
      </c>
      <c r="G62" s="45" t="n">
        <f aca="false">MAX(0,$B$15+MAX(0,$B$25*((Model_3S!$C$19*(1+(Assumptions!$E$12+Assumptions!$E$13)/2)^9)*($B$62-Assumptions!$F$19+Assumptions!$F$18*G$60)))/(1+$B$16)^9-$B$31)/$B$32</f>
        <v>11.3274054285655</v>
      </c>
    </row>
    <row r="63" customFormat="false" ht="15" hidden="false" customHeight="false" outlineLevel="0" collapsed="false">
      <c r="B63" s="43" t="n">
        <v>0.14</v>
      </c>
      <c r="C63" s="45" t="n">
        <f aca="false">MAX(0,$B$15+MAX(0,$B$25*((Model_3S!$C$19*(1+(Assumptions!$E$12+Assumptions!$E$13)/2)^9)*($B$63-Assumptions!$F$19+Assumptions!$F$18*C$60)))/(1+$B$16)^9-$B$31)/$B$32</f>
        <v>2.70460029981188</v>
      </c>
      <c r="D63" s="45" t="n">
        <f aca="false">MAX(0,$B$15+MAX(0,$B$25*((Model_3S!$C$19*(1+(Assumptions!$E$12+Assumptions!$E$13)/2)^9)*($B$63-Assumptions!$F$19+Assumptions!$F$18*D$60)))/(1+$B$16)^9-$B$31)/$B$32</f>
        <v>5.44822011350621</v>
      </c>
      <c r="E63" s="45" t="n">
        <f aca="false">MAX(0,$B$15+MAX(0,$B$25*((Model_3S!$C$19*(1+(Assumptions!$E$12+Assumptions!$E$13)/2)^9)*($B$63-Assumptions!$F$19+Assumptions!$F$18*E$60)))/(1+$B$16)^9-$B$31)/$B$32</f>
        <v>8.19183992720055</v>
      </c>
      <c r="F63" s="45" t="n">
        <f aca="false">MAX(0,$B$15+MAX(0,$B$25*((Model_3S!$C$19*(1+(Assumptions!$E$12+Assumptions!$E$13)/2)^9)*($B$63-Assumptions!$F$19+Assumptions!$F$18*F$60)))/(1+$B$16)^9-$B$31)/$B$32</f>
        <v>10.9354597408949</v>
      </c>
      <c r="G63" s="45" t="n">
        <f aca="false">MAX(0,$B$15+MAX(0,$B$25*((Model_3S!$C$19*(1+(Assumptions!$E$12+Assumptions!$E$13)/2)^9)*($B$63-Assumptions!$F$19+Assumptions!$F$18*G$60)))/(1+$B$16)^9-$B$31)/$B$32</f>
        <v>13.6790795545892</v>
      </c>
    </row>
    <row r="64" customFormat="false" ht="15" hidden="false" customHeight="false" outlineLevel="0" collapsed="false">
      <c r="B64" s="43" t="n">
        <v>0.18</v>
      </c>
      <c r="C64" s="45" t="n">
        <f aca="false">MAX(0,$B$15+MAX(0,$B$25*((Model_3S!$C$19*(1+(Assumptions!$E$12+Assumptions!$E$13)/2)^9)*($B$64-Assumptions!$F$19+Assumptions!$F$18*C$60)))/(1+$B$16)^9-$B$31)/$B$32</f>
        <v>4.27238305049435</v>
      </c>
      <c r="D64" s="45" t="n">
        <f aca="false">MAX(0,$B$15+MAX(0,$B$25*((Model_3S!$C$19*(1+(Assumptions!$E$12+Assumptions!$E$13)/2)^9)*($B$64-Assumptions!$F$19+Assumptions!$F$18*D$60)))/(1+$B$16)^9-$B$31)/$B$32</f>
        <v>7.01600286418869</v>
      </c>
      <c r="E64" s="45" t="n">
        <f aca="false">MAX(0,$B$15+MAX(0,$B$25*((Model_3S!$C$19*(1+(Assumptions!$E$12+Assumptions!$E$13)/2)^9)*($B$64-Assumptions!$F$19+Assumptions!$F$18*E$60)))/(1+$B$16)^9-$B$31)/$B$32</f>
        <v>9.75962267788302</v>
      </c>
      <c r="F64" s="45" t="n">
        <f aca="false">MAX(0,$B$15+MAX(0,$B$25*((Model_3S!$C$19*(1+(Assumptions!$E$12+Assumptions!$E$13)/2)^9)*($B$64-Assumptions!$F$19+Assumptions!$F$18*F$60)))/(1+$B$16)^9-$B$31)/$B$32</f>
        <v>12.5032424915774</v>
      </c>
      <c r="G64" s="45" t="n">
        <f aca="false">MAX(0,$B$15+MAX(0,$B$25*((Model_3S!$C$19*(1+(Assumptions!$E$12+Assumptions!$E$13)/2)^9)*($B$64-Assumptions!$F$19+Assumptions!$F$18*G$60)))/(1+$B$16)^9-$B$31)/$B$32</f>
        <v>15.2468623052717</v>
      </c>
    </row>
    <row r="65" customFormat="false" ht="15" hidden="false" customHeight="false" outlineLevel="0" collapsed="false">
      <c r="B65" s="43" t="n">
        <v>0.22</v>
      </c>
      <c r="C65" s="45" t="n">
        <f aca="false">MAX(0,$B$15+MAX(0,$B$25*((Model_3S!$C$19*(1+(Assumptions!$E$12+Assumptions!$E$13)/2)^9)*($B$65-Assumptions!$F$19+Assumptions!$F$18*C$60)))/(1+$B$16)^9-$B$31)/$B$32</f>
        <v>5.84016580117683</v>
      </c>
      <c r="D65" s="45" t="n">
        <f aca="false">MAX(0,$B$15+MAX(0,$B$25*((Model_3S!$C$19*(1+(Assumptions!$E$12+Assumptions!$E$13)/2)^9)*($B$65-Assumptions!$F$19+Assumptions!$F$18*D$60)))/(1+$B$16)^9-$B$31)/$B$32</f>
        <v>8.58378561487116</v>
      </c>
      <c r="E65" s="45" t="n">
        <f aca="false">MAX(0,$B$15+MAX(0,$B$25*((Model_3S!$C$19*(1+(Assumptions!$E$12+Assumptions!$E$13)/2)^9)*($B$65-Assumptions!$F$19+Assumptions!$F$18*E$60)))/(1+$B$16)^9-$B$31)/$B$32</f>
        <v>11.3274054285655</v>
      </c>
      <c r="F65" s="45" t="n">
        <f aca="false">MAX(0,$B$15+MAX(0,$B$25*((Model_3S!$C$19*(1+(Assumptions!$E$12+Assumptions!$E$13)/2)^9)*($B$65-Assumptions!$F$19+Assumptions!$F$18*F$60)))/(1+$B$16)^9-$B$31)/$B$32</f>
        <v>14.0710252422598</v>
      </c>
      <c r="G65" s="45" t="n">
        <f aca="false">MAX(0,$B$15+MAX(0,$B$25*((Model_3S!$C$19*(1+(Assumptions!$E$12+Assumptions!$E$13)/2)^9)*($B$65-Assumptions!$F$19+Assumptions!$F$18*G$60)))/(1+$B$16)^9-$B$31)/$B$32</f>
        <v>16.8146450559542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9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1" t="s">
        <v>292</v>
      </c>
    </row>
    <row r="4" customFormat="false" ht="15" hidden="false" customHeight="false" outlineLevel="0" collapsed="false">
      <c r="A4" s="12" t="s">
        <v>293</v>
      </c>
      <c r="B4" s="12" t="s">
        <v>294</v>
      </c>
      <c r="C4" s="12" t="s">
        <v>295</v>
      </c>
      <c r="D4" s="12" t="s">
        <v>296</v>
      </c>
      <c r="E4" s="12" t="s">
        <v>297</v>
      </c>
    </row>
    <row r="5" customFormat="false" ht="15" hidden="false" customHeight="false" outlineLevel="0" collapsed="false">
      <c r="A5" s="3" t="s">
        <v>298</v>
      </c>
      <c r="B5" s="3" t="s">
        <v>299</v>
      </c>
      <c r="C5" s="48" t="n">
        <v>3</v>
      </c>
      <c r="D5" s="48" t="n">
        <v>8</v>
      </c>
      <c r="E5" s="15" t="s">
        <v>300</v>
      </c>
    </row>
    <row r="6" customFormat="false" ht="15" hidden="false" customHeight="false" outlineLevel="0" collapsed="false">
      <c r="A6" s="3" t="s">
        <v>301</v>
      </c>
      <c r="B6" s="3" t="s">
        <v>302</v>
      </c>
      <c r="C6" s="48" t="n">
        <v>0.4</v>
      </c>
      <c r="D6" s="48" t="n">
        <v>6</v>
      </c>
      <c r="E6" s="15" t="s">
        <v>303</v>
      </c>
    </row>
    <row r="7" customFormat="false" ht="15" hidden="false" customHeight="false" outlineLevel="0" collapsed="false">
      <c r="A7" s="3" t="s">
        <v>304</v>
      </c>
      <c r="B7" s="3" t="s">
        <v>305</v>
      </c>
      <c r="C7" s="48" t="n">
        <v>0.3</v>
      </c>
      <c r="D7" s="48" t="n">
        <v>5</v>
      </c>
      <c r="E7" s="15" t="s">
        <v>306</v>
      </c>
    </row>
    <row r="8" customFormat="false" ht="15" hidden="false" customHeight="false" outlineLevel="0" collapsed="false">
      <c r="A8" s="3" t="s">
        <v>307</v>
      </c>
      <c r="B8" s="3" t="s">
        <v>308</v>
      </c>
      <c r="C8" s="48" t="n">
        <v>1.2</v>
      </c>
      <c r="D8" s="48" t="n">
        <v>8</v>
      </c>
      <c r="E8" s="15" t="s">
        <v>309</v>
      </c>
    </row>
    <row r="9" customFormat="false" ht="15" hidden="false" customHeight="false" outlineLevel="0" collapsed="false">
      <c r="A9" s="3" t="s">
        <v>310</v>
      </c>
      <c r="B9" s="3" t="s">
        <v>311</v>
      </c>
      <c r="C9" s="49" t="n">
        <f aca="false">(Assumptions!B49*Assumptions!B37+DCF!B31)/Model_3S!C19</f>
        <v>2.4505761121983</v>
      </c>
      <c r="D9" s="49" t="n">
        <f aca="false">IFERROR((Assumptions!B49*Assumptions!B37+DCF!B31)/Model_3S!C25,0)</f>
        <v>16.337174081322</v>
      </c>
      <c r="E9" s="15" t="s">
        <v>312</v>
      </c>
    </row>
    <row r="10" customFormat="false" ht="15" hidden="false" customHeight="false" outlineLevel="0" collapsed="false">
      <c r="A10" s="9" t="s">
        <v>313</v>
      </c>
      <c r="C10" s="49" t="n">
        <f aca="false">MEDIAN(C5:C8)</f>
        <v>0.8</v>
      </c>
      <c r="D10" s="49" t="n">
        <f aca="false">MEDIAN(D5:D8)</f>
        <v>7</v>
      </c>
    </row>
    <row r="11" customFormat="false" ht="15" hidden="false" customHeight="false" outlineLevel="0" collapsed="false">
      <c r="A11" s="15" t="s">
        <v>314</v>
      </c>
    </row>
    <row r="13" customFormat="false" ht="15" hidden="false" customHeight="false" outlineLevel="0" collapsed="false">
      <c r="A13" s="7" t="s">
        <v>315</v>
      </c>
    </row>
    <row r="14" customFormat="false" ht="15" hidden="false" customHeight="false" outlineLevel="0" collapsed="false">
      <c r="A14" s="12" t="s">
        <v>316</v>
      </c>
      <c r="B14" s="12" t="s">
        <v>317</v>
      </c>
      <c r="C14" s="12" t="s">
        <v>318</v>
      </c>
      <c r="D14" s="12" t="s">
        <v>319</v>
      </c>
      <c r="E14" s="12" t="s">
        <v>320</v>
      </c>
      <c r="F14" s="12" t="s">
        <v>321</v>
      </c>
    </row>
    <row r="15" customFormat="false" ht="15" hidden="false" customHeight="false" outlineLevel="0" collapsed="false">
      <c r="A15" s="3" t="s">
        <v>322</v>
      </c>
      <c r="B15" s="18" t="n">
        <v>0.8</v>
      </c>
      <c r="C15" s="18" t="n">
        <v>2</v>
      </c>
      <c r="D15" s="25" t="n">
        <f aca="false">Model_3S!C19</f>
        <v>1050</v>
      </c>
      <c r="E15" s="41" t="n">
        <f aca="false">MAX(0,B15*D15-DCF!$B$31)/Assumptions!$B$37</f>
        <v>0.604826645871038</v>
      </c>
      <c r="F15" s="41" t="n">
        <f aca="false">MAX(0,C15*D15-DCF!$B$31)/Assumptions!$B$37</f>
        <v>5.11610484135976</v>
      </c>
    </row>
    <row r="16" customFormat="false" ht="15" hidden="false" customHeight="false" outlineLevel="0" collapsed="false">
      <c r="A16" s="3" t="s">
        <v>323</v>
      </c>
      <c r="B16" s="18" t="n">
        <v>5</v>
      </c>
      <c r="C16" s="18" t="n">
        <v>8</v>
      </c>
      <c r="D16" s="25" t="n">
        <f aca="false">Model_3S!F25</f>
        <v>516.400203867188</v>
      </c>
      <c r="E16" s="41" t="n">
        <f aca="false">MAX(0,B16*D16-DCF!$B$31)/Assumptions!$B$37</f>
        <v>6.84185141971973</v>
      </c>
      <c r="F16" s="41" t="n">
        <f aca="false">MAX(0,C16*D16-DCF!$B$31)/Assumptions!$B$37</f>
        <v>12.3885775622244</v>
      </c>
    </row>
    <row r="18" customFormat="false" ht="15" hidden="false" customHeight="false" outlineLevel="0" collapsed="false">
      <c r="A18" s="15" t="s">
        <v>324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55"/>
  </cols>
  <sheetData>
    <row r="1" customFormat="false" ht="17.35" hidden="false" customHeight="false" outlineLevel="0" collapsed="false">
      <c r="A1" s="1" t="s">
        <v>325</v>
      </c>
    </row>
    <row r="4" customFormat="false" ht="15" hidden="false" customHeight="false" outlineLevel="0" collapsed="false">
      <c r="A4" s="12" t="s">
        <v>326</v>
      </c>
      <c r="B4" s="12" t="s">
        <v>327</v>
      </c>
      <c r="C4" s="12" t="s">
        <v>328</v>
      </c>
      <c r="D4" s="12" t="s">
        <v>329</v>
      </c>
      <c r="E4" s="12" t="s">
        <v>330</v>
      </c>
      <c r="F4" s="12" t="s">
        <v>297</v>
      </c>
    </row>
    <row r="5" customFormat="false" ht="15" hidden="false" customHeight="false" outlineLevel="0" collapsed="false">
      <c r="A5" s="3" t="s">
        <v>331</v>
      </c>
      <c r="B5" s="3" t="s">
        <v>332</v>
      </c>
      <c r="C5" s="3" t="s">
        <v>333</v>
      </c>
      <c r="D5" s="20" t="n">
        <v>340</v>
      </c>
      <c r="E5" s="29" t="s">
        <v>334</v>
      </c>
      <c r="F5" s="15" t="s">
        <v>335</v>
      </c>
    </row>
    <row r="6" customFormat="false" ht="15" hidden="false" customHeight="false" outlineLevel="0" collapsed="false">
      <c r="A6" s="3" t="s">
        <v>336</v>
      </c>
      <c r="B6" s="3" t="s">
        <v>337</v>
      </c>
      <c r="C6" s="3" t="s">
        <v>338</v>
      </c>
      <c r="E6" s="29" t="s">
        <v>339</v>
      </c>
      <c r="F6" s="15" t="s">
        <v>340</v>
      </c>
    </row>
    <row r="7" customFormat="false" ht="15" hidden="false" customHeight="false" outlineLevel="0" collapsed="false">
      <c r="A7" s="3" t="s">
        <v>336</v>
      </c>
      <c r="B7" s="3" t="s">
        <v>337</v>
      </c>
      <c r="C7" s="3" t="s">
        <v>341</v>
      </c>
      <c r="D7" s="20" t="n">
        <v>135</v>
      </c>
      <c r="E7" s="29" t="s">
        <v>342</v>
      </c>
      <c r="F7" s="15" t="s">
        <v>343</v>
      </c>
    </row>
    <row r="8" customFormat="false" ht="15" hidden="false" customHeight="false" outlineLevel="0" collapsed="false">
      <c r="A8" s="3" t="s">
        <v>344</v>
      </c>
      <c r="B8" s="3" t="s">
        <v>345</v>
      </c>
      <c r="C8" s="3" t="s">
        <v>346</v>
      </c>
      <c r="D8" s="20" t="n">
        <v>2500</v>
      </c>
      <c r="E8" s="29" t="s">
        <v>347</v>
      </c>
      <c r="F8" s="15" t="s">
        <v>348</v>
      </c>
    </row>
    <row r="9" customFormat="false" ht="15" hidden="false" customHeight="false" outlineLevel="0" collapsed="false">
      <c r="A9" s="3" t="s">
        <v>349</v>
      </c>
      <c r="B9" s="3" t="s">
        <v>350</v>
      </c>
      <c r="C9" s="3" t="s">
        <v>351</v>
      </c>
      <c r="E9" s="29" t="s">
        <v>339</v>
      </c>
      <c r="F9" s="15" t="s">
        <v>352</v>
      </c>
    </row>
    <row r="11" customFormat="false" ht="15" hidden="false" customHeight="false" outlineLevel="0" collapsed="false">
      <c r="A11" s="15" t="s">
        <v>353</v>
      </c>
    </row>
    <row r="13" customFormat="false" ht="15" hidden="false" customHeight="false" outlineLevel="0" collapsed="false">
      <c r="A13" s="7" t="s">
        <v>354</v>
      </c>
    </row>
    <row r="14" customFormat="false" ht="15" hidden="false" customHeight="false" outlineLevel="0" collapsed="false">
      <c r="A14" s="12"/>
      <c r="B14" s="12" t="s">
        <v>355</v>
      </c>
      <c r="C14" s="12" t="s">
        <v>356</v>
      </c>
    </row>
    <row r="15" customFormat="false" ht="15" hidden="false" customHeight="false" outlineLevel="0" collapsed="false">
      <c r="A15" s="3" t="s">
        <v>357</v>
      </c>
      <c r="B15" s="50" t="n">
        <v>5</v>
      </c>
      <c r="C15" s="50" t="n">
        <v>8</v>
      </c>
    </row>
    <row r="16" customFormat="false" ht="15" hidden="false" customHeight="false" outlineLevel="0" collapsed="false">
      <c r="A16" s="3" t="s">
        <v>358</v>
      </c>
      <c r="B16" s="51" t="n">
        <v>0.07</v>
      </c>
      <c r="C16" s="51" t="n">
        <v>0.15</v>
      </c>
    </row>
    <row r="17" customFormat="false" ht="15" hidden="false" customHeight="false" outlineLevel="0" collapsed="false">
      <c r="A17" s="3" t="s">
        <v>359</v>
      </c>
      <c r="B17" s="28" t="n">
        <f aca="false">B15*1000*B16</f>
        <v>350</v>
      </c>
      <c r="C17" s="28" t="n">
        <f aca="false">C15*1000*C16</f>
        <v>1200</v>
      </c>
    </row>
    <row r="18" customFormat="false" ht="15" hidden="false" customHeight="false" outlineLevel="0" collapsed="false">
      <c r="A18" s="9" t="s">
        <v>282</v>
      </c>
      <c r="B18" s="41" t="n">
        <f aca="false">MAX(0,B17-DCF!$B$31)/Assumptions!$B$37</f>
        <v>0</v>
      </c>
      <c r="C18" s="41" t="n">
        <f aca="false">MAX(0,C17-DCF!$B$31)/Assumptions!$B$37</f>
        <v>1.89376327315353</v>
      </c>
    </row>
    <row r="20" customFormat="false" ht="15" hidden="false" customHeight="false" outlineLevel="0" collapsed="false">
      <c r="A20" s="15" t="s">
        <v>360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5" min="2" style="0" width="16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361</v>
      </c>
    </row>
    <row r="2" customFormat="false" ht="15" hidden="false" customHeight="false" outlineLevel="0" collapsed="false">
      <c r="A2" s="15" t="s">
        <v>362</v>
      </c>
    </row>
    <row r="5" customFormat="false" ht="15" hidden="false" customHeight="false" outlineLevel="0" collapsed="false">
      <c r="A5" s="7" t="s">
        <v>363</v>
      </c>
    </row>
    <row r="6" customFormat="false" ht="15" hidden="false" customHeight="false" outlineLevel="0" collapsed="false">
      <c r="A6" s="3" t="s">
        <v>364</v>
      </c>
      <c r="B6" s="13" t="n">
        <v>0.3</v>
      </c>
    </row>
    <row r="7" customFormat="false" ht="15" hidden="false" customHeight="false" outlineLevel="0" collapsed="false">
      <c r="A7" s="3" t="s">
        <v>365</v>
      </c>
      <c r="B7" s="41" t="n">
        <f aca="false">Assumptions!B49*(1+B6)</f>
        <v>8.853</v>
      </c>
    </row>
    <row r="8" customFormat="false" ht="15" hidden="false" customHeight="false" outlineLevel="0" collapsed="false">
      <c r="A8" s="3" t="s">
        <v>275</v>
      </c>
      <c r="B8" s="40" t="n">
        <f aca="false">Assumptions!B37</f>
        <v>279.3</v>
      </c>
    </row>
    <row r="9" customFormat="false" ht="15" hidden="false" customHeight="false" outlineLevel="0" collapsed="false">
      <c r="A9" s="3" t="s">
        <v>366</v>
      </c>
      <c r="B9" s="28" t="n">
        <f aca="false">B7*B8</f>
        <v>2472.6429</v>
      </c>
    </row>
    <row r="10" customFormat="false" ht="15" hidden="false" customHeight="false" outlineLevel="0" collapsed="false">
      <c r="A10" s="3" t="s">
        <v>367</v>
      </c>
      <c r="B10" s="25" t="n">
        <f aca="false">DCF!B31</f>
        <v>671.071917808219</v>
      </c>
    </row>
    <row r="11" customFormat="false" ht="15" hidden="false" customHeight="false" outlineLevel="0" collapsed="false">
      <c r="A11" s="3" t="s">
        <v>368</v>
      </c>
      <c r="B11" s="27" t="n">
        <f aca="false">B9+B10</f>
        <v>3143.71481780822</v>
      </c>
    </row>
    <row r="12" customFormat="false" ht="15" hidden="false" customHeight="false" outlineLevel="0" collapsed="false">
      <c r="A12" s="3" t="s">
        <v>369</v>
      </c>
      <c r="B12" s="13" t="n">
        <v>0.02</v>
      </c>
    </row>
    <row r="13" customFormat="false" ht="15" hidden="false" customHeight="false" outlineLevel="0" collapsed="false">
      <c r="A13" s="3" t="s">
        <v>370</v>
      </c>
      <c r="B13" s="25" t="n">
        <f aca="false">Model_3S!F25</f>
        <v>516.400203867188</v>
      </c>
    </row>
    <row r="14" customFormat="false" ht="15" hidden="false" customHeight="false" outlineLevel="0" collapsed="false">
      <c r="A14" s="29" t="s">
        <v>371</v>
      </c>
      <c r="B14" s="38" t="n">
        <f aca="false">IFERROR(B11/B13,0)</f>
        <v>6.08774898666916</v>
      </c>
    </row>
    <row r="15" customFormat="false" ht="15" hidden="false" customHeight="false" outlineLevel="0" collapsed="false">
      <c r="A15" s="12" t="s">
        <v>372</v>
      </c>
      <c r="B15" s="12" t="s">
        <v>373</v>
      </c>
      <c r="C15" s="12" t="s">
        <v>374</v>
      </c>
      <c r="D15" s="12" t="s">
        <v>375</v>
      </c>
    </row>
    <row r="16" customFormat="false" ht="15" hidden="false" customHeight="false" outlineLevel="0" collapsed="false">
      <c r="A16" s="3" t="s">
        <v>376</v>
      </c>
      <c r="B16" s="18" t="n">
        <v>3</v>
      </c>
      <c r="C16" s="13" t="n">
        <v>0.095</v>
      </c>
      <c r="D16" s="28" t="n">
        <f aca="false">MAX(0,B16*$B$13)</f>
        <v>1549.20061160156</v>
      </c>
    </row>
    <row r="17" customFormat="false" ht="15" hidden="false" customHeight="false" outlineLevel="0" collapsed="false">
      <c r="A17" s="3" t="s">
        <v>377</v>
      </c>
      <c r="B17" s="18" t="n">
        <v>1</v>
      </c>
      <c r="C17" s="13" t="n">
        <v>0.115</v>
      </c>
      <c r="D17" s="28" t="n">
        <f aca="false">MAX(0,B17*$B$13)</f>
        <v>516.400203867188</v>
      </c>
    </row>
    <row r="18" customFormat="false" ht="15" hidden="false" customHeight="false" outlineLevel="0" collapsed="false">
      <c r="A18" s="9" t="s">
        <v>378</v>
      </c>
      <c r="B18" s="49" t="n">
        <f aca="false">B16+B17</f>
        <v>4</v>
      </c>
      <c r="D18" s="27" t="n">
        <f aca="false">D16+D17</f>
        <v>2065.60081546875</v>
      </c>
    </row>
    <row r="19" customFormat="false" ht="15" hidden="false" customHeight="false" outlineLevel="0" collapsed="false">
      <c r="A19" s="9" t="s">
        <v>379</v>
      </c>
      <c r="B19" s="27" t="n">
        <f aca="false">B11*(1+B12)-D18</f>
        <v>1140.98829869563</v>
      </c>
    </row>
    <row r="20" customFormat="false" ht="15" hidden="false" customHeight="false" outlineLevel="0" collapsed="false">
      <c r="A20" s="3" t="s">
        <v>380</v>
      </c>
      <c r="B20" s="25" t="n">
        <f aca="false">-SUMIF(DCF!B10:F10,"&lt;0")</f>
        <v>59.7812034246573</v>
      </c>
    </row>
    <row r="21" customFormat="false" ht="15" hidden="false" customHeight="false" outlineLevel="0" collapsed="false">
      <c r="A21" s="9" t="s">
        <v>381</v>
      </c>
      <c r="B21" s="27" t="n">
        <f aca="false">B19+B20</f>
        <v>1200.76950212029</v>
      </c>
    </row>
    <row r="23" customFormat="false" ht="15" hidden="false" customHeight="false" outlineLevel="0" collapsed="false">
      <c r="A23" s="7" t="s">
        <v>382</v>
      </c>
    </row>
    <row r="24" customFormat="false" ht="15" hidden="false" customHeight="false" outlineLevel="0" collapsed="false">
      <c r="A24" s="12"/>
      <c r="B24" s="12" t="s">
        <v>147</v>
      </c>
      <c r="C24" s="12" t="s">
        <v>148</v>
      </c>
      <c r="D24" s="12" t="s">
        <v>149</v>
      </c>
      <c r="E24" s="12" t="s">
        <v>150</v>
      </c>
      <c r="F24" s="12" t="s">
        <v>151</v>
      </c>
    </row>
    <row r="25" customFormat="false" ht="15" hidden="false" customHeight="false" outlineLevel="0" collapsed="false">
      <c r="A25" s="3" t="s">
        <v>383</v>
      </c>
      <c r="B25" s="25" t="n">
        <f aca="false">DCF!B10</f>
        <v>-59.7812034246573</v>
      </c>
      <c r="C25" s="25" t="n">
        <f aca="false">DCF!C10</f>
        <v>186.695376179794</v>
      </c>
      <c r="D25" s="25" t="n">
        <f aca="false">DCF!D10</f>
        <v>293.741111423624</v>
      </c>
      <c r="E25" s="25" t="n">
        <f aca="false">DCF!E10</f>
        <v>260.390123446305</v>
      </c>
      <c r="F25" s="25" t="n">
        <f aca="false">DCF!F10</f>
        <v>186.998969095193</v>
      </c>
    </row>
    <row r="26" customFormat="false" ht="15" hidden="false" customHeight="false" outlineLevel="0" collapsed="false">
      <c r="A26" s="3" t="s">
        <v>384</v>
      </c>
      <c r="B26" s="28" t="n">
        <f aca="false">-$D$16*$C$16</f>
        <v>-147.174058102149</v>
      </c>
      <c r="C26" s="28" t="n">
        <f aca="false">-B32*$C$16</f>
        <v>-147.174058102149</v>
      </c>
      <c r="D26" s="28" t="n">
        <f aca="false">-C32*$C$16</f>
        <v>-144.940331485161</v>
      </c>
      <c r="E26" s="28" t="n">
        <f aca="false">-D32*$C$16</f>
        <v>-132.369618837405</v>
      </c>
      <c r="F26" s="28" t="n">
        <f aca="false">-E32*$C$16</f>
        <v>-122.02381806328</v>
      </c>
    </row>
    <row r="27" customFormat="false" ht="15" hidden="false" customHeight="false" outlineLevel="0" collapsed="false">
      <c r="A27" s="3" t="s">
        <v>385</v>
      </c>
      <c r="B27" s="28" t="n">
        <f aca="false">-$D$17*$C$17</f>
        <v>-59.3860234447266</v>
      </c>
      <c r="C27" s="28" t="n">
        <f aca="false">-$D$17*$C$17</f>
        <v>-59.3860234447266</v>
      </c>
      <c r="D27" s="28" t="n">
        <f aca="false">-$D$17*$C$17</f>
        <v>-59.3860234447266</v>
      </c>
      <c r="E27" s="28" t="n">
        <f aca="false">-$D$17*$C$17</f>
        <v>-59.3860234447266</v>
      </c>
      <c r="F27" s="28" t="n">
        <f aca="false">-$D$17*$C$17</f>
        <v>-59.3860234447266</v>
      </c>
    </row>
    <row r="28" customFormat="false" ht="15" hidden="false" customHeight="false" outlineLevel="0" collapsed="false">
      <c r="A28" s="3" t="s">
        <v>386</v>
      </c>
      <c r="B28" s="28" t="n">
        <f aca="false">-(B26+B27)*Assumptions!$B$38</f>
        <v>43.3776171248438</v>
      </c>
      <c r="C28" s="28" t="n">
        <f aca="false">-(C26+C27)*Assumptions!$B$38</f>
        <v>43.3776171248438</v>
      </c>
      <c r="D28" s="28" t="n">
        <f aca="false">-(D26+D27)*Assumptions!$B$38</f>
        <v>42.9085345352764</v>
      </c>
      <c r="E28" s="28" t="n">
        <f aca="false">-(E26+E27)*Assumptions!$B$38</f>
        <v>40.2686848792476</v>
      </c>
      <c r="F28" s="28" t="n">
        <f aca="false">-(F26+F27)*Assumptions!$B$38</f>
        <v>38.0960667166813</v>
      </c>
    </row>
    <row r="29" customFormat="false" ht="15" hidden="false" customHeight="false" outlineLevel="0" collapsed="false">
      <c r="A29" s="3" t="s">
        <v>387</v>
      </c>
      <c r="B29" s="28" t="n">
        <f aca="false">MAX(0,B25+B26+B27+B28)</f>
        <v>0</v>
      </c>
      <c r="C29" s="28" t="n">
        <f aca="false">MAX(0,C25+C26+C27+C28)</f>
        <v>23.512911757763</v>
      </c>
      <c r="D29" s="28" t="n">
        <f aca="false">MAX(0,D25+D26+D27+D28)</f>
        <v>132.323291029013</v>
      </c>
      <c r="E29" s="28" t="n">
        <f aca="false">MAX(0,E25+E26+E27+E28)</f>
        <v>108.903166043421</v>
      </c>
      <c r="F29" s="28" t="n">
        <f aca="false">MAX(0,F25+F26+F27+F28)</f>
        <v>43.6851943038683</v>
      </c>
    </row>
    <row r="30" customFormat="false" ht="15" hidden="false" customHeight="false" outlineLevel="0" collapsed="false">
      <c r="A30" s="3" t="s">
        <v>388</v>
      </c>
      <c r="B30" s="28" t="n">
        <f aca="false">$D$16</f>
        <v>1549.20061160156</v>
      </c>
      <c r="C30" s="28" t="n">
        <f aca="false">B32</f>
        <v>1549.20061160156</v>
      </c>
      <c r="D30" s="28" t="n">
        <f aca="false">C32</f>
        <v>1525.6876998438</v>
      </c>
      <c r="E30" s="28" t="n">
        <f aca="false">D32</f>
        <v>1393.36440881479</v>
      </c>
      <c r="F30" s="28" t="n">
        <f aca="false">E32</f>
        <v>1284.46124277137</v>
      </c>
    </row>
    <row r="31" customFormat="false" ht="15" hidden="false" customHeight="false" outlineLevel="0" collapsed="false">
      <c r="A31" s="3" t="s">
        <v>389</v>
      </c>
      <c r="B31" s="28" t="n">
        <f aca="false">-MIN(B30,B29)</f>
        <v>-0</v>
      </c>
      <c r="C31" s="28" t="n">
        <f aca="false">-MIN(C30,C29)</f>
        <v>-23.512911757763</v>
      </c>
      <c r="D31" s="28" t="n">
        <f aca="false">-MIN(D30,D29)</f>
        <v>-132.323291029013</v>
      </c>
      <c r="E31" s="28" t="n">
        <f aca="false">-MIN(E30,E29)</f>
        <v>-108.903166043421</v>
      </c>
      <c r="F31" s="28" t="n">
        <f aca="false">-MIN(F30,F29)</f>
        <v>-43.6851943038683</v>
      </c>
    </row>
    <row r="32" customFormat="false" ht="15" hidden="false" customHeight="false" outlineLevel="0" collapsed="false">
      <c r="A32" s="3" t="s">
        <v>390</v>
      </c>
      <c r="B32" s="28" t="n">
        <f aca="false">B30+B31</f>
        <v>1549.20061160156</v>
      </c>
      <c r="C32" s="28" t="n">
        <f aca="false">C30+C31</f>
        <v>1525.6876998438</v>
      </c>
      <c r="D32" s="28" t="n">
        <f aca="false">D30+D31</f>
        <v>1393.36440881479</v>
      </c>
      <c r="E32" s="28" t="n">
        <f aca="false">E30+E31</f>
        <v>1284.46124277137</v>
      </c>
      <c r="F32" s="28" t="n">
        <f aca="false">F30+F31</f>
        <v>1240.7760484675</v>
      </c>
    </row>
    <row r="33" customFormat="false" ht="15" hidden="false" customHeight="false" outlineLevel="0" collapsed="false">
      <c r="A33" s="3" t="s">
        <v>391</v>
      </c>
      <c r="B33" s="28" t="n">
        <f aca="false">$D$17</f>
        <v>516.400203867188</v>
      </c>
      <c r="C33" s="28" t="n">
        <f aca="false">$D$17</f>
        <v>516.400203867188</v>
      </c>
      <c r="D33" s="28" t="n">
        <f aca="false">$D$17</f>
        <v>516.400203867188</v>
      </c>
      <c r="E33" s="28" t="n">
        <f aca="false">$D$17</f>
        <v>516.400203867188</v>
      </c>
      <c r="F33" s="28" t="n">
        <f aca="false">$D$17</f>
        <v>516.400203867188</v>
      </c>
    </row>
    <row r="34" customFormat="false" ht="15" hidden="false" customHeight="false" outlineLevel="0" collapsed="false">
      <c r="A34" s="9" t="s">
        <v>205</v>
      </c>
      <c r="B34" s="27" t="n">
        <f aca="false">B32+B33</f>
        <v>2065.60081546875</v>
      </c>
      <c r="C34" s="27" t="n">
        <f aca="false">C32+C33</f>
        <v>2042.08790371099</v>
      </c>
      <c r="D34" s="27" t="n">
        <f aca="false">D32+D33</f>
        <v>1909.76461268198</v>
      </c>
      <c r="E34" s="27" t="n">
        <f aca="false">E32+E33</f>
        <v>1800.86144663855</v>
      </c>
      <c r="F34" s="27" t="n">
        <f aca="false">F32+F33</f>
        <v>1757.17625233469</v>
      </c>
    </row>
    <row r="36" customFormat="false" ht="15" hidden="false" customHeight="false" outlineLevel="0" collapsed="false">
      <c r="A36" s="7" t="s">
        <v>392</v>
      </c>
    </row>
    <row r="37" customFormat="false" ht="15" hidden="false" customHeight="false" outlineLevel="0" collapsed="false">
      <c r="A37" s="3" t="s">
        <v>393</v>
      </c>
      <c r="B37" s="25" t="n">
        <f aca="false">Model_3S!H25</f>
        <v>470.755279415947</v>
      </c>
    </row>
    <row r="38" customFormat="false" ht="15" hidden="false" customHeight="false" outlineLevel="0" collapsed="false">
      <c r="A38" s="3" t="s">
        <v>394</v>
      </c>
      <c r="B38" s="18" t="n">
        <v>7</v>
      </c>
    </row>
    <row r="39" customFormat="false" ht="15" hidden="false" customHeight="false" outlineLevel="0" collapsed="false">
      <c r="A39" s="3" t="s">
        <v>395</v>
      </c>
      <c r="B39" s="28" t="n">
        <f aca="false">MAX(0,B37*B38)</f>
        <v>3295.28695591163</v>
      </c>
    </row>
    <row r="40" customFormat="false" ht="15" hidden="false" customHeight="false" outlineLevel="0" collapsed="false">
      <c r="A40" s="3" t="s">
        <v>396</v>
      </c>
      <c r="B40" s="28" t="n">
        <f aca="false">-F34</f>
        <v>-1757.17625233469</v>
      </c>
    </row>
    <row r="41" customFormat="false" ht="15" hidden="false" customHeight="false" outlineLevel="0" collapsed="false">
      <c r="A41" s="9" t="s">
        <v>397</v>
      </c>
      <c r="B41" s="27" t="n">
        <f aca="false">MAX(0,B39+B40)</f>
        <v>1538.11070357694</v>
      </c>
    </row>
    <row r="42" customFormat="false" ht="15" hidden="false" customHeight="false" outlineLevel="0" collapsed="false">
      <c r="A42" s="9" t="s">
        <v>398</v>
      </c>
      <c r="B42" s="49" t="n">
        <f aca="false">IFERROR(B41/B21,0)</f>
        <v>1.28093751620189</v>
      </c>
    </row>
    <row r="43" customFormat="false" ht="15" hidden="false" customHeight="false" outlineLevel="0" collapsed="false">
      <c r="A43" s="9" t="s">
        <v>399</v>
      </c>
      <c r="B43" s="14" t="n">
        <f aca="false">IFERROR(MAX(-0.99,(B42)^(1/5)-1),-0.99)</f>
        <v>0.0507649774656236</v>
      </c>
      <c r="C43" s="15" t="s">
        <v>400</v>
      </c>
    </row>
    <row r="45" customFormat="false" ht="15" hidden="false" customHeight="false" outlineLevel="0" collapsed="false">
      <c r="A45" s="7" t="s">
        <v>401</v>
      </c>
    </row>
    <row r="46" customFormat="false" ht="15" hidden="false" customHeight="false" outlineLevel="0" collapsed="false">
      <c r="A46" s="12" t="s">
        <v>402</v>
      </c>
      <c r="B46" s="12" t="s">
        <v>403</v>
      </c>
      <c r="C46" s="12" t="s">
        <v>404</v>
      </c>
      <c r="D46" s="12" t="s">
        <v>405</v>
      </c>
      <c r="E46" s="12" t="s">
        <v>406</v>
      </c>
    </row>
    <row r="47" customFormat="false" ht="15" hidden="false" customHeight="false" outlineLevel="0" collapsed="false">
      <c r="A47" s="13" t="n">
        <v>0.15</v>
      </c>
      <c r="B47" s="28" t="n">
        <f aca="false">$B$41/(1+A47)^5</f>
        <v>764.712858131739</v>
      </c>
      <c r="C47" s="28" t="n">
        <f aca="false">B47-$B$20</f>
        <v>704.931654707081</v>
      </c>
      <c r="D47" s="41" t="n">
        <f aca="false">MAX(0,C47-$B$10)/$B$8</f>
        <v>0.121230708553033</v>
      </c>
      <c r="E47" s="30" t="n">
        <f aca="false">D47/Assumptions!$B$49-1</f>
        <v>-0.982198133839496</v>
      </c>
    </row>
    <row r="48" customFormat="false" ht="15" hidden="false" customHeight="false" outlineLevel="0" collapsed="false">
      <c r="A48" s="13" t="n">
        <v>0.2</v>
      </c>
      <c r="B48" s="28" t="n">
        <f aca="false">$B$41/(1+A48)^5</f>
        <v>618.132195046031</v>
      </c>
      <c r="C48" s="28" t="n">
        <f aca="false">B48-$B$20</f>
        <v>558.350991621374</v>
      </c>
      <c r="D48" s="41" t="n">
        <f aca="false">MAX(0,C48-$B$10)/$B$8</f>
        <v>0</v>
      </c>
      <c r="E48" s="30" t="n">
        <f aca="false">D48/Assumptions!$B$49-1</f>
        <v>-1</v>
      </c>
    </row>
    <row r="49" customFormat="false" ht="15" hidden="false" customHeight="false" outlineLevel="0" collapsed="false">
      <c r="A49" s="13" t="n">
        <v>0.25</v>
      </c>
      <c r="B49" s="28" t="n">
        <f aca="false">$B$41/(1+A49)^5</f>
        <v>504.008115348092</v>
      </c>
      <c r="C49" s="28" t="n">
        <f aca="false">B49-$B$20</f>
        <v>444.226911923434</v>
      </c>
      <c r="D49" s="41" t="n">
        <f aca="false">MAX(0,C49-$B$10)/$B$8</f>
        <v>0</v>
      </c>
      <c r="E49" s="30" t="n">
        <f aca="false">D49/Assumptions!$B$49-1</f>
        <v>-1</v>
      </c>
    </row>
    <row r="50" customFormat="false" ht="15" hidden="false" customHeight="false" outlineLevel="0" collapsed="false">
      <c r="A50" s="13" t="n">
        <v>0.3</v>
      </c>
      <c r="B50" s="28" t="n">
        <f aca="false">$B$41/(1+A50)^5</f>
        <v>414.257932031291</v>
      </c>
      <c r="C50" s="28" t="n">
        <f aca="false">B50-$B$20</f>
        <v>354.476728606633</v>
      </c>
      <c r="D50" s="41" t="n">
        <f aca="false">MAX(0,C50-$B$10)/$B$8</f>
        <v>0</v>
      </c>
      <c r="E50" s="30" t="n">
        <f aca="false">D50/Assumptions!$B$49-1</f>
        <v>-1</v>
      </c>
    </row>
    <row r="52" customFormat="false" ht="15" hidden="false" customHeight="false" outlineLevel="0" collapsed="false">
      <c r="A52" s="15" t="s">
        <v>407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3"/>
    <col collapsed="false" customWidth="true" hidden="false" outlineLevel="0" max="11" min="3" style="0" width="11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1" t="s">
        <v>408</v>
      </c>
    </row>
    <row r="2" customFormat="false" ht="15" hidden="false" customHeight="false" outlineLevel="0" collapsed="false">
      <c r="A2" s="52" t="s">
        <v>409</v>
      </c>
    </row>
    <row r="4" customFormat="false" ht="15" hidden="false" customHeight="false" outlineLevel="0" collapsed="false">
      <c r="A4" s="7" t="s">
        <v>410</v>
      </c>
    </row>
    <row r="5" customFormat="false" ht="15" hidden="false" customHeight="false" outlineLevel="0" collapsed="false">
      <c r="A5" s="12" t="s">
        <v>411</v>
      </c>
      <c r="B5" s="12" t="s">
        <v>412</v>
      </c>
      <c r="C5" s="12" t="s">
        <v>413</v>
      </c>
    </row>
    <row r="6" customFormat="false" ht="15" hidden="false" customHeight="false" outlineLevel="0" collapsed="false">
      <c r="A6" s="3" t="s">
        <v>68</v>
      </c>
      <c r="B6" s="23" t="n">
        <f aca="false">Assumptions!E12</f>
        <v>0.35</v>
      </c>
      <c r="C6" s="13" t="n">
        <v>0.15</v>
      </c>
    </row>
    <row r="7" customFormat="false" ht="15" hidden="false" customHeight="false" outlineLevel="0" collapsed="false">
      <c r="A7" s="3" t="s">
        <v>414</v>
      </c>
      <c r="B7" s="23" t="n">
        <f aca="false">Assumptions!F17</f>
        <v>0.14</v>
      </c>
      <c r="C7" s="13" t="n">
        <v>0.05</v>
      </c>
    </row>
    <row r="8" customFormat="false" ht="15" hidden="false" customHeight="false" outlineLevel="0" collapsed="false">
      <c r="A8" s="3" t="s">
        <v>11</v>
      </c>
      <c r="B8" s="53" t="n">
        <f aca="false">WACC!B20</f>
        <v>0.143259</v>
      </c>
      <c r="C8" s="32" t="n">
        <v>0.02</v>
      </c>
    </row>
    <row r="9" customFormat="false" ht="15" hidden="false" customHeight="false" outlineLevel="0" collapsed="false">
      <c r="A9" s="3" t="s">
        <v>415</v>
      </c>
      <c r="B9" s="24" t="n">
        <v>0.25</v>
      </c>
      <c r="C9" s="24" t="n">
        <v>0.25</v>
      </c>
    </row>
    <row r="11" customFormat="false" ht="15" hidden="false" customHeight="false" outlineLevel="0" collapsed="false">
      <c r="A11" s="7" t="s">
        <v>416</v>
      </c>
    </row>
    <row r="12" customFormat="false" ht="15" hidden="false" customHeight="false" outlineLevel="0" collapsed="false">
      <c r="A12" s="3" t="s">
        <v>417</v>
      </c>
      <c r="B12" s="25" t="n">
        <f aca="false">Model_3S!C19</f>
        <v>1050</v>
      </c>
    </row>
    <row r="13" customFormat="false" ht="15" hidden="false" customHeight="false" outlineLevel="0" collapsed="false">
      <c r="A13" s="3" t="s">
        <v>418</v>
      </c>
      <c r="B13" s="25" t="n">
        <f aca="false">DCF!B15</f>
        <v>605.438552297646</v>
      </c>
    </row>
    <row r="14" customFormat="false" ht="15" hidden="false" customHeight="false" outlineLevel="0" collapsed="false">
      <c r="A14" s="3" t="s">
        <v>419</v>
      </c>
      <c r="B14" s="25" t="n">
        <f aca="false">DCF!B31</f>
        <v>671.071917808219</v>
      </c>
    </row>
    <row r="15" customFormat="false" ht="15" hidden="false" customHeight="false" outlineLevel="0" collapsed="false">
      <c r="A15" s="3" t="s">
        <v>275</v>
      </c>
      <c r="B15" s="40" t="n">
        <f aca="false">Assumptions!B37</f>
        <v>279.3</v>
      </c>
    </row>
    <row r="16" customFormat="false" ht="15" hidden="false" customHeight="false" outlineLevel="0" collapsed="false">
      <c r="A16" s="3" t="s">
        <v>420</v>
      </c>
      <c r="B16" s="54" t="n">
        <f aca="false">Assumptions!B49</f>
        <v>6.81</v>
      </c>
    </row>
    <row r="17" customFormat="false" ht="15" hidden="false" customHeight="false" outlineLevel="0" collapsed="false">
      <c r="A17" s="3" t="s">
        <v>421</v>
      </c>
      <c r="B17" s="23" t="n">
        <f aca="false">Assumptions!E13</f>
        <v>0.04</v>
      </c>
    </row>
    <row r="18" customFormat="false" ht="15" hidden="false" customHeight="false" outlineLevel="0" collapsed="false">
      <c r="A18" s="3" t="s">
        <v>422</v>
      </c>
      <c r="B18" s="23" t="n">
        <f aca="false">Assumptions!F19</f>
        <v>0.065</v>
      </c>
    </row>
    <row r="19" customFormat="false" ht="15" hidden="false" customHeight="false" outlineLevel="0" collapsed="false">
      <c r="A19" s="3" t="s">
        <v>423</v>
      </c>
      <c r="B19" s="23" t="n">
        <f aca="false">Assumptions!F18</f>
        <v>0.28</v>
      </c>
    </row>
    <row r="20" customFormat="false" ht="15" hidden="false" customHeight="false" outlineLevel="0" collapsed="false">
      <c r="A20" s="3" t="s">
        <v>277</v>
      </c>
      <c r="B20" s="39" t="n">
        <f aca="false">Assumptions!B48</f>
        <v>7</v>
      </c>
    </row>
    <row r="22" customFormat="false" ht="15" hidden="false" customHeight="false" outlineLevel="0" collapsed="false">
      <c r="A22" s="7" t="s">
        <v>424</v>
      </c>
    </row>
    <row r="23" customFormat="false" ht="15" hidden="false" customHeight="false" outlineLevel="0" collapsed="false">
      <c r="A23" s="9" t="s">
        <v>425</v>
      </c>
      <c r="B23" s="41" t="n">
        <f aca="false">AVERAGE($K$41:$K$540)</f>
        <v>6.8673324850635</v>
      </c>
    </row>
    <row r="24" customFormat="false" ht="15" hidden="false" customHeight="false" outlineLevel="0" collapsed="false">
      <c r="A24" s="3" t="s">
        <v>426</v>
      </c>
      <c r="B24" s="45" t="n">
        <f aca="false">MEDIAN($K$41:$K$540)</f>
        <v>5.12655536909671</v>
      </c>
    </row>
    <row r="25" customFormat="false" ht="15" hidden="false" customHeight="false" outlineLevel="0" collapsed="false">
      <c r="A25" s="3" t="s">
        <v>427</v>
      </c>
      <c r="B25" s="45" t="n">
        <f aca="false">STDEV($K$41:$K$540)</f>
        <v>6.23314124150543</v>
      </c>
    </row>
    <row r="26" customFormat="false" ht="15" hidden="false" customHeight="false" outlineLevel="0" collapsed="false">
      <c r="A26" s="3" t="s">
        <v>428</v>
      </c>
      <c r="B26" s="45" t="n">
        <f aca="false">PERCENTILE($K$41:$K$540,0.05)</f>
        <v>0.397321986966084</v>
      </c>
    </row>
    <row r="27" customFormat="false" ht="15" hidden="false" customHeight="false" outlineLevel="0" collapsed="false">
      <c r="A27" s="3" t="s">
        <v>429</v>
      </c>
      <c r="B27" s="45" t="n">
        <f aca="false">PERCENTILE($K$41:$K$540,0.25)</f>
        <v>2.7557877506292</v>
      </c>
    </row>
    <row r="28" customFormat="false" ht="15" hidden="false" customHeight="false" outlineLevel="0" collapsed="false">
      <c r="A28" s="3" t="s">
        <v>430</v>
      </c>
      <c r="B28" s="45" t="n">
        <f aca="false">PERCENTILE($K$41:$K$540,0.75)</f>
        <v>9.30363198200604</v>
      </c>
    </row>
    <row r="29" customFormat="false" ht="15" hidden="false" customHeight="false" outlineLevel="0" collapsed="false">
      <c r="A29" s="3" t="s">
        <v>431</v>
      </c>
      <c r="B29" s="45" t="n">
        <f aca="false">PERCENTILE($K$41:$K$540,0.95)</f>
        <v>18.6748832187882</v>
      </c>
    </row>
    <row r="30" customFormat="false" ht="15" hidden="false" customHeight="false" outlineLevel="0" collapsed="false">
      <c r="A30" s="9" t="s">
        <v>432</v>
      </c>
      <c r="B30" s="14" t="n">
        <f aca="false">COUNTIF($K$41:$K$540,"&gt;"&amp;B16)/500</f>
        <v>0.388</v>
      </c>
    </row>
    <row r="31" customFormat="false" ht="15" hidden="false" customHeight="false" outlineLevel="0" collapsed="false">
      <c r="A31" s="9" t="s">
        <v>433</v>
      </c>
      <c r="B31" s="14" t="n">
        <f aca="false">COUNTIF($K$41:$K$540,"&lt;0.5")/500</f>
        <v>0.056</v>
      </c>
      <c r="C31" s="15" t="s">
        <v>434</v>
      </c>
    </row>
    <row r="33" customFormat="false" ht="15" hidden="false" customHeight="false" outlineLevel="0" collapsed="false">
      <c r="A33" s="7" t="s">
        <v>435</v>
      </c>
    </row>
    <row r="34" customFormat="false" ht="15" hidden="false" customHeight="false" outlineLevel="0" collapsed="false">
      <c r="A34" s="12" t="s">
        <v>436</v>
      </c>
      <c r="B34" s="12" t="s">
        <v>64</v>
      </c>
      <c r="C34" s="12" t="s">
        <v>437</v>
      </c>
    </row>
    <row r="35" customFormat="false" ht="15" hidden="false" customHeight="false" outlineLevel="0" collapsed="false">
      <c r="A35" s="3" t="s">
        <v>60</v>
      </c>
      <c r="B35" s="23" t="n">
        <f aca="false">Assumptions!B8</f>
        <v>0.4</v>
      </c>
      <c r="C35" s="41" t="n">
        <f aca="false">MAX(0,$B$13+MAX(0,$B$20*(($B$12*(1+(Assumptions!B12+Assumptions!B13)/2)^9)*(Assumptions!C17-Assumptions!C19+$B$19*0.25)))/(1+$B$8)^9-$B$14)/$B$15</f>
        <v>5.44822011350621</v>
      </c>
    </row>
    <row r="36" customFormat="false" ht="15" hidden="false" customHeight="false" outlineLevel="0" collapsed="false">
      <c r="A36" s="3" t="s">
        <v>61</v>
      </c>
      <c r="B36" s="23" t="n">
        <f aca="false">Assumptions!C8</f>
        <v>0.2</v>
      </c>
      <c r="C36" s="41" t="n">
        <f aca="false">MAX(0,$B$13+MAX(0,$B$20*(($B$12*(1+(Assumptions!C12+Assumptions!C13)/2)^9)*(Assumptions!D17-Assumptions!D19+$B$19*0.6)))/(1+$B$8)^9-$B$14)/$B$15</f>
        <v>27.8129328995657</v>
      </c>
    </row>
    <row r="37" customFormat="false" ht="15" hidden="false" customHeight="false" outlineLevel="0" collapsed="false">
      <c r="A37" s="3" t="s">
        <v>62</v>
      </c>
      <c r="B37" s="23" t="n">
        <f aca="false">Assumptions!D8</f>
        <v>0.4</v>
      </c>
      <c r="C37" s="41" t="n">
        <f aca="false">MAX(0,$B$13+MAX(0,$B$20*(($B$12*(1+(Assumptions!D12+Assumptions!D13)/2)^9)*(Assumptions!E17-Assumptions!E19+$B$19*0)))/(1+$B$8)^9-$B$14)/$B$15</f>
        <v>0</v>
      </c>
    </row>
    <row r="38" customFormat="false" ht="15" hidden="false" customHeight="false" outlineLevel="0" collapsed="false">
      <c r="A38" s="9" t="s">
        <v>438</v>
      </c>
      <c r="C38" s="41" t="n">
        <f aca="false">SUMPRODUCT(B35:B37,C35:C37)</f>
        <v>7.74187462531562</v>
      </c>
    </row>
    <row r="39" customFormat="false" ht="15" hidden="false" customHeight="false" outlineLevel="0" collapsed="false">
      <c r="A39" s="15" t="s">
        <v>439</v>
      </c>
    </row>
    <row r="40" customFormat="false" ht="15" hidden="false" customHeight="false" outlineLevel="0" collapsed="false">
      <c r="A40" s="12" t="s">
        <v>440</v>
      </c>
      <c r="B40" s="12" t="s">
        <v>441</v>
      </c>
      <c r="C40" s="12" t="s">
        <v>442</v>
      </c>
      <c r="D40" s="12" t="s">
        <v>11</v>
      </c>
      <c r="E40" s="12" t="s">
        <v>443</v>
      </c>
      <c r="F40" s="12" t="s">
        <v>444</v>
      </c>
      <c r="G40" s="12" t="s">
        <v>445</v>
      </c>
      <c r="H40" s="12" t="s">
        <v>446</v>
      </c>
      <c r="I40" s="12" t="s">
        <v>447</v>
      </c>
      <c r="J40" s="12" t="s">
        <v>448</v>
      </c>
      <c r="K40" s="12" t="s">
        <v>449</v>
      </c>
      <c r="N40" s="42" t="s">
        <v>450</v>
      </c>
      <c r="O40" s="42" t="s">
        <v>451</v>
      </c>
      <c r="P40" s="42" t="s">
        <v>452</v>
      </c>
      <c r="Q40" s="42" t="s">
        <v>453</v>
      </c>
    </row>
    <row r="41" customFormat="false" ht="15" hidden="false" customHeight="false" outlineLevel="0" collapsed="false">
      <c r="A41" s="55" t="n">
        <v>1</v>
      </c>
      <c r="B41" s="22" t="n">
        <f aca="true">NORMINV(RAND(),$B$6,$C$6)</f>
        <v>0.497409206995613</v>
      </c>
      <c r="C41" s="22" t="n">
        <f aca="true">MAX(-0.05,NORMINV(RAND(),$B$7,$C$7))</f>
        <v>0.174843640292996</v>
      </c>
      <c r="D41" s="34" t="n">
        <f aca="true">MAX(0.08,NORMINV(RAND(),$B$8,$C$8))</f>
        <v>0.114682950153266</v>
      </c>
      <c r="E41" s="35" t="n">
        <f aca="true">MEDIAN(0,NORMINV(RAND(),$B$9,$C$9),1)</f>
        <v>0.536528875573663</v>
      </c>
      <c r="F41" s="28" t="n">
        <f aca="false">$B$12*(1+(B41+$B$17)/2)^9</f>
        <v>8941.98507061911</v>
      </c>
      <c r="G41" s="28" t="n">
        <f aca="false">F41*(C41-$B$18+$B$19*E41)</f>
        <v>2325.55748629644</v>
      </c>
      <c r="H41" s="28" t="n">
        <f aca="false">MAX(0,$B$20*G41)/(1+D41)^9</f>
        <v>6127.21182086683</v>
      </c>
      <c r="I41" s="28" t="n">
        <f aca="false">$B$13*((1+$B$8)/(1+D41))^4.5</f>
        <v>678.484279607964</v>
      </c>
      <c r="J41" s="28" t="n">
        <f aca="false">H41+I41-$B$14</f>
        <v>6134.62418266657</v>
      </c>
      <c r="K41" s="45" t="n">
        <f aca="false">MAX(0,J41)/$B$15</f>
        <v>21.9642827879219</v>
      </c>
      <c r="N41" s="3" t="s">
        <v>454</v>
      </c>
      <c r="O41" s="55" t="n">
        <v>0</v>
      </c>
      <c r="P41" s="55" t="n">
        <v>1</v>
      </c>
      <c r="Q41" s="55" t="n">
        <f aca="false">COUNTIFS($K$41:$K$540,"&gt;="&amp;O41,$K$41:$K$540,"&lt;"&amp;P41)</f>
        <v>43</v>
      </c>
    </row>
    <row r="42" customFormat="false" ht="15" hidden="false" customHeight="false" outlineLevel="0" collapsed="false">
      <c r="A42" s="55" t="n">
        <v>2</v>
      </c>
      <c r="B42" s="22" t="n">
        <f aca="true">NORMINV(RAND(),$B$6,$C$6)</f>
        <v>0.361599548962499</v>
      </c>
      <c r="C42" s="22" t="n">
        <f aca="true">MAX(-0.05,NORMINV(RAND(),$B$7,$C$7))</f>
        <v>0.103176272458469</v>
      </c>
      <c r="D42" s="34" t="n">
        <f aca="true">MAX(0.08,NORMINV(RAND(),$B$8,$C$8))</f>
        <v>0.12743126317701</v>
      </c>
      <c r="E42" s="35" t="n">
        <f aca="true">MEDIAN(0,NORMINV(RAND(),$B$9,$C$9),1)</f>
        <v>0</v>
      </c>
      <c r="F42" s="28" t="n">
        <f aca="false">$B$12*(1+(B42+$B$17)/2)^9</f>
        <v>5450.35359256075</v>
      </c>
      <c r="G42" s="28" t="n">
        <f aca="false">F42*(C42-$B$18+$B$19*E42)</f>
        <v>208.074183744592</v>
      </c>
      <c r="H42" s="28" t="n">
        <f aca="false">MAX(0,$B$20*G42)/(1+D42)^9</f>
        <v>494.886467792914</v>
      </c>
      <c r="I42" s="28" t="n">
        <f aca="false">$B$13*((1+$B$8)/(1+D42))^4.5</f>
        <v>644.637508628926</v>
      </c>
      <c r="J42" s="28" t="n">
        <f aca="false">H42+I42-$B$14</f>
        <v>468.452058613621</v>
      </c>
      <c r="K42" s="45" t="n">
        <f aca="false">MAX(0,J42)/$B$15</f>
        <v>1.67723615686939</v>
      </c>
      <c r="N42" s="3" t="s">
        <v>455</v>
      </c>
      <c r="O42" s="55" t="n">
        <v>1</v>
      </c>
      <c r="P42" s="55" t="n">
        <v>2</v>
      </c>
      <c r="Q42" s="55" t="n">
        <f aca="false">COUNTIFS($K$41:$K$540,"&gt;="&amp;O42,$K$41:$K$540,"&lt;"&amp;P42)</f>
        <v>45</v>
      </c>
    </row>
    <row r="43" customFormat="false" ht="15" hidden="false" customHeight="false" outlineLevel="0" collapsed="false">
      <c r="A43" s="55" t="n">
        <v>3</v>
      </c>
      <c r="B43" s="22" t="n">
        <f aca="true">NORMINV(RAND(),$B$6,$C$6)</f>
        <v>0.388205712735125</v>
      </c>
      <c r="C43" s="22" t="n">
        <f aca="true">MAX(-0.05,NORMINV(RAND(),$B$7,$C$7))</f>
        <v>0.153215445733849</v>
      </c>
      <c r="D43" s="34" t="n">
        <f aca="true">MAX(0.08,NORMINV(RAND(),$B$8,$C$8))</f>
        <v>0.128443150521046</v>
      </c>
      <c r="E43" s="35" t="n">
        <f aca="true">MEDIAN(0,NORMINV(RAND(),$B$9,$C$9),1)</f>
        <v>0.367174797849045</v>
      </c>
      <c r="F43" s="28" t="n">
        <f aca="false">$B$12*(1+(B43+$B$17)/2)^9</f>
        <v>6018.50501569758</v>
      </c>
      <c r="G43" s="28" t="n">
        <f aca="false">F43*(C43-$B$18+$B$19*E43)</f>
        <v>1149.68124410899</v>
      </c>
      <c r="H43" s="28" t="n">
        <f aca="false">MAX(0,$B$20*G43)/(1+D43)^9</f>
        <v>2712.42865228183</v>
      </c>
      <c r="I43" s="28" t="n">
        <f aca="false">$B$13*((1+$B$8)/(1+D43))^4.5</f>
        <v>642.040346716963</v>
      </c>
      <c r="J43" s="28" t="n">
        <f aca="false">H43+I43-$B$14</f>
        <v>2683.39708119057</v>
      </c>
      <c r="K43" s="45" t="n">
        <f aca="false">MAX(0,J43)/$B$15</f>
        <v>9.60757995413739</v>
      </c>
      <c r="N43" s="3" t="s">
        <v>456</v>
      </c>
      <c r="O43" s="55" t="n">
        <v>2</v>
      </c>
      <c r="P43" s="55" t="n">
        <v>3</v>
      </c>
      <c r="Q43" s="55" t="n">
        <f aca="false">COUNTIFS($K$41:$K$540,"&gt;="&amp;O43,$K$41:$K$540,"&lt;"&amp;P43)</f>
        <v>47</v>
      </c>
    </row>
    <row r="44" customFormat="false" ht="15" hidden="false" customHeight="false" outlineLevel="0" collapsed="false">
      <c r="A44" s="55" t="n">
        <v>4</v>
      </c>
      <c r="B44" s="22" t="n">
        <f aca="true">NORMINV(RAND(),$B$6,$C$6)</f>
        <v>0.360991934271699</v>
      </c>
      <c r="C44" s="22" t="n">
        <f aca="true">MAX(-0.05,NORMINV(RAND(),$B$7,$C$7))</f>
        <v>0.137565775121667</v>
      </c>
      <c r="D44" s="34" t="n">
        <f aca="true">MAX(0.08,NORMINV(RAND(),$B$8,$C$8))</f>
        <v>0.145552654372033</v>
      </c>
      <c r="E44" s="35" t="n">
        <f aca="true">MEDIAN(0,NORMINV(RAND(),$B$9,$C$9),1)</f>
        <v>0.51060295666567</v>
      </c>
      <c r="F44" s="28" t="n">
        <f aca="false">$B$12*(1+(B44+$B$17)/2)^9</f>
        <v>5437.95548546045</v>
      </c>
      <c r="G44" s="28" t="n">
        <f aca="false">F44*(C44-$B$18+$B$19*E44)</f>
        <v>1172.06757662543</v>
      </c>
      <c r="H44" s="28" t="n">
        <f aca="false">MAX(0,$B$20*G44)/(1+D44)^9</f>
        <v>2414.98917473491</v>
      </c>
      <c r="I44" s="28" t="n">
        <f aca="false">$B$13*((1+$B$8)/(1+D44))^4.5</f>
        <v>600.002624784627</v>
      </c>
      <c r="J44" s="28" t="n">
        <f aca="false">H44+I44-$B$14</f>
        <v>2343.91988171132</v>
      </c>
      <c r="K44" s="45" t="n">
        <f aca="false">MAX(0,J44)/$B$15</f>
        <v>8.39212274153713</v>
      </c>
      <c r="N44" s="3" t="s">
        <v>457</v>
      </c>
      <c r="O44" s="55" t="n">
        <v>3</v>
      </c>
      <c r="P44" s="55" t="n">
        <v>4</v>
      </c>
      <c r="Q44" s="55" t="n">
        <f aca="false">COUNTIFS($K$41:$K$540,"&gt;="&amp;O44,$K$41:$K$540,"&lt;"&amp;P44)</f>
        <v>56</v>
      </c>
    </row>
    <row r="45" customFormat="false" ht="15" hidden="false" customHeight="false" outlineLevel="0" collapsed="false">
      <c r="A45" s="55" t="n">
        <v>5</v>
      </c>
      <c r="B45" s="22" t="n">
        <f aca="true">NORMINV(RAND(),$B$6,$C$6)</f>
        <v>0.264285616958293</v>
      </c>
      <c r="C45" s="22" t="n">
        <f aca="true">MAX(-0.05,NORMINV(RAND(),$B$7,$C$7))</f>
        <v>0.137673549298087</v>
      </c>
      <c r="D45" s="34" t="n">
        <f aca="true">MAX(0.08,NORMINV(RAND(),$B$8,$C$8))</f>
        <v>0.140874088194561</v>
      </c>
      <c r="E45" s="35" t="n">
        <f aca="true">MEDIAN(0,NORMINV(RAND(),$B$9,$C$9),1)</f>
        <v>0.350536031895152</v>
      </c>
      <c r="F45" s="28" t="n">
        <f aca="false">$B$12*(1+(B45+$B$17)/2)^9</f>
        <v>3756.17760809404</v>
      </c>
      <c r="G45" s="28" t="n">
        <f aca="false">F45*(C45-$B$18+$B$19*E45)</f>
        <v>641.643924847911</v>
      </c>
      <c r="H45" s="28" t="n">
        <f aca="false">MAX(0,$B$20*G45)/(1+D45)^9</f>
        <v>1371.67959673565</v>
      </c>
      <c r="I45" s="28" t="n">
        <f aca="false">$B$13*((1+$B$8)/(1+D45))^4.5</f>
        <v>611.154731145003</v>
      </c>
      <c r="J45" s="28" t="n">
        <f aca="false">H45+I45-$B$14</f>
        <v>1311.76241007243</v>
      </c>
      <c r="K45" s="45" t="n">
        <f aca="false">MAX(0,J45)/$B$15</f>
        <v>4.69660726842975</v>
      </c>
      <c r="N45" s="3" t="s">
        <v>458</v>
      </c>
      <c r="O45" s="55" t="n">
        <v>4</v>
      </c>
      <c r="P45" s="55" t="n">
        <v>5</v>
      </c>
      <c r="Q45" s="55" t="n">
        <f aca="false">COUNTIFS($K$41:$K$540,"&gt;="&amp;O45,$K$41:$K$540,"&lt;"&amp;P45)</f>
        <v>53</v>
      </c>
    </row>
    <row r="46" customFormat="false" ht="15" hidden="false" customHeight="false" outlineLevel="0" collapsed="false">
      <c r="A46" s="55" t="n">
        <v>6</v>
      </c>
      <c r="B46" s="22" t="n">
        <f aca="true">NORMINV(RAND(),$B$6,$C$6)</f>
        <v>0.245382825642699</v>
      </c>
      <c r="C46" s="22" t="n">
        <f aca="true">MAX(-0.05,NORMINV(RAND(),$B$7,$C$7))</f>
        <v>0.0909567891324424</v>
      </c>
      <c r="D46" s="34" t="n">
        <f aca="true">MAX(0.08,NORMINV(RAND(),$B$8,$C$8))</f>
        <v>0.119507250166164</v>
      </c>
      <c r="E46" s="35" t="n">
        <f aca="true">MEDIAN(0,NORMINV(RAND(),$B$9,$C$9),1)</f>
        <v>0.117372868588921</v>
      </c>
      <c r="F46" s="28" t="n">
        <f aca="false">$B$12*(1+(B46+$B$17)/2)^9</f>
        <v>3487.78714456978</v>
      </c>
      <c r="G46" s="28" t="n">
        <f aca="false">F46*(C46-$B$18+$B$19*E46)</f>
        <v>205.155798462442</v>
      </c>
      <c r="H46" s="28" t="n">
        <f aca="false">MAX(0,$B$20*G46)/(1+D46)^9</f>
        <v>519.923732442902</v>
      </c>
      <c r="I46" s="28" t="n">
        <f aca="false">$B$13*((1+$B$8)/(1+D46))^4.5</f>
        <v>665.426059611158</v>
      </c>
      <c r="J46" s="28" t="n">
        <f aca="false">H46+I46-$B$14</f>
        <v>514.277874245841</v>
      </c>
      <c r="K46" s="45" t="n">
        <f aca="false">MAX(0,J46)/$B$15</f>
        <v>1.84130996865679</v>
      </c>
      <c r="N46" s="3" t="s">
        <v>459</v>
      </c>
      <c r="O46" s="55" t="n">
        <v>5</v>
      </c>
      <c r="P46" s="55" t="n">
        <v>6</v>
      </c>
      <c r="Q46" s="55" t="n">
        <f aca="false">COUNTIFS($K$41:$K$540,"&gt;="&amp;O46,$K$41:$K$540,"&lt;"&amp;P46)</f>
        <v>40</v>
      </c>
    </row>
    <row r="47" customFormat="false" ht="15" hidden="false" customHeight="false" outlineLevel="0" collapsed="false">
      <c r="A47" s="55" t="n">
        <v>7</v>
      </c>
      <c r="B47" s="22" t="n">
        <f aca="true">NORMINV(RAND(),$B$6,$C$6)</f>
        <v>0.140360259737151</v>
      </c>
      <c r="C47" s="22" t="n">
        <f aca="true">MAX(-0.05,NORMINV(RAND(),$B$7,$C$7))</f>
        <v>0.1444000628946</v>
      </c>
      <c r="D47" s="34" t="n">
        <f aca="true">MAX(0.08,NORMINV(RAND(),$B$8,$C$8))</f>
        <v>0.134848955829786</v>
      </c>
      <c r="E47" s="35" t="n">
        <f aca="true">MEDIAN(0,NORMINV(RAND(),$B$9,$C$9),1)</f>
        <v>0.733729007446904</v>
      </c>
      <c r="F47" s="28" t="n">
        <f aca="false">$B$12*(1+(B47+$B$17)/2)^9</f>
        <v>2283.88198078905</v>
      </c>
      <c r="G47" s="28" t="n">
        <f aca="false">F47*(C47-$B$18+$B$19*E47)</f>
        <v>650.550501407757</v>
      </c>
      <c r="H47" s="28" t="n">
        <f aca="false">MAX(0,$B$20*G47)/(1+D47)^9</f>
        <v>1458.60095768307</v>
      </c>
      <c r="I47" s="28" t="n">
        <f aca="false">$B$13*((1+$B$8)/(1+D47))^4.5</f>
        <v>625.892318192872</v>
      </c>
      <c r="J47" s="28" t="n">
        <f aca="false">H47+I47-$B$14</f>
        <v>1413.42135806772</v>
      </c>
      <c r="K47" s="45" t="n">
        <f aca="false">MAX(0,J47)/$B$15</f>
        <v>5.06058488388012</v>
      </c>
      <c r="N47" s="3" t="s">
        <v>460</v>
      </c>
      <c r="O47" s="55" t="n">
        <v>6</v>
      </c>
      <c r="P47" s="55" t="n">
        <v>7</v>
      </c>
      <c r="Q47" s="55" t="n">
        <f aca="false">COUNTIFS($K$41:$K$540,"&gt;="&amp;O47,$K$41:$K$540,"&lt;"&amp;P47)</f>
        <v>27</v>
      </c>
    </row>
    <row r="48" customFormat="false" ht="15" hidden="false" customHeight="false" outlineLevel="0" collapsed="false">
      <c r="A48" s="55" t="n">
        <v>8</v>
      </c>
      <c r="B48" s="22" t="n">
        <f aca="true">NORMINV(RAND(),$B$6,$C$6)</f>
        <v>0.363865209016776</v>
      </c>
      <c r="C48" s="22" t="n">
        <f aca="true">MAX(-0.05,NORMINV(RAND(),$B$7,$C$7))</f>
        <v>0.102179579419305</v>
      </c>
      <c r="D48" s="34" t="n">
        <f aca="true">MAX(0.08,NORMINV(RAND(),$B$8,$C$8))</f>
        <v>0.117117005654555</v>
      </c>
      <c r="E48" s="35" t="n">
        <f aca="true">MEDIAN(0,NORMINV(RAND(),$B$9,$C$9),1)</f>
        <v>0.185531124374683</v>
      </c>
      <c r="F48" s="28" t="n">
        <f aca="false">$B$12*(1+(B48+$B$17)/2)^9</f>
        <v>5496.80519535303</v>
      </c>
      <c r="G48" s="28" t="n">
        <f aca="false">F48*(C48-$B$18+$B$19*E48)</f>
        <v>489.920870854558</v>
      </c>
      <c r="H48" s="28" t="n">
        <f aca="false">MAX(0,$B$20*G48)/(1+D48)^9</f>
        <v>1265.71525257115</v>
      </c>
      <c r="I48" s="28" t="n">
        <f aca="false">$B$13*((1+$B$8)/(1+D48))^4.5</f>
        <v>671.857111439689</v>
      </c>
      <c r="J48" s="28" t="n">
        <f aca="false">H48+I48-$B$14</f>
        <v>1266.50044620262</v>
      </c>
      <c r="K48" s="45" t="n">
        <f aca="false">MAX(0,J48)/$B$15</f>
        <v>4.53455225994494</v>
      </c>
      <c r="N48" s="3" t="s">
        <v>461</v>
      </c>
      <c r="O48" s="55" t="n">
        <v>7</v>
      </c>
      <c r="P48" s="55" t="n">
        <v>8</v>
      </c>
      <c r="Q48" s="55" t="n">
        <f aca="false">COUNTIFS($K$41:$K$540,"&gt;="&amp;O48,$K$41:$K$540,"&lt;"&amp;P48)</f>
        <v>31</v>
      </c>
    </row>
    <row r="49" customFormat="false" ht="15" hidden="false" customHeight="false" outlineLevel="0" collapsed="false">
      <c r="A49" s="55" t="n">
        <v>9</v>
      </c>
      <c r="B49" s="22" t="n">
        <f aca="true">NORMINV(RAND(),$B$6,$C$6)</f>
        <v>0.467978970305051</v>
      </c>
      <c r="C49" s="22" t="n">
        <f aca="true">MAX(-0.05,NORMINV(RAND(),$B$7,$C$7))</f>
        <v>0.150136271724404</v>
      </c>
      <c r="D49" s="34" t="n">
        <f aca="true">MAX(0.08,NORMINV(RAND(),$B$8,$C$8))</f>
        <v>0.150948655036856</v>
      </c>
      <c r="E49" s="35" t="n">
        <f aca="true">MEDIAN(0,NORMINV(RAND(),$B$9,$C$9),1)</f>
        <v>0.276084186027904</v>
      </c>
      <c r="F49" s="28" t="n">
        <f aca="false">$B$12*(1+(B49+$B$17)/2)^9</f>
        <v>8050.71315618607</v>
      </c>
      <c r="G49" s="28" t="n">
        <f aca="false">F49*(C49-$B$18+$B$19*E49)</f>
        <v>1307.75658766783</v>
      </c>
      <c r="H49" s="28" t="n">
        <f aca="false">MAX(0,$B$20*G49)/(1+D49)^9</f>
        <v>2582.98217202351</v>
      </c>
      <c r="I49" s="28" t="n">
        <f aca="false">$B$13*((1+$B$8)/(1+D49))^4.5</f>
        <v>587.447592399688</v>
      </c>
      <c r="J49" s="28" t="n">
        <f aca="false">H49+I49-$B$14</f>
        <v>2499.35784661498</v>
      </c>
      <c r="K49" s="45" t="n">
        <f aca="false">MAX(0,J49)/$B$15</f>
        <v>8.94864964774427</v>
      </c>
      <c r="N49" s="3" t="s">
        <v>462</v>
      </c>
      <c r="O49" s="55" t="n">
        <v>8</v>
      </c>
      <c r="P49" s="55" t="n">
        <v>10</v>
      </c>
      <c r="Q49" s="55" t="n">
        <f aca="false">COUNTIFS($K$41:$K$540,"&gt;="&amp;O49,$K$41:$K$540,"&lt;"&amp;P49)</f>
        <v>53</v>
      </c>
    </row>
    <row r="50" customFormat="false" ht="15" hidden="false" customHeight="false" outlineLevel="0" collapsed="false">
      <c r="A50" s="55" t="n">
        <v>10</v>
      </c>
      <c r="B50" s="22" t="n">
        <f aca="true">NORMINV(RAND(),$B$6,$C$6)</f>
        <v>0.267937745717742</v>
      </c>
      <c r="C50" s="22" t="n">
        <f aca="true">MAX(-0.05,NORMINV(RAND(),$B$7,$C$7))</f>
        <v>0.00836563509245697</v>
      </c>
      <c r="D50" s="34" t="n">
        <f aca="true">MAX(0.08,NORMINV(RAND(),$B$8,$C$8))</f>
        <v>0.132642171546618</v>
      </c>
      <c r="E50" s="35" t="n">
        <f aca="true">MEDIAN(0,NORMINV(RAND(),$B$9,$C$9),1)</f>
        <v>0.231534615139382</v>
      </c>
      <c r="F50" s="28" t="n">
        <f aca="false">$B$12*(1+(B50+$B$17)/2)^9</f>
        <v>3810.09801426141</v>
      </c>
      <c r="G50" s="28" t="n">
        <f aca="false">F50*(C50-$B$18+$B$19*E50)</f>
        <v>31.2250003919088</v>
      </c>
      <c r="H50" s="28" t="n">
        <f aca="false">MAX(0,$B$20*G50)/(1+D50)^9</f>
        <v>71.2468952706035</v>
      </c>
      <c r="I50" s="28" t="n">
        <f aca="false">$B$13*((1+$B$8)/(1+D50))^4.5</f>
        <v>631.398619155236</v>
      </c>
      <c r="J50" s="28" t="n">
        <f aca="false">H50+I50-$B$14</f>
        <v>31.57359661762</v>
      </c>
      <c r="K50" s="45" t="n">
        <f aca="false">MAX(0,J50)/$B$15</f>
        <v>0.113045458709703</v>
      </c>
      <c r="N50" s="3" t="s">
        <v>463</v>
      </c>
      <c r="O50" s="55" t="n">
        <v>10</v>
      </c>
      <c r="P50" s="55" t="n">
        <v>12</v>
      </c>
      <c r="Q50" s="55" t="n">
        <f aca="false">COUNTIFS($K$41:$K$540,"&gt;="&amp;O50,$K$41:$K$540,"&lt;"&amp;P50)</f>
        <v>32</v>
      </c>
    </row>
    <row r="51" customFormat="false" ht="15" hidden="false" customHeight="false" outlineLevel="0" collapsed="false">
      <c r="A51" s="55" t="n">
        <v>11</v>
      </c>
      <c r="B51" s="22" t="n">
        <f aca="true">NORMINV(RAND(),$B$6,$C$6)</f>
        <v>0.398416880143515</v>
      </c>
      <c r="C51" s="22" t="n">
        <f aca="true">MAX(-0.05,NORMINV(RAND(),$B$7,$C$7))</f>
        <v>0.16407270898232</v>
      </c>
      <c r="D51" s="34" t="n">
        <f aca="true">MAX(0.08,NORMINV(RAND(),$B$8,$C$8))</f>
        <v>0.106210352758935</v>
      </c>
      <c r="E51" s="35" t="n">
        <f aca="true">MEDIAN(0,NORMINV(RAND(),$B$9,$C$9),1)</f>
        <v>0</v>
      </c>
      <c r="F51" s="28" t="n">
        <f aca="false">$B$12*(1+(B51+$B$17)/2)^9</f>
        <v>6250.15723595898</v>
      </c>
      <c r="G51" s="28" t="n">
        <f aca="false">F51*(C51-$B$18+$B$19*E51)</f>
        <v>619.220008931908</v>
      </c>
      <c r="H51" s="28" t="n">
        <f aca="false">MAX(0,$B$20*G51)/(1+D51)^9</f>
        <v>1747.44515454754</v>
      </c>
      <c r="I51" s="28" t="n">
        <f aca="false">$B$13*((1+$B$8)/(1+D51))^4.5</f>
        <v>702.184386396335</v>
      </c>
      <c r="J51" s="28" t="n">
        <f aca="false">H51+I51-$B$14</f>
        <v>1778.55762313566</v>
      </c>
      <c r="K51" s="45" t="n">
        <f aca="false">MAX(0,J51)/$B$15</f>
        <v>6.36791128942233</v>
      </c>
      <c r="N51" s="3" t="s">
        <v>464</v>
      </c>
      <c r="O51" s="55" t="n">
        <v>12</v>
      </c>
      <c r="P51" s="55" t="n">
        <v>14</v>
      </c>
      <c r="Q51" s="55" t="n">
        <f aca="false">COUNTIFS($K$41:$K$540,"&gt;="&amp;O51,$K$41:$K$540,"&lt;"&amp;P51)</f>
        <v>23</v>
      </c>
    </row>
    <row r="52" customFormat="false" ht="15" hidden="false" customHeight="false" outlineLevel="0" collapsed="false">
      <c r="A52" s="55" t="n">
        <v>12</v>
      </c>
      <c r="B52" s="22" t="n">
        <f aca="true">NORMINV(RAND(),$B$6,$C$6)</f>
        <v>0.475770823018917</v>
      </c>
      <c r="C52" s="22" t="n">
        <f aca="true">MAX(-0.05,NORMINV(RAND(),$B$7,$C$7))</f>
        <v>0.115696027309114</v>
      </c>
      <c r="D52" s="34" t="n">
        <f aca="true">MAX(0.08,NORMINV(RAND(),$B$8,$C$8))</f>
        <v>0.156750894148691</v>
      </c>
      <c r="E52" s="35" t="n">
        <f aca="true">MEDIAN(0,NORMINV(RAND(),$B$9,$C$9),1)</f>
        <v>0.207405436895909</v>
      </c>
      <c r="F52" s="28" t="n">
        <f aca="false">$B$12*(1+(B52+$B$17)/2)^9</f>
        <v>8278.64047323467</v>
      </c>
      <c r="G52" s="28" t="n">
        <f aca="false">F52*(C52-$B$18+$B$19*E52)</f>
        <v>900.463995904947</v>
      </c>
      <c r="H52" s="28" t="n">
        <f aca="false">MAX(0,$B$20*G52)/(1+D52)^9</f>
        <v>1699.83120585407</v>
      </c>
      <c r="I52" s="28" t="n">
        <f aca="false">$B$13*((1+$B$8)/(1+D52))^4.5</f>
        <v>574.303687322943</v>
      </c>
      <c r="J52" s="28" t="n">
        <f aca="false">H52+I52-$B$14</f>
        <v>1603.0629753688</v>
      </c>
      <c r="K52" s="45" t="n">
        <f aca="false">MAX(0,J52)/$B$15</f>
        <v>5.73957384664804</v>
      </c>
      <c r="N52" s="3" t="s">
        <v>465</v>
      </c>
      <c r="O52" s="55" t="n">
        <v>14</v>
      </c>
      <c r="P52" s="55" t="n">
        <v>16</v>
      </c>
      <c r="Q52" s="55" t="n">
        <f aca="false">COUNTIFS($K$41:$K$540,"&gt;="&amp;O52,$K$41:$K$540,"&lt;"&amp;P52)</f>
        <v>10</v>
      </c>
    </row>
    <row r="53" customFormat="false" ht="15" hidden="false" customHeight="false" outlineLevel="0" collapsed="false">
      <c r="A53" s="55" t="n">
        <v>13</v>
      </c>
      <c r="B53" s="22" t="n">
        <f aca="true">NORMINV(RAND(),$B$6,$C$6)</f>
        <v>0.231964062926041</v>
      </c>
      <c r="C53" s="22" t="n">
        <f aca="true">MAX(-0.05,NORMINV(RAND(),$B$7,$C$7))</f>
        <v>0.132232570140739</v>
      </c>
      <c r="D53" s="34" t="n">
        <f aca="true">MAX(0.08,NORMINV(RAND(),$B$8,$C$8))</f>
        <v>0.132500653906006</v>
      </c>
      <c r="E53" s="35" t="n">
        <f aca="true">MEDIAN(0,NORMINV(RAND(),$B$9,$C$9),1)</f>
        <v>0.512716482999076</v>
      </c>
      <c r="F53" s="28" t="n">
        <f aca="false">$B$12*(1+(B53+$B$17)/2)^9</f>
        <v>3307.74831115228</v>
      </c>
      <c r="G53" s="28" t="n">
        <f aca="false">F53*(C53-$B$18+$B$19*E53)</f>
        <v>697.250802944691</v>
      </c>
      <c r="H53" s="28" t="n">
        <f aca="false">MAX(0,$B$20*G53)/(1+D53)^9</f>
        <v>1592.72541478044</v>
      </c>
      <c r="I53" s="28" t="n">
        <f aca="false">$B$13*((1+$B$8)/(1+D53))^4.5</f>
        <v>631.753745777585</v>
      </c>
      <c r="J53" s="28" t="n">
        <f aca="false">H53+I53-$B$14</f>
        <v>1553.40724274981</v>
      </c>
      <c r="K53" s="45" t="n">
        <f aca="false">MAX(0,J53)/$B$15</f>
        <v>5.56178747851703</v>
      </c>
      <c r="N53" s="3" t="s">
        <v>466</v>
      </c>
      <c r="O53" s="55" t="n">
        <v>16</v>
      </c>
      <c r="P53" s="55" t="n">
        <v>18</v>
      </c>
      <c r="Q53" s="55" t="n">
        <f aca="false">COUNTIFS($K$41:$K$540,"&gt;="&amp;O53,$K$41:$K$540,"&lt;"&amp;P53)</f>
        <v>11</v>
      </c>
    </row>
    <row r="54" customFormat="false" ht="15" hidden="false" customHeight="false" outlineLevel="0" collapsed="false">
      <c r="A54" s="55" t="n">
        <v>14</v>
      </c>
      <c r="B54" s="22" t="n">
        <f aca="true">NORMINV(RAND(),$B$6,$C$6)</f>
        <v>0.42375116571094</v>
      </c>
      <c r="C54" s="22" t="n">
        <f aca="true">MAX(-0.05,NORMINV(RAND(),$B$7,$C$7))</f>
        <v>0.0932292487662002</v>
      </c>
      <c r="D54" s="34" t="n">
        <f aca="true">MAX(0.08,NORMINV(RAND(),$B$8,$C$8))</f>
        <v>0.16186814273471</v>
      </c>
      <c r="E54" s="35" t="n">
        <f aca="true">MEDIAN(0,NORMINV(RAND(),$B$9,$C$9),1)</f>
        <v>0.380680099228806</v>
      </c>
      <c r="F54" s="28" t="n">
        <f aca="false">$B$12*(1+(B54+$B$17)/2)^9</f>
        <v>6859.47571750059</v>
      </c>
      <c r="G54" s="28" t="n">
        <f aca="false">F54*(C54-$B$18+$B$19*E54)</f>
        <v>924.792297537833</v>
      </c>
      <c r="H54" s="28" t="n">
        <f aca="false">MAX(0,$B$20*G54)/(1+D54)^9</f>
        <v>1677.76313832896</v>
      </c>
      <c r="I54" s="28" t="n">
        <f aca="false">$B$13*((1+$B$8)/(1+D54))^4.5</f>
        <v>563.008697965397</v>
      </c>
      <c r="J54" s="28" t="n">
        <f aca="false">H54+I54-$B$14</f>
        <v>1569.69991848614</v>
      </c>
      <c r="K54" s="45" t="n">
        <f aca="false">MAX(0,J54)/$B$15</f>
        <v>5.62012144105312</v>
      </c>
      <c r="N54" s="3" t="s">
        <v>467</v>
      </c>
      <c r="O54" s="55" t="n">
        <v>18</v>
      </c>
      <c r="P54" s="55" t="n">
        <v>20</v>
      </c>
      <c r="Q54" s="55" t="n">
        <f aca="false">COUNTIFS($K$41:$K$540,"&gt;="&amp;O54,$K$41:$K$540,"&lt;"&amp;P54)</f>
        <v>12</v>
      </c>
    </row>
    <row r="55" customFormat="false" ht="15" hidden="false" customHeight="false" outlineLevel="0" collapsed="false">
      <c r="A55" s="55" t="n">
        <v>15</v>
      </c>
      <c r="B55" s="22" t="n">
        <f aca="true">NORMINV(RAND(),$B$6,$C$6)</f>
        <v>0.257733576920388</v>
      </c>
      <c r="C55" s="22" t="n">
        <f aca="true">MAX(-0.05,NORMINV(RAND(),$B$7,$C$7))</f>
        <v>0.154644479018986</v>
      </c>
      <c r="D55" s="34" t="n">
        <f aca="true">MAX(0.08,NORMINV(RAND(),$B$8,$C$8))</f>
        <v>0.145759724764111</v>
      </c>
      <c r="E55" s="35" t="n">
        <f aca="true">MEDIAN(0,NORMINV(RAND(),$B$9,$C$9),1)</f>
        <v>0.39365102544855</v>
      </c>
      <c r="F55" s="28" t="n">
        <f aca="false">$B$12*(1+(B55+$B$17)/2)^9</f>
        <v>3661.14031751879</v>
      </c>
      <c r="G55" s="28" t="n">
        <f aca="false">F55*(C55-$B$18+$B$19*E55)</f>
        <v>731.740275664022</v>
      </c>
      <c r="H55" s="28" t="n">
        <f aca="false">MAX(0,$B$20*G55)/(1+D55)^9</f>
        <v>1505.26523403017</v>
      </c>
      <c r="I55" s="28" t="n">
        <f aca="false">$B$13*((1+$B$8)/(1+D55))^4.5</f>
        <v>599.514812468521</v>
      </c>
      <c r="J55" s="28" t="n">
        <f aca="false">H55+I55-$B$14</f>
        <v>1433.70812869047</v>
      </c>
      <c r="K55" s="45" t="n">
        <f aca="false">MAX(0,J55)/$B$15</f>
        <v>5.1332192219494</v>
      </c>
      <c r="N55" s="3" t="s">
        <v>468</v>
      </c>
      <c r="O55" s="55" t="n">
        <v>20</v>
      </c>
      <c r="P55" s="55" t="n">
        <v>25</v>
      </c>
      <c r="Q55" s="55" t="n">
        <f aca="false">COUNTIFS($K$41:$K$540,"&gt;="&amp;O55,$K$41:$K$540,"&lt;"&amp;P55)</f>
        <v>8</v>
      </c>
    </row>
    <row r="56" customFormat="false" ht="15" hidden="false" customHeight="false" outlineLevel="0" collapsed="false">
      <c r="A56" s="55" t="n">
        <v>16</v>
      </c>
      <c r="B56" s="22" t="n">
        <f aca="true">NORMINV(RAND(),$B$6,$C$6)</f>
        <v>0.238005037956649</v>
      </c>
      <c r="C56" s="22" t="n">
        <f aca="true">MAX(-0.05,NORMINV(RAND(),$B$7,$C$7))</f>
        <v>0.186070010175069</v>
      </c>
      <c r="D56" s="34" t="n">
        <f aca="true">MAX(0.08,NORMINV(RAND(),$B$8,$C$8))</f>
        <v>0.164169371067861</v>
      </c>
      <c r="E56" s="35" t="n">
        <f aca="true">MEDIAN(0,NORMINV(RAND(),$B$9,$C$9),1)</f>
        <v>0.128263139021408</v>
      </c>
      <c r="F56" s="28" t="n">
        <f aca="false">$B$12*(1+(B56+$B$17)/2)^9</f>
        <v>3387.75082743394</v>
      </c>
      <c r="G56" s="28" t="n">
        <f aca="false">F56*(C56-$B$18+$B$19*E56)</f>
        <v>531.821622645759</v>
      </c>
      <c r="H56" s="28" t="n">
        <f aca="false">MAX(0,$B$20*G56)/(1+D56)^9</f>
        <v>947.803941180639</v>
      </c>
      <c r="I56" s="28" t="n">
        <f aca="false">$B$13*((1+$B$8)/(1+D56))^4.5</f>
        <v>558.017914739669</v>
      </c>
      <c r="J56" s="28" t="n">
        <f aca="false">H56+I56-$B$14</f>
        <v>834.749938112088</v>
      </c>
      <c r="K56" s="45" t="n">
        <f aca="false">MAX(0,J56)/$B$15</f>
        <v>2.98872158292907</v>
      </c>
      <c r="N56" s="3" t="s">
        <v>469</v>
      </c>
      <c r="O56" s="55" t="n">
        <v>25</v>
      </c>
      <c r="P56" s="55" t="n">
        <v>30</v>
      </c>
      <c r="Q56" s="55" t="n">
        <f aca="false">COUNTIFS($K$41:$K$540,"&gt;="&amp;O56,$K$41:$K$540,"&lt;"&amp;P56)</f>
        <v>4</v>
      </c>
    </row>
    <row r="57" customFormat="false" ht="15" hidden="false" customHeight="false" outlineLevel="0" collapsed="false">
      <c r="A57" s="55" t="n">
        <v>17</v>
      </c>
      <c r="B57" s="22" t="n">
        <f aca="true">NORMINV(RAND(),$B$6,$C$6)</f>
        <v>0.304403278408492</v>
      </c>
      <c r="C57" s="22" t="n">
        <f aca="true">MAX(-0.05,NORMINV(RAND(),$B$7,$C$7))</f>
        <v>0.130546141651353</v>
      </c>
      <c r="D57" s="34" t="n">
        <f aca="true">MAX(0.08,NORMINV(RAND(),$B$8,$C$8))</f>
        <v>0.111928840255541</v>
      </c>
      <c r="E57" s="35" t="n">
        <f aca="true">MEDIAN(0,NORMINV(RAND(),$B$9,$C$9),1)</f>
        <v>0.20921057583327</v>
      </c>
      <c r="F57" s="28" t="n">
        <f aca="false">$B$12*(1+(B57+$B$17)/2)^9</f>
        <v>4387.43018011192</v>
      </c>
      <c r="G57" s="28" t="n">
        <f aca="false">F57*(C57-$B$18+$B$19*E57)</f>
        <v>544.590222505694</v>
      </c>
      <c r="H57" s="28" t="n">
        <f aca="false">MAX(0,$B$20*G57)/(1+D57)^9</f>
        <v>1467.15138257288</v>
      </c>
      <c r="I57" s="28" t="n">
        <f aca="false">$B$13*((1+$B$8)/(1+D57))^4.5</f>
        <v>686.079473107474</v>
      </c>
      <c r="J57" s="28" t="n">
        <f aca="false">H57+I57-$B$14</f>
        <v>1482.15893787213</v>
      </c>
      <c r="K57" s="45" t="n">
        <f aca="false">MAX(0,J57)/$B$15</f>
        <v>5.30669150688197</v>
      </c>
      <c r="N57" s="3" t="s">
        <v>470</v>
      </c>
      <c r="O57" s="55" t="n">
        <v>30</v>
      </c>
      <c r="P57" s="55" t="n">
        <v>40</v>
      </c>
      <c r="Q57" s="55" t="n">
        <f aca="false">COUNTIFS($K$41:$K$540,"&gt;="&amp;O57,$K$41:$K$540,"&lt;"&amp;P57)</f>
        <v>2</v>
      </c>
    </row>
    <row r="58" customFormat="false" ht="15" hidden="false" customHeight="false" outlineLevel="0" collapsed="false">
      <c r="A58" s="55" t="n">
        <v>18</v>
      </c>
      <c r="B58" s="22" t="n">
        <f aca="true">NORMINV(RAND(),$B$6,$C$6)</f>
        <v>0.460165348188764</v>
      </c>
      <c r="C58" s="22" t="n">
        <f aca="true">MAX(-0.05,NORMINV(RAND(),$B$7,$C$7))</f>
        <v>0.225793942740151</v>
      </c>
      <c r="D58" s="34" t="n">
        <f aca="true">MAX(0.08,NORMINV(RAND(),$B$8,$C$8))</f>
        <v>0.108316639618065</v>
      </c>
      <c r="E58" s="35" t="n">
        <f aca="true">MEDIAN(0,NORMINV(RAND(),$B$9,$C$9),1)</f>
        <v>0.237393340535197</v>
      </c>
      <c r="F58" s="28" t="n">
        <f aca="false">$B$12*(1+(B58+$B$17)/2)^9</f>
        <v>7827.76759215824</v>
      </c>
      <c r="G58" s="28" t="n">
        <f aca="false">F58*(C58-$B$18+$B$19*E58)</f>
        <v>1778.97038533467</v>
      </c>
      <c r="H58" s="28" t="n">
        <f aca="false">MAX(0,$B$20*G58)/(1+D58)^9</f>
        <v>4935.05590381212</v>
      </c>
      <c r="I58" s="28" t="n">
        <f aca="false">$B$13*((1+$B$8)/(1+D58))^4.5</f>
        <v>696.199266273223</v>
      </c>
      <c r="J58" s="28" t="n">
        <f aca="false">H58+I58-$B$14</f>
        <v>4960.18325227713</v>
      </c>
      <c r="K58" s="45" t="n">
        <f aca="false">MAX(0,J58)/$B$15</f>
        <v>17.7593385330366</v>
      </c>
      <c r="N58" s="3" t="s">
        <v>471</v>
      </c>
      <c r="O58" s="55" t="n">
        <v>40</v>
      </c>
      <c r="P58" s="55" t="n">
        <v>60</v>
      </c>
      <c r="Q58" s="55" t="n">
        <f aca="false">COUNTIF($K$41:$K$540,"&gt;="&amp;O58)</f>
        <v>3</v>
      </c>
    </row>
    <row r="59" customFormat="false" ht="15" hidden="false" customHeight="false" outlineLevel="0" collapsed="false">
      <c r="A59" s="55" t="n">
        <v>19</v>
      </c>
      <c r="B59" s="22" t="n">
        <f aca="true">NORMINV(RAND(),$B$6,$C$6)</f>
        <v>0.440261846313608</v>
      </c>
      <c r="C59" s="22" t="n">
        <f aca="true">MAX(-0.05,NORMINV(RAND(),$B$7,$C$7))</f>
        <v>0.207857857447702</v>
      </c>
      <c r="D59" s="34" t="n">
        <f aca="true">MAX(0.08,NORMINV(RAND(),$B$8,$C$8))</f>
        <v>0.132698931228967</v>
      </c>
      <c r="E59" s="35" t="n">
        <f aca="true">MEDIAN(0,NORMINV(RAND(),$B$9,$C$9),1)</f>
        <v>0.354075137731287</v>
      </c>
      <c r="F59" s="28" t="n">
        <f aca="false">$B$12*(1+(B59+$B$17)/2)^9</f>
        <v>7284.45611952178</v>
      </c>
      <c r="G59" s="28" t="n">
        <f aca="false">F59*(C59-$B$18+$B$19*E59)</f>
        <v>1762.83033897549</v>
      </c>
      <c r="H59" s="28" t="n">
        <f aca="false">MAX(0,$B$20*G59)/(1+D59)^9</f>
        <v>4020.48216344771</v>
      </c>
      <c r="I59" s="28" t="n">
        <f aca="false">$B$13*((1+$B$8)/(1+D59))^4.5</f>
        <v>631.256254060132</v>
      </c>
      <c r="J59" s="28" t="n">
        <f aca="false">H59+I59-$B$14</f>
        <v>3980.66649969962</v>
      </c>
      <c r="K59" s="45" t="n">
        <f aca="false">MAX(0,J59)/$B$15</f>
        <v>14.2522968123868</v>
      </c>
    </row>
    <row r="60" customFormat="false" ht="15" hidden="false" customHeight="false" outlineLevel="0" collapsed="false">
      <c r="A60" s="55" t="n">
        <v>20</v>
      </c>
      <c r="B60" s="22" t="n">
        <f aca="true">NORMINV(RAND(),$B$6,$C$6)</f>
        <v>0.540979650512142</v>
      </c>
      <c r="C60" s="22" t="n">
        <f aca="true">MAX(-0.05,NORMINV(RAND(),$B$7,$C$7))</f>
        <v>0.115065725258371</v>
      </c>
      <c r="D60" s="34" t="n">
        <f aca="true">MAX(0.08,NORMINV(RAND(),$B$8,$C$8))</f>
        <v>0.110551367371905</v>
      </c>
      <c r="E60" s="35" t="n">
        <f aca="true">MEDIAN(0,NORMINV(RAND(),$B$9,$C$9),1)</f>
        <v>0</v>
      </c>
      <c r="F60" s="28" t="n">
        <f aca="false">$B$12*(1+(B60+$B$17)/2)^9</f>
        <v>10422.7077811085</v>
      </c>
      <c r="G60" s="28" t="n">
        <f aca="false">F60*(C60-$B$18+$B$19*E60)</f>
        <v>521.820424217261</v>
      </c>
      <c r="H60" s="28" t="n">
        <f aca="false">MAX(0,$B$20*G60)/(1+D60)^9</f>
        <v>1421.57983016705</v>
      </c>
      <c r="I60" s="28" t="n">
        <f aca="false">$B$13*((1+$B$8)/(1+D60))^4.5</f>
        <v>689.917199272913</v>
      </c>
      <c r="J60" s="28" t="n">
        <f aca="false">H60+I60-$B$14</f>
        <v>1440.42511163174</v>
      </c>
      <c r="K60" s="45" t="n">
        <f aca="false">MAX(0,J60)/$B$15</f>
        <v>5.15726857011006</v>
      </c>
    </row>
    <row r="61" customFormat="false" ht="15" hidden="false" customHeight="false" outlineLevel="0" collapsed="false">
      <c r="A61" s="55" t="n">
        <v>21</v>
      </c>
      <c r="B61" s="22" t="n">
        <f aca="true">NORMINV(RAND(),$B$6,$C$6)</f>
        <v>0.359807464911038</v>
      </c>
      <c r="C61" s="22" t="n">
        <f aca="true">MAX(-0.05,NORMINV(RAND(),$B$7,$C$7))</f>
        <v>0.0185055472183592</v>
      </c>
      <c r="D61" s="34" t="n">
        <f aca="true">MAX(0.08,NORMINV(RAND(),$B$8,$C$8))</f>
        <v>0.135948001434546</v>
      </c>
      <c r="E61" s="35" t="n">
        <f aca="true">MEDIAN(0,NORMINV(RAND(),$B$9,$C$9),1)</f>
        <v>0.18480901490561</v>
      </c>
      <c r="F61" s="28" t="n">
        <f aca="false">$B$12*(1+(B61+$B$17)/2)^9</f>
        <v>5413.85895943307</v>
      </c>
      <c r="G61" s="28" t="n">
        <f aca="false">F61*(C61-$B$18+$B$19*E61)</f>
        <v>28.433973760783</v>
      </c>
      <c r="H61" s="28" t="n">
        <f aca="false">MAX(0,$B$20*G61)/(1+D61)^9</f>
        <v>63.1989018784508</v>
      </c>
      <c r="I61" s="28" t="n">
        <f aca="false">$B$13*((1+$B$8)/(1+D61))^4.5</f>
        <v>623.171910200789</v>
      </c>
      <c r="J61" s="28" t="n">
        <f aca="false">H61+I61-$B$14</f>
        <v>15.2988942710202</v>
      </c>
      <c r="K61" s="45" t="n">
        <f aca="false">MAX(0,J61)/$B$15</f>
        <v>0.0547758477301118</v>
      </c>
    </row>
    <row r="62" customFormat="false" ht="15" hidden="false" customHeight="false" outlineLevel="0" collapsed="false">
      <c r="A62" s="55" t="n">
        <v>22</v>
      </c>
      <c r="B62" s="22" t="n">
        <f aca="true">NORMINV(RAND(),$B$6,$C$6)</f>
        <v>0.149077502611028</v>
      </c>
      <c r="C62" s="22" t="n">
        <f aca="true">MAX(-0.05,NORMINV(RAND(),$B$7,$C$7))</f>
        <v>0.154281031969033</v>
      </c>
      <c r="D62" s="34" t="n">
        <f aca="true">MAX(0.08,NORMINV(RAND(),$B$8,$C$8))</f>
        <v>0.162259672042956</v>
      </c>
      <c r="E62" s="35" t="n">
        <f aca="true">MEDIAN(0,NORMINV(RAND(),$B$9,$C$9),1)</f>
        <v>0.415392419956989</v>
      </c>
      <c r="F62" s="28" t="n">
        <f aca="false">$B$12*(1+(B62+$B$17)/2)^9</f>
        <v>2367.3887387806</v>
      </c>
      <c r="G62" s="28" t="n">
        <f aca="false">F62*(C62-$B$18+$B$19*E62)</f>
        <v>486.71360408088</v>
      </c>
      <c r="H62" s="28" t="n">
        <f aca="false">MAX(0,$B$20*G62)/(1+D62)^9</f>
        <v>880.324937745911</v>
      </c>
      <c r="I62" s="28" t="n">
        <f aca="false">$B$13*((1+$B$8)/(1+D62))^4.5</f>
        <v>562.155730046798</v>
      </c>
      <c r="J62" s="28" t="n">
        <f aca="false">H62+I62-$B$14</f>
        <v>771.40874998449</v>
      </c>
      <c r="K62" s="45" t="n">
        <f aca="false">MAX(0,J62)/$B$15</f>
        <v>2.76193609017003</v>
      </c>
    </row>
    <row r="63" customFormat="false" ht="15" hidden="false" customHeight="false" outlineLevel="0" collapsed="false">
      <c r="A63" s="55" t="n">
        <v>23</v>
      </c>
      <c r="B63" s="22" t="n">
        <f aca="true">NORMINV(RAND(),$B$6,$C$6)</f>
        <v>0.40641950782472</v>
      </c>
      <c r="C63" s="22" t="n">
        <f aca="true">MAX(-0.05,NORMINV(RAND(),$B$7,$C$7))</f>
        <v>0.117291699296079</v>
      </c>
      <c r="D63" s="34" t="n">
        <f aca="true">MAX(0.08,NORMINV(RAND(),$B$8,$C$8))</f>
        <v>0.108821393561246</v>
      </c>
      <c r="E63" s="35" t="n">
        <f aca="true">MEDIAN(0,NORMINV(RAND(),$B$9,$C$9),1)</f>
        <v>0.494054652719394</v>
      </c>
      <c r="F63" s="28" t="n">
        <f aca="false">$B$12*(1+(B63+$B$17)/2)^9</f>
        <v>6437.21061151275</v>
      </c>
      <c r="G63" s="28" t="n">
        <f aca="false">F63*(C63-$B$18+$B$19*E63)</f>
        <v>1227.10616048546</v>
      </c>
      <c r="H63" s="28" t="n">
        <f aca="false">MAX(0,$B$20*G63)/(1+D63)^9</f>
        <v>3390.20380468735</v>
      </c>
      <c r="I63" s="28" t="n">
        <f aca="false">$B$13*((1+$B$8)/(1+D63))^4.5</f>
        <v>694.774255260678</v>
      </c>
      <c r="J63" s="28" t="n">
        <f aca="false">H63+I63-$B$14</f>
        <v>3413.90614213981</v>
      </c>
      <c r="K63" s="45" t="n">
        <f aca="false">MAX(0,J63)/$B$15</f>
        <v>12.2230796353019</v>
      </c>
    </row>
    <row r="64" customFormat="false" ht="15" hidden="false" customHeight="false" outlineLevel="0" collapsed="false">
      <c r="A64" s="55" t="n">
        <v>24</v>
      </c>
      <c r="B64" s="22" t="n">
        <f aca="true">NORMINV(RAND(),$B$6,$C$6)</f>
        <v>0.494404597062336</v>
      </c>
      <c r="C64" s="22" t="n">
        <f aca="true">MAX(-0.05,NORMINV(RAND(),$B$7,$C$7))</f>
        <v>0.210505015592916</v>
      </c>
      <c r="D64" s="34" t="n">
        <f aca="true">MAX(0.08,NORMINV(RAND(),$B$8,$C$8))</f>
        <v>0.125891375142884</v>
      </c>
      <c r="E64" s="35" t="n">
        <f aca="true">MEDIAN(0,NORMINV(RAND(),$B$9,$C$9),1)</f>
        <v>0.368067126434124</v>
      </c>
      <c r="F64" s="28" t="n">
        <f aca="false">$B$12*(1+(B64+$B$17)/2)^9</f>
        <v>8847.13933383454</v>
      </c>
      <c r="G64" s="28" t="n">
        <f aca="false">F64*(C64-$B$18+$B$19*E64)</f>
        <v>2199.078669217</v>
      </c>
      <c r="H64" s="28" t="n">
        <f aca="false">MAX(0,$B$20*G64)/(1+D64)^9</f>
        <v>5295.05378399486</v>
      </c>
      <c r="I64" s="28" t="n">
        <f aca="false">$B$13*((1+$B$8)/(1+D64))^4.5</f>
        <v>648.614550425544</v>
      </c>
      <c r="J64" s="28" t="n">
        <f aca="false">H64+I64-$B$14</f>
        <v>5272.59641661219</v>
      </c>
      <c r="K64" s="45" t="n">
        <f aca="false">MAX(0,J64)/$B$15</f>
        <v>18.8778962284718</v>
      </c>
    </row>
    <row r="65" customFormat="false" ht="15" hidden="false" customHeight="false" outlineLevel="0" collapsed="false">
      <c r="A65" s="55" t="n">
        <v>25</v>
      </c>
      <c r="B65" s="22" t="n">
        <f aca="true">NORMINV(RAND(),$B$6,$C$6)</f>
        <v>0.305483491099859</v>
      </c>
      <c r="C65" s="22" t="n">
        <f aca="true">MAX(-0.05,NORMINV(RAND(),$B$7,$C$7))</f>
        <v>0.0798221839470276</v>
      </c>
      <c r="D65" s="34" t="n">
        <f aca="true">MAX(0.08,NORMINV(RAND(),$B$8,$C$8))</f>
        <v>0.187913677620828</v>
      </c>
      <c r="E65" s="35" t="n">
        <f aca="true">MEDIAN(0,NORMINV(RAND(),$B$9,$C$9),1)</f>
        <v>0</v>
      </c>
      <c r="F65" s="28" t="n">
        <f aca="false">$B$12*(1+(B65+$B$17)/2)^9</f>
        <v>4405.65781128235</v>
      </c>
      <c r="G65" s="28" t="n">
        <f aca="false">F65*(C65-$B$18+$B$19*E65)</f>
        <v>65.3014704864862</v>
      </c>
      <c r="H65" s="28" t="n">
        <f aca="false">MAX(0,$B$20*G65)/(1+D65)^9</f>
        <v>97.0414005008744</v>
      </c>
      <c r="I65" s="28" t="n">
        <f aca="false">$B$13*((1+$B$8)/(1+D65))^4.5</f>
        <v>509.552491466446</v>
      </c>
      <c r="J65" s="28" t="n">
        <f aca="false">H65+I65-$B$14</f>
        <v>-64.4780258408989</v>
      </c>
      <c r="K65" s="45" t="n">
        <f aca="false">MAX(0,J65)/$B$15</f>
        <v>0</v>
      </c>
    </row>
    <row r="66" customFormat="false" ht="15" hidden="false" customHeight="false" outlineLevel="0" collapsed="false">
      <c r="A66" s="55" t="n">
        <v>26</v>
      </c>
      <c r="B66" s="22" t="n">
        <f aca="true">NORMINV(RAND(),$B$6,$C$6)</f>
        <v>0.443366057739716</v>
      </c>
      <c r="C66" s="22" t="n">
        <f aca="true">MAX(-0.05,NORMINV(RAND(),$B$7,$C$7))</f>
        <v>0.0509449739328219</v>
      </c>
      <c r="D66" s="34" t="n">
        <f aca="true">MAX(0.08,NORMINV(RAND(),$B$8,$C$8))</f>
        <v>0.142249081250525</v>
      </c>
      <c r="E66" s="35" t="n">
        <f aca="true">MEDIAN(0,NORMINV(RAND(),$B$9,$C$9),1)</f>
        <v>0</v>
      </c>
      <c r="F66" s="28" t="n">
        <f aca="false">$B$12*(1+(B66+$B$17)/2)^9</f>
        <v>7366.92089857226</v>
      </c>
      <c r="G66" s="28" t="n">
        <f aca="false">F66*(C66-$B$18+$B$19*E66)</f>
        <v>-103.542265264272</v>
      </c>
      <c r="H66" s="28" t="n">
        <f aca="false">MAX(0,$B$20*G66)/(1+D66)^9</f>
        <v>0</v>
      </c>
      <c r="I66" s="28" t="n">
        <f aca="false">$B$13*((1+$B$8)/(1+D66))^4.5</f>
        <v>607.851123533577</v>
      </c>
      <c r="J66" s="28" t="n">
        <f aca="false">H66+I66-$B$14</f>
        <v>-63.2207942746419</v>
      </c>
      <c r="K66" s="45" t="n">
        <f aca="false">MAX(0,J66)/$B$15</f>
        <v>0</v>
      </c>
    </row>
    <row r="67" customFormat="false" ht="15" hidden="false" customHeight="false" outlineLevel="0" collapsed="false">
      <c r="A67" s="55" t="n">
        <v>27</v>
      </c>
      <c r="B67" s="22" t="n">
        <f aca="true">NORMINV(RAND(),$B$6,$C$6)</f>
        <v>0.382040979802417</v>
      </c>
      <c r="C67" s="22" t="n">
        <f aca="true">MAX(-0.05,NORMINV(RAND(),$B$7,$C$7))</f>
        <v>0.121860233011285</v>
      </c>
      <c r="D67" s="34" t="n">
        <f aca="true">MAX(0.08,NORMINV(RAND(),$B$8,$C$8))</f>
        <v>0.147995190060042</v>
      </c>
      <c r="E67" s="35" t="n">
        <f aca="true">MEDIAN(0,NORMINV(RAND(),$B$9,$C$9),1)</f>
        <v>0.390900700225867</v>
      </c>
      <c r="F67" s="28" t="n">
        <f aca="false">$B$12*(1+(B67+$B$17)/2)^9</f>
        <v>5882.37517922955</v>
      </c>
      <c r="G67" s="28" t="n">
        <f aca="false">F67*(C67-$B$18+$B$19*E67)</f>
        <v>978.312104785378</v>
      </c>
      <c r="H67" s="28" t="n">
        <f aca="false">MAX(0,$B$20*G67)/(1+D67)^9</f>
        <v>1977.4925283807</v>
      </c>
      <c r="I67" s="28" t="n">
        <f aca="false">$B$13*((1+$B$8)/(1+D67))^4.5</f>
        <v>594.279287740884</v>
      </c>
      <c r="J67" s="28" t="n">
        <f aca="false">H67+I67-$B$14</f>
        <v>1900.69989831337</v>
      </c>
      <c r="K67" s="45" t="n">
        <f aca="false">MAX(0,J67)/$B$15</f>
        <v>6.80522699002279</v>
      </c>
    </row>
    <row r="68" customFormat="false" ht="15" hidden="false" customHeight="false" outlineLevel="0" collapsed="false">
      <c r="A68" s="55" t="n">
        <v>28</v>
      </c>
      <c r="B68" s="22" t="n">
        <f aca="true">NORMINV(RAND(),$B$6,$C$6)</f>
        <v>0.475094964528071</v>
      </c>
      <c r="C68" s="22" t="n">
        <f aca="true">MAX(-0.05,NORMINV(RAND(),$B$7,$C$7))</f>
        <v>0.24550325506399</v>
      </c>
      <c r="D68" s="34" t="n">
        <f aca="true">MAX(0.08,NORMINV(RAND(),$B$8,$C$8))</f>
        <v>0.143799832205362</v>
      </c>
      <c r="E68" s="35" t="n">
        <f aca="true">MEDIAN(0,NORMINV(RAND(),$B$9,$C$9),1)</f>
        <v>0</v>
      </c>
      <c r="F68" s="28" t="n">
        <f aca="false">$B$12*(1+(B68+$B$17)/2)^9</f>
        <v>8258.64555735945</v>
      </c>
      <c r="G68" s="28" t="n">
        <f aca="false">F68*(C68-$B$18+$B$19*E68)</f>
        <v>1490.71240552314</v>
      </c>
      <c r="H68" s="28" t="n">
        <f aca="false">MAX(0,$B$20*G68)/(1+D68)^9</f>
        <v>3114.16521344824</v>
      </c>
      <c r="I68" s="28" t="n">
        <f aca="false">$B$13*((1+$B$8)/(1+D68))^4.5</f>
        <v>604.151382826045</v>
      </c>
      <c r="J68" s="28" t="n">
        <f aca="false">H68+I68-$B$14</f>
        <v>3047.24467846606</v>
      </c>
      <c r="K68" s="45" t="n">
        <f aca="false">MAX(0,J68)/$B$15</f>
        <v>10.9102924399071</v>
      </c>
    </row>
    <row r="69" customFormat="false" ht="15" hidden="false" customHeight="false" outlineLevel="0" collapsed="false">
      <c r="A69" s="55" t="n">
        <v>29</v>
      </c>
      <c r="B69" s="22" t="n">
        <f aca="true">NORMINV(RAND(),$B$6,$C$6)</f>
        <v>0.260093423377414</v>
      </c>
      <c r="C69" s="22" t="n">
        <f aca="true">MAX(-0.05,NORMINV(RAND(),$B$7,$C$7))</f>
        <v>0.0880938713883149</v>
      </c>
      <c r="D69" s="34" t="n">
        <f aca="true">MAX(0.08,NORMINV(RAND(),$B$8,$C$8))</f>
        <v>0.153807665803624</v>
      </c>
      <c r="E69" s="35" t="n">
        <f aca="true">MEDIAN(0,NORMINV(RAND(),$B$9,$C$9),1)</f>
        <v>0.0339282081597296</v>
      </c>
      <c r="F69" s="28" t="n">
        <f aca="false">$B$12*(1+(B69+$B$17)/2)^9</f>
        <v>3695.12065650125</v>
      </c>
      <c r="G69" s="28" t="n">
        <f aca="false">F69*(C69-$B$18+$B$19*E69)</f>
        <v>120.437911592091</v>
      </c>
      <c r="H69" s="28" t="n">
        <f aca="false">MAX(0,$B$20*G69)/(1+D69)^9</f>
        <v>232.627190572216</v>
      </c>
      <c r="I69" s="28" t="n">
        <f aca="false">$B$13*((1+$B$8)/(1+D69))^4.5</f>
        <v>580.925595561748</v>
      </c>
      <c r="J69" s="28" t="n">
        <f aca="false">H69+I69-$B$14</f>
        <v>142.480868325744</v>
      </c>
      <c r="K69" s="45" t="n">
        <f aca="false">MAX(0,J69)/$B$15</f>
        <v>0.510135582977959</v>
      </c>
    </row>
    <row r="70" customFormat="false" ht="15" hidden="false" customHeight="false" outlineLevel="0" collapsed="false">
      <c r="A70" s="55" t="n">
        <v>30</v>
      </c>
      <c r="B70" s="22" t="n">
        <f aca="true">NORMINV(RAND(),$B$6,$C$6)</f>
        <v>0.577361459189458</v>
      </c>
      <c r="C70" s="22" t="n">
        <f aca="true">MAX(-0.05,NORMINV(RAND(),$B$7,$C$7))</f>
        <v>0.132587495836123</v>
      </c>
      <c r="D70" s="34" t="n">
        <f aca="true">MAX(0.08,NORMINV(RAND(),$B$8,$C$8))</f>
        <v>0.161161026033087</v>
      </c>
      <c r="E70" s="35" t="n">
        <f aca="true">MEDIAN(0,NORMINV(RAND(),$B$9,$C$9),1)</f>
        <v>0.0438168252493115</v>
      </c>
      <c r="F70" s="28" t="n">
        <f aca="false">$B$12*(1+(B70+$B$17)/2)^9</f>
        <v>11822.0465775419</v>
      </c>
      <c r="G70" s="28" t="n">
        <f aca="false">F70*(C70-$B$18+$B$19*E70)</f>
        <v>944.063797547726</v>
      </c>
      <c r="H70" s="28" t="n">
        <f aca="false">MAX(0,$B$20*G70)/(1+D70)^9</f>
        <v>1722.13554114717</v>
      </c>
      <c r="I70" s="28" t="n">
        <f aca="false">$B$13*((1+$B$8)/(1+D70))^4.5</f>
        <v>564.553202118658</v>
      </c>
      <c r="J70" s="28" t="n">
        <f aca="false">H70+I70-$B$14</f>
        <v>1615.61682545761</v>
      </c>
      <c r="K70" s="45" t="n">
        <f aca="false">MAX(0,J70)/$B$15</f>
        <v>5.78452139440604</v>
      </c>
    </row>
    <row r="71" customFormat="false" ht="15" hidden="false" customHeight="false" outlineLevel="0" collapsed="false">
      <c r="A71" s="55" t="n">
        <v>31</v>
      </c>
      <c r="B71" s="22" t="n">
        <f aca="true">NORMINV(RAND(),$B$6,$C$6)</f>
        <v>0.0867381596113505</v>
      </c>
      <c r="C71" s="22" t="n">
        <f aca="true">MAX(-0.05,NORMINV(RAND(),$B$7,$C$7))</f>
        <v>0.154248345819124</v>
      </c>
      <c r="D71" s="34" t="n">
        <f aca="true">MAX(0.08,NORMINV(RAND(),$B$8,$C$8))</f>
        <v>0.11157061647419</v>
      </c>
      <c r="E71" s="35" t="n">
        <f aca="true">MEDIAN(0,NORMINV(RAND(),$B$9,$C$9),1)</f>
        <v>0.0422756033602341</v>
      </c>
      <c r="F71" s="28" t="n">
        <f aca="false">$B$12*(1+(B71+$B$17)/2)^9</f>
        <v>1825.347479416</v>
      </c>
      <c r="G71" s="28" t="n">
        <f aca="false">F71*(C71-$B$18+$B$19*E71)</f>
        <v>184.516189572616</v>
      </c>
      <c r="H71" s="28" t="n">
        <f aca="false">MAX(0,$B$20*G71)/(1+D71)^9</f>
        <v>498.538836006692</v>
      </c>
      <c r="I71" s="28" t="n">
        <f aca="false">$B$13*((1+$B$8)/(1+D71))^4.5</f>
        <v>687.074991345849</v>
      </c>
      <c r="J71" s="28" t="n">
        <f aca="false">H71+I71-$B$14</f>
        <v>514.541909544322</v>
      </c>
      <c r="K71" s="45" t="n">
        <f aca="false">MAX(0,J71)/$B$15</f>
        <v>1.84225531523209</v>
      </c>
    </row>
    <row r="72" customFormat="false" ht="15" hidden="false" customHeight="false" outlineLevel="0" collapsed="false">
      <c r="A72" s="55" t="n">
        <v>32</v>
      </c>
      <c r="B72" s="22" t="n">
        <f aca="true">NORMINV(RAND(),$B$6,$C$6)</f>
        <v>0.455160728790547</v>
      </c>
      <c r="C72" s="22" t="n">
        <f aca="true">MAX(-0.05,NORMINV(RAND(),$B$7,$C$7))</f>
        <v>0.179950293782025</v>
      </c>
      <c r="D72" s="34" t="n">
        <f aca="true">MAX(0.08,NORMINV(RAND(),$B$8,$C$8))</f>
        <v>0.170370251592896</v>
      </c>
      <c r="E72" s="35" t="n">
        <f aca="true">MEDIAN(0,NORMINV(RAND(),$B$9,$C$9),1)</f>
        <v>0.445944604308421</v>
      </c>
      <c r="F72" s="28" t="n">
        <f aca="false">$B$12*(1+(B72+$B$17)/2)^9</f>
        <v>7687.8708029505</v>
      </c>
      <c r="G72" s="28" t="n">
        <f aca="false">F72*(C72-$B$18+$B$19*E72)</f>
        <v>1843.6650682523</v>
      </c>
      <c r="H72" s="28" t="n">
        <f aca="false">MAX(0,$B$20*G72)/(1+D72)^9</f>
        <v>3132.35227078163</v>
      </c>
      <c r="I72" s="28" t="n">
        <f aca="false">$B$13*((1+$B$8)/(1+D72))^4.5</f>
        <v>544.836466131676</v>
      </c>
      <c r="J72" s="28" t="n">
        <f aca="false">H72+I72-$B$14</f>
        <v>3006.11681910508</v>
      </c>
      <c r="K72" s="45" t="n">
        <f aca="false">MAX(0,J72)/$B$15</f>
        <v>10.7630390945402</v>
      </c>
    </row>
    <row r="73" customFormat="false" ht="15" hidden="false" customHeight="false" outlineLevel="0" collapsed="false">
      <c r="A73" s="55" t="n">
        <v>33</v>
      </c>
      <c r="B73" s="22" t="n">
        <f aca="true">NORMINV(RAND(),$B$6,$C$6)</f>
        <v>0.359679754254531</v>
      </c>
      <c r="C73" s="22" t="n">
        <f aca="true">MAX(-0.05,NORMINV(RAND(),$B$7,$C$7))</f>
        <v>0.135686767271539</v>
      </c>
      <c r="D73" s="34" t="n">
        <f aca="true">MAX(0.08,NORMINV(RAND(),$B$8,$C$8))</f>
        <v>0.155632692695374</v>
      </c>
      <c r="E73" s="35" t="n">
        <f aca="true">MEDIAN(0,NORMINV(RAND(),$B$9,$C$9),1)</f>
        <v>0.489874674806018</v>
      </c>
      <c r="F73" s="28" t="n">
        <f aca="false">$B$12*(1+(B73+$B$17)/2)^9</f>
        <v>5411.26652525446</v>
      </c>
      <c r="G73" s="28" t="n">
        <f aca="false">F73*(C73-$B$18+$B$19*E73)</f>
        <v>1124.74081773229</v>
      </c>
      <c r="H73" s="28" t="n">
        <f aca="false">MAX(0,$B$20*G73)/(1+D73)^9</f>
        <v>2141.76649833577</v>
      </c>
      <c r="I73" s="28" t="n">
        <f aca="false">$B$13*((1+$B$8)/(1+D73))^4.5</f>
        <v>576.808583441914</v>
      </c>
      <c r="J73" s="28" t="n">
        <f aca="false">H73+I73-$B$14</f>
        <v>2047.50316396947</v>
      </c>
      <c r="K73" s="45" t="n">
        <f aca="false">MAX(0,J73)/$B$15</f>
        <v>7.33083839588067</v>
      </c>
    </row>
    <row r="74" customFormat="false" ht="15" hidden="false" customHeight="false" outlineLevel="0" collapsed="false">
      <c r="A74" s="55" t="n">
        <v>34</v>
      </c>
      <c r="B74" s="22" t="n">
        <f aca="true">NORMINV(RAND(),$B$6,$C$6)</f>
        <v>0.328525165048248</v>
      </c>
      <c r="C74" s="22" t="n">
        <f aca="true">MAX(-0.05,NORMINV(RAND(),$B$7,$C$7))</f>
        <v>0.141063795015375</v>
      </c>
      <c r="D74" s="34" t="n">
        <f aca="true">MAX(0.08,NORMINV(RAND(),$B$8,$C$8))</f>
        <v>0.113554801928536</v>
      </c>
      <c r="E74" s="35" t="n">
        <f aca="true">MEDIAN(0,NORMINV(RAND(),$B$9,$C$9),1)</f>
        <v>0.326368384637339</v>
      </c>
      <c r="F74" s="28" t="n">
        <f aca="false">$B$12*(1+(B74+$B$17)/2)^9</f>
        <v>4810.84504179975</v>
      </c>
      <c r="G74" s="28" t="n">
        <f aca="false">F74*(C74-$B$18+$B$19*E74)</f>
        <v>805.561294119355</v>
      </c>
      <c r="H74" s="28" t="n">
        <f aca="false">MAX(0,$B$20*G74)/(1+D74)^9</f>
        <v>2141.86589451653</v>
      </c>
      <c r="I74" s="28" t="n">
        <f aca="false">$B$13*((1+$B$8)/(1+D74))^4.5</f>
        <v>681.582960225109</v>
      </c>
      <c r="J74" s="28" t="n">
        <f aca="false">H74+I74-$B$14</f>
        <v>2152.37693693342</v>
      </c>
      <c r="K74" s="45" t="n">
        <f aca="false">MAX(0,J74)/$B$15</f>
        <v>7.70632630480994</v>
      </c>
    </row>
    <row r="75" customFormat="false" ht="15" hidden="false" customHeight="false" outlineLevel="0" collapsed="false">
      <c r="A75" s="55" t="n">
        <v>35</v>
      </c>
      <c r="B75" s="22" t="n">
        <f aca="true">NORMINV(RAND(),$B$6,$C$6)</f>
        <v>0.46726452003966</v>
      </c>
      <c r="C75" s="22" t="n">
        <f aca="true">MAX(-0.05,NORMINV(RAND(),$B$7,$C$7))</f>
        <v>0.140485825952786</v>
      </c>
      <c r="D75" s="34" t="n">
        <f aca="true">MAX(0.08,NORMINV(RAND(),$B$8,$C$8))</f>
        <v>0.165529297131953</v>
      </c>
      <c r="E75" s="35" t="n">
        <f aca="true">MEDIAN(0,NORMINV(RAND(),$B$9,$C$9),1)</f>
        <v>0.375462926318094</v>
      </c>
      <c r="F75" s="28" t="n">
        <f aca="false">$B$12*(1+(B75+$B$17)/2)^9</f>
        <v>8030.09593408254</v>
      </c>
      <c r="G75" s="28" t="n">
        <f aca="false">F75*(C75-$B$18+$B$19*E75)</f>
        <v>1450.35935311151</v>
      </c>
      <c r="H75" s="28" t="n">
        <f aca="false">MAX(0,$B$20*G75)/(1+D75)^9</f>
        <v>2557.79014026063</v>
      </c>
      <c r="I75" s="28" t="n">
        <f aca="false">$B$13*((1+$B$8)/(1+D75))^4.5</f>
        <v>555.093991692755</v>
      </c>
      <c r="J75" s="28" t="n">
        <f aca="false">H75+I75-$B$14</f>
        <v>2441.81221414517</v>
      </c>
      <c r="K75" s="45" t="n">
        <f aca="false">MAX(0,J75)/$B$15</f>
        <v>8.74261444377074</v>
      </c>
    </row>
    <row r="76" customFormat="false" ht="15" hidden="false" customHeight="false" outlineLevel="0" collapsed="false">
      <c r="A76" s="55" t="n">
        <v>36</v>
      </c>
      <c r="B76" s="22" t="n">
        <f aca="true">NORMINV(RAND(),$B$6,$C$6)</f>
        <v>0.278704477528792</v>
      </c>
      <c r="C76" s="22" t="n">
        <f aca="true">MAX(-0.05,NORMINV(RAND(),$B$7,$C$7))</f>
        <v>0.15743211366931</v>
      </c>
      <c r="D76" s="34" t="n">
        <f aca="true">MAX(0.08,NORMINV(RAND(),$B$8,$C$8))</f>
        <v>0.155218206425854</v>
      </c>
      <c r="E76" s="35" t="n">
        <f aca="true">MEDIAN(0,NORMINV(RAND(),$B$9,$C$9),1)</f>
        <v>0.473397816344488</v>
      </c>
      <c r="F76" s="28" t="n">
        <f aca="false">$B$12*(1+(B76+$B$17)/2)^9</f>
        <v>3973.08580156477</v>
      </c>
      <c r="G76" s="28" t="n">
        <f aca="false">F76*(C76-$B$18+$B$19*E76)</f>
        <v>893.878758358971</v>
      </c>
      <c r="H76" s="28" t="n">
        <f aca="false">MAX(0,$B$20*G76)/(1+D76)^9</f>
        <v>1707.6561777508</v>
      </c>
      <c r="I76" s="28" t="n">
        <f aca="false">$B$13*((1+$B$8)/(1+D76))^4.5</f>
        <v>577.740469978537</v>
      </c>
      <c r="J76" s="28" t="n">
        <f aca="false">H76+I76-$B$14</f>
        <v>1614.32472992112</v>
      </c>
      <c r="K76" s="45" t="n">
        <f aca="false">MAX(0,J76)/$B$15</f>
        <v>5.77989520200903</v>
      </c>
    </row>
    <row r="77" customFormat="false" ht="15" hidden="false" customHeight="false" outlineLevel="0" collapsed="false">
      <c r="A77" s="55" t="n">
        <v>37</v>
      </c>
      <c r="B77" s="22" t="n">
        <f aca="true">NORMINV(RAND(),$B$6,$C$6)</f>
        <v>0.315877332788111</v>
      </c>
      <c r="C77" s="22" t="n">
        <f aca="true">MAX(-0.05,NORMINV(RAND(),$B$7,$C$7))</f>
        <v>0.160233457935414</v>
      </c>
      <c r="D77" s="34" t="n">
        <f aca="true">MAX(0.08,NORMINV(RAND(),$B$8,$C$8))</f>
        <v>0.146888159045836</v>
      </c>
      <c r="E77" s="35" t="n">
        <f aca="true">MEDIAN(0,NORMINV(RAND(),$B$9,$C$9),1)</f>
        <v>0.228580277513317</v>
      </c>
      <c r="F77" s="28" t="n">
        <f aca="false">$B$12*(1+(B77+$B$17)/2)^9</f>
        <v>4584.5150262378</v>
      </c>
      <c r="G77" s="28" t="n">
        <f aca="false">F77*(C77-$B$18+$B$19*E77)</f>
        <v>730.019539654685</v>
      </c>
      <c r="H77" s="28" t="n">
        <f aca="false">MAX(0,$B$20*G77)/(1+D77)^9</f>
        <v>1488.47965953685</v>
      </c>
      <c r="I77" s="28" t="n">
        <f aca="false">$B$13*((1+$B$8)/(1+D77))^4.5</f>
        <v>596.864971457696</v>
      </c>
      <c r="J77" s="28" t="n">
        <f aca="false">H77+I77-$B$14</f>
        <v>1414.27271318633</v>
      </c>
      <c r="K77" s="45" t="n">
        <f aca="false">MAX(0,J77)/$B$15</f>
        <v>5.06363305831125</v>
      </c>
    </row>
    <row r="78" customFormat="false" ht="15" hidden="false" customHeight="false" outlineLevel="0" collapsed="false">
      <c r="A78" s="55" t="n">
        <v>38</v>
      </c>
      <c r="B78" s="22" t="n">
        <f aca="true">NORMINV(RAND(),$B$6,$C$6)</f>
        <v>0.593343407912065</v>
      </c>
      <c r="C78" s="22" t="n">
        <f aca="true">MAX(-0.05,NORMINV(RAND(),$B$7,$C$7))</f>
        <v>0.156109219752624</v>
      </c>
      <c r="D78" s="34" t="n">
        <f aca="true">MAX(0.08,NORMINV(RAND(),$B$8,$C$8))</f>
        <v>0.178174486926964</v>
      </c>
      <c r="E78" s="35" t="n">
        <f aca="true">MEDIAN(0,NORMINV(RAND(),$B$9,$C$9),1)</f>
        <v>0.0595191614357661</v>
      </c>
      <c r="F78" s="28" t="n">
        <f aca="false">$B$12*(1+(B78+$B$17)/2)^9</f>
        <v>12487.8254839076</v>
      </c>
      <c r="G78" s="28" t="n">
        <f aca="false">F78*(C78-$B$18+$B$19*E78)</f>
        <v>1345.87020851411</v>
      </c>
      <c r="H78" s="28" t="n">
        <f aca="false">MAX(0,$B$20*G78)/(1+D78)^9</f>
        <v>2153.8462293293</v>
      </c>
      <c r="I78" s="28" t="n">
        <f aca="false">$B$13*((1+$B$8)/(1+D78))^4.5</f>
        <v>528.783188526897</v>
      </c>
      <c r="J78" s="28" t="n">
        <f aca="false">H78+I78-$B$14</f>
        <v>2011.55750004798</v>
      </c>
      <c r="K78" s="45" t="n">
        <f aca="false">MAX(0,J78)/$B$15</f>
        <v>7.20213927693511</v>
      </c>
    </row>
    <row r="79" customFormat="false" ht="15" hidden="false" customHeight="false" outlineLevel="0" collapsed="false">
      <c r="A79" s="55" t="n">
        <v>39</v>
      </c>
      <c r="B79" s="22" t="n">
        <f aca="true">NORMINV(RAND(),$B$6,$C$6)</f>
        <v>0.219566849948341</v>
      </c>
      <c r="C79" s="22" t="n">
        <f aca="true">MAX(-0.05,NORMINV(RAND(),$B$7,$C$7))</f>
        <v>0.229873401100213</v>
      </c>
      <c r="D79" s="34" t="n">
        <f aca="true">MAX(0.08,NORMINV(RAND(),$B$8,$C$8))</f>
        <v>0.120422668843589</v>
      </c>
      <c r="E79" s="35" t="n">
        <f aca="true">MEDIAN(0,NORMINV(RAND(),$B$9,$C$9),1)</f>
        <v>0.133946508999199</v>
      </c>
      <c r="F79" s="28" t="n">
        <f aca="false">$B$12*(1+(B79+$B$17)/2)^9</f>
        <v>3148.80734192979</v>
      </c>
      <c r="G79" s="28" t="n">
        <f aca="false">F79*(C79-$B$18+$B$19*E79)</f>
        <v>637.250666142798</v>
      </c>
      <c r="H79" s="28" t="n">
        <f aca="false">MAX(0,$B$20*G79)/(1+D79)^9</f>
        <v>1603.13964651064</v>
      </c>
      <c r="I79" s="28" t="n">
        <f aca="false">$B$13*((1+$B$8)/(1+D79))^4.5</f>
        <v>662.983027223869</v>
      </c>
      <c r="J79" s="28" t="n">
        <f aca="false">H79+I79-$B$14</f>
        <v>1595.05075592629</v>
      </c>
      <c r="K79" s="45" t="n">
        <f aca="false">MAX(0,J79)/$B$15</f>
        <v>5.71088706024451</v>
      </c>
    </row>
    <row r="80" customFormat="false" ht="15" hidden="false" customHeight="false" outlineLevel="0" collapsed="false">
      <c r="A80" s="55" t="n">
        <v>40</v>
      </c>
      <c r="B80" s="22" t="n">
        <f aca="true">NORMINV(RAND(),$B$6,$C$6)</f>
        <v>0.139582267019272</v>
      </c>
      <c r="C80" s="22" t="n">
        <f aca="true">MAX(-0.05,NORMINV(RAND(),$B$7,$C$7))</f>
        <v>0.178590699785098</v>
      </c>
      <c r="D80" s="34" t="n">
        <f aca="true">MAX(0.08,NORMINV(RAND(),$B$8,$C$8))</f>
        <v>0.180988627177831</v>
      </c>
      <c r="E80" s="35" t="n">
        <f aca="true">MEDIAN(0,NORMINV(RAND(),$B$9,$C$9),1)</f>
        <v>0.761333098348804</v>
      </c>
      <c r="F80" s="28" t="n">
        <f aca="false">$B$12*(1+(B80+$B$17)/2)^9</f>
        <v>2276.55805966695</v>
      </c>
      <c r="G80" s="28" t="n">
        <f aca="false">F80*(C80-$B$18+$B$19*E80)</f>
        <v>743.897143417385</v>
      </c>
      <c r="H80" s="28" t="n">
        <f aca="false">MAX(0,$B$20*G80)/(1+D80)^9</f>
        <v>1165.19736088037</v>
      </c>
      <c r="I80" s="28" t="n">
        <f aca="false">$B$13*((1+$B$8)/(1+D80))^4.5</f>
        <v>523.136693100665</v>
      </c>
      <c r="J80" s="28" t="n">
        <f aca="false">H80+I80-$B$14</f>
        <v>1017.26213617282</v>
      </c>
      <c r="K80" s="45" t="n">
        <f aca="false">MAX(0,J80)/$B$15</f>
        <v>3.6421845190577</v>
      </c>
    </row>
    <row r="81" customFormat="false" ht="15" hidden="false" customHeight="false" outlineLevel="0" collapsed="false">
      <c r="A81" s="55" t="n">
        <v>41</v>
      </c>
      <c r="B81" s="22" t="n">
        <f aca="true">NORMINV(RAND(),$B$6,$C$6)</f>
        <v>0.633194882847858</v>
      </c>
      <c r="C81" s="22" t="n">
        <f aca="true">MAX(-0.05,NORMINV(RAND(),$B$7,$C$7))</f>
        <v>0.089989588627064</v>
      </c>
      <c r="D81" s="34" t="n">
        <f aca="true">MAX(0.08,NORMINV(RAND(),$B$8,$C$8))</f>
        <v>0.124201694991336</v>
      </c>
      <c r="E81" s="35" t="n">
        <f aca="true">MEDIAN(0,NORMINV(RAND(),$B$9,$C$9),1)</f>
        <v>0.240996986966582</v>
      </c>
      <c r="F81" s="28" t="n">
        <f aca="false">$B$12*(1+(B81+$B$17)/2)^9</f>
        <v>14295.3544496729</v>
      </c>
      <c r="G81" s="28" t="n">
        <f aca="false">F81*(C81-$B$18+$B$19*E81)</f>
        <v>1321.87348497274</v>
      </c>
      <c r="H81" s="28" t="n">
        <f aca="false">MAX(0,$B$20*G81)/(1+D81)^9</f>
        <v>3226.18902539998</v>
      </c>
      <c r="I81" s="28" t="n">
        <f aca="false">$B$13*((1+$B$8)/(1+D81))^4.5</f>
        <v>653.013021113549</v>
      </c>
      <c r="J81" s="28" t="n">
        <f aca="false">H81+I81-$B$14</f>
        <v>3208.13012870531</v>
      </c>
      <c r="K81" s="45" t="n">
        <f aca="false">MAX(0,J81)/$B$15</f>
        <v>11.4863234110466</v>
      </c>
    </row>
    <row r="82" customFormat="false" ht="15" hidden="false" customHeight="false" outlineLevel="0" collapsed="false">
      <c r="A82" s="55" t="n">
        <v>42</v>
      </c>
      <c r="B82" s="22" t="n">
        <f aca="true">NORMINV(RAND(),$B$6,$C$6)</f>
        <v>0.209522363907182</v>
      </c>
      <c r="C82" s="22" t="n">
        <f aca="true">MAX(-0.05,NORMINV(RAND(),$B$7,$C$7))</f>
        <v>0.0909151291236169</v>
      </c>
      <c r="D82" s="34" t="n">
        <f aca="true">MAX(0.08,NORMINV(RAND(),$B$8,$C$8))</f>
        <v>0.142044439088038</v>
      </c>
      <c r="E82" s="35" t="n">
        <f aca="true">MEDIAN(0,NORMINV(RAND(),$B$9,$C$9),1)</f>
        <v>0.0992413608131067</v>
      </c>
      <c r="F82" s="28" t="n">
        <f aca="false">$B$12*(1+(B82+$B$17)/2)^9</f>
        <v>3025.04733074945</v>
      </c>
      <c r="G82" s="28" t="n">
        <f aca="false">F82*(C82-$B$18+$B$19*E82)</f>
        <v>162.453239997161</v>
      </c>
      <c r="H82" s="28" t="n">
        <f aca="false">MAX(0,$B$20*G82)/(1+D82)^9</f>
        <v>344.095811631651</v>
      </c>
      <c r="I82" s="28" t="n">
        <f aca="false">$B$13*((1+$B$8)/(1+D82))^4.5</f>
        <v>608.341419179075</v>
      </c>
      <c r="J82" s="28" t="n">
        <f aca="false">H82+I82-$B$14</f>
        <v>281.365313002507</v>
      </c>
      <c r="K82" s="45" t="n">
        <f aca="false">MAX(0,J82)/$B$15</f>
        <v>1.00739460437704</v>
      </c>
    </row>
    <row r="83" customFormat="false" ht="15" hidden="false" customHeight="false" outlineLevel="0" collapsed="false">
      <c r="A83" s="55" t="n">
        <v>43</v>
      </c>
      <c r="B83" s="22" t="n">
        <f aca="true">NORMINV(RAND(),$B$6,$C$6)</f>
        <v>0.283917144192023</v>
      </c>
      <c r="C83" s="22" t="n">
        <f aca="true">MAX(-0.05,NORMINV(RAND(),$B$7,$C$7))</f>
        <v>0.180690285288227</v>
      </c>
      <c r="D83" s="34" t="n">
        <f aca="true">MAX(0.08,NORMINV(RAND(),$B$8,$C$8))</f>
        <v>0.168084246464018</v>
      </c>
      <c r="E83" s="35" t="n">
        <f aca="true">MEDIAN(0,NORMINV(RAND(),$B$9,$C$9),1)</f>
        <v>0.424127541321132</v>
      </c>
      <c r="F83" s="28" t="n">
        <f aca="false">$B$12*(1+(B83+$B$17)/2)^9</f>
        <v>4054.19932434439</v>
      </c>
      <c r="G83" s="28" t="n">
        <f aca="false">F83*(C83-$B$18+$B$19*E83)</f>
        <v>950.490802057536</v>
      </c>
      <c r="H83" s="28" t="n">
        <f aca="false">MAX(0,$B$20*G83)/(1+D83)^9</f>
        <v>1643.53310903517</v>
      </c>
      <c r="I83" s="28" t="n">
        <f aca="false">$B$13*((1+$B$8)/(1+D83))^4.5</f>
        <v>549.651163392005</v>
      </c>
      <c r="J83" s="28" t="n">
        <f aca="false">H83+I83-$B$14</f>
        <v>1522.11235461896</v>
      </c>
      <c r="K83" s="45" t="n">
        <f aca="false">MAX(0,J83)/$B$15</f>
        <v>5.44973990196548</v>
      </c>
    </row>
    <row r="84" customFormat="false" ht="15" hidden="false" customHeight="false" outlineLevel="0" collapsed="false">
      <c r="A84" s="55" t="n">
        <v>44</v>
      </c>
      <c r="B84" s="22" t="n">
        <f aca="true">NORMINV(RAND(),$B$6,$C$6)</f>
        <v>0.347164289836566</v>
      </c>
      <c r="C84" s="22" t="n">
        <f aca="true">MAX(-0.05,NORMINV(RAND(),$B$7,$C$7))</f>
        <v>0.100765129288371</v>
      </c>
      <c r="D84" s="34" t="n">
        <f aca="true">MAX(0.08,NORMINV(RAND(),$B$8,$C$8))</f>
        <v>0.107606566975439</v>
      </c>
      <c r="E84" s="35" t="n">
        <f aca="true">MEDIAN(0,NORMINV(RAND(),$B$9,$C$9),1)</f>
        <v>0.509550428795478</v>
      </c>
      <c r="F84" s="28" t="n">
        <f aca="false">$B$12*(1+(B84+$B$17)/2)^9</f>
        <v>5162.500660469</v>
      </c>
      <c r="G84" s="28" t="n">
        <f aca="false">F84*(C84-$B$18+$B$19*E84)</f>
        <v>921.192742628669</v>
      </c>
      <c r="H84" s="28" t="n">
        <f aca="false">MAX(0,$B$20*G84)/(1+D84)^9</f>
        <v>2570.27060726945</v>
      </c>
      <c r="I84" s="28" t="n">
        <f aca="false">$B$13*((1+$B$8)/(1+D84))^4.5</f>
        <v>698.209981454375</v>
      </c>
      <c r="J84" s="28" t="n">
        <f aca="false">H84+I84-$B$14</f>
        <v>2597.40867091561</v>
      </c>
      <c r="K84" s="45" t="n">
        <f aca="false">MAX(0,J84)/$B$15</f>
        <v>9.29970881101183</v>
      </c>
    </row>
    <row r="85" customFormat="false" ht="15" hidden="false" customHeight="false" outlineLevel="0" collapsed="false">
      <c r="A85" s="55" t="n">
        <v>45</v>
      </c>
      <c r="B85" s="22" t="n">
        <f aca="true">NORMINV(RAND(),$B$6,$C$6)</f>
        <v>0.595548110395228</v>
      </c>
      <c r="C85" s="22" t="n">
        <f aca="true">MAX(-0.05,NORMINV(RAND(),$B$7,$C$7))</f>
        <v>0.115868735121152</v>
      </c>
      <c r="D85" s="34" t="n">
        <f aca="true">MAX(0.08,NORMINV(RAND(),$B$8,$C$8))</f>
        <v>0.174808982854652</v>
      </c>
      <c r="E85" s="35" t="n">
        <f aca="true">MEDIAN(0,NORMINV(RAND(),$B$9,$C$9),1)</f>
        <v>0.374617175552282</v>
      </c>
      <c r="F85" s="28" t="n">
        <f aca="false">$B$12*(1+(B85+$B$17)/2)^9</f>
        <v>12582.2373623752</v>
      </c>
      <c r="G85" s="28" t="n">
        <f aca="false">F85*(C85-$B$18+$B$19*E85)</f>
        <v>1959.82872200812</v>
      </c>
      <c r="H85" s="28" t="n">
        <f aca="false">MAX(0,$B$20*G85)/(1+D85)^9</f>
        <v>3218.18370092149</v>
      </c>
      <c r="I85" s="28" t="n">
        <f aca="false">$B$13*((1+$B$8)/(1+D85))^4.5</f>
        <v>535.634125739736</v>
      </c>
      <c r="J85" s="28" t="n">
        <f aca="false">H85+I85-$B$14</f>
        <v>3082.74590885301</v>
      </c>
      <c r="K85" s="45" t="n">
        <f aca="false">MAX(0,J85)/$B$15</f>
        <v>11.0374003181275</v>
      </c>
    </row>
    <row r="86" customFormat="false" ht="15" hidden="false" customHeight="false" outlineLevel="0" collapsed="false">
      <c r="A86" s="55" t="n">
        <v>46</v>
      </c>
      <c r="B86" s="22" t="n">
        <f aca="true">NORMINV(RAND(),$B$6,$C$6)</f>
        <v>0.334169241447967</v>
      </c>
      <c r="C86" s="22" t="n">
        <f aca="true">MAX(-0.05,NORMINV(RAND(),$B$7,$C$7))</f>
        <v>0.163877135849266</v>
      </c>
      <c r="D86" s="34" t="n">
        <f aca="true">MAX(0.08,NORMINV(RAND(),$B$8,$C$8))</f>
        <v>0.153987212637852</v>
      </c>
      <c r="E86" s="35" t="n">
        <f aca="true">MEDIAN(0,NORMINV(RAND(),$B$9,$C$9),1)</f>
        <v>0</v>
      </c>
      <c r="F86" s="28" t="n">
        <f aca="false">$B$12*(1+(B86+$B$17)/2)^9</f>
        <v>4915.00999963942</v>
      </c>
      <c r="G86" s="28" t="n">
        <f aca="false">F86*(C86-$B$18+$B$19*E86)</f>
        <v>485.982111434849</v>
      </c>
      <c r="H86" s="28" t="n">
        <f aca="false">MAX(0,$B$20*G86)/(1+D86)^9</f>
        <v>937.366343209979</v>
      </c>
      <c r="I86" s="28" t="n">
        <f aca="false">$B$13*((1+$B$8)/(1+D86))^4.5</f>
        <v>580.518972944785</v>
      </c>
      <c r="J86" s="28" t="n">
        <f aca="false">H86+I86-$B$14</f>
        <v>846.813398346544</v>
      </c>
      <c r="K86" s="45" t="n">
        <f aca="false">MAX(0,J86)/$B$15</f>
        <v>3.03191334889561</v>
      </c>
    </row>
    <row r="87" customFormat="false" ht="15" hidden="false" customHeight="false" outlineLevel="0" collapsed="false">
      <c r="A87" s="55" t="n">
        <v>47</v>
      </c>
      <c r="B87" s="22" t="n">
        <f aca="true">NORMINV(RAND(),$B$6,$C$6)</f>
        <v>0.171760521968644</v>
      </c>
      <c r="C87" s="22" t="n">
        <f aca="true">MAX(-0.05,NORMINV(RAND(),$B$7,$C$7))</f>
        <v>0.160885225131937</v>
      </c>
      <c r="D87" s="34" t="n">
        <f aca="true">MAX(0.08,NORMINV(RAND(),$B$8,$C$8))</f>
        <v>0.13422863449435</v>
      </c>
      <c r="E87" s="35" t="n">
        <f aca="true">MEDIAN(0,NORMINV(RAND(),$B$9,$C$9),1)</f>
        <v>0.0779735982089627</v>
      </c>
      <c r="F87" s="28" t="n">
        <f aca="false">$B$12*(1+(B87+$B$17)/2)^9</f>
        <v>2597.54007249033</v>
      </c>
      <c r="G87" s="28" t="n">
        <f aca="false">F87*(C87-$B$18+$B$19*E87)</f>
        <v>305.776787504295</v>
      </c>
      <c r="H87" s="28" t="n">
        <f aca="false">MAX(0,$B$20*G87)/(1+D87)^9</f>
        <v>688.964887307651</v>
      </c>
      <c r="I87" s="28" t="n">
        <f aca="false">$B$13*((1+$B$8)/(1+D87))^4.5</f>
        <v>627.434174484461</v>
      </c>
      <c r="J87" s="28" t="n">
        <f aca="false">H87+I87-$B$14</f>
        <v>645.327143983893</v>
      </c>
      <c r="K87" s="45" t="n">
        <f aca="false">MAX(0,J87)/$B$15</f>
        <v>2.31051609016789</v>
      </c>
    </row>
    <row r="88" customFormat="false" ht="15" hidden="false" customHeight="false" outlineLevel="0" collapsed="false">
      <c r="A88" s="55" t="n">
        <v>48</v>
      </c>
      <c r="B88" s="22" t="n">
        <f aca="true">NORMINV(RAND(),$B$6,$C$6)</f>
        <v>0.441151494494246</v>
      </c>
      <c r="C88" s="22" t="n">
        <f aca="true">MAX(-0.05,NORMINV(RAND(),$B$7,$C$7))</f>
        <v>0.188060389820759</v>
      </c>
      <c r="D88" s="34" t="n">
        <f aca="true">MAX(0.08,NORMINV(RAND(),$B$8,$C$8))</f>
        <v>0.141158640865081</v>
      </c>
      <c r="E88" s="35" t="n">
        <f aca="true">MEDIAN(0,NORMINV(RAND(),$B$9,$C$9),1)</f>
        <v>0.3373611946694</v>
      </c>
      <c r="F88" s="28" t="n">
        <f aca="false">$B$12*(1+(B88+$B$17)/2)^9</f>
        <v>7308.00572241755</v>
      </c>
      <c r="G88" s="28" t="n">
        <f aca="false">F88*(C88-$B$18+$B$19*E88)</f>
        <v>1589.64854453941</v>
      </c>
      <c r="H88" s="28" t="n">
        <f aca="false">MAX(0,$B$20*G88)/(1+D88)^9</f>
        <v>3390.66551258932</v>
      </c>
      <c r="I88" s="28" t="n">
        <f aca="false">$B$13*((1+$B$8)/(1+D88))^4.5</f>
        <v>610.469257408616</v>
      </c>
      <c r="J88" s="28" t="n">
        <f aca="false">H88+I88-$B$14</f>
        <v>3330.06285218971</v>
      </c>
      <c r="K88" s="45" t="n">
        <f aca="false">MAX(0,J88)/$B$15</f>
        <v>11.9228888370559</v>
      </c>
    </row>
    <row r="89" customFormat="false" ht="15" hidden="false" customHeight="false" outlineLevel="0" collapsed="false">
      <c r="A89" s="55" t="n">
        <v>49</v>
      </c>
      <c r="B89" s="22" t="n">
        <f aca="true">NORMINV(RAND(),$B$6,$C$6)</f>
        <v>0.421404927724203</v>
      </c>
      <c r="C89" s="22" t="n">
        <f aca="true">MAX(-0.05,NORMINV(RAND(),$B$7,$C$7))</f>
        <v>0.167238537281847</v>
      </c>
      <c r="D89" s="34" t="n">
        <f aca="true">MAX(0.08,NORMINV(RAND(),$B$8,$C$8))</f>
        <v>0.10474954784301</v>
      </c>
      <c r="E89" s="35" t="n">
        <f aca="true">MEDIAN(0,NORMINV(RAND(),$B$9,$C$9),1)</f>
        <v>0</v>
      </c>
      <c r="F89" s="28" t="n">
        <f aca="false">$B$12*(1+(B89+$B$17)/2)^9</f>
        <v>6800.90846410991</v>
      </c>
      <c r="G89" s="28" t="n">
        <f aca="false">F89*(C89-$B$18+$B$19*E89)</f>
        <v>695.314933558329</v>
      </c>
      <c r="H89" s="28" t="n">
        <f aca="false">MAX(0,$B$20*G89)/(1+D89)^9</f>
        <v>1985.66099389252</v>
      </c>
      <c r="I89" s="28" t="n">
        <f aca="false">$B$13*((1+$B$8)/(1+D89))^4.5</f>
        <v>706.37229292865</v>
      </c>
      <c r="J89" s="28" t="n">
        <f aca="false">H89+I89-$B$14</f>
        <v>2020.96136901295</v>
      </c>
      <c r="K89" s="45" t="n">
        <f aca="false">MAX(0,J89)/$B$15</f>
        <v>7.23580869678822</v>
      </c>
    </row>
    <row r="90" customFormat="false" ht="15" hidden="false" customHeight="false" outlineLevel="0" collapsed="false">
      <c r="A90" s="55" t="n">
        <v>50</v>
      </c>
      <c r="B90" s="22" t="n">
        <f aca="true">NORMINV(RAND(),$B$6,$C$6)</f>
        <v>0.224274577356525</v>
      </c>
      <c r="C90" s="22" t="n">
        <f aca="true">MAX(-0.05,NORMINV(RAND(),$B$7,$C$7))</f>
        <v>0.179022264559372</v>
      </c>
      <c r="D90" s="34" t="n">
        <f aca="true">MAX(0.08,NORMINV(RAND(),$B$8,$C$8))</f>
        <v>0.130766593151808</v>
      </c>
      <c r="E90" s="35" t="n">
        <f aca="true">MEDIAN(0,NORMINV(RAND(),$B$9,$C$9),1)</f>
        <v>0.277578640364129</v>
      </c>
      <c r="F90" s="28" t="n">
        <f aca="false">$B$12*(1+(B90+$B$17)/2)^9</f>
        <v>3208.34566063513</v>
      </c>
      <c r="G90" s="28" t="n">
        <f aca="false">F90*(C90-$B$18+$B$19*E90)</f>
        <v>615.181941078082</v>
      </c>
      <c r="H90" s="28" t="n">
        <f aca="false">MAX(0,$B$20*G90)/(1+D90)^9</f>
        <v>1424.77043098161</v>
      </c>
      <c r="I90" s="28" t="n">
        <f aca="false">$B$13*((1+$B$8)/(1+D90))^4.5</f>
        <v>636.125111155359</v>
      </c>
      <c r="J90" s="28" t="n">
        <f aca="false">H90+I90-$B$14</f>
        <v>1389.82362432875</v>
      </c>
      <c r="K90" s="45" t="n">
        <f aca="false">MAX(0,J90)/$B$15</f>
        <v>4.97609604127729</v>
      </c>
    </row>
    <row r="91" customFormat="false" ht="15" hidden="false" customHeight="false" outlineLevel="0" collapsed="false">
      <c r="A91" s="55" t="n">
        <v>51</v>
      </c>
      <c r="B91" s="22" t="n">
        <f aca="true">NORMINV(RAND(),$B$6,$C$6)</f>
        <v>0.512857412612016</v>
      </c>
      <c r="C91" s="22" t="n">
        <f aca="true">MAX(-0.05,NORMINV(RAND(),$B$7,$C$7))</f>
        <v>0.227912317358322</v>
      </c>
      <c r="D91" s="34" t="n">
        <f aca="true">MAX(0.08,NORMINV(RAND(),$B$8,$C$8))</f>
        <v>0.14852867012581</v>
      </c>
      <c r="E91" s="35" t="n">
        <f aca="true">MEDIAN(0,NORMINV(RAND(),$B$9,$C$9),1)</f>
        <v>0.291203642572285</v>
      </c>
      <c r="F91" s="28" t="n">
        <f aca="false">$B$12*(1+(B91+$B$17)/2)^9</f>
        <v>9444.05186622479</v>
      </c>
      <c r="G91" s="28" t="n">
        <f aca="false">F91*(C91-$B$18+$B$19*E91)</f>
        <v>2308.59221992302</v>
      </c>
      <c r="H91" s="28" t="n">
        <f aca="false">MAX(0,$B$20*G91)/(1+D91)^9</f>
        <v>4646.95750636523</v>
      </c>
      <c r="I91" s="28" t="n">
        <f aca="false">$B$13*((1+$B$8)/(1+D91))^4.5</f>
        <v>593.038131552765</v>
      </c>
      <c r="J91" s="28" t="n">
        <f aca="false">H91+I91-$B$14</f>
        <v>4568.92372010977</v>
      </c>
      <c r="K91" s="45" t="n">
        <f aca="false">MAX(0,J91)/$B$15</f>
        <v>16.3584809169702</v>
      </c>
    </row>
    <row r="92" customFormat="false" ht="15" hidden="false" customHeight="false" outlineLevel="0" collapsed="false">
      <c r="A92" s="55" t="n">
        <v>52</v>
      </c>
      <c r="B92" s="22" t="n">
        <f aca="true">NORMINV(RAND(),$B$6,$C$6)</f>
        <v>0.282523190671404</v>
      </c>
      <c r="C92" s="22" t="n">
        <f aca="true">MAX(-0.05,NORMINV(RAND(),$B$7,$C$7))</f>
        <v>0.186906616563662</v>
      </c>
      <c r="D92" s="34" t="n">
        <f aca="true">MAX(0.08,NORMINV(RAND(),$B$8,$C$8))</f>
        <v>0.149144692695166</v>
      </c>
      <c r="E92" s="35" t="n">
        <f aca="true">MEDIAN(0,NORMINV(RAND(),$B$9,$C$9),1)</f>
        <v>0.0566726411720485</v>
      </c>
      <c r="F92" s="28" t="n">
        <f aca="false">$B$12*(1+(B92+$B$17)/2)^9</f>
        <v>4032.36531670411</v>
      </c>
      <c r="G92" s="28" t="n">
        <f aca="false">F92*(C92-$B$18+$B$19*E92)</f>
        <v>555.558954455148</v>
      </c>
      <c r="H92" s="28" t="n">
        <f aca="false">MAX(0,$B$20*G92)/(1+D92)^9</f>
        <v>1112.89899790658</v>
      </c>
      <c r="I92" s="28" t="n">
        <f aca="false">$B$13*((1+$B$8)/(1+D92))^4.5</f>
        <v>591.60887691581</v>
      </c>
      <c r="J92" s="28" t="n">
        <f aca="false">H92+I92-$B$14</f>
        <v>1033.43595701417</v>
      </c>
      <c r="K92" s="45" t="n">
        <f aca="false">MAX(0,J92)/$B$15</f>
        <v>3.70009293596193</v>
      </c>
    </row>
    <row r="93" customFormat="false" ht="15" hidden="false" customHeight="false" outlineLevel="0" collapsed="false">
      <c r="A93" s="55" t="n">
        <v>53</v>
      </c>
      <c r="B93" s="22" t="n">
        <f aca="true">NORMINV(RAND(),$B$6,$C$6)</f>
        <v>0.452899515835318</v>
      </c>
      <c r="C93" s="22" t="n">
        <f aca="true">MAX(-0.05,NORMINV(RAND(),$B$7,$C$7))</f>
        <v>0.166196689695468</v>
      </c>
      <c r="D93" s="34" t="n">
        <f aca="true">MAX(0.08,NORMINV(RAND(),$B$8,$C$8))</f>
        <v>0.157448896888737</v>
      </c>
      <c r="E93" s="35" t="n">
        <f aca="true">MEDIAN(0,NORMINV(RAND(),$B$9,$C$9),1)</f>
        <v>0.35022104047882</v>
      </c>
      <c r="F93" s="28" t="n">
        <f aca="false">$B$12*(1+(B93+$B$17)/2)^9</f>
        <v>7625.39415772987</v>
      </c>
      <c r="G93" s="28" t="n">
        <f aca="false">F93*(C93-$B$18+$B$19*E93)</f>
        <v>1519.42521966018</v>
      </c>
      <c r="H93" s="28" t="n">
        <f aca="false">MAX(0,$B$20*G93)/(1+D93)^9</f>
        <v>2852.7317940313</v>
      </c>
      <c r="I93" s="28" t="n">
        <f aca="false">$B$13*((1+$B$8)/(1+D93))^4.5</f>
        <v>572.746821877031</v>
      </c>
      <c r="J93" s="28" t="n">
        <f aca="false">H93+I93-$B$14</f>
        <v>2754.40669810011</v>
      </c>
      <c r="K93" s="45" t="n">
        <f aca="false">MAX(0,J93)/$B$15</f>
        <v>9.86182133225961</v>
      </c>
    </row>
    <row r="94" customFormat="false" ht="15" hidden="false" customHeight="false" outlineLevel="0" collapsed="false">
      <c r="A94" s="55" t="n">
        <v>54</v>
      </c>
      <c r="B94" s="22" t="n">
        <f aca="true">NORMINV(RAND(),$B$6,$C$6)</f>
        <v>0.240389409410475</v>
      </c>
      <c r="C94" s="22" t="n">
        <f aca="true">MAX(-0.05,NORMINV(RAND(),$B$7,$C$7))</f>
        <v>0.160516108400269</v>
      </c>
      <c r="D94" s="34" t="n">
        <f aca="true">MAX(0.08,NORMINV(RAND(),$B$8,$C$8))</f>
        <v>0.136464792314846</v>
      </c>
      <c r="E94" s="35" t="n">
        <f aca="true">MEDIAN(0,NORMINV(RAND(),$B$9,$C$9),1)</f>
        <v>0.45791759932599</v>
      </c>
      <c r="F94" s="28" t="n">
        <f aca="false">$B$12*(1+(B94+$B$17)/2)^9</f>
        <v>3419.79817776821</v>
      </c>
      <c r="G94" s="28" t="n">
        <f aca="false">F94*(C94-$B$18+$B$19*E94)</f>
        <v>765.121829542796</v>
      </c>
      <c r="H94" s="28" t="n">
        <f aca="false">MAX(0,$B$20*G94)/(1+D94)^9</f>
        <v>1693.65426655623</v>
      </c>
      <c r="I94" s="28" t="n">
        <f aca="false">$B$13*((1+$B$8)/(1+D94))^4.5</f>
        <v>621.89772186344</v>
      </c>
      <c r="J94" s="28" t="n">
        <f aca="false">H94+I94-$B$14</f>
        <v>1644.48007061145</v>
      </c>
      <c r="K94" s="45" t="n">
        <f aca="false">MAX(0,J94)/$B$15</f>
        <v>5.8878627662422</v>
      </c>
    </row>
    <row r="95" customFormat="false" ht="15" hidden="false" customHeight="false" outlineLevel="0" collapsed="false">
      <c r="A95" s="55" t="n">
        <v>55</v>
      </c>
      <c r="B95" s="22" t="n">
        <f aca="true">NORMINV(RAND(),$B$6,$C$6)</f>
        <v>0.487282262103231</v>
      </c>
      <c r="C95" s="22" t="n">
        <f aca="true">MAX(-0.05,NORMINV(RAND(),$B$7,$C$7))</f>
        <v>0.158657096199157</v>
      </c>
      <c r="D95" s="34" t="n">
        <f aca="true">MAX(0.08,NORMINV(RAND(),$B$8,$C$8))</f>
        <v>0.138095719889106</v>
      </c>
      <c r="E95" s="35" t="n">
        <f aca="true">MEDIAN(0,NORMINV(RAND(),$B$9,$C$9),1)</f>
        <v>0.0422641016968096</v>
      </c>
      <c r="F95" s="28" t="n">
        <f aca="false">$B$12*(1+(B95+$B$17)/2)^9</f>
        <v>8625.87343073474</v>
      </c>
      <c r="G95" s="28" t="n">
        <f aca="false">F95*(C95-$B$18+$B$19*E95)</f>
        <v>909.952399436184</v>
      </c>
      <c r="H95" s="28" t="n">
        <f aca="false">MAX(0,$B$20*G95)/(1+D95)^9</f>
        <v>1988.41762473553</v>
      </c>
      <c r="I95" s="28" t="n">
        <f aca="false">$B$13*((1+$B$8)/(1+D95))^4.5</f>
        <v>617.89737017242</v>
      </c>
      <c r="J95" s="28" t="n">
        <f aca="false">H95+I95-$B$14</f>
        <v>1935.24307709973</v>
      </c>
      <c r="K95" s="45" t="n">
        <f aca="false">MAX(0,J95)/$B$15</f>
        <v>6.92890467991309</v>
      </c>
    </row>
    <row r="96" customFormat="false" ht="15" hidden="false" customHeight="false" outlineLevel="0" collapsed="false">
      <c r="A96" s="55" t="n">
        <v>56</v>
      </c>
      <c r="B96" s="22" t="n">
        <f aca="true">NORMINV(RAND(),$B$6,$C$6)</f>
        <v>0.295281398711022</v>
      </c>
      <c r="C96" s="22" t="n">
        <f aca="true">MAX(-0.05,NORMINV(RAND(),$B$7,$C$7))</f>
        <v>0.121286020367785</v>
      </c>
      <c r="D96" s="34" t="n">
        <f aca="true">MAX(0.08,NORMINV(RAND(),$B$8,$C$8))</f>
        <v>0.133270028622466</v>
      </c>
      <c r="E96" s="35" t="n">
        <f aca="true">MEDIAN(0,NORMINV(RAND(),$B$9,$C$9),1)</f>
        <v>0.641167782743546</v>
      </c>
      <c r="F96" s="28" t="n">
        <f aca="false">$B$12*(1+(B96+$B$17)/2)^9</f>
        <v>4236.15964271539</v>
      </c>
      <c r="G96" s="28" t="n">
        <f aca="false">F96*(C96-$B$18+$B$19*E96)</f>
        <v>998.941511861971</v>
      </c>
      <c r="H96" s="28" t="n">
        <f aca="false">MAX(0,$B$20*G96)/(1+D96)^9</f>
        <v>2267.97086952456</v>
      </c>
      <c r="I96" s="28" t="n">
        <f aca="false">$B$13*((1+$B$8)/(1+D96))^4.5</f>
        <v>629.826004001979</v>
      </c>
      <c r="J96" s="28" t="n">
        <f aca="false">H96+I96-$B$14</f>
        <v>2226.72495571832</v>
      </c>
      <c r="K96" s="45" t="n">
        <f aca="false">MAX(0,J96)/$B$15</f>
        <v>7.97252042863701</v>
      </c>
    </row>
    <row r="97" customFormat="false" ht="15" hidden="false" customHeight="false" outlineLevel="0" collapsed="false">
      <c r="A97" s="55" t="n">
        <v>57</v>
      </c>
      <c r="B97" s="22" t="n">
        <f aca="true">NORMINV(RAND(),$B$6,$C$6)</f>
        <v>0.357327264513163</v>
      </c>
      <c r="C97" s="22" t="n">
        <f aca="true">MAX(-0.05,NORMINV(RAND(),$B$7,$C$7))</f>
        <v>0.105021442385387</v>
      </c>
      <c r="D97" s="34" t="n">
        <f aca="true">MAX(0.08,NORMINV(RAND(),$B$8,$C$8))</f>
        <v>0.119781413101148</v>
      </c>
      <c r="E97" s="35" t="n">
        <f aca="true">MEDIAN(0,NORMINV(RAND(),$B$9,$C$9),1)</f>
        <v>0.453072500524749</v>
      </c>
      <c r="F97" s="28" t="n">
        <f aca="false">$B$12*(1+(B97+$B$17)/2)^9</f>
        <v>5363.70963738524</v>
      </c>
      <c r="G97" s="28" t="n">
        <f aca="false">F97*(C97-$B$18+$B$19*E97)</f>
        <v>895.10521072423</v>
      </c>
      <c r="H97" s="28" t="n">
        <f aca="false">MAX(0,$B$20*G97)/(1+D97)^9</f>
        <v>2263.46005627198</v>
      </c>
      <c r="I97" s="28" t="n">
        <f aca="false">$B$13*((1+$B$8)/(1+D97))^4.5</f>
        <v>664.693232169486</v>
      </c>
      <c r="J97" s="28" t="n">
        <f aca="false">H97+I97-$B$14</f>
        <v>2257.08137063325</v>
      </c>
      <c r="K97" s="45" t="n">
        <f aca="false">MAX(0,J97)/$B$15</f>
        <v>8.08120791490601</v>
      </c>
    </row>
    <row r="98" customFormat="false" ht="15" hidden="false" customHeight="false" outlineLevel="0" collapsed="false">
      <c r="A98" s="55" t="n">
        <v>58</v>
      </c>
      <c r="B98" s="22" t="n">
        <f aca="true">NORMINV(RAND(),$B$6,$C$6)</f>
        <v>0.509116325574049</v>
      </c>
      <c r="C98" s="22" t="n">
        <f aca="true">MAX(-0.05,NORMINV(RAND(),$B$7,$C$7))</f>
        <v>0.124539179869244</v>
      </c>
      <c r="D98" s="34" t="n">
        <f aca="true">MAX(0.08,NORMINV(RAND(),$B$8,$C$8))</f>
        <v>0.13733693211005</v>
      </c>
      <c r="E98" s="35" t="n">
        <f aca="true">MEDIAN(0,NORMINV(RAND(),$B$9,$C$9),1)</f>
        <v>0.470502293718166</v>
      </c>
      <c r="F98" s="28" t="n">
        <f aca="false">$B$12*(1+(B98+$B$17)/2)^9</f>
        <v>9320.22136682989</v>
      </c>
      <c r="G98" s="28" t="n">
        <f aca="false">F98*(C98-$B$18+$B$19*E98)</f>
        <v>1782.77028507612</v>
      </c>
      <c r="H98" s="28" t="n">
        <f aca="false">MAX(0,$B$20*G98)/(1+D98)^9</f>
        <v>3919.14335028756</v>
      </c>
      <c r="I98" s="28" t="n">
        <f aca="false">$B$13*((1+$B$8)/(1+D98))^4.5</f>
        <v>619.754606138247</v>
      </c>
      <c r="J98" s="28" t="n">
        <f aca="false">H98+I98-$B$14</f>
        <v>3867.82603861759</v>
      </c>
      <c r="K98" s="45" t="n">
        <f aca="false">MAX(0,J98)/$B$15</f>
        <v>13.8482851364754</v>
      </c>
    </row>
    <row r="99" customFormat="false" ht="15" hidden="false" customHeight="false" outlineLevel="0" collapsed="false">
      <c r="A99" s="55" t="n">
        <v>59</v>
      </c>
      <c r="B99" s="22" t="n">
        <f aca="true">NORMINV(RAND(),$B$6,$C$6)</f>
        <v>0.146629686043309</v>
      </c>
      <c r="C99" s="22" t="n">
        <f aca="true">MAX(-0.05,NORMINV(RAND(),$B$7,$C$7))</f>
        <v>0.14738928630765</v>
      </c>
      <c r="D99" s="34" t="n">
        <f aca="true">MAX(0.08,NORMINV(RAND(),$B$8,$C$8))</f>
        <v>0.174806578406589</v>
      </c>
      <c r="E99" s="35" t="n">
        <f aca="true">MEDIAN(0,NORMINV(RAND(),$B$9,$C$9),1)</f>
        <v>0.427857083416888</v>
      </c>
      <c r="F99" s="28" t="n">
        <f aca="false">$B$12*(1+(B99+$B$17)/2)^9</f>
        <v>2343.67019400717</v>
      </c>
      <c r="G99" s="28" t="n">
        <f aca="false">F99*(C99-$B$18+$B$19*E99)</f>
        <v>473.864964860483</v>
      </c>
      <c r="H99" s="28" t="n">
        <f aca="false">MAX(0,$B$20*G99)/(1+D99)^9</f>
        <v>778.135650220265</v>
      </c>
      <c r="I99" s="28" t="n">
        <f aca="false">$B$13*((1+$B$8)/(1+D99))^4.5</f>
        <v>535.639058969449</v>
      </c>
      <c r="J99" s="28" t="n">
        <f aca="false">H99+I99-$B$14</f>
        <v>642.702791381494</v>
      </c>
      <c r="K99" s="45" t="n">
        <f aca="false">MAX(0,J99)/$B$15</f>
        <v>2.30111991185641</v>
      </c>
    </row>
    <row r="100" customFormat="false" ht="15" hidden="false" customHeight="false" outlineLevel="0" collapsed="false">
      <c r="A100" s="55" t="n">
        <v>60</v>
      </c>
      <c r="B100" s="22" t="n">
        <f aca="true">NORMINV(RAND(),$B$6,$C$6)</f>
        <v>0.500879823021623</v>
      </c>
      <c r="C100" s="22" t="n">
        <f aca="true">MAX(-0.05,NORMINV(RAND(),$B$7,$C$7))</f>
        <v>0.226844969037042</v>
      </c>
      <c r="D100" s="34" t="n">
        <f aca="true">MAX(0.08,NORMINV(RAND(),$B$8,$C$8))</f>
        <v>0.139057076402136</v>
      </c>
      <c r="E100" s="35" t="n">
        <f aca="true">MEDIAN(0,NORMINV(RAND(),$B$9,$C$9),1)</f>
        <v>0.410724226638</v>
      </c>
      <c r="F100" s="28" t="n">
        <f aca="false">$B$12*(1+(B100+$B$17)/2)^9</f>
        <v>9052.66520139969</v>
      </c>
      <c r="G100" s="28" t="n">
        <f aca="false">F100*(C100-$B$18+$B$19*E100)</f>
        <v>2506.21001510337</v>
      </c>
      <c r="H100" s="28" t="n">
        <f aca="false">MAX(0,$B$20*G100)/(1+D100)^9</f>
        <v>5435.08227935201</v>
      </c>
      <c r="I100" s="28" t="n">
        <f aca="false">$B$13*((1+$B$8)/(1+D100))^4.5</f>
        <v>615.554078351127</v>
      </c>
      <c r="J100" s="28" t="n">
        <f aca="false">H100+I100-$B$14</f>
        <v>5379.56443989492</v>
      </c>
      <c r="K100" s="45" t="n">
        <f aca="false">MAX(0,J100)/$B$15</f>
        <v>19.2608823483527</v>
      </c>
    </row>
    <row r="101" customFormat="false" ht="15" hidden="false" customHeight="false" outlineLevel="0" collapsed="false">
      <c r="A101" s="55" t="n">
        <v>61</v>
      </c>
      <c r="B101" s="22" t="n">
        <f aca="true">NORMINV(RAND(),$B$6,$C$6)</f>
        <v>0.193818343386765</v>
      </c>
      <c r="C101" s="22" t="n">
        <f aca="true">MAX(-0.05,NORMINV(RAND(),$B$7,$C$7))</f>
        <v>0.205338959446138</v>
      </c>
      <c r="D101" s="34" t="n">
        <f aca="true">MAX(0.08,NORMINV(RAND(),$B$8,$C$8))</f>
        <v>0.112805965416366</v>
      </c>
      <c r="E101" s="35" t="n">
        <f aca="true">MEDIAN(0,NORMINV(RAND(),$B$9,$C$9),1)</f>
        <v>0.425086136384623</v>
      </c>
      <c r="F101" s="28" t="n">
        <f aca="false">$B$12*(1+(B101+$B$17)/2)^9</f>
        <v>2840.20713569016</v>
      </c>
      <c r="G101" s="28" t="n">
        <f aca="false">F101*(C101-$B$18+$B$19*E101)</f>
        <v>736.64486383017</v>
      </c>
      <c r="H101" s="28" t="n">
        <f aca="false">MAX(0,$B$20*G101)/(1+D101)^9</f>
        <v>1970.52159711946</v>
      </c>
      <c r="I101" s="28" t="n">
        <f aca="false">$B$13*((1+$B$8)/(1+D101))^4.5</f>
        <v>683.649340392323</v>
      </c>
      <c r="J101" s="28" t="n">
        <f aca="false">H101+I101-$B$14</f>
        <v>1983.09901970356</v>
      </c>
      <c r="K101" s="45" t="n">
        <f aca="false">MAX(0,J101)/$B$15</f>
        <v>7.10024711673311</v>
      </c>
    </row>
    <row r="102" customFormat="false" ht="15" hidden="false" customHeight="false" outlineLevel="0" collapsed="false">
      <c r="A102" s="55" t="n">
        <v>62</v>
      </c>
      <c r="B102" s="22" t="n">
        <f aca="true">NORMINV(RAND(),$B$6,$C$6)</f>
        <v>0.337240022758085</v>
      </c>
      <c r="C102" s="22" t="n">
        <f aca="true">MAX(-0.05,NORMINV(RAND(),$B$7,$C$7))</f>
        <v>0.0921902331969013</v>
      </c>
      <c r="D102" s="34" t="n">
        <f aca="true">MAX(0.08,NORMINV(RAND(),$B$8,$C$8))</f>
        <v>0.178676253586025</v>
      </c>
      <c r="E102" s="35" t="n">
        <f aca="true">MEDIAN(0,NORMINV(RAND(),$B$9,$C$9),1)</f>
        <v>0.0650386092725374</v>
      </c>
      <c r="F102" s="28" t="n">
        <f aca="false">$B$12*(1+(B102+$B$17)/2)^9</f>
        <v>4972.52114077992</v>
      </c>
      <c r="G102" s="28" t="n">
        <f aca="false">F102*(C102-$B$18+$B$19*E102)</f>
        <v>225.757650075221</v>
      </c>
      <c r="H102" s="28" t="n">
        <f aca="false">MAX(0,$B$20*G102)/(1+D102)^9</f>
        <v>359.906516089809</v>
      </c>
      <c r="I102" s="28" t="n">
        <f aca="false">$B$13*((1+$B$8)/(1+D102))^4.5</f>
        <v>527.770970954778</v>
      </c>
      <c r="J102" s="28" t="n">
        <f aca="false">H102+I102-$B$14</f>
        <v>216.605569236367</v>
      </c>
      <c r="K102" s="45" t="n">
        <f aca="false">MAX(0,J102)/$B$15</f>
        <v>0.775530144061465</v>
      </c>
    </row>
    <row r="103" customFormat="false" ht="15" hidden="false" customHeight="false" outlineLevel="0" collapsed="false">
      <c r="A103" s="55" t="n">
        <v>63</v>
      </c>
      <c r="B103" s="22" t="n">
        <f aca="true">NORMINV(RAND(),$B$6,$C$6)</f>
        <v>0.443892520155252</v>
      </c>
      <c r="C103" s="22" t="n">
        <f aca="true">MAX(-0.05,NORMINV(RAND(),$B$7,$C$7))</f>
        <v>0.095037207092252</v>
      </c>
      <c r="D103" s="34" t="n">
        <f aca="true">MAX(0.08,NORMINV(RAND(),$B$8,$C$8))</f>
        <v>0.163715923723213</v>
      </c>
      <c r="E103" s="35" t="n">
        <f aca="true">MEDIAN(0,NORMINV(RAND(),$B$9,$C$9),1)</f>
        <v>0</v>
      </c>
      <c r="F103" s="28" t="n">
        <f aca="false">$B$12*(1+(B103+$B$17)/2)^9</f>
        <v>7380.98860987569</v>
      </c>
      <c r="G103" s="28" t="n">
        <f aca="false">F103*(C103-$B$18+$B$19*E103)</f>
        <v>221.704283420389</v>
      </c>
      <c r="H103" s="28" t="n">
        <f aca="false">MAX(0,$B$20*G103)/(1+D103)^9</f>
        <v>396.505604787337</v>
      </c>
      <c r="I103" s="28" t="n">
        <f aca="false">$B$13*((1+$B$8)/(1+D103))^4.5</f>
        <v>558.997036449894</v>
      </c>
      <c r="J103" s="28" t="n">
        <f aca="false">H103+I103-$B$14</f>
        <v>284.430723429012</v>
      </c>
      <c r="K103" s="45" t="n">
        <f aca="false">MAX(0,J103)/$B$15</f>
        <v>1.01836993708919</v>
      </c>
    </row>
    <row r="104" customFormat="false" ht="15" hidden="false" customHeight="false" outlineLevel="0" collapsed="false">
      <c r="A104" s="55" t="n">
        <v>64</v>
      </c>
      <c r="B104" s="22" t="n">
        <f aca="true">NORMINV(RAND(),$B$6,$C$6)</f>
        <v>0.241075436438658</v>
      </c>
      <c r="C104" s="22" t="n">
        <f aca="true">MAX(-0.05,NORMINV(RAND(),$B$7,$C$7))</f>
        <v>0.126741996400443</v>
      </c>
      <c r="D104" s="34" t="n">
        <f aca="true">MAX(0.08,NORMINV(RAND(),$B$8,$C$8))</f>
        <v>0.135936005600609</v>
      </c>
      <c r="E104" s="35" t="n">
        <f aca="true">MEDIAN(0,NORMINV(RAND(),$B$9,$C$9),1)</f>
        <v>0</v>
      </c>
      <c r="F104" s="28" t="n">
        <f aca="false">$B$12*(1+(B104+$B$17)/2)^9</f>
        <v>3429.06856462908</v>
      </c>
      <c r="G104" s="28" t="n">
        <f aca="false">F104*(C104-$B$18+$B$19*E104)</f>
        <v>211.717538974201</v>
      </c>
      <c r="H104" s="28" t="n">
        <f aca="false">MAX(0,$B$20*G104)/(1+D104)^9</f>
        <v>470.619683347167</v>
      </c>
      <c r="I104" s="28" t="n">
        <f aca="false">$B$13*((1+$B$8)/(1+D104))^4.5</f>
        <v>623.201524740593</v>
      </c>
      <c r="J104" s="28" t="n">
        <f aca="false">H104+I104-$B$14</f>
        <v>422.74929027954</v>
      </c>
      <c r="K104" s="45" t="n">
        <f aca="false">MAX(0,J104)/$B$15</f>
        <v>1.51360290110827</v>
      </c>
    </row>
    <row r="105" customFormat="false" ht="15" hidden="false" customHeight="false" outlineLevel="0" collapsed="false">
      <c r="A105" s="55" t="n">
        <v>65</v>
      </c>
      <c r="B105" s="22" t="n">
        <f aca="true">NORMINV(RAND(),$B$6,$C$6)</f>
        <v>0.408849030788132</v>
      </c>
      <c r="C105" s="22" t="n">
        <f aca="true">MAX(-0.05,NORMINV(RAND(),$B$7,$C$7))</f>
        <v>0.0931314481623812</v>
      </c>
      <c r="D105" s="34" t="n">
        <f aca="true">MAX(0.08,NORMINV(RAND(),$B$8,$C$8))</f>
        <v>0.115274894289848</v>
      </c>
      <c r="E105" s="35" t="n">
        <f aca="true">MEDIAN(0,NORMINV(RAND(),$B$9,$C$9),1)</f>
        <v>0.68801153800224</v>
      </c>
      <c r="F105" s="28" t="n">
        <f aca="false">$B$12*(1+(B105+$B$17)/2)^9</f>
        <v>6494.97445135785</v>
      </c>
      <c r="G105" s="28" t="n">
        <f aca="false">F105*(C105-$B$18+$B$19*E105)</f>
        <v>1433.92589833228</v>
      </c>
      <c r="H105" s="28" t="n">
        <f aca="false">MAX(0,$B$20*G105)/(1+D105)^9</f>
        <v>3759.99627491807</v>
      </c>
      <c r="I105" s="28" t="n">
        <f aca="false">$B$13*((1+$B$8)/(1+D105))^4.5</f>
        <v>676.865276415237</v>
      </c>
      <c r="J105" s="28" t="n">
        <f aca="false">H105+I105-$B$14</f>
        <v>3765.78963352509</v>
      </c>
      <c r="K105" s="45" t="n">
        <f aca="false">MAX(0,J105)/$B$15</f>
        <v>13.4829560813645</v>
      </c>
    </row>
    <row r="106" customFormat="false" ht="15" hidden="false" customHeight="false" outlineLevel="0" collapsed="false">
      <c r="A106" s="55" t="n">
        <v>66</v>
      </c>
      <c r="B106" s="22" t="n">
        <f aca="true">NORMINV(RAND(),$B$6,$C$6)</f>
        <v>0.458668089582539</v>
      </c>
      <c r="C106" s="22" t="n">
        <f aca="true">MAX(-0.05,NORMINV(RAND(),$B$7,$C$7))</f>
        <v>0.130035382820682</v>
      </c>
      <c r="D106" s="34" t="n">
        <f aca="true">MAX(0.08,NORMINV(RAND(),$B$8,$C$8))</f>
        <v>0.166557450147249</v>
      </c>
      <c r="E106" s="35" t="n">
        <f aca="true">MEDIAN(0,NORMINV(RAND(),$B$9,$C$9),1)</f>
        <v>0.141697855941553</v>
      </c>
      <c r="F106" s="28" t="n">
        <f aca="false">$B$12*(1+(B106+$B$17)/2)^9</f>
        <v>7785.67861287768</v>
      </c>
      <c r="G106" s="28" t="n">
        <f aca="false">F106*(C106-$B$18+$B$19*E106)</f>
        <v>815.244499725833</v>
      </c>
      <c r="H106" s="28" t="n">
        <f aca="false">MAX(0,$B$20*G106)/(1+D106)^9</f>
        <v>1426.36519462263</v>
      </c>
      <c r="I106" s="28" t="n">
        <f aca="false">$B$13*((1+$B$8)/(1+D106))^4.5</f>
        <v>552.895824138423</v>
      </c>
      <c r="J106" s="28" t="n">
        <f aca="false">H106+I106-$B$14</f>
        <v>1308.18910095283</v>
      </c>
      <c r="K106" s="45" t="n">
        <f aca="false">MAX(0,J106)/$B$15</f>
        <v>4.6838134656385</v>
      </c>
    </row>
    <row r="107" customFormat="false" ht="15" hidden="false" customHeight="false" outlineLevel="0" collapsed="false">
      <c r="A107" s="55" t="n">
        <v>67</v>
      </c>
      <c r="B107" s="22" t="n">
        <f aca="true">NORMINV(RAND(),$B$6,$C$6)</f>
        <v>0.320626877264347</v>
      </c>
      <c r="C107" s="22" t="n">
        <f aca="true">MAX(-0.05,NORMINV(RAND(),$B$7,$C$7))</f>
        <v>0.175616999115875</v>
      </c>
      <c r="D107" s="34" t="n">
        <f aca="true">MAX(0.08,NORMINV(RAND(),$B$8,$C$8))</f>
        <v>0.116584284445547</v>
      </c>
      <c r="E107" s="35" t="n">
        <f aca="true">MEDIAN(0,NORMINV(RAND(),$B$9,$C$9),1)</f>
        <v>0</v>
      </c>
      <c r="F107" s="28" t="n">
        <f aca="false">$B$12*(1+(B107+$B$17)/2)^9</f>
        <v>4668.37211150889</v>
      </c>
      <c r="G107" s="28" t="n">
        <f aca="false">F107*(C107-$B$18+$B$19*E107)</f>
        <v>516.401313731356</v>
      </c>
      <c r="H107" s="28" t="n">
        <f aca="false">MAX(0,$B$20*G107)/(1+D107)^9</f>
        <v>1339.86727311881</v>
      </c>
      <c r="I107" s="28" t="n">
        <f aca="false">$B$13*((1+$B$8)/(1+D107))^4.5</f>
        <v>673.300756748799</v>
      </c>
      <c r="J107" s="28" t="n">
        <f aca="false">H107+I107-$B$14</f>
        <v>1342.09611205939</v>
      </c>
      <c r="K107" s="45" t="n">
        <f aca="false">MAX(0,J107)/$B$15</f>
        <v>4.80521343379659</v>
      </c>
    </row>
    <row r="108" customFormat="false" ht="15" hidden="false" customHeight="false" outlineLevel="0" collapsed="false">
      <c r="A108" s="55" t="n">
        <v>68</v>
      </c>
      <c r="B108" s="22" t="n">
        <f aca="true">NORMINV(RAND(),$B$6,$C$6)</f>
        <v>0.492729361574573</v>
      </c>
      <c r="C108" s="22" t="n">
        <f aca="true">MAX(-0.05,NORMINV(RAND(),$B$7,$C$7))</f>
        <v>0.0566804810187598</v>
      </c>
      <c r="D108" s="34" t="n">
        <f aca="true">MAX(0.08,NORMINV(RAND(),$B$8,$C$8))</f>
        <v>0.112169590436972</v>
      </c>
      <c r="E108" s="35" t="n">
        <f aca="true">MEDIAN(0,NORMINV(RAND(),$B$9,$C$9),1)</f>
        <v>0.36036449137736</v>
      </c>
      <c r="F108" s="28" t="n">
        <f aca="false">$B$12*(1+(B108+$B$17)/2)^9</f>
        <v>8794.64683153181</v>
      </c>
      <c r="G108" s="28" t="n">
        <f aca="false">F108*(C108-$B$18+$B$19*E108)</f>
        <v>814.230729792538</v>
      </c>
      <c r="H108" s="28" t="n">
        <f aca="false">MAX(0,$B$20*G108)/(1+D108)^9</f>
        <v>2189.30557712017</v>
      </c>
      <c r="I108" s="28" t="n">
        <f aca="false">$B$13*((1+$B$8)/(1+D108))^4.5</f>
        <v>685.411409175537</v>
      </c>
      <c r="J108" s="28" t="n">
        <f aca="false">H108+I108-$B$14</f>
        <v>2203.64506848748</v>
      </c>
      <c r="K108" s="45" t="n">
        <f aca="false">MAX(0,J108)/$B$15</f>
        <v>7.88988567306653</v>
      </c>
    </row>
    <row r="109" customFormat="false" ht="15" hidden="false" customHeight="false" outlineLevel="0" collapsed="false">
      <c r="A109" s="55" t="n">
        <v>69</v>
      </c>
      <c r="B109" s="22" t="n">
        <f aca="true">NORMINV(RAND(),$B$6,$C$6)</f>
        <v>0.241002615915282</v>
      </c>
      <c r="C109" s="22" t="n">
        <f aca="true">MAX(-0.05,NORMINV(RAND(),$B$7,$C$7))</f>
        <v>0.189811723007315</v>
      </c>
      <c r="D109" s="34" t="n">
        <f aca="true">MAX(0.08,NORMINV(RAND(),$B$8,$C$8))</f>
        <v>0.119501895077534</v>
      </c>
      <c r="E109" s="35" t="n">
        <f aca="true">MEDIAN(0,NORMINV(RAND(),$B$9,$C$9),1)</f>
        <v>0.292937507154118</v>
      </c>
      <c r="F109" s="28" t="n">
        <f aca="false">$B$12*(1+(B109+$B$17)/2)^9</f>
        <v>3428.08347131874</v>
      </c>
      <c r="G109" s="28" t="n">
        <f aca="false">F109*(C109-$B$18+$B$19*E109)</f>
        <v>709.044988061405</v>
      </c>
      <c r="H109" s="28" t="n">
        <f aca="false">MAX(0,$B$20*G109)/(1+D109)^9</f>
        <v>1797.00106207699</v>
      </c>
      <c r="I109" s="28" t="n">
        <f aca="false">$B$13*((1+$B$8)/(1+D109))^4.5</f>
        <v>665.440383395843</v>
      </c>
      <c r="J109" s="28" t="n">
        <f aca="false">H109+I109-$B$14</f>
        <v>1791.36952766461</v>
      </c>
      <c r="K109" s="45" t="n">
        <f aca="false">MAX(0,J109)/$B$15</f>
        <v>6.41378277001292</v>
      </c>
    </row>
    <row r="110" customFormat="false" ht="15" hidden="false" customHeight="false" outlineLevel="0" collapsed="false">
      <c r="A110" s="55" t="n">
        <v>70</v>
      </c>
      <c r="B110" s="22" t="n">
        <f aca="true">NORMINV(RAND(),$B$6,$C$6)</f>
        <v>0.548817487997839</v>
      </c>
      <c r="C110" s="22" t="n">
        <f aca="true">MAX(-0.05,NORMINV(RAND(),$B$7,$C$7))</f>
        <v>0.166616248415591</v>
      </c>
      <c r="D110" s="34" t="n">
        <f aca="true">MAX(0.08,NORMINV(RAND(),$B$8,$C$8))</f>
        <v>0.123125126026643</v>
      </c>
      <c r="E110" s="35" t="n">
        <f aca="true">MEDIAN(0,NORMINV(RAND(),$B$9,$C$9),1)</f>
        <v>0</v>
      </c>
      <c r="F110" s="28" t="n">
        <f aca="false">$B$12*(1+(B110+$B$17)/2)^9</f>
        <v>10711.0548014023</v>
      </c>
      <c r="G110" s="28" t="n">
        <f aca="false">F110*(C110-$B$18+$B$19*E110)</f>
        <v>1088.41720549231</v>
      </c>
      <c r="H110" s="28" t="n">
        <f aca="false">MAX(0,$B$20*G110)/(1+D110)^9</f>
        <v>2679.41602060645</v>
      </c>
      <c r="I110" s="28" t="n">
        <f aca="false">$B$13*((1+$B$8)/(1+D110))^4.5</f>
        <v>655.83449834112</v>
      </c>
      <c r="J110" s="28" t="n">
        <f aca="false">H110+I110-$B$14</f>
        <v>2664.17860113935</v>
      </c>
      <c r="K110" s="45" t="n">
        <f aca="false">MAX(0,J110)/$B$15</f>
        <v>9.53877050175206</v>
      </c>
    </row>
    <row r="111" customFormat="false" ht="15" hidden="false" customHeight="false" outlineLevel="0" collapsed="false">
      <c r="A111" s="55" t="n">
        <v>71</v>
      </c>
      <c r="B111" s="22" t="n">
        <f aca="true">NORMINV(RAND(),$B$6,$C$6)</f>
        <v>0.315565649112679</v>
      </c>
      <c r="C111" s="22" t="n">
        <f aca="true">MAX(-0.05,NORMINV(RAND(),$B$7,$C$7))</f>
        <v>0.124632592872029</v>
      </c>
      <c r="D111" s="34" t="n">
        <f aca="true">MAX(0.08,NORMINV(RAND(),$B$8,$C$8))</f>
        <v>0.142318898128376</v>
      </c>
      <c r="E111" s="35" t="n">
        <f aca="true">MEDIAN(0,NORMINV(RAND(),$B$9,$C$9),1)</f>
        <v>0.552049396405476</v>
      </c>
      <c r="F111" s="28" t="n">
        <f aca="false">$B$12*(1+(B111+$B$17)/2)^9</f>
        <v>4579.05911277169</v>
      </c>
      <c r="G111" s="28" t="n">
        <f aca="false">F111*(C111-$B$18+$B$19*E111)</f>
        <v>980.863877215836</v>
      </c>
      <c r="H111" s="28" t="n">
        <f aca="false">MAX(0,$B$20*G111)/(1+D111)^9</f>
        <v>2073.10130876677</v>
      </c>
      <c r="I111" s="28" t="n">
        <f aca="false">$B$13*((1+$B$8)/(1+D111))^4.5</f>
        <v>607.683961999398</v>
      </c>
      <c r="J111" s="28" t="n">
        <f aca="false">H111+I111-$B$14</f>
        <v>2009.71335295795</v>
      </c>
      <c r="K111" s="45" t="n">
        <f aca="false">MAX(0,J111)/$B$15</f>
        <v>7.19553653046168</v>
      </c>
    </row>
    <row r="112" customFormat="false" ht="15" hidden="false" customHeight="false" outlineLevel="0" collapsed="false">
      <c r="A112" s="55" t="n">
        <v>72</v>
      </c>
      <c r="B112" s="22" t="n">
        <f aca="true">NORMINV(RAND(),$B$6,$C$6)</f>
        <v>0.515074003743128</v>
      </c>
      <c r="C112" s="22" t="n">
        <f aca="true">MAX(-0.05,NORMINV(RAND(),$B$7,$C$7))</f>
        <v>0.180954387792672</v>
      </c>
      <c r="D112" s="34" t="n">
        <f aca="true">MAX(0.08,NORMINV(RAND(),$B$8,$C$8))</f>
        <v>0.143163617313179</v>
      </c>
      <c r="E112" s="35" t="n">
        <f aca="true">MEDIAN(0,NORMINV(RAND(),$B$9,$C$9),1)</f>
        <v>0.299944405990629</v>
      </c>
      <c r="F112" s="28" t="n">
        <f aca="false">$B$12*(1+(B112+$B$17)/2)^9</f>
        <v>9518.10930633073</v>
      </c>
      <c r="G112" s="28" t="n">
        <f aca="false">F112*(C112-$B$18+$B$19*E112)</f>
        <v>1903.03955733086</v>
      </c>
      <c r="H112" s="28" t="n">
        <f aca="false">MAX(0,$B$20*G112)/(1+D112)^9</f>
        <v>3995.49240749462</v>
      </c>
      <c r="I112" s="28" t="n">
        <f aca="false">$B$13*((1+$B$8)/(1+D112))^4.5</f>
        <v>605.665908683579</v>
      </c>
      <c r="J112" s="28" t="n">
        <f aca="false">H112+I112-$B$14</f>
        <v>3930.08639836998</v>
      </c>
      <c r="K112" s="45" t="n">
        <f aca="false">MAX(0,J112)/$B$15</f>
        <v>14.071200853455</v>
      </c>
    </row>
    <row r="113" customFormat="false" ht="15" hidden="false" customHeight="false" outlineLevel="0" collapsed="false">
      <c r="A113" s="55" t="n">
        <v>73</v>
      </c>
      <c r="B113" s="22" t="n">
        <f aca="true">NORMINV(RAND(),$B$6,$C$6)</f>
        <v>0.514190960736633</v>
      </c>
      <c r="C113" s="22" t="n">
        <f aca="true">MAX(-0.05,NORMINV(RAND(),$B$7,$C$7))</f>
        <v>0.0329669767297781</v>
      </c>
      <c r="D113" s="34" t="n">
        <f aca="true">MAX(0.08,NORMINV(RAND(),$B$8,$C$8))</f>
        <v>0.1603611203454</v>
      </c>
      <c r="E113" s="35" t="n">
        <f aca="true">MEDIAN(0,NORMINV(RAND(),$B$9,$C$9),1)</f>
        <v>0.0404025361474877</v>
      </c>
      <c r="F113" s="28" t="n">
        <f aca="false">$B$12*(1+(B113+$B$17)/2)^9</f>
        <v>9488.54475697667</v>
      </c>
      <c r="G113" s="28" t="n">
        <f aca="false">F113*(C113-$B$18+$B$19*E113)</f>
        <v>-196.605618692151</v>
      </c>
      <c r="H113" s="28" t="n">
        <f aca="false">MAX(0,$B$20*G113)/(1+D113)^9</f>
        <v>0</v>
      </c>
      <c r="I113" s="28" t="n">
        <f aca="false">$B$13*((1+$B$8)/(1+D113))^4.5</f>
        <v>566.306625984764</v>
      </c>
      <c r="J113" s="28" t="n">
        <f aca="false">H113+I113-$B$14</f>
        <v>-104.765291823455</v>
      </c>
      <c r="K113" s="45" t="n">
        <f aca="false">MAX(0,J113)/$B$15</f>
        <v>0</v>
      </c>
    </row>
    <row r="114" customFormat="false" ht="15" hidden="false" customHeight="false" outlineLevel="0" collapsed="false">
      <c r="A114" s="55" t="n">
        <v>74</v>
      </c>
      <c r="B114" s="22" t="n">
        <f aca="true">NORMINV(RAND(),$B$6,$C$6)</f>
        <v>0.199643420443771</v>
      </c>
      <c r="C114" s="22" t="n">
        <f aca="true">MAX(-0.05,NORMINV(RAND(),$B$7,$C$7))</f>
        <v>0.101874187364703</v>
      </c>
      <c r="D114" s="34" t="n">
        <f aca="true">MAX(0.08,NORMINV(RAND(),$B$8,$C$8))</f>
        <v>0.15910855795092</v>
      </c>
      <c r="E114" s="35" t="n">
        <f aca="true">MEDIAN(0,NORMINV(RAND(),$B$9,$C$9),1)</f>
        <v>0.172048054868085</v>
      </c>
      <c r="F114" s="28" t="n">
        <f aca="false">$B$12*(1+(B114+$B$17)/2)^9</f>
        <v>2907.56375275363</v>
      </c>
      <c r="G114" s="28" t="n">
        <f aca="false">F114*(C114-$B$18+$B$19*E114)</f>
        <v>247.281443252396</v>
      </c>
      <c r="H114" s="28" t="n">
        <f aca="false">MAX(0,$B$20*G114)/(1+D114)^9</f>
        <v>458.323953876876</v>
      </c>
      <c r="I114" s="28" t="n">
        <f aca="false">$B$13*((1+$B$8)/(1+D114))^4.5</f>
        <v>569.065682956004</v>
      </c>
      <c r="J114" s="28" t="n">
        <f aca="false">H114+I114-$B$14</f>
        <v>356.317719024661</v>
      </c>
      <c r="K114" s="45" t="n">
        <f aca="false">MAX(0,J114)/$B$15</f>
        <v>1.27575266389066</v>
      </c>
    </row>
    <row r="115" customFormat="false" ht="15" hidden="false" customHeight="false" outlineLevel="0" collapsed="false">
      <c r="A115" s="55" t="n">
        <v>75</v>
      </c>
      <c r="B115" s="22" t="n">
        <f aca="true">NORMINV(RAND(),$B$6,$C$6)</f>
        <v>0.493749489827225</v>
      </c>
      <c r="C115" s="22" t="n">
        <f aca="true">MAX(-0.05,NORMINV(RAND(),$B$7,$C$7))</f>
        <v>0.162038661499762</v>
      </c>
      <c r="D115" s="34" t="n">
        <f aca="true">MAX(0.08,NORMINV(RAND(),$B$8,$C$8))</f>
        <v>0.100057263654886</v>
      </c>
      <c r="E115" s="35" t="n">
        <f aca="true">MEDIAN(0,NORMINV(RAND(),$B$9,$C$9),1)</f>
        <v>0.486182116945262</v>
      </c>
      <c r="F115" s="28" t="n">
        <f aca="false">$B$12*(1+(B115+$B$17)/2)^9</f>
        <v>8826.57887379169</v>
      </c>
      <c r="G115" s="28" t="n">
        <f aca="false">F115*(C115-$B$18+$B$19*E115)</f>
        <v>2058.09034416325</v>
      </c>
      <c r="H115" s="28" t="n">
        <f aca="false">MAX(0,$B$20*G115)/(1+D115)^9</f>
        <v>6106.95666131536</v>
      </c>
      <c r="I115" s="28" t="n">
        <f aca="false">$B$13*((1+$B$8)/(1+D115))^4.5</f>
        <v>720.03247345936</v>
      </c>
      <c r="J115" s="28" t="n">
        <f aca="false">H115+I115-$B$14</f>
        <v>6155.9172169665</v>
      </c>
      <c r="K115" s="45" t="n">
        <f aca="false">MAX(0,J115)/$B$15</f>
        <v>22.0405199318528</v>
      </c>
    </row>
    <row r="116" customFormat="false" ht="15" hidden="false" customHeight="false" outlineLevel="0" collapsed="false">
      <c r="A116" s="55" t="n">
        <v>76</v>
      </c>
      <c r="B116" s="22" t="n">
        <f aca="true">NORMINV(RAND(),$B$6,$C$6)</f>
        <v>0.465858203776293</v>
      </c>
      <c r="C116" s="22" t="n">
        <f aca="true">MAX(-0.05,NORMINV(RAND(),$B$7,$C$7))</f>
        <v>0.105514021794013</v>
      </c>
      <c r="D116" s="34" t="n">
        <f aca="true">MAX(0.08,NORMINV(RAND(),$B$8,$C$8))</f>
        <v>0.165736237645116</v>
      </c>
      <c r="E116" s="35" t="n">
        <f aca="true">MEDIAN(0,NORMINV(RAND(),$B$9,$C$9),1)</f>
        <v>0.418656157348098</v>
      </c>
      <c r="F116" s="28" t="n">
        <f aca="false">$B$12*(1+(B116+$B$17)/2)^9</f>
        <v>7989.65027728133</v>
      </c>
      <c r="G116" s="28" t="n">
        <f aca="false">F116*(C116-$B$18+$B$19*E116)</f>
        <v>1260.26942488001</v>
      </c>
      <c r="H116" s="28" t="n">
        <f aca="false">MAX(0,$B$20*G116)/(1+D116)^9</f>
        <v>2219.00748463395</v>
      </c>
      <c r="I116" s="28" t="n">
        <f aca="false">$B$13*((1+$B$8)/(1+D116))^4.5</f>
        <v>554.650700251058</v>
      </c>
      <c r="J116" s="28" t="n">
        <f aca="false">H116+I116-$B$14</f>
        <v>2102.58626707679</v>
      </c>
      <c r="K116" s="45" t="n">
        <f aca="false">MAX(0,J116)/$B$15</f>
        <v>7.52805681015678</v>
      </c>
    </row>
    <row r="117" customFormat="false" ht="15" hidden="false" customHeight="false" outlineLevel="0" collapsed="false">
      <c r="A117" s="55" t="n">
        <v>77</v>
      </c>
      <c r="B117" s="22" t="n">
        <f aca="true">NORMINV(RAND(),$B$6,$C$6)</f>
        <v>0.235152025750829</v>
      </c>
      <c r="C117" s="22" t="n">
        <f aca="true">MAX(-0.05,NORMINV(RAND(),$B$7,$C$7))</f>
        <v>0.147571512953935</v>
      </c>
      <c r="D117" s="34" t="n">
        <f aca="true">MAX(0.08,NORMINV(RAND(),$B$8,$C$8))</f>
        <v>0.157138592092274</v>
      </c>
      <c r="E117" s="35" t="n">
        <f aca="true">MEDIAN(0,NORMINV(RAND(),$B$9,$C$9),1)</f>
        <v>0.449950258943349</v>
      </c>
      <c r="F117" s="28" t="n">
        <f aca="false">$B$12*(1+(B117+$B$17)/2)^9</f>
        <v>3349.75567792612</v>
      </c>
      <c r="G117" s="28" t="n">
        <f aca="false">F117*(C117-$B$18+$B$19*E117)</f>
        <v>698.616956062743</v>
      </c>
      <c r="H117" s="28" t="n">
        <f aca="false">MAX(0,$B$20*G117)/(1+D117)^9</f>
        <v>1314.82744003382</v>
      </c>
      <c r="I117" s="28" t="n">
        <f aca="false">$B$13*((1+$B$8)/(1+D117))^4.5</f>
        <v>573.438305852253</v>
      </c>
      <c r="J117" s="28" t="n">
        <f aca="false">H117+I117-$B$14</f>
        <v>1217.19382807785</v>
      </c>
      <c r="K117" s="45" t="n">
        <f aca="false">MAX(0,J117)/$B$15</f>
        <v>4.35801585419925</v>
      </c>
    </row>
    <row r="118" customFormat="false" ht="15" hidden="false" customHeight="false" outlineLevel="0" collapsed="false">
      <c r="A118" s="55" t="n">
        <v>78</v>
      </c>
      <c r="B118" s="22" t="n">
        <f aca="true">NORMINV(RAND(),$B$6,$C$6)</f>
        <v>0.286883015593929</v>
      </c>
      <c r="C118" s="22" t="n">
        <f aca="true">MAX(-0.05,NORMINV(RAND(),$B$7,$C$7))</f>
        <v>0.180591477954128</v>
      </c>
      <c r="D118" s="34" t="n">
        <f aca="true">MAX(0.08,NORMINV(RAND(),$B$8,$C$8))</f>
        <v>0.128440445256133</v>
      </c>
      <c r="E118" s="35" t="n">
        <f aca="true">MEDIAN(0,NORMINV(RAND(),$B$9,$C$9),1)</f>
        <v>0.600528264113756</v>
      </c>
      <c r="F118" s="28" t="n">
        <f aca="false">$B$12*(1+(B118+$B$17)/2)^9</f>
        <v>4101.0048661397</v>
      </c>
      <c r="G118" s="28" t="n">
        <f aca="false">F118*(C118-$B$18+$B$19*E118)</f>
        <v>1163.61662692194</v>
      </c>
      <c r="H118" s="28" t="n">
        <f aca="false">MAX(0,$B$20*G118)/(1+D118)^9</f>
        <v>2745.36546120455</v>
      </c>
      <c r="I118" s="28" t="n">
        <f aca="false">$B$13*((1+$B$8)/(1+D118))^4.5</f>
        <v>642.047273120854</v>
      </c>
      <c r="J118" s="28" t="n">
        <f aca="false">H118+I118-$B$14</f>
        <v>2716.34081651718</v>
      </c>
      <c r="K118" s="45" t="n">
        <f aca="false">MAX(0,J118)/$B$15</f>
        <v>9.72553102942063</v>
      </c>
    </row>
    <row r="119" customFormat="false" ht="15" hidden="false" customHeight="false" outlineLevel="0" collapsed="false">
      <c r="A119" s="55" t="n">
        <v>79</v>
      </c>
      <c r="B119" s="22" t="n">
        <f aca="true">NORMINV(RAND(),$B$6,$C$6)</f>
        <v>0.258300687962748</v>
      </c>
      <c r="C119" s="22" t="n">
        <f aca="true">MAX(-0.05,NORMINV(RAND(),$B$7,$C$7))</f>
        <v>0.191678871100934</v>
      </c>
      <c r="D119" s="34" t="n">
        <f aca="true">MAX(0.08,NORMINV(RAND(),$B$8,$C$8))</f>
        <v>0.107106609065156</v>
      </c>
      <c r="E119" s="35" t="n">
        <f aca="true">MEDIAN(0,NORMINV(RAND(),$B$9,$C$9),1)</f>
        <v>0.214429945686308</v>
      </c>
      <c r="F119" s="28" t="n">
        <f aca="false">$B$12*(1+(B119+$B$17)/2)^9</f>
        <v>3669.28091179456</v>
      </c>
      <c r="G119" s="28" t="n">
        <f aca="false">F119*(C119-$B$18+$B$19*E119)</f>
        <v>685.125401513039</v>
      </c>
      <c r="H119" s="28" t="n">
        <f aca="false">MAX(0,$B$20*G119)/(1+D119)^9</f>
        <v>1919.389520313</v>
      </c>
      <c r="I119" s="28" t="n">
        <f aca="false">$B$13*((1+$B$8)/(1+D119))^4.5</f>
        <v>699.629973057451</v>
      </c>
      <c r="J119" s="28" t="n">
        <f aca="false">H119+I119-$B$14</f>
        <v>1947.94757556223</v>
      </c>
      <c r="K119" s="45" t="n">
        <f aca="false">MAX(0,J119)/$B$15</f>
        <v>6.97439160602303</v>
      </c>
    </row>
    <row r="120" customFormat="false" ht="15" hidden="false" customHeight="false" outlineLevel="0" collapsed="false">
      <c r="A120" s="55" t="n">
        <v>80</v>
      </c>
      <c r="B120" s="22" t="n">
        <f aca="true">NORMINV(RAND(),$B$6,$C$6)</f>
        <v>0.635210680271512</v>
      </c>
      <c r="C120" s="22" t="n">
        <f aca="true">MAX(-0.05,NORMINV(RAND(),$B$7,$C$7))</f>
        <v>0.191322453311469</v>
      </c>
      <c r="D120" s="34" t="n">
        <f aca="true">MAX(0.08,NORMINV(RAND(),$B$8,$C$8))</f>
        <v>0.139285765992976</v>
      </c>
      <c r="E120" s="35" t="n">
        <f aca="true">MEDIAN(0,NORMINV(RAND(),$B$9,$C$9),1)</f>
        <v>0.204522784433881</v>
      </c>
      <c r="F120" s="28" t="n">
        <f aca="false">$B$12*(1+(B120+$B$17)/2)^9</f>
        <v>14392.6659119671</v>
      </c>
      <c r="G120" s="28" t="n">
        <f aca="false">F120*(C120-$B$18+$B$19*E120)</f>
        <v>2642.33273785983</v>
      </c>
      <c r="H120" s="28" t="n">
        <f aca="false">MAX(0,$B$20*G120)/(1+D120)^9</f>
        <v>5719.94038921636</v>
      </c>
      <c r="I120" s="28" t="n">
        <f aca="false">$B$13*((1+$B$8)/(1+D120))^4.5</f>
        <v>614.998251026208</v>
      </c>
      <c r="J120" s="28" t="n">
        <f aca="false">H120+I120-$B$14</f>
        <v>5663.86672243435</v>
      </c>
      <c r="K120" s="45" t="n">
        <f aca="false">MAX(0,J120)/$B$15</f>
        <v>20.2787924183113</v>
      </c>
    </row>
    <row r="121" customFormat="false" ht="15" hidden="false" customHeight="false" outlineLevel="0" collapsed="false">
      <c r="A121" s="55" t="n">
        <v>81</v>
      </c>
      <c r="B121" s="22" t="n">
        <f aca="true">NORMINV(RAND(),$B$6,$C$6)</f>
        <v>0.431508567768464</v>
      </c>
      <c r="C121" s="22" t="n">
        <f aca="true">MAX(-0.05,NORMINV(RAND(),$B$7,$C$7))</f>
        <v>0.151252907670627</v>
      </c>
      <c r="D121" s="34" t="n">
        <f aca="true">MAX(0.08,NORMINV(RAND(),$B$8,$C$8))</f>
        <v>0.101764153722391</v>
      </c>
      <c r="E121" s="35" t="n">
        <f aca="true">MEDIAN(0,NORMINV(RAND(),$B$9,$C$9),1)</f>
        <v>0.501866095179671</v>
      </c>
      <c r="F121" s="28" t="n">
        <f aca="false">$B$12*(1+(B121+$B$17)/2)^9</f>
        <v>7056.32249407133</v>
      </c>
      <c r="G121" s="28" t="n">
        <f aca="false">F121*(C121-$B$18+$B$19*E121)</f>
        <v>1600.20045717516</v>
      </c>
      <c r="H121" s="28" t="n">
        <f aca="false">MAX(0,$B$20*G121)/(1+D121)^9</f>
        <v>4682.46656562404</v>
      </c>
      <c r="I121" s="28" t="n">
        <f aca="false">$B$13*((1+$B$8)/(1+D121))^4.5</f>
        <v>715.026321904014</v>
      </c>
      <c r="J121" s="28" t="n">
        <f aca="false">H121+I121-$B$14</f>
        <v>4726.42096971983</v>
      </c>
      <c r="K121" s="45" t="n">
        <f aca="false">MAX(0,J121)/$B$15</f>
        <v>16.9223808439665</v>
      </c>
    </row>
    <row r="122" customFormat="false" ht="15" hidden="false" customHeight="false" outlineLevel="0" collapsed="false">
      <c r="A122" s="55" t="n">
        <v>82</v>
      </c>
      <c r="B122" s="22" t="n">
        <f aca="true">NORMINV(RAND(),$B$6,$C$6)</f>
        <v>0.495813269191928</v>
      </c>
      <c r="C122" s="22" t="n">
        <f aca="true">MAX(-0.05,NORMINV(RAND(),$B$7,$C$7))</f>
        <v>0.13952549320144</v>
      </c>
      <c r="D122" s="34" t="n">
        <f aca="true">MAX(0.08,NORMINV(RAND(),$B$8,$C$8))</f>
        <v>0.135914402311547</v>
      </c>
      <c r="E122" s="35" t="n">
        <f aca="true">MEDIAN(0,NORMINV(RAND(),$B$9,$C$9),1)</f>
        <v>0.25146929369135</v>
      </c>
      <c r="F122" s="28" t="n">
        <f aca="false">$B$12*(1+(B122+$B$17)/2)^9</f>
        <v>8891.4945895722</v>
      </c>
      <c r="G122" s="28" t="n">
        <f aca="false">F122*(C122-$B$18+$B$19*E122)</f>
        <v>1288.70562158985</v>
      </c>
      <c r="H122" s="28" t="n">
        <f aca="false">MAX(0,$B$20*G122)/(1+D122)^9</f>
        <v>2865.11005527196</v>
      </c>
      <c r="I122" s="28" t="n">
        <f aca="false">$B$13*((1+$B$8)/(1+D122))^4.5</f>
        <v>623.25486188322</v>
      </c>
      <c r="J122" s="28" t="n">
        <f aca="false">H122+I122-$B$14</f>
        <v>2817.29299934696</v>
      </c>
      <c r="K122" s="45" t="n">
        <f aca="false">MAX(0,J122)/$B$15</f>
        <v>10.0869781573468</v>
      </c>
    </row>
    <row r="123" customFormat="false" ht="15" hidden="false" customHeight="false" outlineLevel="0" collapsed="false">
      <c r="A123" s="55" t="n">
        <v>83</v>
      </c>
      <c r="B123" s="22" t="n">
        <f aca="true">NORMINV(RAND(),$B$6,$C$6)</f>
        <v>0.377264766139097</v>
      </c>
      <c r="C123" s="22" t="n">
        <f aca="true">MAX(-0.05,NORMINV(RAND(),$B$7,$C$7))</f>
        <v>0.173005174045073</v>
      </c>
      <c r="D123" s="34" t="n">
        <f aca="true">MAX(0.08,NORMINV(RAND(),$B$8,$C$8))</f>
        <v>0.145605870796289</v>
      </c>
      <c r="E123" s="35" t="n">
        <f aca="true">MEDIAN(0,NORMINV(RAND(),$B$9,$C$9),1)</f>
        <v>0.407661424641167</v>
      </c>
      <c r="F123" s="28" t="n">
        <f aca="false">$B$12*(1+(B123+$B$17)/2)^9</f>
        <v>5778.79561730647</v>
      </c>
      <c r="G123" s="28" t="n">
        <f aca="false">F123*(C123-$B$18+$B$19*E123)</f>
        <v>1283.76160155525</v>
      </c>
      <c r="H123" s="28" t="n">
        <f aca="false">MAX(0,$B$20*G123)/(1+D123)^9</f>
        <v>2644.02371624703</v>
      </c>
      <c r="I123" s="28" t="n">
        <f aca="false">$B$13*((1+$B$8)/(1+D123))^4.5</f>
        <v>599.877212286564</v>
      </c>
      <c r="J123" s="28" t="n">
        <f aca="false">H123+I123-$B$14</f>
        <v>2572.82901072538</v>
      </c>
      <c r="K123" s="45" t="n">
        <f aca="false">MAX(0,J123)/$B$15</f>
        <v>9.21170429905255</v>
      </c>
    </row>
    <row r="124" customFormat="false" ht="15" hidden="false" customHeight="false" outlineLevel="0" collapsed="false">
      <c r="A124" s="55" t="n">
        <v>84</v>
      </c>
      <c r="B124" s="22" t="n">
        <f aca="true">NORMINV(RAND(),$B$6,$C$6)</f>
        <v>0.180728414679759</v>
      </c>
      <c r="C124" s="22" t="n">
        <f aca="true">MAX(-0.05,NORMINV(RAND(),$B$7,$C$7))</f>
        <v>0.108493082352428</v>
      </c>
      <c r="D124" s="34" t="n">
        <f aca="true">MAX(0.08,NORMINV(RAND(),$B$8,$C$8))</f>
        <v>0.163187310038233</v>
      </c>
      <c r="E124" s="35" t="n">
        <f aca="true">MEDIAN(0,NORMINV(RAND(),$B$9,$C$9),1)</f>
        <v>0.609944320015747</v>
      </c>
      <c r="F124" s="28" t="n">
        <f aca="false">$B$12*(1+(B124+$B$17)/2)^9</f>
        <v>2693.88085300678</v>
      </c>
      <c r="G124" s="28" t="n">
        <f aca="false">F124*(C124-$B$18+$B$19*E124)</f>
        <v>577.238032812838</v>
      </c>
      <c r="H124" s="28" t="n">
        <f aca="false">MAX(0,$B$20*G124)/(1+D124)^9</f>
        <v>1036.58776409454</v>
      </c>
      <c r="I124" s="28" t="n">
        <f aca="false">$B$13*((1+$B$8)/(1+D124))^4.5</f>
        <v>560.141115809015</v>
      </c>
      <c r="J124" s="28" t="n">
        <f aca="false">H124+I124-$B$14</f>
        <v>925.656962095331</v>
      </c>
      <c r="K124" s="45" t="n">
        <f aca="false">MAX(0,J124)/$B$15</f>
        <v>3.31420322984365</v>
      </c>
    </row>
    <row r="125" customFormat="false" ht="15" hidden="false" customHeight="false" outlineLevel="0" collapsed="false">
      <c r="A125" s="55" t="n">
        <v>85</v>
      </c>
      <c r="B125" s="22" t="n">
        <f aca="true">NORMINV(RAND(),$B$6,$C$6)</f>
        <v>0.529853430751498</v>
      </c>
      <c r="C125" s="22" t="n">
        <f aca="true">MAX(-0.05,NORMINV(RAND(),$B$7,$C$7))</f>
        <v>0.187022029979741</v>
      </c>
      <c r="D125" s="34" t="n">
        <f aca="true">MAX(0.08,NORMINV(RAND(),$B$8,$C$8))</f>
        <v>0.146837802649658</v>
      </c>
      <c r="E125" s="35" t="n">
        <f aca="true">MEDIAN(0,NORMINV(RAND(),$B$9,$C$9),1)</f>
        <v>0.461663456805481</v>
      </c>
      <c r="F125" s="28" t="n">
        <f aca="false">$B$12*(1+(B125+$B$17)/2)^9</f>
        <v>10025.234226241</v>
      </c>
      <c r="G125" s="28" t="n">
        <f aca="false">F125*(C125-$B$18+$B$19*E125)</f>
        <v>2519.2190319962</v>
      </c>
      <c r="H125" s="28" t="n">
        <f aca="false">MAX(0,$B$20*G125)/(1+D125)^9</f>
        <v>5138.61368453582</v>
      </c>
      <c r="I125" s="28" t="n">
        <f aca="false">$B$13*((1+$B$8)/(1+D125))^4.5</f>
        <v>596.982915122663</v>
      </c>
      <c r="J125" s="28" t="n">
        <f aca="false">H125+I125-$B$14</f>
        <v>5064.52468185026</v>
      </c>
      <c r="K125" s="45" t="n">
        <f aca="false">MAX(0,J125)/$B$15</f>
        <v>18.1329204505917</v>
      </c>
    </row>
    <row r="126" customFormat="false" ht="15" hidden="false" customHeight="false" outlineLevel="0" collapsed="false">
      <c r="A126" s="55" t="n">
        <v>86</v>
      </c>
      <c r="B126" s="22" t="n">
        <f aca="true">NORMINV(RAND(),$B$6,$C$6)</f>
        <v>0.515702244586709</v>
      </c>
      <c r="C126" s="22" t="n">
        <f aca="true">MAX(-0.05,NORMINV(RAND(),$B$7,$C$7))</f>
        <v>0.134837175479437</v>
      </c>
      <c r="D126" s="34" t="n">
        <f aca="true">MAX(0.08,NORMINV(RAND(),$B$8,$C$8))</f>
        <v>0.139375658462908</v>
      </c>
      <c r="E126" s="35" t="n">
        <f aca="true">MEDIAN(0,NORMINV(RAND(),$B$9,$C$9),1)</f>
        <v>0.231824061174396</v>
      </c>
      <c r="F126" s="28" t="n">
        <f aca="false">$B$12*(1+(B126+$B$17)/2)^9</f>
        <v>9539.19282308847</v>
      </c>
      <c r="G126" s="28" t="n">
        <f aca="false">F126*(C126-$B$18+$B$19*E126)</f>
        <v>1285.38632087894</v>
      </c>
      <c r="H126" s="28" t="n">
        <f aca="false">MAX(0,$B$20*G126)/(1+D126)^9</f>
        <v>2780.54085722291</v>
      </c>
      <c r="I126" s="28" t="n">
        <f aca="false">$B$13*((1+$B$8)/(1+D126))^4.5</f>
        <v>614.779936412193</v>
      </c>
      <c r="J126" s="28" t="n">
        <f aca="false">H126+I126-$B$14</f>
        <v>2724.24887582688</v>
      </c>
      <c r="K126" s="45" t="n">
        <f aca="false">MAX(0,J126)/$B$15</f>
        <v>9.75384488301784</v>
      </c>
    </row>
    <row r="127" customFormat="false" ht="15" hidden="false" customHeight="false" outlineLevel="0" collapsed="false">
      <c r="A127" s="55" t="n">
        <v>87</v>
      </c>
      <c r="B127" s="22" t="n">
        <f aca="true">NORMINV(RAND(),$B$6,$C$6)</f>
        <v>0.458766811417445</v>
      </c>
      <c r="C127" s="22" t="n">
        <f aca="true">MAX(-0.05,NORMINV(RAND(),$B$7,$C$7))</f>
        <v>0.0930023673253493</v>
      </c>
      <c r="D127" s="34" t="n">
        <f aca="true">MAX(0.08,NORMINV(RAND(),$B$8,$C$8))</f>
        <v>0.146793815200108</v>
      </c>
      <c r="E127" s="35" t="n">
        <f aca="true">MEDIAN(0,NORMINV(RAND(),$B$9,$C$9),1)</f>
        <v>0.442927486173809</v>
      </c>
      <c r="F127" s="28" t="n">
        <f aca="false">$B$12*(1+(B127+$B$17)/2)^9</f>
        <v>7788.44754472615</v>
      </c>
      <c r="G127" s="28" t="n">
        <f aca="false">F127*(C127-$B$18+$B$19*E127)</f>
        <v>1184.01586685263</v>
      </c>
      <c r="H127" s="28" t="n">
        <f aca="false">MAX(0,$B$20*G127)/(1+D127)^9</f>
        <v>2415.94745050221</v>
      </c>
      <c r="I127" s="28" t="n">
        <f aca="false">$B$13*((1+$B$8)/(1+D127))^4.5</f>
        <v>597.085964888101</v>
      </c>
      <c r="J127" s="28" t="n">
        <f aca="false">H127+I127-$B$14</f>
        <v>2341.96149758209</v>
      </c>
      <c r="K127" s="45" t="n">
        <f aca="false">MAX(0,J127)/$B$15</f>
        <v>8.38511098310808</v>
      </c>
    </row>
    <row r="128" customFormat="false" ht="15" hidden="false" customHeight="false" outlineLevel="0" collapsed="false">
      <c r="A128" s="55" t="n">
        <v>88</v>
      </c>
      <c r="B128" s="22" t="n">
        <f aca="true">NORMINV(RAND(),$B$6,$C$6)</f>
        <v>0.473215302141958</v>
      </c>
      <c r="C128" s="22" t="n">
        <f aca="true">MAX(-0.05,NORMINV(RAND(),$B$7,$C$7))</f>
        <v>0.132387593491906</v>
      </c>
      <c r="D128" s="34" t="n">
        <f aca="true">MAX(0.08,NORMINV(RAND(),$B$8,$C$8))</f>
        <v>0.164585507437339</v>
      </c>
      <c r="E128" s="35" t="n">
        <f aca="true">MEDIAN(0,NORMINV(RAND(),$B$9,$C$9),1)</f>
        <v>0.357667758398506</v>
      </c>
      <c r="F128" s="28" t="n">
        <f aca="false">$B$12*(1+(B128+$B$17)/2)^9</f>
        <v>8203.26225605454</v>
      </c>
      <c r="G128" s="28" t="n">
        <f aca="false">F128*(C128-$B$18+$B$19*E128)</f>
        <v>1374.32998056837</v>
      </c>
      <c r="H128" s="28" t="n">
        <f aca="false">MAX(0,$B$20*G128)/(1+D128)^9</f>
        <v>2441.44322383856</v>
      </c>
      <c r="I128" s="28" t="n">
        <f aca="false">$B$13*((1+$B$8)/(1+D128))^4.5</f>
        <v>557.121201935309</v>
      </c>
      <c r="J128" s="28" t="n">
        <f aca="false">H128+I128-$B$14</f>
        <v>2327.49250796565</v>
      </c>
      <c r="K128" s="45" t="n">
        <f aca="false">MAX(0,J128)/$B$15</f>
        <v>8.333306509007</v>
      </c>
    </row>
    <row r="129" customFormat="false" ht="15" hidden="false" customHeight="false" outlineLevel="0" collapsed="false">
      <c r="A129" s="55" t="n">
        <v>89</v>
      </c>
      <c r="B129" s="22" t="n">
        <f aca="true">NORMINV(RAND(),$B$6,$C$6)</f>
        <v>0.473804764286927</v>
      </c>
      <c r="C129" s="22" t="n">
        <f aca="true">MAX(-0.05,NORMINV(RAND(),$B$7,$C$7))</f>
        <v>0.0792469358995701</v>
      </c>
      <c r="D129" s="34" t="n">
        <f aca="true">MAX(0.08,NORMINV(RAND(),$B$8,$C$8))</f>
        <v>0.118329820191595</v>
      </c>
      <c r="E129" s="35" t="n">
        <f aca="true">MEDIAN(0,NORMINV(RAND(),$B$9,$C$9),1)</f>
        <v>0</v>
      </c>
      <c r="F129" s="28" t="n">
        <f aca="false">$B$12*(1+(B129+$B$17)/2)^9</f>
        <v>8220.59481989699</v>
      </c>
      <c r="G129" s="28" t="n">
        <f aca="false">F129*(C129-$B$18+$B$19*E129)</f>
        <v>117.11828745541</v>
      </c>
      <c r="H129" s="28" t="n">
        <f aca="false">MAX(0,$B$20*G129)/(1+D129)^9</f>
        <v>299.635733116576</v>
      </c>
      <c r="I129" s="28" t="n">
        <f aca="false">$B$13*((1+$B$8)/(1+D129))^4.5</f>
        <v>668.584536077645</v>
      </c>
      <c r="J129" s="28" t="n">
        <f aca="false">H129+I129-$B$14</f>
        <v>297.148351386002</v>
      </c>
      <c r="K129" s="45" t="n">
        <f aca="false">MAX(0,J129)/$B$15</f>
        <v>1.06390387177229</v>
      </c>
    </row>
    <row r="130" customFormat="false" ht="15" hidden="false" customHeight="false" outlineLevel="0" collapsed="false">
      <c r="A130" s="55" t="n">
        <v>90</v>
      </c>
      <c r="B130" s="22" t="n">
        <f aca="true">NORMINV(RAND(),$B$6,$C$6)</f>
        <v>0.391448979144229</v>
      </c>
      <c r="C130" s="22" t="n">
        <f aca="true">MAX(-0.05,NORMINV(RAND(),$B$7,$C$7))</f>
        <v>0.140232382193579</v>
      </c>
      <c r="D130" s="34" t="n">
        <f aca="true">MAX(0.08,NORMINV(RAND(),$B$8,$C$8))</f>
        <v>0.110854476997777</v>
      </c>
      <c r="E130" s="35" t="n">
        <f aca="true">MEDIAN(0,NORMINV(RAND(),$B$9,$C$9),1)</f>
        <v>0</v>
      </c>
      <c r="F130" s="28" t="n">
        <f aca="false">$B$12*(1+(B130+$B$17)/2)^9</f>
        <v>6091.2410469023</v>
      </c>
      <c r="G130" s="28" t="n">
        <f aca="false">F130*(C130-$B$18+$B$19*E130)</f>
        <v>458.25857447377</v>
      </c>
      <c r="H130" s="28" t="n">
        <f aca="false">MAX(0,$B$20*G130)/(1+D130)^9</f>
        <v>1245.35770693998</v>
      </c>
      <c r="I130" s="28" t="n">
        <f aca="false">$B$13*((1+$B$8)/(1+D130))^4.5</f>
        <v>689.07046982717</v>
      </c>
      <c r="J130" s="28" t="n">
        <f aca="false">H130+I130-$B$14</f>
        <v>1263.35625895893</v>
      </c>
      <c r="K130" s="45" t="n">
        <f aca="false">MAX(0,J130)/$B$15</f>
        <v>4.52329487632986</v>
      </c>
    </row>
    <row r="131" customFormat="false" ht="15" hidden="false" customHeight="false" outlineLevel="0" collapsed="false">
      <c r="A131" s="55" t="n">
        <v>91</v>
      </c>
      <c r="B131" s="22" t="n">
        <f aca="true">NORMINV(RAND(),$B$6,$C$6)</f>
        <v>0.568786494708003</v>
      </c>
      <c r="C131" s="22" t="n">
        <f aca="true">MAX(-0.05,NORMINV(RAND(),$B$7,$C$7))</f>
        <v>0.206692813555548</v>
      </c>
      <c r="D131" s="34" t="n">
        <f aca="true">MAX(0.08,NORMINV(RAND(),$B$8,$C$8))</f>
        <v>0.143305750806597</v>
      </c>
      <c r="E131" s="35" t="n">
        <f aca="true">MEDIAN(0,NORMINV(RAND(),$B$9,$C$9),1)</f>
        <v>0.226198828837811</v>
      </c>
      <c r="F131" s="28" t="n">
        <f aca="false">$B$12*(1+(B131+$B$17)/2)^9</f>
        <v>11477.998821969</v>
      </c>
      <c r="G131" s="28" t="n">
        <f aca="false">F131*(C131-$B$18+$B$19*E131)</f>
        <v>2353.31671653278</v>
      </c>
      <c r="H131" s="28" t="n">
        <f aca="false">MAX(0,$B$20*G131)/(1+D131)^9</f>
        <v>4935.33830574924</v>
      </c>
      <c r="I131" s="28" t="n">
        <f aca="false">$B$13*((1+$B$8)/(1+D131))^4.5</f>
        <v>605.327154083618</v>
      </c>
      <c r="J131" s="28" t="n">
        <f aca="false">H131+I131-$B$14</f>
        <v>4869.59354202464</v>
      </c>
      <c r="K131" s="45" t="n">
        <f aca="false">MAX(0,J131)/$B$15</f>
        <v>17.4349929897051</v>
      </c>
    </row>
    <row r="132" customFormat="false" ht="15" hidden="false" customHeight="false" outlineLevel="0" collapsed="false">
      <c r="A132" s="55" t="n">
        <v>92</v>
      </c>
      <c r="B132" s="22" t="n">
        <f aca="true">NORMINV(RAND(),$B$6,$C$6)</f>
        <v>0.458176192090646</v>
      </c>
      <c r="C132" s="22" t="n">
        <f aca="true">MAX(-0.05,NORMINV(RAND(),$B$7,$C$7))</f>
        <v>0.165346279989058</v>
      </c>
      <c r="D132" s="34" t="n">
        <f aca="true">MAX(0.08,NORMINV(RAND(),$B$8,$C$8))</f>
        <v>0.117395306047481</v>
      </c>
      <c r="E132" s="35" t="n">
        <f aca="true">MEDIAN(0,NORMINV(RAND(),$B$9,$C$9),1)</f>
        <v>0.242125466491178</v>
      </c>
      <c r="F132" s="28" t="n">
        <f aca="false">$B$12*(1+(B132+$B$17)/2)^9</f>
        <v>7771.89500040512</v>
      </c>
      <c r="G132" s="28" t="n">
        <f aca="false">F132*(C132-$B$18+$B$19*E132)</f>
        <v>1306.7773884544</v>
      </c>
      <c r="H132" s="28" t="n">
        <f aca="false">MAX(0,$B$20*G132)/(1+D132)^9</f>
        <v>3368.51175596417</v>
      </c>
      <c r="I132" s="28" t="n">
        <f aca="false">$B$13*((1+$B$8)/(1+D132))^4.5</f>
        <v>671.104437089377</v>
      </c>
      <c r="J132" s="28" t="n">
        <f aca="false">H132+I132-$B$14</f>
        <v>3368.54427524533</v>
      </c>
      <c r="K132" s="45" t="n">
        <f aca="false">MAX(0,J132)/$B$15</f>
        <v>12.0606669360735</v>
      </c>
    </row>
    <row r="133" customFormat="false" ht="15" hidden="false" customHeight="false" outlineLevel="0" collapsed="false">
      <c r="A133" s="55" t="n">
        <v>93</v>
      </c>
      <c r="B133" s="22" t="n">
        <f aca="true">NORMINV(RAND(),$B$6,$C$6)</f>
        <v>-0.00776740670248977</v>
      </c>
      <c r="C133" s="22" t="n">
        <f aca="true">MAX(-0.05,NORMINV(RAND(),$B$7,$C$7))</f>
        <v>0.134926571734239</v>
      </c>
      <c r="D133" s="34" t="n">
        <f aca="true">MAX(0.08,NORMINV(RAND(),$B$8,$C$8))</f>
        <v>0.129573024507907</v>
      </c>
      <c r="E133" s="35" t="n">
        <f aca="true">MEDIAN(0,NORMINV(RAND(),$B$9,$C$9),1)</f>
        <v>0.304946787833969</v>
      </c>
      <c r="F133" s="28" t="n">
        <f aca="false">$B$12*(1+(B133+$B$17)/2)^9</f>
        <v>1212.49525991024</v>
      </c>
      <c r="G133" s="28" t="n">
        <f aca="false">F133*(C133-$B$18+$B$19*E133)</f>
        <v>188.314666506129</v>
      </c>
      <c r="H133" s="28" t="n">
        <f aca="false">MAX(0,$B$20*G133)/(1+D133)^9</f>
        <v>440.304753438182</v>
      </c>
      <c r="I133" s="28" t="n">
        <f aca="false">$B$13*((1+$B$8)/(1+D133))^4.5</f>
        <v>639.155449913153</v>
      </c>
      <c r="J133" s="28" t="n">
        <f aca="false">H133+I133-$B$14</f>
        <v>408.388285543116</v>
      </c>
      <c r="K133" s="45" t="n">
        <f aca="false">MAX(0,J133)/$B$15</f>
        <v>1.46218505386006</v>
      </c>
    </row>
    <row r="134" customFormat="false" ht="15" hidden="false" customHeight="false" outlineLevel="0" collapsed="false">
      <c r="A134" s="55" t="n">
        <v>94</v>
      </c>
      <c r="B134" s="22" t="n">
        <f aca="true">NORMINV(RAND(),$B$6,$C$6)</f>
        <v>0.374458657442936</v>
      </c>
      <c r="C134" s="22" t="n">
        <f aca="true">MAX(-0.05,NORMINV(RAND(),$B$7,$C$7))</f>
        <v>0.157540689249416</v>
      </c>
      <c r="D134" s="34" t="n">
        <f aca="true">MAX(0.08,NORMINV(RAND(),$B$8,$C$8))</f>
        <v>0.181386719757995</v>
      </c>
      <c r="E134" s="35" t="n">
        <f aca="true">MEDIAN(0,NORMINV(RAND(),$B$9,$C$9),1)</f>
        <v>0.124182793453395</v>
      </c>
      <c r="F134" s="28" t="n">
        <f aca="false">$B$12*(1+(B134+$B$17)/2)^9</f>
        <v>5718.69979648814</v>
      </c>
      <c r="G134" s="28" t="n">
        <f aca="false">F134*(C134-$B$18+$B$19*E134)</f>
        <v>728.058373159301</v>
      </c>
      <c r="H134" s="28" t="n">
        <f aca="false">MAX(0,$B$20*G134)/(1+D134)^9</f>
        <v>1136.93459106399</v>
      </c>
      <c r="I134" s="28" t="n">
        <f aca="false">$B$13*((1+$B$8)/(1+D134))^4.5</f>
        <v>522.343893197102</v>
      </c>
      <c r="J134" s="28" t="n">
        <f aca="false">H134+I134-$B$14</f>
        <v>988.206566452876</v>
      </c>
      <c r="K134" s="45" t="n">
        <f aca="false">MAX(0,J134)/$B$15</f>
        <v>3.53815455228384</v>
      </c>
    </row>
    <row r="135" customFormat="false" ht="15" hidden="false" customHeight="false" outlineLevel="0" collapsed="false">
      <c r="A135" s="55" t="n">
        <v>95</v>
      </c>
      <c r="B135" s="22" t="n">
        <f aca="true">NORMINV(RAND(),$B$6,$C$6)</f>
        <v>0.244407659265663</v>
      </c>
      <c r="C135" s="22" t="n">
        <f aca="true">MAX(-0.05,NORMINV(RAND(),$B$7,$C$7))</f>
        <v>0.162063197070781</v>
      </c>
      <c r="D135" s="34" t="n">
        <f aca="true">MAX(0.08,NORMINV(RAND(),$B$8,$C$8))</f>
        <v>0.127342540662743</v>
      </c>
      <c r="E135" s="35" t="n">
        <f aca="true">MEDIAN(0,NORMINV(RAND(),$B$9,$C$9),1)</f>
        <v>0.215803298671939</v>
      </c>
      <c r="F135" s="28" t="n">
        <f aca="false">$B$12*(1+(B135+$B$17)/2)^9</f>
        <v>3474.41592261262</v>
      </c>
      <c r="G135" s="28" t="n">
        <f aca="false">F135*(C135-$B$18+$B$19*E135)</f>
        <v>547.179234178679</v>
      </c>
      <c r="H135" s="28" t="n">
        <f aca="false">MAX(0,$B$20*G135)/(1+D135)^9</f>
        <v>1302.34062234328</v>
      </c>
      <c r="I135" s="28" t="n">
        <f aca="false">$B$13*((1+$B$8)/(1+D135))^4.5</f>
        <v>644.865840136357</v>
      </c>
      <c r="J135" s="28" t="n">
        <f aca="false">H135+I135-$B$14</f>
        <v>1276.13454467142</v>
      </c>
      <c r="K135" s="45" t="n">
        <f aca="false">MAX(0,J135)/$B$15</f>
        <v>4.56904598879849</v>
      </c>
    </row>
    <row r="136" customFormat="false" ht="15" hidden="false" customHeight="false" outlineLevel="0" collapsed="false">
      <c r="A136" s="55" t="n">
        <v>96</v>
      </c>
      <c r="B136" s="22" t="n">
        <f aca="true">NORMINV(RAND(),$B$6,$C$6)</f>
        <v>0.397949445156653</v>
      </c>
      <c r="C136" s="22" t="n">
        <f aca="true">MAX(-0.05,NORMINV(RAND(),$B$7,$C$7))</f>
        <v>0.0902170595835043</v>
      </c>
      <c r="D136" s="34" t="n">
        <f aca="true">MAX(0.08,NORMINV(RAND(),$B$8,$C$8))</f>
        <v>0.127135730297361</v>
      </c>
      <c r="E136" s="35" t="n">
        <f aca="true">MEDIAN(0,NORMINV(RAND(),$B$9,$C$9),1)</f>
        <v>0.645509166251724</v>
      </c>
      <c r="F136" s="28" t="n">
        <f aca="false">$B$12*(1+(B136+$B$17)/2)^9</f>
        <v>6239.38232417788</v>
      </c>
      <c r="G136" s="28" t="n">
        <f aca="false">F136*(C136-$B$18+$B$19*E136)</f>
        <v>1285.06085079468</v>
      </c>
      <c r="H136" s="28" t="n">
        <f aca="false">MAX(0,$B$20*G136)/(1+D136)^9</f>
        <v>3063.6262253266</v>
      </c>
      <c r="I136" s="28" t="n">
        <f aca="false">$B$13*((1+$B$8)/(1+D136))^4.5</f>
        <v>645.398460074095</v>
      </c>
      <c r="J136" s="28" t="n">
        <f aca="false">H136+I136-$B$14</f>
        <v>3037.95276759247</v>
      </c>
      <c r="K136" s="45" t="n">
        <f aca="false">MAX(0,J136)/$B$15</f>
        <v>10.8770238725115</v>
      </c>
    </row>
    <row r="137" customFormat="false" ht="15" hidden="false" customHeight="false" outlineLevel="0" collapsed="false">
      <c r="A137" s="55" t="n">
        <v>97</v>
      </c>
      <c r="B137" s="22" t="n">
        <f aca="true">NORMINV(RAND(),$B$6,$C$6)</f>
        <v>0.313639282198758</v>
      </c>
      <c r="C137" s="22" t="n">
        <f aca="true">MAX(-0.05,NORMINV(RAND(),$B$7,$C$7))</f>
        <v>0.119331956045532</v>
      </c>
      <c r="D137" s="34" t="n">
        <f aca="true">MAX(0.08,NORMINV(RAND(),$B$8,$C$8))</f>
        <v>0.13229768829911</v>
      </c>
      <c r="E137" s="35" t="n">
        <f aca="true">MEDIAN(0,NORMINV(RAND(),$B$9,$C$9),1)</f>
        <v>0.463789123185871</v>
      </c>
      <c r="F137" s="28" t="n">
        <f aca="false">$B$12*(1+(B137+$B$17)/2)^9</f>
        <v>4545.4666153921</v>
      </c>
      <c r="G137" s="28" t="n">
        <f aca="false">F137*(C137-$B$18+$B$19*E137)</f>
        <v>837.242725640454</v>
      </c>
      <c r="H137" s="28" t="n">
        <f aca="false">MAX(0,$B$20*G137)/(1+D137)^9</f>
        <v>1915.59562704133</v>
      </c>
      <c r="I137" s="28" t="n">
        <f aca="false">$B$13*((1+$B$8)/(1+D137))^4.5</f>
        <v>632.263497149157</v>
      </c>
      <c r="J137" s="28" t="n">
        <f aca="false">H137+I137-$B$14</f>
        <v>1876.78720638227</v>
      </c>
      <c r="K137" s="45" t="n">
        <f aca="false">MAX(0,J137)/$B$15</f>
        <v>6.71961047755914</v>
      </c>
    </row>
    <row r="138" customFormat="false" ht="15" hidden="false" customHeight="false" outlineLevel="0" collapsed="false">
      <c r="A138" s="55" t="n">
        <v>98</v>
      </c>
      <c r="B138" s="22" t="n">
        <f aca="true">NORMINV(RAND(),$B$6,$C$6)</f>
        <v>0.415523171727574</v>
      </c>
      <c r="C138" s="22" t="n">
        <f aca="true">MAX(-0.05,NORMINV(RAND(),$B$7,$C$7))</f>
        <v>0.140655832446898</v>
      </c>
      <c r="D138" s="34" t="n">
        <f aca="true">MAX(0.08,NORMINV(RAND(),$B$8,$C$8))</f>
        <v>0.116996708733781</v>
      </c>
      <c r="E138" s="35" t="n">
        <f aca="true">MEDIAN(0,NORMINV(RAND(),$B$9,$C$9),1)</f>
        <v>0.330882561955201</v>
      </c>
      <c r="F138" s="28" t="n">
        <f aca="false">$B$12*(1+(B138+$B$17)/2)^9</f>
        <v>6656.03609996245</v>
      </c>
      <c r="G138" s="28" t="n">
        <f aca="false">F138*(C138-$B$18+$B$19*E138)</f>
        <v>1120.23050956139</v>
      </c>
      <c r="H138" s="28" t="n">
        <f aca="false">MAX(0,$B$20*G138)/(1+D138)^9</f>
        <v>2896.93262951239</v>
      </c>
      <c r="I138" s="28" t="n">
        <f aca="false">$B$13*((1+$B$8)/(1+D138))^4.5</f>
        <v>672.18277854988</v>
      </c>
      <c r="J138" s="28" t="n">
        <f aca="false">H138+I138-$B$14</f>
        <v>2898.04349025405</v>
      </c>
      <c r="K138" s="45" t="n">
        <f aca="false">MAX(0,J138)/$B$15</f>
        <v>10.376095561239</v>
      </c>
    </row>
    <row r="139" customFormat="false" ht="15" hidden="false" customHeight="false" outlineLevel="0" collapsed="false">
      <c r="A139" s="55" t="n">
        <v>99</v>
      </c>
      <c r="B139" s="22" t="n">
        <f aca="true">NORMINV(RAND(),$B$6,$C$6)</f>
        <v>0.438278736903094</v>
      </c>
      <c r="C139" s="22" t="n">
        <f aca="true">MAX(-0.05,NORMINV(RAND(),$B$7,$C$7))</f>
        <v>0.123029013177964</v>
      </c>
      <c r="D139" s="34" t="n">
        <f aca="true">MAX(0.08,NORMINV(RAND(),$B$8,$C$8))</f>
        <v>0.18643917036703</v>
      </c>
      <c r="E139" s="35" t="n">
        <f aca="true">MEDIAN(0,NORMINV(RAND(),$B$9,$C$9),1)</f>
        <v>0.166385052329746</v>
      </c>
      <c r="F139" s="28" t="n">
        <f aca="false">$B$12*(1+(B139+$B$17)/2)^9</f>
        <v>7232.20444865747</v>
      </c>
      <c r="G139" s="28" t="n">
        <f aca="false">F139*(C139-$B$18+$B$19*E139)</f>
        <v>756.610287638675</v>
      </c>
      <c r="H139" s="28" t="n">
        <f aca="false">MAX(0,$B$20*G139)/(1+D139)^9</f>
        <v>1137.00138434135</v>
      </c>
      <c r="I139" s="28" t="n">
        <f aca="false">$B$13*((1+$B$8)/(1+D139))^4.5</f>
        <v>512.408420282525</v>
      </c>
      <c r="J139" s="28" t="n">
        <f aca="false">H139+I139-$B$14</f>
        <v>978.337886815659</v>
      </c>
      <c r="K139" s="45" t="n">
        <f aca="false">MAX(0,J139)/$B$15</f>
        <v>3.50282093381904</v>
      </c>
    </row>
    <row r="140" customFormat="false" ht="15" hidden="false" customHeight="false" outlineLevel="0" collapsed="false">
      <c r="A140" s="55" t="n">
        <v>100</v>
      </c>
      <c r="B140" s="22" t="n">
        <f aca="true">NORMINV(RAND(),$B$6,$C$6)</f>
        <v>0.640003245506967</v>
      </c>
      <c r="C140" s="22" t="n">
        <f aca="true">MAX(-0.05,NORMINV(RAND(),$B$7,$C$7))</f>
        <v>0.0942557541091709</v>
      </c>
      <c r="D140" s="34" t="n">
        <f aca="true">MAX(0.08,NORMINV(RAND(),$B$8,$C$8))</f>
        <v>0.139674560215029</v>
      </c>
      <c r="E140" s="35" t="n">
        <f aca="true">MEDIAN(0,NORMINV(RAND(),$B$9,$C$9),1)</f>
        <v>0.896942936107888</v>
      </c>
      <c r="F140" s="28" t="n">
        <f aca="false">$B$12*(1+(B140+$B$17)/2)^9</f>
        <v>14626.3923048572</v>
      </c>
      <c r="G140" s="28" t="n">
        <f aca="false">F140*(C140-$B$18+$B$19*E140)</f>
        <v>4101.23712917882</v>
      </c>
      <c r="H140" s="28" t="n">
        <f aca="false">MAX(0,$B$20*G140)/(1+D140)^9</f>
        <v>8850.85516067221</v>
      </c>
      <c r="I140" s="28" t="n">
        <f aca="false">$B$13*((1+$B$8)/(1+D140))^4.5</f>
        <v>614.054698539605</v>
      </c>
      <c r="J140" s="28" t="n">
        <f aca="false">H140+I140-$B$14</f>
        <v>8793.83794140359</v>
      </c>
      <c r="K140" s="45" t="n">
        <f aca="false">MAX(0,J140)/$B$15</f>
        <v>31.4852772696154</v>
      </c>
    </row>
    <row r="141" customFormat="false" ht="15" hidden="false" customHeight="false" outlineLevel="0" collapsed="false">
      <c r="A141" s="55" t="n">
        <v>101</v>
      </c>
      <c r="B141" s="22" t="n">
        <f aca="true">NORMINV(RAND(),$B$6,$C$6)</f>
        <v>0.431646472890906</v>
      </c>
      <c r="C141" s="22" t="n">
        <f aca="true">MAX(-0.05,NORMINV(RAND(),$B$7,$C$7))</f>
        <v>0.160345492700299</v>
      </c>
      <c r="D141" s="34" t="n">
        <f aca="true">MAX(0.08,NORMINV(RAND(),$B$8,$C$8))</f>
        <v>0.146267015612333</v>
      </c>
      <c r="E141" s="35" t="n">
        <f aca="true">MEDIAN(0,NORMINV(RAND(),$B$9,$C$9),1)</f>
        <v>0.261798980725948</v>
      </c>
      <c r="F141" s="28" t="n">
        <f aca="false">$B$12*(1+(B141+$B$17)/2)^9</f>
        <v>7059.86684031566</v>
      </c>
      <c r="G141" s="28" t="n">
        <f aca="false">F141*(C141-$B$18+$B$19*E141)</f>
        <v>1190.64094628795</v>
      </c>
      <c r="H141" s="28" t="n">
        <f aca="false">MAX(0,$B$20*G141)/(1+D141)^9</f>
        <v>2439.53298130935</v>
      </c>
      <c r="I141" s="28" t="n">
        <f aca="false">$B$13*((1+$B$8)/(1+D141))^4.5</f>
        <v>598.321793618429</v>
      </c>
      <c r="J141" s="28" t="n">
        <f aca="false">H141+I141-$B$14</f>
        <v>2366.78285711956</v>
      </c>
      <c r="K141" s="45" t="n">
        <f aca="false">MAX(0,J141)/$B$15</f>
        <v>8.4739808704603</v>
      </c>
    </row>
    <row r="142" customFormat="false" ht="15" hidden="false" customHeight="false" outlineLevel="0" collapsed="false">
      <c r="A142" s="55" t="n">
        <v>102</v>
      </c>
      <c r="B142" s="22" t="n">
        <f aca="true">NORMINV(RAND(),$B$6,$C$6)</f>
        <v>0.368445333220647</v>
      </c>
      <c r="C142" s="22" t="n">
        <f aca="true">MAX(-0.05,NORMINV(RAND(),$B$7,$C$7))</f>
        <v>0.059911934857251</v>
      </c>
      <c r="D142" s="34" t="n">
        <f aca="true">MAX(0.08,NORMINV(RAND(),$B$8,$C$8))</f>
        <v>0.12694756407222</v>
      </c>
      <c r="E142" s="35" t="n">
        <f aca="true">MEDIAN(0,NORMINV(RAND(),$B$9,$C$9),1)</f>
        <v>0.45809777959398</v>
      </c>
      <c r="F142" s="28" t="n">
        <f aca="false">$B$12*(1+(B142+$B$17)/2)^9</f>
        <v>5591.78515239452</v>
      </c>
      <c r="G142" s="28" t="n">
        <f aca="false">F142*(C142-$B$18+$B$19*E142)</f>
        <v>688.792254318343</v>
      </c>
      <c r="H142" s="28" t="n">
        <f aca="false">MAX(0,$B$20*G142)/(1+D142)^9</f>
        <v>1644.57207755977</v>
      </c>
      <c r="I142" s="28" t="n">
        <f aca="false">$B$13*((1+$B$8)/(1+D142))^4.5</f>
        <v>645.88353106248</v>
      </c>
      <c r="J142" s="28" t="n">
        <f aca="false">H142+I142-$B$14</f>
        <v>1619.38369081403</v>
      </c>
      <c r="K142" s="45" t="n">
        <f aca="false">MAX(0,J142)/$B$15</f>
        <v>5.79800820198365</v>
      </c>
    </row>
    <row r="143" customFormat="false" ht="15" hidden="false" customHeight="false" outlineLevel="0" collapsed="false">
      <c r="A143" s="55" t="n">
        <v>103</v>
      </c>
      <c r="B143" s="22" t="n">
        <f aca="true">NORMINV(RAND(),$B$6,$C$6)</f>
        <v>0.497406034084667</v>
      </c>
      <c r="C143" s="22" t="n">
        <f aca="true">MAX(-0.05,NORMINV(RAND(),$B$7,$C$7))</f>
        <v>0.142536965334287</v>
      </c>
      <c r="D143" s="34" t="n">
        <f aca="true">MAX(0.08,NORMINV(RAND(),$B$8,$C$8))</f>
        <v>0.159842909645423</v>
      </c>
      <c r="E143" s="35" t="n">
        <f aca="true">MEDIAN(0,NORMINV(RAND(),$B$9,$C$9),1)</f>
        <v>0</v>
      </c>
      <c r="F143" s="28" t="n">
        <f aca="false">$B$12*(1+(B143+$B$17)/2)^9</f>
        <v>8941.88443733422</v>
      </c>
      <c r="G143" s="28" t="n">
        <f aca="false">F143*(C143-$B$18+$B$19*E143)</f>
        <v>693.326583640784</v>
      </c>
      <c r="H143" s="28" t="n">
        <f aca="false">MAX(0,$B$20*G143)/(1+D143)^9</f>
        <v>1277.74251393815</v>
      </c>
      <c r="I143" s="28" t="n">
        <f aca="false">$B$13*((1+$B$8)/(1+D143))^4.5</f>
        <v>567.446117051551</v>
      </c>
      <c r="J143" s="28" t="n">
        <f aca="false">H143+I143-$B$14</f>
        <v>1174.11671318148</v>
      </c>
      <c r="K143" s="45" t="n">
        <f aca="false">MAX(0,J143)/$B$15</f>
        <v>4.20378343423374</v>
      </c>
    </row>
    <row r="144" customFormat="false" ht="15" hidden="false" customHeight="false" outlineLevel="0" collapsed="false">
      <c r="A144" s="55" t="n">
        <v>104</v>
      </c>
      <c r="B144" s="22" t="n">
        <f aca="true">NORMINV(RAND(),$B$6,$C$6)</f>
        <v>0.285214399734032</v>
      </c>
      <c r="C144" s="22" t="n">
        <f aca="true">MAX(-0.05,NORMINV(RAND(),$B$7,$C$7))</f>
        <v>0.177641789206598</v>
      </c>
      <c r="D144" s="34" t="n">
        <f aca="true">MAX(0.08,NORMINV(RAND(),$B$8,$C$8))</f>
        <v>0.145495020868132</v>
      </c>
      <c r="E144" s="35" t="n">
        <f aca="true">MEDIAN(0,NORMINV(RAND(),$B$9,$C$9),1)</f>
        <v>0</v>
      </c>
      <c r="F144" s="28" t="n">
        <f aca="false">$B$12*(1+(B144+$B$17)/2)^9</f>
        <v>4074.61305629686</v>
      </c>
      <c r="G144" s="28" t="n">
        <f aca="false">F144*(C144-$B$18+$B$19*E144)</f>
        <v>458.971704985844</v>
      </c>
      <c r="H144" s="28" t="n">
        <f aca="false">MAX(0,$B$20*G144)/(1+D144)^9</f>
        <v>946.117554740526</v>
      </c>
      <c r="I144" s="28" t="n">
        <f aca="false">$B$13*((1+$B$8)/(1+D144))^4.5</f>
        <v>600.138482942258</v>
      </c>
      <c r="J144" s="28" t="n">
        <f aca="false">H144+I144-$B$14</f>
        <v>875.184119874566</v>
      </c>
      <c r="K144" s="45" t="n">
        <f aca="false">MAX(0,J144)/$B$15</f>
        <v>3.13349129922866</v>
      </c>
    </row>
    <row r="145" customFormat="false" ht="15" hidden="false" customHeight="false" outlineLevel="0" collapsed="false">
      <c r="A145" s="55" t="n">
        <v>105</v>
      </c>
      <c r="B145" s="22" t="n">
        <f aca="true">NORMINV(RAND(),$B$6,$C$6)</f>
        <v>0.365386039099023</v>
      </c>
      <c r="C145" s="22" t="n">
        <f aca="true">MAX(-0.05,NORMINV(RAND(),$B$7,$C$7))</f>
        <v>0.15226472218773</v>
      </c>
      <c r="D145" s="34" t="n">
        <f aca="true">MAX(0.08,NORMINV(RAND(),$B$8,$C$8))</f>
        <v>0.146544851585218</v>
      </c>
      <c r="E145" s="35" t="n">
        <f aca="true">MEDIAN(0,NORMINV(RAND(),$B$9,$C$9),1)</f>
        <v>0.176026634037944</v>
      </c>
      <c r="F145" s="28" t="n">
        <f aca="false">$B$12*(1+(B145+$B$17)/2)^9</f>
        <v>5528.18301141842</v>
      </c>
      <c r="G145" s="28" t="n">
        <f aca="false">F145*(C145-$B$18+$B$19*E145)</f>
        <v>754.88544009116</v>
      </c>
      <c r="H145" s="28" t="n">
        <f aca="false">MAX(0,$B$20*G145)/(1+D145)^9</f>
        <v>1543.3330346659</v>
      </c>
      <c r="I145" s="28" t="n">
        <f aca="false">$B$13*((1+$B$8)/(1+D145))^4.5</f>
        <v>597.669623958851</v>
      </c>
      <c r="J145" s="28" t="n">
        <f aca="false">H145+I145-$B$14</f>
        <v>1469.93074081653</v>
      </c>
      <c r="K145" s="45" t="n">
        <f aca="false">MAX(0,J145)/$B$15</f>
        <v>5.26290992057476</v>
      </c>
    </row>
    <row r="146" customFormat="false" ht="15" hidden="false" customHeight="false" outlineLevel="0" collapsed="false">
      <c r="A146" s="55" t="n">
        <v>106</v>
      </c>
      <c r="B146" s="22" t="n">
        <f aca="true">NORMINV(RAND(),$B$6,$C$6)</f>
        <v>0.413131411713881</v>
      </c>
      <c r="C146" s="22" t="n">
        <f aca="true">MAX(-0.05,NORMINV(RAND(),$B$7,$C$7))</f>
        <v>0.158209936201251</v>
      </c>
      <c r="D146" s="34" t="n">
        <f aca="true">MAX(0.08,NORMINV(RAND(),$B$8,$C$8))</f>
        <v>0.13525572201485</v>
      </c>
      <c r="E146" s="35" t="n">
        <f aca="true">MEDIAN(0,NORMINV(RAND(),$B$9,$C$9),1)</f>
        <v>0.132489990235236</v>
      </c>
      <c r="F146" s="28" t="n">
        <f aca="false">$B$12*(1+(B146+$B$17)/2)^9</f>
        <v>6597.91414356279</v>
      </c>
      <c r="G146" s="28" t="n">
        <f aca="false">F146*(C146-$B$18+$B$19*E146)</f>
        <v>859.755278909815</v>
      </c>
      <c r="H146" s="28" t="n">
        <f aca="false">MAX(0,$B$20*G146)/(1+D146)^9</f>
        <v>1921.45224504263</v>
      </c>
      <c r="I146" s="28" t="n">
        <f aca="false">$B$13*((1+$B$8)/(1+D146))^4.5</f>
        <v>624.883783231984</v>
      </c>
      <c r="J146" s="28" t="n">
        <f aca="false">H146+I146-$B$14</f>
        <v>1875.2641104664</v>
      </c>
      <c r="K146" s="45" t="n">
        <f aca="false">MAX(0,J146)/$B$15</f>
        <v>6.71415721613462</v>
      </c>
    </row>
    <row r="147" customFormat="false" ht="15" hidden="false" customHeight="false" outlineLevel="0" collapsed="false">
      <c r="A147" s="55" t="n">
        <v>107</v>
      </c>
      <c r="B147" s="22" t="n">
        <f aca="true">NORMINV(RAND(),$B$6,$C$6)</f>
        <v>0.501684816301752</v>
      </c>
      <c r="C147" s="22" t="n">
        <f aca="true">MAX(-0.05,NORMINV(RAND(),$B$7,$C$7))</f>
        <v>0.149628948207636</v>
      </c>
      <c r="D147" s="34" t="n">
        <f aca="true">MAX(0.08,NORMINV(RAND(),$B$8,$C$8))</f>
        <v>0.123905922767037</v>
      </c>
      <c r="E147" s="35" t="n">
        <f aca="true">MEDIAN(0,NORMINV(RAND(),$B$9,$C$9),1)</f>
        <v>0.261075100486686</v>
      </c>
      <c r="F147" s="28" t="n">
        <f aca="false">$B$12*(1+(B147+$B$17)/2)^9</f>
        <v>9078.51026016765</v>
      </c>
      <c r="G147" s="28" t="n">
        <f aca="false">F147*(C147-$B$18+$B$19*E147)</f>
        <v>1431.95320857417</v>
      </c>
      <c r="H147" s="28" t="n">
        <f aca="false">MAX(0,$B$20*G147)/(1+D147)^9</f>
        <v>3503.13785628284</v>
      </c>
      <c r="I147" s="28" t="n">
        <f aca="false">$B$13*((1+$B$8)/(1+D147))^4.5</f>
        <v>653.786701860226</v>
      </c>
      <c r="J147" s="28" t="n">
        <f aca="false">H147+I147-$B$14</f>
        <v>3485.85264033485</v>
      </c>
      <c r="K147" s="45" t="n">
        <f aca="false">MAX(0,J147)/$B$15</f>
        <v>12.4806754039916</v>
      </c>
    </row>
    <row r="148" customFormat="false" ht="15" hidden="false" customHeight="false" outlineLevel="0" collapsed="false">
      <c r="A148" s="55" t="n">
        <v>108</v>
      </c>
      <c r="B148" s="22" t="n">
        <f aca="true">NORMINV(RAND(),$B$6,$C$6)</f>
        <v>0.23753213682379</v>
      </c>
      <c r="C148" s="22" t="n">
        <f aca="true">MAX(-0.05,NORMINV(RAND(),$B$7,$C$7))</f>
        <v>0.0951440039534874</v>
      </c>
      <c r="D148" s="34" t="n">
        <f aca="true">MAX(0.08,NORMINV(RAND(),$B$8,$C$8))</f>
        <v>0.14397102012412</v>
      </c>
      <c r="E148" s="35" t="n">
        <f aca="true">MEDIAN(0,NORMINV(RAND(),$B$9,$C$9),1)</f>
        <v>0.0412703785416161</v>
      </c>
      <c r="F148" s="28" t="n">
        <f aca="false">$B$12*(1+(B148+$B$17)/2)^9</f>
        <v>3381.4265772776</v>
      </c>
      <c r="G148" s="28" t="n">
        <f aca="false">F148*(C148-$B$18+$B$19*E148)</f>
        <v>141.004507473263</v>
      </c>
      <c r="H148" s="28" t="n">
        <f aca="false">MAX(0,$B$20*G148)/(1+D148)^9</f>
        <v>294.168273257003</v>
      </c>
      <c r="I148" s="28" t="n">
        <f aca="false">$B$13*((1+$B$8)/(1+D148))^4.5</f>
        <v>603.744656161929</v>
      </c>
      <c r="J148" s="28" t="n">
        <f aca="false">H148+I148-$B$14</f>
        <v>226.841011610713</v>
      </c>
      <c r="K148" s="45" t="n">
        <f aca="false">MAX(0,J148)/$B$15</f>
        <v>0.812176912319058</v>
      </c>
    </row>
    <row r="149" customFormat="false" ht="15" hidden="false" customHeight="false" outlineLevel="0" collapsed="false">
      <c r="A149" s="55" t="n">
        <v>109</v>
      </c>
      <c r="B149" s="22" t="n">
        <f aca="true">NORMINV(RAND(),$B$6,$C$6)</f>
        <v>0.220840905482288</v>
      </c>
      <c r="C149" s="22" t="n">
        <f aca="true">MAX(-0.05,NORMINV(RAND(),$B$7,$C$7))</f>
        <v>0.098225254290206</v>
      </c>
      <c r="D149" s="34" t="n">
        <f aca="true">MAX(0.08,NORMINV(RAND(),$B$8,$C$8))</f>
        <v>0.101827975148673</v>
      </c>
      <c r="E149" s="35" t="n">
        <f aca="true">MEDIAN(0,NORMINV(RAND(),$B$9,$C$9),1)</f>
        <v>0</v>
      </c>
      <c r="F149" s="28" t="n">
        <f aca="false">$B$12*(1+(B149+$B$17)/2)^9</f>
        <v>3164.82250826229</v>
      </c>
      <c r="G149" s="28" t="n">
        <f aca="false">F149*(C149-$B$18+$B$19*E149)</f>
        <v>105.152032620382</v>
      </c>
      <c r="H149" s="28" t="n">
        <f aca="false">MAX(0,$B$20*G149)/(1+D149)^9</f>
        <v>307.532882483561</v>
      </c>
      <c r="I149" s="28" t="n">
        <f aca="false">$B$13*((1+$B$8)/(1+D149))^4.5</f>
        <v>714.839965967774</v>
      </c>
      <c r="J149" s="28" t="n">
        <f aca="false">H149+I149-$B$14</f>
        <v>351.300930643116</v>
      </c>
      <c r="K149" s="45" t="n">
        <f aca="false">MAX(0,J149)/$B$15</f>
        <v>1.25779065751205</v>
      </c>
    </row>
    <row r="150" customFormat="false" ht="15" hidden="false" customHeight="false" outlineLevel="0" collapsed="false">
      <c r="A150" s="55" t="n">
        <v>110</v>
      </c>
      <c r="B150" s="22" t="n">
        <f aca="true">NORMINV(RAND(),$B$6,$C$6)</f>
        <v>0.554251294360541</v>
      </c>
      <c r="C150" s="22" t="n">
        <f aca="true">MAX(-0.05,NORMINV(RAND(),$B$7,$C$7))</f>
        <v>0.0903227440395382</v>
      </c>
      <c r="D150" s="34" t="n">
        <f aca="true">MAX(0.08,NORMINV(RAND(),$B$8,$C$8))</f>
        <v>0.12333106786605</v>
      </c>
      <c r="E150" s="35" t="n">
        <f aca="true">MEDIAN(0,NORMINV(RAND(),$B$9,$C$9),1)</f>
        <v>0.701318848046905</v>
      </c>
      <c r="F150" s="28" t="n">
        <f aca="false">$B$12*(1+(B150+$B$17)/2)^9</f>
        <v>10915.0999498293</v>
      </c>
      <c r="G150" s="28" t="n">
        <f aca="false">F150*(C150-$B$18+$B$19*E150)</f>
        <v>2419.79057267222</v>
      </c>
      <c r="H150" s="28" t="n">
        <f aca="false">MAX(0,$B$20*G150)/(1+D150)^9</f>
        <v>5947.10885439352</v>
      </c>
      <c r="I150" s="28" t="n">
        <f aca="false">$B$13*((1+$B$8)/(1+D150))^4.5</f>
        <v>655.293614193835</v>
      </c>
      <c r="J150" s="28" t="n">
        <f aca="false">H150+I150-$B$14</f>
        <v>5931.33055077914</v>
      </c>
      <c r="K150" s="45" t="n">
        <f aca="false">MAX(0,J150)/$B$15</f>
        <v>21.2364144317191</v>
      </c>
    </row>
    <row r="151" customFormat="false" ht="15" hidden="false" customHeight="false" outlineLevel="0" collapsed="false">
      <c r="A151" s="55" t="n">
        <v>111</v>
      </c>
      <c r="B151" s="22" t="n">
        <f aca="true">NORMINV(RAND(),$B$6,$C$6)</f>
        <v>0.364665204121387</v>
      </c>
      <c r="C151" s="22" t="n">
        <f aca="true">MAX(-0.05,NORMINV(RAND(),$B$7,$C$7))</f>
        <v>0.247967728781349</v>
      </c>
      <c r="D151" s="34" t="n">
        <f aca="true">MAX(0.08,NORMINV(RAND(),$B$8,$C$8))</f>
        <v>0.106585834616598</v>
      </c>
      <c r="E151" s="35" t="n">
        <f aca="true">MEDIAN(0,NORMINV(RAND(),$B$9,$C$9),1)</f>
        <v>0.304409444254337</v>
      </c>
      <c r="F151" s="28" t="n">
        <f aca="false">$B$12*(1+(B151+$B$17)/2)^9</f>
        <v>5513.29092834839</v>
      </c>
      <c r="G151" s="28" t="n">
        <f aca="false">F151*(C151-$B$18+$B$19*E151)</f>
        <v>1478.6777109738</v>
      </c>
      <c r="H151" s="28" t="n">
        <f aca="false">MAX(0,$B$20*G151)/(1+D151)^9</f>
        <v>4160.11760245272</v>
      </c>
      <c r="I151" s="28" t="n">
        <f aca="false">$B$13*((1+$B$8)/(1+D151))^4.5</f>
        <v>701.112843294712</v>
      </c>
      <c r="J151" s="28" t="n">
        <f aca="false">H151+I151-$B$14</f>
        <v>4190.15852793921</v>
      </c>
      <c r="K151" s="45" t="n">
        <f aca="false">MAX(0,J151)/$B$15</f>
        <v>15.0023577799471</v>
      </c>
    </row>
    <row r="152" customFormat="false" ht="15" hidden="false" customHeight="false" outlineLevel="0" collapsed="false">
      <c r="A152" s="55" t="n">
        <v>112</v>
      </c>
      <c r="B152" s="22" t="n">
        <f aca="true">NORMINV(RAND(),$B$6,$C$6)</f>
        <v>0.527822087501383</v>
      </c>
      <c r="C152" s="22" t="n">
        <f aca="true">MAX(-0.05,NORMINV(RAND(),$B$7,$C$7))</f>
        <v>0.173403744134598</v>
      </c>
      <c r="D152" s="34" t="n">
        <f aca="true">MAX(0.08,NORMINV(RAND(),$B$8,$C$8))</f>
        <v>0.142010700249989</v>
      </c>
      <c r="E152" s="35" t="n">
        <f aca="true">MEDIAN(0,NORMINV(RAND(),$B$9,$C$9),1)</f>
        <v>0</v>
      </c>
      <c r="F152" s="28" t="n">
        <f aca="false">$B$12*(1+(B152+$B$17)/2)^9</f>
        <v>9954.13920199884</v>
      </c>
      <c r="G152" s="28" t="n">
        <f aca="false">F152*(C152-$B$18+$B$19*E152)</f>
        <v>1079.06595913366</v>
      </c>
      <c r="H152" s="28" t="n">
        <f aca="false">MAX(0,$B$20*G152)/(1+D152)^9</f>
        <v>2286.2013358346</v>
      </c>
      <c r="I152" s="28" t="n">
        <f aca="false">$B$13*((1+$B$8)/(1+D152))^4.5</f>
        <v>608.422299395039</v>
      </c>
      <c r="J152" s="28" t="n">
        <f aca="false">H152+I152-$B$14</f>
        <v>2223.55171742142</v>
      </c>
      <c r="K152" s="45" t="n">
        <f aca="false">MAX(0,J152)/$B$15</f>
        <v>7.961159031226</v>
      </c>
    </row>
    <row r="153" customFormat="false" ht="15" hidden="false" customHeight="false" outlineLevel="0" collapsed="false">
      <c r="A153" s="55" t="n">
        <v>113</v>
      </c>
      <c r="B153" s="22" t="n">
        <f aca="true">NORMINV(RAND(),$B$6,$C$6)</f>
        <v>0.240069376443321</v>
      </c>
      <c r="C153" s="22" t="n">
        <f aca="true">MAX(-0.05,NORMINV(RAND(),$B$7,$C$7))</f>
        <v>0.181191938188379</v>
      </c>
      <c r="D153" s="34" t="n">
        <f aca="true">MAX(0.08,NORMINV(RAND(),$B$8,$C$8))</f>
        <v>0.147922289396119</v>
      </c>
      <c r="E153" s="35" t="n">
        <f aca="true">MEDIAN(0,NORMINV(RAND(),$B$9,$C$9),1)</f>
        <v>0.319950234691124</v>
      </c>
      <c r="F153" s="28" t="n">
        <f aca="false">$B$12*(1+(B153+$B$17)/2)^9</f>
        <v>3415.4811494036</v>
      </c>
      <c r="G153" s="28" t="n">
        <f aca="false">F153*(C153-$B$18+$B$19*E153)</f>
        <v>702.830893288817</v>
      </c>
      <c r="H153" s="28" t="n">
        <f aca="false">MAX(0,$B$20*G153)/(1+D153)^9</f>
        <v>1421.46602622706</v>
      </c>
      <c r="I153" s="28" t="n">
        <f aca="false">$B$13*((1+$B$8)/(1+D153))^4.5</f>
        <v>594.449139624965</v>
      </c>
      <c r="J153" s="28" t="n">
        <f aca="false">H153+I153-$B$14</f>
        <v>1344.8432480438</v>
      </c>
      <c r="K153" s="45" t="n">
        <f aca="false">MAX(0,J153)/$B$15</f>
        <v>4.81504922321448</v>
      </c>
    </row>
    <row r="154" customFormat="false" ht="15" hidden="false" customHeight="false" outlineLevel="0" collapsed="false">
      <c r="A154" s="55" t="n">
        <v>114</v>
      </c>
      <c r="B154" s="22" t="n">
        <f aca="true">NORMINV(RAND(),$B$6,$C$6)</f>
        <v>0.358646150929087</v>
      </c>
      <c r="C154" s="22" t="n">
        <f aca="true">MAX(-0.05,NORMINV(RAND(),$B$7,$C$7))</f>
        <v>0.149741642475922</v>
      </c>
      <c r="D154" s="34" t="n">
        <f aca="true">MAX(0.08,NORMINV(RAND(),$B$8,$C$8))</f>
        <v>0.160382381797702</v>
      </c>
      <c r="E154" s="35" t="n">
        <f aca="true">MEDIAN(0,NORMINV(RAND(),$B$9,$C$9),1)</f>
        <v>0.511184625476501</v>
      </c>
      <c r="F154" s="28" t="n">
        <f aca="false">$B$12*(1+(B154+$B$17)/2)^9</f>
        <v>5390.3256945563</v>
      </c>
      <c r="G154" s="28" t="n">
        <f aca="false">F154*(C154-$B$18+$B$19*E154)</f>
        <v>1228.31150681994</v>
      </c>
      <c r="H154" s="28" t="n">
        <f aca="false">MAX(0,$B$20*G154)/(1+D154)^9</f>
        <v>2254.22065153173</v>
      </c>
      <c r="I154" s="28" t="n">
        <f aca="false">$B$13*((1+$B$8)/(1+D154))^4.5</f>
        <v>566.259934032651</v>
      </c>
      <c r="J154" s="28" t="n">
        <f aca="false">H154+I154-$B$14</f>
        <v>2149.40866775616</v>
      </c>
      <c r="K154" s="45" t="n">
        <f aca="false">MAX(0,J154)/$B$15</f>
        <v>7.69569877463717</v>
      </c>
    </row>
    <row r="155" customFormat="false" ht="15" hidden="false" customHeight="false" outlineLevel="0" collapsed="false">
      <c r="A155" s="55" t="n">
        <v>115</v>
      </c>
      <c r="B155" s="22" t="n">
        <f aca="true">NORMINV(RAND(),$B$6,$C$6)</f>
        <v>0.285986932057508</v>
      </c>
      <c r="C155" s="22" t="n">
        <f aca="true">MAX(-0.05,NORMINV(RAND(),$B$7,$C$7))</f>
        <v>0.151220283034933</v>
      </c>
      <c r="D155" s="34" t="n">
        <f aca="true">MAX(0.08,NORMINV(RAND(),$B$8,$C$8))</f>
        <v>0.148778827609618</v>
      </c>
      <c r="E155" s="35" t="n">
        <f aca="true">MEDIAN(0,NORMINV(RAND(),$B$9,$C$9),1)</f>
        <v>0.104810164410849</v>
      </c>
      <c r="F155" s="28" t="n">
        <f aca="false">$B$12*(1+(B155+$B$17)/2)^9</f>
        <v>4086.81305442501</v>
      </c>
      <c r="G155" s="28" t="n">
        <f aca="false">F155*(C155-$B$18+$B$19*E155)</f>
        <v>472.301251745575</v>
      </c>
      <c r="H155" s="28" t="n">
        <f aca="false">MAX(0,$B$20*G155)/(1+D155)^9</f>
        <v>948.832018556541</v>
      </c>
      <c r="I155" s="28" t="n">
        <f aca="false">$B$13*((1+$B$8)/(1+D155))^4.5</f>
        <v>592.457224421828</v>
      </c>
      <c r="J155" s="28" t="n">
        <f aca="false">H155+I155-$B$14</f>
        <v>870.21732517015</v>
      </c>
      <c r="K155" s="45" t="n">
        <f aca="false">MAX(0,J155)/$B$15</f>
        <v>3.11570828918779</v>
      </c>
    </row>
    <row r="156" customFormat="false" ht="15" hidden="false" customHeight="false" outlineLevel="0" collapsed="false">
      <c r="A156" s="55" t="n">
        <v>116</v>
      </c>
      <c r="B156" s="22" t="n">
        <f aca="true">NORMINV(RAND(),$B$6,$C$6)</f>
        <v>0.310577780873101</v>
      </c>
      <c r="C156" s="22" t="n">
        <f aca="true">MAX(-0.05,NORMINV(RAND(),$B$7,$C$7))</f>
        <v>0.161318229828958</v>
      </c>
      <c r="D156" s="34" t="n">
        <f aca="true">MAX(0.08,NORMINV(RAND(),$B$8,$C$8))</f>
        <v>0.155816253827592</v>
      </c>
      <c r="E156" s="35" t="n">
        <f aca="true">MEDIAN(0,NORMINV(RAND(),$B$9,$C$9),1)</f>
        <v>0.310278440626771</v>
      </c>
      <c r="F156" s="28" t="n">
        <f aca="false">$B$12*(1+(B156+$B$17)/2)^9</f>
        <v>4492.52991428232</v>
      </c>
      <c r="G156" s="28" t="n">
        <f aca="false">F156*(C156-$B$18+$B$19*E156)</f>
        <v>823.014378153651</v>
      </c>
      <c r="H156" s="28" t="n">
        <f aca="false">MAX(0,$B$20*G156)/(1+D156)^9</f>
        <v>1564.97096679867</v>
      </c>
      <c r="I156" s="28" t="n">
        <f aca="false">$B$13*((1+$B$8)/(1+D156))^4.5</f>
        <v>576.396471256731</v>
      </c>
      <c r="J156" s="28" t="n">
        <f aca="false">H156+I156-$B$14</f>
        <v>1470.29552024718</v>
      </c>
      <c r="K156" s="45" t="n">
        <f aca="false">MAX(0,J156)/$B$15</f>
        <v>5.26421596937766</v>
      </c>
    </row>
    <row r="157" customFormat="false" ht="15" hidden="false" customHeight="false" outlineLevel="0" collapsed="false">
      <c r="A157" s="55" t="n">
        <v>117</v>
      </c>
      <c r="B157" s="22" t="n">
        <f aca="true">NORMINV(RAND(),$B$6,$C$6)</f>
        <v>0.344978272782313</v>
      </c>
      <c r="C157" s="22" t="n">
        <f aca="true">MAX(-0.05,NORMINV(RAND(),$B$7,$C$7))</f>
        <v>0.128986091203187</v>
      </c>
      <c r="D157" s="34" t="n">
        <f aca="true">MAX(0.08,NORMINV(RAND(),$B$8,$C$8))</f>
        <v>0.146773608901029</v>
      </c>
      <c r="E157" s="35" t="n">
        <f aca="true">MEDIAN(0,NORMINV(RAND(),$B$9,$C$9),1)</f>
        <v>0.435153892037096</v>
      </c>
      <c r="F157" s="28" t="n">
        <f aca="false">$B$12*(1+(B157+$B$17)/2)^9</f>
        <v>5120.10869500121</v>
      </c>
      <c r="G157" s="28" t="n">
        <f aca="false">F157*(C157-$B$18+$B$19*E157)</f>
        <v>951.465605287747</v>
      </c>
      <c r="H157" s="28" t="n">
        <f aca="false">MAX(0,$B$20*G157)/(1+D157)^9</f>
        <v>1941.74379116656</v>
      </c>
      <c r="I157" s="28" t="n">
        <f aca="false">$B$13*((1+$B$8)/(1+D157))^4.5</f>
        <v>597.133309641096</v>
      </c>
      <c r="J157" s="28" t="n">
        <f aca="false">H157+I157-$B$14</f>
        <v>1867.80518299943</v>
      </c>
      <c r="K157" s="45" t="n">
        <f aca="false">MAX(0,J157)/$B$15</f>
        <v>6.68745142498902</v>
      </c>
    </row>
    <row r="158" customFormat="false" ht="15" hidden="false" customHeight="false" outlineLevel="0" collapsed="false">
      <c r="A158" s="55" t="n">
        <v>118</v>
      </c>
      <c r="B158" s="22" t="n">
        <f aca="true">NORMINV(RAND(),$B$6,$C$6)</f>
        <v>0.271093163205192</v>
      </c>
      <c r="C158" s="22" t="n">
        <f aca="true">MAX(-0.05,NORMINV(RAND(),$B$7,$C$7))</f>
        <v>0.155287347764777</v>
      </c>
      <c r="D158" s="34" t="n">
        <f aca="true">MAX(0.08,NORMINV(RAND(),$B$8,$C$8))</f>
        <v>0.169115362841893</v>
      </c>
      <c r="E158" s="35" t="n">
        <f aca="true">MEDIAN(0,NORMINV(RAND(),$B$9,$C$9),1)</f>
        <v>0.361694227376082</v>
      </c>
      <c r="F158" s="28" t="n">
        <f aca="false">$B$12*(1+(B158+$B$17)/2)^9</f>
        <v>3857.23779401989</v>
      </c>
      <c r="G158" s="28" t="n">
        <f aca="false">F158*(C158-$B$18+$B$19*E158)</f>
        <v>738.899150359992</v>
      </c>
      <c r="H158" s="28" t="n">
        <f aca="false">MAX(0,$B$20*G158)/(1+D158)^9</f>
        <v>1267.5552557534</v>
      </c>
      <c r="I158" s="28" t="n">
        <f aca="false">$B$13*((1+$B$8)/(1+D158))^4.5</f>
        <v>547.473054173719</v>
      </c>
      <c r="J158" s="28" t="n">
        <f aca="false">H158+I158-$B$14</f>
        <v>1143.9563921189</v>
      </c>
      <c r="K158" s="45" t="n">
        <f aca="false">MAX(0,J158)/$B$15</f>
        <v>4.09579803837772</v>
      </c>
    </row>
    <row r="159" customFormat="false" ht="15" hidden="false" customHeight="false" outlineLevel="0" collapsed="false">
      <c r="A159" s="55" t="n">
        <v>119</v>
      </c>
      <c r="B159" s="22" t="n">
        <f aca="true">NORMINV(RAND(),$B$6,$C$6)</f>
        <v>0.470656137328965</v>
      </c>
      <c r="C159" s="22" t="n">
        <f aca="true">MAX(-0.05,NORMINV(RAND(),$B$7,$C$7))</f>
        <v>0.130068758876526</v>
      </c>
      <c r="D159" s="34" t="n">
        <f aca="true">MAX(0.08,NORMINV(RAND(),$B$8,$C$8))</f>
        <v>0.185743266048204</v>
      </c>
      <c r="E159" s="35" t="n">
        <f aca="true">MEDIAN(0,NORMINV(RAND(),$B$9,$C$9),1)</f>
        <v>0</v>
      </c>
      <c r="F159" s="28" t="n">
        <f aca="false">$B$12*(1+(B159+$B$17)/2)^9</f>
        <v>8128.38855031192</v>
      </c>
      <c r="G159" s="28" t="n">
        <f aca="false">F159*(C159-$B$18+$B$19*E159)</f>
        <v>528.904154634962</v>
      </c>
      <c r="H159" s="28" t="n">
        <f aca="false">MAX(0,$B$20*G159)/(1+D159)^9</f>
        <v>799.022513197702</v>
      </c>
      <c r="I159" s="28" t="n">
        <f aca="false">$B$13*((1+$B$8)/(1+D159))^4.5</f>
        <v>513.76309078127</v>
      </c>
      <c r="J159" s="28" t="n">
        <f aca="false">H159+I159-$B$14</f>
        <v>641.713686170753</v>
      </c>
      <c r="K159" s="45" t="n">
        <f aca="false">MAX(0,J159)/$B$15</f>
        <v>2.29757853981652</v>
      </c>
    </row>
    <row r="160" customFormat="false" ht="15" hidden="false" customHeight="false" outlineLevel="0" collapsed="false">
      <c r="A160" s="55" t="n">
        <v>120</v>
      </c>
      <c r="B160" s="22" t="n">
        <f aca="true">NORMINV(RAND(),$B$6,$C$6)</f>
        <v>0.208419796027484</v>
      </c>
      <c r="C160" s="22" t="n">
        <f aca="true">MAX(-0.05,NORMINV(RAND(),$B$7,$C$7))</f>
        <v>0.119631998681303</v>
      </c>
      <c r="D160" s="34" t="n">
        <f aca="true">MAX(0.08,NORMINV(RAND(),$B$8,$C$8))</f>
        <v>0.18509499558301</v>
      </c>
      <c r="E160" s="35" t="n">
        <f aca="true">MEDIAN(0,NORMINV(RAND(),$B$9,$C$9),1)</f>
        <v>0.483537962065805</v>
      </c>
      <c r="F160" s="28" t="n">
        <f aca="false">$B$12*(1+(B160+$B$17)/2)^9</f>
        <v>3011.72934966665</v>
      </c>
      <c r="G160" s="28" t="n">
        <f aca="false">F160*(C160-$B$18+$B$19*E160)</f>
        <v>572.296726028275</v>
      </c>
      <c r="H160" s="28" t="n">
        <f aca="false">MAX(0,$B$20*G160)/(1+D160)^9</f>
        <v>868.842034204514</v>
      </c>
      <c r="I160" s="28" t="n">
        <f aca="false">$B$13*((1+$B$8)/(1+D160))^4.5</f>
        <v>515.028975683901</v>
      </c>
      <c r="J160" s="28" t="n">
        <f aca="false">H160+I160-$B$14</f>
        <v>712.799092080196</v>
      </c>
      <c r="K160" s="45" t="n">
        <f aca="false">MAX(0,J160)/$B$15</f>
        <v>2.55209127132186</v>
      </c>
    </row>
    <row r="161" customFormat="false" ht="15" hidden="false" customHeight="false" outlineLevel="0" collapsed="false">
      <c r="A161" s="55" t="n">
        <v>121</v>
      </c>
      <c r="B161" s="22" t="n">
        <f aca="true">NORMINV(RAND(),$B$6,$C$6)</f>
        <v>0.342692754149754</v>
      </c>
      <c r="C161" s="22" t="n">
        <f aca="true">MAX(-0.05,NORMINV(RAND(),$B$7,$C$7))</f>
        <v>0.183588464694599</v>
      </c>
      <c r="D161" s="34" t="n">
        <f aca="true">MAX(0.08,NORMINV(RAND(),$B$8,$C$8))</f>
        <v>0.168510691049742</v>
      </c>
      <c r="E161" s="35" t="n">
        <f aca="true">MEDIAN(0,NORMINV(RAND(),$B$9,$C$9),1)</f>
        <v>0.0808890629251524</v>
      </c>
      <c r="F161" s="28" t="n">
        <f aca="false">$B$12*(1+(B161+$B$17)/2)^9</f>
        <v>5076.11830333225</v>
      </c>
      <c r="G161" s="28" t="n">
        <f aca="false">F161*(C161-$B$18+$B$19*E161)</f>
        <v>716.937762999378</v>
      </c>
      <c r="H161" s="28" t="n">
        <f aca="false">MAX(0,$B$20*G161)/(1+D161)^9</f>
        <v>1235.6210101744</v>
      </c>
      <c r="I161" s="28" t="n">
        <f aca="false">$B$13*((1+$B$8)/(1+D161))^4.5</f>
        <v>548.749068527798</v>
      </c>
      <c r="J161" s="28" t="n">
        <f aca="false">H161+I161-$B$14</f>
        <v>1113.29816089398</v>
      </c>
      <c r="K161" s="45" t="n">
        <f aca="false">MAX(0,J161)/$B$15</f>
        <v>3.98602993517359</v>
      </c>
    </row>
    <row r="162" customFormat="false" ht="15" hidden="false" customHeight="false" outlineLevel="0" collapsed="false">
      <c r="A162" s="55" t="n">
        <v>122</v>
      </c>
      <c r="B162" s="22" t="n">
        <f aca="true">NORMINV(RAND(),$B$6,$C$6)</f>
        <v>0.288032255647609</v>
      </c>
      <c r="C162" s="22" t="n">
        <f aca="true">MAX(-0.05,NORMINV(RAND(),$B$7,$C$7))</f>
        <v>0.167334364745405</v>
      </c>
      <c r="D162" s="34" t="n">
        <f aca="true">MAX(0.08,NORMINV(RAND(),$B$8,$C$8))</f>
        <v>0.155328020620342</v>
      </c>
      <c r="E162" s="35" t="n">
        <f aca="true">MEDIAN(0,NORMINV(RAND(),$B$9,$C$9),1)</f>
        <v>0.287924082787559</v>
      </c>
      <c r="F162" s="28" t="n">
        <f aca="false">$B$12*(1+(B162+$B$17)/2)^9</f>
        <v>4119.27017943938</v>
      </c>
      <c r="G162" s="28" t="n">
        <f aca="false">F162*(C162-$B$18+$B$19*E162)</f>
        <v>753.633281715002</v>
      </c>
      <c r="H162" s="28" t="n">
        <f aca="false">MAX(0,$B$20*G162)/(1+D162)^9</f>
        <v>1438.50160288154</v>
      </c>
      <c r="I162" s="28" t="n">
        <f aca="false">$B$13*((1+$B$8)/(1+D162))^4.5</f>
        <v>577.493396438425</v>
      </c>
      <c r="J162" s="28" t="n">
        <f aca="false">H162+I162-$B$14</f>
        <v>1344.92308151175</v>
      </c>
      <c r="K162" s="45" t="n">
        <f aca="false">MAX(0,J162)/$B$15</f>
        <v>4.81533505732813</v>
      </c>
    </row>
    <row r="163" customFormat="false" ht="15" hidden="false" customHeight="false" outlineLevel="0" collapsed="false">
      <c r="A163" s="55" t="n">
        <v>123</v>
      </c>
      <c r="B163" s="22" t="n">
        <f aca="true">NORMINV(RAND(),$B$6,$C$6)</f>
        <v>0.0899013244476614</v>
      </c>
      <c r="C163" s="22" t="n">
        <f aca="true">MAX(-0.05,NORMINV(RAND(),$B$7,$C$7))</f>
        <v>0.156631526975526</v>
      </c>
      <c r="D163" s="34" t="n">
        <f aca="true">MAX(0.08,NORMINV(RAND(),$B$8,$C$8))</f>
        <v>0.132811233171143</v>
      </c>
      <c r="E163" s="35" t="n">
        <f aca="true">MEDIAN(0,NORMINV(RAND(),$B$9,$C$9),1)</f>
        <v>0</v>
      </c>
      <c r="F163" s="28" t="n">
        <f aca="false">$B$12*(1+(B163+$B$17)/2)^9</f>
        <v>1849.92742392596</v>
      </c>
      <c r="G163" s="28" t="n">
        <f aca="false">F163*(C163-$B$18+$B$19*E163)</f>
        <v>169.511674648238</v>
      </c>
      <c r="H163" s="28" t="n">
        <f aca="false">MAX(0,$B$20*G163)/(1+D163)^9</f>
        <v>386.259996475019</v>
      </c>
      <c r="I163" s="28" t="n">
        <f aca="false">$B$13*((1+$B$8)/(1+D163))^4.5</f>
        <v>630.974693005716</v>
      </c>
      <c r="J163" s="28" t="n">
        <f aca="false">H163+I163-$B$14</f>
        <v>346.162771672516</v>
      </c>
      <c r="K163" s="45" t="n">
        <f aca="false">MAX(0,J163)/$B$15</f>
        <v>1.23939409836203</v>
      </c>
    </row>
    <row r="164" customFormat="false" ht="15" hidden="false" customHeight="false" outlineLevel="0" collapsed="false">
      <c r="A164" s="55" t="n">
        <v>124</v>
      </c>
      <c r="B164" s="22" t="n">
        <f aca="true">NORMINV(RAND(),$B$6,$C$6)</f>
        <v>0.16014161931152</v>
      </c>
      <c r="C164" s="22" t="n">
        <f aca="true">MAX(-0.05,NORMINV(RAND(),$B$7,$C$7))</f>
        <v>0.202772069970773</v>
      </c>
      <c r="D164" s="34" t="n">
        <f aca="true">MAX(0.08,NORMINV(RAND(),$B$8,$C$8))</f>
        <v>0.123700586347535</v>
      </c>
      <c r="E164" s="35" t="n">
        <f aca="true">MEDIAN(0,NORMINV(RAND(),$B$9,$C$9),1)</f>
        <v>0.647113464917066</v>
      </c>
      <c r="F164" s="28" t="n">
        <f aca="false">$B$12*(1+(B164+$B$17)/2)^9</f>
        <v>2477.27983006994</v>
      </c>
      <c r="G164" s="28" t="n">
        <f aca="false">F164*(C164-$B$18+$B$19*E164)</f>
        <v>790.162687719182</v>
      </c>
      <c r="H164" s="28" t="n">
        <f aca="false">MAX(0,$B$20*G164)/(1+D164)^9</f>
        <v>1936.23956715361</v>
      </c>
      <c r="I164" s="28" t="n">
        <f aca="false">$B$13*((1+$B$8)/(1+D164))^4.5</f>
        <v>654.324479637965</v>
      </c>
      <c r="J164" s="28" t="n">
        <f aca="false">H164+I164-$B$14</f>
        <v>1919.49212898336</v>
      </c>
      <c r="K164" s="45" t="n">
        <f aca="false">MAX(0,J164)/$B$15</f>
        <v>6.87251030785305</v>
      </c>
    </row>
    <row r="165" customFormat="false" ht="15" hidden="false" customHeight="false" outlineLevel="0" collapsed="false">
      <c r="A165" s="55" t="n">
        <v>125</v>
      </c>
      <c r="B165" s="22" t="n">
        <f aca="true">NORMINV(RAND(),$B$6,$C$6)</f>
        <v>0.336135243631303</v>
      </c>
      <c r="C165" s="22" t="n">
        <f aca="true">MAX(-0.05,NORMINV(RAND(),$B$7,$C$7))</f>
        <v>0.0606330487996766</v>
      </c>
      <c r="D165" s="34" t="n">
        <f aca="true">MAX(0.08,NORMINV(RAND(),$B$8,$C$8))</f>
        <v>0.197219310144823</v>
      </c>
      <c r="E165" s="35" t="n">
        <f aca="true">MEDIAN(0,NORMINV(RAND(),$B$9,$C$9),1)</f>
        <v>0.411106901886525</v>
      </c>
      <c r="F165" s="28" t="n">
        <f aca="false">$B$12*(1+(B165+$B$17)/2)^9</f>
        <v>4951.76176082218</v>
      </c>
      <c r="G165" s="28" t="n">
        <f aca="false">F165*(C165-$B$18+$B$19*E165)</f>
        <v>548.372860218958</v>
      </c>
      <c r="H165" s="28" t="n">
        <f aca="false">MAX(0,$B$20*G165)/(1+D165)^9</f>
        <v>759.644810851272</v>
      </c>
      <c r="I165" s="28" t="n">
        <f aca="false">$B$13*((1+$B$8)/(1+D165))^4.5</f>
        <v>491.970648970075</v>
      </c>
      <c r="J165" s="28" t="n">
        <f aca="false">H165+I165-$B$14</f>
        <v>580.543542013127</v>
      </c>
      <c r="K165" s="45" t="n">
        <f aca="false">MAX(0,J165)/$B$15</f>
        <v>2.07856620842509</v>
      </c>
    </row>
    <row r="166" customFormat="false" ht="15" hidden="false" customHeight="false" outlineLevel="0" collapsed="false">
      <c r="A166" s="55" t="n">
        <v>126</v>
      </c>
      <c r="B166" s="22" t="n">
        <f aca="true">NORMINV(RAND(),$B$6,$C$6)</f>
        <v>0.420331045569764</v>
      </c>
      <c r="C166" s="22" t="n">
        <f aca="true">MAX(-0.05,NORMINV(RAND(),$B$7,$C$7))</f>
        <v>0.161851550276741</v>
      </c>
      <c r="D166" s="34" t="n">
        <f aca="true">MAX(0.08,NORMINV(RAND(),$B$8,$C$8))</f>
        <v>0.116346838349867</v>
      </c>
      <c r="E166" s="35" t="n">
        <f aca="true">MEDIAN(0,NORMINV(RAND(),$B$9,$C$9),1)</f>
        <v>0.425819719398746</v>
      </c>
      <c r="F166" s="28" t="n">
        <f aca="false">$B$12*(1+(B166+$B$17)/2)^9</f>
        <v>6774.25060928019</v>
      </c>
      <c r="G166" s="28" t="n">
        <f aca="false">F166*(C166-$B$18+$B$19*E166)</f>
        <v>1463.78733167448</v>
      </c>
      <c r="H166" s="28" t="n">
        <f aca="false">MAX(0,$B$20*G166)/(1+D166)^9</f>
        <v>3805.25446004095</v>
      </c>
      <c r="I166" s="28" t="n">
        <f aca="false">$B$13*((1+$B$8)/(1+D166))^4.5</f>
        <v>673.945444109399</v>
      </c>
      <c r="J166" s="28" t="n">
        <f aca="false">H166+I166-$B$14</f>
        <v>3808.12798634213</v>
      </c>
      <c r="K166" s="45" t="n">
        <f aca="false">MAX(0,J166)/$B$15</f>
        <v>13.6345434527108</v>
      </c>
    </row>
    <row r="167" customFormat="false" ht="15" hidden="false" customHeight="false" outlineLevel="0" collapsed="false">
      <c r="A167" s="55" t="n">
        <v>127</v>
      </c>
      <c r="B167" s="22" t="n">
        <f aca="true">NORMINV(RAND(),$B$6,$C$6)</f>
        <v>0.464473985841523</v>
      </c>
      <c r="C167" s="22" t="n">
        <f aca="true">MAX(-0.05,NORMINV(RAND(),$B$7,$C$7))</f>
        <v>0.136486338674519</v>
      </c>
      <c r="D167" s="34" t="n">
        <f aca="true">MAX(0.08,NORMINV(RAND(),$B$8,$C$8))</f>
        <v>0.175681017695237</v>
      </c>
      <c r="E167" s="35" t="n">
        <f aca="true">MEDIAN(0,NORMINV(RAND(),$B$9,$C$9),1)</f>
        <v>0.642207103690356</v>
      </c>
      <c r="F167" s="28" t="n">
        <f aca="false">$B$12*(1+(B167+$B$17)/2)^9</f>
        <v>7950.01710536826</v>
      </c>
      <c r="G167" s="28" t="n">
        <f aca="false">F167*(C167-$B$18+$B$19*E167)</f>
        <v>1997.87370393023</v>
      </c>
      <c r="H167" s="28" t="n">
        <f aca="false">MAX(0,$B$20*G167)/(1+D167)^9</f>
        <v>3258.82106345771</v>
      </c>
      <c r="I167" s="28" t="n">
        <f aca="false">$B$13*((1+$B$8)/(1+D167))^4.5</f>
        <v>533.848619627597</v>
      </c>
      <c r="J167" s="28" t="n">
        <f aca="false">H167+I167-$B$14</f>
        <v>3121.59776527708</v>
      </c>
      <c r="K167" s="45" t="n">
        <f aca="false">MAX(0,J167)/$B$15</f>
        <v>11.1765047091911</v>
      </c>
    </row>
    <row r="168" customFormat="false" ht="15" hidden="false" customHeight="false" outlineLevel="0" collapsed="false">
      <c r="A168" s="55" t="n">
        <v>128</v>
      </c>
      <c r="B168" s="22" t="n">
        <f aca="true">NORMINV(RAND(),$B$6,$C$6)</f>
        <v>0.207124330662011</v>
      </c>
      <c r="C168" s="22" t="n">
        <f aca="true">MAX(-0.05,NORMINV(RAND(),$B$7,$C$7))</f>
        <v>0.197220465596161</v>
      </c>
      <c r="D168" s="34" t="n">
        <f aca="true">MAX(0.08,NORMINV(RAND(),$B$8,$C$8))</f>
        <v>0.132245194747073</v>
      </c>
      <c r="E168" s="35" t="n">
        <f aca="true">MEDIAN(0,NORMINV(RAND(),$B$9,$C$9),1)</f>
        <v>0</v>
      </c>
      <c r="F168" s="28" t="n">
        <f aca="false">$B$12*(1+(B168+$B$17)/2)^9</f>
        <v>2996.14796158434</v>
      </c>
      <c r="G168" s="28" t="n">
        <f aca="false">F168*(C168-$B$18+$B$19*E168)</f>
        <v>396.15207847567</v>
      </c>
      <c r="H168" s="28" t="n">
        <f aca="false">MAX(0,$B$20*G168)/(1+D168)^9</f>
        <v>906.766783956342</v>
      </c>
      <c r="I168" s="28" t="n">
        <f aca="false">$B$13*((1+$B$8)/(1+D168))^4.5</f>
        <v>632.395417359027</v>
      </c>
      <c r="J168" s="28" t="n">
        <f aca="false">H168+I168-$B$14</f>
        <v>868.090283507149</v>
      </c>
      <c r="K168" s="45" t="n">
        <f aca="false">MAX(0,J168)/$B$15</f>
        <v>3.10809267277891</v>
      </c>
    </row>
    <row r="169" customFormat="false" ht="15" hidden="false" customHeight="false" outlineLevel="0" collapsed="false">
      <c r="A169" s="55" t="n">
        <v>129</v>
      </c>
      <c r="B169" s="22" t="n">
        <f aca="true">NORMINV(RAND(),$B$6,$C$6)</f>
        <v>-0.0126644537747038</v>
      </c>
      <c r="C169" s="22" t="n">
        <f aca="true">MAX(-0.05,NORMINV(RAND(),$B$7,$C$7))</f>
        <v>0.121794107655692</v>
      </c>
      <c r="D169" s="34" t="n">
        <f aca="true">MAX(0.08,NORMINV(RAND(),$B$8,$C$8))</f>
        <v>0.142410998289394</v>
      </c>
      <c r="E169" s="35" t="n">
        <f aca="true">MEDIAN(0,NORMINV(RAND(),$B$9,$C$9),1)</f>
        <v>0.814020918786735</v>
      </c>
      <c r="F169" s="28" t="n">
        <f aca="false">$B$12*(1+(B169+$B$17)/2)^9</f>
        <v>1186.45167634628</v>
      </c>
      <c r="G169" s="28" t="n">
        <f aca="false">F169*(C169-$B$18+$B$19*E169)</f>
        <v>337.806479663816</v>
      </c>
      <c r="H169" s="28" t="n">
        <f aca="false">MAX(0,$B$20*G169)/(1+D169)^9</f>
        <v>713.451796913644</v>
      </c>
      <c r="I169" s="28" t="n">
        <f aca="false">$B$13*((1+$B$8)/(1+D169))^4.5</f>
        <v>607.463533862284</v>
      </c>
      <c r="J169" s="28" t="n">
        <f aca="false">H169+I169-$B$14</f>
        <v>649.843412967709</v>
      </c>
      <c r="K169" s="45" t="n">
        <f aca="false">MAX(0,J169)/$B$15</f>
        <v>2.3266860471454</v>
      </c>
    </row>
    <row r="170" customFormat="false" ht="15" hidden="false" customHeight="false" outlineLevel="0" collapsed="false">
      <c r="A170" s="55" t="n">
        <v>130</v>
      </c>
      <c r="B170" s="22" t="n">
        <f aca="true">NORMINV(RAND(),$B$6,$C$6)</f>
        <v>0.306423845984374</v>
      </c>
      <c r="C170" s="22" t="n">
        <f aca="true">MAX(-0.05,NORMINV(RAND(),$B$7,$C$7))</f>
        <v>0.145218139966953</v>
      </c>
      <c r="D170" s="34" t="n">
        <f aca="true">MAX(0.08,NORMINV(RAND(),$B$8,$C$8))</f>
        <v>0.147278021121465</v>
      </c>
      <c r="E170" s="35" t="n">
        <f aca="true">MEDIAN(0,NORMINV(RAND(),$B$9,$C$9),1)</f>
        <v>0.152075870054013</v>
      </c>
      <c r="F170" s="28" t="n">
        <f aca="false">$B$12*(1+(B170+$B$17)/2)^9</f>
        <v>4421.58023735615</v>
      </c>
      <c r="G170" s="28" t="n">
        <f aca="false">F170*(C170-$B$18+$B$19*E170)</f>
        <v>542.967327606029</v>
      </c>
      <c r="H170" s="28" t="n">
        <f aca="false">MAX(0,$B$20*G170)/(1+D170)^9</f>
        <v>1103.70668723001</v>
      </c>
      <c r="I170" s="28" t="n">
        <f aca="false">$B$13*((1+$B$8)/(1+D170))^4.5</f>
        <v>595.952808032295</v>
      </c>
      <c r="J170" s="28" t="n">
        <f aca="false">H170+I170-$B$14</f>
        <v>1028.58757745408</v>
      </c>
      <c r="K170" s="45" t="n">
        <f aca="false">MAX(0,J170)/$B$15</f>
        <v>3.6827338970787</v>
      </c>
    </row>
    <row r="171" customFormat="false" ht="15" hidden="false" customHeight="false" outlineLevel="0" collapsed="false">
      <c r="A171" s="55" t="n">
        <v>131</v>
      </c>
      <c r="B171" s="22" t="n">
        <f aca="true">NORMINV(RAND(),$B$6,$C$6)</f>
        <v>-0.0724731402056714</v>
      </c>
      <c r="C171" s="22" t="n">
        <f aca="true">MAX(-0.05,NORMINV(RAND(),$B$7,$C$7))</f>
        <v>0.0740592491709409</v>
      </c>
      <c r="D171" s="34" t="n">
        <f aca="true">MAX(0.08,NORMINV(RAND(),$B$8,$C$8))</f>
        <v>0.133279085765647</v>
      </c>
      <c r="E171" s="35" t="n">
        <f aca="true">MEDIAN(0,NORMINV(RAND(),$B$9,$C$9),1)</f>
        <v>0.00444865350216156</v>
      </c>
      <c r="F171" s="28" t="n">
        <f aca="false">$B$12*(1+(B171+$B$17)/2)^9</f>
        <v>906.161000226199</v>
      </c>
      <c r="G171" s="28" t="n">
        <f aca="false">F171*(C171-$B$18+$B$19*E171)</f>
        <v>9.33787325604812</v>
      </c>
      <c r="H171" s="28" t="n">
        <f aca="false">MAX(0,$B$20*G171)/(1+D171)^9</f>
        <v>21.1989401143408</v>
      </c>
      <c r="I171" s="28" t="n">
        <f aca="false">$B$13*((1+$B$8)/(1+D171))^4.5</f>
        <v>629.803353314569</v>
      </c>
      <c r="J171" s="28" t="n">
        <f aca="false">H171+I171-$B$14</f>
        <v>-20.0696243793095</v>
      </c>
      <c r="K171" s="45" t="n">
        <f aca="false">MAX(0,J171)/$B$15</f>
        <v>0</v>
      </c>
    </row>
    <row r="172" customFormat="false" ht="15" hidden="false" customHeight="false" outlineLevel="0" collapsed="false">
      <c r="A172" s="55" t="n">
        <v>132</v>
      </c>
      <c r="B172" s="22" t="n">
        <f aca="true">NORMINV(RAND(),$B$6,$C$6)</f>
        <v>0.608365058979303</v>
      </c>
      <c r="C172" s="22" t="n">
        <f aca="true">MAX(-0.05,NORMINV(RAND(),$B$7,$C$7))</f>
        <v>0.20354288739081</v>
      </c>
      <c r="D172" s="34" t="n">
        <f aca="true">MAX(0.08,NORMINV(RAND(),$B$8,$C$8))</f>
        <v>0.141765610671035</v>
      </c>
      <c r="E172" s="35" t="n">
        <f aca="true">MEDIAN(0,NORMINV(RAND(),$B$9,$C$9),1)</f>
        <v>0</v>
      </c>
      <c r="F172" s="28" t="n">
        <f aca="false">$B$12*(1+(B172+$B$17)/2)^9</f>
        <v>13143.7709667379</v>
      </c>
      <c r="G172" s="28" t="n">
        <f aca="false">F172*(C172-$B$18+$B$19*E172)</f>
        <v>1820.97598093537</v>
      </c>
      <c r="H172" s="28" t="n">
        <f aca="false">MAX(0,$B$20*G172)/(1+D172)^9</f>
        <v>3865.53521388613</v>
      </c>
      <c r="I172" s="28" t="n">
        <f aca="false">$B$13*((1+$B$8)/(1+D172))^4.5</f>
        <v>609.010233517739</v>
      </c>
      <c r="J172" s="28" t="n">
        <f aca="false">H172+I172-$B$14</f>
        <v>3803.47352959565</v>
      </c>
      <c r="K172" s="45" t="n">
        <f aca="false">MAX(0,J172)/$B$15</f>
        <v>13.6178787310979</v>
      </c>
    </row>
    <row r="173" customFormat="false" ht="15" hidden="false" customHeight="false" outlineLevel="0" collapsed="false">
      <c r="A173" s="55" t="n">
        <v>133</v>
      </c>
      <c r="B173" s="22" t="n">
        <f aca="true">NORMINV(RAND(),$B$6,$C$6)</f>
        <v>0.31860330679792</v>
      </c>
      <c r="C173" s="22" t="n">
        <f aca="true">MAX(-0.05,NORMINV(RAND(),$B$7,$C$7))</f>
        <v>0.0516261665889443</v>
      </c>
      <c r="D173" s="34" t="n">
        <f aca="true">MAX(0.08,NORMINV(RAND(),$B$8,$C$8))</f>
        <v>0.163024391238445</v>
      </c>
      <c r="E173" s="35" t="n">
        <f aca="true">MEDIAN(0,NORMINV(RAND(),$B$9,$C$9),1)</f>
        <v>0</v>
      </c>
      <c r="F173" s="28" t="n">
        <f aca="false">$B$12*(1+(B173+$B$17)/2)^9</f>
        <v>4632.47907116587</v>
      </c>
      <c r="G173" s="28" t="n">
        <f aca="false">F173*(C173-$B$18+$B$19*E173)</f>
        <v>-61.9540033779746</v>
      </c>
      <c r="H173" s="28" t="n">
        <f aca="false">MAX(0,$B$20*G173)/(1+D173)^9</f>
        <v>0</v>
      </c>
      <c r="I173" s="28" t="n">
        <f aca="false">$B$13*((1+$B$8)/(1+D173))^4.5</f>
        <v>560.494298010135</v>
      </c>
      <c r="J173" s="28" t="n">
        <f aca="false">H173+I173-$B$14</f>
        <v>-110.577619798084</v>
      </c>
      <c r="K173" s="45" t="n">
        <f aca="false">MAX(0,J173)/$B$15</f>
        <v>0</v>
      </c>
    </row>
    <row r="174" customFormat="false" ht="15" hidden="false" customHeight="false" outlineLevel="0" collapsed="false">
      <c r="A174" s="55" t="n">
        <v>134</v>
      </c>
      <c r="B174" s="22" t="n">
        <f aca="true">NORMINV(RAND(),$B$6,$C$6)</f>
        <v>0.368730228327416</v>
      </c>
      <c r="C174" s="22" t="n">
        <f aca="true">MAX(-0.05,NORMINV(RAND(),$B$7,$C$7))</f>
        <v>0.197091274928719</v>
      </c>
      <c r="D174" s="34" t="n">
        <f aca="true">MAX(0.08,NORMINV(RAND(),$B$8,$C$8))</f>
        <v>0.118889859168519</v>
      </c>
      <c r="E174" s="35" t="n">
        <f aca="true">MEDIAN(0,NORMINV(RAND(),$B$9,$C$9),1)</f>
        <v>0.203635280674418</v>
      </c>
      <c r="F174" s="28" t="n">
        <f aca="false">$B$12*(1+(B174+$B$17)/2)^9</f>
        <v>5597.74104258319</v>
      </c>
      <c r="G174" s="28" t="n">
        <f aca="false">F174*(C174-$B$18+$B$19*E174)</f>
        <v>1058.58407017339</v>
      </c>
      <c r="H174" s="28" t="n">
        <f aca="false">MAX(0,$B$20*G174)/(1+D174)^9</f>
        <v>2696.10843299079</v>
      </c>
      <c r="I174" s="28" t="n">
        <f aca="false">$B$13*((1+$B$8)/(1+D174))^4.5</f>
        <v>667.079942034949</v>
      </c>
      <c r="J174" s="28" t="n">
        <f aca="false">H174+I174-$B$14</f>
        <v>2692.11645721752</v>
      </c>
      <c r="K174" s="45" t="n">
        <f aca="false">MAX(0,J174)/$B$15</f>
        <v>9.63879862949344</v>
      </c>
    </row>
    <row r="175" customFormat="false" ht="15" hidden="false" customHeight="false" outlineLevel="0" collapsed="false">
      <c r="A175" s="55" t="n">
        <v>135</v>
      </c>
      <c r="B175" s="22" t="n">
        <f aca="true">NORMINV(RAND(),$B$6,$C$6)</f>
        <v>0.362286846007429</v>
      </c>
      <c r="C175" s="22" t="n">
        <f aca="true">MAX(-0.05,NORMINV(RAND(),$B$7,$C$7))</f>
        <v>0.114582738119971</v>
      </c>
      <c r="D175" s="34" t="n">
        <f aca="true">MAX(0.08,NORMINV(RAND(),$B$8,$C$8))</f>
        <v>0.150907171695767</v>
      </c>
      <c r="E175" s="35" t="n">
        <f aca="true">MEDIAN(0,NORMINV(RAND(),$B$9,$C$9),1)</f>
        <v>0</v>
      </c>
      <c r="F175" s="28" t="n">
        <f aca="false">$B$12*(1+(B175+$B$17)/2)^9</f>
        <v>5464.40786180013</v>
      </c>
      <c r="G175" s="28" t="n">
        <f aca="false">F175*(C175-$B$18+$B$19*E175)</f>
        <v>270.940303992346</v>
      </c>
      <c r="H175" s="28" t="n">
        <f aca="false">MAX(0,$B$20*G175)/(1+D175)^9</f>
        <v>535.314475039154</v>
      </c>
      <c r="I175" s="28" t="n">
        <f aca="false">$B$13*((1+$B$8)/(1+D175))^4.5</f>
        <v>587.542881333377</v>
      </c>
      <c r="J175" s="28" t="n">
        <f aca="false">H175+I175-$B$14</f>
        <v>451.785438564311</v>
      </c>
      <c r="K175" s="45" t="n">
        <f aca="false">MAX(0,J175)/$B$15</f>
        <v>1.6175633317734</v>
      </c>
    </row>
    <row r="176" customFormat="false" ht="15" hidden="false" customHeight="false" outlineLevel="0" collapsed="false">
      <c r="A176" s="55" t="n">
        <v>136</v>
      </c>
      <c r="B176" s="22" t="n">
        <f aca="true">NORMINV(RAND(),$B$6,$C$6)</f>
        <v>0.243584686838787</v>
      </c>
      <c r="C176" s="22" t="n">
        <f aca="true">MAX(-0.05,NORMINV(RAND(),$B$7,$C$7))</f>
        <v>0.129171638605159</v>
      </c>
      <c r="D176" s="34" t="n">
        <f aca="true">MAX(0.08,NORMINV(RAND(),$B$8,$C$8))</f>
        <v>0.14135595958219</v>
      </c>
      <c r="E176" s="35" t="n">
        <f aca="true">MEDIAN(0,NORMINV(RAND(),$B$9,$C$9),1)</f>
        <v>0</v>
      </c>
      <c r="F176" s="28" t="n">
        <f aca="false">$B$12*(1+(B176+$B$17)/2)^9</f>
        <v>3463.16701787428</v>
      </c>
      <c r="G176" s="28" t="n">
        <f aca="false">F176*(C176-$B$18+$B$19*E176)</f>
        <v>222.237102300336</v>
      </c>
      <c r="H176" s="28" t="n">
        <f aca="false">MAX(0,$B$20*G176)/(1+D176)^9</f>
        <v>473.287035601808</v>
      </c>
      <c r="I176" s="28" t="n">
        <f aca="false">$B$13*((1+$B$8)/(1+D176))^4.5</f>
        <v>609.994477763795</v>
      </c>
      <c r="J176" s="28" t="n">
        <f aca="false">H176+I176-$B$14</f>
        <v>412.209595557384</v>
      </c>
      <c r="K176" s="45" t="n">
        <f aca="false">MAX(0,J176)/$B$15</f>
        <v>1.47586679397559</v>
      </c>
    </row>
    <row r="177" customFormat="false" ht="15" hidden="false" customHeight="false" outlineLevel="0" collapsed="false">
      <c r="A177" s="55" t="n">
        <v>137</v>
      </c>
      <c r="B177" s="22" t="n">
        <f aca="true">NORMINV(RAND(),$B$6,$C$6)</f>
        <v>0.356029229975992</v>
      </c>
      <c r="C177" s="22" t="n">
        <f aca="true">MAX(-0.05,NORMINV(RAND(),$B$7,$C$7))</f>
        <v>0.168138156326597</v>
      </c>
      <c r="D177" s="34" t="n">
        <f aca="true">MAX(0.08,NORMINV(RAND(),$B$8,$C$8))</f>
        <v>0.143980542173167</v>
      </c>
      <c r="E177" s="35" t="n">
        <f aca="true">MEDIAN(0,NORMINV(RAND(),$B$9,$C$9),1)</f>
        <v>0.335964885429492</v>
      </c>
      <c r="F177" s="28" t="n">
        <f aca="false">$B$12*(1+(B177+$B$17)/2)^9</f>
        <v>5337.62851566563</v>
      </c>
      <c r="G177" s="28" t="n">
        <f aca="false">F177*(C177-$B$18+$B$19*E177)</f>
        <v>1052.62477502665</v>
      </c>
      <c r="H177" s="28" t="n">
        <f aca="false">MAX(0,$B$20*G177)/(1+D177)^9</f>
        <v>2195.85616241194</v>
      </c>
      <c r="I177" s="28" t="n">
        <f aca="false">$B$13*((1+$B$8)/(1+D177))^4.5</f>
        <v>603.722042480802</v>
      </c>
      <c r="J177" s="28" t="n">
        <f aca="false">H177+I177-$B$14</f>
        <v>2128.50628708452</v>
      </c>
      <c r="K177" s="45" t="n">
        <f aca="false">MAX(0,J177)/$B$15</f>
        <v>7.62086031895639</v>
      </c>
    </row>
    <row r="178" customFormat="false" ht="15" hidden="false" customHeight="false" outlineLevel="0" collapsed="false">
      <c r="A178" s="55" t="n">
        <v>138</v>
      </c>
      <c r="B178" s="22" t="n">
        <f aca="true">NORMINV(RAND(),$B$6,$C$6)</f>
        <v>0.167807844002389</v>
      </c>
      <c r="C178" s="22" t="n">
        <f aca="true">MAX(-0.05,NORMINV(RAND(),$B$7,$C$7))</f>
        <v>0.170995363988346</v>
      </c>
      <c r="D178" s="34" t="n">
        <f aca="true">MAX(0.08,NORMINV(RAND(),$B$8,$C$8))</f>
        <v>0.142363131177957</v>
      </c>
      <c r="E178" s="35" t="n">
        <f aca="true">MEDIAN(0,NORMINV(RAND(),$B$9,$C$9),1)</f>
        <v>0.210160519841818</v>
      </c>
      <c r="F178" s="28" t="n">
        <f aca="false">$B$12*(1+(B178+$B$17)/2)^9</f>
        <v>2556.05848120531</v>
      </c>
      <c r="G178" s="28" t="n">
        <f aca="false">F178*(C178-$B$18+$B$19*E178)</f>
        <v>421.341471254592</v>
      </c>
      <c r="H178" s="28" t="n">
        <f aca="false">MAX(0,$B$20*G178)/(1+D178)^9</f>
        <v>890.214459126441</v>
      </c>
      <c r="I178" s="28" t="n">
        <f aca="false">$B$13*((1+$B$8)/(1+D178))^4.5</f>
        <v>607.578084527206</v>
      </c>
      <c r="J178" s="28" t="n">
        <f aca="false">H178+I178-$B$14</f>
        <v>826.720625845427</v>
      </c>
      <c r="K178" s="45" t="n">
        <f aca="false">MAX(0,J178)/$B$15</f>
        <v>2.95997359772799</v>
      </c>
    </row>
    <row r="179" customFormat="false" ht="15" hidden="false" customHeight="false" outlineLevel="0" collapsed="false">
      <c r="A179" s="55" t="n">
        <v>139</v>
      </c>
      <c r="B179" s="22" t="n">
        <f aca="true">NORMINV(RAND(),$B$6,$C$6)</f>
        <v>0.288722379431309</v>
      </c>
      <c r="C179" s="22" t="n">
        <f aca="true">MAX(-0.05,NORMINV(RAND(),$B$7,$C$7))</f>
        <v>0.127467165520242</v>
      </c>
      <c r="D179" s="34" t="n">
        <f aca="true">MAX(0.08,NORMINV(RAND(),$B$8,$C$8))</f>
        <v>0.125036322890725</v>
      </c>
      <c r="E179" s="35" t="n">
        <f aca="true">MEDIAN(0,NORMINV(RAND(),$B$9,$C$9),1)</f>
        <v>0.675126333189423</v>
      </c>
      <c r="F179" s="28" t="n">
        <f aca="false">$B$12*(1+(B179+$B$17)/2)^9</f>
        <v>4130.27329844279</v>
      </c>
      <c r="G179" s="28" t="n">
        <f aca="false">F179*(C179-$B$18+$B$19*E179)</f>
        <v>1038.77422055106</v>
      </c>
      <c r="H179" s="28" t="n">
        <f aca="false">MAX(0,$B$20*G179)/(1+D179)^9</f>
        <v>2518.37444946164</v>
      </c>
      <c r="I179" s="28" t="n">
        <f aca="false">$B$13*((1+$B$8)/(1+D179))^4.5</f>
        <v>650.835828458374</v>
      </c>
      <c r="J179" s="28" t="n">
        <f aca="false">H179+I179-$B$14</f>
        <v>2498.1383601118</v>
      </c>
      <c r="K179" s="45" t="n">
        <f aca="false">MAX(0,J179)/$B$15</f>
        <v>8.94428342324311</v>
      </c>
    </row>
    <row r="180" customFormat="false" ht="15" hidden="false" customHeight="false" outlineLevel="0" collapsed="false">
      <c r="A180" s="55" t="n">
        <v>140</v>
      </c>
      <c r="B180" s="22" t="n">
        <f aca="true">NORMINV(RAND(),$B$6,$C$6)</f>
        <v>0.484865167549763</v>
      </c>
      <c r="C180" s="22" t="n">
        <f aca="true">MAX(-0.05,NORMINV(RAND(),$B$7,$C$7))</f>
        <v>0.0809206452289268</v>
      </c>
      <c r="D180" s="34" t="n">
        <f aca="true">MAX(0.08,NORMINV(RAND(),$B$8,$C$8))</f>
        <v>0.129953961092322</v>
      </c>
      <c r="E180" s="35" t="n">
        <f aca="true">MEDIAN(0,NORMINV(RAND(),$B$9,$C$9),1)</f>
        <v>0.234191517302337</v>
      </c>
      <c r="F180" s="28" t="n">
        <f aca="false">$B$12*(1+(B180+$B$17)/2)^9</f>
        <v>8551.90871822962</v>
      </c>
      <c r="G180" s="28" t="n">
        <f aca="false">F180*(C180-$B$18+$B$19*E180)</f>
        <v>696.931558728017</v>
      </c>
      <c r="H180" s="28" t="n">
        <f aca="false">MAX(0,$B$20*G180)/(1+D180)^9</f>
        <v>1624.58122755891</v>
      </c>
      <c r="I180" s="28" t="n">
        <f aca="false">$B$13*((1+$B$8)/(1+D180))^4.5</f>
        <v>638.18638086982</v>
      </c>
      <c r="J180" s="28" t="n">
        <f aca="false">H180+I180-$B$14</f>
        <v>1591.69569062051</v>
      </c>
      <c r="K180" s="45" t="n">
        <f aca="false">MAX(0,J180)/$B$15</f>
        <v>5.69887465313466</v>
      </c>
    </row>
    <row r="181" customFormat="false" ht="15" hidden="false" customHeight="false" outlineLevel="0" collapsed="false">
      <c r="A181" s="55" t="n">
        <v>141</v>
      </c>
      <c r="B181" s="22" t="n">
        <f aca="true">NORMINV(RAND(),$B$6,$C$6)</f>
        <v>0.393381043663347</v>
      </c>
      <c r="C181" s="22" t="n">
        <f aca="true">MAX(-0.05,NORMINV(RAND(),$B$7,$C$7))</f>
        <v>0.133521243154751</v>
      </c>
      <c r="D181" s="34" t="n">
        <f aca="true">MAX(0.08,NORMINV(RAND(),$B$8,$C$8))</f>
        <v>0.155833517600227</v>
      </c>
      <c r="E181" s="35" t="n">
        <f aca="true">MEDIAN(0,NORMINV(RAND(),$B$9,$C$9),1)</f>
        <v>0.0335466440856808</v>
      </c>
      <c r="F181" s="28" t="n">
        <f aca="false">$B$12*(1+(B181+$B$17)/2)^9</f>
        <v>6134.94145690485</v>
      </c>
      <c r="G181" s="28" t="n">
        <f aca="false">F181*(C181-$B$18+$B$19*E181)</f>
        <v>477.999690620297</v>
      </c>
      <c r="H181" s="28" t="n">
        <f aca="false">MAX(0,$B$20*G181)/(1+D181)^9</f>
        <v>908.799537132419</v>
      </c>
      <c r="I181" s="28" t="n">
        <f aca="false">$B$13*((1+$B$8)/(1+D181))^4.5</f>
        <v>576.357730963931</v>
      </c>
      <c r="J181" s="28" t="n">
        <f aca="false">H181+I181-$B$14</f>
        <v>814.085350288131</v>
      </c>
      <c r="K181" s="45" t="n">
        <f aca="false">MAX(0,J181)/$B$15</f>
        <v>2.91473451589019</v>
      </c>
    </row>
    <row r="182" customFormat="false" ht="15" hidden="false" customHeight="false" outlineLevel="0" collapsed="false">
      <c r="A182" s="55" t="n">
        <v>142</v>
      </c>
      <c r="B182" s="22" t="n">
        <f aca="true">NORMINV(RAND(),$B$6,$C$6)</f>
        <v>-0.185632347507552</v>
      </c>
      <c r="C182" s="22" t="n">
        <f aca="true">MAX(-0.05,NORMINV(RAND(),$B$7,$C$7))</f>
        <v>0.0843576204765875</v>
      </c>
      <c r="D182" s="34" t="n">
        <f aca="true">MAX(0.08,NORMINV(RAND(),$B$8,$C$8))</f>
        <v>0.170423148923923</v>
      </c>
      <c r="E182" s="35" t="n">
        <f aca="true">MEDIAN(0,NORMINV(RAND(),$B$9,$C$9),1)</f>
        <v>0</v>
      </c>
      <c r="F182" s="28" t="n">
        <f aca="false">$B$12*(1+(B182+$B$17)/2)^9</f>
        <v>531.718687349248</v>
      </c>
      <c r="G182" s="28" t="n">
        <f aca="false">F182*(C182-$B$18+$B$19*E182)</f>
        <v>10.292808550016</v>
      </c>
      <c r="H182" s="28" t="n">
        <f aca="false">MAX(0,$B$20*G182)/(1+D182)^9</f>
        <v>17.4801763503106</v>
      </c>
      <c r="I182" s="28" t="n">
        <f aca="false">$B$13*((1+$B$8)/(1+D182))^4.5</f>
        <v>544.72566729787</v>
      </c>
      <c r="J182" s="28" t="n">
        <f aca="false">H182+I182-$B$14</f>
        <v>-108.866074160038</v>
      </c>
      <c r="K182" s="45" t="n">
        <f aca="false">MAX(0,J182)/$B$15</f>
        <v>0</v>
      </c>
    </row>
    <row r="183" customFormat="false" ht="15" hidden="false" customHeight="false" outlineLevel="0" collapsed="false">
      <c r="A183" s="55" t="n">
        <v>143</v>
      </c>
      <c r="B183" s="22" t="n">
        <f aca="true">NORMINV(RAND(),$B$6,$C$6)</f>
        <v>0.292435231764891</v>
      </c>
      <c r="C183" s="22" t="n">
        <f aca="true">MAX(-0.05,NORMINV(RAND(),$B$7,$C$7))</f>
        <v>0.0808934313942676</v>
      </c>
      <c r="D183" s="34" t="n">
        <f aca="true">MAX(0.08,NORMINV(RAND(),$B$8,$C$8))</f>
        <v>0.12924275180564</v>
      </c>
      <c r="E183" s="35" t="n">
        <f aca="true">MEDIAN(0,NORMINV(RAND(),$B$9,$C$9),1)</f>
        <v>0.496095007969432</v>
      </c>
      <c r="F183" s="28" t="n">
        <f aca="false">$B$12*(1+(B183+$B$17)/2)^9</f>
        <v>4189.91945134069</v>
      </c>
      <c r="G183" s="28" t="n">
        <f aca="false">F183*(C183-$B$18+$B$19*E183)</f>
        <v>648.599671956549</v>
      </c>
      <c r="H183" s="28" t="n">
        <f aca="false">MAX(0,$B$20*G183)/(1+D183)^9</f>
        <v>1520.50887605774</v>
      </c>
      <c r="I183" s="28" t="n">
        <f aca="false">$B$13*((1+$B$8)/(1+D183))^4.5</f>
        <v>639.997090478404</v>
      </c>
      <c r="J183" s="28" t="n">
        <f aca="false">H183+I183-$B$14</f>
        <v>1489.43404872793</v>
      </c>
      <c r="K183" s="45" t="n">
        <f aca="false">MAX(0,J183)/$B$15</f>
        <v>5.33273916479746</v>
      </c>
    </row>
    <row r="184" customFormat="false" ht="15" hidden="false" customHeight="false" outlineLevel="0" collapsed="false">
      <c r="A184" s="55" t="n">
        <v>144</v>
      </c>
      <c r="B184" s="22" t="n">
        <f aca="true">NORMINV(RAND(),$B$6,$C$6)</f>
        <v>0.327499883681907</v>
      </c>
      <c r="C184" s="22" t="n">
        <f aca="true">MAX(-0.05,NORMINV(RAND(),$B$7,$C$7))</f>
        <v>0.0876665426888961</v>
      </c>
      <c r="D184" s="34" t="n">
        <f aca="true">MAX(0.08,NORMINV(RAND(),$B$8,$C$8))</f>
        <v>0.135740458661929</v>
      </c>
      <c r="E184" s="35" t="n">
        <f aca="true">MEDIAN(0,NORMINV(RAND(),$B$9,$C$9),1)</f>
        <v>0.626771774491355</v>
      </c>
      <c r="F184" s="28" t="n">
        <f aca="false">$B$12*(1+(B184+$B$17)/2)^9</f>
        <v>4792.13490071888</v>
      </c>
      <c r="G184" s="28" t="n">
        <f aca="false">F184*(C184-$B$18+$B$19*E184)</f>
        <v>949.62210098924</v>
      </c>
      <c r="H184" s="28" t="n">
        <f aca="false">MAX(0,$B$20*G184)/(1+D184)^9</f>
        <v>2114.15575949875</v>
      </c>
      <c r="I184" s="28" t="n">
        <f aca="false">$B$13*((1+$B$8)/(1+D184))^4.5</f>
        <v>623.684521037028</v>
      </c>
      <c r="J184" s="28" t="n">
        <f aca="false">H184+I184-$B$14</f>
        <v>2066.76836272756</v>
      </c>
      <c r="K184" s="45" t="n">
        <f aca="false">MAX(0,J184)/$B$15</f>
        <v>7.39981511896726</v>
      </c>
    </row>
    <row r="185" customFormat="false" ht="15" hidden="false" customHeight="false" outlineLevel="0" collapsed="false">
      <c r="A185" s="55" t="n">
        <v>145</v>
      </c>
      <c r="B185" s="22" t="n">
        <f aca="true">NORMINV(RAND(),$B$6,$C$6)</f>
        <v>0.422929708116041</v>
      </c>
      <c r="C185" s="22" t="n">
        <f aca="true">MAX(-0.05,NORMINV(RAND(),$B$7,$C$7))</f>
        <v>0.192987506629613</v>
      </c>
      <c r="D185" s="34" t="n">
        <f aca="true">MAX(0.08,NORMINV(RAND(),$B$8,$C$8))</f>
        <v>0.139220579104913</v>
      </c>
      <c r="E185" s="35" t="n">
        <f aca="true">MEDIAN(0,NORMINV(RAND(),$B$9,$C$9),1)</f>
        <v>0.791221763536622</v>
      </c>
      <c r="F185" s="28" t="n">
        <f aca="false">$B$12*(1+(B185+$B$17)/2)^9</f>
        <v>6838.91952869329</v>
      </c>
      <c r="G185" s="28" t="n">
        <f aca="false">F185*(C185-$B$18+$B$19*E185)</f>
        <v>2390.40481016779</v>
      </c>
      <c r="H185" s="28" t="n">
        <f aca="false">MAX(0,$B$20*G185)/(1+D185)^9</f>
        <v>5177.24956358186</v>
      </c>
      <c r="I185" s="28" t="n">
        <f aca="false">$B$13*((1+$B$8)/(1+D185))^4.5</f>
        <v>615.156624451692</v>
      </c>
      <c r="J185" s="28" t="n">
        <f aca="false">H185+I185-$B$14</f>
        <v>5121.33427022533</v>
      </c>
      <c r="K185" s="45" t="n">
        <f aca="false">MAX(0,J185)/$B$15</f>
        <v>18.3363203373624</v>
      </c>
    </row>
    <row r="186" customFormat="false" ht="15" hidden="false" customHeight="false" outlineLevel="0" collapsed="false">
      <c r="A186" s="55" t="n">
        <v>146</v>
      </c>
      <c r="B186" s="22" t="n">
        <f aca="true">NORMINV(RAND(),$B$6,$C$6)</f>
        <v>0.316785810679908</v>
      </c>
      <c r="C186" s="22" t="n">
        <f aca="true">MAX(-0.05,NORMINV(RAND(),$B$7,$C$7))</f>
        <v>0.163565330474651</v>
      </c>
      <c r="D186" s="34" t="n">
        <f aca="true">MAX(0.08,NORMINV(RAND(),$B$8,$C$8))</f>
        <v>0.163070279329907</v>
      </c>
      <c r="E186" s="35" t="n">
        <f aca="true">MEDIAN(0,NORMINV(RAND(),$B$9,$C$9),1)</f>
        <v>0.163094357704338</v>
      </c>
      <c r="F186" s="28" t="n">
        <f aca="false">$B$12*(1+(B186+$B$17)/2)^9</f>
        <v>4600.45059539046</v>
      </c>
      <c r="G186" s="28" t="n">
        <f aca="false">F186*(C186-$B$18+$B$19*E186)</f>
        <v>663.531043068577</v>
      </c>
      <c r="H186" s="28" t="n">
        <f aca="false">MAX(0,$B$20*G186)/(1+D186)^9</f>
        <v>1192.62981819897</v>
      </c>
      <c r="I186" s="28" t="n">
        <f aca="false">$B$13*((1+$B$8)/(1+D186))^4.5</f>
        <v>560.394792354887</v>
      </c>
      <c r="J186" s="28" t="n">
        <f aca="false">H186+I186-$B$14</f>
        <v>1081.95269274564</v>
      </c>
      <c r="K186" s="45" t="n">
        <f aca="false">MAX(0,J186)/$B$15</f>
        <v>3.87380126296325</v>
      </c>
    </row>
    <row r="187" customFormat="false" ht="15" hidden="false" customHeight="false" outlineLevel="0" collapsed="false">
      <c r="A187" s="55" t="n">
        <v>147</v>
      </c>
      <c r="B187" s="22" t="n">
        <f aca="true">NORMINV(RAND(),$B$6,$C$6)</f>
        <v>0.224663890885666</v>
      </c>
      <c r="C187" s="22" t="n">
        <f aca="true">MAX(-0.05,NORMINV(RAND(),$B$7,$C$7))</f>
        <v>0.162894488804779</v>
      </c>
      <c r="D187" s="34" t="n">
        <f aca="true">MAX(0.08,NORMINV(RAND(),$B$8,$C$8))</f>
        <v>0.151929751461532</v>
      </c>
      <c r="E187" s="35" t="n">
        <f aca="true">MEDIAN(0,NORMINV(RAND(),$B$9,$C$9),1)</f>
        <v>0.35055043337764</v>
      </c>
      <c r="F187" s="28" t="n">
        <f aca="false">$B$12*(1+(B187+$B$17)/2)^9</f>
        <v>3213.31378856446</v>
      </c>
      <c r="G187" s="28" t="n">
        <f aca="false">F187*(C187-$B$18+$B$19*E187)</f>
        <v>629.965702225559</v>
      </c>
      <c r="H187" s="28" t="n">
        <f aca="false">MAX(0,$B$20*G187)/(1+D187)^9</f>
        <v>1234.75555589838</v>
      </c>
      <c r="I187" s="28" t="n">
        <f aca="false">$B$13*((1+$B$8)/(1+D187))^4.5</f>
        <v>585.199469686836</v>
      </c>
      <c r="J187" s="28" t="n">
        <f aca="false">H187+I187-$B$14</f>
        <v>1148.88310777699</v>
      </c>
      <c r="K187" s="45" t="n">
        <f aca="false">MAX(0,J187)/$B$15</f>
        <v>4.11343755022196</v>
      </c>
    </row>
    <row r="188" customFormat="false" ht="15" hidden="false" customHeight="false" outlineLevel="0" collapsed="false">
      <c r="A188" s="55" t="n">
        <v>148</v>
      </c>
      <c r="B188" s="22" t="n">
        <f aca="true">NORMINV(RAND(),$B$6,$C$6)</f>
        <v>0.242717505482436</v>
      </c>
      <c r="C188" s="22" t="n">
        <f aca="true">MAX(-0.05,NORMINV(RAND(),$B$7,$C$7))</f>
        <v>0.0970127039179092</v>
      </c>
      <c r="D188" s="34" t="n">
        <f aca="true">MAX(0.08,NORMINV(RAND(),$B$8,$C$8))</f>
        <v>0.163850805771753</v>
      </c>
      <c r="E188" s="35" t="n">
        <f aca="true">MEDIAN(0,NORMINV(RAND(),$B$9,$C$9),1)</f>
        <v>0.179551235485013</v>
      </c>
      <c r="F188" s="28" t="n">
        <f aca="false">$B$12*(1+(B188+$B$17)/2)^9</f>
        <v>3451.34887722605</v>
      </c>
      <c r="G188" s="28" t="n">
        <f aca="false">F188*(C188-$B$18+$B$19*E188)</f>
        <v>284.001317122856</v>
      </c>
      <c r="H188" s="28" t="n">
        <f aca="false">MAX(0,$B$20*G188)/(1+D188)^9</f>
        <v>507.390801717469</v>
      </c>
      <c r="I188" s="28" t="n">
        <f aca="false">$B$13*((1+$B$8)/(1+D188))^4.5</f>
        <v>558.705568517585</v>
      </c>
      <c r="J188" s="28" t="n">
        <f aca="false">H188+I188-$B$14</f>
        <v>395.024452426835</v>
      </c>
      <c r="K188" s="45" t="n">
        <f aca="false">MAX(0,J188)/$B$15</f>
        <v>1.41433745945877</v>
      </c>
    </row>
    <row r="189" customFormat="false" ht="15" hidden="false" customHeight="false" outlineLevel="0" collapsed="false">
      <c r="A189" s="55" t="n">
        <v>149</v>
      </c>
      <c r="B189" s="22" t="n">
        <f aca="true">NORMINV(RAND(),$B$6,$C$6)</f>
        <v>0.426157738570551</v>
      </c>
      <c r="C189" s="22" t="n">
        <f aca="true">MAX(-0.05,NORMINV(RAND(),$B$7,$C$7))</f>
        <v>0.0939441712543321</v>
      </c>
      <c r="D189" s="34" t="n">
        <f aca="true">MAX(0.08,NORMINV(RAND(),$B$8,$C$8))</f>
        <v>0.133031852681097</v>
      </c>
      <c r="E189" s="35" t="n">
        <f aca="true">MEDIAN(0,NORMINV(RAND(),$B$9,$C$9),1)</f>
        <v>0.0859564407068811</v>
      </c>
      <c r="F189" s="28" t="n">
        <f aca="false">$B$12*(1+(B189+$B$17)/2)^9</f>
        <v>6920.01440733141</v>
      </c>
      <c r="G189" s="28" t="n">
        <f aca="false">F189*(C189-$B$18+$B$19*E189)</f>
        <v>366.843628354719</v>
      </c>
      <c r="H189" s="28" t="n">
        <f aca="false">MAX(0,$B$20*G189)/(1+D189)^9</f>
        <v>834.449285134315</v>
      </c>
      <c r="I189" s="28" t="n">
        <f aca="false">$B$13*((1+$B$8)/(1+D189))^4.5</f>
        <v>630.422007261475</v>
      </c>
      <c r="J189" s="28" t="n">
        <f aca="false">H189+I189-$B$14</f>
        <v>793.799374587571</v>
      </c>
      <c r="K189" s="45" t="n">
        <f aca="false">MAX(0,J189)/$B$15</f>
        <v>2.84210302394404</v>
      </c>
    </row>
    <row r="190" customFormat="false" ht="15" hidden="false" customHeight="false" outlineLevel="0" collapsed="false">
      <c r="A190" s="55" t="n">
        <v>150</v>
      </c>
      <c r="B190" s="22" t="n">
        <f aca="true">NORMINV(RAND(),$B$6,$C$6)</f>
        <v>0.569133411834736</v>
      </c>
      <c r="C190" s="22" t="n">
        <f aca="true">MAX(-0.05,NORMINV(RAND(),$B$7,$C$7))</f>
        <v>0.189800580109543</v>
      </c>
      <c r="D190" s="34" t="n">
        <f aca="true">MAX(0.08,NORMINV(RAND(),$B$8,$C$8))</f>
        <v>0.120971271197528</v>
      </c>
      <c r="E190" s="35" t="n">
        <f aca="true">MEDIAN(0,NORMINV(RAND(),$B$9,$C$9),1)</f>
        <v>0</v>
      </c>
      <c r="F190" s="28" t="n">
        <f aca="false">$B$12*(1+(B190+$B$17)/2)^9</f>
        <v>11491.7432575194</v>
      </c>
      <c r="G190" s="28" t="n">
        <f aca="false">F190*(C190-$B$18+$B$19*E190)</f>
        <v>1434.17622500834</v>
      </c>
      <c r="H190" s="28" t="n">
        <f aca="false">MAX(0,$B$20*G190)/(1+D190)^9</f>
        <v>3592.11487550583</v>
      </c>
      <c r="I190" s="28" t="n">
        <f aca="false">$B$13*((1+$B$8)/(1+D190))^4.5</f>
        <v>661.524192305273</v>
      </c>
      <c r="J190" s="28" t="n">
        <f aca="false">H190+I190-$B$14</f>
        <v>3582.56715000288</v>
      </c>
      <c r="K190" s="45" t="n">
        <f aca="false">MAX(0,J190)/$B$15</f>
        <v>12.826950053716</v>
      </c>
    </row>
    <row r="191" customFormat="false" ht="15" hidden="false" customHeight="false" outlineLevel="0" collapsed="false">
      <c r="A191" s="55" t="n">
        <v>151</v>
      </c>
      <c r="B191" s="22" t="n">
        <f aca="true">NORMINV(RAND(),$B$6,$C$6)</f>
        <v>0.493612080301697</v>
      </c>
      <c r="C191" s="22" t="n">
        <f aca="true">MAX(-0.05,NORMINV(RAND(),$B$7,$C$7))</f>
        <v>0.0993374749661265</v>
      </c>
      <c r="D191" s="34" t="n">
        <f aca="true">MAX(0.08,NORMINV(RAND(),$B$8,$C$8))</f>
        <v>0.15680356086879</v>
      </c>
      <c r="E191" s="35" t="n">
        <f aca="true">MEDIAN(0,NORMINV(RAND(),$B$9,$C$9),1)</f>
        <v>0.182163247334877</v>
      </c>
      <c r="F191" s="28" t="n">
        <f aca="false">$B$12*(1+(B191+$B$17)/2)^9</f>
        <v>8822.27168534598</v>
      </c>
      <c r="G191" s="28" t="n">
        <f aca="false">F191*(C191-$B$18+$B$19*E191)</f>
        <v>752.92075768042</v>
      </c>
      <c r="H191" s="28" t="n">
        <f aca="false">MAX(0,$B$20*G191)/(1+D191)^9</f>
        <v>1420.72741031545</v>
      </c>
      <c r="I191" s="28" t="n">
        <f aca="false">$B$13*((1+$B$8)/(1+D191))^4.5</f>
        <v>574.186036174027</v>
      </c>
      <c r="J191" s="28" t="n">
        <f aca="false">H191+I191-$B$14</f>
        <v>1323.84152868126</v>
      </c>
      <c r="K191" s="45" t="n">
        <f aca="false">MAX(0,J191)/$B$15</f>
        <v>4.73985509731923</v>
      </c>
    </row>
    <row r="192" customFormat="false" ht="15" hidden="false" customHeight="false" outlineLevel="0" collapsed="false">
      <c r="A192" s="55" t="n">
        <v>152</v>
      </c>
      <c r="B192" s="22" t="n">
        <f aca="true">NORMINV(RAND(),$B$6,$C$6)</f>
        <v>0.428695833779397</v>
      </c>
      <c r="C192" s="22" t="n">
        <f aca="true">MAX(-0.05,NORMINV(RAND(),$B$7,$C$7))</f>
        <v>0.163822171930867</v>
      </c>
      <c r="D192" s="34" t="n">
        <f aca="true">MAX(0.08,NORMINV(RAND(),$B$8,$C$8))</f>
        <v>0.152396229613816</v>
      </c>
      <c r="E192" s="35" t="n">
        <f aca="true">MEDIAN(0,NORMINV(RAND(),$B$9,$C$9),1)</f>
        <v>0.493886831857778</v>
      </c>
      <c r="F192" s="28" t="n">
        <f aca="false">$B$12*(1+(B192+$B$17)/2)^9</f>
        <v>6984.37574025363</v>
      </c>
      <c r="G192" s="28" t="n">
        <f aca="false">F192*(C192-$B$18+$B$19*E192)</f>
        <v>1656.06871815341</v>
      </c>
      <c r="H192" s="28" t="n">
        <f aca="false">MAX(0,$B$20*G192)/(1+D192)^9</f>
        <v>3234.1483385211</v>
      </c>
      <c r="I192" s="28" t="n">
        <f aca="false">$B$13*((1+$B$8)/(1+D192))^4.5</f>
        <v>584.134252253293</v>
      </c>
      <c r="J192" s="28" t="n">
        <f aca="false">H192+I192-$B$14</f>
        <v>3147.21067296618</v>
      </c>
      <c r="K192" s="45" t="n">
        <f aca="false">MAX(0,J192)/$B$15</f>
        <v>11.2682086393347</v>
      </c>
    </row>
    <row r="193" customFormat="false" ht="15" hidden="false" customHeight="false" outlineLevel="0" collapsed="false">
      <c r="A193" s="55" t="n">
        <v>153</v>
      </c>
      <c r="B193" s="22" t="n">
        <f aca="true">NORMINV(RAND(),$B$6,$C$6)</f>
        <v>0.252597089549808</v>
      </c>
      <c r="C193" s="22" t="n">
        <f aca="true">MAX(-0.05,NORMINV(RAND(),$B$7,$C$7))</f>
        <v>0.154955411154231</v>
      </c>
      <c r="D193" s="34" t="n">
        <f aca="true">MAX(0.08,NORMINV(RAND(),$B$8,$C$8))</f>
        <v>0.16575512978719</v>
      </c>
      <c r="E193" s="35" t="n">
        <f aca="true">MEDIAN(0,NORMINV(RAND(),$B$9,$C$9),1)</f>
        <v>0.495349978706211</v>
      </c>
      <c r="F193" s="28" t="n">
        <f aca="false">$B$12*(1+(B193+$B$17)/2)^9</f>
        <v>3588.13660399161</v>
      </c>
      <c r="G193" s="28" t="n">
        <f aca="false">F193*(C193-$B$18+$B$19*E193)</f>
        <v>820.439652796634</v>
      </c>
      <c r="H193" s="28" t="n">
        <f aca="false">MAX(0,$B$20*G193)/(1+D193)^9</f>
        <v>1444.3706849619</v>
      </c>
      <c r="I193" s="28" t="n">
        <f aca="false">$B$13*((1+$B$8)/(1+D193))^4.5</f>
        <v>554.610252569755</v>
      </c>
      <c r="J193" s="28" t="n">
        <f aca="false">H193+I193-$B$14</f>
        <v>1327.90901972344</v>
      </c>
      <c r="K193" s="45" t="n">
        <f aca="false">MAX(0,J193)/$B$15</f>
        <v>4.75441825894535</v>
      </c>
    </row>
    <row r="194" customFormat="false" ht="15" hidden="false" customHeight="false" outlineLevel="0" collapsed="false">
      <c r="A194" s="55" t="n">
        <v>154</v>
      </c>
      <c r="B194" s="22" t="n">
        <f aca="true">NORMINV(RAND(),$B$6,$C$6)</f>
        <v>0.554724005722896</v>
      </c>
      <c r="C194" s="22" t="n">
        <f aca="true">MAX(-0.05,NORMINV(RAND(),$B$7,$C$7))</f>
        <v>0.110587092815633</v>
      </c>
      <c r="D194" s="34" t="n">
        <f aca="true">MAX(0.08,NORMINV(RAND(),$B$8,$C$8))</f>
        <v>0.147502768248277</v>
      </c>
      <c r="E194" s="35" t="n">
        <f aca="true">MEDIAN(0,NORMINV(RAND(),$B$9,$C$9),1)</f>
        <v>0.0438807328435641</v>
      </c>
      <c r="F194" s="28" t="n">
        <f aca="false">$B$12*(1+(B194+$B$17)/2)^9</f>
        <v>10933.0130512431</v>
      </c>
      <c r="G194" s="28" t="n">
        <f aca="false">F194*(C194-$B$18+$B$19*E194)</f>
        <v>632.733895687049</v>
      </c>
      <c r="H194" s="28" t="n">
        <f aca="false">MAX(0,$B$20*G194)/(1+D194)^9</f>
        <v>1283.91260662078</v>
      </c>
      <c r="I194" s="28" t="n">
        <f aca="false">$B$13*((1+$B$8)/(1+D194))^4.5</f>
        <v>595.427739568682</v>
      </c>
      <c r="J194" s="28" t="n">
        <f aca="false">H194+I194-$B$14</f>
        <v>1208.26842838125</v>
      </c>
      <c r="K194" s="45" t="n">
        <f aca="false">MAX(0,J194)/$B$15</f>
        <v>4.32605953591567</v>
      </c>
    </row>
    <row r="195" customFormat="false" ht="15" hidden="false" customHeight="false" outlineLevel="0" collapsed="false">
      <c r="A195" s="55" t="n">
        <v>155</v>
      </c>
      <c r="B195" s="22" t="n">
        <f aca="true">NORMINV(RAND(),$B$6,$C$6)</f>
        <v>0.204903042323979</v>
      </c>
      <c r="C195" s="22" t="n">
        <f aca="true">MAX(-0.05,NORMINV(RAND(),$B$7,$C$7))</f>
        <v>0.197954176804914</v>
      </c>
      <c r="D195" s="34" t="n">
        <f aca="true">MAX(0.08,NORMINV(RAND(),$B$8,$C$8))</f>
        <v>0.122378732658168</v>
      </c>
      <c r="E195" s="35" t="n">
        <f aca="true">MEDIAN(0,NORMINV(RAND(),$B$9,$C$9),1)</f>
        <v>0.0346364007378387</v>
      </c>
      <c r="F195" s="28" t="n">
        <f aca="false">$B$12*(1+(B195+$B$17)/2)^9</f>
        <v>2969.59781260771</v>
      </c>
      <c r="G195" s="28" t="n">
        <f aca="false">F195*(C195-$B$18+$B$19*E195)</f>
        <v>423.620162979884</v>
      </c>
      <c r="H195" s="28" t="n">
        <f aca="false">MAX(0,$B$20*G195)/(1+D195)^9</f>
        <v>1049.10704392301</v>
      </c>
      <c r="I195" s="28" t="n">
        <f aca="false">$B$13*((1+$B$8)/(1+D195))^4.5</f>
        <v>657.799398640354</v>
      </c>
      <c r="J195" s="28" t="n">
        <f aca="false">H195+I195-$B$14</f>
        <v>1035.83452475514</v>
      </c>
      <c r="K195" s="45" t="n">
        <f aca="false">MAX(0,J195)/$B$15</f>
        <v>3.70868071877961</v>
      </c>
    </row>
    <row r="196" customFormat="false" ht="15" hidden="false" customHeight="false" outlineLevel="0" collapsed="false">
      <c r="A196" s="55" t="n">
        <v>156</v>
      </c>
      <c r="B196" s="22" t="n">
        <f aca="true">NORMINV(RAND(),$B$6,$C$6)</f>
        <v>0.597893459490014</v>
      </c>
      <c r="C196" s="22" t="n">
        <f aca="true">MAX(-0.05,NORMINV(RAND(),$B$7,$C$7))</f>
        <v>0.168759010906318</v>
      </c>
      <c r="D196" s="34" t="n">
        <f aca="true">MAX(0.08,NORMINV(RAND(),$B$8,$C$8))</f>
        <v>0.123031486406087</v>
      </c>
      <c r="E196" s="35" t="n">
        <f aca="true">MEDIAN(0,NORMINV(RAND(),$B$9,$C$9),1)</f>
        <v>0.153162352877593</v>
      </c>
      <c r="F196" s="28" t="n">
        <f aca="false">$B$12*(1+(B196+$B$17)/2)^9</f>
        <v>12683.3681257605</v>
      </c>
      <c r="G196" s="28" t="n">
        <f aca="false">F196*(C196-$B$18+$B$19*E196)</f>
        <v>1859.94579296479</v>
      </c>
      <c r="H196" s="28" t="n">
        <f aca="false">MAX(0,$B$20*G196)/(1+D196)^9</f>
        <v>4582.16720313998</v>
      </c>
      <c r="I196" s="28" t="n">
        <f aca="false">$B$13*((1+$B$8)/(1+D196))^4.5</f>
        <v>656.080613211467</v>
      </c>
      <c r="J196" s="28" t="n">
        <f aca="false">H196+I196-$B$14</f>
        <v>4567.17589854323</v>
      </c>
      <c r="K196" s="45" t="n">
        <f aca="false">MAX(0,J196)/$B$15</f>
        <v>16.3522230524283</v>
      </c>
    </row>
    <row r="197" customFormat="false" ht="15" hidden="false" customHeight="false" outlineLevel="0" collapsed="false">
      <c r="A197" s="55" t="n">
        <v>157</v>
      </c>
      <c r="B197" s="22" t="n">
        <f aca="true">NORMINV(RAND(),$B$6,$C$6)</f>
        <v>0.377260643983948</v>
      </c>
      <c r="C197" s="22" t="n">
        <f aca="true">MAX(-0.05,NORMINV(RAND(),$B$7,$C$7))</f>
        <v>0.156961889541594</v>
      </c>
      <c r="D197" s="34" t="n">
        <f aca="true">MAX(0.08,NORMINV(RAND(),$B$8,$C$8))</f>
        <v>0.136278357088623</v>
      </c>
      <c r="E197" s="35" t="n">
        <f aca="true">MEDIAN(0,NORMINV(RAND(),$B$9,$C$9),1)</f>
        <v>0</v>
      </c>
      <c r="F197" s="28" t="n">
        <f aca="false">$B$12*(1+(B197+$B$17)/2)^9</f>
        <v>5778.70692682888</v>
      </c>
      <c r="G197" s="28" t="n">
        <f aca="false">F197*(C197-$B$18+$B$19*E197)</f>
        <v>531.420808098281</v>
      </c>
      <c r="H197" s="28" t="n">
        <f aca="false">MAX(0,$B$20*G197)/(1+D197)^9</f>
        <v>1178.0778308465</v>
      </c>
      <c r="I197" s="28" t="n">
        <f aca="false">$B$13*((1+$B$8)/(1+D197))^4.5</f>
        <v>622.357025007155</v>
      </c>
      <c r="J197" s="28" t="n">
        <f aca="false">H197+I197-$B$14</f>
        <v>1129.36293804544</v>
      </c>
      <c r="K197" s="45" t="n">
        <f aca="false">MAX(0,J197)/$B$15</f>
        <v>4.04354793428369</v>
      </c>
    </row>
    <row r="198" customFormat="false" ht="15" hidden="false" customHeight="false" outlineLevel="0" collapsed="false">
      <c r="A198" s="55" t="n">
        <v>158</v>
      </c>
      <c r="B198" s="22" t="n">
        <f aca="true">NORMINV(RAND(),$B$6,$C$6)</f>
        <v>0.450232921556168</v>
      </c>
      <c r="C198" s="22" t="n">
        <f aca="true">MAX(-0.05,NORMINV(RAND(),$B$7,$C$7))</f>
        <v>0.254458672111012</v>
      </c>
      <c r="D198" s="34" t="n">
        <f aca="true">MAX(0.08,NORMINV(RAND(),$B$8,$C$8))</f>
        <v>0.140380242233946</v>
      </c>
      <c r="E198" s="35" t="n">
        <f aca="true">MEDIAN(0,NORMINV(RAND(),$B$9,$C$9),1)</f>
        <v>0.00288929365316715</v>
      </c>
      <c r="F198" s="28" t="n">
        <f aca="false">$B$12*(1+(B198+$B$17)/2)^9</f>
        <v>7552.29717965517</v>
      </c>
      <c r="G198" s="28" t="n">
        <f aca="false">F198*(C198-$B$18+$B$19*E198)</f>
        <v>1436.95802025145</v>
      </c>
      <c r="H198" s="28" t="n">
        <f aca="false">MAX(0,$B$20*G198)/(1+D198)^9</f>
        <v>3083.86218854183</v>
      </c>
      <c r="I198" s="28" t="n">
        <f aca="false">$B$13*((1+$B$8)/(1+D198))^4.5</f>
        <v>612.346616915726</v>
      </c>
      <c r="J198" s="28" t="n">
        <f aca="false">H198+I198-$B$14</f>
        <v>3025.13688764933</v>
      </c>
      <c r="K198" s="45" t="n">
        <f aca="false">MAX(0,J198)/$B$15</f>
        <v>10.8311381584294</v>
      </c>
    </row>
    <row r="199" customFormat="false" ht="15" hidden="false" customHeight="false" outlineLevel="0" collapsed="false">
      <c r="A199" s="55" t="n">
        <v>159</v>
      </c>
      <c r="B199" s="22" t="n">
        <f aca="true">NORMINV(RAND(),$B$6,$C$6)</f>
        <v>0.561647689826713</v>
      </c>
      <c r="C199" s="22" t="n">
        <f aca="true">MAX(-0.05,NORMINV(RAND(),$B$7,$C$7))</f>
        <v>0.106857610160068</v>
      </c>
      <c r="D199" s="34" t="n">
        <f aca="true">MAX(0.08,NORMINV(RAND(),$B$8,$C$8))</f>
        <v>0.1239920737228</v>
      </c>
      <c r="E199" s="35" t="n">
        <f aca="true">MEDIAN(0,NORMINV(RAND(),$B$9,$C$9),1)</f>
        <v>0.108089002817427</v>
      </c>
      <c r="F199" s="28" t="n">
        <f aca="false">$B$12*(1+(B199+$B$17)/2)^9</f>
        <v>11198.3929299031</v>
      </c>
      <c r="G199" s="28" t="n">
        <f aca="false">F199*(C199-$B$18+$B$19*E199)</f>
        <v>807.656440665416</v>
      </c>
      <c r="H199" s="28" t="n">
        <f aca="false">MAX(0,$B$20*G199)/(1+D199)^9</f>
        <v>1974.49238406045</v>
      </c>
      <c r="I199" s="28" t="n">
        <f aca="false">$B$13*((1+$B$8)/(1+D199))^4.5</f>
        <v>653.561232675523</v>
      </c>
      <c r="J199" s="28" t="n">
        <f aca="false">H199+I199-$B$14</f>
        <v>1956.98169892775</v>
      </c>
      <c r="K199" s="45" t="n">
        <f aca="false">MAX(0,J199)/$B$15</f>
        <v>7.00673719630417</v>
      </c>
    </row>
    <row r="200" customFormat="false" ht="15" hidden="false" customHeight="false" outlineLevel="0" collapsed="false">
      <c r="A200" s="55" t="n">
        <v>160</v>
      </c>
      <c r="B200" s="22" t="n">
        <f aca="true">NORMINV(RAND(),$B$6,$C$6)</f>
        <v>0.218474085626089</v>
      </c>
      <c r="C200" s="22" t="n">
        <f aca="true">MAX(-0.05,NORMINV(RAND(),$B$7,$C$7))</f>
        <v>0.0966831621925374</v>
      </c>
      <c r="D200" s="34" t="n">
        <f aca="true">MAX(0.08,NORMINV(RAND(),$B$8,$C$8))</f>
        <v>0.144614185075902</v>
      </c>
      <c r="E200" s="35" t="n">
        <f aca="true">MEDIAN(0,NORMINV(RAND(),$B$9,$C$9),1)</f>
        <v>0.441566937020846</v>
      </c>
      <c r="F200" s="28" t="n">
        <f aca="false">$B$12*(1+(B200+$B$17)/2)^9</f>
        <v>3135.12848148745</v>
      </c>
      <c r="G200" s="28" t="n">
        <f aca="false">F200*(C200-$B$18+$B$19*E200)</f>
        <v>486.954126779835</v>
      </c>
      <c r="H200" s="28" t="n">
        <f aca="false">MAX(0,$B$20*G200)/(1+D200)^9</f>
        <v>1010.77380145512</v>
      </c>
      <c r="I200" s="28" t="n">
        <f aca="false">$B$13*((1+$B$8)/(1+D200))^4.5</f>
        <v>602.219543266408</v>
      </c>
      <c r="J200" s="28" t="n">
        <f aca="false">H200+I200-$B$14</f>
        <v>941.921426913304</v>
      </c>
      <c r="K200" s="45" t="n">
        <f aca="false">MAX(0,J200)/$B$15</f>
        <v>3.37243618658541</v>
      </c>
    </row>
    <row r="201" customFormat="false" ht="15" hidden="false" customHeight="false" outlineLevel="0" collapsed="false">
      <c r="A201" s="55" t="n">
        <v>161</v>
      </c>
      <c r="B201" s="22" t="n">
        <f aca="true">NORMINV(RAND(),$B$6,$C$6)</f>
        <v>0.247763214279881</v>
      </c>
      <c r="C201" s="22" t="n">
        <f aca="true">MAX(-0.05,NORMINV(RAND(),$B$7,$C$7))</f>
        <v>0.0821315098628399</v>
      </c>
      <c r="D201" s="34" t="n">
        <f aca="true">MAX(0.08,NORMINV(RAND(),$B$8,$C$8))</f>
        <v>0.149502862956605</v>
      </c>
      <c r="E201" s="35" t="n">
        <f aca="true">MEDIAN(0,NORMINV(RAND(),$B$9,$C$9),1)</f>
        <v>0</v>
      </c>
      <c r="F201" s="28" t="n">
        <f aca="false">$B$12*(1+(B201+$B$17)/2)^9</f>
        <v>3520.61869654154</v>
      </c>
      <c r="G201" s="28" t="n">
        <f aca="false">F201*(C201-$B$18+$B$19*E201)</f>
        <v>60.3135139231</v>
      </c>
      <c r="H201" s="28" t="n">
        <f aca="false">MAX(0,$B$20*G201)/(1+D201)^9</f>
        <v>120.481996691423</v>
      </c>
      <c r="I201" s="28" t="n">
        <f aca="false">$B$13*((1+$B$8)/(1+D201))^4.5</f>
        <v>590.779809497176</v>
      </c>
      <c r="J201" s="28" t="n">
        <f aca="false">H201+I201-$B$14</f>
        <v>40.1898883803796</v>
      </c>
      <c r="K201" s="45" t="n">
        <f aca="false">MAX(0,J201)/$B$15</f>
        <v>0.143895053277406</v>
      </c>
    </row>
    <row r="202" customFormat="false" ht="15" hidden="false" customHeight="false" outlineLevel="0" collapsed="false">
      <c r="A202" s="55" t="n">
        <v>162</v>
      </c>
      <c r="B202" s="22" t="n">
        <f aca="true">NORMINV(RAND(),$B$6,$C$6)</f>
        <v>0.304601482608047</v>
      </c>
      <c r="C202" s="22" t="n">
        <f aca="true">MAX(-0.05,NORMINV(RAND(),$B$7,$C$7))</f>
        <v>0.184014207840345</v>
      </c>
      <c r="D202" s="34" t="n">
        <f aca="true">MAX(0.08,NORMINV(RAND(),$B$8,$C$8))</f>
        <v>0.176054998494386</v>
      </c>
      <c r="E202" s="35" t="n">
        <f aca="true">MEDIAN(0,NORMINV(RAND(),$B$9,$C$9),1)</f>
        <v>0.951092253797479</v>
      </c>
      <c r="F202" s="28" t="n">
        <f aca="false">$B$12*(1+(B202+$B$17)/2)^9</f>
        <v>4390.76966998779</v>
      </c>
      <c r="G202" s="28" t="n">
        <f aca="false">F202*(C202-$B$18+$B$19*E202)</f>
        <v>1691.85154005662</v>
      </c>
      <c r="H202" s="28" t="n">
        <f aca="false">MAX(0,$B$20*G202)/(1+D202)^9</f>
        <v>2751.76664509559</v>
      </c>
      <c r="I202" s="28" t="n">
        <f aca="false">$B$13*((1+$B$8)/(1+D202))^4.5</f>
        <v>533.085116841741</v>
      </c>
      <c r="J202" s="28" t="n">
        <f aca="false">H202+I202-$B$14</f>
        <v>2613.77984412911</v>
      </c>
      <c r="K202" s="45" t="n">
        <f aca="false">MAX(0,J202)/$B$15</f>
        <v>9.35832382430758</v>
      </c>
    </row>
    <row r="203" customFormat="false" ht="15" hidden="false" customHeight="false" outlineLevel="0" collapsed="false">
      <c r="A203" s="55" t="n">
        <v>163</v>
      </c>
      <c r="B203" s="22" t="n">
        <f aca="true">NORMINV(RAND(),$B$6,$C$6)</f>
        <v>0.288333907841649</v>
      </c>
      <c r="C203" s="22" t="n">
        <f aca="true">MAX(-0.05,NORMINV(RAND(),$B$7,$C$7))</f>
        <v>0.148144826611824</v>
      </c>
      <c r="D203" s="34" t="n">
        <f aca="true">MAX(0.08,NORMINV(RAND(),$B$8,$C$8))</f>
        <v>0.115675785313671</v>
      </c>
      <c r="E203" s="35" t="n">
        <f aca="true">MEDIAN(0,NORMINV(RAND(),$B$9,$C$9),1)</f>
        <v>0.114309004671581</v>
      </c>
      <c r="F203" s="28" t="n">
        <f aca="false">$B$12*(1+(B203+$B$17)/2)^9</f>
        <v>4124.07641868208</v>
      </c>
      <c r="G203" s="28" t="n">
        <f aca="false">F203*(C203-$B$18+$B$19*E203)</f>
        <v>474.892958535776</v>
      </c>
      <c r="H203" s="28" t="n">
        <f aca="false">MAX(0,$B$20*G203)/(1+D203)^9</f>
        <v>1241.22840329215</v>
      </c>
      <c r="I203" s="28" t="n">
        <f aca="false">$B$13*((1+$B$8)/(1+D203))^4.5</f>
        <v>675.771496418233</v>
      </c>
      <c r="J203" s="28" t="n">
        <f aca="false">H203+I203-$B$14</f>
        <v>1245.92798190216</v>
      </c>
      <c r="K203" s="45" t="n">
        <f aca="false">MAX(0,J203)/$B$15</f>
        <v>4.46089503008293</v>
      </c>
    </row>
    <row r="204" customFormat="false" ht="15" hidden="false" customHeight="false" outlineLevel="0" collapsed="false">
      <c r="A204" s="55" t="n">
        <v>164</v>
      </c>
      <c r="B204" s="22" t="n">
        <f aca="true">NORMINV(RAND(),$B$6,$C$6)</f>
        <v>0.175449274093716</v>
      </c>
      <c r="C204" s="22" t="n">
        <f aca="true">MAX(-0.05,NORMINV(RAND(),$B$7,$C$7))</f>
        <v>0.0864768941843428</v>
      </c>
      <c r="D204" s="34" t="n">
        <f aca="true">MAX(0.08,NORMINV(RAND(),$B$8,$C$8))</f>
        <v>0.141305700460947</v>
      </c>
      <c r="E204" s="35" t="n">
        <f aca="true">MEDIAN(0,NORMINV(RAND(),$B$9,$C$9),1)</f>
        <v>0.590490222561494</v>
      </c>
      <c r="F204" s="28" t="n">
        <f aca="false">$B$12*(1+(B204+$B$17)/2)^9</f>
        <v>2636.79055418907</v>
      </c>
      <c r="G204" s="28" t="n">
        <f aca="false">F204*(C204-$B$18+$B$19*E204)</f>
        <v>492.589803252116</v>
      </c>
      <c r="H204" s="28" t="n">
        <f aca="false">MAX(0,$B$20*G204)/(1+D204)^9</f>
        <v>1049.45924970439</v>
      </c>
      <c r="I204" s="28" t="n">
        <f aca="false">$B$13*((1+$B$8)/(1+D204))^4.5</f>
        <v>610.115366208445</v>
      </c>
      <c r="J204" s="28" t="n">
        <f aca="false">H204+I204-$B$14</f>
        <v>988.502698104613</v>
      </c>
      <c r="K204" s="45" t="n">
        <f aca="false">MAX(0,J204)/$B$15</f>
        <v>3.53921481598501</v>
      </c>
    </row>
    <row r="205" customFormat="false" ht="15" hidden="false" customHeight="false" outlineLevel="0" collapsed="false">
      <c r="A205" s="55" t="n">
        <v>165</v>
      </c>
      <c r="B205" s="22" t="n">
        <f aca="true">NORMINV(RAND(),$B$6,$C$6)</f>
        <v>0.208741811914803</v>
      </c>
      <c r="C205" s="22" t="n">
        <f aca="true">MAX(-0.05,NORMINV(RAND(),$B$7,$C$7))</f>
        <v>0.163340060282638</v>
      </c>
      <c r="D205" s="34" t="n">
        <f aca="true">MAX(0.08,NORMINV(RAND(),$B$8,$C$8))</f>
        <v>0.13713797946535</v>
      </c>
      <c r="E205" s="35" t="n">
        <f aca="true">MEDIAN(0,NORMINV(RAND(),$B$9,$C$9),1)</f>
        <v>0</v>
      </c>
      <c r="F205" s="28" t="n">
        <f aca="false">$B$12*(1+(B205+$B$17)/2)^9</f>
        <v>3015.61359951714</v>
      </c>
      <c r="G205" s="28" t="n">
        <f aca="false">F205*(C205-$B$18+$B$19*E205)</f>
        <v>296.555623165659</v>
      </c>
      <c r="H205" s="28" t="n">
        <f aca="false">MAX(0,$B$20*G205)/(1+D205)^9</f>
        <v>652.958710443627</v>
      </c>
      <c r="I205" s="28" t="n">
        <f aca="false">$B$13*((1+$B$8)/(1+D205))^4.5</f>
        <v>620.242698261812</v>
      </c>
      <c r="J205" s="28" t="n">
        <f aca="false">H205+I205-$B$14</f>
        <v>602.129490897221</v>
      </c>
      <c r="K205" s="45" t="n">
        <f aca="false">MAX(0,J205)/$B$15</f>
        <v>2.15585209773441</v>
      </c>
    </row>
    <row r="206" customFormat="false" ht="15" hidden="false" customHeight="false" outlineLevel="0" collapsed="false">
      <c r="A206" s="55" t="n">
        <v>166</v>
      </c>
      <c r="B206" s="22" t="n">
        <f aca="true">NORMINV(RAND(),$B$6,$C$6)</f>
        <v>0.30456979233361</v>
      </c>
      <c r="C206" s="22" t="n">
        <f aca="true">MAX(-0.05,NORMINV(RAND(),$B$7,$C$7))</f>
        <v>0.11097150208544</v>
      </c>
      <c r="D206" s="34" t="n">
        <f aca="true">MAX(0.08,NORMINV(RAND(),$B$8,$C$8))</f>
        <v>0.167224650698789</v>
      </c>
      <c r="E206" s="35" t="n">
        <f aca="true">MEDIAN(0,NORMINV(RAND(),$B$9,$C$9),1)</f>
        <v>0</v>
      </c>
      <c r="F206" s="28" t="n">
        <f aca="false">$B$12*(1+(B206+$B$17)/2)^9</f>
        <v>4390.23557727819</v>
      </c>
      <c r="G206" s="28" t="n">
        <f aca="false">F206*(C206-$B$18+$B$19*E206)</f>
        <v>201.825723996416</v>
      </c>
      <c r="H206" s="28" t="n">
        <f aca="false">MAX(0,$B$20*G206)/(1+D206)^9</f>
        <v>351.305137671492</v>
      </c>
      <c r="I206" s="28" t="n">
        <f aca="false">$B$13*((1+$B$8)/(1+D206))^4.5</f>
        <v>551.475055622708</v>
      </c>
      <c r="J206" s="28" t="n">
        <f aca="false">H206+I206-$B$14</f>
        <v>231.708275485981</v>
      </c>
      <c r="K206" s="45" t="n">
        <f aca="false">MAX(0,J206)/$B$15</f>
        <v>0.829603564217621</v>
      </c>
    </row>
    <row r="207" customFormat="false" ht="15" hidden="false" customHeight="false" outlineLevel="0" collapsed="false">
      <c r="A207" s="55" t="n">
        <v>167</v>
      </c>
      <c r="B207" s="22" t="n">
        <f aca="true">NORMINV(RAND(),$B$6,$C$6)</f>
        <v>0.127702961297908</v>
      </c>
      <c r="C207" s="22" t="n">
        <f aca="true">MAX(-0.05,NORMINV(RAND(),$B$7,$C$7))</f>
        <v>0.162345755697366</v>
      </c>
      <c r="D207" s="34" t="n">
        <f aca="true">MAX(0.08,NORMINV(RAND(),$B$8,$C$8))</f>
        <v>0.13051192805302</v>
      </c>
      <c r="E207" s="35" t="n">
        <f aca="true">MEDIAN(0,NORMINV(RAND(),$B$9,$C$9),1)</f>
        <v>0.129467514518289</v>
      </c>
      <c r="F207" s="28" t="n">
        <f aca="false">$B$12*(1+(B207+$B$17)/2)^9</f>
        <v>2167.29124280401</v>
      </c>
      <c r="G207" s="28" t="n">
        <f aca="false">F207*(C207-$B$18+$B$19*E207)</f>
        <v>289.542870771105</v>
      </c>
      <c r="H207" s="28" t="n">
        <f aca="false">MAX(0,$B$20*G207)/(1+D207)^9</f>
        <v>671.946313276069</v>
      </c>
      <c r="I207" s="28" t="n">
        <f aca="false">$B$13*((1+$B$8)/(1+D207))^4.5</f>
        <v>636.77020149476</v>
      </c>
      <c r="J207" s="28" t="n">
        <f aca="false">H207+I207-$B$14</f>
        <v>637.64459696261</v>
      </c>
      <c r="K207" s="45" t="n">
        <f aca="false">MAX(0,J207)/$B$15</f>
        <v>2.28300965614969</v>
      </c>
    </row>
    <row r="208" customFormat="false" ht="15" hidden="false" customHeight="false" outlineLevel="0" collapsed="false">
      <c r="A208" s="55" t="n">
        <v>168</v>
      </c>
      <c r="B208" s="22" t="n">
        <f aca="true">NORMINV(RAND(),$B$6,$C$6)</f>
        <v>0.517405839833573</v>
      </c>
      <c r="C208" s="22" t="n">
        <f aca="true">MAX(-0.05,NORMINV(RAND(),$B$7,$C$7))</f>
        <v>0.0986458944379437</v>
      </c>
      <c r="D208" s="34" t="n">
        <f aca="true">MAX(0.08,NORMINV(RAND(),$B$8,$C$8))</f>
        <v>0.113375621543003</v>
      </c>
      <c r="E208" s="35" t="n">
        <f aca="true">MEDIAN(0,NORMINV(RAND(),$B$9,$C$9),1)</f>
        <v>0.0781620860896316</v>
      </c>
      <c r="F208" s="28" t="n">
        <f aca="false">$B$12*(1+(B208+$B$17)/2)^9</f>
        <v>9596.57387927169</v>
      </c>
      <c r="G208" s="28" t="n">
        <f aca="false">F208*(C208-$B$18+$B$19*E208)</f>
        <v>532.910017148703</v>
      </c>
      <c r="H208" s="28" t="n">
        <f aca="false">MAX(0,$B$20*G208)/(1+D208)^9</f>
        <v>1418.98091352689</v>
      </c>
      <c r="I208" s="28" t="n">
        <f aca="false">$B$13*((1+$B$8)/(1+D208))^4.5</f>
        <v>682.076704768281</v>
      </c>
      <c r="J208" s="28" t="n">
        <f aca="false">H208+I208-$B$14</f>
        <v>1429.98570048695</v>
      </c>
      <c r="K208" s="45" t="n">
        <f aca="false">MAX(0,J208)/$B$15</f>
        <v>5.11989151624402</v>
      </c>
    </row>
    <row r="209" customFormat="false" ht="15" hidden="false" customHeight="false" outlineLevel="0" collapsed="false">
      <c r="A209" s="55" t="n">
        <v>169</v>
      </c>
      <c r="B209" s="22" t="n">
        <f aca="true">NORMINV(RAND(),$B$6,$C$6)</f>
        <v>0.548011549025869</v>
      </c>
      <c r="C209" s="22" t="n">
        <f aca="true">MAX(-0.05,NORMINV(RAND(),$B$7,$C$7))</f>
        <v>0.180127936695432</v>
      </c>
      <c r="D209" s="34" t="n">
        <f aca="true">MAX(0.08,NORMINV(RAND(),$B$8,$C$8))</f>
        <v>0.112389289974757</v>
      </c>
      <c r="E209" s="35" t="n">
        <f aca="true">MEDIAN(0,NORMINV(RAND(),$B$9,$C$9),1)</f>
        <v>0.474225053628294</v>
      </c>
      <c r="F209" s="28" t="n">
        <f aca="false">$B$12*(1+(B209+$B$17)/2)^9</f>
        <v>10681.0814904074</v>
      </c>
      <c r="G209" s="28" t="n">
        <f aca="false">F209*(C209-$B$18+$B$19*E209)</f>
        <v>2647.95707759343</v>
      </c>
      <c r="H209" s="28" t="n">
        <f aca="false">MAX(0,$B$20*G209)/(1+D209)^9</f>
        <v>7107.18780135762</v>
      </c>
      <c r="I209" s="28" t="n">
        <f aca="false">$B$13*((1+$B$8)/(1+D209))^4.5</f>
        <v>684.802452940696</v>
      </c>
      <c r="J209" s="28" t="n">
        <f aca="false">H209+I209-$B$14</f>
        <v>7120.9183364901</v>
      </c>
      <c r="K209" s="45" t="n">
        <f aca="false">MAX(0,J209)/$B$15</f>
        <v>25.4955901771933</v>
      </c>
    </row>
    <row r="210" customFormat="false" ht="15" hidden="false" customHeight="false" outlineLevel="0" collapsed="false">
      <c r="A210" s="55" t="n">
        <v>170</v>
      </c>
      <c r="B210" s="22" t="n">
        <f aca="true">NORMINV(RAND(),$B$6,$C$6)</f>
        <v>0.184841578359867</v>
      </c>
      <c r="C210" s="22" t="n">
        <f aca="true">MAX(-0.05,NORMINV(RAND(),$B$7,$C$7))</f>
        <v>0.0630804046085455</v>
      </c>
      <c r="D210" s="34" t="n">
        <f aca="true">MAX(0.08,NORMINV(RAND(),$B$8,$C$8))</f>
        <v>0.145832444580854</v>
      </c>
      <c r="E210" s="35" t="n">
        <f aca="true">MEDIAN(0,NORMINV(RAND(),$B$9,$C$9),1)</f>
        <v>0.261183362566507</v>
      </c>
      <c r="F210" s="28" t="n">
        <f aca="false">$B$12*(1+(B210+$B$17)/2)^9</f>
        <v>2739.12068290148</v>
      </c>
      <c r="G210" s="28" t="n">
        <f aca="false">F210*(C210-$B$18+$B$19*E210)</f>
        <v>195.057566682454</v>
      </c>
      <c r="H210" s="28" t="n">
        <f aca="false">MAX(0,$B$20*G210)/(1+D210)^9</f>
        <v>401.024406536998</v>
      </c>
      <c r="I210" s="28" t="n">
        <f aca="false">$B$13*((1+$B$8)/(1+D210))^4.5</f>
        <v>599.343615583638</v>
      </c>
      <c r="J210" s="28" t="n">
        <f aca="false">H210+I210-$B$14</f>
        <v>329.296104312417</v>
      </c>
      <c r="K210" s="45" t="n">
        <f aca="false">MAX(0,J210)/$B$15</f>
        <v>1.17900502797142</v>
      </c>
    </row>
    <row r="211" customFormat="false" ht="15" hidden="false" customHeight="false" outlineLevel="0" collapsed="false">
      <c r="A211" s="55" t="n">
        <v>171</v>
      </c>
      <c r="B211" s="22" t="n">
        <f aca="true">NORMINV(RAND(),$B$6,$C$6)</f>
        <v>0.126546615937151</v>
      </c>
      <c r="C211" s="22" t="n">
        <f aca="true">MAX(-0.05,NORMINV(RAND(),$B$7,$C$7))</f>
        <v>0.211362978305564</v>
      </c>
      <c r="D211" s="34" t="n">
        <f aca="true">MAX(0.08,NORMINV(RAND(),$B$8,$C$8))</f>
        <v>0.153326118839536</v>
      </c>
      <c r="E211" s="35" t="n">
        <f aca="true">MEDIAN(0,NORMINV(RAND(),$B$9,$C$9),1)</f>
        <v>0.813778707650397</v>
      </c>
      <c r="F211" s="28" t="n">
        <f aca="false">$B$12*(1+(B211+$B$17)/2)^9</f>
        <v>2156.9082857651</v>
      </c>
      <c r="G211" s="28" t="n">
        <f aca="false">F211*(C211-$B$18+$B$19*E211)</f>
        <v>807.16041108343</v>
      </c>
      <c r="H211" s="28" t="n">
        <f aca="false">MAX(0,$B$20*G211)/(1+D211)^9</f>
        <v>1564.90776758068</v>
      </c>
      <c r="I211" s="28" t="n">
        <f aca="false">$B$13*((1+$B$8)/(1+D211))^4.5</f>
        <v>582.017882826894</v>
      </c>
      <c r="J211" s="28" t="n">
        <f aca="false">H211+I211-$B$14</f>
        <v>1475.85373259936</v>
      </c>
      <c r="K211" s="45" t="n">
        <f aca="false">MAX(0,J211)/$B$15</f>
        <v>5.28411647905247</v>
      </c>
    </row>
    <row r="212" customFormat="false" ht="15" hidden="false" customHeight="false" outlineLevel="0" collapsed="false">
      <c r="A212" s="55" t="n">
        <v>172</v>
      </c>
      <c r="B212" s="22" t="n">
        <f aca="true">NORMINV(RAND(),$B$6,$C$6)</f>
        <v>0.318768453545037</v>
      </c>
      <c r="C212" s="22" t="n">
        <f aca="true">MAX(-0.05,NORMINV(RAND(),$B$7,$C$7))</f>
        <v>0.185816269739575</v>
      </c>
      <c r="D212" s="34" t="n">
        <f aca="true">MAX(0.08,NORMINV(RAND(),$B$8,$C$8))</f>
        <v>0.138886187633413</v>
      </c>
      <c r="E212" s="35" t="n">
        <f aca="true">MEDIAN(0,NORMINV(RAND(),$B$9,$C$9),1)</f>
        <v>0.428310606540313</v>
      </c>
      <c r="F212" s="28" t="n">
        <f aca="false">$B$12*(1+(B212+$B$17)/2)^9</f>
        <v>4635.39913761373</v>
      </c>
      <c r="G212" s="28" t="n">
        <f aca="false">F212*(C212-$B$18+$B$19*E212)</f>
        <v>1115.94100509311</v>
      </c>
      <c r="H212" s="28" t="n">
        <f aca="false">MAX(0,$B$20*G212)/(1+D212)^9</f>
        <v>2423.35111634748</v>
      </c>
      <c r="I212" s="28" t="n">
        <f aca="false">$B$13*((1+$B$8)/(1+D212))^4.5</f>
        <v>615.96982232264</v>
      </c>
      <c r="J212" s="28" t="n">
        <f aca="false">H212+I212-$B$14</f>
        <v>2368.2490208619</v>
      </c>
      <c r="K212" s="45" t="n">
        <f aca="false">MAX(0,J212)/$B$15</f>
        <v>8.47923029309666</v>
      </c>
    </row>
    <row r="213" customFormat="false" ht="15" hidden="false" customHeight="false" outlineLevel="0" collapsed="false">
      <c r="A213" s="55" t="n">
        <v>173</v>
      </c>
      <c r="B213" s="22" t="n">
        <f aca="true">NORMINV(RAND(),$B$6,$C$6)</f>
        <v>0.605683943580277</v>
      </c>
      <c r="C213" s="22" t="n">
        <f aca="true">MAX(-0.05,NORMINV(RAND(),$B$7,$C$7))</f>
        <v>0.145995246257689</v>
      </c>
      <c r="D213" s="34" t="n">
        <f aca="true">MAX(0.08,NORMINV(RAND(),$B$8,$C$8))</f>
        <v>0.141922000815277</v>
      </c>
      <c r="E213" s="35" t="n">
        <f aca="true">MEDIAN(0,NORMINV(RAND(),$B$9,$C$9),1)</f>
        <v>0.135580362381989</v>
      </c>
      <c r="F213" s="28" t="n">
        <f aca="false">$B$12*(1+(B213+$B$17)/2)^9</f>
        <v>13024.4979829378</v>
      </c>
      <c r="G213" s="28" t="n">
        <f aca="false">F213*(C213-$B$18+$B$19*E213)</f>
        <v>1549.36494529448</v>
      </c>
      <c r="H213" s="28" t="n">
        <f aca="false">MAX(0,$B$20*G213)/(1+D213)^9</f>
        <v>3284.91247522697</v>
      </c>
      <c r="I213" s="28" t="n">
        <f aca="false">$B$13*((1+$B$8)/(1+D213))^4.5</f>
        <v>608.634996257203</v>
      </c>
      <c r="J213" s="28" t="n">
        <f aca="false">H213+I213-$B$14</f>
        <v>3222.47555367595</v>
      </c>
      <c r="K213" s="45" t="n">
        <f aca="false">MAX(0,J213)/$B$15</f>
        <v>11.5376854768204</v>
      </c>
    </row>
    <row r="214" customFormat="false" ht="15" hidden="false" customHeight="false" outlineLevel="0" collapsed="false">
      <c r="A214" s="55" t="n">
        <v>174</v>
      </c>
      <c r="B214" s="22" t="n">
        <f aca="true">NORMINV(RAND(),$B$6,$C$6)</f>
        <v>0.388351811542958</v>
      </c>
      <c r="C214" s="22" t="n">
        <f aca="true">MAX(-0.05,NORMINV(RAND(),$B$7,$C$7))</f>
        <v>0.138074679348579</v>
      </c>
      <c r="D214" s="34" t="n">
        <f aca="true">MAX(0.08,NORMINV(RAND(),$B$8,$C$8))</f>
        <v>0.16060471616573</v>
      </c>
      <c r="E214" s="35" t="n">
        <f aca="true">MEDIAN(0,NORMINV(RAND(),$B$9,$C$9),1)</f>
        <v>0.387609456071402</v>
      </c>
      <c r="F214" s="28" t="n">
        <f aca="false">$B$12*(1+(B214+$B$17)/2)^9</f>
        <v>6021.7648599828</v>
      </c>
      <c r="G214" s="28" t="n">
        <f aca="false">F214*(C214-$B$18+$B$19*E214)</f>
        <v>1093.58457680677</v>
      </c>
      <c r="H214" s="28" t="n">
        <f aca="false">MAX(0,$B$20*G214)/(1+D214)^9</f>
        <v>2003.50964533412</v>
      </c>
      <c r="I214" s="28" t="n">
        <f aca="false">$B$13*((1+$B$8)/(1+D214))^4.5</f>
        <v>565.771950663065</v>
      </c>
      <c r="J214" s="28" t="n">
        <f aca="false">H214+I214-$B$14</f>
        <v>1898.20967818897</v>
      </c>
      <c r="K214" s="45" t="n">
        <f aca="false">MAX(0,J214)/$B$15</f>
        <v>6.79631105688853</v>
      </c>
    </row>
    <row r="215" customFormat="false" ht="15" hidden="false" customHeight="false" outlineLevel="0" collapsed="false">
      <c r="A215" s="55" t="n">
        <v>175</v>
      </c>
      <c r="B215" s="22" t="n">
        <f aca="true">NORMINV(RAND(),$B$6,$C$6)</f>
        <v>0.473865819572275</v>
      </c>
      <c r="C215" s="22" t="n">
        <f aca="true">MAX(-0.05,NORMINV(RAND(),$B$7,$C$7))</f>
        <v>0.114937745218104</v>
      </c>
      <c r="D215" s="34" t="n">
        <f aca="true">MAX(0.08,NORMINV(RAND(),$B$8,$C$8))</f>
        <v>0.151469286223995</v>
      </c>
      <c r="E215" s="35" t="n">
        <f aca="true">MEDIAN(0,NORMINV(RAND(),$B$9,$C$9),1)</f>
        <v>0.453405653973382</v>
      </c>
      <c r="F215" s="28" t="n">
        <f aca="false">$B$12*(1+(B215+$B$17)/2)^9</f>
        <v>8222.39195060732</v>
      </c>
      <c r="G215" s="28" t="n">
        <f aca="false">F215*(C215-$B$18+$B$19*E215)</f>
        <v>1454.46983419818</v>
      </c>
      <c r="H215" s="28" t="n">
        <f aca="false">MAX(0,$B$20*G215)/(1+D215)^9</f>
        <v>2861.09009530551</v>
      </c>
      <c r="I215" s="28" t="n">
        <f aca="false">$B$13*((1+$B$8)/(1+D215))^4.5</f>
        <v>586.253285833691</v>
      </c>
      <c r="J215" s="28" t="n">
        <f aca="false">H215+I215-$B$14</f>
        <v>2776.27146333099</v>
      </c>
      <c r="K215" s="45" t="n">
        <f aca="false">MAX(0,J215)/$B$15</f>
        <v>9.94010548990686</v>
      </c>
    </row>
    <row r="216" customFormat="false" ht="15" hidden="false" customHeight="false" outlineLevel="0" collapsed="false">
      <c r="A216" s="55" t="n">
        <v>176</v>
      </c>
      <c r="B216" s="22" t="n">
        <f aca="true">NORMINV(RAND(),$B$6,$C$6)</f>
        <v>0.460145771774494</v>
      </c>
      <c r="C216" s="22" t="n">
        <f aca="true">MAX(-0.05,NORMINV(RAND(),$B$7,$C$7))</f>
        <v>0.186866283886841</v>
      </c>
      <c r="D216" s="34" t="n">
        <f aca="true">MAX(0.08,NORMINV(RAND(),$B$8,$C$8))</f>
        <v>0.129088747874489</v>
      </c>
      <c r="E216" s="35" t="n">
        <f aca="true">MEDIAN(0,NORMINV(RAND(),$B$9,$C$9),1)</f>
        <v>0.602133065567703</v>
      </c>
      <c r="F216" s="28" t="n">
        <f aca="false">$B$12*(1+(B216+$B$17)/2)^9</f>
        <v>7827.21598328283</v>
      </c>
      <c r="G216" s="28" t="n">
        <f aca="false">F216*(C216-$B$18+$B$19*E216)</f>
        <v>2273.52088042726</v>
      </c>
      <c r="H216" s="28" t="n">
        <f aca="false">MAX(0,$B$20*G216)/(1+D216)^9</f>
        <v>5336.34958716129</v>
      </c>
      <c r="I216" s="28" t="n">
        <f aca="false">$B$13*((1+$B$8)/(1+D216))^4.5</f>
        <v>640.390004840614</v>
      </c>
      <c r="J216" s="28" t="n">
        <f aca="false">H216+I216-$B$14</f>
        <v>5305.66767419368</v>
      </c>
      <c r="K216" s="45" t="n">
        <f aca="false">MAX(0,J216)/$B$15</f>
        <v>18.9963038818248</v>
      </c>
    </row>
    <row r="217" customFormat="false" ht="15" hidden="false" customHeight="false" outlineLevel="0" collapsed="false">
      <c r="A217" s="55" t="n">
        <v>177</v>
      </c>
      <c r="B217" s="22" t="n">
        <f aca="true">NORMINV(RAND(),$B$6,$C$6)</f>
        <v>0.137113815011922</v>
      </c>
      <c r="C217" s="22" t="n">
        <f aca="true">MAX(-0.05,NORMINV(RAND(),$B$7,$C$7))</f>
        <v>0.0880061161554858</v>
      </c>
      <c r="D217" s="34" t="n">
        <f aca="true">MAX(0.08,NORMINV(RAND(),$B$8,$C$8))</f>
        <v>0.146426194322532</v>
      </c>
      <c r="E217" s="35" t="n">
        <f aca="true">MEDIAN(0,NORMINV(RAND(),$B$9,$C$9),1)</f>
        <v>0.0336967367123642</v>
      </c>
      <c r="F217" s="28" t="n">
        <f aca="false">$B$12*(1+(B217+$B$17)/2)^9</f>
        <v>2253.4583781407</v>
      </c>
      <c r="G217" s="28" t="n">
        <f aca="false">F217*(C217-$B$18+$B$19*E217)</f>
        <v>73.1048994239915</v>
      </c>
      <c r="H217" s="28" t="n">
        <f aca="false">MAX(0,$B$20*G217)/(1+D217)^9</f>
        <v>149.599319826351</v>
      </c>
      <c r="I217" s="28" t="n">
        <f aca="false">$B$13*((1+$B$8)/(1+D217))^4.5</f>
        <v>597.948044058769</v>
      </c>
      <c r="J217" s="28" t="n">
        <f aca="false">H217+I217-$B$14</f>
        <v>76.4754460769001</v>
      </c>
      <c r="K217" s="45" t="n">
        <f aca="false">MAX(0,J217)/$B$15</f>
        <v>0.273811120934121</v>
      </c>
    </row>
    <row r="218" customFormat="false" ht="15" hidden="false" customHeight="false" outlineLevel="0" collapsed="false">
      <c r="A218" s="55" t="n">
        <v>178</v>
      </c>
      <c r="B218" s="22" t="n">
        <f aca="true">NORMINV(RAND(),$B$6,$C$6)</f>
        <v>0.144160784481635</v>
      </c>
      <c r="C218" s="22" t="n">
        <f aca="true">MAX(-0.05,NORMINV(RAND(),$B$7,$C$7))</f>
        <v>0.10831711948095</v>
      </c>
      <c r="D218" s="34" t="n">
        <f aca="true">MAX(0.08,NORMINV(RAND(),$B$8,$C$8))</f>
        <v>0.151855251302832</v>
      </c>
      <c r="E218" s="35" t="n">
        <f aca="true">MEDIAN(0,NORMINV(RAND(),$B$9,$C$9),1)</f>
        <v>0</v>
      </c>
      <c r="F218" s="28" t="n">
        <f aca="false">$B$12*(1+(B218+$B$17)/2)^9</f>
        <v>2319.96154265565</v>
      </c>
      <c r="G218" s="28" t="n">
        <f aca="false">F218*(C218-$B$18+$B$19*E218)</f>
        <v>100.494051334423</v>
      </c>
      <c r="H218" s="28" t="n">
        <f aca="false">MAX(0,$B$20*G218)/(1+D218)^9</f>
        <v>197.08666264037</v>
      </c>
      <c r="I218" s="28" t="n">
        <f aca="false">$B$13*((1+$B$8)/(1+D218))^4.5</f>
        <v>585.369812919755</v>
      </c>
      <c r="J218" s="28" t="n">
        <f aca="false">H218+I218-$B$14</f>
        <v>111.384557751906</v>
      </c>
      <c r="K218" s="45" t="n">
        <f aca="false">MAX(0,J218)/$B$15</f>
        <v>0.398798989444704</v>
      </c>
    </row>
    <row r="219" customFormat="false" ht="15" hidden="false" customHeight="false" outlineLevel="0" collapsed="false">
      <c r="A219" s="55" t="n">
        <v>179</v>
      </c>
      <c r="B219" s="22" t="n">
        <f aca="true">NORMINV(RAND(),$B$6,$C$6)</f>
        <v>0.540751149042046</v>
      </c>
      <c r="C219" s="22" t="n">
        <f aca="true">MAX(-0.05,NORMINV(RAND(),$B$7,$C$7))</f>
        <v>0.115717254510402</v>
      </c>
      <c r="D219" s="34" t="n">
        <f aca="true">MAX(0.08,NORMINV(RAND(),$B$8,$C$8))</f>
        <v>0.109041244348392</v>
      </c>
      <c r="E219" s="35" t="n">
        <f aca="true">MEDIAN(0,NORMINV(RAND(),$B$9,$C$9),1)</f>
        <v>0.221697685148117</v>
      </c>
      <c r="F219" s="28" t="n">
        <f aca="false">$B$12*(1+(B219+$B$17)/2)^9</f>
        <v>10414.4059537731</v>
      </c>
      <c r="G219" s="28" t="n">
        <f aca="false">F219*(C219-$B$18+$B$19*E219)</f>
        <v>1174.66799113256</v>
      </c>
      <c r="H219" s="28" t="n">
        <f aca="false">MAX(0,$B$20*G219)/(1+D219)^9</f>
        <v>3239.54410546617</v>
      </c>
      <c r="I219" s="28" t="n">
        <f aca="false">$B$13*((1+$B$8)/(1+D219))^4.5</f>
        <v>694.154691659179</v>
      </c>
      <c r="J219" s="28" t="n">
        <f aca="false">H219+I219-$B$14</f>
        <v>3262.62687931713</v>
      </c>
      <c r="K219" s="45" t="n">
        <f aca="false">MAX(0,J219)/$B$15</f>
        <v>11.6814424608562</v>
      </c>
    </row>
    <row r="220" customFormat="false" ht="15" hidden="false" customHeight="false" outlineLevel="0" collapsed="false">
      <c r="A220" s="55" t="n">
        <v>180</v>
      </c>
      <c r="B220" s="22" t="n">
        <f aca="true">NORMINV(RAND(),$B$6,$C$6)</f>
        <v>0.588512726304043</v>
      </c>
      <c r="C220" s="22" t="n">
        <f aca="true">MAX(-0.05,NORMINV(RAND(),$B$7,$C$7))</f>
        <v>0.156520338932807</v>
      </c>
      <c r="D220" s="34" t="n">
        <f aca="true">MAX(0.08,NORMINV(RAND(),$B$8,$C$8))</f>
        <v>0.12603827089871</v>
      </c>
      <c r="E220" s="35" t="n">
        <f aca="true">MEDIAN(0,NORMINV(RAND(),$B$9,$C$9),1)</f>
        <v>0</v>
      </c>
      <c r="F220" s="28" t="n">
        <f aca="false">$B$12*(1+(B220+$B$17)/2)^9</f>
        <v>12283.1595929046</v>
      </c>
      <c r="G220" s="28" t="n">
        <f aca="false">F220*(C220-$B$18+$B$19*E220)</f>
        <v>1124.15892910839</v>
      </c>
      <c r="H220" s="28" t="n">
        <f aca="false">MAX(0,$B$20*G220)/(1+D220)^9</f>
        <v>2703.63085027771</v>
      </c>
      <c r="I220" s="28" t="n">
        <f aca="false">$B$13*((1+$B$8)/(1+D220))^4.5</f>
        <v>648.233873853014</v>
      </c>
      <c r="J220" s="28" t="n">
        <f aca="false">H220+I220-$B$14</f>
        <v>2680.7928063225</v>
      </c>
      <c r="K220" s="45" t="n">
        <f aca="false">MAX(0,J220)/$B$15</f>
        <v>9.59825566173471</v>
      </c>
    </row>
    <row r="221" customFormat="false" ht="15" hidden="false" customHeight="false" outlineLevel="0" collapsed="false">
      <c r="A221" s="55" t="n">
        <v>181</v>
      </c>
      <c r="B221" s="22" t="n">
        <f aca="true">NORMINV(RAND(),$B$6,$C$6)</f>
        <v>0.0969834673954131</v>
      </c>
      <c r="C221" s="22" t="n">
        <f aca="true">MAX(-0.05,NORMINV(RAND(),$B$7,$C$7))</f>
        <v>0.176324878869023</v>
      </c>
      <c r="D221" s="34" t="n">
        <f aca="true">MAX(0.08,NORMINV(RAND(),$B$8,$C$8))</f>
        <v>0.149678086842017</v>
      </c>
      <c r="E221" s="35" t="n">
        <f aca="true">MEDIAN(0,NORMINV(RAND(),$B$9,$C$9),1)</f>
        <v>0.0862596619710535</v>
      </c>
      <c r="F221" s="28" t="n">
        <f aca="false">$B$12*(1+(B221+$B$17)/2)^9</f>
        <v>1906.03029307622</v>
      </c>
      <c r="G221" s="28" t="n">
        <f aca="false">F221*(C221-$B$18+$B$19*E221)</f>
        <v>258.224379557854</v>
      </c>
      <c r="H221" s="28" t="n">
        <f aca="false">MAX(0,$B$20*G221)/(1+D221)^9</f>
        <v>515.120696783728</v>
      </c>
      <c r="I221" s="28" t="n">
        <f aca="false">$B$13*((1+$B$8)/(1+D221))^4.5</f>
        <v>590.37473082749</v>
      </c>
      <c r="J221" s="28" t="n">
        <f aca="false">H221+I221-$B$14</f>
        <v>434.423509802998</v>
      </c>
      <c r="K221" s="45" t="n">
        <f aca="false">MAX(0,J221)/$B$15</f>
        <v>1.55540103760472</v>
      </c>
    </row>
    <row r="222" customFormat="false" ht="15" hidden="false" customHeight="false" outlineLevel="0" collapsed="false">
      <c r="A222" s="55" t="n">
        <v>182</v>
      </c>
      <c r="B222" s="22" t="n">
        <f aca="true">NORMINV(RAND(),$B$6,$C$6)</f>
        <v>0.605394012496417</v>
      </c>
      <c r="C222" s="22" t="n">
        <f aca="true">MAX(-0.05,NORMINV(RAND(),$B$7,$C$7))</f>
        <v>0.12854710759019</v>
      </c>
      <c r="D222" s="34" t="n">
        <f aca="true">MAX(0.08,NORMINV(RAND(),$B$8,$C$8))</f>
        <v>0.124194887217772</v>
      </c>
      <c r="E222" s="35" t="n">
        <f aca="true">MEDIAN(0,NORMINV(RAND(),$B$9,$C$9),1)</f>
        <v>0.153683253222025</v>
      </c>
      <c r="F222" s="28" t="n">
        <f aca="false">$B$12*(1+(B222+$B$17)/2)^9</f>
        <v>13011.6578371278</v>
      </c>
      <c r="G222" s="28" t="n">
        <f aca="false">F222*(C222-$B$18+$B$19*E222)</f>
        <v>1386.76191424477</v>
      </c>
      <c r="H222" s="28" t="n">
        <f aca="false">MAX(0,$B$20*G222)/(1+D222)^9</f>
        <v>3384.74140020996</v>
      </c>
      <c r="I222" s="28" t="n">
        <f aca="false">$B$13*((1+$B$8)/(1+D222))^4.5</f>
        <v>653.030816296352</v>
      </c>
      <c r="J222" s="28" t="n">
        <f aca="false">H222+I222-$B$14</f>
        <v>3366.70029869809</v>
      </c>
      <c r="K222" s="45" t="n">
        <f aca="false">MAX(0,J222)/$B$15</f>
        <v>12.054064800208</v>
      </c>
    </row>
    <row r="223" customFormat="false" ht="15" hidden="false" customHeight="false" outlineLevel="0" collapsed="false">
      <c r="A223" s="55" t="n">
        <v>183</v>
      </c>
      <c r="B223" s="22" t="n">
        <f aca="true">NORMINV(RAND(),$B$6,$C$6)</f>
        <v>0.159533980951007</v>
      </c>
      <c r="C223" s="22" t="n">
        <f aca="true">MAX(-0.05,NORMINV(RAND(),$B$7,$C$7))</f>
        <v>0.192855430740069</v>
      </c>
      <c r="D223" s="34" t="n">
        <f aca="true">MAX(0.08,NORMINV(RAND(),$B$8,$C$8))</f>
        <v>0.124308652759259</v>
      </c>
      <c r="E223" s="35" t="n">
        <f aca="true">MEDIAN(0,NORMINV(RAND(),$B$9,$C$9),1)</f>
        <v>0</v>
      </c>
      <c r="F223" s="28" t="n">
        <f aca="false">$B$12*(1+(B223+$B$17)/2)^9</f>
        <v>2471.12901895217</v>
      </c>
      <c r="G223" s="28" t="n">
        <f aca="false">F223*(C223-$B$18+$B$19*E223)</f>
        <v>315.947265132412</v>
      </c>
      <c r="H223" s="28" t="n">
        <f aca="false">MAX(0,$B$20*G223)/(1+D223)^9</f>
        <v>770.446813138403</v>
      </c>
      <c r="I223" s="28" t="n">
        <f aca="false">$B$13*((1+$B$8)/(1+D223))^4.5</f>
        <v>652.733516596408</v>
      </c>
      <c r="J223" s="28" t="n">
        <f aca="false">H223+I223-$B$14</f>
        <v>752.108411926592</v>
      </c>
      <c r="K223" s="45" t="n">
        <f aca="false">MAX(0,J223)/$B$15</f>
        <v>2.69283355505403</v>
      </c>
    </row>
    <row r="224" customFormat="false" ht="15" hidden="false" customHeight="false" outlineLevel="0" collapsed="false">
      <c r="A224" s="55" t="n">
        <v>184</v>
      </c>
      <c r="B224" s="22" t="n">
        <f aca="true">NORMINV(RAND(),$B$6,$C$6)</f>
        <v>0.288631309816288</v>
      </c>
      <c r="C224" s="22" t="n">
        <f aca="true">MAX(-0.05,NORMINV(RAND(),$B$7,$C$7))</f>
        <v>0.186478187242501</v>
      </c>
      <c r="D224" s="34" t="n">
        <f aca="true">MAX(0.08,NORMINV(RAND(),$B$8,$C$8))</f>
        <v>0.168766600474247</v>
      </c>
      <c r="E224" s="35" t="n">
        <f aca="true">MEDIAN(0,NORMINV(RAND(),$B$9,$C$9),1)</f>
        <v>0.450984500798002</v>
      </c>
      <c r="F224" s="28" t="n">
        <f aca="false">$B$12*(1+(B224+$B$17)/2)^9</f>
        <v>4128.81981814956</v>
      </c>
      <c r="G224" s="28" t="n">
        <f aca="false">F224*(C224-$B$18+$B$19*E224)</f>
        <v>1022.93099544018</v>
      </c>
      <c r="H224" s="28" t="n">
        <f aca="false">MAX(0,$B$20*G224)/(1+D224)^9</f>
        <v>1759.52015804649</v>
      </c>
      <c r="I224" s="28" t="n">
        <f aca="false">$B$13*((1+$B$8)/(1+D224))^4.5</f>
        <v>548.208590073898</v>
      </c>
      <c r="J224" s="28" t="n">
        <f aca="false">H224+I224-$B$14</f>
        <v>1636.65683031216</v>
      </c>
      <c r="K224" s="45" t="n">
        <f aca="false">MAX(0,J224)/$B$15</f>
        <v>5.85985259689282</v>
      </c>
    </row>
    <row r="225" customFormat="false" ht="15" hidden="false" customHeight="false" outlineLevel="0" collapsed="false">
      <c r="A225" s="55" t="n">
        <v>185</v>
      </c>
      <c r="B225" s="22" t="n">
        <f aca="true">NORMINV(RAND(),$B$6,$C$6)</f>
        <v>0.319586352622917</v>
      </c>
      <c r="C225" s="22" t="n">
        <f aca="true">MAX(-0.05,NORMINV(RAND(),$B$7,$C$7))</f>
        <v>0.20807311688752</v>
      </c>
      <c r="D225" s="34" t="n">
        <f aca="true">MAX(0.08,NORMINV(RAND(),$B$8,$C$8))</f>
        <v>0.173667258395684</v>
      </c>
      <c r="E225" s="35" t="n">
        <f aca="true">MEDIAN(0,NORMINV(RAND(),$B$9,$C$9),1)</f>
        <v>0.894787850611183</v>
      </c>
      <c r="F225" s="28" t="n">
        <f aca="false">$B$12*(1+(B225+$B$17)/2)^9</f>
        <v>4649.88507107348</v>
      </c>
      <c r="G225" s="28" t="n">
        <f aca="false">F225*(C225-$B$18+$B$19*E225)</f>
        <v>1830.25853742099</v>
      </c>
      <c r="H225" s="28" t="n">
        <f aca="false">MAX(0,$B$20*G225)/(1+D225)^9</f>
        <v>3031.83510717947</v>
      </c>
      <c r="I225" s="28" t="n">
        <f aca="false">$B$13*((1+$B$8)/(1+D225))^4.5</f>
        <v>537.982873443329</v>
      </c>
      <c r="J225" s="28" t="n">
        <f aca="false">H225+I225-$B$14</f>
        <v>2898.74606281458</v>
      </c>
      <c r="K225" s="45" t="n">
        <f aca="false">MAX(0,J225)/$B$15</f>
        <v>10.3786110376462</v>
      </c>
    </row>
    <row r="226" customFormat="false" ht="15" hidden="false" customHeight="false" outlineLevel="0" collapsed="false">
      <c r="A226" s="55" t="n">
        <v>186</v>
      </c>
      <c r="B226" s="22" t="n">
        <f aca="true">NORMINV(RAND(),$B$6,$C$6)</f>
        <v>0.609246548684217</v>
      </c>
      <c r="C226" s="22" t="n">
        <f aca="true">MAX(-0.05,NORMINV(RAND(),$B$7,$C$7))</f>
        <v>0.0728396472991709</v>
      </c>
      <c r="D226" s="34" t="n">
        <f aca="true">MAX(0.08,NORMINV(RAND(),$B$8,$C$8))</f>
        <v>0.162769637986163</v>
      </c>
      <c r="E226" s="35" t="n">
        <f aca="true">MEDIAN(0,NORMINV(RAND(),$B$9,$C$9),1)</f>
        <v>0.151910959606321</v>
      </c>
      <c r="F226" s="28" t="n">
        <f aca="false">$B$12*(1+(B226+$B$17)/2)^9</f>
        <v>13183.1967344561</v>
      </c>
      <c r="G226" s="28" t="n">
        <f aca="false">F226*(C226-$B$18+$B$19*E226)</f>
        <v>664.099791324555</v>
      </c>
      <c r="H226" s="28" t="n">
        <f aca="false">MAX(0,$B$20*G226)/(1+D226)^9</f>
        <v>1196.43259573412</v>
      </c>
      <c r="I226" s="28" t="n">
        <f aca="false">$B$13*((1+$B$8)/(1+D226))^4.5</f>
        <v>561.04710850359</v>
      </c>
      <c r="J226" s="28" t="n">
        <f aca="false">H226+I226-$B$14</f>
        <v>1086.40778642949</v>
      </c>
      <c r="K226" s="45" t="n">
        <f aca="false">MAX(0,J226)/$B$15</f>
        <v>3.88975218914961</v>
      </c>
    </row>
    <row r="227" customFormat="false" ht="15" hidden="false" customHeight="false" outlineLevel="0" collapsed="false">
      <c r="A227" s="55" t="n">
        <v>187</v>
      </c>
      <c r="B227" s="22" t="n">
        <f aca="true">NORMINV(RAND(),$B$6,$C$6)</f>
        <v>0.272939713709412</v>
      </c>
      <c r="C227" s="22" t="n">
        <f aca="true">MAX(-0.05,NORMINV(RAND(),$B$7,$C$7))</f>
        <v>0.125088307803848</v>
      </c>
      <c r="D227" s="34" t="n">
        <f aca="true">MAX(0.08,NORMINV(RAND(),$B$8,$C$8))</f>
        <v>0.107628352295</v>
      </c>
      <c r="E227" s="35" t="n">
        <f aca="true">MEDIAN(0,NORMINV(RAND(),$B$9,$C$9),1)</f>
        <v>0.455875118933059</v>
      </c>
      <c r="F227" s="28" t="n">
        <f aca="false">$B$12*(1+(B227+$B$17)/2)^9</f>
        <v>3885.06380967071</v>
      </c>
      <c r="G227" s="28" t="n">
        <f aca="false">F227*(C227-$B$18+$B$19*E227)</f>
        <v>729.356009396009</v>
      </c>
      <c r="H227" s="28" t="n">
        <f aca="false">MAX(0,$B$20*G227)/(1+D227)^9</f>
        <v>2034.65617018292</v>
      </c>
      <c r="I227" s="28" t="n">
        <f aca="false">$B$13*((1+$B$8)/(1+D227))^4.5</f>
        <v>698.148186432631</v>
      </c>
      <c r="J227" s="28" t="n">
        <f aca="false">H227+I227-$B$14</f>
        <v>2061.73243880733</v>
      </c>
      <c r="K227" s="45" t="n">
        <f aca="false">MAX(0,J227)/$B$15</f>
        <v>7.38178460009785</v>
      </c>
    </row>
    <row r="228" customFormat="false" ht="15" hidden="false" customHeight="false" outlineLevel="0" collapsed="false">
      <c r="A228" s="55" t="n">
        <v>188</v>
      </c>
      <c r="B228" s="22" t="n">
        <f aca="true">NORMINV(RAND(),$B$6,$C$6)</f>
        <v>0.253025672757685</v>
      </c>
      <c r="C228" s="22" t="n">
        <f aca="true">MAX(-0.05,NORMINV(RAND(),$B$7,$C$7))</f>
        <v>0.115673946113132</v>
      </c>
      <c r="D228" s="34" t="n">
        <f aca="true">MAX(0.08,NORMINV(RAND(),$B$8,$C$8))</f>
        <v>0.169577088132349</v>
      </c>
      <c r="E228" s="35" t="n">
        <f aca="true">MEDIAN(0,NORMINV(RAND(),$B$9,$C$9),1)</f>
        <v>0.499562133280479</v>
      </c>
      <c r="F228" s="28" t="n">
        <f aca="false">$B$12*(1+(B228+$B$17)/2)^9</f>
        <v>3594.17808847925</v>
      </c>
      <c r="G228" s="28" t="n">
        <f aca="false">F228*(C228-$B$18+$B$19*E228)</f>
        <v>684.875463292377</v>
      </c>
      <c r="H228" s="28" t="n">
        <f aca="false">MAX(0,$B$20*G228)/(1+D228)^9</f>
        <v>1170.71175729183</v>
      </c>
      <c r="I228" s="28" t="n">
        <f aca="false">$B$13*((1+$B$8)/(1+D228))^4.5</f>
        <v>546.501135267828</v>
      </c>
      <c r="J228" s="28" t="n">
        <f aca="false">H228+I228-$B$14</f>
        <v>1046.14097475144</v>
      </c>
      <c r="K228" s="45" t="n">
        <f aca="false">MAX(0,J228)/$B$15</f>
        <v>3.74558172127261</v>
      </c>
    </row>
    <row r="229" customFormat="false" ht="15" hidden="false" customHeight="false" outlineLevel="0" collapsed="false">
      <c r="A229" s="55" t="n">
        <v>189</v>
      </c>
      <c r="B229" s="22" t="n">
        <f aca="true">NORMINV(RAND(),$B$6,$C$6)</f>
        <v>0.348149536485524</v>
      </c>
      <c r="C229" s="22" t="n">
        <f aca="true">MAX(-0.05,NORMINV(RAND(),$B$7,$C$7))</f>
        <v>0.137849698073951</v>
      </c>
      <c r="D229" s="34" t="n">
        <f aca="true">MAX(0.08,NORMINV(RAND(),$B$8,$C$8))</f>
        <v>0.169980403671894</v>
      </c>
      <c r="E229" s="35" t="n">
        <f aca="true">MEDIAN(0,NORMINV(RAND(),$B$9,$C$9),1)</f>
        <v>0</v>
      </c>
      <c r="F229" s="28" t="n">
        <f aca="false">$B$12*(1+(B229+$B$17)/2)^9</f>
        <v>5181.70867012588</v>
      </c>
      <c r="G229" s="28" t="n">
        <f aca="false">F229*(C229-$B$18+$B$19*E229)</f>
        <v>377.485912125843</v>
      </c>
      <c r="H229" s="28" t="n">
        <f aca="false">MAX(0,$B$20*G229)/(1+D229)^9</f>
        <v>643.267335805069</v>
      </c>
      <c r="I229" s="28" t="n">
        <f aca="false">$B$13*((1+$B$8)/(1+D229))^4.5</f>
        <v>545.653892337073</v>
      </c>
      <c r="J229" s="28" t="n">
        <f aca="false">H229+I229-$B$14</f>
        <v>517.849310333922</v>
      </c>
      <c r="K229" s="45" t="n">
        <f aca="false">MAX(0,J229)/$B$15</f>
        <v>1.85409706528436</v>
      </c>
    </row>
    <row r="230" customFormat="false" ht="15" hidden="false" customHeight="false" outlineLevel="0" collapsed="false">
      <c r="A230" s="55" t="n">
        <v>190</v>
      </c>
      <c r="B230" s="22" t="n">
        <f aca="true">NORMINV(RAND(),$B$6,$C$6)</f>
        <v>0.355305181228211</v>
      </c>
      <c r="C230" s="22" t="n">
        <f aca="true">MAX(-0.05,NORMINV(RAND(),$B$7,$C$7))</f>
        <v>0.0828146362978841</v>
      </c>
      <c r="D230" s="34" t="n">
        <f aca="true">MAX(0.08,NORMINV(RAND(),$B$8,$C$8))</f>
        <v>0.127381834834896</v>
      </c>
      <c r="E230" s="35" t="n">
        <f aca="true">MEDIAN(0,NORMINV(RAND(),$B$9,$C$9),1)</f>
        <v>0.203236601133983</v>
      </c>
      <c r="F230" s="28" t="n">
        <f aca="false">$B$12*(1+(B230+$B$17)/2)^9</f>
        <v>5323.12939548806</v>
      </c>
      <c r="G230" s="28" t="n">
        <f aca="false">F230*(C230-$B$18+$B$19*E230)</f>
        <v>397.748937353103</v>
      </c>
      <c r="H230" s="28" t="n">
        <f aca="false">MAX(0,$B$20*G230)/(1+D230)^9</f>
        <v>946.384834158447</v>
      </c>
      <c r="I230" s="28" t="n">
        <f aca="false">$B$13*((1+$B$8)/(1+D230))^4.5</f>
        <v>644.764702568259</v>
      </c>
      <c r="J230" s="28" t="n">
        <f aca="false">H230+I230-$B$14</f>
        <v>920.077618918487</v>
      </c>
      <c r="K230" s="45" t="n">
        <f aca="false">MAX(0,J230)/$B$15</f>
        <v>3.29422706379695</v>
      </c>
    </row>
    <row r="231" customFormat="false" ht="15" hidden="false" customHeight="false" outlineLevel="0" collapsed="false">
      <c r="A231" s="55" t="n">
        <v>191</v>
      </c>
      <c r="B231" s="22" t="n">
        <f aca="true">NORMINV(RAND(),$B$6,$C$6)</f>
        <v>0.331356496277052</v>
      </c>
      <c r="C231" s="22" t="n">
        <f aca="true">MAX(-0.05,NORMINV(RAND(),$B$7,$C$7))</f>
        <v>0.104507584733698</v>
      </c>
      <c r="D231" s="34" t="n">
        <f aca="true">MAX(0.08,NORMINV(RAND(),$B$8,$C$8))</f>
        <v>0.120368147991689</v>
      </c>
      <c r="E231" s="35" t="n">
        <f aca="true">MEDIAN(0,NORMINV(RAND(),$B$9,$C$9),1)</f>
        <v>0.362522864509717</v>
      </c>
      <c r="F231" s="28" t="n">
        <f aca="false">$B$12*(1+(B231+$B$17)/2)^9</f>
        <v>4862.85110738483</v>
      </c>
      <c r="G231" s="28" t="n">
        <f aca="false">F231*(C231-$B$18+$B$19*E231)</f>
        <v>685.730021849714</v>
      </c>
      <c r="H231" s="28" t="n">
        <f aca="false">MAX(0,$B$20*G231)/(1+D231)^9</f>
        <v>1725.85547043469</v>
      </c>
      <c r="I231" s="28" t="n">
        <f aca="false">$B$13*((1+$B$8)/(1+D231))^4.5</f>
        <v>663.128222935196</v>
      </c>
      <c r="J231" s="28" t="n">
        <f aca="false">H231+I231-$B$14</f>
        <v>1717.91177556166</v>
      </c>
      <c r="K231" s="45" t="n">
        <f aca="false">MAX(0,J231)/$B$15</f>
        <v>6.15077613878146</v>
      </c>
    </row>
    <row r="232" customFormat="false" ht="15" hidden="false" customHeight="false" outlineLevel="0" collapsed="false">
      <c r="A232" s="55" t="n">
        <v>192</v>
      </c>
      <c r="B232" s="22" t="n">
        <f aca="true">NORMINV(RAND(),$B$6,$C$6)</f>
        <v>0.533401912677199</v>
      </c>
      <c r="C232" s="22" t="n">
        <f aca="true">MAX(-0.05,NORMINV(RAND(),$B$7,$C$7))</f>
        <v>0.152093990167549</v>
      </c>
      <c r="D232" s="34" t="n">
        <f aca="true">MAX(0.08,NORMINV(RAND(),$B$8,$C$8))</f>
        <v>0.143309848542036</v>
      </c>
      <c r="E232" s="35" t="n">
        <f aca="true">MEDIAN(0,NORMINV(RAND(),$B$9,$C$9),1)</f>
        <v>0.62262788297061</v>
      </c>
      <c r="F232" s="28" t="n">
        <f aca="false">$B$12*(1+(B232+$B$17)/2)^9</f>
        <v>10150.5111546924</v>
      </c>
      <c r="G232" s="28" t="n">
        <f aca="false">F232*(C232-$B$18+$B$19*E232)</f>
        <v>2653.64607467078</v>
      </c>
      <c r="H232" s="28" t="n">
        <f aca="false">MAX(0,$B$20*G232)/(1+D232)^9</f>
        <v>5565.00473539131</v>
      </c>
      <c r="I232" s="28" t="n">
        <f aca="false">$B$13*((1+$B$8)/(1+D232))^4.5</f>
        <v>605.317391159425</v>
      </c>
      <c r="J232" s="28" t="n">
        <f aca="false">H232+I232-$B$14</f>
        <v>5499.25020874252</v>
      </c>
      <c r="K232" s="45" t="n">
        <f aca="false">MAX(0,J232)/$B$15</f>
        <v>19.6894028239976</v>
      </c>
    </row>
    <row r="233" customFormat="false" ht="15" hidden="false" customHeight="false" outlineLevel="0" collapsed="false">
      <c r="A233" s="55" t="n">
        <v>193</v>
      </c>
      <c r="B233" s="22" t="n">
        <f aca="true">NORMINV(RAND(),$B$6,$C$6)</f>
        <v>0.347494798813047</v>
      </c>
      <c r="C233" s="22" t="n">
        <f aca="true">MAX(-0.05,NORMINV(RAND(),$B$7,$C$7))</f>
        <v>0.108471947503699</v>
      </c>
      <c r="D233" s="34" t="n">
        <f aca="true">MAX(0.08,NORMINV(RAND(),$B$8,$C$8))</f>
        <v>0.0940372170144938</v>
      </c>
      <c r="E233" s="35" t="n">
        <f aca="true">MEDIAN(0,NORMINV(RAND(),$B$9,$C$9),1)</f>
        <v>0.264770433962432</v>
      </c>
      <c r="F233" s="28" t="n">
        <f aca="false">$B$12*(1+(B233+$B$17)/2)^9</f>
        <v>5168.93707649595</v>
      </c>
      <c r="G233" s="28" t="n">
        <f aca="false">F233*(C233-$B$18+$B$19*E233)</f>
        <v>607.906640842488</v>
      </c>
      <c r="H233" s="28" t="n">
        <f aca="false">MAX(0,$B$20*G233)/(1+D233)^9</f>
        <v>1895.16079150486</v>
      </c>
      <c r="I233" s="28" t="n">
        <f aca="false">$B$13*((1+$B$8)/(1+D233))^4.5</f>
        <v>738.034170200542</v>
      </c>
      <c r="J233" s="28" t="n">
        <f aca="false">H233+I233-$B$14</f>
        <v>1962.12304389719</v>
      </c>
      <c r="K233" s="45" t="n">
        <f aca="false">MAX(0,J233)/$B$15</f>
        <v>7.02514516253915</v>
      </c>
    </row>
    <row r="234" customFormat="false" ht="15" hidden="false" customHeight="false" outlineLevel="0" collapsed="false">
      <c r="A234" s="55" t="n">
        <v>194</v>
      </c>
      <c r="B234" s="22" t="n">
        <f aca="true">NORMINV(RAND(),$B$6,$C$6)</f>
        <v>0.254472210453909</v>
      </c>
      <c r="C234" s="22" t="n">
        <f aca="true">MAX(-0.05,NORMINV(RAND(),$B$7,$C$7))</f>
        <v>0.17948544974634</v>
      </c>
      <c r="D234" s="34" t="n">
        <f aca="true">MAX(0.08,NORMINV(RAND(),$B$8,$C$8))</f>
        <v>0.140546391610727</v>
      </c>
      <c r="E234" s="35" t="n">
        <f aca="true">MEDIAN(0,NORMINV(RAND(),$B$9,$C$9),1)</f>
        <v>0.73401668706356</v>
      </c>
      <c r="F234" s="28" t="n">
        <f aca="false">$B$12*(1+(B234+$B$17)/2)^9</f>
        <v>3614.63589447656</v>
      </c>
      <c r="G234" s="28" t="n">
        <f aca="false">F234*(C234-$B$18+$B$19*E234)</f>
        <v>1156.72007402573</v>
      </c>
      <c r="H234" s="28" t="n">
        <f aca="false">MAX(0,$B$20*G234)/(1+D234)^9</f>
        <v>2479.18947103234</v>
      </c>
      <c r="I234" s="28" t="n">
        <f aca="false">$B$13*((1+$B$8)/(1+D234))^4.5</f>
        <v>611.945302387452</v>
      </c>
      <c r="J234" s="28" t="n">
        <f aca="false">H234+I234-$B$14</f>
        <v>2420.06285561157</v>
      </c>
      <c r="K234" s="45" t="n">
        <f aca="false">MAX(0,J234)/$B$15</f>
        <v>8.66474348589894</v>
      </c>
    </row>
    <row r="235" customFormat="false" ht="15" hidden="false" customHeight="false" outlineLevel="0" collapsed="false">
      <c r="A235" s="55" t="n">
        <v>195</v>
      </c>
      <c r="B235" s="22" t="n">
        <f aca="true">NORMINV(RAND(),$B$6,$C$6)</f>
        <v>0.185703947879532</v>
      </c>
      <c r="C235" s="22" t="n">
        <f aca="true">MAX(-0.05,NORMINV(RAND(),$B$7,$C$7))</f>
        <v>0.227371063344333</v>
      </c>
      <c r="D235" s="34" t="n">
        <f aca="true">MAX(0.08,NORMINV(RAND(),$B$8,$C$8))</f>
        <v>0.0995035341835823</v>
      </c>
      <c r="E235" s="35" t="n">
        <f aca="true">MEDIAN(0,NORMINV(RAND(),$B$9,$C$9),1)</f>
        <v>0.907143826817822</v>
      </c>
      <c r="F235" s="28" t="n">
        <f aca="false">$B$12*(1+(B235+$B$17)/2)^9</f>
        <v>2748.69089176447</v>
      </c>
      <c r="G235" s="28" t="n">
        <f aca="false">F235*(C235-$B$18+$B$19*E235)</f>
        <v>1144.47609570315</v>
      </c>
      <c r="H235" s="28" t="n">
        <f aca="false">MAX(0,$B$20*G235)/(1+D235)^9</f>
        <v>3411.41927624697</v>
      </c>
      <c r="I235" s="28" t="n">
        <f aca="false">$B$13*((1+$B$8)/(1+D235))^4.5</f>
        <v>721.665707245786</v>
      </c>
      <c r="J235" s="28" t="n">
        <f aca="false">H235+I235-$B$14</f>
        <v>3462.01306568454</v>
      </c>
      <c r="K235" s="45" t="n">
        <f aca="false">MAX(0,J235)/$B$15</f>
        <v>12.3953206791426</v>
      </c>
    </row>
    <row r="236" customFormat="false" ht="15" hidden="false" customHeight="false" outlineLevel="0" collapsed="false">
      <c r="A236" s="55" t="n">
        <v>196</v>
      </c>
      <c r="B236" s="22" t="n">
        <f aca="true">NORMINV(RAND(),$B$6,$C$6)</f>
        <v>0.307876908707923</v>
      </c>
      <c r="C236" s="22" t="n">
        <f aca="true">MAX(-0.05,NORMINV(RAND(),$B$7,$C$7))</f>
        <v>0.175569010359502</v>
      </c>
      <c r="D236" s="34" t="n">
        <f aca="true">MAX(0.08,NORMINV(RAND(),$B$8,$C$8))</f>
        <v>0.130672058775263</v>
      </c>
      <c r="E236" s="35" t="n">
        <f aca="true">MEDIAN(0,NORMINV(RAND(),$B$9,$C$9),1)</f>
        <v>0</v>
      </c>
      <c r="F236" s="28" t="n">
        <f aca="false">$B$12*(1+(B236+$B$17)/2)^9</f>
        <v>4446.28461495007</v>
      </c>
      <c r="G236" s="28" t="n">
        <f aca="false">F236*(C236-$B$18+$B$19*E236)</f>
        <v>491.621289651707</v>
      </c>
      <c r="H236" s="28" t="n">
        <f aca="false">MAX(0,$B$20*G236)/(1+D236)^9</f>
        <v>1139.45920669295</v>
      </c>
      <c r="I236" s="28" t="n">
        <f aca="false">$B$13*((1+$B$8)/(1+D236))^4.5</f>
        <v>636.364482247803</v>
      </c>
      <c r="J236" s="28" t="n">
        <f aca="false">H236+I236-$B$14</f>
        <v>1104.75177113253</v>
      </c>
      <c r="K236" s="45" t="n">
        <f aca="false">MAX(0,J236)/$B$15</f>
        <v>3.9554306162998</v>
      </c>
    </row>
    <row r="237" customFormat="false" ht="15" hidden="false" customHeight="false" outlineLevel="0" collapsed="false">
      <c r="A237" s="55" t="n">
        <v>197</v>
      </c>
      <c r="B237" s="22" t="n">
        <f aca="true">NORMINV(RAND(),$B$6,$C$6)</f>
        <v>0.718029926989365</v>
      </c>
      <c r="C237" s="22" t="n">
        <f aca="true">MAX(-0.05,NORMINV(RAND(),$B$7,$C$7))</f>
        <v>0.0822299799120478</v>
      </c>
      <c r="D237" s="34" t="n">
        <f aca="true">MAX(0.08,NORMINV(RAND(),$B$8,$C$8))</f>
        <v>0.115886460918231</v>
      </c>
      <c r="E237" s="35" t="n">
        <f aca="true">MEDIAN(0,NORMINV(RAND(),$B$9,$C$9),1)</f>
        <v>0.248855309073179</v>
      </c>
      <c r="F237" s="28" t="n">
        <f aca="false">$B$12*(1+(B237+$B$17)/2)^9</f>
        <v>18936.9532528486</v>
      </c>
      <c r="G237" s="28" t="n">
        <f aca="false">F237*(C237-$B$18+$B$19*E237)</f>
        <v>1645.80050344172</v>
      </c>
      <c r="H237" s="28" t="n">
        <f aca="false">MAX(0,$B$20*G237)/(1+D237)^9</f>
        <v>4294.32744023641</v>
      </c>
      <c r="I237" s="28" t="n">
        <f aca="false">$B$13*((1+$B$8)/(1+D237))^4.5</f>
        <v>675.19756085722</v>
      </c>
      <c r="J237" s="28" t="n">
        <f aca="false">H237+I237-$B$14</f>
        <v>4298.45308328541</v>
      </c>
      <c r="K237" s="45" t="n">
        <f aca="false">MAX(0,J237)/$B$15</f>
        <v>15.3900933880609</v>
      </c>
    </row>
    <row r="238" customFormat="false" ht="15" hidden="false" customHeight="false" outlineLevel="0" collapsed="false">
      <c r="A238" s="55" t="n">
        <v>198</v>
      </c>
      <c r="B238" s="22" t="n">
        <f aca="true">NORMINV(RAND(),$B$6,$C$6)</f>
        <v>0.204285653181543</v>
      </c>
      <c r="C238" s="22" t="n">
        <f aca="true">MAX(-0.05,NORMINV(RAND(),$B$7,$C$7))</f>
        <v>0.137629740961121</v>
      </c>
      <c r="D238" s="34" t="n">
        <f aca="true">MAX(0.08,NORMINV(RAND(),$B$8,$C$8))</f>
        <v>0.1638119164684</v>
      </c>
      <c r="E238" s="35" t="n">
        <f aca="true">MEDIAN(0,NORMINV(RAND(),$B$9,$C$9),1)</f>
        <v>0</v>
      </c>
      <c r="F238" s="28" t="n">
        <f aca="false">$B$12*(1+(B238+$B$17)/2)^9</f>
        <v>2962.25565282604</v>
      </c>
      <c r="G238" s="28" t="n">
        <f aca="false">F238*(C238-$B$18+$B$19*E238)</f>
        <v>215.147860725373</v>
      </c>
      <c r="H238" s="28" t="n">
        <f aca="false">MAX(0,$B$20*G238)/(1+D238)^9</f>
        <v>384.49427253029</v>
      </c>
      <c r="I238" s="28" t="n">
        <f aca="false">$B$13*((1+$B$8)/(1+D238))^4.5</f>
        <v>558.789585731076</v>
      </c>
      <c r="J238" s="28" t="n">
        <f aca="false">H238+I238-$B$14</f>
        <v>272.211940453147</v>
      </c>
      <c r="K238" s="45" t="n">
        <f aca="false">MAX(0,J238)/$B$15</f>
        <v>0.974622056760284</v>
      </c>
    </row>
    <row r="239" customFormat="false" ht="15" hidden="false" customHeight="false" outlineLevel="0" collapsed="false">
      <c r="A239" s="55" t="n">
        <v>199</v>
      </c>
      <c r="B239" s="22" t="n">
        <f aca="true">NORMINV(RAND(),$B$6,$C$6)</f>
        <v>0.324034665887301</v>
      </c>
      <c r="C239" s="22" t="n">
        <f aca="true">MAX(-0.05,NORMINV(RAND(),$B$7,$C$7))</f>
        <v>0.115878147673028</v>
      </c>
      <c r="D239" s="34" t="n">
        <f aca="true">MAX(0.08,NORMINV(RAND(),$B$8,$C$8))</f>
        <v>0.156454937062223</v>
      </c>
      <c r="E239" s="35" t="n">
        <f aca="true">MEDIAN(0,NORMINV(RAND(),$B$9,$C$9),1)</f>
        <v>0.207039448124197</v>
      </c>
      <c r="F239" s="28" t="n">
        <f aca="false">$B$12*(1+(B239+$B$17)/2)^9</f>
        <v>4729.37666624705</v>
      </c>
      <c r="G239" s="28" t="n">
        <f aca="false">F239*(C239-$B$18+$B$19*E239)</f>
        <v>514.788834213038</v>
      </c>
      <c r="H239" s="28" t="n">
        <f aca="false">MAX(0,$B$20*G239)/(1+D239)^9</f>
        <v>974.021913596071</v>
      </c>
      <c r="I239" s="28" t="n">
        <f aca="false">$B$13*((1+$B$8)/(1+D239))^4.5</f>
        <v>574.965368295855</v>
      </c>
      <c r="J239" s="28" t="n">
        <f aca="false">H239+I239-$B$14</f>
        <v>877.915364083707</v>
      </c>
      <c r="K239" s="45" t="n">
        <f aca="false">MAX(0,J239)/$B$15</f>
        <v>3.14327019005982</v>
      </c>
    </row>
    <row r="240" customFormat="false" ht="15" hidden="false" customHeight="false" outlineLevel="0" collapsed="false">
      <c r="A240" s="55" t="n">
        <v>200</v>
      </c>
      <c r="B240" s="22" t="n">
        <f aca="true">NORMINV(RAND(),$B$6,$C$6)</f>
        <v>0.618363240623911</v>
      </c>
      <c r="C240" s="22" t="n">
        <f aca="true">MAX(-0.05,NORMINV(RAND(),$B$7,$C$7))</f>
        <v>-0.05</v>
      </c>
      <c r="D240" s="34" t="n">
        <f aca="true">MAX(0.08,NORMINV(RAND(),$B$8,$C$8))</f>
        <v>0.168689787625201</v>
      </c>
      <c r="E240" s="35" t="n">
        <f aca="true">MEDIAN(0,NORMINV(RAND(),$B$9,$C$9),1)</f>
        <v>0.0850000442591818</v>
      </c>
      <c r="F240" s="28" t="n">
        <f aca="false">$B$12*(1+(B240+$B$17)/2)^9</f>
        <v>13597.1611517145</v>
      </c>
      <c r="G240" s="28" t="n">
        <f aca="false">F240*(C240-$B$18+$B$19*E240)</f>
        <v>-1240.06092853258</v>
      </c>
      <c r="H240" s="28" t="n">
        <f aca="false">MAX(0,$B$20*G240)/(1+D240)^9</f>
        <v>0</v>
      </c>
      <c r="I240" s="28" t="n">
        <f aca="false">$B$13*((1+$B$8)/(1+D240))^4.5</f>
        <v>548.370749771998</v>
      </c>
      <c r="J240" s="28" t="n">
        <f aca="false">H240+I240-$B$14</f>
        <v>-122.701168036221</v>
      </c>
      <c r="K240" s="45" t="n">
        <f aca="false">MAX(0,J240)/$B$15</f>
        <v>0</v>
      </c>
    </row>
    <row r="241" customFormat="false" ht="15" hidden="false" customHeight="false" outlineLevel="0" collapsed="false">
      <c r="A241" s="55" t="n">
        <v>201</v>
      </c>
      <c r="B241" s="22" t="n">
        <f aca="true">NORMINV(RAND(),$B$6,$C$6)</f>
        <v>0.440812018629584</v>
      </c>
      <c r="C241" s="22" t="n">
        <f aca="true">MAX(-0.05,NORMINV(RAND(),$B$7,$C$7))</f>
        <v>0.0596351327846158</v>
      </c>
      <c r="D241" s="34" t="n">
        <f aca="true">MAX(0.08,NORMINV(RAND(),$B$8,$C$8))</f>
        <v>0.157716163871296</v>
      </c>
      <c r="E241" s="35" t="n">
        <f aca="true">MEDIAN(0,NORMINV(RAND(),$B$9,$C$9),1)</f>
        <v>0.500310023550094</v>
      </c>
      <c r="F241" s="28" t="n">
        <f aca="false">$B$12*(1+(B241+$B$17)/2)^9</f>
        <v>7299.01158878513</v>
      </c>
      <c r="G241" s="28" t="n">
        <f aca="false">F241*(C241-$B$18+$B$19*E241)</f>
        <v>983.336996788316</v>
      </c>
      <c r="H241" s="28" t="n">
        <f aca="false">MAX(0,$B$20*G241)/(1+D241)^9</f>
        <v>1842.38991301597</v>
      </c>
      <c r="I241" s="28" t="n">
        <f aca="false">$B$13*((1+$B$8)/(1+D241))^4.5</f>
        <v>572.152060225439</v>
      </c>
      <c r="J241" s="28" t="n">
        <f aca="false">H241+I241-$B$14</f>
        <v>1743.47005543319</v>
      </c>
      <c r="K241" s="45" t="n">
        <f aca="false">MAX(0,J241)/$B$15</f>
        <v>6.24228448060576</v>
      </c>
    </row>
    <row r="242" customFormat="false" ht="15" hidden="false" customHeight="false" outlineLevel="0" collapsed="false">
      <c r="A242" s="55" t="n">
        <v>202</v>
      </c>
      <c r="B242" s="22" t="n">
        <f aca="true">NORMINV(RAND(),$B$6,$C$6)</f>
        <v>0.446978631668709</v>
      </c>
      <c r="C242" s="22" t="n">
        <f aca="true">MAX(-0.05,NORMINV(RAND(),$B$7,$C$7))</f>
        <v>0.267905598044239</v>
      </c>
      <c r="D242" s="34" t="n">
        <f aca="true">MAX(0.08,NORMINV(RAND(),$B$8,$C$8))</f>
        <v>0.17997306669498</v>
      </c>
      <c r="E242" s="35" t="n">
        <f aca="true">MEDIAN(0,NORMINV(RAND(),$B$9,$C$9),1)</f>
        <v>0.242705680913676</v>
      </c>
      <c r="F242" s="28" t="n">
        <f aca="false">$B$12*(1+(B242+$B$17)/2)^9</f>
        <v>7463.9345450773</v>
      </c>
      <c r="G242" s="28" t="n">
        <f aca="false">F242*(C242-$B$18+$B$19*E242)</f>
        <v>2021.70511112823</v>
      </c>
      <c r="H242" s="28" t="n">
        <f aca="false">MAX(0,$B$20*G242)/(1+D242)^9</f>
        <v>3191.29534418606</v>
      </c>
      <c r="I242" s="28" t="n">
        <f aca="false">$B$13*((1+$B$8)/(1+D242))^4.5</f>
        <v>525.165849349759</v>
      </c>
      <c r="J242" s="28" t="n">
        <f aca="false">H242+I242-$B$14</f>
        <v>3045.3892757276</v>
      </c>
      <c r="K242" s="45" t="n">
        <f aca="false">MAX(0,J242)/$B$15</f>
        <v>10.9036493939406</v>
      </c>
    </row>
    <row r="243" customFormat="false" ht="15" hidden="false" customHeight="false" outlineLevel="0" collapsed="false">
      <c r="A243" s="55" t="n">
        <v>203</v>
      </c>
      <c r="B243" s="22" t="n">
        <f aca="true">NORMINV(RAND(),$B$6,$C$6)</f>
        <v>0.44879330214792</v>
      </c>
      <c r="C243" s="22" t="n">
        <f aca="true">MAX(-0.05,NORMINV(RAND(),$B$7,$C$7))</f>
        <v>0.0515189165514243</v>
      </c>
      <c r="D243" s="34" t="n">
        <f aca="true">MAX(0.08,NORMINV(RAND(),$B$8,$C$8))</f>
        <v>0.16196876250919</v>
      </c>
      <c r="E243" s="35" t="n">
        <f aca="true">MEDIAN(0,NORMINV(RAND(),$B$9,$C$9),1)</f>
        <v>0.433919600730789</v>
      </c>
      <c r="F243" s="28" t="n">
        <f aca="false">$B$12*(1+(B243+$B$17)/2)^9</f>
        <v>7513.09364521025</v>
      </c>
      <c r="G243" s="28" t="n">
        <f aca="false">F243*(C243-$B$18+$B$19*E243)</f>
        <v>811.537364151102</v>
      </c>
      <c r="H243" s="28" t="n">
        <f aca="false">MAX(0,$B$20*G243)/(1+D243)^9</f>
        <v>1471.14839865412</v>
      </c>
      <c r="I243" s="28" t="n">
        <f aca="false">$B$13*((1+$B$8)/(1+D243))^4.5</f>
        <v>562.789341372668</v>
      </c>
      <c r="J243" s="28" t="n">
        <f aca="false">H243+I243-$B$14</f>
        <v>1362.86582221857</v>
      </c>
      <c r="K243" s="45" t="n">
        <f aca="false">MAX(0,J243)/$B$15</f>
        <v>4.87957687869162</v>
      </c>
    </row>
    <row r="244" customFormat="false" ht="15" hidden="false" customHeight="false" outlineLevel="0" collapsed="false">
      <c r="A244" s="55" t="n">
        <v>204</v>
      </c>
      <c r="B244" s="22" t="n">
        <f aca="true">NORMINV(RAND(),$B$6,$C$6)</f>
        <v>0.510489239083634</v>
      </c>
      <c r="C244" s="22" t="n">
        <f aca="true">MAX(-0.05,NORMINV(RAND(),$B$7,$C$7))</f>
        <v>0.106779260205727</v>
      </c>
      <c r="D244" s="34" t="n">
        <f aca="true">MAX(0.08,NORMINV(RAND(),$B$8,$C$8))</f>
        <v>0.115711719967793</v>
      </c>
      <c r="E244" s="35" t="n">
        <f aca="true">MEDIAN(0,NORMINV(RAND(),$B$9,$C$9),1)</f>
        <v>0.166677035549344</v>
      </c>
      <c r="F244" s="28" t="n">
        <f aca="false">$B$12*(1+(B244+$B$17)/2)^9</f>
        <v>9365.49632370789</v>
      </c>
      <c r="G244" s="28" t="n">
        <f aca="false">F244*(C244-$B$18+$B$19*E244)</f>
        <v>828.367193695465</v>
      </c>
      <c r="H244" s="28" t="n">
        <f aca="false">MAX(0,$B$20*G244)/(1+D244)^9</f>
        <v>2164.47699703085</v>
      </c>
      <c r="I244" s="28" t="n">
        <f aca="false">$B$13*((1+$B$8)/(1+D244))^4.5</f>
        <v>675.67355883593</v>
      </c>
      <c r="J244" s="28" t="n">
        <f aca="false">H244+I244-$B$14</f>
        <v>2169.07863805856</v>
      </c>
      <c r="K244" s="45" t="n">
        <f aca="false">MAX(0,J244)/$B$15</f>
        <v>7.76612473347138</v>
      </c>
    </row>
    <row r="245" customFormat="false" ht="15" hidden="false" customHeight="false" outlineLevel="0" collapsed="false">
      <c r="A245" s="55" t="n">
        <v>205</v>
      </c>
      <c r="B245" s="22" t="n">
        <f aca="true">NORMINV(RAND(),$B$6,$C$6)</f>
        <v>0.126938938158527</v>
      </c>
      <c r="C245" s="22" t="n">
        <f aca="true">MAX(-0.05,NORMINV(RAND(),$B$7,$C$7))</f>
        <v>0.04526528961294</v>
      </c>
      <c r="D245" s="34" t="n">
        <f aca="true">MAX(0.08,NORMINV(RAND(),$B$8,$C$8))</f>
        <v>0.172731500264909</v>
      </c>
      <c r="E245" s="35" t="n">
        <f aca="true">MEDIAN(0,NORMINV(RAND(),$B$9,$C$9),1)</f>
        <v>0.588105232257579</v>
      </c>
      <c r="F245" s="28" t="n">
        <f aca="false">$B$12*(1+(B245+$B$17)/2)^9</f>
        <v>2160.42602504519</v>
      </c>
      <c r="G245" s="28" t="n">
        <f aca="false">F245*(C245-$B$18+$B$19*E245)</f>
        <v>313.120815868731</v>
      </c>
      <c r="H245" s="28" t="n">
        <f aca="false">MAX(0,$B$20*G245)/(1+D245)^9</f>
        <v>522.423450743449</v>
      </c>
      <c r="I245" s="28" t="n">
        <f aca="false">$B$13*((1+$B$8)/(1+D245))^4.5</f>
        <v>539.917300695116</v>
      </c>
      <c r="J245" s="28" t="n">
        <f aca="false">H245+I245-$B$14</f>
        <v>391.268833630346</v>
      </c>
      <c r="K245" s="45" t="n">
        <f aca="false">MAX(0,J245)/$B$15</f>
        <v>1.40089091883403</v>
      </c>
    </row>
    <row r="246" customFormat="false" ht="15" hidden="false" customHeight="false" outlineLevel="0" collapsed="false">
      <c r="A246" s="55" t="n">
        <v>206</v>
      </c>
      <c r="B246" s="22" t="n">
        <f aca="true">NORMINV(RAND(),$B$6,$C$6)</f>
        <v>0.356129340044251</v>
      </c>
      <c r="C246" s="22" t="n">
        <f aca="true">MAX(-0.05,NORMINV(RAND(),$B$7,$C$7))</f>
        <v>0.212120316690833</v>
      </c>
      <c r="D246" s="34" t="n">
        <f aca="true">MAX(0.08,NORMINV(RAND(),$B$8,$C$8))</f>
        <v>0.162783984096206</v>
      </c>
      <c r="E246" s="35" t="n">
        <f aca="true">MEDIAN(0,NORMINV(RAND(),$B$9,$C$9),1)</f>
        <v>0.427599749231836</v>
      </c>
      <c r="F246" s="28" t="n">
        <f aca="false">$B$12*(1+(B246+$B$17)/2)^9</f>
        <v>5339.63598575453</v>
      </c>
      <c r="G246" s="28" t="n">
        <f aca="false">F246*(C246-$B$18+$B$19*E246)</f>
        <v>1424.87249961739</v>
      </c>
      <c r="H246" s="28" t="n">
        <f aca="false">MAX(0,$B$20*G246)/(1+D246)^9</f>
        <v>2566.74469519385</v>
      </c>
      <c r="I246" s="28" t="n">
        <f aca="false">$B$13*((1+$B$8)/(1+D246))^4.5</f>
        <v>561.015959971712</v>
      </c>
      <c r="J246" s="28" t="n">
        <f aca="false">H246+I246-$B$14</f>
        <v>2456.68873735735</v>
      </c>
      <c r="K246" s="45" t="n">
        <f aca="false">MAX(0,J246)/$B$15</f>
        <v>8.79587804281184</v>
      </c>
    </row>
    <row r="247" customFormat="false" ht="15" hidden="false" customHeight="false" outlineLevel="0" collapsed="false">
      <c r="A247" s="55" t="n">
        <v>207</v>
      </c>
      <c r="B247" s="22" t="n">
        <f aca="true">NORMINV(RAND(),$B$6,$C$6)</f>
        <v>0.330149450832998</v>
      </c>
      <c r="C247" s="22" t="n">
        <f aca="true">MAX(-0.05,NORMINV(RAND(),$B$7,$C$7))</f>
        <v>0.136491839268446</v>
      </c>
      <c r="D247" s="34" t="n">
        <f aca="true">MAX(0.08,NORMINV(RAND(),$B$8,$C$8))</f>
        <v>0.150982090633826</v>
      </c>
      <c r="E247" s="35" t="n">
        <f aca="true">MEDIAN(0,NORMINV(RAND(),$B$9,$C$9),1)</f>
        <v>0.207276958994276</v>
      </c>
      <c r="F247" s="28" t="n">
        <f aca="false">$B$12*(1+(B247+$B$17)/2)^9</f>
        <v>4840.6192287469</v>
      </c>
      <c r="G247" s="28" t="n">
        <f aca="false">F247*(C247-$B$18+$B$19*E247)</f>
        <v>627.002445208808</v>
      </c>
      <c r="H247" s="28" t="n">
        <f aca="false">MAX(0,$B$20*G247)/(1+D247)^9</f>
        <v>1238.08419702309</v>
      </c>
      <c r="I247" s="28" t="n">
        <f aca="false">$B$13*((1+$B$8)/(1+D247))^4.5</f>
        <v>587.370803210941</v>
      </c>
      <c r="J247" s="28" t="n">
        <f aca="false">H247+I247-$B$14</f>
        <v>1154.38308242581</v>
      </c>
      <c r="K247" s="45" t="n">
        <f aca="false">MAX(0,J247)/$B$15</f>
        <v>4.13312954681638</v>
      </c>
    </row>
    <row r="248" customFormat="false" ht="15" hidden="false" customHeight="false" outlineLevel="0" collapsed="false">
      <c r="A248" s="55" t="n">
        <v>208</v>
      </c>
      <c r="B248" s="22" t="n">
        <f aca="true">NORMINV(RAND(),$B$6,$C$6)</f>
        <v>0.287216771419875</v>
      </c>
      <c r="C248" s="22" t="n">
        <f aca="true">MAX(-0.05,NORMINV(RAND(),$B$7,$C$7))</f>
        <v>0.102556606398852</v>
      </c>
      <c r="D248" s="34" t="n">
        <f aca="true">MAX(0.08,NORMINV(RAND(),$B$8,$C$8))</f>
        <v>0.162133214658264</v>
      </c>
      <c r="E248" s="35" t="n">
        <f aca="true">MEDIAN(0,NORMINV(RAND(),$B$9,$C$9),1)</f>
        <v>0.00472089143581733</v>
      </c>
      <c r="F248" s="28" t="n">
        <f aca="false">$B$12*(1+(B248+$B$17)/2)^9</f>
        <v>4106.30194310702</v>
      </c>
      <c r="G248" s="28" t="n">
        <f aca="false">F248*(C248-$B$18+$B$19*E248)</f>
        <v>159.64667942142</v>
      </c>
      <c r="H248" s="28" t="n">
        <f aca="false">MAX(0,$B$20*G248)/(1+D248)^9</f>
        <v>289.037841529573</v>
      </c>
      <c r="I248" s="28" t="n">
        <f aca="false">$B$13*((1+$B$8)/(1+D248))^4.5</f>
        <v>562.431051553837</v>
      </c>
      <c r="J248" s="28" t="n">
        <f aca="false">H248+I248-$B$14</f>
        <v>180.396975275191</v>
      </c>
      <c r="K248" s="45" t="n">
        <f aca="false">MAX(0,J248)/$B$15</f>
        <v>0.645889635786576</v>
      </c>
    </row>
    <row r="249" customFormat="false" ht="15" hidden="false" customHeight="false" outlineLevel="0" collapsed="false">
      <c r="A249" s="55" t="n">
        <v>209</v>
      </c>
      <c r="B249" s="22" t="n">
        <f aca="true">NORMINV(RAND(),$B$6,$C$6)</f>
        <v>0.316106115741017</v>
      </c>
      <c r="C249" s="22" t="n">
        <f aca="true">MAX(-0.05,NORMINV(RAND(),$B$7,$C$7))</f>
        <v>0.126543342303201</v>
      </c>
      <c r="D249" s="34" t="n">
        <f aca="true">MAX(0.08,NORMINV(RAND(),$B$8,$C$8))</f>
        <v>0.135928970488524</v>
      </c>
      <c r="E249" s="35" t="n">
        <f aca="true">MEDIAN(0,NORMINV(RAND(),$B$9,$C$9),1)</f>
        <v>0.0646469179553553</v>
      </c>
      <c r="F249" s="28" t="n">
        <f aca="false">$B$12*(1+(B249+$B$17)/2)^9</f>
        <v>4588.52346822912</v>
      </c>
      <c r="G249" s="28" t="n">
        <f aca="false">F249*(C249-$B$18+$B$19*E249)</f>
        <v>365.450562523808</v>
      </c>
      <c r="H249" s="28" t="n">
        <f aca="false">MAX(0,$B$20*G249)/(1+D249)^9</f>
        <v>812.392849486713</v>
      </c>
      <c r="I249" s="28" t="n">
        <f aca="false">$B$13*((1+$B$8)/(1+D249))^4.5</f>
        <v>623.218893370977</v>
      </c>
      <c r="J249" s="28" t="n">
        <f aca="false">H249+I249-$B$14</f>
        <v>764.539825049471</v>
      </c>
      <c r="K249" s="45" t="n">
        <f aca="false">MAX(0,J249)/$B$15</f>
        <v>2.7373427320067</v>
      </c>
    </row>
    <row r="250" customFormat="false" ht="15" hidden="false" customHeight="false" outlineLevel="0" collapsed="false">
      <c r="A250" s="55" t="n">
        <v>210</v>
      </c>
      <c r="B250" s="22" t="n">
        <f aca="true">NORMINV(RAND(),$B$6,$C$6)</f>
        <v>0.217954413835399</v>
      </c>
      <c r="C250" s="22" t="n">
        <f aca="true">MAX(-0.05,NORMINV(RAND(),$B$7,$C$7))</f>
        <v>0.129256855230015</v>
      </c>
      <c r="D250" s="34" t="n">
        <f aca="true">MAX(0.08,NORMINV(RAND(),$B$8,$C$8))</f>
        <v>0.133123982547787</v>
      </c>
      <c r="E250" s="35" t="n">
        <f aca="true">MEDIAN(0,NORMINV(RAND(),$B$9,$C$9),1)</f>
        <v>0</v>
      </c>
      <c r="F250" s="28" t="n">
        <f aca="false">$B$12*(1+(B250+$B$17)/2)^9</f>
        <v>3128.6419550532</v>
      </c>
      <c r="G250" s="28" t="n">
        <f aca="false">F250*(C250-$B$18+$B$19*E250)</f>
        <v>201.036693172403</v>
      </c>
      <c r="H250" s="28" t="n">
        <f aca="false">MAX(0,$B$20*G250)/(1+D250)^9</f>
        <v>456.958214365063</v>
      </c>
      <c r="I250" s="28" t="n">
        <f aca="false">$B$13*((1+$B$8)/(1+D250))^4.5</f>
        <v>630.191382944967</v>
      </c>
      <c r="J250" s="28" t="n">
        <f aca="false">H250+I250-$B$14</f>
        <v>416.07767950181</v>
      </c>
      <c r="K250" s="45" t="n">
        <f aca="false">MAX(0,J250)/$B$15</f>
        <v>1.48971600251275</v>
      </c>
    </row>
    <row r="251" customFormat="false" ht="15" hidden="false" customHeight="false" outlineLevel="0" collapsed="false">
      <c r="A251" s="55" t="n">
        <v>211</v>
      </c>
      <c r="B251" s="22" t="n">
        <f aca="true">NORMINV(RAND(),$B$6,$C$6)</f>
        <v>0.285969131027992</v>
      </c>
      <c r="C251" s="22" t="n">
        <f aca="true">MAX(-0.05,NORMINV(RAND(),$B$7,$C$7))</f>
        <v>0.0867642116603768</v>
      </c>
      <c r="D251" s="34" t="n">
        <f aca="true">MAX(0.08,NORMINV(RAND(),$B$8,$C$8))</f>
        <v>0.140183394269647</v>
      </c>
      <c r="E251" s="35" t="n">
        <f aca="true">MEDIAN(0,NORMINV(RAND(),$B$9,$C$9),1)</f>
        <v>0</v>
      </c>
      <c r="F251" s="28" t="n">
        <f aca="false">$B$12*(1+(B251+$B$17)/2)^9</f>
        <v>4086.53157164183</v>
      </c>
      <c r="G251" s="28" t="n">
        <f aca="false">F251*(C251-$B$18+$B$19*E251)</f>
        <v>88.940138082025</v>
      </c>
      <c r="H251" s="28" t="n">
        <f aca="false">MAX(0,$B$20*G251)/(1+D251)^9</f>
        <v>191.171626369981</v>
      </c>
      <c r="I251" s="28" t="n">
        <f aca="false">$B$13*((1+$B$8)/(1+D251))^4.5</f>
        <v>612.822496710296</v>
      </c>
      <c r="J251" s="28" t="n">
        <f aca="false">H251+I251-$B$14</f>
        <v>132.922205272058</v>
      </c>
      <c r="K251" s="45" t="n">
        <f aca="false">MAX(0,J251)/$B$15</f>
        <v>0.475911941539773</v>
      </c>
    </row>
    <row r="252" customFormat="false" ht="15" hidden="false" customHeight="false" outlineLevel="0" collapsed="false">
      <c r="A252" s="55" t="n">
        <v>212</v>
      </c>
      <c r="B252" s="22" t="n">
        <f aca="true">NORMINV(RAND(),$B$6,$C$6)</f>
        <v>0.358634581130447</v>
      </c>
      <c r="C252" s="22" t="n">
        <f aca="true">MAX(-0.05,NORMINV(RAND(),$B$7,$C$7))</f>
        <v>0.153023937543991</v>
      </c>
      <c r="D252" s="34" t="n">
        <f aca="true">MAX(0.08,NORMINV(RAND(),$B$8,$C$8))</f>
        <v>0.159519144486949</v>
      </c>
      <c r="E252" s="35" t="n">
        <f aca="true">MEDIAN(0,NORMINV(RAND(),$B$9,$C$9),1)</f>
        <v>0.606325803462199</v>
      </c>
      <c r="F252" s="28" t="n">
        <f aca="false">$B$12*(1+(B252+$B$17)/2)^9</f>
        <v>5390.09169838451</v>
      </c>
      <c r="G252" s="28" t="n">
        <f aca="false">F252*(C252-$B$18+$B$19*E252)</f>
        <v>1389.5395653472</v>
      </c>
      <c r="H252" s="28" t="n">
        <f aca="false">MAX(0,$B$20*G252)/(1+D252)^9</f>
        <v>2567.24694296468</v>
      </c>
      <c r="I252" s="28" t="n">
        <f aca="false">$B$13*((1+$B$8)/(1+D252))^4.5</f>
        <v>568.159465205214</v>
      </c>
      <c r="J252" s="28" t="n">
        <f aca="false">H252+I252-$B$14</f>
        <v>2464.33449036167</v>
      </c>
      <c r="K252" s="45" t="n">
        <f aca="false">MAX(0,J252)/$B$15</f>
        <v>8.82325274028525</v>
      </c>
    </row>
    <row r="253" customFormat="false" ht="15" hidden="false" customHeight="false" outlineLevel="0" collapsed="false">
      <c r="A253" s="55" t="n">
        <v>213</v>
      </c>
      <c r="B253" s="22" t="n">
        <f aca="true">NORMINV(RAND(),$B$6,$C$6)</f>
        <v>0.394181363656749</v>
      </c>
      <c r="C253" s="22" t="n">
        <f aca="true">MAX(-0.05,NORMINV(RAND(),$B$7,$C$7))</f>
        <v>0.11288521454287</v>
      </c>
      <c r="D253" s="34" t="n">
        <f aca="true">MAX(0.08,NORMINV(RAND(),$B$8,$C$8))</f>
        <v>0.142164190500321</v>
      </c>
      <c r="E253" s="35" t="n">
        <f aca="true">MEDIAN(0,NORMINV(RAND(),$B$9,$C$9),1)</f>
        <v>0.349326708522526</v>
      </c>
      <c r="F253" s="28" t="n">
        <f aca="false">$B$12*(1+(B253+$B$17)/2)^9</f>
        <v>6153.12497382572</v>
      </c>
      <c r="G253" s="28" t="n">
        <f aca="false">F253*(C253-$B$18+$B$19*E253)</f>
        <v>896.489959866336</v>
      </c>
      <c r="H253" s="28" t="n">
        <f aca="false">MAX(0,$B$20*G253)/(1+D253)^9</f>
        <v>1897.0842174481</v>
      </c>
      <c r="I253" s="28" t="n">
        <f aca="false">$B$13*((1+$B$8)/(1+D253))^4.5</f>
        <v>608.054451939949</v>
      </c>
      <c r="J253" s="28" t="n">
        <f aca="false">H253+I253-$B$14</f>
        <v>1834.06675157982</v>
      </c>
      <c r="K253" s="45" t="n">
        <f aca="false">MAX(0,J253)/$B$15</f>
        <v>6.5666550360896</v>
      </c>
    </row>
    <row r="254" customFormat="false" ht="15" hidden="false" customHeight="false" outlineLevel="0" collapsed="false">
      <c r="A254" s="55" t="n">
        <v>214</v>
      </c>
      <c r="B254" s="22" t="n">
        <f aca="true">NORMINV(RAND(),$B$6,$C$6)</f>
        <v>0.403560884787391</v>
      </c>
      <c r="C254" s="22" t="n">
        <f aca="true">MAX(-0.05,NORMINV(RAND(),$B$7,$C$7))</f>
        <v>0.158779564577219</v>
      </c>
      <c r="D254" s="34" t="n">
        <f aca="true">MAX(0.08,NORMINV(RAND(),$B$8,$C$8))</f>
        <v>0.107311552036722</v>
      </c>
      <c r="E254" s="35" t="n">
        <f aca="true">MEDIAN(0,NORMINV(RAND(),$B$9,$C$9),1)</f>
        <v>0.248170053814545</v>
      </c>
      <c r="F254" s="28" t="n">
        <f aca="false">$B$12*(1+(B254+$B$17)/2)^9</f>
        <v>6369.829666345</v>
      </c>
      <c r="G254" s="28" t="n">
        <f aca="false">F254*(C254-$B$18+$B$19*E254)</f>
        <v>1039.98412444506</v>
      </c>
      <c r="H254" s="28" t="n">
        <f aca="false">MAX(0,$B$20*G254)/(1+D254)^9</f>
        <v>2908.68220056527</v>
      </c>
      <c r="I254" s="28" t="n">
        <f aca="false">$B$13*((1+$B$8)/(1+D254))^4.5</f>
        <v>699.047462966643</v>
      </c>
      <c r="J254" s="28" t="n">
        <f aca="false">H254+I254-$B$14</f>
        <v>2936.65774572369</v>
      </c>
      <c r="K254" s="45" t="n">
        <f aca="false">MAX(0,J254)/$B$15</f>
        <v>10.5143492507114</v>
      </c>
    </row>
    <row r="255" customFormat="false" ht="15" hidden="false" customHeight="false" outlineLevel="0" collapsed="false">
      <c r="A255" s="55" t="n">
        <v>215</v>
      </c>
      <c r="B255" s="22" t="n">
        <f aca="true">NORMINV(RAND(),$B$6,$C$6)</f>
        <v>0.390295706184689</v>
      </c>
      <c r="C255" s="22" t="n">
        <f aca="true">MAX(-0.05,NORMINV(RAND(),$B$7,$C$7))</f>
        <v>0.168443630573262</v>
      </c>
      <c r="D255" s="34" t="n">
        <f aca="true">MAX(0.08,NORMINV(RAND(),$B$8,$C$8))</f>
        <v>0.115967150142666</v>
      </c>
      <c r="E255" s="35" t="n">
        <f aca="true">MEDIAN(0,NORMINV(RAND(),$B$9,$C$9),1)</f>
        <v>0.749123010536917</v>
      </c>
      <c r="F255" s="28" t="n">
        <f aca="false">$B$12*(1+(B255+$B$17)/2)^9</f>
        <v>6065.28781755308</v>
      </c>
      <c r="G255" s="28" t="n">
        <f aca="false">F255*(C255-$B$18+$B$19*E255)</f>
        <v>1899.63645982378</v>
      </c>
      <c r="H255" s="28" t="n">
        <f aca="false">MAX(0,$B$20*G255)/(1+D255)^9</f>
        <v>4953.4278232059</v>
      </c>
      <c r="I255" s="28" t="n">
        <f aca="false">$B$13*((1+$B$8)/(1+D255))^4.5</f>
        <v>674.977900059565</v>
      </c>
      <c r="J255" s="28" t="n">
        <f aca="false">H255+I255-$B$14</f>
        <v>4957.33380545724</v>
      </c>
      <c r="K255" s="45" t="n">
        <f aca="false">MAX(0,J255)/$B$15</f>
        <v>17.7491364319987</v>
      </c>
    </row>
    <row r="256" customFormat="false" ht="15" hidden="false" customHeight="false" outlineLevel="0" collapsed="false">
      <c r="A256" s="55" t="n">
        <v>216</v>
      </c>
      <c r="B256" s="22" t="n">
        <f aca="true">NORMINV(RAND(),$B$6,$C$6)</f>
        <v>0.248064752833563</v>
      </c>
      <c r="C256" s="22" t="n">
        <f aca="true">MAX(-0.05,NORMINV(RAND(),$B$7,$C$7))</f>
        <v>0.134651269001462</v>
      </c>
      <c r="D256" s="34" t="n">
        <f aca="true">MAX(0.08,NORMINV(RAND(),$B$8,$C$8))</f>
        <v>0.139493107224544</v>
      </c>
      <c r="E256" s="35" t="n">
        <f aca="true">MEDIAN(0,NORMINV(RAND(),$B$9,$C$9),1)</f>
        <v>0.883063752696459</v>
      </c>
      <c r="F256" s="28" t="n">
        <f aca="false">$B$12*(1+(B256+$B$17)/2)^9</f>
        <v>3524.79721431754</v>
      </c>
      <c r="G256" s="28" t="n">
        <f aca="false">F256*(C256-$B$18+$B$19*E256)</f>
        <v>1117.04038250943</v>
      </c>
      <c r="H256" s="28" t="n">
        <f aca="false">MAX(0,$B$20*G256)/(1+D256)^9</f>
        <v>2414.13521632268</v>
      </c>
      <c r="I256" s="28" t="n">
        <f aca="false">$B$13*((1+$B$8)/(1+D256))^4.5</f>
        <v>614.494840754203</v>
      </c>
      <c r="J256" s="28" t="n">
        <f aca="false">H256+I256-$B$14</f>
        <v>2357.55813926867</v>
      </c>
      <c r="K256" s="45" t="n">
        <f aca="false">MAX(0,J256)/$B$15</f>
        <v>8.44095287958706</v>
      </c>
    </row>
    <row r="257" customFormat="false" ht="15" hidden="false" customHeight="false" outlineLevel="0" collapsed="false">
      <c r="A257" s="55" t="n">
        <v>217</v>
      </c>
      <c r="B257" s="22" t="n">
        <f aca="true">NORMINV(RAND(),$B$6,$C$6)</f>
        <v>0.47964001634616</v>
      </c>
      <c r="C257" s="22" t="n">
        <f aca="true">MAX(-0.05,NORMINV(RAND(),$B$7,$C$7))</f>
        <v>0.207686693690788</v>
      </c>
      <c r="D257" s="34" t="n">
        <f aca="true">MAX(0.08,NORMINV(RAND(),$B$8,$C$8))</f>
        <v>0.13865774757194</v>
      </c>
      <c r="E257" s="35" t="n">
        <f aca="true">MEDIAN(0,NORMINV(RAND(),$B$9,$C$9),1)</f>
        <v>0.126896840996003</v>
      </c>
      <c r="F257" s="28" t="n">
        <f aca="false">$B$12*(1+(B257+$B$17)/2)^9</f>
        <v>8393.93906133241</v>
      </c>
      <c r="G257" s="28" t="n">
        <f aca="false">F257*(C257-$B$18+$B$19*E257)</f>
        <v>1495.94942981437</v>
      </c>
      <c r="H257" s="28" t="n">
        <f aca="false">MAX(0,$B$20*G257)/(1+D257)^9</f>
        <v>3254.43875647002</v>
      </c>
      <c r="I257" s="28" t="n">
        <f aca="false">$B$13*((1+$B$8)/(1+D257))^4.5</f>
        <v>616.526115184179</v>
      </c>
      <c r="J257" s="28" t="n">
        <f aca="false">H257+I257-$B$14</f>
        <v>3199.89295384599</v>
      </c>
      <c r="K257" s="45" t="n">
        <f aca="false">MAX(0,J257)/$B$15</f>
        <v>11.4568311988757</v>
      </c>
    </row>
    <row r="258" customFormat="false" ht="15" hidden="false" customHeight="false" outlineLevel="0" collapsed="false">
      <c r="A258" s="55" t="n">
        <v>218</v>
      </c>
      <c r="B258" s="22" t="n">
        <f aca="true">NORMINV(RAND(),$B$6,$C$6)</f>
        <v>0.670627349500554</v>
      </c>
      <c r="C258" s="22" t="n">
        <f aca="true">MAX(-0.05,NORMINV(RAND(),$B$7,$C$7))</f>
        <v>0.14599966685921</v>
      </c>
      <c r="D258" s="34" t="n">
        <f aca="true">MAX(0.08,NORMINV(RAND(),$B$8,$C$8))</f>
        <v>0.110320199524655</v>
      </c>
      <c r="E258" s="35" t="n">
        <f aca="true">MEDIAN(0,NORMINV(RAND(),$B$9,$C$9),1)</f>
        <v>0.0299587039618308</v>
      </c>
      <c r="F258" s="28" t="n">
        <f aca="false">$B$12*(1+(B258+$B$17)/2)^9</f>
        <v>16201.2185827088</v>
      </c>
      <c r="G258" s="28" t="n">
        <f aca="false">F258*(C258-$B$18+$B$19*E258)</f>
        <v>1448.19621108794</v>
      </c>
      <c r="H258" s="28" t="n">
        <f aca="false">MAX(0,$B$20*G258)/(1+D258)^9</f>
        <v>3952.67657295781</v>
      </c>
      <c r="I258" s="28" t="n">
        <f aca="false">$B$13*((1+$B$8)/(1+D258))^4.5</f>
        <v>690.563815957841</v>
      </c>
      <c r="J258" s="28" t="n">
        <f aca="false">H258+I258-$B$14</f>
        <v>3972.16847110743</v>
      </c>
      <c r="K258" s="45" t="n">
        <f aca="false">MAX(0,J258)/$B$15</f>
        <v>14.221870644853</v>
      </c>
    </row>
    <row r="259" customFormat="false" ht="15" hidden="false" customHeight="false" outlineLevel="0" collapsed="false">
      <c r="A259" s="55" t="n">
        <v>219</v>
      </c>
      <c r="B259" s="22" t="n">
        <f aca="true">NORMINV(RAND(),$B$6,$C$6)</f>
        <v>0.337088098309703</v>
      </c>
      <c r="C259" s="22" t="n">
        <f aca="true">MAX(-0.05,NORMINV(RAND(),$B$7,$C$7))</f>
        <v>0.175338159826938</v>
      </c>
      <c r="D259" s="34" t="n">
        <f aca="true">MAX(0.08,NORMINV(RAND(),$B$8,$C$8))</f>
        <v>0.161479827418861</v>
      </c>
      <c r="E259" s="35" t="n">
        <f aca="true">MEDIAN(0,NORMINV(RAND(),$B$9,$C$9),1)</f>
        <v>0.758763828633723</v>
      </c>
      <c r="F259" s="28" t="n">
        <f aca="false">$B$12*(1+(B259+$B$17)/2)^9</f>
        <v>4969.66182075762</v>
      </c>
      <c r="G259" s="28" t="n">
        <f aca="false">F259*(C259-$B$18+$B$19*E259)</f>
        <v>1604.16723670179</v>
      </c>
      <c r="H259" s="28" t="n">
        <f aca="false">MAX(0,$B$20*G259)/(1+D259)^9</f>
        <v>2919.05743206338</v>
      </c>
      <c r="I259" s="28" t="n">
        <f aca="false">$B$13*((1+$B$8)/(1+D259))^4.5</f>
        <v>563.856226946809</v>
      </c>
      <c r="J259" s="28" t="n">
        <f aca="false">H259+I259-$B$14</f>
        <v>2811.84174120197</v>
      </c>
      <c r="K259" s="45" t="n">
        <f aca="false">MAX(0,J259)/$B$15</f>
        <v>10.067460584325</v>
      </c>
    </row>
    <row r="260" customFormat="false" ht="15" hidden="false" customHeight="false" outlineLevel="0" collapsed="false">
      <c r="A260" s="55" t="n">
        <v>220</v>
      </c>
      <c r="B260" s="22" t="n">
        <f aca="true">NORMINV(RAND(),$B$6,$C$6)</f>
        <v>0.422886200804297</v>
      </c>
      <c r="C260" s="22" t="n">
        <f aca="true">MAX(-0.05,NORMINV(RAND(),$B$7,$C$7))</f>
        <v>0.245503877817839</v>
      </c>
      <c r="D260" s="34" t="n">
        <f aca="true">MAX(0.08,NORMINV(RAND(),$B$8,$C$8))</f>
        <v>0.178145793435303</v>
      </c>
      <c r="E260" s="35" t="n">
        <f aca="true">MEDIAN(0,NORMINV(RAND(),$B$9,$C$9),1)</f>
        <v>0.757702224897082</v>
      </c>
      <c r="F260" s="28" t="n">
        <f aca="false">$B$12*(1+(B260+$B$17)/2)^9</f>
        <v>6837.83232843083</v>
      </c>
      <c r="G260" s="28" t="n">
        <f aca="false">F260*(C260-$B$18+$B$19*E260)</f>
        <v>2684.94666639301</v>
      </c>
      <c r="H260" s="28" t="n">
        <f aca="false">MAX(0,$B$20*G260)/(1+D260)^9</f>
        <v>4297.76209152141</v>
      </c>
      <c r="I260" s="28" t="n">
        <f aca="false">$B$13*((1+$B$8)/(1+D260))^4.5</f>
        <v>528.841143809261</v>
      </c>
      <c r="J260" s="28" t="n">
        <f aca="false">H260+I260-$B$14</f>
        <v>4155.53131752246</v>
      </c>
      <c r="K260" s="45" t="n">
        <f aca="false">MAX(0,J260)/$B$15</f>
        <v>14.8783792249282</v>
      </c>
    </row>
    <row r="261" customFormat="false" ht="15" hidden="false" customHeight="false" outlineLevel="0" collapsed="false">
      <c r="A261" s="55" t="n">
        <v>221</v>
      </c>
      <c r="B261" s="22" t="n">
        <f aca="true">NORMINV(RAND(),$B$6,$C$6)</f>
        <v>0.345223926298242</v>
      </c>
      <c r="C261" s="22" t="n">
        <f aca="true">MAX(-0.05,NORMINV(RAND(),$B$7,$C$7))</f>
        <v>0.315352086142949</v>
      </c>
      <c r="D261" s="34" t="n">
        <f aca="true">MAX(0.08,NORMINV(RAND(),$B$8,$C$8))</f>
        <v>0.148779679238964</v>
      </c>
      <c r="E261" s="35" t="n">
        <f aca="true">MEDIAN(0,NORMINV(RAND(),$B$9,$C$9),1)</f>
        <v>0.540716231752586</v>
      </c>
      <c r="F261" s="28" t="n">
        <f aca="false">$B$12*(1+(B261+$B$17)/2)^9</f>
        <v>5124.85700630098</v>
      </c>
      <c r="G261" s="28" t="n">
        <f aca="false">F261*(C261-$B$18+$B$19*E261)</f>
        <v>2058.92478595277</v>
      </c>
      <c r="H261" s="28" t="n">
        <f aca="false">MAX(0,$B$20*G261)/(1+D261)^9</f>
        <v>4136.2598961482</v>
      </c>
      <c r="I261" s="28" t="n">
        <f aca="false">$B$13*((1+$B$8)/(1+D261))^4.5</f>
        <v>592.45524798552</v>
      </c>
      <c r="J261" s="28" t="n">
        <f aca="false">H261+I261-$B$14</f>
        <v>4057.6432263255</v>
      </c>
      <c r="K261" s="45" t="n">
        <f aca="false">MAX(0,J261)/$B$15</f>
        <v>14.5279027079323</v>
      </c>
    </row>
    <row r="262" customFormat="false" ht="15" hidden="false" customHeight="false" outlineLevel="0" collapsed="false">
      <c r="A262" s="55" t="n">
        <v>222</v>
      </c>
      <c r="B262" s="22" t="n">
        <f aca="true">NORMINV(RAND(),$B$6,$C$6)</f>
        <v>0.515172043678207</v>
      </c>
      <c r="C262" s="22" t="n">
        <f aca="true">MAX(-0.05,NORMINV(RAND(),$B$7,$C$7))</f>
        <v>0.157643966117654</v>
      </c>
      <c r="D262" s="34" t="n">
        <f aca="true">MAX(0.08,NORMINV(RAND(),$B$8,$C$8))</f>
        <v>0.144251930194318</v>
      </c>
      <c r="E262" s="35" t="n">
        <f aca="true">MEDIAN(0,NORMINV(RAND(),$B$9,$C$9),1)</f>
        <v>0.0140304108598675</v>
      </c>
      <c r="F262" s="28" t="n">
        <f aca="false">$B$12*(1+(B262+$B$17)/2)^9</f>
        <v>9521.39675807483</v>
      </c>
      <c r="G262" s="28" t="n">
        <f aca="false">F262*(C262-$B$18+$B$19*E262)</f>
        <v>919.504909020998</v>
      </c>
      <c r="H262" s="28" t="n">
        <f aca="false">MAX(0,$B$20*G262)/(1+D262)^9</f>
        <v>1914.06732256867</v>
      </c>
      <c r="I262" s="28" t="n">
        <f aca="false">$B$13*((1+$B$8)/(1+D262))^4.5</f>
        <v>603.07796471282</v>
      </c>
      <c r="J262" s="28" t="n">
        <f aca="false">H262+I262-$B$14</f>
        <v>1846.07336947327</v>
      </c>
      <c r="K262" s="45" t="n">
        <f aca="false">MAX(0,J262)/$B$15</f>
        <v>6.60964328490252</v>
      </c>
    </row>
    <row r="263" customFormat="false" ht="15" hidden="false" customHeight="false" outlineLevel="0" collapsed="false">
      <c r="A263" s="55" t="n">
        <v>223</v>
      </c>
      <c r="B263" s="22" t="n">
        <f aca="true">NORMINV(RAND(),$B$6,$C$6)</f>
        <v>0.20214247647835</v>
      </c>
      <c r="C263" s="22" t="n">
        <f aca="true">MAX(-0.05,NORMINV(RAND(),$B$7,$C$7))</f>
        <v>0.175326271700524</v>
      </c>
      <c r="D263" s="34" t="n">
        <f aca="true">MAX(0.08,NORMINV(RAND(),$B$8,$C$8))</f>
        <v>0.160666966526172</v>
      </c>
      <c r="E263" s="35" t="n">
        <f aca="true">MEDIAN(0,NORMINV(RAND(),$B$9,$C$9),1)</f>
        <v>0.370009263863881</v>
      </c>
      <c r="F263" s="28" t="n">
        <f aca="false">$B$12*(1+(B263+$B$17)/2)^9</f>
        <v>2936.89347713818</v>
      </c>
      <c r="G263" s="28" t="n">
        <f aca="false">F263*(C263-$B$18+$B$19*E263)</f>
        <v>628.286289900553</v>
      </c>
      <c r="H263" s="28" t="n">
        <f aca="false">MAX(0,$B$20*G263)/(1+D263)^9</f>
        <v>1150.5010107672</v>
      </c>
      <c r="I263" s="28" t="n">
        <f aca="false">$B$13*((1+$B$8)/(1+D263))^4.5</f>
        <v>565.63541458923</v>
      </c>
      <c r="J263" s="28" t="n">
        <f aca="false">H263+I263-$B$14</f>
        <v>1045.06450754821</v>
      </c>
      <c r="K263" s="45" t="n">
        <f aca="false">MAX(0,J263)/$B$15</f>
        <v>3.74172756014397</v>
      </c>
    </row>
    <row r="264" customFormat="false" ht="15" hidden="false" customHeight="false" outlineLevel="0" collapsed="false">
      <c r="A264" s="55" t="n">
        <v>224</v>
      </c>
      <c r="B264" s="22" t="n">
        <f aca="true">NORMINV(RAND(),$B$6,$C$6)</f>
        <v>0.38583896882749</v>
      </c>
      <c r="C264" s="22" t="n">
        <f aca="true">MAX(-0.05,NORMINV(RAND(),$B$7,$C$7))</f>
        <v>0.078669569556316</v>
      </c>
      <c r="D264" s="34" t="n">
        <f aca="true">MAX(0.08,NORMINV(RAND(),$B$8,$C$8))</f>
        <v>0.147181091195001</v>
      </c>
      <c r="E264" s="35" t="n">
        <f aca="true">MEDIAN(0,NORMINV(RAND(),$B$9,$C$9),1)</f>
        <v>0</v>
      </c>
      <c r="F264" s="28" t="n">
        <f aca="false">$B$12*(1+(B264+$B$17)/2)^9</f>
        <v>5965.91488243242</v>
      </c>
      <c r="G264" s="28" t="n">
        <f aca="false">F264*(C264-$B$18+$B$19*E264)</f>
        <v>81.551488452471</v>
      </c>
      <c r="H264" s="28" t="n">
        <f aca="false">MAX(0,$B$20*G264)/(1+D264)^9</f>
        <v>165.898367447739</v>
      </c>
      <c r="I264" s="28" t="n">
        <f aca="false">$B$13*((1+$B$8)/(1+D264))^4.5</f>
        <v>596.179436521707</v>
      </c>
      <c r="J264" s="28" t="n">
        <f aca="false">H264+I264-$B$14</f>
        <v>91.0058861612268</v>
      </c>
      <c r="K264" s="45" t="n">
        <f aca="false">MAX(0,J264)/$B$15</f>
        <v>0.325835611031961</v>
      </c>
    </row>
    <row r="265" customFormat="false" ht="15" hidden="false" customHeight="false" outlineLevel="0" collapsed="false">
      <c r="A265" s="55" t="n">
        <v>225</v>
      </c>
      <c r="B265" s="22" t="n">
        <f aca="true">NORMINV(RAND(),$B$6,$C$6)</f>
        <v>0.0639598147981881</v>
      </c>
      <c r="C265" s="22" t="n">
        <f aca="true">MAX(-0.05,NORMINV(RAND(),$B$7,$C$7))</f>
        <v>0.0673463673057999</v>
      </c>
      <c r="D265" s="34" t="n">
        <f aca="true">MAX(0.08,NORMINV(RAND(),$B$8,$C$8))</f>
        <v>0.147672424440074</v>
      </c>
      <c r="E265" s="35" t="n">
        <f aca="true">MEDIAN(0,NORMINV(RAND(),$B$9,$C$9),1)</f>
        <v>0.260290940083685</v>
      </c>
      <c r="F265" s="28" t="n">
        <f aca="false">$B$12*(1+(B265+$B$17)/2)^9</f>
        <v>1656.74742293841</v>
      </c>
      <c r="G265" s="28" t="n">
        <f aca="false">F265*(C265-$B$18+$B$19*E265)</f>
        <v>124.633514362552</v>
      </c>
      <c r="H265" s="28" t="n">
        <f aca="false">MAX(0,$B$20*G265)/(1+D265)^9</f>
        <v>252.563949332717</v>
      </c>
      <c r="I265" s="28" t="n">
        <f aca="false">$B$13*((1+$B$8)/(1+D265))^4.5</f>
        <v>595.031752509112</v>
      </c>
      <c r="J265" s="28" t="n">
        <f aca="false">H265+I265-$B$14</f>
        <v>176.52378403361</v>
      </c>
      <c r="K265" s="45" t="n">
        <f aca="false">MAX(0,J265)/$B$15</f>
        <v>0.63202214118729</v>
      </c>
    </row>
    <row r="266" customFormat="false" ht="15" hidden="false" customHeight="false" outlineLevel="0" collapsed="false">
      <c r="A266" s="55" t="n">
        <v>226</v>
      </c>
      <c r="B266" s="22" t="n">
        <f aca="true">NORMINV(RAND(),$B$6,$C$6)</f>
        <v>0.676747580182775</v>
      </c>
      <c r="C266" s="22" t="n">
        <f aca="true">MAX(-0.05,NORMINV(RAND(),$B$7,$C$7))</f>
        <v>0.219337109243852</v>
      </c>
      <c r="D266" s="34" t="n">
        <f aca="true">MAX(0.08,NORMINV(RAND(),$B$8,$C$8))</f>
        <v>0.0977225165644236</v>
      </c>
      <c r="E266" s="35" t="n">
        <f aca="true">MEDIAN(0,NORMINV(RAND(),$B$9,$C$9),1)</f>
        <v>0.467626485415348</v>
      </c>
      <c r="F266" s="28" t="n">
        <f aca="false">$B$12*(1+(B266+$B$17)/2)^9</f>
        <v>16533.4291341012</v>
      </c>
      <c r="G266" s="28" t="n">
        <f aca="false">F266*(C266-$B$18+$B$19*E266)</f>
        <v>4716.53307864144</v>
      </c>
      <c r="H266" s="28" t="n">
        <f aca="false">MAX(0,$B$20*G266)/(1+D266)^9</f>
        <v>14265.5254026002</v>
      </c>
      <c r="I266" s="28" t="n">
        <f aca="false">$B$13*((1+$B$8)/(1+D266))^4.5</f>
        <v>726.949639502351</v>
      </c>
      <c r="J266" s="28" t="n">
        <f aca="false">H266+I266-$B$14</f>
        <v>14321.4031242943</v>
      </c>
      <c r="K266" s="45" t="n">
        <f aca="false">MAX(0,J266)/$B$15</f>
        <v>51.2760584471691</v>
      </c>
    </row>
    <row r="267" customFormat="false" ht="15" hidden="false" customHeight="false" outlineLevel="0" collapsed="false">
      <c r="A267" s="55" t="n">
        <v>227</v>
      </c>
      <c r="B267" s="22" t="n">
        <f aca="true">NORMINV(RAND(),$B$6,$C$6)</f>
        <v>0.365816549066906</v>
      </c>
      <c r="C267" s="22" t="n">
        <f aca="true">MAX(-0.05,NORMINV(RAND(),$B$7,$C$7))</f>
        <v>0.158907663896584</v>
      </c>
      <c r="D267" s="34" t="n">
        <f aca="true">MAX(0.08,NORMINV(RAND(),$B$8,$C$8))</f>
        <v>0.169533664004813</v>
      </c>
      <c r="E267" s="35" t="n">
        <f aca="true">MEDIAN(0,NORMINV(RAND(),$B$9,$C$9),1)</f>
        <v>0.479519355640129</v>
      </c>
      <c r="F267" s="28" t="n">
        <f aca="false">$B$12*(1+(B267+$B$17)/2)^9</f>
        <v>5537.0941722321</v>
      </c>
      <c r="G267" s="28" t="n">
        <f aca="false">F267*(C267-$B$18+$B$19*E267)</f>
        <v>1263.41585077419</v>
      </c>
      <c r="H267" s="28" t="n">
        <f aca="false">MAX(0,$B$20*G267)/(1+D267)^9</f>
        <v>2160.378354202</v>
      </c>
      <c r="I267" s="28" t="n">
        <f aca="false">$B$13*((1+$B$8)/(1+D267))^4.5</f>
        <v>546.592451960877</v>
      </c>
      <c r="J267" s="28" t="n">
        <f aca="false">H267+I267-$B$14</f>
        <v>2035.89888835466</v>
      </c>
      <c r="K267" s="45" t="n">
        <f aca="false">MAX(0,J267)/$B$15</f>
        <v>7.2892906851223</v>
      </c>
    </row>
    <row r="268" customFormat="false" ht="15" hidden="false" customHeight="false" outlineLevel="0" collapsed="false">
      <c r="A268" s="55" t="n">
        <v>228</v>
      </c>
      <c r="B268" s="22" t="n">
        <f aca="true">NORMINV(RAND(),$B$6,$C$6)</f>
        <v>0.432750162031187</v>
      </c>
      <c r="C268" s="22" t="n">
        <f aca="true">MAX(-0.05,NORMINV(RAND(),$B$7,$C$7))</f>
        <v>0.154637329524116</v>
      </c>
      <c r="D268" s="34" t="n">
        <f aca="true">MAX(0.08,NORMINV(RAND(),$B$8,$C$8))</f>
        <v>0.148471212359449</v>
      </c>
      <c r="E268" s="35" t="n">
        <f aca="true">MEDIAN(0,NORMINV(RAND(),$B$9,$C$9),1)</f>
        <v>0.614676432203293</v>
      </c>
      <c r="F268" s="28" t="n">
        <f aca="false">$B$12*(1+(B268+$B$17)/2)^9</f>
        <v>7088.29019084252</v>
      </c>
      <c r="G268" s="28" t="n">
        <f aca="false">F268*(C268-$B$18+$B$19*E268)</f>
        <v>1855.33678257914</v>
      </c>
      <c r="H268" s="28" t="n">
        <f aca="false">MAX(0,$B$20*G268)/(1+D268)^9</f>
        <v>3736.28307081395</v>
      </c>
      <c r="I268" s="28" t="n">
        <f aca="false">$B$13*((1+$B$8)/(1+D268))^4.5</f>
        <v>593.171656305166</v>
      </c>
      <c r="J268" s="28" t="n">
        <f aca="false">H268+I268-$B$14</f>
        <v>3658.3828093109</v>
      </c>
      <c r="K268" s="45" t="n">
        <f aca="false">MAX(0,J268)/$B$15</f>
        <v>13.0983988876151</v>
      </c>
    </row>
    <row r="269" customFormat="false" ht="15" hidden="false" customHeight="false" outlineLevel="0" collapsed="false">
      <c r="A269" s="55" t="n">
        <v>229</v>
      </c>
      <c r="B269" s="22" t="n">
        <f aca="true">NORMINV(RAND(),$B$6,$C$6)</f>
        <v>0.285185363462562</v>
      </c>
      <c r="C269" s="22" t="n">
        <f aca="true">MAX(-0.05,NORMINV(RAND(),$B$7,$C$7))</f>
        <v>0.106472053178002</v>
      </c>
      <c r="D269" s="34" t="n">
        <f aca="true">MAX(0.08,NORMINV(RAND(),$B$8,$C$8))</f>
        <v>0.149583301346561</v>
      </c>
      <c r="E269" s="35" t="n">
        <f aca="true">MEDIAN(0,NORMINV(RAND(),$B$9,$C$9),1)</f>
        <v>0</v>
      </c>
      <c r="F269" s="28" t="n">
        <f aca="false">$B$12*(1+(B269+$B$17)/2)^9</f>
        <v>4074.15514112484</v>
      </c>
      <c r="G269" s="28" t="n">
        <f aca="false">F269*(C269-$B$18+$B$19*E269)</f>
        <v>168.963578668161</v>
      </c>
      <c r="H269" s="28" t="n">
        <f aca="false">MAX(0,$B$20*G269)/(1+D269)^9</f>
        <v>337.30837099146</v>
      </c>
      <c r="I269" s="28" t="n">
        <f aca="false">$B$13*((1+$B$8)/(1+D269))^4.5</f>
        <v>590.593811657086</v>
      </c>
      <c r="J269" s="28" t="n">
        <f aca="false">H269+I269-$B$14</f>
        <v>256.830264840327</v>
      </c>
      <c r="K269" s="45" t="n">
        <f aca="false">MAX(0,J269)/$B$15</f>
        <v>0.919549820409332</v>
      </c>
    </row>
    <row r="270" customFormat="false" ht="15" hidden="false" customHeight="false" outlineLevel="0" collapsed="false">
      <c r="A270" s="55" t="n">
        <v>230</v>
      </c>
      <c r="B270" s="22" t="n">
        <f aca="true">NORMINV(RAND(),$B$6,$C$6)</f>
        <v>0.510932525352377</v>
      </c>
      <c r="C270" s="22" t="n">
        <f aca="true">MAX(-0.05,NORMINV(RAND(),$B$7,$C$7))</f>
        <v>0.0917663615896238</v>
      </c>
      <c r="D270" s="34" t="n">
        <f aca="true">MAX(0.08,NORMINV(RAND(),$B$8,$C$8))</f>
        <v>0.118392150650958</v>
      </c>
      <c r="E270" s="35" t="n">
        <f aca="true">MEDIAN(0,NORMINV(RAND(),$B$9,$C$9),1)</f>
        <v>0.127482548402896</v>
      </c>
      <c r="F270" s="28" t="n">
        <f aca="false">$B$12*(1+(B270+$B$17)/2)^9</f>
        <v>9380.15639347437</v>
      </c>
      <c r="G270" s="28" t="n">
        <f aca="false">F270*(C270-$B$18+$B$19*E270)</f>
        <v>585.898405403148</v>
      </c>
      <c r="H270" s="28" t="n">
        <f aca="false">MAX(0,$B$20*G270)/(1+D270)^9</f>
        <v>1498.21231611838</v>
      </c>
      <c r="I270" s="28" t="n">
        <f aca="false">$B$13*((1+$B$8)/(1+D270))^4.5</f>
        <v>668.416874827155</v>
      </c>
      <c r="J270" s="28" t="n">
        <f aca="false">H270+I270-$B$14</f>
        <v>1495.55727313732</v>
      </c>
      <c r="K270" s="45" t="n">
        <f aca="false">MAX(0,J270)/$B$15</f>
        <v>5.35466263207061</v>
      </c>
    </row>
    <row r="271" customFormat="false" ht="15" hidden="false" customHeight="false" outlineLevel="0" collapsed="false">
      <c r="A271" s="55" t="n">
        <v>231</v>
      </c>
      <c r="B271" s="22" t="n">
        <f aca="true">NORMINV(RAND(),$B$6,$C$6)</f>
        <v>0.394214946150902</v>
      </c>
      <c r="C271" s="22" t="n">
        <f aca="true">MAX(-0.05,NORMINV(RAND(),$B$7,$C$7))</f>
        <v>0.142324115407037</v>
      </c>
      <c r="D271" s="34" t="n">
        <f aca="true">MAX(0.08,NORMINV(RAND(),$B$8,$C$8))</f>
        <v>0.114336594218483</v>
      </c>
      <c r="E271" s="35" t="n">
        <f aca="true">MEDIAN(0,NORMINV(RAND(),$B$9,$C$9),1)</f>
        <v>0.505702580198028</v>
      </c>
      <c r="F271" s="28" t="n">
        <f aca="false">$B$12*(1+(B271+$B$17)/2)^9</f>
        <v>6153.88902461149</v>
      </c>
      <c r="G271" s="28" t="n">
        <f aca="false">F271*(C271-$B$18+$B$19*E271)</f>
        <v>1347.2145413807</v>
      </c>
      <c r="H271" s="28" t="n">
        <f aca="false">MAX(0,$B$20*G271)/(1+D271)^9</f>
        <v>3559.48581911643</v>
      </c>
      <c r="I271" s="28" t="n">
        <f aca="false">$B$13*((1+$B$8)/(1+D271))^4.5</f>
        <v>679.433779167614</v>
      </c>
      <c r="J271" s="28" t="n">
        <f aca="false">H271+I271-$B$14</f>
        <v>3567.84768047582</v>
      </c>
      <c r="K271" s="45" t="n">
        <f aca="false">MAX(0,J271)/$B$15</f>
        <v>12.7742487664727</v>
      </c>
    </row>
    <row r="272" customFormat="false" ht="15" hidden="false" customHeight="false" outlineLevel="0" collapsed="false">
      <c r="A272" s="55" t="n">
        <v>232</v>
      </c>
      <c r="B272" s="22" t="n">
        <f aca="true">NORMINV(RAND(),$B$6,$C$6)</f>
        <v>0.474881301064187</v>
      </c>
      <c r="C272" s="22" t="n">
        <f aca="true">MAX(-0.05,NORMINV(RAND(),$B$7,$C$7))</f>
        <v>0.151557974861411</v>
      </c>
      <c r="D272" s="34" t="n">
        <f aca="true">MAX(0.08,NORMINV(RAND(),$B$8,$C$8))</f>
        <v>0.158418777426865</v>
      </c>
      <c r="E272" s="35" t="n">
        <f aca="true">MEDIAN(0,NORMINV(RAND(),$B$9,$C$9),1)</f>
        <v>0.09750193593257</v>
      </c>
      <c r="F272" s="28" t="n">
        <f aca="false">$B$12*(1+(B272+$B$17)/2)^9</f>
        <v>8252.33337349412</v>
      </c>
      <c r="G272" s="28" t="n">
        <f aca="false">F272*(C272-$B$18+$B$19*E272)</f>
        <v>939.598439056341</v>
      </c>
      <c r="H272" s="28" t="n">
        <f aca="false">MAX(0,$B$20*G272)/(1+D272)^9</f>
        <v>1750.85438842711</v>
      </c>
      <c r="I272" s="28" t="n">
        <f aca="false">$B$13*((1+$B$8)/(1+D272))^4.5</f>
        <v>570.592098533964</v>
      </c>
      <c r="J272" s="28" t="n">
        <f aca="false">H272+I272-$B$14</f>
        <v>1650.37456915285</v>
      </c>
      <c r="K272" s="45" t="n">
        <f aca="false">MAX(0,J272)/$B$15</f>
        <v>5.90896730810186</v>
      </c>
    </row>
    <row r="273" customFormat="false" ht="15" hidden="false" customHeight="false" outlineLevel="0" collapsed="false">
      <c r="A273" s="55" t="n">
        <v>233</v>
      </c>
      <c r="B273" s="22" t="n">
        <f aca="true">NORMINV(RAND(),$B$6,$C$6)</f>
        <v>0.489187821520352</v>
      </c>
      <c r="C273" s="22" t="n">
        <f aca="true">MAX(-0.05,NORMINV(RAND(),$B$7,$C$7))</f>
        <v>0.150927418623891</v>
      </c>
      <c r="D273" s="34" t="n">
        <f aca="true">MAX(0.08,NORMINV(RAND(),$B$8,$C$8))</f>
        <v>0.13999229742631</v>
      </c>
      <c r="E273" s="35" t="n">
        <f aca="true">MEDIAN(0,NORMINV(RAND(),$B$9,$C$9),1)</f>
        <v>0.0565796470700735</v>
      </c>
      <c r="F273" s="28" t="n">
        <f aca="false">$B$12*(1+(B273+$B$17)/2)^9</f>
        <v>8684.58510831274</v>
      </c>
      <c r="G273" s="28" t="n">
        <f aca="false">F273*(C273-$B$18+$B$19*E273)</f>
        <v>883.827793082737</v>
      </c>
      <c r="H273" s="28" t="n">
        <f aca="false">MAX(0,$B$20*G273)/(1+D273)^9</f>
        <v>1902.60415923814</v>
      </c>
      <c r="I273" s="28" t="n">
        <f aca="false">$B$13*((1+$B$8)/(1+D273))^4.5</f>
        <v>613.284905637877</v>
      </c>
      <c r="J273" s="28" t="n">
        <f aca="false">H273+I273-$B$14</f>
        <v>1844.8171470678</v>
      </c>
      <c r="K273" s="45" t="n">
        <f aca="false">MAX(0,J273)/$B$15</f>
        <v>6.60514553192909</v>
      </c>
    </row>
    <row r="274" customFormat="false" ht="15" hidden="false" customHeight="false" outlineLevel="0" collapsed="false">
      <c r="A274" s="55" t="n">
        <v>234</v>
      </c>
      <c r="B274" s="22" t="n">
        <f aca="true">NORMINV(RAND(),$B$6,$C$6)</f>
        <v>0.553662732613719</v>
      </c>
      <c r="C274" s="22" t="n">
        <f aca="true">MAX(-0.05,NORMINV(RAND(),$B$7,$C$7))</f>
        <v>0.158534259697893</v>
      </c>
      <c r="D274" s="34" t="n">
        <f aca="true">MAX(0.08,NORMINV(RAND(),$B$8,$C$8))</f>
        <v>0.163767014369969</v>
      </c>
      <c r="E274" s="35" t="n">
        <f aca="true">MEDIAN(0,NORMINV(RAND(),$B$9,$C$9),1)</f>
        <v>0.0147508995693865</v>
      </c>
      <c r="F274" s="28" t="n">
        <f aca="false">$B$12*(1+(B274+$B$17)/2)^9</f>
        <v>10892.8332358851</v>
      </c>
      <c r="G274" s="28" t="n">
        <f aca="false">F274*(C274-$B$18+$B$19*E274)</f>
        <v>1063.84323767593</v>
      </c>
      <c r="H274" s="28" t="n">
        <f aca="false">MAX(0,$B$20*G274)/(1+D274)^9</f>
        <v>1901.87200692945</v>
      </c>
      <c r="I274" s="28" t="n">
        <f aca="false">$B$13*((1+$B$8)/(1+D274))^4.5</f>
        <v>558.88661231369</v>
      </c>
      <c r="J274" s="28" t="n">
        <f aca="false">H274+I274-$B$14</f>
        <v>1789.68670143492</v>
      </c>
      <c r="K274" s="45" t="n">
        <f aca="false">MAX(0,J274)/$B$15</f>
        <v>6.40775761344403</v>
      </c>
    </row>
    <row r="275" customFormat="false" ht="15" hidden="false" customHeight="false" outlineLevel="0" collapsed="false">
      <c r="A275" s="55" t="n">
        <v>235</v>
      </c>
      <c r="B275" s="22" t="n">
        <f aca="true">NORMINV(RAND(),$B$6,$C$6)</f>
        <v>0.419290362897595</v>
      </c>
      <c r="C275" s="22" t="n">
        <f aca="true">MAX(-0.05,NORMINV(RAND(),$B$7,$C$7))</f>
        <v>0.197809634105345</v>
      </c>
      <c r="D275" s="34" t="n">
        <f aca="true">MAX(0.08,NORMINV(RAND(),$B$8,$C$8))</f>
        <v>0.133017758682547</v>
      </c>
      <c r="E275" s="35" t="n">
        <f aca="true">MEDIAN(0,NORMINV(RAND(),$B$9,$C$9),1)</f>
        <v>0.0698574239065051</v>
      </c>
      <c r="F275" s="28" t="n">
        <f aca="false">$B$12*(1+(B275+$B$17)/2)^9</f>
        <v>6748.50555279946</v>
      </c>
      <c r="G275" s="28" t="n">
        <f aca="false">F275*(C275-$B$18+$B$19*E275)</f>
        <v>1028.26785290363</v>
      </c>
      <c r="H275" s="28" t="n">
        <f aca="false">MAX(0,$B$20*G275)/(1+D275)^9</f>
        <v>2339.23496017994</v>
      </c>
      <c r="I275" s="28" t="n">
        <f aca="false">$B$13*((1+$B$8)/(1+D275))^4.5</f>
        <v>630.457297194882</v>
      </c>
      <c r="J275" s="28" t="n">
        <f aca="false">H275+I275-$B$14</f>
        <v>2298.6203395666</v>
      </c>
      <c r="K275" s="45" t="n">
        <f aca="false">MAX(0,J275)/$B$15</f>
        <v>8.22993318856642</v>
      </c>
    </row>
    <row r="276" customFormat="false" ht="15" hidden="false" customHeight="false" outlineLevel="0" collapsed="false">
      <c r="A276" s="55" t="n">
        <v>236</v>
      </c>
      <c r="B276" s="22" t="n">
        <f aca="true">NORMINV(RAND(),$B$6,$C$6)</f>
        <v>0.203023611098422</v>
      </c>
      <c r="C276" s="22" t="n">
        <f aca="true">MAX(-0.05,NORMINV(RAND(),$B$7,$C$7))</f>
        <v>0.0859597628081664</v>
      </c>
      <c r="D276" s="34" t="n">
        <f aca="true">MAX(0.08,NORMINV(RAND(),$B$8,$C$8))</f>
        <v>0.133974186223914</v>
      </c>
      <c r="E276" s="35" t="n">
        <f aca="true">MEDIAN(0,NORMINV(RAND(),$B$9,$C$9),1)</f>
        <v>0.255390753580629</v>
      </c>
      <c r="F276" s="28" t="n">
        <f aca="false">$B$12*(1+(B276+$B$17)/2)^9</f>
        <v>2947.29729024792</v>
      </c>
      <c r="G276" s="28" t="n">
        <f aca="false">F276*(C276-$B$18+$B$19*E276)</f>
        <v>272.534145403865</v>
      </c>
      <c r="H276" s="28" t="n">
        <f aca="false">MAX(0,$B$20*G276)/(1+D276)^9</f>
        <v>615.305003404392</v>
      </c>
      <c r="I276" s="28" t="n">
        <f aca="false">$B$13*((1+$B$8)/(1+D276))^4.5</f>
        <v>628.067967652986</v>
      </c>
      <c r="J276" s="28" t="n">
        <f aca="false">H276+I276-$B$14</f>
        <v>572.301053249158</v>
      </c>
      <c r="K276" s="45" t="n">
        <f aca="false">MAX(0,J276)/$B$15</f>
        <v>2.04905497045886</v>
      </c>
    </row>
    <row r="277" customFormat="false" ht="15" hidden="false" customHeight="false" outlineLevel="0" collapsed="false">
      <c r="A277" s="55" t="n">
        <v>237</v>
      </c>
      <c r="B277" s="22" t="n">
        <f aca="true">NORMINV(RAND(),$B$6,$C$6)</f>
        <v>0.283286867224274</v>
      </c>
      <c r="C277" s="22" t="n">
        <f aca="true">MAX(-0.05,NORMINV(RAND(),$B$7,$C$7))</f>
        <v>0.137786667966632</v>
      </c>
      <c r="D277" s="34" t="n">
        <f aca="true">MAX(0.08,NORMINV(RAND(),$B$8,$C$8))</f>
        <v>0.156490553992833</v>
      </c>
      <c r="E277" s="35" t="n">
        <f aca="true">MEDIAN(0,NORMINV(RAND(),$B$9,$C$9),1)</f>
        <v>0.224676963055496</v>
      </c>
      <c r="F277" s="28" t="n">
        <f aca="false">$B$12*(1+(B277+$B$17)/2)^9</f>
        <v>4044.31408246269</v>
      </c>
      <c r="G277" s="28" t="n">
        <f aca="false">F277*(C277-$B$18+$B$19*E277)</f>
        <v>548.798123866268</v>
      </c>
      <c r="H277" s="28" t="n">
        <f aca="false">MAX(0,$B$20*G277)/(1+D277)^9</f>
        <v>1038.08245058026</v>
      </c>
      <c r="I277" s="28" t="n">
        <f aca="false">$B$13*((1+$B$8)/(1+D277))^4.5</f>
        <v>574.885689053789</v>
      </c>
      <c r="J277" s="28" t="n">
        <f aca="false">H277+I277-$B$14</f>
        <v>941.896221825831</v>
      </c>
      <c r="K277" s="45" t="n">
        <f aca="false">MAX(0,J277)/$B$15</f>
        <v>3.37234594280641</v>
      </c>
    </row>
    <row r="278" customFormat="false" ht="15" hidden="false" customHeight="false" outlineLevel="0" collapsed="false">
      <c r="A278" s="55" t="n">
        <v>238</v>
      </c>
      <c r="B278" s="22" t="n">
        <f aca="true">NORMINV(RAND(),$B$6,$C$6)</f>
        <v>0.0109349534200434</v>
      </c>
      <c r="C278" s="22" t="n">
        <f aca="true">MAX(-0.05,NORMINV(RAND(),$B$7,$C$7))</f>
        <v>0.222179147950456</v>
      </c>
      <c r="D278" s="34" t="n">
        <f aca="true">MAX(0.08,NORMINV(RAND(),$B$8,$C$8))</f>
        <v>0.160014911173073</v>
      </c>
      <c r="E278" s="35" t="n">
        <f aca="true">MEDIAN(0,NORMINV(RAND(),$B$9,$C$9),1)</f>
        <v>0.538505201458399</v>
      </c>
      <c r="F278" s="28" t="n">
        <f aca="false">$B$12*(1+(B278+$B$17)/2)^9</f>
        <v>1316.69843170505</v>
      </c>
      <c r="G278" s="28" t="n">
        <f aca="false">F278*(C278-$B$18+$B$19*E278)</f>
        <v>405.491244786183</v>
      </c>
      <c r="H278" s="28" t="n">
        <f aca="false">MAX(0,$B$20*G278)/(1+D278)^9</f>
        <v>746.289575476327</v>
      </c>
      <c r="I278" s="28" t="n">
        <f aca="false">$B$13*((1+$B$8)/(1+D278))^4.5</f>
        <v>567.067593259249</v>
      </c>
      <c r="J278" s="28" t="n">
        <f aca="false">H278+I278-$B$14</f>
        <v>642.285250927356</v>
      </c>
      <c r="K278" s="45" t="n">
        <f aca="false">MAX(0,J278)/$B$15</f>
        <v>2.29962495856554</v>
      </c>
    </row>
    <row r="279" customFormat="false" ht="15" hidden="false" customHeight="false" outlineLevel="0" collapsed="false">
      <c r="A279" s="55" t="n">
        <v>239</v>
      </c>
      <c r="B279" s="22" t="n">
        <f aca="true">NORMINV(RAND(),$B$6,$C$6)</f>
        <v>0.40740794407367</v>
      </c>
      <c r="C279" s="22" t="n">
        <f aca="true">MAX(-0.05,NORMINV(RAND(),$B$7,$C$7))</f>
        <v>0.116056703906671</v>
      </c>
      <c r="D279" s="34" t="n">
        <f aca="true">MAX(0.08,NORMINV(RAND(),$B$8,$C$8))</f>
        <v>0.150855976327064</v>
      </c>
      <c r="E279" s="35" t="n">
        <f aca="true">MEDIAN(0,NORMINV(RAND(),$B$9,$C$9),1)</f>
        <v>0.0236072265641203</v>
      </c>
      <c r="F279" s="28" t="n">
        <f aca="false">$B$12*(1+(B279+$B$17)/2)^9</f>
        <v>6460.65613499046</v>
      </c>
      <c r="G279" s="28" t="n">
        <f aca="false">F279*(C279-$B$18+$B$19*E279)</f>
        <v>372.564895803869</v>
      </c>
      <c r="H279" s="28" t="n">
        <f aca="false">MAX(0,$B$20*G279)/(1+D279)^9</f>
        <v>736.395584991569</v>
      </c>
      <c r="I279" s="28" t="n">
        <f aca="false">$B$13*((1+$B$8)/(1+D279))^4.5</f>
        <v>587.660505237215</v>
      </c>
      <c r="J279" s="28" t="n">
        <f aca="false">H279+I279-$B$14</f>
        <v>652.984172420565</v>
      </c>
      <c r="K279" s="45" t="n">
        <f aca="false">MAX(0,J279)/$B$15</f>
        <v>2.33793115796837</v>
      </c>
    </row>
    <row r="280" customFormat="false" ht="15" hidden="false" customHeight="false" outlineLevel="0" collapsed="false">
      <c r="A280" s="55" t="n">
        <v>240</v>
      </c>
      <c r="B280" s="22" t="n">
        <f aca="true">NORMINV(RAND(),$B$6,$C$6)</f>
        <v>0.530902726960396</v>
      </c>
      <c r="C280" s="22" t="n">
        <f aca="true">MAX(-0.05,NORMINV(RAND(),$B$7,$C$7))</f>
        <v>0.140870976803827</v>
      </c>
      <c r="D280" s="34" t="n">
        <f aca="true">MAX(0.08,NORMINV(RAND(),$B$8,$C$8))</f>
        <v>0.146095024693483</v>
      </c>
      <c r="E280" s="35" t="n">
        <f aca="true">MEDIAN(0,NORMINV(RAND(),$B$9,$C$9),1)</f>
        <v>0.284933163068574</v>
      </c>
      <c r="F280" s="28" t="n">
        <f aca="false">$B$12*(1+(B280+$B$17)/2)^9</f>
        <v>10062.1350609403</v>
      </c>
      <c r="G280" s="28" t="n">
        <f aca="false">F280*(C280-$B$18+$B$19*E280)</f>
        <v>1566.19408744391</v>
      </c>
      <c r="H280" s="28" t="n">
        <f aca="false">MAX(0,$B$20*G280)/(1+D280)^9</f>
        <v>3213.34958130789</v>
      </c>
      <c r="I280" s="28" t="n">
        <f aca="false">$B$13*((1+$B$8)/(1+D280))^4.5</f>
        <v>598.725947056655</v>
      </c>
      <c r="J280" s="28" t="n">
        <f aca="false">H280+I280-$B$14</f>
        <v>3141.00361055632</v>
      </c>
      <c r="K280" s="45" t="n">
        <f aca="false">MAX(0,J280)/$B$15</f>
        <v>11.2459850002017</v>
      </c>
    </row>
    <row r="281" customFormat="false" ht="15" hidden="false" customHeight="false" outlineLevel="0" collapsed="false">
      <c r="A281" s="55" t="n">
        <v>241</v>
      </c>
      <c r="B281" s="22" t="n">
        <f aca="true">NORMINV(RAND(),$B$6,$C$6)</f>
        <v>0.0943592462861417</v>
      </c>
      <c r="C281" s="22" t="n">
        <f aca="true">MAX(-0.05,NORMINV(RAND(),$B$7,$C$7))</f>
        <v>0.149414089249815</v>
      </c>
      <c r="D281" s="34" t="n">
        <f aca="true">MAX(0.08,NORMINV(RAND(),$B$8,$C$8))</f>
        <v>0.155840317190538</v>
      </c>
      <c r="E281" s="35" t="n">
        <f aca="true">MEDIAN(0,NORMINV(RAND(),$B$9,$C$9),1)</f>
        <v>0.191793682353068</v>
      </c>
      <c r="F281" s="28" t="n">
        <f aca="false">$B$12*(1+(B281+$B$17)/2)^9</f>
        <v>1885.06798079782</v>
      </c>
      <c r="G281" s="28" t="n">
        <f aca="false">F281*(C281-$B$18+$B$19*E281)</f>
        <v>260.358653039497</v>
      </c>
      <c r="H281" s="28" t="n">
        <f aca="false">MAX(0,$B$20*G281)/(1+D281)^9</f>
        <v>494.982111324191</v>
      </c>
      <c r="I281" s="28" t="n">
        <f aca="false">$B$13*((1+$B$8)/(1+D281))^4.5</f>
        <v>576.342473404407</v>
      </c>
      <c r="J281" s="28" t="n">
        <f aca="false">H281+I281-$B$14</f>
        <v>400.252666920379</v>
      </c>
      <c r="K281" s="45" t="n">
        <f aca="false">MAX(0,J281)/$B$15</f>
        <v>1.43305645155882</v>
      </c>
    </row>
    <row r="282" customFormat="false" ht="15" hidden="false" customHeight="false" outlineLevel="0" collapsed="false">
      <c r="A282" s="55" t="n">
        <v>242</v>
      </c>
      <c r="B282" s="22" t="n">
        <f aca="true">NORMINV(RAND(),$B$6,$C$6)</f>
        <v>0.0456635158496075</v>
      </c>
      <c r="C282" s="22" t="n">
        <f aca="true">MAX(-0.05,NORMINV(RAND(),$B$7,$C$7))</f>
        <v>0.112385812952347</v>
      </c>
      <c r="D282" s="34" t="n">
        <f aca="true">MAX(0.08,NORMINV(RAND(),$B$8,$C$8))</f>
        <v>0.137332762232011</v>
      </c>
      <c r="E282" s="35" t="n">
        <f aca="true">MEDIAN(0,NORMINV(RAND(),$B$9,$C$9),1)</f>
        <v>0.223793009491877</v>
      </c>
      <c r="F282" s="28" t="n">
        <f aca="false">$B$12*(1+(B282+$B$17)/2)^9</f>
        <v>1531.50188475722</v>
      </c>
      <c r="G282" s="28" t="n">
        <f aca="false">F282*(C282-$B$18+$B$19*E282)</f>
        <v>168.538498280316</v>
      </c>
      <c r="H282" s="28" t="n">
        <f aca="false">MAX(0,$B$20*G282)/(1+D282)^9</f>
        <v>370.517915987014</v>
      </c>
      <c r="I282" s="28" t="n">
        <f aca="false">$B$13*((1+$B$8)/(1+D282))^4.5</f>
        <v>619.764831316006</v>
      </c>
      <c r="J282" s="28" t="n">
        <f aca="false">H282+I282-$B$14</f>
        <v>319.210829494801</v>
      </c>
      <c r="K282" s="45" t="n">
        <f aca="false">MAX(0,J282)/$B$15</f>
        <v>1.14289591655854</v>
      </c>
    </row>
    <row r="283" customFormat="false" ht="15" hidden="false" customHeight="false" outlineLevel="0" collapsed="false">
      <c r="A283" s="55" t="n">
        <v>243</v>
      </c>
      <c r="B283" s="22" t="n">
        <f aca="true">NORMINV(RAND(),$B$6,$C$6)</f>
        <v>0.370387963237126</v>
      </c>
      <c r="C283" s="22" t="n">
        <f aca="true">MAX(-0.05,NORMINV(RAND(),$B$7,$C$7))</f>
        <v>0.0687779831262014</v>
      </c>
      <c r="D283" s="34" t="n">
        <f aca="true">MAX(0.08,NORMINV(RAND(),$B$8,$C$8))</f>
        <v>0.158612289401341</v>
      </c>
      <c r="E283" s="35" t="n">
        <f aca="true">MEDIAN(0,NORMINV(RAND(),$B$9,$C$9),1)</f>
        <v>0</v>
      </c>
      <c r="F283" s="28" t="n">
        <f aca="false">$B$12*(1+(B283+$B$17)/2)^9</f>
        <v>5632.50891113868</v>
      </c>
      <c r="G283" s="28" t="n">
        <f aca="false">F283*(C283-$B$18+$B$19*E283)</f>
        <v>21.2795236244612</v>
      </c>
      <c r="H283" s="28" t="n">
        <f aca="false">MAX(0,$B$20*G283)/(1+D283)^9</f>
        <v>39.5928500067695</v>
      </c>
      <c r="I283" s="28" t="n">
        <f aca="false">$B$13*((1+$B$8)/(1+D283))^4.5</f>
        <v>570.163371330036</v>
      </c>
      <c r="J283" s="28" t="n">
        <f aca="false">H283+I283-$B$14</f>
        <v>-61.3156964714133</v>
      </c>
      <c r="K283" s="45" t="n">
        <f aca="false">MAX(0,J283)/$B$15</f>
        <v>0</v>
      </c>
    </row>
    <row r="284" customFormat="false" ht="15" hidden="false" customHeight="false" outlineLevel="0" collapsed="false">
      <c r="A284" s="55" t="n">
        <v>244</v>
      </c>
      <c r="B284" s="22" t="n">
        <f aca="true">NORMINV(RAND(),$B$6,$C$6)</f>
        <v>0.561495152042914</v>
      </c>
      <c r="C284" s="22" t="n">
        <f aca="true">MAX(-0.05,NORMINV(RAND(),$B$7,$C$7))</f>
        <v>0.103613165065662</v>
      </c>
      <c r="D284" s="34" t="n">
        <f aca="true">MAX(0.08,NORMINV(RAND(),$B$8,$C$8))</f>
        <v>0.137206796350599</v>
      </c>
      <c r="E284" s="35" t="n">
        <f aca="true">MEDIAN(0,NORMINV(RAND(),$B$9,$C$9),1)</f>
        <v>0</v>
      </c>
      <c r="F284" s="28" t="n">
        <f aca="false">$B$12*(1+(B284+$B$17)/2)^9</f>
        <v>11192.4851363853</v>
      </c>
      <c r="G284" s="28" t="n">
        <f aca="false">F284*(C284-$B$18+$B$19*E284)</f>
        <v>432.177276066219</v>
      </c>
      <c r="H284" s="28" t="n">
        <f aca="false">MAX(0,$B$20*G284)/(1+D284)^9</f>
        <v>951.053502237642</v>
      </c>
      <c r="I284" s="28" t="n">
        <f aca="false">$B$13*((1+$B$8)/(1+D284))^4.5</f>
        <v>620.073816112361</v>
      </c>
      <c r="J284" s="28" t="n">
        <f aca="false">H284+I284-$B$14</f>
        <v>900.055400541784</v>
      </c>
      <c r="K284" s="45" t="n">
        <f aca="false">MAX(0,J284)/$B$15</f>
        <v>3.22253992317144</v>
      </c>
    </row>
    <row r="285" customFormat="false" ht="15" hidden="false" customHeight="false" outlineLevel="0" collapsed="false">
      <c r="A285" s="55" t="n">
        <v>245</v>
      </c>
      <c r="B285" s="22" t="n">
        <f aca="true">NORMINV(RAND(),$B$6,$C$6)</f>
        <v>0.392619111252791</v>
      </c>
      <c r="C285" s="22" t="n">
        <f aca="true">MAX(-0.05,NORMINV(RAND(),$B$7,$C$7))</f>
        <v>0.173233101849354</v>
      </c>
      <c r="D285" s="34" t="n">
        <f aca="true">MAX(0.08,NORMINV(RAND(),$B$8,$C$8))</f>
        <v>0.147245672140887</v>
      </c>
      <c r="E285" s="35" t="n">
        <f aca="true">MEDIAN(0,NORMINV(RAND(),$B$9,$C$9),1)</f>
        <v>0.00513661679893074</v>
      </c>
      <c r="F285" s="28" t="n">
        <f aca="false">$B$12*(1+(B285+$B$17)/2)^9</f>
        <v>6117.67451703385</v>
      </c>
      <c r="G285" s="28" t="n">
        <f aca="false">F285*(C285-$B$18+$B$19*E285)</f>
        <v>670.93365099781</v>
      </c>
      <c r="H285" s="28" t="n">
        <f aca="false">MAX(0,$B$20*G285)/(1+D285)^9</f>
        <v>1364.1739821681</v>
      </c>
      <c r="I285" s="28" t="n">
        <f aca="false">$B$13*((1+$B$8)/(1+D285))^4.5</f>
        <v>596.028430350326</v>
      </c>
      <c r="J285" s="28" t="n">
        <f aca="false">H285+I285-$B$14</f>
        <v>1289.1304947102</v>
      </c>
      <c r="K285" s="45" t="n">
        <f aca="false">MAX(0,J285)/$B$15</f>
        <v>4.61557642216328</v>
      </c>
    </row>
    <row r="286" customFormat="false" ht="15" hidden="false" customHeight="false" outlineLevel="0" collapsed="false">
      <c r="A286" s="55" t="n">
        <v>246</v>
      </c>
      <c r="B286" s="22" t="n">
        <f aca="true">NORMINV(RAND(),$B$6,$C$6)</f>
        <v>0.14575764123949</v>
      </c>
      <c r="C286" s="22" t="n">
        <f aca="true">MAX(-0.05,NORMINV(RAND(),$B$7,$C$7))</f>
        <v>0.183498446021497</v>
      </c>
      <c r="D286" s="34" t="n">
        <f aca="true">MAX(0.08,NORMINV(RAND(),$B$8,$C$8))</f>
        <v>0.137267719204185</v>
      </c>
      <c r="E286" s="35" t="n">
        <f aca="true">MEDIAN(0,NORMINV(RAND(),$B$9,$C$9),1)</f>
        <v>0.490989964404157</v>
      </c>
      <c r="F286" s="28" t="n">
        <f aca="false">$B$12*(1+(B286+$B$17)/2)^9</f>
        <v>2335.27153677215</v>
      </c>
      <c r="G286" s="28" t="n">
        <f aca="false">F286*(C286-$B$18+$B$19*E286)</f>
        <v>597.772616985597</v>
      </c>
      <c r="H286" s="28" t="n">
        <f aca="false">MAX(0,$B$20*G286)/(1+D286)^9</f>
        <v>1314.83013150173</v>
      </c>
      <c r="I286" s="28" t="n">
        <f aca="false">$B$13*((1+$B$8)/(1+D286))^4.5</f>
        <v>619.924353448656</v>
      </c>
      <c r="J286" s="28" t="n">
        <f aca="false">H286+I286-$B$14</f>
        <v>1263.68256714217</v>
      </c>
      <c r="K286" s="45" t="n">
        <f aca="false">MAX(0,J286)/$B$15</f>
        <v>4.52446318346641</v>
      </c>
    </row>
    <row r="287" customFormat="false" ht="15" hidden="false" customHeight="false" outlineLevel="0" collapsed="false">
      <c r="A287" s="55" t="n">
        <v>247</v>
      </c>
      <c r="B287" s="22" t="n">
        <f aca="true">NORMINV(RAND(),$B$6,$C$6)</f>
        <v>0.309103859811381</v>
      </c>
      <c r="C287" s="22" t="n">
        <f aca="true">MAX(-0.05,NORMINV(RAND(),$B$7,$C$7))</f>
        <v>0.0846428868698267</v>
      </c>
      <c r="D287" s="34" t="n">
        <f aca="true">MAX(0.08,NORMINV(RAND(),$B$8,$C$8))</f>
        <v>0.141925688873366</v>
      </c>
      <c r="E287" s="35" t="n">
        <f aca="true">MEDIAN(0,NORMINV(RAND(),$B$9,$C$9),1)</f>
        <v>0</v>
      </c>
      <c r="F287" s="28" t="n">
        <f aca="false">$B$12*(1+(B287+$B$17)/2)^9</f>
        <v>4467.24019421472</v>
      </c>
      <c r="G287" s="28" t="n">
        <f aca="false">F287*(C287-$B$18+$B$19*E287)</f>
        <v>87.7494937553025</v>
      </c>
      <c r="H287" s="28" t="n">
        <f aca="false">MAX(0,$B$20*G287)/(1+D287)^9</f>
        <v>186.03817591664</v>
      </c>
      <c r="I287" s="28" t="n">
        <f aca="false">$B$13*((1+$B$8)/(1+D287))^4.5</f>
        <v>608.626150665495</v>
      </c>
      <c r="J287" s="28" t="n">
        <f aca="false">H287+I287-$B$14</f>
        <v>123.592408773916</v>
      </c>
      <c r="K287" s="45" t="n">
        <f aca="false">MAX(0,J287)/$B$15</f>
        <v>0.442507729229916</v>
      </c>
    </row>
    <row r="288" customFormat="false" ht="15" hidden="false" customHeight="false" outlineLevel="0" collapsed="false">
      <c r="A288" s="55" t="n">
        <v>248</v>
      </c>
      <c r="B288" s="22" t="n">
        <f aca="true">NORMINV(RAND(),$B$6,$C$6)</f>
        <v>0.671422358481106</v>
      </c>
      <c r="C288" s="22" t="n">
        <f aca="true">MAX(-0.05,NORMINV(RAND(),$B$7,$C$7))</f>
        <v>0.125831792420902</v>
      </c>
      <c r="D288" s="34" t="n">
        <f aca="true">MAX(0.08,NORMINV(RAND(),$B$8,$C$8))</f>
        <v>0.128228839353022</v>
      </c>
      <c r="E288" s="35" t="n">
        <f aca="true">MEDIAN(0,NORMINV(RAND(),$B$9,$C$9),1)</f>
        <v>0.00211647768413328</v>
      </c>
      <c r="F288" s="28" t="n">
        <f aca="false">$B$12*(1+(B288+$B$17)/2)^9</f>
        <v>16244.0341755719</v>
      </c>
      <c r="G288" s="28" t="n">
        <f aca="false">F288*(C288-$B$18+$B$19*E288)</f>
        <v>997.780153079635</v>
      </c>
      <c r="H288" s="28" t="n">
        <f aca="false">MAX(0,$B$20*G288)/(1+D288)^9</f>
        <v>2358.07780138054</v>
      </c>
      <c r="I288" s="28" t="n">
        <f aca="false">$B$13*((1+$B$8)/(1+D288))^4.5</f>
        <v>642.58933971748</v>
      </c>
      <c r="J288" s="28" t="n">
        <f aca="false">H288+I288-$B$14</f>
        <v>2329.5952232898</v>
      </c>
      <c r="K288" s="45" t="n">
        <f aca="false">MAX(0,J288)/$B$15</f>
        <v>8.34083502789043</v>
      </c>
    </row>
    <row r="289" customFormat="false" ht="15" hidden="false" customHeight="false" outlineLevel="0" collapsed="false">
      <c r="A289" s="55" t="n">
        <v>249</v>
      </c>
      <c r="B289" s="22" t="n">
        <f aca="true">NORMINV(RAND(),$B$6,$C$6)</f>
        <v>0.355080483647588</v>
      </c>
      <c r="C289" s="22" t="n">
        <f aca="true">MAX(-0.05,NORMINV(RAND(),$B$7,$C$7))</f>
        <v>0.172476121125714</v>
      </c>
      <c r="D289" s="34" t="n">
        <f aca="true">MAX(0.08,NORMINV(RAND(),$B$8,$C$8))</f>
        <v>0.176004094486497</v>
      </c>
      <c r="E289" s="35" t="n">
        <f aca="true">MEDIAN(0,NORMINV(RAND(),$B$9,$C$9),1)</f>
        <v>0.0723317761834977</v>
      </c>
      <c r="F289" s="28" t="n">
        <f aca="false">$B$12*(1+(B289+$B$17)/2)^9</f>
        <v>5318.63693651334</v>
      </c>
      <c r="G289" s="28" t="n">
        <f aca="false">F289*(C289-$B$18+$B$19*E289)</f>
        <v>679.344275430493</v>
      </c>
      <c r="H289" s="28" t="n">
        <f aca="false">MAX(0,$B$20*G289)/(1+D289)^9</f>
        <v>1105.3719908038</v>
      </c>
      <c r="I289" s="28" t="n">
        <f aca="false">$B$13*((1+$B$8)/(1+D289))^4.5</f>
        <v>533.188961727474</v>
      </c>
      <c r="J289" s="28" t="n">
        <f aca="false">H289+I289-$B$14</f>
        <v>967.489034723054</v>
      </c>
      <c r="K289" s="45" t="n">
        <f aca="false">MAX(0,J289)/$B$15</f>
        <v>3.46397792596869</v>
      </c>
    </row>
    <row r="290" customFormat="false" ht="15" hidden="false" customHeight="false" outlineLevel="0" collapsed="false">
      <c r="A290" s="55" t="n">
        <v>250</v>
      </c>
      <c r="B290" s="22" t="n">
        <f aca="true">NORMINV(RAND(),$B$6,$C$6)</f>
        <v>0.501591875936061</v>
      </c>
      <c r="C290" s="22" t="n">
        <f aca="true">MAX(-0.05,NORMINV(RAND(),$B$7,$C$7))</f>
        <v>0.204792829795783</v>
      </c>
      <c r="D290" s="34" t="n">
        <f aca="true">MAX(0.08,NORMINV(RAND(),$B$8,$C$8))</f>
        <v>0.159370151723471</v>
      </c>
      <c r="E290" s="35" t="n">
        <f aca="true">MEDIAN(0,NORMINV(RAND(),$B$9,$C$9),1)</f>
        <v>0</v>
      </c>
      <c r="F290" s="28" t="n">
        <f aca="false">$B$12*(1+(B290+$B$17)/2)^9</f>
        <v>9075.52297791346</v>
      </c>
      <c r="G290" s="28" t="n">
        <f aca="false">F290*(C290-$B$18+$B$19*E290)</f>
        <v>1268.69303895917</v>
      </c>
      <c r="H290" s="28" t="n">
        <f aca="false">MAX(0,$B$20*G290)/(1+D290)^9</f>
        <v>2346.68912419675</v>
      </c>
      <c r="I290" s="28" t="n">
        <f aca="false">$B$13*((1+$B$8)/(1+D290))^4.5</f>
        <v>568.488107527375</v>
      </c>
      <c r="J290" s="28" t="n">
        <f aca="false">H290+I290-$B$14</f>
        <v>2244.10531391591</v>
      </c>
      <c r="K290" s="45" t="n">
        <f aca="false">MAX(0,J290)/$B$15</f>
        <v>8.03474870718192</v>
      </c>
    </row>
    <row r="291" customFormat="false" ht="15" hidden="false" customHeight="false" outlineLevel="0" collapsed="false">
      <c r="A291" s="55" t="n">
        <v>251</v>
      </c>
      <c r="B291" s="22" t="n">
        <f aca="true">NORMINV(RAND(),$B$6,$C$6)</f>
        <v>0.365373447563482</v>
      </c>
      <c r="C291" s="22" t="n">
        <f aca="true">MAX(-0.05,NORMINV(RAND(),$B$7,$C$7))</f>
        <v>0.101955886367432</v>
      </c>
      <c r="D291" s="34" t="n">
        <f aca="true">MAX(0.08,NORMINV(RAND(),$B$8,$C$8))</f>
        <v>0.158776236867563</v>
      </c>
      <c r="E291" s="35" t="n">
        <f aca="true">MEDIAN(0,NORMINV(RAND(),$B$9,$C$9),1)</f>
        <v>0.273620679357546</v>
      </c>
      <c r="F291" s="28" t="n">
        <f aca="false">$B$12*(1+(B291+$B$17)/2)^9</f>
        <v>5527.92257018856</v>
      </c>
      <c r="G291" s="28" t="n">
        <f aca="false">F291*(C291-$B$18+$B$19*E291)</f>
        <v>627.804378497304</v>
      </c>
      <c r="H291" s="28" t="n">
        <f aca="false">MAX(0,$B$20*G291)/(1+D291)^9</f>
        <v>1166.61123814517</v>
      </c>
      <c r="I291" s="28" t="n">
        <f aca="false">$B$13*((1+$B$8)/(1+D291))^4.5</f>
        <v>569.800452563607</v>
      </c>
      <c r="J291" s="28" t="n">
        <f aca="false">H291+I291-$B$14</f>
        <v>1065.33977290056</v>
      </c>
      <c r="K291" s="45" t="n">
        <f aca="false">MAX(0,J291)/$B$15</f>
        <v>3.81432070497874</v>
      </c>
    </row>
    <row r="292" customFormat="false" ht="15" hidden="false" customHeight="false" outlineLevel="0" collapsed="false">
      <c r="A292" s="55" t="n">
        <v>252</v>
      </c>
      <c r="B292" s="22" t="n">
        <f aca="true">NORMINV(RAND(),$B$6,$C$6)</f>
        <v>0.508474631706308</v>
      </c>
      <c r="C292" s="22" t="n">
        <f aca="true">MAX(-0.05,NORMINV(RAND(),$B$7,$C$7))</f>
        <v>0.24034914554599</v>
      </c>
      <c r="D292" s="34" t="n">
        <f aca="true">MAX(0.08,NORMINV(RAND(),$B$8,$C$8))</f>
        <v>0.151802515158989</v>
      </c>
      <c r="E292" s="35" t="n">
        <f aca="true">MEDIAN(0,NORMINV(RAND(),$B$9,$C$9),1)</f>
        <v>0.0457347014683378</v>
      </c>
      <c r="F292" s="28" t="n">
        <f aca="false">$B$12*(1+(B292+$B$17)/2)^9</f>
        <v>9299.12684402954</v>
      </c>
      <c r="G292" s="28" t="n">
        <f aca="false">F292*(C292-$B$18+$B$19*E292)</f>
        <v>1749.67592766017</v>
      </c>
      <c r="H292" s="28" t="n">
        <f aca="false">MAX(0,$B$20*G292)/(1+D292)^9</f>
        <v>3432.83914467709</v>
      </c>
      <c r="I292" s="28" t="n">
        <f aca="false">$B$13*((1+$B$8)/(1+D292))^4.5</f>
        <v>585.490429769582</v>
      </c>
      <c r="J292" s="28" t="n">
        <f aca="false">H292+I292-$B$14</f>
        <v>3347.25765663845</v>
      </c>
      <c r="K292" s="45" t="n">
        <f aca="false">MAX(0,J292)/$B$15</f>
        <v>11.9844527627585</v>
      </c>
    </row>
    <row r="293" customFormat="false" ht="15" hidden="false" customHeight="false" outlineLevel="0" collapsed="false">
      <c r="A293" s="55" t="n">
        <v>253</v>
      </c>
      <c r="B293" s="22" t="n">
        <f aca="true">NORMINV(RAND(),$B$6,$C$6)</f>
        <v>0.354254671920666</v>
      </c>
      <c r="C293" s="22" t="n">
        <f aca="true">MAX(-0.05,NORMINV(RAND(),$B$7,$C$7))</f>
        <v>0.172887372158799</v>
      </c>
      <c r="D293" s="34" t="n">
        <f aca="true">MAX(0.08,NORMINV(RAND(),$B$8,$C$8))</f>
        <v>0.160650921685426</v>
      </c>
      <c r="E293" s="35" t="n">
        <f aca="true">MEDIAN(0,NORMINV(RAND(),$B$9,$C$9),1)</f>
        <v>0.152664640298637</v>
      </c>
      <c r="F293" s="28" t="n">
        <f aca="false">$B$12*(1+(B293+$B$17)/2)^9</f>
        <v>5302.15512712425</v>
      </c>
      <c r="G293" s="28" t="n">
        <f aca="false">F293*(C293-$B$18+$B$19*E293)</f>
        <v>798.682032924935</v>
      </c>
      <c r="H293" s="28" t="n">
        <f aca="false">MAX(0,$B$20*G293)/(1+D293)^9</f>
        <v>1462.70709898576</v>
      </c>
      <c r="I293" s="28" t="n">
        <f aca="false">$B$13*((1+$B$8)/(1+D293))^4.5</f>
        <v>565.670602493629</v>
      </c>
      <c r="J293" s="28" t="n">
        <f aca="false">H293+I293-$B$14</f>
        <v>1357.30578367117</v>
      </c>
      <c r="K293" s="45" t="n">
        <f aca="false">MAX(0,J293)/$B$15</f>
        <v>4.85966983054482</v>
      </c>
    </row>
    <row r="294" customFormat="false" ht="15" hidden="false" customHeight="false" outlineLevel="0" collapsed="false">
      <c r="A294" s="55" t="n">
        <v>254</v>
      </c>
      <c r="B294" s="22" t="n">
        <f aca="true">NORMINV(RAND(),$B$6,$C$6)</f>
        <v>0.329865961062146</v>
      </c>
      <c r="C294" s="22" t="n">
        <f aca="true">MAX(-0.05,NORMINV(RAND(),$B$7,$C$7))</f>
        <v>0.126870808613387</v>
      </c>
      <c r="D294" s="34" t="n">
        <f aca="true">MAX(0.08,NORMINV(RAND(),$B$8,$C$8))</f>
        <v>0.12695046901209</v>
      </c>
      <c r="E294" s="35" t="n">
        <f aca="true">MEDIAN(0,NORMINV(RAND(),$B$9,$C$9),1)</f>
        <v>0.947166279484177</v>
      </c>
      <c r="F294" s="28" t="n">
        <f aca="false">$B$12*(1+(B294+$B$17)/2)^9</f>
        <v>4835.41091282213</v>
      </c>
      <c r="G294" s="28" t="n">
        <f aca="false">F294*(C294-$B$18+$B$19*E294)</f>
        <v>1581.55346909528</v>
      </c>
      <c r="H294" s="28" t="n">
        <f aca="false">MAX(0,$B$20*G294)/(1+D294)^9</f>
        <v>3776.05630417666</v>
      </c>
      <c r="I294" s="28" t="n">
        <f aca="false">$B$13*((1+$B$8)/(1+D294))^4.5</f>
        <v>645.876039074287</v>
      </c>
      <c r="J294" s="28" t="n">
        <f aca="false">H294+I294-$B$14</f>
        <v>3750.86042544273</v>
      </c>
      <c r="K294" s="45" t="n">
        <f aca="false">MAX(0,J294)/$B$15</f>
        <v>13.4295038504931</v>
      </c>
    </row>
    <row r="295" customFormat="false" ht="15" hidden="false" customHeight="false" outlineLevel="0" collapsed="false">
      <c r="A295" s="55" t="n">
        <v>255</v>
      </c>
      <c r="B295" s="22" t="n">
        <f aca="true">NORMINV(RAND(),$B$6,$C$6)</f>
        <v>0.37190554876935</v>
      </c>
      <c r="C295" s="22" t="n">
        <f aca="true">MAX(-0.05,NORMINV(RAND(),$B$7,$C$7))</f>
        <v>0.0814093562823425</v>
      </c>
      <c r="D295" s="34" t="n">
        <f aca="true">MAX(0.08,NORMINV(RAND(),$B$8,$C$8))</f>
        <v>0.156170676441375</v>
      </c>
      <c r="E295" s="35" t="n">
        <f aca="true">MEDIAN(0,NORMINV(RAND(),$B$9,$C$9),1)</f>
        <v>0.0545457753013815</v>
      </c>
      <c r="F295" s="28" t="n">
        <f aca="false">$B$12*(1+(B295+$B$17)/2)^9</f>
        <v>5664.50556660485</v>
      </c>
      <c r="G295" s="28" t="n">
        <f aca="false">F295*(C295-$B$18+$B$19*E295)</f>
        <v>179.463847397978</v>
      </c>
      <c r="H295" s="28" t="n">
        <f aca="false">MAX(0,$B$20*G295)/(1+D295)^9</f>
        <v>340.312155034503</v>
      </c>
      <c r="I295" s="28" t="n">
        <f aca="false">$B$13*((1+$B$8)/(1+D295))^4.5</f>
        <v>575.601776557475</v>
      </c>
      <c r="J295" s="28" t="n">
        <f aca="false">H295+I295-$B$14</f>
        <v>244.84201378376</v>
      </c>
      <c r="K295" s="45" t="n">
        <f aca="false">MAX(0,J295)/$B$15</f>
        <v>0.876627331843035</v>
      </c>
    </row>
    <row r="296" customFormat="false" ht="15" hidden="false" customHeight="false" outlineLevel="0" collapsed="false">
      <c r="A296" s="55" t="n">
        <v>256</v>
      </c>
      <c r="B296" s="22" t="n">
        <f aca="true">NORMINV(RAND(),$B$6,$C$6)</f>
        <v>0.449124426203458</v>
      </c>
      <c r="C296" s="22" t="n">
        <f aca="true">MAX(-0.05,NORMINV(RAND(),$B$7,$C$7))</f>
        <v>0.107117735056841</v>
      </c>
      <c r="D296" s="34" t="n">
        <f aca="true">MAX(0.08,NORMINV(RAND(),$B$8,$C$8))</f>
        <v>0.137456472115377</v>
      </c>
      <c r="E296" s="35" t="n">
        <f aca="true">MEDIAN(0,NORMINV(RAND(),$B$9,$C$9),1)</f>
        <v>0</v>
      </c>
      <c r="F296" s="28" t="n">
        <f aca="false">$B$12*(1+(B296+$B$17)/2)^9</f>
        <v>7522.09471957155</v>
      </c>
      <c r="G296" s="28" t="n">
        <f aca="false">F296*(C296-$B$18+$B$19*E296)</f>
        <v>316.813592471374</v>
      </c>
      <c r="H296" s="28" t="n">
        <f aca="false">MAX(0,$B$20*G296)/(1+D296)^9</f>
        <v>695.806963140796</v>
      </c>
      <c r="I296" s="28" t="n">
        <f aca="false">$B$13*((1+$B$8)/(1+D296))^4.5</f>
        <v>619.461563451047</v>
      </c>
      <c r="J296" s="28" t="n">
        <f aca="false">H296+I296-$B$14</f>
        <v>644.196608783623</v>
      </c>
      <c r="K296" s="45" t="n">
        <f aca="false">MAX(0,J296)/$B$15</f>
        <v>2.30646834508995</v>
      </c>
    </row>
    <row r="297" customFormat="false" ht="15" hidden="false" customHeight="false" outlineLevel="0" collapsed="false">
      <c r="A297" s="55" t="n">
        <v>257</v>
      </c>
      <c r="B297" s="22" t="n">
        <f aca="true">NORMINV(RAND(),$B$6,$C$6)</f>
        <v>0.22805216193586</v>
      </c>
      <c r="C297" s="22" t="n">
        <f aca="true">MAX(-0.05,NORMINV(RAND(),$B$7,$C$7))</f>
        <v>0.0966620390374485</v>
      </c>
      <c r="D297" s="34" t="n">
        <f aca="true">MAX(0.08,NORMINV(RAND(),$B$8,$C$8))</f>
        <v>0.150136464155023</v>
      </c>
      <c r="E297" s="35" t="n">
        <f aca="true">MEDIAN(0,NORMINV(RAND(),$B$9,$C$9),1)</f>
        <v>0.29338737567291</v>
      </c>
      <c r="F297" s="28" t="n">
        <f aca="false">$B$12*(1+(B297+$B$17)/2)^9</f>
        <v>3256.84195808563</v>
      </c>
      <c r="G297" s="28" t="n">
        <f aca="false">F297*(C297-$B$18+$B$19*E297)</f>
        <v>370.662825433674</v>
      </c>
      <c r="H297" s="28" t="n">
        <f aca="false">MAX(0,$B$20*G297)/(1+D297)^9</f>
        <v>736.771330789198</v>
      </c>
      <c r="I297" s="28" t="n">
        <f aca="false">$B$13*((1+$B$8)/(1+D297))^4.5</f>
        <v>589.316668836587</v>
      </c>
      <c r="J297" s="28" t="n">
        <f aca="false">H297+I297-$B$14</f>
        <v>655.016081817565</v>
      </c>
      <c r="K297" s="45" t="n">
        <f aca="false">MAX(0,J297)/$B$15</f>
        <v>2.34520616476035</v>
      </c>
    </row>
    <row r="298" customFormat="false" ht="15" hidden="false" customHeight="false" outlineLevel="0" collapsed="false">
      <c r="A298" s="55" t="n">
        <v>258</v>
      </c>
      <c r="B298" s="22" t="n">
        <f aca="true">NORMINV(RAND(),$B$6,$C$6)</f>
        <v>0.444080454132089</v>
      </c>
      <c r="C298" s="22" t="n">
        <f aca="true">MAX(-0.05,NORMINV(RAND(),$B$7,$C$7))</f>
        <v>0.147301195003495</v>
      </c>
      <c r="D298" s="34" t="n">
        <f aca="true">MAX(0.08,NORMINV(RAND(),$B$8,$C$8))</f>
        <v>0.132736432212809</v>
      </c>
      <c r="E298" s="35" t="n">
        <f aca="true">MEDIAN(0,NORMINV(RAND(),$B$9,$C$9),1)</f>
        <v>0.368940518871055</v>
      </c>
      <c r="F298" s="28" t="n">
        <f aca="false">$B$12*(1+(B298+$B$17)/2)^9</f>
        <v>7386.01621301629</v>
      </c>
      <c r="G298" s="28" t="n">
        <f aca="false">F298*(C298-$B$18+$B$19*E298)</f>
        <v>1370.8781437721</v>
      </c>
      <c r="H298" s="28" t="n">
        <f aca="false">MAX(0,$B$20*G298)/(1+D298)^9</f>
        <v>3125.62643921473</v>
      </c>
      <c r="I298" s="28" t="n">
        <f aca="false">$B$13*((1+$B$8)/(1+D298))^4.5</f>
        <v>631.162215312057</v>
      </c>
      <c r="J298" s="28" t="n">
        <f aca="false">H298+I298-$B$14</f>
        <v>3085.71673671856</v>
      </c>
      <c r="K298" s="45" t="n">
        <f aca="false">MAX(0,J298)/$B$15</f>
        <v>11.0480370093755</v>
      </c>
    </row>
    <row r="299" customFormat="false" ht="15" hidden="false" customHeight="false" outlineLevel="0" collapsed="false">
      <c r="A299" s="55" t="n">
        <v>259</v>
      </c>
      <c r="B299" s="22" t="n">
        <f aca="true">NORMINV(RAND(),$B$6,$C$6)</f>
        <v>0.232953344492887</v>
      </c>
      <c r="C299" s="22" t="n">
        <f aca="true">MAX(-0.05,NORMINV(RAND(),$B$7,$C$7))</f>
        <v>0.121686085704171</v>
      </c>
      <c r="D299" s="34" t="n">
        <f aca="true">MAX(0.08,NORMINV(RAND(),$B$8,$C$8))</f>
        <v>0.16639817767524</v>
      </c>
      <c r="E299" s="35" t="n">
        <f aca="true">MEDIAN(0,NORMINV(RAND(),$B$9,$C$9),1)</f>
        <v>0.524855345290717</v>
      </c>
      <c r="F299" s="28" t="n">
        <f aca="false">$B$12*(1+(B299+$B$17)/2)^9</f>
        <v>3320.73355036368</v>
      </c>
      <c r="G299" s="28" t="n">
        <f aca="false">F299*(C299-$B$18+$B$19*E299)</f>
        <v>676.252717811118</v>
      </c>
      <c r="H299" s="28" t="n">
        <f aca="false">MAX(0,$B$20*G299)/(1+D299)^9</f>
        <v>1184.63775974803</v>
      </c>
      <c r="I299" s="28" t="n">
        <f aca="false">$B$13*((1+$B$8)/(1+D299))^4.5</f>
        <v>553.235647703573</v>
      </c>
      <c r="J299" s="28" t="n">
        <f aca="false">H299+I299-$B$14</f>
        <v>1066.80148964339</v>
      </c>
      <c r="K299" s="45" t="n">
        <f aca="false">MAX(0,J299)/$B$15</f>
        <v>3.81955420566913</v>
      </c>
    </row>
    <row r="300" customFormat="false" ht="15" hidden="false" customHeight="false" outlineLevel="0" collapsed="false">
      <c r="A300" s="55" t="n">
        <v>260</v>
      </c>
      <c r="B300" s="22" t="n">
        <f aca="true">NORMINV(RAND(),$B$6,$C$6)</f>
        <v>0.346263622335236</v>
      </c>
      <c r="C300" s="22" t="n">
        <f aca="true">MAX(-0.05,NORMINV(RAND(),$B$7,$C$7))</f>
        <v>0.116306889231148</v>
      </c>
      <c r="D300" s="34" t="n">
        <f aca="true">MAX(0.08,NORMINV(RAND(),$B$8,$C$8))</f>
        <v>0.145878539474024</v>
      </c>
      <c r="E300" s="35" t="n">
        <f aca="true">MEDIAN(0,NORMINV(RAND(),$B$9,$C$9),1)</f>
        <v>0.107623820646506</v>
      </c>
      <c r="F300" s="28" t="n">
        <f aca="false">$B$12*(1+(B300+$B$17)/2)^9</f>
        <v>5144.99697643123</v>
      </c>
      <c r="G300" s="28" t="n">
        <f aca="false">F300*(C300-$B$18+$B$19*E300)</f>
        <v>419.016574873461</v>
      </c>
      <c r="H300" s="28" t="n">
        <f aca="false">MAX(0,$B$20*G300)/(1+D300)^9</f>
        <v>861.156273913833</v>
      </c>
      <c r="I300" s="28" t="n">
        <f aca="false">$B$13*((1+$B$8)/(1+D300))^4.5</f>
        <v>599.235129994648</v>
      </c>
      <c r="J300" s="28" t="n">
        <f aca="false">H300+I300-$B$14</f>
        <v>789.319486100262</v>
      </c>
      <c r="K300" s="45" t="n">
        <f aca="false">MAX(0,J300)/$B$15</f>
        <v>2.82606332295117</v>
      </c>
    </row>
    <row r="301" customFormat="false" ht="15" hidden="false" customHeight="false" outlineLevel="0" collapsed="false">
      <c r="A301" s="55" t="n">
        <v>261</v>
      </c>
      <c r="B301" s="22" t="n">
        <f aca="true">NORMINV(RAND(),$B$6,$C$6)</f>
        <v>0.317994030768132</v>
      </c>
      <c r="C301" s="22" t="n">
        <f aca="true">MAX(-0.05,NORMINV(RAND(),$B$7,$C$7))</f>
        <v>0.117359661660091</v>
      </c>
      <c r="D301" s="34" t="n">
        <f aca="true">MAX(0.08,NORMINV(RAND(),$B$8,$C$8))</f>
        <v>0.137685773291125</v>
      </c>
      <c r="E301" s="35" t="n">
        <f aca="true">MEDIAN(0,NORMINV(RAND(),$B$9,$C$9),1)</f>
        <v>0.348265304073018</v>
      </c>
      <c r="F301" s="28" t="n">
        <f aca="false">$B$12*(1+(B301+$B$17)/2)^9</f>
        <v>4621.72020625984</v>
      </c>
      <c r="G301" s="28" t="n">
        <f aca="false">F301*(C301-$B$18+$B$19*E301)</f>
        <v>692.675448319951</v>
      </c>
      <c r="H301" s="28" t="n">
        <f aca="false">MAX(0,$B$20*G301)/(1+D301)^9</f>
        <v>1518.54228220692</v>
      </c>
      <c r="I301" s="28" t="n">
        <f aca="false">$B$13*((1+$B$8)/(1+D301))^4.5</f>
        <v>618.899923943861</v>
      </c>
      <c r="J301" s="28" t="n">
        <f aca="false">H301+I301-$B$14</f>
        <v>1466.37028834257</v>
      </c>
      <c r="K301" s="45" t="n">
        <f aca="false">MAX(0,J301)/$B$15</f>
        <v>5.25016214945423</v>
      </c>
    </row>
    <row r="302" customFormat="false" ht="15" hidden="false" customHeight="false" outlineLevel="0" collapsed="false">
      <c r="A302" s="55" t="n">
        <v>262</v>
      </c>
      <c r="B302" s="22" t="n">
        <f aca="true">NORMINV(RAND(),$B$6,$C$6)</f>
        <v>0.475903590117196</v>
      </c>
      <c r="C302" s="22" t="n">
        <f aca="true">MAX(-0.05,NORMINV(RAND(),$B$7,$C$7))</f>
        <v>0.152753884398186</v>
      </c>
      <c r="D302" s="34" t="n">
        <f aca="true">MAX(0.08,NORMINV(RAND(),$B$8,$C$8))</f>
        <v>0.150218525295146</v>
      </c>
      <c r="E302" s="35" t="n">
        <f aca="true">MEDIAN(0,NORMINV(RAND(),$B$9,$C$9),1)</f>
        <v>0</v>
      </c>
      <c r="F302" s="28" t="n">
        <f aca="false">$B$12*(1+(B302+$B$17)/2)^9</f>
        <v>8282.57337046961</v>
      </c>
      <c r="G302" s="28" t="n">
        <f aca="false">F302*(C302-$B$18+$B$19*E302)</f>
        <v>726.827986071688</v>
      </c>
      <c r="H302" s="28" t="n">
        <f aca="false">MAX(0,$B$20*G302)/(1+D302)^9</f>
        <v>1443.79807705736</v>
      </c>
      <c r="I302" s="28" t="n">
        <f aca="false">$B$13*((1+$B$8)/(1+D302))^4.5</f>
        <v>589.127493635198</v>
      </c>
      <c r="J302" s="28" t="n">
        <f aca="false">H302+I302-$B$14</f>
        <v>1361.85365288434</v>
      </c>
      <c r="K302" s="45" t="n">
        <f aca="false">MAX(0,J302)/$B$15</f>
        <v>4.87595292833635</v>
      </c>
    </row>
    <row r="303" customFormat="false" ht="15" hidden="false" customHeight="false" outlineLevel="0" collapsed="false">
      <c r="A303" s="55" t="n">
        <v>263</v>
      </c>
      <c r="B303" s="22" t="n">
        <f aca="true">NORMINV(RAND(),$B$6,$C$6)</f>
        <v>0.0908720891096294</v>
      </c>
      <c r="C303" s="22" t="n">
        <f aca="true">MAX(-0.05,NORMINV(RAND(),$B$7,$C$7))</f>
        <v>0.152601126479068</v>
      </c>
      <c r="D303" s="34" t="n">
        <f aca="true">MAX(0.08,NORMINV(RAND(),$B$8,$C$8))</f>
        <v>0.141019126954114</v>
      </c>
      <c r="E303" s="35" t="n">
        <f aca="true">MEDIAN(0,NORMINV(RAND(),$B$9,$C$9),1)</f>
        <v>0.746558247423744</v>
      </c>
      <c r="F303" s="28" t="n">
        <f aca="false">$B$12*(1+(B303+$B$17)/2)^9</f>
        <v>1857.52969873888</v>
      </c>
      <c r="G303" s="28" t="n">
        <f aca="false">F303*(C303-$B$18+$B$19*E303)</f>
        <v>551.012846677705</v>
      </c>
      <c r="H303" s="28" t="n">
        <f aca="false">MAX(0,$B$20*G303)/(1+D303)^9</f>
        <v>1176.58536804448</v>
      </c>
      <c r="I303" s="28" t="n">
        <f aca="false">$B$13*((1+$B$8)/(1+D303))^4.5</f>
        <v>610.805222247997</v>
      </c>
      <c r="J303" s="28" t="n">
        <f aca="false">H303+I303-$B$14</f>
        <v>1116.31867248426</v>
      </c>
      <c r="K303" s="45" t="n">
        <f aca="false">MAX(0,J303)/$B$15</f>
        <v>3.99684451301203</v>
      </c>
    </row>
    <row r="304" customFormat="false" ht="15" hidden="false" customHeight="false" outlineLevel="0" collapsed="false">
      <c r="A304" s="55" t="n">
        <v>264</v>
      </c>
      <c r="B304" s="22" t="n">
        <f aca="true">NORMINV(RAND(),$B$6,$C$6)</f>
        <v>0.255346026289502</v>
      </c>
      <c r="C304" s="22" t="n">
        <f aca="true">MAX(-0.05,NORMINV(RAND(),$B$7,$C$7))</f>
        <v>0.0890064242247289</v>
      </c>
      <c r="D304" s="34" t="n">
        <f aca="true">MAX(0.08,NORMINV(RAND(),$B$8,$C$8))</f>
        <v>0.151437967405906</v>
      </c>
      <c r="E304" s="35" t="n">
        <f aca="true">MEDIAN(0,NORMINV(RAND(),$B$9,$C$9),1)</f>
        <v>0</v>
      </c>
      <c r="F304" s="28" t="n">
        <f aca="false">$B$12*(1+(B304+$B$17)/2)^9</f>
        <v>3627.04401026916</v>
      </c>
      <c r="G304" s="28" t="n">
        <f aca="false">F304*(C304-$B$18+$B$19*E304)</f>
        <v>87.0723571922833</v>
      </c>
      <c r="H304" s="28" t="n">
        <f aca="false">MAX(0,$B$20*G304)/(1+D304)^9</f>
        <v>171.32211612206</v>
      </c>
      <c r="I304" s="28" t="n">
        <f aca="false">$B$13*((1+$B$8)/(1+D304))^4.5</f>
        <v>586.325045976507</v>
      </c>
      <c r="J304" s="28" t="n">
        <f aca="false">H304+I304-$B$14</f>
        <v>86.5752442903477</v>
      </c>
      <c r="K304" s="45" t="n">
        <f aca="false">MAX(0,J304)/$B$15</f>
        <v>0.309972231615996</v>
      </c>
    </row>
    <row r="305" customFormat="false" ht="15" hidden="false" customHeight="false" outlineLevel="0" collapsed="false">
      <c r="A305" s="55" t="n">
        <v>265</v>
      </c>
      <c r="B305" s="22" t="n">
        <f aca="true">NORMINV(RAND(),$B$6,$C$6)</f>
        <v>0.433455349132666</v>
      </c>
      <c r="C305" s="22" t="n">
        <f aca="true">MAX(-0.05,NORMINV(RAND(),$B$7,$C$7))</f>
        <v>0.0759805780953227</v>
      </c>
      <c r="D305" s="34" t="n">
        <f aca="true">MAX(0.08,NORMINV(RAND(),$B$8,$C$8))</f>
        <v>0.126823320001476</v>
      </c>
      <c r="E305" s="35" t="n">
        <f aca="true">MEDIAN(0,NORMINV(RAND(),$B$9,$C$9),1)</f>
        <v>0.484513486472564</v>
      </c>
      <c r="F305" s="28" t="n">
        <f aca="false">$B$12*(1+(B305+$B$17)/2)^9</f>
        <v>7106.50411738742</v>
      </c>
      <c r="G305" s="28" t="n">
        <f aca="false">F305*(C305-$B$18+$B$19*E305)</f>
        <v>1042.12870767887</v>
      </c>
      <c r="H305" s="28" t="n">
        <f aca="false">MAX(0,$B$20*G305)/(1+D305)^9</f>
        <v>2490.67443531598</v>
      </c>
      <c r="I305" s="28" t="n">
        <f aca="false">$B$13*((1+$B$8)/(1+D305))^4.5</f>
        <v>646.204062307082</v>
      </c>
      <c r="J305" s="28" t="n">
        <f aca="false">H305+I305-$B$14</f>
        <v>2465.80657981484</v>
      </c>
      <c r="K305" s="45" t="n">
        <f aca="false">MAX(0,J305)/$B$15</f>
        <v>8.82852337921532</v>
      </c>
    </row>
    <row r="306" customFormat="false" ht="15" hidden="false" customHeight="false" outlineLevel="0" collapsed="false">
      <c r="A306" s="55" t="n">
        <v>266</v>
      </c>
      <c r="B306" s="22" t="n">
        <f aca="true">NORMINV(RAND(),$B$6,$C$6)</f>
        <v>0.199462153412404</v>
      </c>
      <c r="C306" s="22" t="n">
        <f aca="true">MAX(-0.05,NORMINV(RAND(),$B$7,$C$7))</f>
        <v>0.199622252300381</v>
      </c>
      <c r="D306" s="34" t="n">
        <f aca="true">MAX(0.08,NORMINV(RAND(),$B$8,$C$8))</f>
        <v>0.125761085103324</v>
      </c>
      <c r="E306" s="35" t="n">
        <f aca="true">MEDIAN(0,NORMINV(RAND(),$B$9,$C$9),1)</f>
        <v>0</v>
      </c>
      <c r="F306" s="28" t="n">
        <f aca="false">$B$12*(1+(B306+$B$17)/2)^9</f>
        <v>2905.4465078152</v>
      </c>
      <c r="G306" s="28" t="n">
        <f aca="false">F306*(C306-$B$18+$B$19*E306)</f>
        <v>391.137752820359</v>
      </c>
      <c r="H306" s="28" t="n">
        <f aca="false">MAX(0,$B$20*G306)/(1+D306)^9</f>
        <v>942.782880633633</v>
      </c>
      <c r="I306" s="28" t="n">
        <f aca="false">$B$13*((1+$B$8)/(1+D306))^4.5</f>
        <v>648.952422380507</v>
      </c>
      <c r="J306" s="28" t="n">
        <f aca="false">H306+I306-$B$14</f>
        <v>920.663385205921</v>
      </c>
      <c r="K306" s="45" t="n">
        <f aca="false">MAX(0,J306)/$B$15</f>
        <v>3.29632432941611</v>
      </c>
    </row>
    <row r="307" customFormat="false" ht="15" hidden="false" customHeight="false" outlineLevel="0" collapsed="false">
      <c r="A307" s="55" t="n">
        <v>267</v>
      </c>
      <c r="B307" s="22" t="n">
        <f aca="true">NORMINV(RAND(),$B$6,$C$6)</f>
        <v>0.445655012185492</v>
      </c>
      <c r="C307" s="22" t="n">
        <f aca="true">MAX(-0.05,NORMINV(RAND(),$B$7,$C$7))</f>
        <v>0.163687614393916</v>
      </c>
      <c r="D307" s="34" t="n">
        <f aca="true">MAX(0.08,NORMINV(RAND(),$B$8,$C$8))</f>
        <v>0.10985027321148</v>
      </c>
      <c r="E307" s="35" t="n">
        <f aca="true">MEDIAN(0,NORMINV(RAND(),$B$9,$C$9),1)</f>
        <v>0</v>
      </c>
      <c r="F307" s="28" t="n">
        <f aca="false">$B$12*(1+(B307+$B$17)/2)^9</f>
        <v>7428.2584730078</v>
      </c>
      <c r="G307" s="28" t="n">
        <f aca="false">F307*(C307-$B$18+$B$19*E307)</f>
        <v>733.07710780253</v>
      </c>
      <c r="H307" s="28" t="n">
        <f aca="false">MAX(0,$B$20*G307)/(1+D307)^9</f>
        <v>2008.48299085715</v>
      </c>
      <c r="I307" s="28" t="n">
        <f aca="false">$B$13*((1+$B$8)/(1+D307))^4.5</f>
        <v>691.880566477059</v>
      </c>
      <c r="J307" s="28" t="n">
        <f aca="false">H307+I307-$B$14</f>
        <v>2029.29163952599</v>
      </c>
      <c r="K307" s="45" t="n">
        <f aca="false">MAX(0,J307)/$B$15</f>
        <v>7.26563422673109</v>
      </c>
    </row>
    <row r="308" customFormat="false" ht="15" hidden="false" customHeight="false" outlineLevel="0" collapsed="false">
      <c r="A308" s="55" t="n">
        <v>268</v>
      </c>
      <c r="B308" s="22" t="n">
        <f aca="true">NORMINV(RAND(),$B$6,$C$6)</f>
        <v>0.588390966749176</v>
      </c>
      <c r="C308" s="22" t="n">
        <f aca="true">MAX(-0.05,NORMINV(RAND(),$B$7,$C$7))</f>
        <v>0.107123772817326</v>
      </c>
      <c r="D308" s="34" t="n">
        <f aca="true">MAX(0.08,NORMINV(RAND(),$B$8,$C$8))</f>
        <v>0.147940437423747</v>
      </c>
      <c r="E308" s="35" t="n">
        <f aca="true">MEDIAN(0,NORMINV(RAND(),$B$9,$C$9),1)</f>
        <v>0.111474102894026</v>
      </c>
      <c r="F308" s="28" t="n">
        <f aca="false">$B$12*(1+(B308+$B$17)/2)^9</f>
        <v>12278.039650184</v>
      </c>
      <c r="G308" s="28" t="n">
        <f aca="false">F308*(C308-$B$18+$B$19*E308)</f>
        <v>900.428720350901</v>
      </c>
      <c r="H308" s="28" t="n">
        <f aca="false">MAX(0,$B$20*G308)/(1+D308)^9</f>
        <v>1820.84587746261</v>
      </c>
      <c r="I308" s="28" t="n">
        <f aca="false">$B$13*((1+$B$8)/(1+D308))^4.5</f>
        <v>594.406850833067</v>
      </c>
      <c r="J308" s="28" t="n">
        <f aca="false">H308+I308-$B$14</f>
        <v>1744.18081048746</v>
      </c>
      <c r="K308" s="45" t="n">
        <f aca="false">MAX(0,J308)/$B$15</f>
        <v>6.24482925344598</v>
      </c>
    </row>
    <row r="309" customFormat="false" ht="15" hidden="false" customHeight="false" outlineLevel="0" collapsed="false">
      <c r="A309" s="55" t="n">
        <v>269</v>
      </c>
      <c r="B309" s="22" t="n">
        <f aca="true">NORMINV(RAND(),$B$6,$C$6)</f>
        <v>0.65781087387957</v>
      </c>
      <c r="C309" s="22" t="n">
        <f aca="true">MAX(-0.05,NORMINV(RAND(),$B$7,$C$7))</f>
        <v>0.132817125174652</v>
      </c>
      <c r="D309" s="34" t="n">
        <f aca="true">MAX(0.08,NORMINV(RAND(),$B$8,$C$8))</f>
        <v>0.148582084132969</v>
      </c>
      <c r="E309" s="35" t="n">
        <f aca="true">MEDIAN(0,NORMINV(RAND(),$B$9,$C$9),1)</f>
        <v>0.386591966033834</v>
      </c>
      <c r="F309" s="28" t="n">
        <f aca="false">$B$12*(1+(B309+$B$17)/2)^9</f>
        <v>15524.6867325935</v>
      </c>
      <c r="G309" s="28" t="n">
        <f aca="false">F309*(C309-$B$18+$B$19*E309)</f>
        <v>2733.32098992511</v>
      </c>
      <c r="H309" s="28" t="n">
        <f aca="false">MAX(0,$B$20*G309)/(1+D309)^9</f>
        <v>5499.59029068855</v>
      </c>
      <c r="I309" s="28" t="n">
        <f aca="false">$B$13*((1+$B$8)/(1+D309))^4.5</f>
        <v>592.914036944892</v>
      </c>
      <c r="J309" s="28" t="n">
        <f aca="false">H309+I309-$B$14</f>
        <v>5421.43240982522</v>
      </c>
      <c r="K309" s="45" t="n">
        <f aca="false">MAX(0,J309)/$B$15</f>
        <v>19.4107855704447</v>
      </c>
    </row>
    <row r="310" customFormat="false" ht="15" hidden="false" customHeight="false" outlineLevel="0" collapsed="false">
      <c r="A310" s="55" t="n">
        <v>270</v>
      </c>
      <c r="B310" s="22" t="n">
        <f aca="true">NORMINV(RAND(),$B$6,$C$6)</f>
        <v>0.61046987733226</v>
      </c>
      <c r="C310" s="22" t="n">
        <f aca="true">MAX(-0.05,NORMINV(RAND(),$B$7,$C$7))</f>
        <v>0.195790526000828</v>
      </c>
      <c r="D310" s="34" t="n">
        <f aca="true">MAX(0.08,NORMINV(RAND(),$B$8,$C$8))</f>
        <v>0.124866351906463</v>
      </c>
      <c r="E310" s="35" t="n">
        <f aca="true">MEDIAN(0,NORMINV(RAND(),$B$9,$C$9),1)</f>
        <v>0.364130975817755</v>
      </c>
      <c r="F310" s="28" t="n">
        <f aca="false">$B$12*(1+(B310+$B$17)/2)^9</f>
        <v>13238.0858588023</v>
      </c>
      <c r="G310" s="28" t="n">
        <f aca="false">F310*(C310-$B$18+$B$19*E310)</f>
        <v>3081.12740679985</v>
      </c>
      <c r="H310" s="28" t="n">
        <f aca="false">MAX(0,$B$20*G310)/(1+D310)^9</f>
        <v>7479.96151999453</v>
      </c>
      <c r="I310" s="28" t="n">
        <f aca="false">$B$13*((1+$B$8)/(1+D310))^4.5</f>
        <v>651.278490894777</v>
      </c>
      <c r="J310" s="28" t="n">
        <f aca="false">H310+I310-$B$14</f>
        <v>7460.16809308108</v>
      </c>
      <c r="K310" s="45" t="n">
        <f aca="false">MAX(0,J310)/$B$15</f>
        <v>26.7102330579344</v>
      </c>
    </row>
    <row r="311" customFormat="false" ht="15" hidden="false" customHeight="false" outlineLevel="0" collapsed="false">
      <c r="A311" s="55" t="n">
        <v>271</v>
      </c>
      <c r="B311" s="22" t="n">
        <f aca="true">NORMINV(RAND(),$B$6,$C$6)</f>
        <v>0.22999874085413</v>
      </c>
      <c r="C311" s="22" t="n">
        <f aca="true">MAX(-0.05,NORMINV(RAND(),$B$7,$C$7))</f>
        <v>0.154445578204201</v>
      </c>
      <c r="D311" s="34" t="n">
        <f aca="true">MAX(0.08,NORMINV(RAND(),$B$8,$C$8))</f>
        <v>0.152897086244923</v>
      </c>
      <c r="E311" s="35" t="n">
        <f aca="true">MEDIAN(0,NORMINV(RAND(),$B$9,$C$9),1)</f>
        <v>0.221025037957382</v>
      </c>
      <c r="F311" s="28" t="n">
        <f aca="false">$B$12*(1+(B311+$B$17)/2)^9</f>
        <v>3282.08545681816</v>
      </c>
      <c r="G311" s="28" t="n">
        <f aca="false">F311*(C311-$B$18+$B$19*E311)</f>
        <v>496.686488949031</v>
      </c>
      <c r="H311" s="28" t="n">
        <f aca="false">MAX(0,$B$20*G311)/(1+D311)^9</f>
        <v>966.196616088214</v>
      </c>
      <c r="I311" s="28" t="n">
        <f aca="false">$B$13*((1+$B$8)/(1+D311))^4.5</f>
        <v>582.99316752924</v>
      </c>
      <c r="J311" s="28" t="n">
        <f aca="false">H311+I311-$B$14</f>
        <v>878.117865809234</v>
      </c>
      <c r="K311" s="45" t="n">
        <f aca="false">MAX(0,J311)/$B$15</f>
        <v>3.14399522309071</v>
      </c>
    </row>
    <row r="312" customFormat="false" ht="15" hidden="false" customHeight="false" outlineLevel="0" collapsed="false">
      <c r="A312" s="55" t="n">
        <v>272</v>
      </c>
      <c r="B312" s="22" t="n">
        <f aca="true">NORMINV(RAND(),$B$6,$C$6)</f>
        <v>0.268914992313943</v>
      </c>
      <c r="C312" s="22" t="n">
        <f aca="true">MAX(-0.05,NORMINV(RAND(),$B$7,$C$7))</f>
        <v>0.176145702990661</v>
      </c>
      <c r="D312" s="34" t="n">
        <f aca="true">MAX(0.08,NORMINV(RAND(),$B$8,$C$8))</f>
        <v>0.131157471247144</v>
      </c>
      <c r="E312" s="35" t="n">
        <f aca="true">MEDIAN(0,NORMINV(RAND(),$B$9,$C$9),1)</f>
        <v>0.336934301334316</v>
      </c>
      <c r="F312" s="28" t="n">
        <f aca="false">$B$12*(1+(B312+$B$17)/2)^9</f>
        <v>3824.64236731733</v>
      </c>
      <c r="G312" s="28" t="n">
        <f aca="false">F312*(C312-$B$18+$B$19*E312)</f>
        <v>785.915461691341</v>
      </c>
      <c r="H312" s="28" t="n">
        <f aca="false">MAX(0,$B$20*G312)/(1+D312)^9</f>
        <v>1814.53879464322</v>
      </c>
      <c r="I312" s="28" t="n">
        <f aca="false">$B$13*((1+$B$8)/(1+D312))^4.5</f>
        <v>635.136533734195</v>
      </c>
      <c r="J312" s="28" t="n">
        <f aca="false">H312+I312-$B$14</f>
        <v>1778.6034105692</v>
      </c>
      <c r="K312" s="45" t="n">
        <f aca="false">MAX(0,J312)/$B$15</f>
        <v>6.36807522581167</v>
      </c>
    </row>
    <row r="313" customFormat="false" ht="15" hidden="false" customHeight="false" outlineLevel="0" collapsed="false">
      <c r="A313" s="55" t="n">
        <v>273</v>
      </c>
      <c r="B313" s="22" t="n">
        <f aca="true">NORMINV(RAND(),$B$6,$C$6)</f>
        <v>0.558388960661703</v>
      </c>
      <c r="C313" s="22" t="n">
        <f aca="true">MAX(-0.05,NORMINV(RAND(),$B$7,$C$7))</f>
        <v>0.168799420739864</v>
      </c>
      <c r="D313" s="34" t="n">
        <f aca="true">MAX(0.08,NORMINV(RAND(),$B$8,$C$8))</f>
        <v>0.105141370485699</v>
      </c>
      <c r="E313" s="35" t="n">
        <f aca="true">MEDIAN(0,NORMINV(RAND(),$B$9,$C$9),1)</f>
        <v>0.0454465716364992</v>
      </c>
      <c r="F313" s="28" t="n">
        <f aca="false">$B$12*(1+(B313+$B$17)/2)^9</f>
        <v>11072.783287736</v>
      </c>
      <c r="G313" s="28" t="n">
        <f aca="false">F313*(C313-$B$18+$B$19*E313)</f>
        <v>1290.25010213746</v>
      </c>
      <c r="H313" s="28" t="n">
        <f aca="false">MAX(0,$B$20*G313)/(1+D313)^9</f>
        <v>3672.91950535014</v>
      </c>
      <c r="I313" s="28" t="n">
        <f aca="false">$B$13*((1+$B$8)/(1+D313))^4.5</f>
        <v>705.246007673649</v>
      </c>
      <c r="J313" s="28" t="n">
        <f aca="false">H313+I313-$B$14</f>
        <v>3707.09359521557</v>
      </c>
      <c r="K313" s="45" t="n">
        <f aca="false">MAX(0,J313)/$B$15</f>
        <v>13.2728019878824</v>
      </c>
    </row>
    <row r="314" customFormat="false" ht="15" hidden="false" customHeight="false" outlineLevel="0" collapsed="false">
      <c r="A314" s="55" t="n">
        <v>274</v>
      </c>
      <c r="B314" s="22" t="n">
        <f aca="true">NORMINV(RAND(),$B$6,$C$6)</f>
        <v>0.154187007052592</v>
      </c>
      <c r="C314" s="22" t="n">
        <f aca="true">MAX(-0.05,NORMINV(RAND(),$B$7,$C$7))</f>
        <v>0.152761592378535</v>
      </c>
      <c r="D314" s="34" t="n">
        <f aca="true">MAX(0.08,NORMINV(RAND(),$B$8,$C$8))</f>
        <v>0.127345859079952</v>
      </c>
      <c r="E314" s="35" t="n">
        <f aca="true">MEDIAN(0,NORMINV(RAND(),$B$9,$C$9),1)</f>
        <v>0.377641106581176</v>
      </c>
      <c r="F314" s="28" t="n">
        <f aca="false">$B$12*(1+(B314+$B$17)/2)^9</f>
        <v>2417.5868762861</v>
      </c>
      <c r="G314" s="28" t="n">
        <f aca="false">F314*(C314-$B$18+$B$19*E314)</f>
        <v>467.805725277023</v>
      </c>
      <c r="H314" s="28" t="n">
        <f aca="false">MAX(0,$B$20*G314)/(1+D314)^9</f>
        <v>1113.39433483675</v>
      </c>
      <c r="I314" s="28" t="n">
        <f aca="false">$B$13*((1+$B$8)/(1+D314))^4.5</f>
        <v>644.857298256443</v>
      </c>
      <c r="J314" s="28" t="n">
        <f aca="false">H314+I314-$B$14</f>
        <v>1087.17971528497</v>
      </c>
      <c r="K314" s="45" t="n">
        <f aca="false">MAX(0,J314)/$B$15</f>
        <v>3.89251598741485</v>
      </c>
    </row>
    <row r="315" customFormat="false" ht="15" hidden="false" customHeight="false" outlineLevel="0" collapsed="false">
      <c r="A315" s="55" t="n">
        <v>275</v>
      </c>
      <c r="B315" s="22" t="n">
        <f aca="true">NORMINV(RAND(),$B$6,$C$6)</f>
        <v>0.633445211207447</v>
      </c>
      <c r="C315" s="22" t="n">
        <f aca="true">MAX(-0.05,NORMINV(RAND(),$B$7,$C$7))</f>
        <v>0.134195618807863</v>
      </c>
      <c r="D315" s="34" t="n">
        <f aca="true">MAX(0.08,NORMINV(RAND(),$B$8,$C$8))</f>
        <v>0.174744979805609</v>
      </c>
      <c r="E315" s="35" t="n">
        <f aca="true">MEDIAN(0,NORMINV(RAND(),$B$9,$C$9),1)</f>
        <v>0.519239055756263</v>
      </c>
      <c r="F315" s="28" t="n">
        <f aca="false">$B$12*(1+(B315+$B$17)/2)^9</f>
        <v>14307.4070165781</v>
      </c>
      <c r="G315" s="28" t="n">
        <f aca="false">F315*(C315-$B$18+$B$19*E315)</f>
        <v>3070.11994473847</v>
      </c>
      <c r="H315" s="28" t="n">
        <f aca="false">MAX(0,$B$20*G315)/(1+D315)^9</f>
        <v>5043.83653441151</v>
      </c>
      <c r="I315" s="28" t="n">
        <f aca="false">$B$13*((1+$B$8)/(1+D315))^4.5</f>
        <v>535.765460360934</v>
      </c>
      <c r="J315" s="28" t="n">
        <f aca="false">H315+I315-$B$14</f>
        <v>4908.53007696422</v>
      </c>
      <c r="K315" s="45" t="n">
        <f aca="false">MAX(0,J315)/$B$15</f>
        <v>17.5744005619915</v>
      </c>
    </row>
    <row r="316" customFormat="false" ht="15" hidden="false" customHeight="false" outlineLevel="0" collapsed="false">
      <c r="A316" s="55" t="n">
        <v>276</v>
      </c>
      <c r="B316" s="22" t="n">
        <f aca="true">NORMINV(RAND(),$B$6,$C$6)</f>
        <v>0.502064427259084</v>
      </c>
      <c r="C316" s="22" t="n">
        <f aca="true">MAX(-0.05,NORMINV(RAND(),$B$7,$C$7))</f>
        <v>0.120868091557395</v>
      </c>
      <c r="D316" s="34" t="n">
        <f aca="true">MAX(0.08,NORMINV(RAND(),$B$8,$C$8))</f>
        <v>0.176878007884789</v>
      </c>
      <c r="E316" s="35" t="n">
        <f aca="true">MEDIAN(0,NORMINV(RAND(),$B$9,$C$9),1)</f>
        <v>0.360422503423397</v>
      </c>
      <c r="F316" s="28" t="n">
        <f aca="false">$B$12*(1+(B316+$B$17)/2)^9</f>
        <v>9090.72076474729</v>
      </c>
      <c r="G316" s="28" t="n">
        <f aca="false">F316*(C316-$B$18+$B$19*E316)</f>
        <v>1425.30131407453</v>
      </c>
      <c r="H316" s="28" t="n">
        <f aca="false">MAX(0,$B$20*G316)/(1+D316)^9</f>
        <v>2303.67760037926</v>
      </c>
      <c r="I316" s="28" t="n">
        <f aca="false">$B$13*((1+$B$8)/(1+D316))^4.5</f>
        <v>531.409591856486</v>
      </c>
      <c r="J316" s="28" t="n">
        <f aca="false">H316+I316-$B$14</f>
        <v>2164.01527442752</v>
      </c>
      <c r="K316" s="45" t="n">
        <f aca="false">MAX(0,J316)/$B$15</f>
        <v>7.74799597002336</v>
      </c>
    </row>
    <row r="317" customFormat="false" ht="15" hidden="false" customHeight="false" outlineLevel="0" collapsed="false">
      <c r="A317" s="55" t="n">
        <v>277</v>
      </c>
      <c r="B317" s="22" t="n">
        <f aca="true">NORMINV(RAND(),$B$6,$C$6)</f>
        <v>0.51409069643261</v>
      </c>
      <c r="C317" s="22" t="n">
        <f aca="true">MAX(-0.05,NORMINV(RAND(),$B$7,$C$7))</f>
        <v>0.150957509834255</v>
      </c>
      <c r="D317" s="34" t="n">
        <f aca="true">MAX(0.08,NORMINV(RAND(),$B$8,$C$8))</f>
        <v>0.137120653023327</v>
      </c>
      <c r="E317" s="35" t="n">
        <f aca="true">MEDIAN(0,NORMINV(RAND(),$B$9,$C$9),1)</f>
        <v>0.464348831623801</v>
      </c>
      <c r="F317" s="28" t="n">
        <f aca="false">$B$12*(1+(B317+$B$17)/2)^9</f>
        <v>9485.1930433261</v>
      </c>
      <c r="G317" s="28" t="n">
        <f aca="false">F317*(C317-$B$18+$B$19*E317)</f>
        <v>2048.56630037203</v>
      </c>
      <c r="H317" s="28" t="n">
        <f aca="false">MAX(0,$B$20*G317)/(1+D317)^9</f>
        <v>4511.16940957177</v>
      </c>
      <c r="I317" s="28" t="n">
        <f aca="false">$B$13*((1+$B$8)/(1+D317))^4.5</f>
        <v>620.28522759727</v>
      </c>
      <c r="J317" s="28" t="n">
        <f aca="false">H317+I317-$B$14</f>
        <v>4460.38271936082</v>
      </c>
      <c r="K317" s="45" t="n">
        <f aca="false">MAX(0,J317)/$B$15</f>
        <v>15.9698629407835</v>
      </c>
    </row>
    <row r="318" customFormat="false" ht="15" hidden="false" customHeight="false" outlineLevel="0" collapsed="false">
      <c r="A318" s="55" t="n">
        <v>278</v>
      </c>
      <c r="B318" s="22" t="n">
        <f aca="true">NORMINV(RAND(),$B$6,$C$6)</f>
        <v>0.442563646283095</v>
      </c>
      <c r="C318" s="22" t="n">
        <f aca="true">MAX(-0.05,NORMINV(RAND(),$B$7,$C$7))</f>
        <v>0.167601027375493</v>
      </c>
      <c r="D318" s="34" t="n">
        <f aca="true">MAX(0.08,NORMINV(RAND(),$B$8,$C$8))</f>
        <v>0.156636562811951</v>
      </c>
      <c r="E318" s="35" t="n">
        <f aca="true">MEDIAN(0,NORMINV(RAND(),$B$9,$C$9),1)</f>
        <v>0.571694633775868</v>
      </c>
      <c r="F318" s="28" t="n">
        <f aca="false">$B$12*(1+(B318+$B$17)/2)^9</f>
        <v>7345.5253390092</v>
      </c>
      <c r="G318" s="28" t="n">
        <f aca="false">F318*(C318-$B$18+$B$19*E318)</f>
        <v>1929.4897235964</v>
      </c>
      <c r="H318" s="28" t="n">
        <f aca="false">MAX(0,$B$20*G318)/(1+D318)^9</f>
        <v>3645.59364589415</v>
      </c>
      <c r="I318" s="28" t="n">
        <f aca="false">$B$13*((1+$B$8)/(1+D318))^4.5</f>
        <v>574.5591912671</v>
      </c>
      <c r="J318" s="28" t="n">
        <f aca="false">H318+I318-$B$14</f>
        <v>3549.08091935303</v>
      </c>
      <c r="K318" s="45" t="n">
        <f aca="false">MAX(0,J318)/$B$15</f>
        <v>12.7070566392876</v>
      </c>
    </row>
    <row r="319" customFormat="false" ht="15" hidden="false" customHeight="false" outlineLevel="0" collapsed="false">
      <c r="A319" s="55" t="n">
        <v>279</v>
      </c>
      <c r="B319" s="22" t="n">
        <f aca="true">NORMINV(RAND(),$B$6,$C$6)</f>
        <v>0.239558431344555</v>
      </c>
      <c r="C319" s="22" t="n">
        <f aca="true">MAX(-0.05,NORMINV(RAND(),$B$7,$C$7))</f>
        <v>0.100712375372582</v>
      </c>
      <c r="D319" s="34" t="n">
        <f aca="true">MAX(0.08,NORMINV(RAND(),$B$8,$C$8))</f>
        <v>0.158258557352735</v>
      </c>
      <c r="E319" s="35" t="n">
        <f aca="true">MEDIAN(0,NORMINV(RAND(),$B$9,$C$9),1)</f>
        <v>0.306847542329114</v>
      </c>
      <c r="F319" s="28" t="n">
        <f aca="false">$B$12*(1+(B319+$B$17)/2)^9</f>
        <v>3408.59888553431</v>
      </c>
      <c r="G319" s="28" t="n">
        <f aca="false">F319*(C319-$B$18+$B$19*E319)</f>
        <v>414.586816322114</v>
      </c>
      <c r="H319" s="28" t="n">
        <f aca="false">MAX(0,$B$20*G319)/(1+D319)^9</f>
        <v>773.506326356335</v>
      </c>
      <c r="I319" s="28" t="n">
        <f aca="false">$B$13*((1+$B$8)/(1+D319))^4.5</f>
        <v>570.947365485191</v>
      </c>
      <c r="J319" s="28" t="n">
        <f aca="false">H319+I319-$B$14</f>
        <v>673.381774033307</v>
      </c>
      <c r="K319" s="45" t="n">
        <f aca="false">MAX(0,J319)/$B$15</f>
        <v>2.41096231304442</v>
      </c>
    </row>
    <row r="320" customFormat="false" ht="15" hidden="false" customHeight="false" outlineLevel="0" collapsed="false">
      <c r="A320" s="55" t="n">
        <v>280</v>
      </c>
      <c r="B320" s="22" t="n">
        <f aca="true">NORMINV(RAND(),$B$6,$C$6)</f>
        <v>0.204608332906487</v>
      </c>
      <c r="C320" s="22" t="n">
        <f aca="true">MAX(-0.05,NORMINV(RAND(),$B$7,$C$7))</f>
        <v>0.143993748419684</v>
      </c>
      <c r="D320" s="34" t="n">
        <f aca="true">MAX(0.08,NORMINV(RAND(),$B$8,$C$8))</f>
        <v>0.143193021045562</v>
      </c>
      <c r="E320" s="35" t="n">
        <f aca="true">MEDIAN(0,NORMINV(RAND(),$B$9,$C$9),1)</f>
        <v>0.477506888835234</v>
      </c>
      <c r="F320" s="28" t="n">
        <f aca="false">$B$12*(1+(B320+$B$17)/2)^9</f>
        <v>2966.09103258359</v>
      </c>
      <c r="G320" s="28" t="n">
        <f aca="false">F320*(C320-$B$18+$B$19*E320)</f>
        <v>630.874741089691</v>
      </c>
      <c r="H320" s="28" t="n">
        <f aca="false">MAX(0,$B$20*G320)/(1+D320)^9</f>
        <v>1324.23511172854</v>
      </c>
      <c r="I320" s="28" t="n">
        <f aca="false">$B$13*((1+$B$8)/(1+D320))^4.5</f>
        <v>605.595810140527</v>
      </c>
      <c r="J320" s="28" t="n">
        <f aca="false">H320+I320-$B$14</f>
        <v>1258.75900406084</v>
      </c>
      <c r="K320" s="45" t="n">
        <f aca="false">MAX(0,J320)/$B$15</f>
        <v>4.50683495904348</v>
      </c>
    </row>
    <row r="321" customFormat="false" ht="15" hidden="false" customHeight="false" outlineLevel="0" collapsed="false">
      <c r="A321" s="55" t="n">
        <v>281</v>
      </c>
      <c r="B321" s="22" t="n">
        <f aca="true">NORMINV(RAND(),$B$6,$C$6)</f>
        <v>0.482543642060993</v>
      </c>
      <c r="C321" s="22" t="n">
        <f aca="true">MAX(-0.05,NORMINV(RAND(),$B$7,$C$7))</f>
        <v>0.217493104184152</v>
      </c>
      <c r="D321" s="34" t="n">
        <f aca="true">MAX(0.08,NORMINV(RAND(),$B$8,$C$8))</f>
        <v>0.165057299152745</v>
      </c>
      <c r="E321" s="35" t="n">
        <f aca="true">MEDIAN(0,NORMINV(RAND(),$B$9,$C$9),1)</f>
        <v>0.12157482348548</v>
      </c>
      <c r="F321" s="28" t="n">
        <f aca="false">$B$12*(1+(B321+$B$17)/2)^9</f>
        <v>8481.39980073843</v>
      </c>
      <c r="G321" s="28" t="n">
        <f aca="false">F321*(C321-$B$18+$B$19*E321)</f>
        <v>1582.06989487313</v>
      </c>
      <c r="H321" s="28" t="n">
        <f aca="false">MAX(0,$B$20*G321)/(1+D321)^9</f>
        <v>2800.25860568084</v>
      </c>
      <c r="I321" s="28" t="n">
        <f aca="false">$B$13*((1+$B$8)/(1+D321))^4.5</f>
        <v>556.106689321885</v>
      </c>
      <c r="J321" s="28" t="n">
        <f aca="false">H321+I321-$B$14</f>
        <v>2685.29337719451</v>
      </c>
      <c r="K321" s="45" t="n">
        <f aca="false">MAX(0,J321)/$B$15</f>
        <v>9.61436941351417</v>
      </c>
    </row>
    <row r="322" customFormat="false" ht="15" hidden="false" customHeight="false" outlineLevel="0" collapsed="false">
      <c r="A322" s="55" t="n">
        <v>282</v>
      </c>
      <c r="B322" s="22" t="n">
        <f aca="true">NORMINV(RAND(),$B$6,$C$6)</f>
        <v>0.200060085735717</v>
      </c>
      <c r="C322" s="22" t="n">
        <f aca="true">MAX(-0.05,NORMINV(RAND(),$B$7,$C$7))</f>
        <v>0.126835642142254</v>
      </c>
      <c r="D322" s="34" t="n">
        <f aca="true">MAX(0.08,NORMINV(RAND(),$B$8,$C$8))</f>
        <v>0.120132724674283</v>
      </c>
      <c r="E322" s="35" t="n">
        <f aca="true">MEDIAN(0,NORMINV(RAND(),$B$9,$C$9),1)</f>
        <v>0.190728572091311</v>
      </c>
      <c r="F322" s="28" t="n">
        <f aca="false">$B$12*(1+(B322+$B$17)/2)^9</f>
        <v>2912.43570932617</v>
      </c>
      <c r="G322" s="28" t="n">
        <f aca="false">F322*(C322-$B$18+$B$19*E322)</f>
        <v>335.628049445521</v>
      </c>
      <c r="H322" s="28" t="n">
        <f aca="false">MAX(0,$B$20*G322)/(1+D322)^9</f>
        <v>846.312822674198</v>
      </c>
      <c r="I322" s="28" t="n">
        <f aca="false">$B$13*((1+$B$8)/(1+D322))^4.5</f>
        <v>663.755630498928</v>
      </c>
      <c r="J322" s="28" t="n">
        <f aca="false">H322+I322-$B$14</f>
        <v>838.996535364906</v>
      </c>
      <c r="K322" s="45" t="n">
        <f aca="false">MAX(0,J322)/$B$15</f>
        <v>3.00392601276372</v>
      </c>
    </row>
    <row r="323" customFormat="false" ht="15" hidden="false" customHeight="false" outlineLevel="0" collapsed="false">
      <c r="A323" s="55" t="n">
        <v>283</v>
      </c>
      <c r="B323" s="22" t="n">
        <f aca="true">NORMINV(RAND(),$B$6,$C$6)</f>
        <v>0.433319023208182</v>
      </c>
      <c r="C323" s="22" t="n">
        <f aca="true">MAX(-0.05,NORMINV(RAND(),$B$7,$C$7))</f>
        <v>0.181534924036161</v>
      </c>
      <c r="D323" s="34" t="n">
        <f aca="true">MAX(0.08,NORMINV(RAND(),$B$8,$C$8))</f>
        <v>0.127692067537301</v>
      </c>
      <c r="E323" s="35" t="n">
        <f aca="true">MEDIAN(0,NORMINV(RAND(),$B$9,$C$9),1)</f>
        <v>0.368913891603284</v>
      </c>
      <c r="F323" s="28" t="n">
        <f aca="false">$B$12*(1+(B323+$B$17)/2)^9</f>
        <v>7102.9797826196</v>
      </c>
      <c r="G323" s="28" t="n">
        <f aca="false">F323*(C323-$B$18+$B$19*E323)</f>
        <v>1561.45382520195</v>
      </c>
      <c r="H323" s="28" t="n">
        <f aca="false">MAX(0,$B$20*G323)/(1+D323)^9</f>
        <v>3706.06008727536</v>
      </c>
      <c r="I323" s="28" t="n">
        <f aca="false">$B$13*((1+$B$8)/(1+D323))^4.5</f>
        <v>643.966888421998</v>
      </c>
      <c r="J323" s="28" t="n">
        <f aca="false">H323+I323-$B$14</f>
        <v>3678.95505788914</v>
      </c>
      <c r="K323" s="45" t="n">
        <f aca="false">MAX(0,J323)/$B$15</f>
        <v>13.1720553451097</v>
      </c>
    </row>
    <row r="324" customFormat="false" ht="15" hidden="false" customHeight="false" outlineLevel="0" collapsed="false">
      <c r="A324" s="55" t="n">
        <v>284</v>
      </c>
      <c r="B324" s="22" t="n">
        <f aca="true">NORMINV(RAND(),$B$6,$C$6)</f>
        <v>0.084669045821385</v>
      </c>
      <c r="C324" s="22" t="n">
        <f aca="true">MAX(-0.05,NORMINV(RAND(),$B$7,$C$7))</f>
        <v>0.175368231456384</v>
      </c>
      <c r="D324" s="34" t="n">
        <f aca="true">MAX(0.08,NORMINV(RAND(),$B$8,$C$8))</f>
        <v>0.119727082970738</v>
      </c>
      <c r="E324" s="35" t="n">
        <f aca="true">MEDIAN(0,NORMINV(RAND(),$B$9,$C$9),1)</f>
        <v>0.0169713800575406</v>
      </c>
      <c r="F324" s="28" t="n">
        <f aca="false">$B$12*(1+(B324+$B$17)/2)^9</f>
        <v>1809.42653406656</v>
      </c>
      <c r="G324" s="28" t="n">
        <f aca="false">F324*(C324-$B$18+$B$19*E324)</f>
        <v>208.301576826015</v>
      </c>
      <c r="H324" s="28" t="n">
        <f aca="false">MAX(0,$B$20*G324)/(1+D324)^9</f>
        <v>526.964007909249</v>
      </c>
      <c r="I324" s="28" t="n">
        <f aca="false">$B$13*((1+$B$8)/(1+D324))^4.5</f>
        <v>664.838376211066</v>
      </c>
      <c r="J324" s="28" t="n">
        <f aca="false">H324+I324-$B$14</f>
        <v>520.730466312096</v>
      </c>
      <c r="K324" s="45" t="n">
        <f aca="false">MAX(0,J324)/$B$15</f>
        <v>1.8644126971432</v>
      </c>
    </row>
    <row r="325" customFormat="false" ht="15" hidden="false" customHeight="false" outlineLevel="0" collapsed="false">
      <c r="A325" s="55" t="n">
        <v>285</v>
      </c>
      <c r="B325" s="22" t="n">
        <f aca="true">NORMINV(RAND(),$B$6,$C$6)</f>
        <v>0.341752875455081</v>
      </c>
      <c r="C325" s="22" t="n">
        <f aca="true">MAX(-0.05,NORMINV(RAND(),$B$7,$C$7))</f>
        <v>0.209485400607624</v>
      </c>
      <c r="D325" s="34" t="n">
        <f aca="true">MAX(0.08,NORMINV(RAND(),$B$8,$C$8))</f>
        <v>0.133828690840423</v>
      </c>
      <c r="E325" s="35" t="n">
        <f aca="true">MEDIAN(0,NORMINV(RAND(),$B$9,$C$9),1)</f>
        <v>0.480544207921529</v>
      </c>
      <c r="F325" s="28" t="n">
        <f aca="false">$B$12*(1+(B325+$B$17)/2)^9</f>
        <v>5058.12574798818</v>
      </c>
      <c r="G325" s="28" t="n">
        <f aca="false">F325*(C325-$B$18+$B$19*E325)</f>
        <v>1411.40817373946</v>
      </c>
      <c r="H325" s="28" t="n">
        <f aca="false">MAX(0,$B$20*G325)/(1+D325)^9</f>
        <v>3190.24243171143</v>
      </c>
      <c r="I325" s="28" t="n">
        <f aca="false">$B$13*((1+$B$8)/(1+D325))^4.5</f>
        <v>628.430726869831</v>
      </c>
      <c r="J325" s="28" t="n">
        <f aca="false">H325+I325-$B$14</f>
        <v>3147.60124077304</v>
      </c>
      <c r="K325" s="45" t="n">
        <f aca="false">MAX(0,J325)/$B$15</f>
        <v>11.2696070203116</v>
      </c>
    </row>
    <row r="326" customFormat="false" ht="15" hidden="false" customHeight="false" outlineLevel="0" collapsed="false">
      <c r="A326" s="55" t="n">
        <v>286</v>
      </c>
      <c r="B326" s="22" t="n">
        <f aca="true">NORMINV(RAND(),$B$6,$C$6)</f>
        <v>0.334027444014995</v>
      </c>
      <c r="C326" s="22" t="n">
        <f aca="true">MAX(-0.05,NORMINV(RAND(),$B$7,$C$7))</f>
        <v>0.153094634419413</v>
      </c>
      <c r="D326" s="34" t="n">
        <f aca="true">MAX(0.08,NORMINV(RAND(),$B$8,$C$8))</f>
        <v>0.166510516121611</v>
      </c>
      <c r="E326" s="35" t="n">
        <f aca="true">MEDIAN(0,NORMINV(RAND(),$B$9,$C$9),1)</f>
        <v>0.154875679342518</v>
      </c>
      <c r="F326" s="28" t="n">
        <f aca="false">$B$12*(1+(B326+$B$17)/2)^9</f>
        <v>4912.36868670156</v>
      </c>
      <c r="G326" s="28" t="n">
        <f aca="false">F326*(C326-$B$18+$B$19*E326)</f>
        <v>645.779126097815</v>
      </c>
      <c r="H326" s="28" t="n">
        <f aca="false">MAX(0,$B$20*G326)/(1+D326)^9</f>
        <v>1130.27499036073</v>
      </c>
      <c r="I326" s="28" t="n">
        <f aca="false">$B$13*((1+$B$8)/(1+D326))^4.5</f>
        <v>552.995936003047</v>
      </c>
      <c r="J326" s="28" t="n">
        <f aca="false">H326+I326-$B$14</f>
        <v>1012.19900855556</v>
      </c>
      <c r="K326" s="45" t="n">
        <f aca="false">MAX(0,J326)/$B$15</f>
        <v>3.62405660062858</v>
      </c>
    </row>
    <row r="327" customFormat="false" ht="15" hidden="false" customHeight="false" outlineLevel="0" collapsed="false">
      <c r="A327" s="55" t="n">
        <v>287</v>
      </c>
      <c r="B327" s="22" t="n">
        <f aca="true">NORMINV(RAND(),$B$6,$C$6)</f>
        <v>0.155090446744507</v>
      </c>
      <c r="C327" s="22" t="n">
        <f aca="true">MAX(-0.05,NORMINV(RAND(),$B$7,$C$7))</f>
        <v>0.159874634607586</v>
      </c>
      <c r="D327" s="34" t="n">
        <f aca="true">MAX(0.08,NORMINV(RAND(),$B$8,$C$8))</f>
        <v>0.123406652079044</v>
      </c>
      <c r="E327" s="35" t="n">
        <f aca="true">MEDIAN(0,NORMINV(RAND(),$B$9,$C$9),1)</f>
        <v>0</v>
      </c>
      <c r="F327" s="28" t="n">
        <f aca="false">$B$12*(1+(B327+$B$17)/2)^9</f>
        <v>2426.56045123989</v>
      </c>
      <c r="G327" s="28" t="n">
        <f aca="false">F327*(C327-$B$18+$B$19*E327)</f>
        <v>230.219036164604</v>
      </c>
      <c r="H327" s="28" t="n">
        <f aca="false">MAX(0,$B$20*G327)/(1+D327)^9</f>
        <v>565.465809817382</v>
      </c>
      <c r="I327" s="28" t="n">
        <f aca="false">$B$13*((1+$B$8)/(1+D327))^4.5</f>
        <v>655.095237147858</v>
      </c>
      <c r="J327" s="28" t="n">
        <f aca="false">H327+I327-$B$14</f>
        <v>549.489129157021</v>
      </c>
      <c r="K327" s="45" t="n">
        <f aca="false">MAX(0,J327)/$B$15</f>
        <v>1.96737962462235</v>
      </c>
    </row>
    <row r="328" customFormat="false" ht="15" hidden="false" customHeight="false" outlineLevel="0" collapsed="false">
      <c r="A328" s="55" t="n">
        <v>288</v>
      </c>
      <c r="B328" s="22" t="n">
        <f aca="true">NORMINV(RAND(),$B$6,$C$6)</f>
        <v>0.187830295024474</v>
      </c>
      <c r="C328" s="22" t="n">
        <f aca="true">MAX(-0.05,NORMINV(RAND(),$B$7,$C$7))</f>
        <v>0.195243660238086</v>
      </c>
      <c r="D328" s="34" t="n">
        <f aca="true">MAX(0.08,NORMINV(RAND(),$B$8,$C$8))</f>
        <v>0.145627150038709</v>
      </c>
      <c r="E328" s="35" t="n">
        <f aca="true">MEDIAN(0,NORMINV(RAND(),$B$9,$C$9),1)</f>
        <v>0.384258205369655</v>
      </c>
      <c r="F328" s="28" t="n">
        <f aca="false">$B$12*(1+(B328+$B$17)/2)^9</f>
        <v>2772.41529745996</v>
      </c>
      <c r="G328" s="28" t="n">
        <f aca="false">F328*(C328-$B$18+$B$19*E328)</f>
        <v>659.380047528824</v>
      </c>
      <c r="H328" s="28" t="n">
        <f aca="false">MAX(0,$B$20*G328)/(1+D328)^9</f>
        <v>1357.82614021596</v>
      </c>
      <c r="I328" s="28" t="n">
        <f aca="false">$B$13*((1+$B$8)/(1+D328))^4.5</f>
        <v>599.827073522249</v>
      </c>
      <c r="J328" s="28" t="n">
        <f aca="false">H328+I328-$B$14</f>
        <v>1286.58129592999</v>
      </c>
      <c r="K328" s="45" t="n">
        <f aca="false">MAX(0,J328)/$B$15</f>
        <v>4.6064493230576</v>
      </c>
    </row>
    <row r="329" customFormat="false" ht="15" hidden="false" customHeight="false" outlineLevel="0" collapsed="false">
      <c r="A329" s="55" t="n">
        <v>289</v>
      </c>
      <c r="B329" s="22" t="n">
        <f aca="true">NORMINV(RAND(),$B$6,$C$6)</f>
        <v>0.236307336228449</v>
      </c>
      <c r="C329" s="22" t="n">
        <f aca="true">MAX(-0.05,NORMINV(RAND(),$B$7,$C$7))</f>
        <v>0.18911397605471</v>
      </c>
      <c r="D329" s="34" t="n">
        <f aca="true">MAX(0.08,NORMINV(RAND(),$B$8,$C$8))</f>
        <v>0.183054675251658</v>
      </c>
      <c r="E329" s="35" t="n">
        <f aca="true">MEDIAN(0,NORMINV(RAND(),$B$9,$C$9),1)</f>
        <v>0.148125796360294</v>
      </c>
      <c r="F329" s="28" t="n">
        <f aca="false">$B$12*(1+(B329+$B$17)/2)^9</f>
        <v>3365.09570800048</v>
      </c>
      <c r="G329" s="28" t="n">
        <f aca="false">F329*(C329-$B$18+$B$19*E329)</f>
        <v>557.223502965908</v>
      </c>
      <c r="H329" s="28" t="n">
        <f aca="false">MAX(0,$B$20*G329)/(1+D329)^9</f>
        <v>859.179924454038</v>
      </c>
      <c r="I329" s="28" t="n">
        <f aca="false">$B$13*((1+$B$8)/(1+D329))^4.5</f>
        <v>519.038089275917</v>
      </c>
      <c r="J329" s="28" t="n">
        <f aca="false">H329+I329-$B$14</f>
        <v>707.146095921737</v>
      </c>
      <c r="K329" s="45" t="n">
        <f aca="false">MAX(0,J329)/$B$15</f>
        <v>2.53185139964818</v>
      </c>
    </row>
    <row r="330" customFormat="false" ht="15" hidden="false" customHeight="false" outlineLevel="0" collapsed="false">
      <c r="A330" s="55" t="n">
        <v>290</v>
      </c>
      <c r="B330" s="22" t="n">
        <f aca="true">NORMINV(RAND(),$B$6,$C$6)</f>
        <v>0.235113019420157</v>
      </c>
      <c r="C330" s="22" t="n">
        <f aca="true">MAX(-0.05,NORMINV(RAND(),$B$7,$C$7))</f>
        <v>0.116192330268831</v>
      </c>
      <c r="D330" s="34" t="n">
        <f aca="true">MAX(0.08,NORMINV(RAND(),$B$8,$C$8))</f>
        <v>0.179517234291461</v>
      </c>
      <c r="E330" s="35" t="n">
        <f aca="true">MEDIAN(0,NORMINV(RAND(),$B$9,$C$9),1)</f>
        <v>0.445793045112338</v>
      </c>
      <c r="F330" s="28" t="n">
        <f aca="false">$B$12*(1+(B330+$B$17)/2)^9</f>
        <v>3349.23884456988</v>
      </c>
      <c r="G330" s="28" t="n">
        <f aca="false">F330*(C330-$B$18+$B$19*E330)</f>
        <v>589.514208412632</v>
      </c>
      <c r="H330" s="28" t="n">
        <f aca="false">MAX(0,$B$20*G330)/(1+D330)^9</f>
        <v>933.799633156128</v>
      </c>
      <c r="I330" s="28" t="n">
        <f aca="false">$B$13*((1+$B$8)/(1+D330))^4.5</f>
        <v>526.079759714078</v>
      </c>
      <c r="J330" s="28" t="n">
        <f aca="false">H330+I330-$B$14</f>
        <v>788.807475061987</v>
      </c>
      <c r="K330" s="45" t="n">
        <f aca="false">MAX(0,J330)/$B$15</f>
        <v>2.8242301291156</v>
      </c>
    </row>
    <row r="331" customFormat="false" ht="15" hidden="false" customHeight="false" outlineLevel="0" collapsed="false">
      <c r="A331" s="55" t="n">
        <v>291</v>
      </c>
      <c r="B331" s="22" t="n">
        <f aca="true">NORMINV(RAND(),$B$6,$C$6)</f>
        <v>0.112007205293192</v>
      </c>
      <c r="C331" s="22" t="n">
        <f aca="true">MAX(-0.05,NORMINV(RAND(),$B$7,$C$7))</f>
        <v>0.0605425711526934</v>
      </c>
      <c r="D331" s="34" t="n">
        <f aca="true">MAX(0.08,NORMINV(RAND(),$B$8,$C$8))</f>
        <v>0.12124107894654</v>
      </c>
      <c r="E331" s="35" t="n">
        <f aca="true">MEDIAN(0,NORMINV(RAND(),$B$9,$C$9),1)</f>
        <v>0.454730092855568</v>
      </c>
      <c r="F331" s="28" t="n">
        <f aca="false">$B$12*(1+(B331+$B$17)/2)^9</f>
        <v>2030.07848209404</v>
      </c>
      <c r="G331" s="28" t="n">
        <f aca="false">F331*(C331-$B$18+$B$19*E331)</f>
        <v>249.429647078297</v>
      </c>
      <c r="H331" s="28" t="n">
        <f aca="false">MAX(0,$B$20*G331)/(1+D331)^9</f>
        <v>623.383217922657</v>
      </c>
      <c r="I331" s="28" t="n">
        <f aca="false">$B$13*((1+$B$8)/(1+D331))^4.5</f>
        <v>660.808163034536</v>
      </c>
      <c r="J331" s="28" t="n">
        <f aca="false">H331+I331-$B$14</f>
        <v>613.119463148974</v>
      </c>
      <c r="K331" s="45" t="n">
        <f aca="false">MAX(0,J331)/$B$15</f>
        <v>2.19520036931247</v>
      </c>
    </row>
    <row r="332" customFormat="false" ht="15" hidden="false" customHeight="false" outlineLevel="0" collapsed="false">
      <c r="A332" s="55" t="n">
        <v>292</v>
      </c>
      <c r="B332" s="22" t="n">
        <f aca="true">NORMINV(RAND(),$B$6,$C$6)</f>
        <v>0.0986131162845537</v>
      </c>
      <c r="C332" s="22" t="n">
        <f aca="true">MAX(-0.05,NORMINV(RAND(),$B$7,$C$7))</f>
        <v>0.210537964331654</v>
      </c>
      <c r="D332" s="34" t="n">
        <f aca="true">MAX(0.08,NORMINV(RAND(),$B$8,$C$8))</f>
        <v>0.123859487550388</v>
      </c>
      <c r="E332" s="35" t="n">
        <f aca="true">MEDIAN(0,NORMINV(RAND(),$B$9,$C$9),1)</f>
        <v>0.266378364633365</v>
      </c>
      <c r="F332" s="28" t="n">
        <f aca="false">$B$12*(1+(B332+$B$17)/2)^9</f>
        <v>1919.15199859925</v>
      </c>
      <c r="G332" s="28" t="n">
        <f aca="false">F332*(C332-$B$18+$B$19*E332)</f>
        <v>422.451234962683</v>
      </c>
      <c r="H332" s="28" t="n">
        <f aca="false">MAX(0,$B$20*G332)/(1+D332)^9</f>
        <v>1033.87129640297</v>
      </c>
      <c r="I332" s="28" t="n">
        <f aca="false">$B$13*((1+$B$8)/(1+D332))^4.5</f>
        <v>653.908268792757</v>
      </c>
      <c r="J332" s="28" t="n">
        <f aca="false">H332+I332-$B$14</f>
        <v>1016.7076473875</v>
      </c>
      <c r="K332" s="45" t="n">
        <f aca="false">MAX(0,J332)/$B$15</f>
        <v>3.64019923876658</v>
      </c>
    </row>
    <row r="333" customFormat="false" ht="15" hidden="false" customHeight="false" outlineLevel="0" collapsed="false">
      <c r="A333" s="55" t="n">
        <v>293</v>
      </c>
      <c r="B333" s="22" t="n">
        <f aca="true">NORMINV(RAND(),$B$6,$C$6)</f>
        <v>0.119178217603896</v>
      </c>
      <c r="C333" s="22" t="n">
        <f aca="true">MAX(-0.05,NORMINV(RAND(),$B$7,$C$7))</f>
        <v>0.0712020604412782</v>
      </c>
      <c r="D333" s="34" t="n">
        <f aca="true">MAX(0.08,NORMINV(RAND(),$B$8,$C$8))</f>
        <v>0.140282666185092</v>
      </c>
      <c r="E333" s="35" t="n">
        <f aca="true">MEDIAN(0,NORMINV(RAND(),$B$9,$C$9),1)</f>
        <v>0</v>
      </c>
      <c r="F333" s="28" t="n">
        <f aca="false">$B$12*(1+(B333+$B$17)/2)^9</f>
        <v>2091.77876879336</v>
      </c>
      <c r="G333" s="28" t="n">
        <f aca="false">F333*(C333-$B$18+$B$19*E333)</f>
        <v>12.973338353839</v>
      </c>
      <c r="H333" s="28" t="n">
        <f aca="false">MAX(0,$B$20*G333)/(1+D333)^9</f>
        <v>27.863590721015</v>
      </c>
      <c r="I333" s="28" t="n">
        <f aca="false">$B$13*((1+$B$8)/(1+D333))^4.5</f>
        <v>612.582450460017</v>
      </c>
      <c r="J333" s="28" t="n">
        <f aca="false">H333+I333-$B$14</f>
        <v>-30.6258766271875</v>
      </c>
      <c r="K333" s="45" t="n">
        <f aca="false">MAX(0,J333)/$B$15</f>
        <v>0</v>
      </c>
    </row>
    <row r="334" customFormat="false" ht="15" hidden="false" customHeight="false" outlineLevel="0" collapsed="false">
      <c r="A334" s="55" t="n">
        <v>294</v>
      </c>
      <c r="B334" s="22" t="n">
        <f aca="true">NORMINV(RAND(),$B$6,$C$6)</f>
        <v>0.36895977043051</v>
      </c>
      <c r="C334" s="22" t="n">
        <f aca="true">MAX(-0.05,NORMINV(RAND(),$B$7,$C$7))</f>
        <v>0.144082110640619</v>
      </c>
      <c r="D334" s="34" t="n">
        <f aca="true">MAX(0.08,NORMINV(RAND(),$B$8,$C$8))</f>
        <v>0.151617460073982</v>
      </c>
      <c r="E334" s="35" t="n">
        <f aca="true">MEDIAN(0,NORMINV(RAND(),$B$9,$C$9),1)</f>
        <v>0.428674263083806</v>
      </c>
      <c r="F334" s="28" t="n">
        <f aca="false">$B$12*(1+(B334+$B$17)/2)^9</f>
        <v>5602.54384873056</v>
      </c>
      <c r="G334" s="28" t="n">
        <f aca="false">F334*(C334-$B$18+$B$19*E334)</f>
        <v>1115.52757212403</v>
      </c>
      <c r="H334" s="28" t="n">
        <f aca="false">MAX(0,$B$20*G334)/(1+D334)^9</f>
        <v>2191.81645148254</v>
      </c>
      <c r="I334" s="28" t="n">
        <f aca="false">$B$13*((1+$B$8)/(1+D334))^4.5</f>
        <v>585.91392373293</v>
      </c>
      <c r="J334" s="28" t="n">
        <f aca="false">H334+I334-$B$14</f>
        <v>2106.65845740725</v>
      </c>
      <c r="K334" s="45" t="n">
        <f aca="false">MAX(0,J334)/$B$15</f>
        <v>7.54263679701844</v>
      </c>
    </row>
    <row r="335" customFormat="false" ht="15" hidden="false" customHeight="false" outlineLevel="0" collapsed="false">
      <c r="A335" s="55" t="n">
        <v>295</v>
      </c>
      <c r="B335" s="22" t="n">
        <f aca="true">NORMINV(RAND(),$B$6,$C$6)</f>
        <v>0.537447769549622</v>
      </c>
      <c r="C335" s="22" t="n">
        <f aca="true">MAX(-0.05,NORMINV(RAND(),$B$7,$C$7))</f>
        <v>0.0443229296167173</v>
      </c>
      <c r="D335" s="34" t="n">
        <f aca="true">MAX(0.08,NORMINV(RAND(),$B$8,$C$8))</f>
        <v>0.142386515715418</v>
      </c>
      <c r="E335" s="35" t="n">
        <f aca="true">MEDIAN(0,NORMINV(RAND(),$B$9,$C$9),1)</f>
        <v>0.596776153343891</v>
      </c>
      <c r="F335" s="28" t="n">
        <f aca="false">$B$12*(1+(B335+$B$17)/2)^9</f>
        <v>10295.0437849002</v>
      </c>
      <c r="G335" s="28" t="n">
        <f aca="false">F335*(C335-$B$18+$B$19*E335)</f>
        <v>1507.40291102934</v>
      </c>
      <c r="H335" s="28" t="n">
        <f aca="false">MAX(0,$B$20*G335)/(1+D335)^9</f>
        <v>3184.2691965765</v>
      </c>
      <c r="I335" s="28" t="n">
        <f aca="false">$B$13*((1+$B$8)/(1+D335))^4.5</f>
        <v>607.522119750849</v>
      </c>
      <c r="J335" s="28" t="n">
        <f aca="false">H335+I335-$B$14</f>
        <v>3120.71939851913</v>
      </c>
      <c r="K335" s="45" t="n">
        <f aca="false">MAX(0,J335)/$B$15</f>
        <v>11.1733598228397</v>
      </c>
    </row>
    <row r="336" customFormat="false" ht="15" hidden="false" customHeight="false" outlineLevel="0" collapsed="false">
      <c r="A336" s="55" t="n">
        <v>296</v>
      </c>
      <c r="B336" s="22" t="n">
        <f aca="true">NORMINV(RAND(),$B$6,$C$6)</f>
        <v>0.691725244846622</v>
      </c>
      <c r="C336" s="22" t="n">
        <f aca="true">MAX(-0.05,NORMINV(RAND(),$B$7,$C$7))</f>
        <v>0.135405253653234</v>
      </c>
      <c r="D336" s="34" t="n">
        <f aca="true">MAX(0.08,NORMINV(RAND(),$B$8,$C$8))</f>
        <v>0.179555349945563</v>
      </c>
      <c r="E336" s="35" t="n">
        <f aca="true">MEDIAN(0,NORMINV(RAND(),$B$9,$C$9),1)</f>
        <v>0.055018347550574</v>
      </c>
      <c r="F336" s="28" t="n">
        <f aca="false">$B$12*(1+(B336+$B$17)/2)^9</f>
        <v>17372.1065113828</v>
      </c>
      <c r="G336" s="28" t="n">
        <f aca="false">F336*(C336-$B$18+$B$19*E336)</f>
        <v>1490.70725166898</v>
      </c>
      <c r="H336" s="28" t="n">
        <f aca="false">MAX(0,$B$20*G336)/(1+D336)^9</f>
        <v>2360.61673551199</v>
      </c>
      <c r="I336" s="28" t="n">
        <f aca="false">$B$13*((1+$B$8)/(1+D336))^4.5</f>
        <v>526.003266202152</v>
      </c>
      <c r="J336" s="28" t="n">
        <f aca="false">H336+I336-$B$14</f>
        <v>2215.54808390592</v>
      </c>
      <c r="K336" s="45" t="n">
        <f aca="false">MAX(0,J336)/$B$15</f>
        <v>7.93250298569967</v>
      </c>
    </row>
    <row r="337" customFormat="false" ht="15" hidden="false" customHeight="false" outlineLevel="0" collapsed="false">
      <c r="A337" s="55" t="n">
        <v>297</v>
      </c>
      <c r="B337" s="22" t="n">
        <f aca="true">NORMINV(RAND(),$B$6,$C$6)</f>
        <v>0.226844538113862</v>
      </c>
      <c r="C337" s="22" t="n">
        <f aca="true">MAX(-0.05,NORMINV(RAND(),$B$7,$C$7))</f>
        <v>0.124141814059103</v>
      </c>
      <c r="D337" s="34" t="n">
        <f aca="true">MAX(0.08,NORMINV(RAND(),$B$8,$C$8))</f>
        <v>0.164360041457568</v>
      </c>
      <c r="E337" s="35" t="n">
        <f aca="true">MEDIAN(0,NORMINV(RAND(),$B$9,$C$9),1)</f>
        <v>0.419252880801652</v>
      </c>
      <c r="F337" s="28" t="n">
        <f aca="false">$B$12*(1+(B337+$B$17)/2)^9</f>
        <v>3241.26821409669</v>
      </c>
      <c r="G337" s="28" t="n">
        <f aca="false">F337*(C337-$B$18+$B$19*E337)</f>
        <v>572.189572172828</v>
      </c>
      <c r="H337" s="28" t="n">
        <f aca="false">MAX(0,$B$20*G337)/(1+D337)^9</f>
        <v>1018.24513261879</v>
      </c>
      <c r="I337" s="28" t="n">
        <f aca="false">$B$13*((1+$B$8)/(1+D337))^4.5</f>
        <v>557.606829238743</v>
      </c>
      <c r="J337" s="28" t="n">
        <f aca="false">H337+I337-$B$14</f>
        <v>904.780044049314</v>
      </c>
      <c r="K337" s="45" t="n">
        <f aca="false">MAX(0,J337)/$B$15</f>
        <v>3.23945594002619</v>
      </c>
    </row>
    <row r="338" customFormat="false" ht="15" hidden="false" customHeight="false" outlineLevel="0" collapsed="false">
      <c r="A338" s="55" t="n">
        <v>298</v>
      </c>
      <c r="B338" s="22" t="n">
        <f aca="true">NORMINV(RAND(),$B$6,$C$6)</f>
        <v>0.273184464877106</v>
      </c>
      <c r="C338" s="22" t="n">
        <f aca="true">MAX(-0.05,NORMINV(RAND(),$B$7,$C$7))</f>
        <v>0.0817258472778631</v>
      </c>
      <c r="D338" s="34" t="n">
        <f aca="true">MAX(0.08,NORMINV(RAND(),$B$8,$C$8))</f>
        <v>0.135293454516425</v>
      </c>
      <c r="E338" s="35" t="n">
        <f aca="true">MEDIAN(0,NORMINV(RAND(),$B$9,$C$9),1)</f>
        <v>0.342418060510237</v>
      </c>
      <c r="F338" s="28" t="n">
        <f aca="false">$B$12*(1+(B338+$B$17)/2)^9</f>
        <v>3888.76537106112</v>
      </c>
      <c r="G338" s="28" t="n">
        <f aca="false">F338*(C338-$B$18+$B$19*E338)</f>
        <v>437.886274614485</v>
      </c>
      <c r="H338" s="28" t="n">
        <f aca="false">MAX(0,$B$20*G338)/(1+D338)^9</f>
        <v>978.331792828289</v>
      </c>
      <c r="I338" s="28" t="n">
        <f aca="false">$B$13*((1+$B$8)/(1+D338))^4.5</f>
        <v>624.790330075876</v>
      </c>
      <c r="J338" s="28" t="n">
        <f aca="false">H338+I338-$B$14</f>
        <v>932.050205095946</v>
      </c>
      <c r="K338" s="45" t="n">
        <f aca="false">MAX(0,J338)/$B$15</f>
        <v>3.3370934661509</v>
      </c>
    </row>
    <row r="339" customFormat="false" ht="15" hidden="false" customHeight="false" outlineLevel="0" collapsed="false">
      <c r="A339" s="55" t="n">
        <v>299</v>
      </c>
      <c r="B339" s="22" t="n">
        <f aca="true">NORMINV(RAND(),$B$6,$C$6)</f>
        <v>0.39831812973618</v>
      </c>
      <c r="C339" s="22" t="n">
        <f aca="true">MAX(-0.05,NORMINV(RAND(),$B$7,$C$7))</f>
        <v>0.115469139379676</v>
      </c>
      <c r="D339" s="34" t="n">
        <f aca="true">MAX(0.08,NORMINV(RAND(),$B$8,$C$8))</f>
        <v>0.109396239074084</v>
      </c>
      <c r="E339" s="35" t="n">
        <f aca="true">MEDIAN(0,NORMINV(RAND(),$B$9,$C$9),1)</f>
        <v>0.114421857190572</v>
      </c>
      <c r="F339" s="28" t="n">
        <f aca="false">$B$12*(1+(B339+$B$17)/2)^9</f>
        <v>6247.87954896825</v>
      </c>
      <c r="G339" s="28" t="n">
        <f aca="false">F339*(C339-$B$18+$B$19*E339)</f>
        <v>515.495418603169</v>
      </c>
      <c r="H339" s="28" t="n">
        <f aca="false">MAX(0,$B$20*G339)/(1+D339)^9</f>
        <v>1417.56390569997</v>
      </c>
      <c r="I339" s="28" t="n">
        <f aca="false">$B$13*((1+$B$8)/(1+D339))^4.5</f>
        <v>693.155702469678</v>
      </c>
      <c r="J339" s="28" t="n">
        <f aca="false">H339+I339-$B$14</f>
        <v>1439.64769036143</v>
      </c>
      <c r="K339" s="45" t="n">
        <f aca="false">MAX(0,J339)/$B$15</f>
        <v>5.15448510691524</v>
      </c>
    </row>
    <row r="340" customFormat="false" ht="15" hidden="false" customHeight="false" outlineLevel="0" collapsed="false">
      <c r="A340" s="55" t="n">
        <v>300</v>
      </c>
      <c r="B340" s="22" t="n">
        <f aca="true">NORMINV(RAND(),$B$6,$C$6)</f>
        <v>0.430566705446037</v>
      </c>
      <c r="C340" s="22" t="n">
        <f aca="true">MAX(-0.05,NORMINV(RAND(),$B$7,$C$7))</f>
        <v>0.100130408983797</v>
      </c>
      <c r="D340" s="34" t="n">
        <f aca="true">MAX(0.08,NORMINV(RAND(),$B$8,$C$8))</f>
        <v>0.150142810473296</v>
      </c>
      <c r="E340" s="35" t="n">
        <f aca="true">MEDIAN(0,NORMINV(RAND(),$B$9,$C$9),1)</f>
        <v>0</v>
      </c>
      <c r="F340" s="28" t="n">
        <f aca="false">$B$12*(1+(B340+$B$17)/2)^9</f>
        <v>7032.1576331097</v>
      </c>
      <c r="G340" s="28" t="n">
        <f aca="false">F340*(C340-$B$18+$B$19*E340)</f>
        <v>247.042573689675</v>
      </c>
      <c r="H340" s="28" t="n">
        <f aca="false">MAX(0,$B$20*G340)/(1+D340)^9</f>
        <v>491.025359323983</v>
      </c>
      <c r="I340" s="28" t="n">
        <f aca="false">$B$13*((1+$B$8)/(1+D340))^4.5</f>
        <v>589.302036047091</v>
      </c>
      <c r="J340" s="28" t="n">
        <f aca="false">H340+I340-$B$14</f>
        <v>409.255477562855</v>
      </c>
      <c r="K340" s="45" t="n">
        <f aca="false">MAX(0,J340)/$B$15</f>
        <v>1.46528993040764</v>
      </c>
    </row>
    <row r="341" customFormat="false" ht="15" hidden="false" customHeight="false" outlineLevel="0" collapsed="false">
      <c r="A341" s="55" t="n">
        <v>301</v>
      </c>
      <c r="B341" s="22" t="n">
        <f aca="true">NORMINV(RAND(),$B$6,$C$6)</f>
        <v>0.095710101159111</v>
      </c>
      <c r="C341" s="22" t="n">
        <f aca="true">MAX(-0.05,NORMINV(RAND(),$B$7,$C$7))</f>
        <v>0.0996363885635127</v>
      </c>
      <c r="D341" s="34" t="n">
        <f aca="true">MAX(0.08,NORMINV(RAND(),$B$8,$C$8))</f>
        <v>0.148790330614089</v>
      </c>
      <c r="E341" s="35" t="n">
        <f aca="true">MEDIAN(0,NORMINV(RAND(),$B$9,$C$9),1)</f>
        <v>0.408689382920101</v>
      </c>
      <c r="F341" s="28" t="n">
        <f aca="false">$B$12*(1+(B341+$B$17)/2)^9</f>
        <v>1895.83289089269</v>
      </c>
      <c r="G341" s="28" t="n">
        <f aca="false">F341*(C341-$B$18+$B$19*E341)</f>
        <v>282.610701464045</v>
      </c>
      <c r="H341" s="28" t="n">
        <f aca="false">MAX(0,$B$20*G341)/(1+D341)^9</f>
        <v>567.701053260253</v>
      </c>
      <c r="I341" s="28" t="n">
        <f aca="false">$B$13*((1+$B$8)/(1+D341))^4.5</f>
        <v>592.430529268455</v>
      </c>
      <c r="J341" s="28" t="n">
        <f aca="false">H341+I341-$B$14</f>
        <v>489.059664720489</v>
      </c>
      <c r="K341" s="45" t="n">
        <f aca="false">MAX(0,J341)/$B$15</f>
        <v>1.75101920773537</v>
      </c>
    </row>
    <row r="342" customFormat="false" ht="15" hidden="false" customHeight="false" outlineLevel="0" collapsed="false">
      <c r="A342" s="55" t="n">
        <v>302</v>
      </c>
      <c r="B342" s="22" t="n">
        <f aca="true">NORMINV(RAND(),$B$6,$C$6)</f>
        <v>0.471877687591476</v>
      </c>
      <c r="C342" s="22" t="n">
        <f aca="true">MAX(-0.05,NORMINV(RAND(),$B$7,$C$7))</f>
        <v>0.147173176386544</v>
      </c>
      <c r="D342" s="34" t="n">
        <f aca="true">MAX(0.08,NORMINV(RAND(),$B$8,$C$8))</f>
        <v>0.152963985242435</v>
      </c>
      <c r="E342" s="35" t="n">
        <f aca="true">MEDIAN(0,NORMINV(RAND(),$B$9,$C$9),1)</f>
        <v>0.0317936189866017</v>
      </c>
      <c r="F342" s="28" t="n">
        <f aca="false">$B$12*(1+(B342+$B$17)/2)^9</f>
        <v>8164.05143138548</v>
      </c>
      <c r="G342" s="28" t="n">
        <f aca="false">F342*(C342-$B$18+$B$19*E342)</f>
        <v>743.544165667074</v>
      </c>
      <c r="H342" s="28" t="n">
        <f aca="false">MAX(0,$B$20*G342)/(1+D342)^9</f>
        <v>1445.64991795438</v>
      </c>
      <c r="I342" s="28" t="n">
        <f aca="false">$B$13*((1+$B$8)/(1+D342))^4.5</f>
        <v>582.840960135971</v>
      </c>
      <c r="J342" s="28" t="n">
        <f aca="false">H342+I342-$B$14</f>
        <v>1357.41896028214</v>
      </c>
      <c r="K342" s="45" t="n">
        <f aca="false">MAX(0,J342)/$B$15</f>
        <v>4.8600750457649</v>
      </c>
    </row>
    <row r="343" customFormat="false" ht="15" hidden="false" customHeight="false" outlineLevel="0" collapsed="false">
      <c r="A343" s="55" t="n">
        <v>303</v>
      </c>
      <c r="B343" s="22" t="n">
        <f aca="true">NORMINV(RAND(),$B$6,$C$6)</f>
        <v>0.580816617575139</v>
      </c>
      <c r="C343" s="22" t="n">
        <f aca="true">MAX(-0.05,NORMINV(RAND(),$B$7,$C$7))</f>
        <v>0.110326282945562</v>
      </c>
      <c r="D343" s="34" t="n">
        <f aca="true">MAX(0.08,NORMINV(RAND(),$B$8,$C$8))</f>
        <v>0.154169478558851</v>
      </c>
      <c r="E343" s="35" t="n">
        <f aca="true">MEDIAN(0,NORMINV(RAND(),$B$9,$C$9),1)</f>
        <v>0</v>
      </c>
      <c r="F343" s="28" t="n">
        <f aca="false">$B$12*(1+(B343+$B$17)/2)^9</f>
        <v>11963.2462453189</v>
      </c>
      <c r="G343" s="28" t="n">
        <f aca="false">F343*(C343-$B$18+$B$19*E343)</f>
        <v>542.249484262754</v>
      </c>
      <c r="H343" s="28" t="n">
        <f aca="false">MAX(0,$B$20*G343)/(1+D343)^9</f>
        <v>1044.40975325967</v>
      </c>
      <c r="I343" s="28" t="n">
        <f aca="false">$B$13*((1+$B$8)/(1+D343))^4.5</f>
        <v>580.106548119629</v>
      </c>
      <c r="J343" s="28" t="n">
        <f aca="false">H343+I343-$B$14</f>
        <v>953.444383571084</v>
      </c>
      <c r="K343" s="45" t="n">
        <f aca="false">MAX(0,J343)/$B$15</f>
        <v>3.41369274461541</v>
      </c>
    </row>
    <row r="344" customFormat="false" ht="15" hidden="false" customHeight="false" outlineLevel="0" collapsed="false">
      <c r="A344" s="55" t="n">
        <v>304</v>
      </c>
      <c r="B344" s="22" t="n">
        <f aca="true">NORMINV(RAND(),$B$6,$C$6)</f>
        <v>0.14877925234165</v>
      </c>
      <c r="C344" s="22" t="n">
        <f aca="true">MAX(-0.05,NORMINV(RAND(),$B$7,$C$7))</f>
        <v>0.167948944723577</v>
      </c>
      <c r="D344" s="34" t="n">
        <f aca="true">MAX(0.08,NORMINV(RAND(),$B$8,$C$8))</f>
        <v>0.147145319254862</v>
      </c>
      <c r="E344" s="35" t="n">
        <f aca="true">MEDIAN(0,NORMINV(RAND(),$B$9,$C$9),1)</f>
        <v>0.319466560604653</v>
      </c>
      <c r="F344" s="28" t="n">
        <f aca="false">$B$12*(1+(B344+$B$17)/2)^9</f>
        <v>2364.48742217845</v>
      </c>
      <c r="G344" s="28" t="n">
        <f aca="false">F344*(C344-$B$18+$B$19*E344)</f>
        <v>454.92639094521</v>
      </c>
      <c r="H344" s="28" t="n">
        <f aca="false">MAX(0,$B$20*G344)/(1+D344)^9</f>
        <v>925.706333567843</v>
      </c>
      <c r="I344" s="28" t="n">
        <f aca="false">$B$13*((1+$B$8)/(1+D344))^4.5</f>
        <v>596.263100259583</v>
      </c>
      <c r="J344" s="28" t="n">
        <f aca="false">H344+I344-$B$14</f>
        <v>850.897516019207</v>
      </c>
      <c r="K344" s="45" t="n">
        <f aca="false">MAX(0,J344)/$B$15</f>
        <v>3.04653604016902</v>
      </c>
    </row>
    <row r="345" customFormat="false" ht="15" hidden="false" customHeight="false" outlineLevel="0" collapsed="false">
      <c r="A345" s="55" t="n">
        <v>305</v>
      </c>
      <c r="B345" s="22" t="n">
        <f aca="true">NORMINV(RAND(),$B$6,$C$6)</f>
        <v>0.430247650253178</v>
      </c>
      <c r="C345" s="22" t="n">
        <f aca="true">MAX(-0.05,NORMINV(RAND(),$B$7,$C$7))</f>
        <v>0.108107920477127</v>
      </c>
      <c r="D345" s="34" t="n">
        <f aca="true">MAX(0.08,NORMINV(RAND(),$B$8,$C$8))</f>
        <v>0.131436281422877</v>
      </c>
      <c r="E345" s="35" t="n">
        <f aca="true">MEDIAN(0,NORMINV(RAND(),$B$9,$C$9),1)</f>
        <v>0.239615461244553</v>
      </c>
      <c r="F345" s="28" t="n">
        <f aca="false">$B$12*(1+(B345+$B$17)/2)^9</f>
        <v>7023.98849937134</v>
      </c>
      <c r="G345" s="28" t="n">
        <f aca="false">F345*(C345-$B$18+$B$19*E345)</f>
        <v>774.045285998078</v>
      </c>
      <c r="H345" s="28" t="n">
        <f aca="false">MAX(0,$B$20*G345)/(1+D345)^9</f>
        <v>1783.17308756531</v>
      </c>
      <c r="I345" s="28" t="n">
        <f aca="false">$B$13*((1+$B$8)/(1+D345))^4.5</f>
        <v>634.432536680704</v>
      </c>
      <c r="J345" s="28" t="n">
        <f aca="false">H345+I345-$B$14</f>
        <v>1746.53370643779</v>
      </c>
      <c r="K345" s="45" t="n">
        <f aca="false">MAX(0,J345)/$B$15</f>
        <v>6.25325351391978</v>
      </c>
    </row>
    <row r="346" customFormat="false" ht="15" hidden="false" customHeight="false" outlineLevel="0" collapsed="false">
      <c r="A346" s="55" t="n">
        <v>306</v>
      </c>
      <c r="B346" s="22" t="n">
        <f aca="true">NORMINV(RAND(),$B$6,$C$6)</f>
        <v>0.325694306799957</v>
      </c>
      <c r="C346" s="22" t="n">
        <f aca="true">MAX(-0.05,NORMINV(RAND(),$B$7,$C$7))</f>
        <v>0.155122776284983</v>
      </c>
      <c r="D346" s="34" t="n">
        <f aca="true">MAX(0.08,NORMINV(RAND(),$B$8,$C$8))</f>
        <v>0.142254445412734</v>
      </c>
      <c r="E346" s="35" t="n">
        <f aca="true">MEDIAN(0,NORMINV(RAND(),$B$9,$C$9),1)</f>
        <v>0.0230084730651149</v>
      </c>
      <c r="F346" s="28" t="n">
        <f aca="false">$B$12*(1+(B346+$B$17)/2)^9</f>
        <v>4759.34251301927</v>
      </c>
      <c r="G346" s="28" t="n">
        <f aca="false">F346*(C346-$B$18+$B$19*E346)</f>
        <v>459.586617689616</v>
      </c>
      <c r="H346" s="28" t="n">
        <f aca="false">MAX(0,$B$20*G346)/(1+D346)^9</f>
        <v>971.85103640805</v>
      </c>
      <c r="I346" s="28" t="n">
        <f aca="false">$B$13*((1+$B$8)/(1+D346))^4.5</f>
        <v>607.838278205122</v>
      </c>
      <c r="J346" s="28" t="n">
        <f aca="false">H346+I346-$B$14</f>
        <v>908.617396804953</v>
      </c>
      <c r="K346" s="45" t="n">
        <f aca="false">MAX(0,J346)/$B$15</f>
        <v>3.25319511924437</v>
      </c>
    </row>
    <row r="347" customFormat="false" ht="15" hidden="false" customHeight="false" outlineLevel="0" collapsed="false">
      <c r="A347" s="55" t="n">
        <v>307</v>
      </c>
      <c r="B347" s="22" t="n">
        <f aca="true">NORMINV(RAND(),$B$6,$C$6)</f>
        <v>0.493417769156978</v>
      </c>
      <c r="C347" s="22" t="n">
        <f aca="true">MAX(-0.05,NORMINV(RAND(),$B$7,$C$7))</f>
        <v>0.148418589660616</v>
      </c>
      <c r="D347" s="34" t="n">
        <f aca="true">MAX(0.08,NORMINV(RAND(),$B$8,$C$8))</f>
        <v>0.152277863216655</v>
      </c>
      <c r="E347" s="35" t="n">
        <f aca="true">MEDIAN(0,NORMINV(RAND(),$B$9,$C$9),1)</f>
        <v>0.421300949592842</v>
      </c>
      <c r="F347" s="28" t="n">
        <f aca="false">$B$12*(1+(B347+$B$17)/2)^9</f>
        <v>8816.18406864261</v>
      </c>
      <c r="G347" s="28" t="n">
        <f aca="false">F347*(C347-$B$18+$B$19*E347)</f>
        <v>1775.42832276779</v>
      </c>
      <c r="H347" s="28" t="n">
        <f aca="false">MAX(0,$B$20*G347)/(1+D347)^9</f>
        <v>3470.45339354917</v>
      </c>
      <c r="I347" s="28" t="n">
        <f aca="false">$B$13*((1+$B$8)/(1+D347))^4.5</f>
        <v>584.40432108659</v>
      </c>
      <c r="J347" s="28" t="n">
        <f aca="false">H347+I347-$B$14</f>
        <v>3383.78579682754</v>
      </c>
      <c r="K347" s="45" t="n">
        <f aca="false">MAX(0,J347)/$B$15</f>
        <v>12.1152373678036</v>
      </c>
    </row>
    <row r="348" customFormat="false" ht="15" hidden="false" customHeight="false" outlineLevel="0" collapsed="false">
      <c r="A348" s="55" t="n">
        <v>308</v>
      </c>
      <c r="B348" s="22" t="n">
        <f aca="true">NORMINV(RAND(),$B$6,$C$6)</f>
        <v>0.275638654697613</v>
      </c>
      <c r="C348" s="22" t="n">
        <f aca="true">MAX(-0.05,NORMINV(RAND(),$B$7,$C$7))</f>
        <v>0.0847015629373433</v>
      </c>
      <c r="D348" s="34" t="n">
        <f aca="true">MAX(0.08,NORMINV(RAND(),$B$8,$C$8))</f>
        <v>0.160450062939782</v>
      </c>
      <c r="E348" s="35" t="n">
        <f aca="true">MEDIAN(0,NORMINV(RAND(),$B$9,$C$9),1)</f>
        <v>0.0655554561068575</v>
      </c>
      <c r="F348" s="28" t="n">
        <f aca="false">$B$12*(1+(B348+$B$17)/2)^9</f>
        <v>3926.05566922759</v>
      </c>
      <c r="G348" s="28" t="n">
        <f aca="false">F348*(C348-$B$18+$B$19*E348)</f>
        <v>149.414256489997</v>
      </c>
      <c r="H348" s="28" t="n">
        <f aca="false">MAX(0,$B$20*G348)/(1+D348)^9</f>
        <v>274.063986278444</v>
      </c>
      <c r="I348" s="28" t="n">
        <f aca="false">$B$13*((1+$B$8)/(1+D348))^4.5</f>
        <v>566.111331831189</v>
      </c>
      <c r="J348" s="28" t="n">
        <f aca="false">H348+I348-$B$14</f>
        <v>169.103400301414</v>
      </c>
      <c r="K348" s="45" t="n">
        <f aca="false">MAX(0,J348)/$B$15</f>
        <v>0.605454351240293</v>
      </c>
    </row>
    <row r="349" customFormat="false" ht="15" hidden="false" customHeight="false" outlineLevel="0" collapsed="false">
      <c r="A349" s="55" t="n">
        <v>309</v>
      </c>
      <c r="B349" s="22" t="n">
        <f aca="true">NORMINV(RAND(),$B$6,$C$6)</f>
        <v>0.383174252424071</v>
      </c>
      <c r="C349" s="22" t="n">
        <f aca="true">MAX(-0.05,NORMINV(RAND(),$B$7,$C$7))</f>
        <v>0.178785494789215</v>
      </c>
      <c r="D349" s="34" t="n">
        <f aca="true">MAX(0.08,NORMINV(RAND(),$B$8,$C$8))</f>
        <v>0.122141065507016</v>
      </c>
      <c r="E349" s="35" t="n">
        <f aca="true">MEDIAN(0,NORMINV(RAND(),$B$9,$C$9),1)</f>
        <v>0.25698872809667</v>
      </c>
      <c r="F349" s="28" t="n">
        <f aca="false">$B$12*(1+(B349+$B$17)/2)^9</f>
        <v>5907.1928541675</v>
      </c>
      <c r="G349" s="28" t="n">
        <f aca="false">F349*(C349-$B$18+$B$19*E349)</f>
        <v>1097.21581562675</v>
      </c>
      <c r="H349" s="28" t="n">
        <f aca="false">MAX(0,$B$20*G349)/(1+D349)^9</f>
        <v>2722.46932702781</v>
      </c>
      <c r="I349" s="28" t="n">
        <f aca="false">$B$13*((1+$B$8)/(1+D349))^4.5</f>
        <v>658.426573525031</v>
      </c>
      <c r="J349" s="28" t="n">
        <f aca="false">H349+I349-$B$14</f>
        <v>2709.82398274463</v>
      </c>
      <c r="K349" s="45" t="n">
        <f aca="false">MAX(0,J349)/$B$15</f>
        <v>9.70219829124463</v>
      </c>
    </row>
    <row r="350" customFormat="false" ht="15" hidden="false" customHeight="false" outlineLevel="0" collapsed="false">
      <c r="A350" s="55" t="n">
        <v>310</v>
      </c>
      <c r="B350" s="22" t="n">
        <f aca="true">NORMINV(RAND(),$B$6,$C$6)</f>
        <v>0.381973390732898</v>
      </c>
      <c r="C350" s="22" t="n">
        <f aca="true">MAX(-0.05,NORMINV(RAND(),$B$7,$C$7))</f>
        <v>0.0463092607560702</v>
      </c>
      <c r="D350" s="34" t="n">
        <f aca="true">MAX(0.08,NORMINV(RAND(),$B$8,$C$8))</f>
        <v>0.176432218217278</v>
      </c>
      <c r="E350" s="35" t="n">
        <f aca="true">MEDIAN(0,NORMINV(RAND(),$B$9,$C$9),1)</f>
        <v>0</v>
      </c>
      <c r="F350" s="28" t="n">
        <f aca="false">$B$12*(1+(B350+$B$17)/2)^9</f>
        <v>5880.89797094815</v>
      </c>
      <c r="G350" s="28" t="n">
        <f aca="false">F350*(C350-$B$18+$B$19*E350)</f>
        <v>-109.918330495148</v>
      </c>
      <c r="H350" s="28" t="n">
        <f aca="false">MAX(0,$B$20*G350)/(1+D350)^9</f>
        <v>0</v>
      </c>
      <c r="I350" s="28" t="n">
        <f aca="false">$B$13*((1+$B$8)/(1+D350))^4.5</f>
        <v>532.316353168314</v>
      </c>
      <c r="J350" s="28" t="n">
        <f aca="false">H350+I350-$B$14</f>
        <v>-138.755564639906</v>
      </c>
      <c r="K350" s="45" t="n">
        <f aca="false">MAX(0,J350)/$B$15</f>
        <v>0</v>
      </c>
    </row>
    <row r="351" customFormat="false" ht="15" hidden="false" customHeight="false" outlineLevel="0" collapsed="false">
      <c r="A351" s="55" t="n">
        <v>311</v>
      </c>
      <c r="B351" s="22" t="n">
        <f aca="true">NORMINV(RAND(),$B$6,$C$6)</f>
        <v>0.359636014346995</v>
      </c>
      <c r="C351" s="22" t="n">
        <f aca="true">MAX(-0.05,NORMINV(RAND(),$B$7,$C$7))</f>
        <v>0.147982462188915</v>
      </c>
      <c r="D351" s="34" t="n">
        <f aca="true">MAX(0.08,NORMINV(RAND(),$B$8,$C$8))</f>
        <v>0.160222793287499</v>
      </c>
      <c r="E351" s="35" t="n">
        <f aca="true">MEDIAN(0,NORMINV(RAND(),$B$9,$C$9),1)</f>
        <v>0.227926678200669</v>
      </c>
      <c r="F351" s="28" t="n">
        <f aca="false">$B$12*(1+(B351+$B$17)/2)^9</f>
        <v>5410.37889040715</v>
      </c>
      <c r="G351" s="28" t="n">
        <f aca="false">F351*(C351-$B$18+$B$19*E351)</f>
        <v>794.254074424224</v>
      </c>
      <c r="H351" s="28" t="n">
        <f aca="false">MAX(0,$B$20*G351)/(1+D351)^9</f>
        <v>1459.43565658874</v>
      </c>
      <c r="I351" s="28" t="n">
        <f aca="false">$B$13*((1+$B$8)/(1+D351))^4.5</f>
        <v>566.610518858231</v>
      </c>
      <c r="J351" s="28" t="n">
        <f aca="false">H351+I351-$B$14</f>
        <v>1354.97425763875</v>
      </c>
      <c r="K351" s="45" t="n">
        <f aca="false">MAX(0,J351)/$B$15</f>
        <v>4.85132208248747</v>
      </c>
    </row>
    <row r="352" customFormat="false" ht="15" hidden="false" customHeight="false" outlineLevel="0" collapsed="false">
      <c r="A352" s="55" t="n">
        <v>312</v>
      </c>
      <c r="B352" s="22" t="n">
        <f aca="true">NORMINV(RAND(),$B$6,$C$6)</f>
        <v>0.339671373631698</v>
      </c>
      <c r="C352" s="22" t="n">
        <f aca="true">MAX(-0.05,NORMINV(RAND(),$B$7,$C$7))</f>
        <v>0.111896568515867</v>
      </c>
      <c r="D352" s="34" t="n">
        <f aca="true">MAX(0.08,NORMINV(RAND(),$B$8,$C$8))</f>
        <v>0.148800365361561</v>
      </c>
      <c r="E352" s="35" t="n">
        <f aca="true">MEDIAN(0,NORMINV(RAND(),$B$9,$C$9),1)</f>
        <v>0.122481091808741</v>
      </c>
      <c r="F352" s="28" t="n">
        <f aca="false">$B$12*(1+(B352+$B$17)/2)^9</f>
        <v>5018.48019428489</v>
      </c>
      <c r="G352" s="28" t="n">
        <f aca="false">F352*(C352-$B$18+$B$19*E352)</f>
        <v>407.456801633439</v>
      </c>
      <c r="H352" s="28" t="n">
        <f aca="false">MAX(0,$B$20*G352)/(1+D352)^9</f>
        <v>818.424320814696</v>
      </c>
      <c r="I352" s="28" t="n">
        <f aca="false">$B$13*((1+$B$8)/(1+D352))^4.5</f>
        <v>592.407242716435</v>
      </c>
      <c r="J352" s="28" t="n">
        <f aca="false">H352+I352-$B$14</f>
        <v>739.759645722911</v>
      </c>
      <c r="K352" s="45" t="n">
        <f aca="false">MAX(0,J352)/$B$15</f>
        <v>2.64862028543828</v>
      </c>
    </row>
    <row r="353" customFormat="false" ht="15" hidden="false" customHeight="false" outlineLevel="0" collapsed="false">
      <c r="A353" s="55" t="n">
        <v>313</v>
      </c>
      <c r="B353" s="22" t="n">
        <f aca="true">NORMINV(RAND(),$B$6,$C$6)</f>
        <v>0.343794868399671</v>
      </c>
      <c r="C353" s="22" t="n">
        <f aca="true">MAX(-0.05,NORMINV(RAND(),$B$7,$C$7))</f>
        <v>0.105611379662434</v>
      </c>
      <c r="D353" s="34" t="n">
        <f aca="true">MAX(0.08,NORMINV(RAND(),$B$8,$C$8))</f>
        <v>0.153772827909265</v>
      </c>
      <c r="E353" s="35" t="n">
        <f aca="true">MEDIAN(0,NORMINV(RAND(),$B$9,$C$9),1)</f>
        <v>0.480033743687766</v>
      </c>
      <c r="F353" s="28" t="n">
        <f aca="false">$B$12*(1+(B353+$B$17)/2)^9</f>
        <v>5097.28906452946</v>
      </c>
      <c r="G353" s="28" t="n">
        <f aca="false">F353*(C353-$B$18+$B$19*E353)</f>
        <v>892.131752094121</v>
      </c>
      <c r="H353" s="28" t="n">
        <f aca="false">MAX(0,$B$20*G353)/(1+D353)^9</f>
        <v>1723.63091622074</v>
      </c>
      <c r="I353" s="28" t="n">
        <f aca="false">$B$13*((1+$B$8)/(1+D353))^4.5</f>
        <v>581.00453382465</v>
      </c>
      <c r="J353" s="28" t="n">
        <f aca="false">H353+I353-$B$14</f>
        <v>1633.56353223717</v>
      </c>
      <c r="K353" s="45" t="n">
        <f aca="false">MAX(0,J353)/$B$15</f>
        <v>5.84877741581516</v>
      </c>
    </row>
    <row r="354" customFormat="false" ht="15" hidden="false" customHeight="false" outlineLevel="0" collapsed="false">
      <c r="A354" s="55" t="n">
        <v>314</v>
      </c>
      <c r="B354" s="22" t="n">
        <f aca="true">NORMINV(RAND(),$B$6,$C$6)</f>
        <v>0.0833744638591732</v>
      </c>
      <c r="C354" s="22" t="n">
        <f aca="true">MAX(-0.05,NORMINV(RAND(),$B$7,$C$7))</f>
        <v>0.139680754024925</v>
      </c>
      <c r="D354" s="34" t="n">
        <f aca="true">MAX(0.08,NORMINV(RAND(),$B$8,$C$8))</f>
        <v>0.163470828345262</v>
      </c>
      <c r="E354" s="35" t="n">
        <f aca="true">MEDIAN(0,NORMINV(RAND(),$B$9,$C$9),1)</f>
        <v>0.308773376515146</v>
      </c>
      <c r="F354" s="28" t="n">
        <f aca="false">$B$12*(1+(B354+$B$17)/2)^9</f>
        <v>1799.52816915599</v>
      </c>
      <c r="G354" s="28" t="n">
        <f aca="false">F354*(C354-$B$18+$B$19*E354)</f>
        <v>289.971109460498</v>
      </c>
      <c r="H354" s="28" t="n">
        <f aca="false">MAX(0,$B$20*G354)/(1+D354)^9</f>
        <v>519.581024385251</v>
      </c>
      <c r="I354" s="28" t="n">
        <f aca="false">$B$13*((1+$B$8)/(1+D354))^4.5</f>
        <v>559.527141259261</v>
      </c>
      <c r="J354" s="28" t="n">
        <f aca="false">H354+I354-$B$14</f>
        <v>408.036247836293</v>
      </c>
      <c r="K354" s="45" t="n">
        <f aca="false">MAX(0,J354)/$B$15</f>
        <v>1.46092462526421</v>
      </c>
    </row>
    <row r="355" customFormat="false" ht="15" hidden="false" customHeight="false" outlineLevel="0" collapsed="false">
      <c r="A355" s="55" t="n">
        <v>315</v>
      </c>
      <c r="B355" s="22" t="n">
        <f aca="true">NORMINV(RAND(),$B$6,$C$6)</f>
        <v>0.482175069607778</v>
      </c>
      <c r="C355" s="22" t="n">
        <f aca="true">MAX(-0.05,NORMINV(RAND(),$B$7,$C$7))</f>
        <v>0.185486682190919</v>
      </c>
      <c r="D355" s="34" t="n">
        <f aca="true">MAX(0.08,NORMINV(RAND(),$B$8,$C$8))</f>
        <v>0.143613570515787</v>
      </c>
      <c r="E355" s="35" t="n">
        <f aca="true">MEDIAN(0,NORMINV(RAND(),$B$9,$C$9),1)</f>
        <v>0.192489820487081</v>
      </c>
      <c r="F355" s="28" t="n">
        <f aca="false">$B$12*(1+(B355+$B$17)/2)^9</f>
        <v>8470.25325196636</v>
      </c>
      <c r="G355" s="28" t="n">
        <f aca="false">F355*(C355-$B$18+$B$19*E355)</f>
        <v>1477.07521947259</v>
      </c>
      <c r="H355" s="28" t="n">
        <f aca="false">MAX(0,$B$20*G355)/(1+D355)^9</f>
        <v>3090.20257666859</v>
      </c>
      <c r="I355" s="28" t="n">
        <f aca="false">$B$13*((1+$B$8)/(1+D355))^4.5</f>
        <v>604.594303864324</v>
      </c>
      <c r="J355" s="28" t="n">
        <f aca="false">H355+I355-$B$14</f>
        <v>3023.7249627247</v>
      </c>
      <c r="K355" s="45" t="n">
        <f aca="false">MAX(0,J355)/$B$15</f>
        <v>10.8260829313451</v>
      </c>
    </row>
    <row r="356" customFormat="false" ht="15" hidden="false" customHeight="false" outlineLevel="0" collapsed="false">
      <c r="A356" s="55" t="n">
        <v>316</v>
      </c>
      <c r="B356" s="22" t="n">
        <f aca="true">NORMINV(RAND(),$B$6,$C$6)</f>
        <v>0.568226891451766</v>
      </c>
      <c r="C356" s="22" t="n">
        <f aca="true">MAX(-0.05,NORMINV(RAND(),$B$7,$C$7))</f>
        <v>0.123182980277028</v>
      </c>
      <c r="D356" s="34" t="n">
        <f aca="true">MAX(0.08,NORMINV(RAND(),$B$8,$C$8))</f>
        <v>0.149717094915983</v>
      </c>
      <c r="E356" s="35" t="n">
        <f aca="true">MEDIAN(0,NORMINV(RAND(),$B$9,$C$9),1)</f>
        <v>0</v>
      </c>
      <c r="F356" s="28" t="n">
        <f aca="false">$B$12*(1+(B356+$B$17)/2)^9</f>
        <v>11455.8588141307</v>
      </c>
      <c r="G356" s="28" t="n">
        <f aca="false">F356*(C356-$B$18+$B$19*E356)</f>
        <v>666.536007438991</v>
      </c>
      <c r="H356" s="28" t="n">
        <f aca="false">MAX(0,$B$20*G356)/(1+D356)^9</f>
        <v>1329.23802388762</v>
      </c>
      <c r="I356" s="28" t="n">
        <f aca="false">$B$13*((1+$B$8)/(1+D356))^4.5</f>
        <v>590.284599035283</v>
      </c>
      <c r="J356" s="28" t="n">
        <f aca="false">H356+I356-$B$14</f>
        <v>1248.45070511468</v>
      </c>
      <c r="K356" s="45" t="n">
        <f aca="false">MAX(0,J356)/$B$15</f>
        <v>4.46992733660824</v>
      </c>
    </row>
    <row r="357" customFormat="false" ht="15" hidden="false" customHeight="false" outlineLevel="0" collapsed="false">
      <c r="A357" s="55" t="n">
        <v>317</v>
      </c>
      <c r="B357" s="22" t="n">
        <f aca="true">NORMINV(RAND(),$B$6,$C$6)</f>
        <v>0.341374512973266</v>
      </c>
      <c r="C357" s="22" t="n">
        <f aca="true">MAX(-0.05,NORMINV(RAND(),$B$7,$C$7))</f>
        <v>0.177114407239288</v>
      </c>
      <c r="D357" s="34" t="n">
        <f aca="true">MAX(0.08,NORMINV(RAND(),$B$8,$C$8))</f>
        <v>0.178167743801647</v>
      </c>
      <c r="E357" s="35" t="n">
        <f aca="true">MEDIAN(0,NORMINV(RAND(),$B$9,$C$9),1)</f>
        <v>0</v>
      </c>
      <c r="F357" s="28" t="n">
        <f aca="false">$B$12*(1+(B357+$B$17)/2)^9</f>
        <v>5050.89859002334</v>
      </c>
      <c r="G357" s="28" t="n">
        <f aca="false">F357*(C357-$B$18+$B$19*E357)</f>
        <v>566.278501446224</v>
      </c>
      <c r="H357" s="28" t="n">
        <f aca="false">MAX(0,$B$20*G357)/(1+D357)^9</f>
        <v>906.283262009497</v>
      </c>
      <c r="I357" s="28" t="n">
        <f aca="false">$B$13*((1+$B$8)/(1+D357))^4.5</f>
        <v>528.796807633065</v>
      </c>
      <c r="J357" s="28" t="n">
        <f aca="false">H357+I357-$B$14</f>
        <v>764.008151834343</v>
      </c>
      <c r="K357" s="45" t="n">
        <f aca="false">MAX(0,J357)/$B$15</f>
        <v>2.7354391401158</v>
      </c>
    </row>
    <row r="358" customFormat="false" ht="15" hidden="false" customHeight="false" outlineLevel="0" collapsed="false">
      <c r="A358" s="55" t="n">
        <v>318</v>
      </c>
      <c r="B358" s="22" t="n">
        <f aca="true">NORMINV(RAND(),$B$6,$C$6)</f>
        <v>0.65243254330556</v>
      </c>
      <c r="C358" s="22" t="n">
        <f aca="true">MAX(-0.05,NORMINV(RAND(),$B$7,$C$7))</f>
        <v>0.217711671165735</v>
      </c>
      <c r="D358" s="34" t="n">
        <f aca="true">MAX(0.08,NORMINV(RAND(),$B$8,$C$8))</f>
        <v>0.114356087417349</v>
      </c>
      <c r="E358" s="35" t="n">
        <f aca="true">MEDIAN(0,NORMINV(RAND(),$B$9,$C$9),1)</f>
        <v>0.524628833439362</v>
      </c>
      <c r="F358" s="28" t="n">
        <f aca="false">$B$12*(1+(B358+$B$17)/2)^9</f>
        <v>15248.3488453274</v>
      </c>
      <c r="G358" s="28" t="n">
        <f aca="false">F358*(C358-$B$18+$B$19*E358)</f>
        <v>4568.52340533619</v>
      </c>
      <c r="H358" s="28" t="n">
        <f aca="false">MAX(0,$B$20*G358)/(1+D358)^9</f>
        <v>12068.6303548476</v>
      </c>
      <c r="I358" s="28" t="n">
        <f aca="false">$B$13*((1+$B$8)/(1+D358))^4.5</f>
        <v>679.380297433905</v>
      </c>
      <c r="J358" s="28" t="n">
        <f aca="false">H358+I358-$B$14</f>
        <v>12076.9387344732</v>
      </c>
      <c r="K358" s="45" t="n">
        <f aca="false">MAX(0,J358)/$B$15</f>
        <v>43.2400241119701</v>
      </c>
    </row>
    <row r="359" customFormat="false" ht="15" hidden="false" customHeight="false" outlineLevel="0" collapsed="false">
      <c r="A359" s="55" t="n">
        <v>319</v>
      </c>
      <c r="B359" s="22" t="n">
        <f aca="true">NORMINV(RAND(),$B$6,$C$6)</f>
        <v>0.322137521415366</v>
      </c>
      <c r="C359" s="22" t="n">
        <f aca="true">MAX(-0.05,NORMINV(RAND(),$B$7,$C$7))</f>
        <v>0.122033170813369</v>
      </c>
      <c r="D359" s="34" t="n">
        <f aca="true">MAX(0.08,NORMINV(RAND(),$B$8,$C$8))</f>
        <v>0.143247722717685</v>
      </c>
      <c r="E359" s="35" t="n">
        <f aca="true">MEDIAN(0,NORMINV(RAND(),$B$9,$C$9),1)</f>
        <v>0.334837209634975</v>
      </c>
      <c r="F359" s="28" t="n">
        <f aca="false">$B$12*(1+(B359+$B$17)/2)^9</f>
        <v>4695.32806612851</v>
      </c>
      <c r="G359" s="28" t="n">
        <f aca="false">F359*(C359-$B$18+$B$19*E359)</f>
        <v>707.997201055626</v>
      </c>
      <c r="H359" s="28" t="n">
        <f aca="false">MAX(0,$B$20*G359)/(1+D359)^9</f>
        <v>1485.47886145061</v>
      </c>
      <c r="I359" s="28" t="n">
        <f aca="false">$B$13*((1+$B$8)/(1+D359))^4.5</f>
        <v>605.465427651457</v>
      </c>
      <c r="J359" s="28" t="n">
        <f aca="false">H359+I359-$B$14</f>
        <v>1419.87237129384</v>
      </c>
      <c r="K359" s="45" t="n">
        <f aca="false">MAX(0,J359)/$B$15</f>
        <v>5.08368195951967</v>
      </c>
    </row>
    <row r="360" customFormat="false" ht="15" hidden="false" customHeight="false" outlineLevel="0" collapsed="false">
      <c r="A360" s="55" t="n">
        <v>320</v>
      </c>
      <c r="B360" s="22" t="n">
        <f aca="true">NORMINV(RAND(),$B$6,$C$6)</f>
        <v>0.547769483136735</v>
      </c>
      <c r="C360" s="22" t="n">
        <f aca="true">MAX(-0.05,NORMINV(RAND(),$B$7,$C$7))</f>
        <v>0.155079728311908</v>
      </c>
      <c r="D360" s="34" t="n">
        <f aca="true">MAX(0.08,NORMINV(RAND(),$B$8,$C$8))</f>
        <v>0.137754092426539</v>
      </c>
      <c r="E360" s="35" t="n">
        <f aca="true">MEDIAN(0,NORMINV(RAND(),$B$9,$C$9),1)</f>
        <v>0.271113587411701</v>
      </c>
      <c r="F360" s="28" t="n">
        <f aca="false">$B$12*(1+(B360+$B$17)/2)^9</f>
        <v>10672.0934991063</v>
      </c>
      <c r="G360" s="28" t="n">
        <f aca="false">F360*(C360-$B$18+$B$19*E360)</f>
        <v>1771.47715796479</v>
      </c>
      <c r="H360" s="28" t="n">
        <f aca="false">MAX(0,$B$20*G360)/(1+D360)^9</f>
        <v>3881.48524861079</v>
      </c>
      <c r="I360" s="28" t="n">
        <f aca="false">$B$13*((1+$B$8)/(1+D360))^4.5</f>
        <v>618.732706622808</v>
      </c>
      <c r="J360" s="28" t="n">
        <f aca="false">H360+I360-$B$14</f>
        <v>3829.14603742538</v>
      </c>
      <c r="K360" s="45" t="n">
        <f aca="false">MAX(0,J360)/$B$15</f>
        <v>13.7097960523644</v>
      </c>
    </row>
    <row r="361" customFormat="false" ht="15" hidden="false" customHeight="false" outlineLevel="0" collapsed="false">
      <c r="A361" s="55" t="n">
        <v>321</v>
      </c>
      <c r="B361" s="22" t="n">
        <f aca="true">NORMINV(RAND(),$B$6,$C$6)</f>
        <v>0.135026489048396</v>
      </c>
      <c r="C361" s="22" t="n">
        <f aca="true">MAX(-0.05,NORMINV(RAND(),$B$7,$C$7))</f>
        <v>0.120098708532775</v>
      </c>
      <c r="D361" s="34" t="n">
        <f aca="true">MAX(0.08,NORMINV(RAND(),$B$8,$C$8))</f>
        <v>0.141459951191442</v>
      </c>
      <c r="E361" s="35" t="n">
        <f aca="true">MEDIAN(0,NORMINV(RAND(),$B$9,$C$9),1)</f>
        <v>0</v>
      </c>
      <c r="F361" s="28" t="n">
        <f aca="false">$B$12*(1+(B361+$B$17)/2)^9</f>
        <v>2234.08808508754</v>
      </c>
      <c r="G361" s="28" t="n">
        <f aca="false">F361*(C361-$B$18+$B$19*E361)</f>
        <v>123.095368236784</v>
      </c>
      <c r="H361" s="28" t="n">
        <f aca="false">MAX(0,$B$20*G361)/(1+D361)^9</f>
        <v>261.935067086743</v>
      </c>
      <c r="I361" s="28" t="n">
        <f aca="false">$B$13*((1+$B$8)/(1+D361))^4.5</f>
        <v>609.74443931455</v>
      </c>
      <c r="J361" s="28" t="n">
        <f aca="false">H361+I361-$B$14</f>
        <v>200.607588593074</v>
      </c>
      <c r="K361" s="45" t="n">
        <f aca="false">MAX(0,J361)/$B$15</f>
        <v>0.718251301801195</v>
      </c>
    </row>
    <row r="362" customFormat="false" ht="15" hidden="false" customHeight="false" outlineLevel="0" collapsed="false">
      <c r="A362" s="55" t="n">
        <v>322</v>
      </c>
      <c r="B362" s="22" t="n">
        <f aca="true">NORMINV(RAND(),$B$6,$C$6)</f>
        <v>0.458182031612324</v>
      </c>
      <c r="C362" s="22" t="n">
        <f aca="true">MAX(-0.05,NORMINV(RAND(),$B$7,$C$7))</f>
        <v>0.0887003474815836</v>
      </c>
      <c r="D362" s="34" t="n">
        <f aca="true">MAX(0.08,NORMINV(RAND(),$B$8,$C$8))</f>
        <v>0.115005599235986</v>
      </c>
      <c r="E362" s="35" t="n">
        <f aca="true">MEDIAN(0,NORMINV(RAND(),$B$9,$C$9),1)</f>
        <v>0</v>
      </c>
      <c r="F362" s="28" t="n">
        <f aca="false">$B$12*(1+(B362+$B$17)/2)^9</f>
        <v>7772.05850415016</v>
      </c>
      <c r="G362" s="28" t="n">
        <f aca="false">F362*(C362-$B$18+$B$19*E362)</f>
        <v>184.200487195555</v>
      </c>
      <c r="H362" s="28" t="n">
        <f aca="false">MAX(0,$B$20*G362)/(1+D362)^9</f>
        <v>484.055746149012</v>
      </c>
      <c r="I362" s="28" t="n">
        <f aca="false">$B$13*((1+$B$8)/(1+D362))^4.5</f>
        <v>677.601228658997</v>
      </c>
      <c r="J362" s="28" t="n">
        <f aca="false">H362+I362-$B$14</f>
        <v>490.58505699979</v>
      </c>
      <c r="K362" s="45" t="n">
        <f aca="false">MAX(0,J362)/$B$15</f>
        <v>1.75648069101249</v>
      </c>
    </row>
    <row r="363" customFormat="false" ht="15" hidden="false" customHeight="false" outlineLevel="0" collapsed="false">
      <c r="A363" s="55" t="n">
        <v>323</v>
      </c>
      <c r="B363" s="22" t="n">
        <f aca="true">NORMINV(RAND(),$B$6,$C$6)</f>
        <v>0.495412356748923</v>
      </c>
      <c r="C363" s="22" t="n">
        <f aca="true">MAX(-0.05,NORMINV(RAND(),$B$7,$C$7))</f>
        <v>0.078758066801038</v>
      </c>
      <c r="D363" s="34" t="n">
        <f aca="true">MAX(0.08,NORMINV(RAND(),$B$8,$C$8))</f>
        <v>0.179218512077896</v>
      </c>
      <c r="E363" s="35" t="n">
        <f aca="true">MEDIAN(0,NORMINV(RAND(),$B$9,$C$9),1)</f>
        <v>0.543123927791369</v>
      </c>
      <c r="F363" s="28" t="n">
        <f aca="false">$B$12*(1+(B363+$B$17)/2)^9</f>
        <v>8878.85086840133</v>
      </c>
      <c r="G363" s="28" t="n">
        <f aca="false">F363*(C363-$B$18+$B$19*E363)</f>
        <v>1472.4044035815</v>
      </c>
      <c r="H363" s="28" t="n">
        <f aca="false">MAX(0,$B$20*G363)/(1+D363)^9</f>
        <v>2337.6341987273</v>
      </c>
      <c r="I363" s="28" t="n">
        <f aca="false">$B$13*((1+$B$8)/(1+D363))^4.5</f>
        <v>526.679730168504</v>
      </c>
      <c r="J363" s="28" t="n">
        <f aca="false">H363+I363-$B$14</f>
        <v>2193.24201108758</v>
      </c>
      <c r="K363" s="45" t="n">
        <f aca="false">MAX(0,J363)/$B$15</f>
        <v>7.85263877940417</v>
      </c>
    </row>
    <row r="364" customFormat="false" ht="15" hidden="false" customHeight="false" outlineLevel="0" collapsed="false">
      <c r="A364" s="55" t="n">
        <v>324</v>
      </c>
      <c r="B364" s="22" t="n">
        <f aca="true">NORMINV(RAND(),$B$6,$C$6)</f>
        <v>0.300936029803198</v>
      </c>
      <c r="C364" s="22" t="n">
        <f aca="true">MAX(-0.05,NORMINV(RAND(),$B$7,$C$7))</f>
        <v>0.137331264715563</v>
      </c>
      <c r="D364" s="34" t="n">
        <f aca="true">MAX(0.08,NORMINV(RAND(),$B$8,$C$8))</f>
        <v>0.120362899258133</v>
      </c>
      <c r="E364" s="35" t="n">
        <f aca="true">MEDIAN(0,NORMINV(RAND(),$B$9,$C$9),1)</f>
        <v>0.0256427195826722</v>
      </c>
      <c r="F364" s="28" t="n">
        <f aca="false">$B$12*(1+(B364+$B$17)/2)^9</f>
        <v>4329.37546945786</v>
      </c>
      <c r="G364" s="28" t="n">
        <f aca="false">F364*(C364-$B$18+$B$19*E364)</f>
        <v>344.233952251217</v>
      </c>
      <c r="H364" s="28" t="n">
        <f aca="false">MAX(0,$B$20*G364)/(1+D364)^9</f>
        <v>866.409637160062</v>
      </c>
      <c r="I364" s="28" t="n">
        <f aca="false">$B$13*((1+$B$8)/(1+D364))^4.5</f>
        <v>663.142203006762</v>
      </c>
      <c r="J364" s="28" t="n">
        <f aca="false">H364+I364-$B$14</f>
        <v>858.479922358605</v>
      </c>
      <c r="K364" s="45" t="n">
        <f aca="false">MAX(0,J364)/$B$15</f>
        <v>3.07368393254065</v>
      </c>
    </row>
    <row r="365" customFormat="false" ht="15" hidden="false" customHeight="false" outlineLevel="0" collapsed="false">
      <c r="A365" s="55" t="n">
        <v>325</v>
      </c>
      <c r="B365" s="22" t="n">
        <f aca="true">NORMINV(RAND(),$B$6,$C$6)</f>
        <v>0.278593799147439</v>
      </c>
      <c r="C365" s="22" t="n">
        <f aca="true">MAX(-0.05,NORMINV(RAND(),$B$7,$C$7))</f>
        <v>0.132677164978099</v>
      </c>
      <c r="D365" s="34" t="n">
        <f aca="true">MAX(0.08,NORMINV(RAND(),$B$8,$C$8))</f>
        <v>0.166903709530008</v>
      </c>
      <c r="E365" s="35" t="n">
        <f aca="true">MEDIAN(0,NORMINV(RAND(),$B$9,$C$9),1)</f>
        <v>0.390368563762845</v>
      </c>
      <c r="F365" s="28" t="n">
        <f aca="false">$B$12*(1+(B365+$B$17)/2)^9</f>
        <v>3971.37930690821</v>
      </c>
      <c r="G365" s="28" t="n">
        <f aca="false">F365*(C365-$B$18+$B$19*E365)</f>
        <v>702.856150678901</v>
      </c>
      <c r="H365" s="28" t="n">
        <f aca="false">MAX(0,$B$20*G365)/(1+D365)^9</f>
        <v>1226.44846977707</v>
      </c>
      <c r="I365" s="28" t="n">
        <f aca="false">$B$13*((1+$B$8)/(1+D365))^4.5</f>
        <v>552.157925296201</v>
      </c>
      <c r="J365" s="28" t="n">
        <f aca="false">H365+I365-$B$14</f>
        <v>1107.53447726505</v>
      </c>
      <c r="K365" s="45" t="n">
        <f aca="false">MAX(0,J365)/$B$15</f>
        <v>3.96539376034747</v>
      </c>
    </row>
    <row r="366" customFormat="false" ht="15" hidden="false" customHeight="false" outlineLevel="0" collapsed="false">
      <c r="A366" s="55" t="n">
        <v>326</v>
      </c>
      <c r="B366" s="22" t="n">
        <f aca="true">NORMINV(RAND(),$B$6,$C$6)</f>
        <v>0.268531446784255</v>
      </c>
      <c r="C366" s="22" t="n">
        <f aca="true">MAX(-0.05,NORMINV(RAND(),$B$7,$C$7))</f>
        <v>0.182457967717313</v>
      </c>
      <c r="D366" s="34" t="n">
        <f aca="true">MAX(0.08,NORMINV(RAND(),$B$8,$C$8))</f>
        <v>0.106215016129857</v>
      </c>
      <c r="E366" s="35" t="n">
        <f aca="true">MEDIAN(0,NORMINV(RAND(),$B$9,$C$9),1)</f>
        <v>0.0270086487049188</v>
      </c>
      <c r="F366" s="28" t="n">
        <f aca="false">$B$12*(1+(B366+$B$17)/2)^9</f>
        <v>3818.92818928539</v>
      </c>
      <c r="G366" s="28" t="n">
        <f aca="false">F366*(C366-$B$18+$B$19*E366)</f>
        <v>477.44388914206</v>
      </c>
      <c r="H366" s="28" t="n">
        <f aca="false">MAX(0,$B$20*G366)/(1+D366)^9</f>
        <v>1347.3003861854</v>
      </c>
      <c r="I366" s="28" t="n">
        <f aca="false">$B$13*((1+$B$8)/(1+D366))^4.5</f>
        <v>702.171065885221</v>
      </c>
      <c r="J366" s="28" t="n">
        <f aca="false">H366+I366-$B$14</f>
        <v>1378.3995342624</v>
      </c>
      <c r="K366" s="45" t="n">
        <f aca="false">MAX(0,J366)/$B$15</f>
        <v>4.93519346316649</v>
      </c>
    </row>
    <row r="367" customFormat="false" ht="15" hidden="false" customHeight="false" outlineLevel="0" collapsed="false">
      <c r="A367" s="55" t="n">
        <v>327</v>
      </c>
      <c r="B367" s="22" t="n">
        <f aca="true">NORMINV(RAND(),$B$6,$C$6)</f>
        <v>0.0759160084208417</v>
      </c>
      <c r="C367" s="22" t="n">
        <f aca="true">MAX(-0.05,NORMINV(RAND(),$B$7,$C$7))</f>
        <v>0.0983020136442836</v>
      </c>
      <c r="D367" s="34" t="n">
        <f aca="true">MAX(0.08,NORMINV(RAND(),$B$8,$C$8))</f>
        <v>0.171619173619096</v>
      </c>
      <c r="E367" s="35" t="n">
        <f aca="true">MEDIAN(0,NORMINV(RAND(),$B$9,$C$9),1)</f>
        <v>0</v>
      </c>
      <c r="F367" s="28" t="n">
        <f aca="false">$B$12*(1+(B367+$B$17)/2)^9</f>
        <v>1743.43257807373</v>
      </c>
      <c r="G367" s="28" t="n">
        <f aca="false">F367*(C367-$B$18+$B$19*E367)</f>
        <v>58.0598155028999</v>
      </c>
      <c r="H367" s="28" t="n">
        <f aca="false">MAX(0,$B$20*G367)/(1+D367)^9</f>
        <v>97.7002013017555</v>
      </c>
      <c r="I367" s="28" t="n">
        <f aca="false">$B$13*((1+$B$8)/(1+D367))^4.5</f>
        <v>542.22780697147</v>
      </c>
      <c r="J367" s="28" t="n">
        <f aca="false">H367+I367-$B$14</f>
        <v>-31.1439095349936</v>
      </c>
      <c r="K367" s="45" t="n">
        <f aca="false">MAX(0,J367)/$B$15</f>
        <v>0</v>
      </c>
    </row>
    <row r="368" customFormat="false" ht="15" hidden="false" customHeight="false" outlineLevel="0" collapsed="false">
      <c r="A368" s="55" t="n">
        <v>328</v>
      </c>
      <c r="B368" s="22" t="n">
        <f aca="true">NORMINV(RAND(),$B$6,$C$6)</f>
        <v>0.124910045564265</v>
      </c>
      <c r="C368" s="22" t="n">
        <f aca="true">MAX(-0.05,NORMINV(RAND(),$B$7,$C$7))</f>
        <v>0.156305965401311</v>
      </c>
      <c r="D368" s="34" t="n">
        <f aca="true">MAX(0.08,NORMINV(RAND(),$B$8,$C$8))</f>
        <v>0.124633457497695</v>
      </c>
      <c r="E368" s="35" t="n">
        <f aca="true">MEDIAN(0,NORMINV(RAND(),$B$9,$C$9),1)</f>
        <v>0.534421048943576</v>
      </c>
      <c r="F368" s="28" t="n">
        <f aca="false">$B$12*(1+(B368+$B$17)/2)^9</f>
        <v>2142.28890650012</v>
      </c>
      <c r="G368" s="28" t="n">
        <f aca="false">F368*(C368-$B$18+$B$19*E368)</f>
        <v>516.171356451067</v>
      </c>
      <c r="H368" s="28" t="n">
        <f aca="false">MAX(0,$B$20*G368)/(1+D368)^9</f>
        <v>1255.43128067214</v>
      </c>
      <c r="I368" s="28" t="n">
        <f aca="false">$B$13*((1+$B$8)/(1+D368))^4.5</f>
        <v>651.885625095811</v>
      </c>
      <c r="J368" s="28" t="n">
        <f aca="false">H368+I368-$B$14</f>
        <v>1236.24498795973</v>
      </c>
      <c r="K368" s="45" t="n">
        <f aca="false">MAX(0,J368)/$B$15</f>
        <v>4.42622623687694</v>
      </c>
    </row>
    <row r="369" customFormat="false" ht="15" hidden="false" customHeight="false" outlineLevel="0" collapsed="false">
      <c r="A369" s="55" t="n">
        <v>329</v>
      </c>
      <c r="B369" s="22" t="n">
        <f aca="true">NORMINV(RAND(),$B$6,$C$6)</f>
        <v>0.213909469210547</v>
      </c>
      <c r="C369" s="22" t="n">
        <f aca="true">MAX(-0.05,NORMINV(RAND(),$B$7,$C$7))</f>
        <v>0.186467129958607</v>
      </c>
      <c r="D369" s="34" t="n">
        <f aca="true">MAX(0.08,NORMINV(RAND(),$B$8,$C$8))</f>
        <v>0.130616237059537</v>
      </c>
      <c r="E369" s="35" t="n">
        <f aca="true">MEDIAN(0,NORMINV(RAND(),$B$9,$C$9),1)</f>
        <v>0.503939484231373</v>
      </c>
      <c r="F369" s="28" t="n">
        <f aca="false">$B$12*(1+(B369+$B$17)/2)^9</f>
        <v>3078.5594973091</v>
      </c>
      <c r="G369" s="28" t="n">
        <f aca="false">F369*(C369-$B$18+$B$19*E369)</f>
        <v>808.337938414819</v>
      </c>
      <c r="H369" s="28" t="n">
        <f aca="false">MAX(0,$B$20*G369)/(1+D369)^9</f>
        <v>1874.3644505988</v>
      </c>
      <c r="I369" s="28" t="n">
        <f aca="false">$B$13*((1+$B$8)/(1+D369))^4.5</f>
        <v>636.5058804646</v>
      </c>
      <c r="J369" s="28" t="n">
        <f aca="false">H369+I369-$B$14</f>
        <v>1839.79841325518</v>
      </c>
      <c r="K369" s="45" t="n">
        <f aca="false">MAX(0,J369)/$B$15</f>
        <v>6.58717656016894</v>
      </c>
    </row>
    <row r="370" customFormat="false" ht="15" hidden="false" customHeight="false" outlineLevel="0" collapsed="false">
      <c r="A370" s="55" t="n">
        <v>330</v>
      </c>
      <c r="B370" s="22" t="n">
        <f aca="true">NORMINV(RAND(),$B$6,$C$6)</f>
        <v>0.336658288940021</v>
      </c>
      <c r="C370" s="22" t="n">
        <f aca="true">MAX(-0.05,NORMINV(RAND(),$B$7,$C$7))</f>
        <v>0.170851315403912</v>
      </c>
      <c r="D370" s="34" t="n">
        <f aca="true">MAX(0.08,NORMINV(RAND(),$B$8,$C$8))</f>
        <v>0.15665985873312</v>
      </c>
      <c r="E370" s="35" t="n">
        <f aca="true">MEDIAN(0,NORMINV(RAND(),$B$9,$C$9),1)</f>
        <v>0.200499027252116</v>
      </c>
      <c r="F370" s="28" t="n">
        <f aca="false">$B$12*(1+(B370+$B$17)/2)^9</f>
        <v>4961.58043457059</v>
      </c>
      <c r="G370" s="28" t="n">
        <f aca="false">F370*(C370-$B$18+$B$19*E370)</f>
        <v>803.73158969568</v>
      </c>
      <c r="H370" s="28" t="n">
        <f aca="false">MAX(0,$B$20*G370)/(1+D370)^9</f>
        <v>1518.30178685705</v>
      </c>
      <c r="I370" s="28" t="n">
        <f aca="false">$B$13*((1+$B$8)/(1+D370))^4.5</f>
        <v>574.507119033458</v>
      </c>
      <c r="J370" s="28" t="n">
        <f aca="false">H370+I370-$B$14</f>
        <v>1421.73698808229</v>
      </c>
      <c r="K370" s="45" t="n">
        <f aca="false">MAX(0,J370)/$B$15</f>
        <v>5.09035799528211</v>
      </c>
    </row>
    <row r="371" customFormat="false" ht="15" hidden="false" customHeight="false" outlineLevel="0" collapsed="false">
      <c r="A371" s="55" t="n">
        <v>331</v>
      </c>
      <c r="B371" s="22" t="n">
        <f aca="true">NORMINV(RAND(),$B$6,$C$6)</f>
        <v>0.604178572851927</v>
      </c>
      <c r="C371" s="22" t="n">
        <f aca="true">MAX(-0.05,NORMINV(RAND(),$B$7,$C$7))</f>
        <v>0.145913677383767</v>
      </c>
      <c r="D371" s="34" t="n">
        <f aca="true">MAX(0.08,NORMINV(RAND(),$B$8,$C$8))</f>
        <v>0.116132352973014</v>
      </c>
      <c r="E371" s="35" t="n">
        <f aca="true">MEDIAN(0,NORMINV(RAND(),$B$9,$C$9),1)</f>
        <v>0.462949040893895</v>
      </c>
      <c r="F371" s="28" t="n">
        <f aca="false">$B$12*(1+(B371+$B$17)/2)^9</f>
        <v>12957.9521666989</v>
      </c>
      <c r="G371" s="28" t="n">
        <f aca="false">F371*(C371-$B$18+$B$19*E371)</f>
        <v>2728.15958887678</v>
      </c>
      <c r="H371" s="28" t="n">
        <f aca="false">MAX(0,$B$20*G371)/(1+D371)^9</f>
        <v>7104.38580688323</v>
      </c>
      <c r="I371" s="28" t="n">
        <f aca="false">$B$13*((1+$B$8)/(1+D371))^4.5</f>
        <v>674.52843973559</v>
      </c>
      <c r="J371" s="28" t="n">
        <f aca="false">H371+I371-$B$14</f>
        <v>7107.8423288106</v>
      </c>
      <c r="K371" s="45" t="n">
        <f aca="false">MAX(0,J371)/$B$15</f>
        <v>25.4487731070913</v>
      </c>
    </row>
    <row r="372" customFormat="false" ht="15" hidden="false" customHeight="false" outlineLevel="0" collapsed="false">
      <c r="A372" s="55" t="n">
        <v>332</v>
      </c>
      <c r="B372" s="22" t="n">
        <f aca="true">NORMINV(RAND(),$B$6,$C$6)</f>
        <v>0.328313824597779</v>
      </c>
      <c r="C372" s="22" t="n">
        <f aca="true">MAX(-0.05,NORMINV(RAND(),$B$7,$C$7))</f>
        <v>0.205096825408487</v>
      </c>
      <c r="D372" s="34" t="n">
        <f aca="true">MAX(0.08,NORMINV(RAND(),$B$8,$C$8))</f>
        <v>0.148093150132887</v>
      </c>
      <c r="E372" s="35" t="n">
        <f aca="true">MEDIAN(0,NORMINV(RAND(),$B$9,$C$9),1)</f>
        <v>0</v>
      </c>
      <c r="F372" s="28" t="n">
        <f aca="false">$B$12*(1+(B372+$B$17)/2)^9</f>
        <v>4806.98303084149</v>
      </c>
      <c r="G372" s="28" t="n">
        <f aca="false">F372*(C372-$B$18+$B$19*E372)</f>
        <v>673.443062413359</v>
      </c>
      <c r="H372" s="28" t="n">
        <f aca="false">MAX(0,$B$20*G372)/(1+D372)^9</f>
        <v>1360.20632796015</v>
      </c>
      <c r="I372" s="28" t="n">
        <f aca="false">$B$13*((1+$B$8)/(1+D372))^4.5</f>
        <v>594.051143119974</v>
      </c>
      <c r="J372" s="28" t="n">
        <f aca="false">H372+I372-$B$14</f>
        <v>1283.1855532719</v>
      </c>
      <c r="K372" s="45" t="n">
        <f aca="false">MAX(0,J372)/$B$15</f>
        <v>4.59429127558862</v>
      </c>
    </row>
    <row r="373" customFormat="false" ht="15" hidden="false" customHeight="false" outlineLevel="0" collapsed="false">
      <c r="A373" s="55" t="n">
        <v>333</v>
      </c>
      <c r="B373" s="22" t="n">
        <f aca="true">NORMINV(RAND(),$B$6,$C$6)</f>
        <v>0.312840339164914</v>
      </c>
      <c r="C373" s="22" t="n">
        <f aca="true">MAX(-0.05,NORMINV(RAND(),$B$7,$C$7))</f>
        <v>0.143708916736259</v>
      </c>
      <c r="D373" s="34" t="n">
        <f aca="true">MAX(0.08,NORMINV(RAND(),$B$8,$C$8))</f>
        <v>0.164385560017135</v>
      </c>
      <c r="E373" s="35" t="n">
        <f aca="true">MEDIAN(0,NORMINV(RAND(),$B$9,$C$9),1)</f>
        <v>0.291603258548757</v>
      </c>
      <c r="F373" s="28" t="n">
        <f aca="false">$B$12*(1+(B373+$B$17)/2)^9</f>
        <v>4531.59882483373</v>
      </c>
      <c r="G373" s="28" t="n">
        <f aca="false">F373*(C373-$B$18+$B$19*E373)</f>
        <v>726.677350037994</v>
      </c>
      <c r="H373" s="28" t="n">
        <f aca="false">MAX(0,$B$20*G373)/(1+D373)^9</f>
        <v>1292.91021055612</v>
      </c>
      <c r="I373" s="28" t="n">
        <f aca="false">$B$13*((1+$B$8)/(1+D373))^4.5</f>
        <v>557.551839293549</v>
      </c>
      <c r="J373" s="28" t="n">
        <f aca="false">H373+I373-$B$14</f>
        <v>1179.39013204145</v>
      </c>
      <c r="K373" s="45" t="n">
        <f aca="false">MAX(0,J373)/$B$15</f>
        <v>4.22266427512156</v>
      </c>
    </row>
    <row r="374" customFormat="false" ht="15" hidden="false" customHeight="false" outlineLevel="0" collapsed="false">
      <c r="A374" s="55" t="n">
        <v>334</v>
      </c>
      <c r="B374" s="22" t="n">
        <f aca="true">NORMINV(RAND(),$B$6,$C$6)</f>
        <v>0.242957358587293</v>
      </c>
      <c r="C374" s="22" t="n">
        <f aca="true">MAX(-0.05,NORMINV(RAND(),$B$7,$C$7))</f>
        <v>0.186012539812865</v>
      </c>
      <c r="D374" s="34" t="n">
        <f aca="true">MAX(0.08,NORMINV(RAND(),$B$8,$C$8))</f>
        <v>0.168142932077302</v>
      </c>
      <c r="E374" s="35" t="n">
        <f aca="true">MEDIAN(0,NORMINV(RAND(),$B$9,$C$9),1)</f>
        <v>0.325035290184938</v>
      </c>
      <c r="F374" s="28" t="n">
        <f aca="false">$B$12*(1+(B374+$B$17)/2)^9</f>
        <v>3454.61405690107</v>
      </c>
      <c r="G374" s="28" t="n">
        <f aca="false">F374*(C374-$B$18+$B$19*E374)</f>
        <v>732.455636188128</v>
      </c>
      <c r="H374" s="28" t="n">
        <f aca="false">MAX(0,$B$20*G374)/(1+D374)^9</f>
        <v>1265.94691522816</v>
      </c>
      <c r="I374" s="28" t="n">
        <f aca="false">$B$13*((1+$B$8)/(1+D374))^4.5</f>
        <v>549.526913178078</v>
      </c>
      <c r="J374" s="28" t="n">
        <f aca="false">H374+I374-$B$14</f>
        <v>1144.40191059802</v>
      </c>
      <c r="K374" s="45" t="n">
        <f aca="false">MAX(0,J374)/$B$15</f>
        <v>4.09739316361626</v>
      </c>
    </row>
    <row r="375" customFormat="false" ht="15" hidden="false" customHeight="false" outlineLevel="0" collapsed="false">
      <c r="A375" s="55" t="n">
        <v>335</v>
      </c>
      <c r="B375" s="22" t="n">
        <f aca="true">NORMINV(RAND(),$B$6,$C$6)</f>
        <v>0.211568862545155</v>
      </c>
      <c r="C375" s="22" t="n">
        <f aca="true">MAX(-0.05,NORMINV(RAND(),$B$7,$C$7))</f>
        <v>0.149030671418363</v>
      </c>
      <c r="D375" s="34" t="n">
        <f aca="true">MAX(0.08,NORMINV(RAND(),$B$8,$C$8))</f>
        <v>0.139202904082454</v>
      </c>
      <c r="E375" s="35" t="n">
        <f aca="true">MEDIAN(0,NORMINV(RAND(),$B$9,$C$9),1)</f>
        <v>0.22133660262693</v>
      </c>
      <c r="F375" s="28" t="n">
        <f aca="false">$B$12*(1+(B375+$B$17)/2)^9</f>
        <v>3049.90593275912</v>
      </c>
      <c r="G375" s="28" t="n">
        <f aca="false">F375*(C375-$B$18+$B$19*E375)</f>
        <v>445.301272189411</v>
      </c>
      <c r="H375" s="28" t="n">
        <f aca="false">MAX(0,$B$20*G375)/(1+D375)^9</f>
        <v>964.588822812937</v>
      </c>
      <c r="I375" s="28" t="n">
        <f aca="false">$B$13*((1+$B$8)/(1+D375))^4.5</f>
        <v>615.199575018715</v>
      </c>
      <c r="J375" s="28" t="n">
        <f aca="false">H375+I375-$B$14</f>
        <v>908.716480023433</v>
      </c>
      <c r="K375" s="45" t="n">
        <f aca="false">MAX(0,J375)/$B$15</f>
        <v>3.25354987477061</v>
      </c>
    </row>
    <row r="376" customFormat="false" ht="15" hidden="false" customHeight="false" outlineLevel="0" collapsed="false">
      <c r="A376" s="55" t="n">
        <v>336</v>
      </c>
      <c r="B376" s="22" t="n">
        <f aca="true">NORMINV(RAND(),$B$6,$C$6)</f>
        <v>0.184157624072664</v>
      </c>
      <c r="C376" s="22" t="n">
        <f aca="true">MAX(-0.05,NORMINV(RAND(),$B$7,$C$7))</f>
        <v>0.248160792694661</v>
      </c>
      <c r="D376" s="34" t="n">
        <f aca="true">MAX(0.08,NORMINV(RAND(),$B$8,$C$8))</f>
        <v>0.14099810639264</v>
      </c>
      <c r="E376" s="35" t="n">
        <f aca="true">MEDIAN(0,NORMINV(RAND(),$B$9,$C$9),1)</f>
        <v>0.181773129956885</v>
      </c>
      <c r="F376" s="28" t="n">
        <f aca="false">$B$12*(1+(B376+$B$17)/2)^9</f>
        <v>2731.55152304621</v>
      </c>
      <c r="G376" s="28" t="n">
        <f aca="false">F376*(C376-$B$18+$B$19*E376)</f>
        <v>639.339489842583</v>
      </c>
      <c r="H376" s="28" t="n">
        <f aca="false">MAX(0,$B$20*G376)/(1+D376)^9</f>
        <v>1365.41684763686</v>
      </c>
      <c r="I376" s="28" t="n">
        <f aca="false">$B$13*((1+$B$8)/(1+D376))^4.5</f>
        <v>610.855861658983</v>
      </c>
      <c r="J376" s="28" t="n">
        <f aca="false">H376+I376-$B$14</f>
        <v>1305.20079148762</v>
      </c>
      <c r="K376" s="45" t="n">
        <f aca="false">MAX(0,J376)/$B$15</f>
        <v>4.67311418362915</v>
      </c>
    </row>
    <row r="377" customFormat="false" ht="15" hidden="false" customHeight="false" outlineLevel="0" collapsed="false">
      <c r="A377" s="55" t="n">
        <v>337</v>
      </c>
      <c r="B377" s="22" t="n">
        <f aca="true">NORMINV(RAND(),$B$6,$C$6)</f>
        <v>0.119600468375093</v>
      </c>
      <c r="C377" s="22" t="n">
        <f aca="true">MAX(-0.05,NORMINV(RAND(),$B$7,$C$7))</f>
        <v>0.138690051912129</v>
      </c>
      <c r="D377" s="34" t="n">
        <f aca="true">MAX(0.08,NORMINV(RAND(),$B$8,$C$8))</f>
        <v>0.12501006413618</v>
      </c>
      <c r="E377" s="35" t="n">
        <f aca="true">MEDIAN(0,NORMINV(RAND(),$B$9,$C$9),1)</f>
        <v>0.585975414423335</v>
      </c>
      <c r="F377" s="28" t="n">
        <f aca="false">$B$12*(1+(B377+$B$17)/2)^9</f>
        <v>2095.4632807265</v>
      </c>
      <c r="G377" s="28" t="n">
        <f aca="false">F377*(C377-$B$18+$B$19*E377)</f>
        <v>498.223987949821</v>
      </c>
      <c r="H377" s="28" t="n">
        <f aca="false">MAX(0,$B$20*G377)/(1+D377)^9</f>
        <v>1208.13371829855</v>
      </c>
      <c r="I377" s="28" t="n">
        <f aca="false">$B$13*((1+$B$8)/(1+D377))^4.5</f>
        <v>650.90419119223</v>
      </c>
      <c r="J377" s="28" t="n">
        <f aca="false">H377+I377-$B$14</f>
        <v>1187.96599168256</v>
      </c>
      <c r="K377" s="45" t="n">
        <f aca="false">MAX(0,J377)/$B$15</f>
        <v>4.25336910734893</v>
      </c>
    </row>
    <row r="378" customFormat="false" ht="15" hidden="false" customHeight="false" outlineLevel="0" collapsed="false">
      <c r="A378" s="55" t="n">
        <v>338</v>
      </c>
      <c r="B378" s="22" t="n">
        <f aca="true">NORMINV(RAND(),$B$6,$C$6)</f>
        <v>0.345134862923055</v>
      </c>
      <c r="C378" s="22" t="n">
        <f aca="true">MAX(-0.05,NORMINV(RAND(),$B$7,$C$7))</f>
        <v>0.0897977175875579</v>
      </c>
      <c r="D378" s="34" t="n">
        <f aca="true">MAX(0.08,NORMINV(RAND(),$B$8,$C$8))</f>
        <v>0.120656626211066</v>
      </c>
      <c r="E378" s="35" t="n">
        <f aca="true">MEDIAN(0,NORMINV(RAND(),$B$9,$C$9),1)</f>
        <v>0.0285679488720201</v>
      </c>
      <c r="F378" s="28" t="n">
        <f aca="false">$B$12*(1+(B378+$B$17)/2)^9</f>
        <v>5123.13502120167</v>
      </c>
      <c r="G378" s="28" t="n">
        <f aca="false">F378*(C378-$B$18+$B$19*E378)</f>
        <v>168.022144036727</v>
      </c>
      <c r="H378" s="28" t="n">
        <f aca="false">MAX(0,$B$20*G378)/(1+D378)^9</f>
        <v>421.90191041684</v>
      </c>
      <c r="I378" s="28" t="n">
        <f aca="false">$B$13*((1+$B$8)/(1+D378))^4.5</f>
        <v>662.360411021189</v>
      </c>
      <c r="J378" s="28" t="n">
        <f aca="false">H378+I378-$B$14</f>
        <v>413.19040362981</v>
      </c>
      <c r="K378" s="45" t="n">
        <f aca="false">MAX(0,J378)/$B$15</f>
        <v>1.47937845911139</v>
      </c>
    </row>
    <row r="379" customFormat="false" ht="15" hidden="false" customHeight="false" outlineLevel="0" collapsed="false">
      <c r="A379" s="55" t="n">
        <v>339</v>
      </c>
      <c r="B379" s="22" t="n">
        <f aca="true">NORMINV(RAND(),$B$6,$C$6)</f>
        <v>0.270440475619242</v>
      </c>
      <c r="C379" s="22" t="n">
        <f aca="true">MAX(-0.05,NORMINV(RAND(),$B$7,$C$7))</f>
        <v>0.166159694543003</v>
      </c>
      <c r="D379" s="34" t="n">
        <f aca="true">MAX(0.08,NORMINV(RAND(),$B$8,$C$8))</f>
        <v>0.11849132462111</v>
      </c>
      <c r="E379" s="35" t="n">
        <f aca="true">MEDIAN(0,NORMINV(RAND(),$B$9,$C$9),1)</f>
        <v>0.343924668608588</v>
      </c>
      <c r="F379" s="28" t="n">
        <f aca="false">$B$12*(1+(B379+$B$17)/2)^9</f>
        <v>3847.44478254193</v>
      </c>
      <c r="G379" s="28" t="n">
        <f aca="false">F379*(C379-$B$18+$B$19*E379)</f>
        <v>759.711067084172</v>
      </c>
      <c r="H379" s="28" t="n">
        <f aca="false">MAX(0,$B$20*G379)/(1+D379)^9</f>
        <v>1941.12236660819</v>
      </c>
      <c r="I379" s="28" t="n">
        <f aca="false">$B$13*((1+$B$8)/(1+D379))^4.5</f>
        <v>668.150214989889</v>
      </c>
      <c r="J379" s="28" t="n">
        <f aca="false">H379+I379-$B$14</f>
        <v>1938.20066378986</v>
      </c>
      <c r="K379" s="45" t="n">
        <f aca="false">MAX(0,J379)/$B$15</f>
        <v>6.93949396272773</v>
      </c>
    </row>
    <row r="380" customFormat="false" ht="15" hidden="false" customHeight="false" outlineLevel="0" collapsed="false">
      <c r="A380" s="55" t="n">
        <v>340</v>
      </c>
      <c r="B380" s="22" t="n">
        <f aca="true">NORMINV(RAND(),$B$6,$C$6)</f>
        <v>0.710103897031347</v>
      </c>
      <c r="C380" s="22" t="n">
        <f aca="true">MAX(-0.05,NORMINV(RAND(),$B$7,$C$7))</f>
        <v>0.240337975921475</v>
      </c>
      <c r="D380" s="34" t="n">
        <f aca="true">MAX(0.08,NORMINV(RAND(),$B$8,$C$8))</f>
        <v>0.144253760950529</v>
      </c>
      <c r="E380" s="35" t="n">
        <f aca="true">MEDIAN(0,NORMINV(RAND(),$B$9,$C$9),1)</f>
        <v>0.517604723735471</v>
      </c>
      <c r="F380" s="28" t="n">
        <f aca="false">$B$12*(1+(B380+$B$17)/2)^9</f>
        <v>18452.7565247319</v>
      </c>
      <c r="G380" s="28" t="n">
        <f aca="false">F380*(C380-$B$18+$B$19*E380)</f>
        <v>5909.81448329798</v>
      </c>
      <c r="H380" s="28" t="n">
        <f aca="false">MAX(0,$B$20*G380)/(1+D380)^9</f>
        <v>12301.8591741604</v>
      </c>
      <c r="I380" s="28" t="n">
        <f aca="false">$B$13*((1+$B$8)/(1+D380))^4.5</f>
        <v>603.07362268176</v>
      </c>
      <c r="J380" s="28" t="n">
        <f aca="false">H380+I380-$B$14</f>
        <v>12233.8608790339</v>
      </c>
      <c r="K380" s="45" t="n">
        <f aca="false">MAX(0,J380)/$B$15</f>
        <v>43.8018649446255</v>
      </c>
    </row>
    <row r="381" customFormat="false" ht="15" hidden="false" customHeight="false" outlineLevel="0" collapsed="false">
      <c r="A381" s="55" t="n">
        <v>341</v>
      </c>
      <c r="B381" s="22" t="n">
        <f aca="true">NORMINV(RAND(),$B$6,$C$6)</f>
        <v>0.315706420174354</v>
      </c>
      <c r="C381" s="22" t="n">
        <f aca="true">MAX(-0.05,NORMINV(RAND(),$B$7,$C$7))</f>
        <v>0.160015402279931</v>
      </c>
      <c r="D381" s="34" t="n">
        <f aca="true">MAX(0.08,NORMINV(RAND(),$B$8,$C$8))</f>
        <v>0.120006751440418</v>
      </c>
      <c r="E381" s="35" t="n">
        <f aca="true">MEDIAN(0,NORMINV(RAND(),$B$9,$C$9),1)</f>
        <v>0.0568605691627696</v>
      </c>
      <c r="F381" s="28" t="n">
        <f aca="false">$B$12*(1+(B381+$B$17)/2)^9</f>
        <v>4581.52254574768</v>
      </c>
      <c r="G381" s="28" t="n">
        <f aca="false">F381*(C381-$B$18+$B$19*E381)</f>
        <v>508.257442022106</v>
      </c>
      <c r="H381" s="28" t="n">
        <f aca="false">MAX(0,$B$20*G381)/(1+D381)^9</f>
        <v>1282.90949913921</v>
      </c>
      <c r="I381" s="28" t="n">
        <f aca="false">$B$13*((1+$B$8)/(1+D381))^4.5</f>
        <v>664.091649512249</v>
      </c>
      <c r="J381" s="28" t="n">
        <f aca="false">H381+I381-$B$14</f>
        <v>1275.92923084324</v>
      </c>
      <c r="K381" s="45" t="n">
        <f aca="false">MAX(0,J381)/$B$15</f>
        <v>4.56831088737285</v>
      </c>
    </row>
    <row r="382" customFormat="false" ht="15" hidden="false" customHeight="false" outlineLevel="0" collapsed="false">
      <c r="A382" s="55" t="n">
        <v>342</v>
      </c>
      <c r="B382" s="22" t="n">
        <f aca="true">NORMINV(RAND(),$B$6,$C$6)</f>
        <v>0.0149497062355053</v>
      </c>
      <c r="C382" s="22" t="n">
        <f aca="true">MAX(-0.05,NORMINV(RAND(),$B$7,$C$7))</f>
        <v>0.157600125122377</v>
      </c>
      <c r="D382" s="34" t="n">
        <f aca="true">MAX(0.08,NORMINV(RAND(),$B$8,$C$8))</f>
        <v>0.129589794068859</v>
      </c>
      <c r="E382" s="35" t="n">
        <f aca="true">MEDIAN(0,NORMINV(RAND(),$B$9,$C$9),1)</f>
        <v>0.213749298588584</v>
      </c>
      <c r="F382" s="28" t="n">
        <f aca="false">$B$12*(1+(B382+$B$17)/2)^9</f>
        <v>1340.0781099967</v>
      </c>
      <c r="G382" s="28" t="n">
        <f aca="false">F382*(C382-$B$18+$B$19*E382)</f>
        <v>204.294812357853</v>
      </c>
      <c r="H382" s="28" t="n">
        <f aca="false">MAX(0,$B$20*G382)/(1+D382)^9</f>
        <v>477.604643115271</v>
      </c>
      <c r="I382" s="28" t="n">
        <f aca="false">$B$13*((1+$B$8)/(1+D382))^4.5</f>
        <v>639.112751802365</v>
      </c>
      <c r="J382" s="28" t="n">
        <f aca="false">H382+I382-$B$14</f>
        <v>445.645477109417</v>
      </c>
      <c r="K382" s="45" t="n">
        <f aca="false">MAX(0,J382)/$B$15</f>
        <v>1.5955799395253</v>
      </c>
    </row>
    <row r="383" customFormat="false" ht="15" hidden="false" customHeight="false" outlineLevel="0" collapsed="false">
      <c r="A383" s="55" t="n">
        <v>343</v>
      </c>
      <c r="B383" s="22" t="n">
        <f aca="true">NORMINV(RAND(),$B$6,$C$6)</f>
        <v>0.317228884085745</v>
      </c>
      <c r="C383" s="22" t="n">
        <f aca="true">MAX(-0.05,NORMINV(RAND(),$B$7,$C$7))</f>
        <v>0.174461203741486</v>
      </c>
      <c r="D383" s="34" t="n">
        <f aca="true">MAX(0.08,NORMINV(RAND(),$B$8,$C$8))</f>
        <v>0.119524881686009</v>
      </c>
      <c r="E383" s="35" t="n">
        <f aca="true">MEDIAN(0,NORMINV(RAND(),$B$9,$C$9),1)</f>
        <v>0.113619443226089</v>
      </c>
      <c r="F383" s="28" t="n">
        <f aca="false">$B$12*(1+(B383+$B$17)/2)^9</f>
        <v>4608.24037297131</v>
      </c>
      <c r="G383" s="28" t="n">
        <f aca="false">F383*(C383-$B$18+$B$19*E383)</f>
        <v>651.027535875669</v>
      </c>
      <c r="H383" s="28" t="n">
        <f aca="false">MAX(0,$B$20*G383)/(1+D383)^9</f>
        <v>1649.65696532069</v>
      </c>
      <c r="I383" s="28" t="n">
        <f aca="false">$B$13*((1+$B$8)/(1+D383))^4.5</f>
        <v>665.378901505732</v>
      </c>
      <c r="J383" s="28" t="n">
        <f aca="false">H383+I383-$B$14</f>
        <v>1643.9639490182</v>
      </c>
      <c r="K383" s="45" t="n">
        <f aca="false">MAX(0,J383)/$B$15</f>
        <v>5.88601485505979</v>
      </c>
    </row>
    <row r="384" customFormat="false" ht="15" hidden="false" customHeight="false" outlineLevel="0" collapsed="false">
      <c r="A384" s="55" t="n">
        <v>344</v>
      </c>
      <c r="B384" s="22" t="n">
        <f aca="true">NORMINV(RAND(),$B$6,$C$6)</f>
        <v>0.300074617380195</v>
      </c>
      <c r="C384" s="22" t="n">
        <f aca="true">MAX(-0.05,NORMINV(RAND(),$B$7,$C$7))</f>
        <v>0.209785370684755</v>
      </c>
      <c r="D384" s="34" t="n">
        <f aca="true">MAX(0.08,NORMINV(RAND(),$B$8,$C$8))</f>
        <v>0.161704094101952</v>
      </c>
      <c r="E384" s="35" t="n">
        <f aca="true">MEDIAN(0,NORMINV(RAND(),$B$9,$C$9),1)</f>
        <v>0.640722992149724</v>
      </c>
      <c r="F384" s="28" t="n">
        <f aca="false">$B$12*(1+(B384+$B$17)/2)^9</f>
        <v>4315.05853021862</v>
      </c>
      <c r="G384" s="28" t="n">
        <f aca="false">F384*(C384-$B$18+$B$19*E384)</f>
        <v>1398.88936840332</v>
      </c>
      <c r="H384" s="28" t="n">
        <f aca="false">MAX(0,$B$20*G384)/(1+D384)^9</f>
        <v>2541.09984887763</v>
      </c>
      <c r="I384" s="28" t="n">
        <f aca="false">$B$13*((1+$B$8)/(1+D384))^4.5</f>
        <v>563.36655704235</v>
      </c>
      <c r="J384" s="28" t="n">
        <f aca="false">H384+I384-$B$14</f>
        <v>2433.39448811176</v>
      </c>
      <c r="K384" s="45" t="n">
        <f aca="false">MAX(0,J384)/$B$15</f>
        <v>8.71247578987383</v>
      </c>
    </row>
    <row r="385" customFormat="false" ht="15" hidden="false" customHeight="false" outlineLevel="0" collapsed="false">
      <c r="A385" s="55" t="n">
        <v>345</v>
      </c>
      <c r="B385" s="22" t="n">
        <f aca="true">NORMINV(RAND(),$B$6,$C$6)</f>
        <v>0.249907672171924</v>
      </c>
      <c r="C385" s="22" t="n">
        <f aca="true">MAX(-0.05,NORMINV(RAND(),$B$7,$C$7))</f>
        <v>0.166628708910273</v>
      </c>
      <c r="D385" s="34" t="n">
        <f aca="true">MAX(0.08,NORMINV(RAND(),$B$8,$C$8))</f>
        <v>0.121844685896948</v>
      </c>
      <c r="E385" s="35" t="n">
        <f aca="true">MEDIAN(0,NORMINV(RAND(),$B$9,$C$9),1)</f>
        <v>0.312031376933873</v>
      </c>
      <c r="F385" s="28" t="n">
        <f aca="false">$B$12*(1+(B385+$B$17)/2)^9</f>
        <v>3550.43108834141</v>
      </c>
      <c r="G385" s="28" t="n">
        <f aca="false">F385*(C385-$B$18+$B$19*E385)</f>
        <v>671.022579920152</v>
      </c>
      <c r="H385" s="28" t="n">
        <f aca="false">MAX(0,$B$20*G385)/(1+D385)^9</f>
        <v>1668.93936688122</v>
      </c>
      <c r="I385" s="28" t="n">
        <f aca="false">$B$13*((1+$B$8)/(1+D385))^4.5</f>
        <v>659.209707809605</v>
      </c>
      <c r="J385" s="28" t="n">
        <f aca="false">H385+I385-$B$14</f>
        <v>1657.0771568826</v>
      </c>
      <c r="K385" s="45" t="n">
        <f aca="false">MAX(0,J385)/$B$15</f>
        <v>5.932965115942</v>
      </c>
    </row>
    <row r="386" customFormat="false" ht="15" hidden="false" customHeight="false" outlineLevel="0" collapsed="false">
      <c r="A386" s="55" t="n">
        <v>346</v>
      </c>
      <c r="B386" s="22" t="n">
        <f aca="true">NORMINV(RAND(),$B$6,$C$6)</f>
        <v>0.392451298542174</v>
      </c>
      <c r="C386" s="22" t="n">
        <f aca="true">MAX(-0.05,NORMINV(RAND(),$B$7,$C$7))</f>
        <v>0.0842839367779163</v>
      </c>
      <c r="D386" s="34" t="n">
        <f aca="true">MAX(0.08,NORMINV(RAND(),$B$8,$C$8))</f>
        <v>0.162976960972579</v>
      </c>
      <c r="E386" s="35" t="n">
        <f aca="true">MEDIAN(0,NORMINV(RAND(),$B$9,$C$9),1)</f>
        <v>0</v>
      </c>
      <c r="F386" s="28" t="n">
        <f aca="false">$B$12*(1+(B386+$B$17)/2)^9</f>
        <v>6113.87734932166</v>
      </c>
      <c r="G386" s="28" t="n">
        <f aca="false">F386*(C386-$B$18+$B$19*E386)</f>
        <v>117.899624272253</v>
      </c>
      <c r="H386" s="28" t="n">
        <f aca="false">MAX(0,$B$20*G386)/(1+D386)^9</f>
        <v>212.065714283715</v>
      </c>
      <c r="I386" s="28" t="n">
        <f aca="false">$B$13*((1+$B$8)/(1+D386))^4.5</f>
        <v>560.597170477505</v>
      </c>
      <c r="J386" s="28" t="n">
        <f aca="false">H386+I386-$B$14</f>
        <v>101.590966953001</v>
      </c>
      <c r="K386" s="45" t="n">
        <f aca="false">MAX(0,J386)/$B$15</f>
        <v>0.363734217518801</v>
      </c>
    </row>
    <row r="387" customFormat="false" ht="15" hidden="false" customHeight="false" outlineLevel="0" collapsed="false">
      <c r="A387" s="55" t="n">
        <v>347</v>
      </c>
      <c r="B387" s="22" t="n">
        <f aca="true">NORMINV(RAND(),$B$6,$C$6)</f>
        <v>0.175100219250776</v>
      </c>
      <c r="C387" s="22" t="n">
        <f aca="true">MAX(-0.05,NORMINV(RAND(),$B$7,$C$7))</f>
        <v>0.078037177831695</v>
      </c>
      <c r="D387" s="34" t="n">
        <f aca="true">MAX(0.08,NORMINV(RAND(),$B$8,$C$8))</f>
        <v>0.172403997815726</v>
      </c>
      <c r="E387" s="35" t="n">
        <f aca="true">MEDIAN(0,NORMINV(RAND(),$B$9,$C$9),1)</f>
        <v>0.0318624960041244</v>
      </c>
      <c r="F387" s="28" t="n">
        <f aca="false">$B$12*(1+(B387+$B$17)/2)^9</f>
        <v>2633.05395672698</v>
      </c>
      <c r="G387" s="28" t="n">
        <f aca="false">F387*(C387-$B$18+$B$19*E387)</f>
        <v>57.8183806032577</v>
      </c>
      <c r="H387" s="28" t="n">
        <f aca="false">MAX(0,$B$20*G387)/(1+D387)^9</f>
        <v>96.7093239853401</v>
      </c>
      <c r="I387" s="28" t="n">
        <f aca="false">$B$13*((1+$B$8)/(1+D387))^4.5</f>
        <v>540.596331256805</v>
      </c>
      <c r="J387" s="28" t="n">
        <f aca="false">H387+I387-$B$14</f>
        <v>-33.7662625660742</v>
      </c>
      <c r="K387" s="45" t="n">
        <f aca="false">MAX(0,J387)/$B$15</f>
        <v>0</v>
      </c>
    </row>
    <row r="388" customFormat="false" ht="15" hidden="false" customHeight="false" outlineLevel="0" collapsed="false">
      <c r="A388" s="55" t="n">
        <v>348</v>
      </c>
      <c r="B388" s="22" t="n">
        <f aca="true">NORMINV(RAND(),$B$6,$C$6)</f>
        <v>0.341669662958914</v>
      </c>
      <c r="C388" s="22" t="n">
        <f aca="true">MAX(-0.05,NORMINV(RAND(),$B$7,$C$7))</f>
        <v>0.13928140004408</v>
      </c>
      <c r="D388" s="34" t="n">
        <f aca="true">MAX(0.08,NORMINV(RAND(),$B$8,$C$8))</f>
        <v>0.154777857113478</v>
      </c>
      <c r="E388" s="35" t="n">
        <f aca="true">MEDIAN(0,NORMINV(RAND(),$B$9,$C$9),1)</f>
        <v>0</v>
      </c>
      <c r="F388" s="28" t="n">
        <f aca="false">$B$12*(1+(B388+$B$17)/2)^9</f>
        <v>5056.5355057255</v>
      </c>
      <c r="G388" s="28" t="n">
        <f aca="false">F388*(C388-$B$18+$B$19*E388)</f>
        <v>375.606536737889</v>
      </c>
      <c r="H388" s="28" t="n">
        <f aca="false">MAX(0,$B$20*G388)/(1+D388)^9</f>
        <v>720.020982497927</v>
      </c>
      <c r="I388" s="28" t="n">
        <f aca="false">$B$13*((1+$B$8)/(1+D388))^4.5</f>
        <v>578.732520956611</v>
      </c>
      <c r="J388" s="28" t="n">
        <f aca="false">H388+I388-$B$14</f>
        <v>627.681585646319</v>
      </c>
      <c r="K388" s="45" t="n">
        <f aca="false">MAX(0,J388)/$B$15</f>
        <v>2.24733829447303</v>
      </c>
    </row>
    <row r="389" customFormat="false" ht="15" hidden="false" customHeight="false" outlineLevel="0" collapsed="false">
      <c r="A389" s="55" t="n">
        <v>349</v>
      </c>
      <c r="B389" s="22" t="n">
        <f aca="true">NORMINV(RAND(),$B$6,$C$6)</f>
        <v>0.526985801567548</v>
      </c>
      <c r="C389" s="22" t="n">
        <f aca="true">MAX(-0.05,NORMINV(RAND(),$B$7,$C$7))</f>
        <v>0.174810871881311</v>
      </c>
      <c r="D389" s="34" t="n">
        <f aca="true">MAX(0.08,NORMINV(RAND(),$B$8,$C$8))</f>
        <v>0.122395610362531</v>
      </c>
      <c r="E389" s="35" t="n">
        <f aca="true">MEDIAN(0,NORMINV(RAND(),$B$9,$C$9),1)</f>
        <v>0.418027298115413</v>
      </c>
      <c r="F389" s="28" t="n">
        <f aca="false">$B$12*(1+(B389+$B$17)/2)^9</f>
        <v>9925.00048804998</v>
      </c>
      <c r="G389" s="28" t="n">
        <f aca="false">F389*(C389-$B$18+$B$19*E389)</f>
        <v>2251.57087560304</v>
      </c>
      <c r="H389" s="28" t="n">
        <f aca="false">MAX(0,$B$20*G389)/(1+D389)^9</f>
        <v>5575.32292180402</v>
      </c>
      <c r="I389" s="28" t="n">
        <f aca="false">$B$13*((1+$B$8)/(1+D389))^4.5</f>
        <v>657.754888191566</v>
      </c>
      <c r="J389" s="28" t="n">
        <f aca="false">H389+I389-$B$14</f>
        <v>5562.00589218736</v>
      </c>
      <c r="K389" s="45" t="n">
        <f aca="false">MAX(0,J389)/$B$15</f>
        <v>19.9140919877815</v>
      </c>
    </row>
    <row r="390" customFormat="false" ht="15" hidden="false" customHeight="false" outlineLevel="0" collapsed="false">
      <c r="A390" s="55" t="n">
        <v>350</v>
      </c>
      <c r="B390" s="22" t="n">
        <f aca="true">NORMINV(RAND(),$B$6,$C$6)</f>
        <v>0.246408384691447</v>
      </c>
      <c r="C390" s="22" t="n">
        <f aca="true">MAX(-0.05,NORMINV(RAND(),$B$7,$C$7))</f>
        <v>0.0631107668364918</v>
      </c>
      <c r="D390" s="34" t="n">
        <f aca="true">MAX(0.08,NORMINV(RAND(),$B$8,$C$8))</f>
        <v>0.149825774077985</v>
      </c>
      <c r="E390" s="35" t="n">
        <f aca="true">MEDIAN(0,NORMINV(RAND(),$B$9,$C$9),1)</f>
        <v>0.0515719087217184</v>
      </c>
      <c r="F390" s="28" t="n">
        <f aca="false">$B$12*(1+(B390+$B$17)/2)^9</f>
        <v>3501.89866678187</v>
      </c>
      <c r="G390" s="28" t="n">
        <f aca="false">F390*(C390-$B$18+$B$19*E390)</f>
        <v>43.9519844543456</v>
      </c>
      <c r="H390" s="28" t="n">
        <f aca="false">MAX(0,$B$20*G390)/(1+D390)^9</f>
        <v>87.5766188182066</v>
      </c>
      <c r="I390" s="28" t="n">
        <f aca="false">$B$13*((1+$B$8)/(1+D390))^4.5</f>
        <v>590.033574384064</v>
      </c>
      <c r="J390" s="28" t="n">
        <f aca="false">H390+I390-$B$14</f>
        <v>6.5382753940512</v>
      </c>
      <c r="K390" s="45" t="n">
        <f aca="false">MAX(0,J390)/$B$15</f>
        <v>0.023409507318479</v>
      </c>
    </row>
    <row r="391" customFormat="false" ht="15" hidden="false" customHeight="false" outlineLevel="0" collapsed="false">
      <c r="A391" s="55" t="n">
        <v>351</v>
      </c>
      <c r="B391" s="22" t="n">
        <f aca="true">NORMINV(RAND(),$B$6,$C$6)</f>
        <v>0.227155242393693</v>
      </c>
      <c r="C391" s="22" t="n">
        <f aca="true">MAX(-0.05,NORMINV(RAND(),$B$7,$C$7))</f>
        <v>0.167227599408386</v>
      </c>
      <c r="D391" s="34" t="n">
        <f aca="true">MAX(0.08,NORMINV(RAND(),$B$8,$C$8))</f>
        <v>0.186011815971329</v>
      </c>
      <c r="E391" s="35" t="n">
        <f aca="true">MEDIAN(0,NORMINV(RAND(),$B$9,$C$9),1)</f>
        <v>0.554627524744231</v>
      </c>
      <c r="F391" s="28" t="n">
        <f aca="false">$B$12*(1+(B391+$B$17)/2)^9</f>
        <v>3245.26877692117</v>
      </c>
      <c r="G391" s="28" t="n">
        <f aca="false">F391*(C391-$B$18+$B$19*E391)</f>
        <v>835.732345384227</v>
      </c>
      <c r="H391" s="28" t="n">
        <f aca="false">MAX(0,$B$20*G391)/(1+D391)^9</f>
        <v>1259.98132604155</v>
      </c>
      <c r="I391" s="28" t="n">
        <f aca="false">$B$13*((1+$B$8)/(1+D391))^4.5</f>
        <v>513.239804512835</v>
      </c>
      <c r="J391" s="28" t="n">
        <f aca="false">H391+I391-$B$14</f>
        <v>1102.14921274617</v>
      </c>
      <c r="K391" s="45" t="n">
        <f aca="false">MAX(0,J391)/$B$15</f>
        <v>3.94611246955306</v>
      </c>
    </row>
    <row r="392" customFormat="false" ht="15" hidden="false" customHeight="false" outlineLevel="0" collapsed="false">
      <c r="A392" s="55" t="n">
        <v>352</v>
      </c>
      <c r="B392" s="22" t="n">
        <f aca="true">NORMINV(RAND(),$B$6,$C$6)</f>
        <v>0.392354372504646</v>
      </c>
      <c r="C392" s="22" t="n">
        <f aca="true">MAX(-0.05,NORMINV(RAND(),$B$7,$C$7))</f>
        <v>0.0966263474905658</v>
      </c>
      <c r="D392" s="34" t="n">
        <f aca="true">MAX(0.08,NORMINV(RAND(),$B$8,$C$8))</f>
        <v>0.138837281433567</v>
      </c>
      <c r="E392" s="35" t="n">
        <f aca="true">MEDIAN(0,NORMINV(RAND(),$B$9,$C$9),1)</f>
        <v>0.684337599138444</v>
      </c>
      <c r="F392" s="28" t="n">
        <f aca="false">$B$12*(1+(B392+$B$17)/2)^9</f>
        <v>6111.68511831654</v>
      </c>
      <c r="G392" s="28" t="n">
        <f aca="false">F392*(C392-$B$18+$B$19*E392)</f>
        <v>1364.37793506129</v>
      </c>
      <c r="H392" s="28" t="n">
        <f aca="false">MAX(0,$B$20*G392)/(1+D392)^9</f>
        <v>2963.99620883808</v>
      </c>
      <c r="I392" s="28" t="n">
        <f aca="false">$B$13*((1+$B$8)/(1+D392))^4.5</f>
        <v>616.088866135843</v>
      </c>
      <c r="J392" s="28" t="n">
        <f aca="false">H392+I392-$B$14</f>
        <v>2909.0131571657</v>
      </c>
      <c r="K392" s="45" t="n">
        <f aca="false">MAX(0,J392)/$B$15</f>
        <v>10.4153711319932</v>
      </c>
    </row>
    <row r="393" customFormat="false" ht="15" hidden="false" customHeight="false" outlineLevel="0" collapsed="false">
      <c r="A393" s="55" t="n">
        <v>353</v>
      </c>
      <c r="B393" s="22" t="n">
        <f aca="true">NORMINV(RAND(),$B$6,$C$6)</f>
        <v>0.339955519846126</v>
      </c>
      <c r="C393" s="22" t="n">
        <f aca="true">MAX(-0.05,NORMINV(RAND(),$B$7,$C$7))</f>
        <v>0.16667583609289</v>
      </c>
      <c r="D393" s="34" t="n">
        <f aca="true">MAX(0.08,NORMINV(RAND(),$B$8,$C$8))</f>
        <v>0.161626848497741</v>
      </c>
      <c r="E393" s="35" t="n">
        <f aca="true">MEDIAN(0,NORMINV(RAND(),$B$9,$C$9),1)</f>
        <v>0.181879078386365</v>
      </c>
      <c r="F393" s="28" t="n">
        <f aca="false">$B$12*(1+(B393+$B$17)/2)^9</f>
        <v>5023.87588502049</v>
      </c>
      <c r="G393" s="28" t="n">
        <f aca="false">F393*(C393-$B$18+$B$19*E393)</f>
        <v>766.653397486969</v>
      </c>
      <c r="H393" s="28" t="n">
        <f aca="false">MAX(0,$B$20*G393)/(1+D393)^9</f>
        <v>1393.4690699804</v>
      </c>
      <c r="I393" s="28" t="n">
        <f aca="false">$B$13*((1+$B$8)/(1+D393))^4.5</f>
        <v>563.53515847041</v>
      </c>
      <c r="J393" s="28" t="n">
        <f aca="false">H393+I393-$B$14</f>
        <v>1285.93231064259</v>
      </c>
      <c r="K393" s="45" t="n">
        <f aca="false">MAX(0,J393)/$B$15</f>
        <v>4.60412570942568</v>
      </c>
    </row>
    <row r="394" customFormat="false" ht="15" hidden="false" customHeight="false" outlineLevel="0" collapsed="false">
      <c r="A394" s="55" t="n">
        <v>354</v>
      </c>
      <c r="B394" s="22" t="n">
        <f aca="true">NORMINV(RAND(),$B$6,$C$6)</f>
        <v>0.475183226037285</v>
      </c>
      <c r="C394" s="22" t="n">
        <f aca="true">MAX(-0.05,NORMINV(RAND(),$B$7,$C$7))</f>
        <v>0.0263686793311724</v>
      </c>
      <c r="D394" s="34" t="n">
        <f aca="true">MAX(0.08,NORMINV(RAND(),$B$8,$C$8))</f>
        <v>0.133305829883968</v>
      </c>
      <c r="E394" s="35" t="n">
        <f aca="true">MEDIAN(0,NORMINV(RAND(),$B$9,$C$9),1)</f>
        <v>0.240747894205211</v>
      </c>
      <c r="F394" s="28" t="n">
        <f aca="false">$B$12*(1+(B394+$B$17)/2)^9</f>
        <v>8261.25428813477</v>
      </c>
      <c r="G394" s="28" t="n">
        <f aca="false">F394*(C394-$B$18+$B$19*E394)</f>
        <v>237.743117009758</v>
      </c>
      <c r="H394" s="28" t="n">
        <f aca="false">MAX(0,$B$20*G394)/(1+D394)^9</f>
        <v>539.612357521072</v>
      </c>
      <c r="I394" s="28" t="n">
        <f aca="false">$B$13*((1+$B$8)/(1+D394))^4.5</f>
        <v>629.736475709942</v>
      </c>
      <c r="J394" s="28" t="n">
        <f aca="false">H394+I394-$B$14</f>
        <v>498.276915422795</v>
      </c>
      <c r="K394" s="45" t="n">
        <f aca="false">MAX(0,J394)/$B$15</f>
        <v>1.78402046338273</v>
      </c>
    </row>
    <row r="395" customFormat="false" ht="15" hidden="false" customHeight="false" outlineLevel="0" collapsed="false">
      <c r="A395" s="55" t="n">
        <v>355</v>
      </c>
      <c r="B395" s="22" t="n">
        <f aca="true">NORMINV(RAND(),$B$6,$C$6)</f>
        <v>0.197395825986557</v>
      </c>
      <c r="C395" s="22" t="n">
        <f aca="true">MAX(-0.05,NORMINV(RAND(),$B$7,$C$7))</f>
        <v>0.107882709435921</v>
      </c>
      <c r="D395" s="34" t="n">
        <f aca="true">MAX(0.08,NORMINV(RAND(),$B$8,$C$8))</f>
        <v>0.140764083328512</v>
      </c>
      <c r="E395" s="35" t="n">
        <f aca="true">MEDIAN(0,NORMINV(RAND(),$B$9,$C$9),1)</f>
        <v>0.136413757167459</v>
      </c>
      <c r="F395" s="28" t="n">
        <f aca="false">$B$12*(1+(B395+$B$17)/2)^9</f>
        <v>2881.40794912236</v>
      </c>
      <c r="G395" s="28" t="n">
        <f aca="false">F395*(C395-$B$18+$B$19*E395)</f>
        <v>233.620411444715</v>
      </c>
      <c r="H395" s="28" t="n">
        <f aca="false">MAX(0,$B$20*G395)/(1+D395)^9</f>
        <v>499.857569147556</v>
      </c>
      <c r="I395" s="28" t="n">
        <f aca="false">$B$13*((1+$B$8)/(1+D395))^4.5</f>
        <v>611.419979706929</v>
      </c>
      <c r="J395" s="28" t="n">
        <f aca="false">H395+I395-$B$14</f>
        <v>440.205631046266</v>
      </c>
      <c r="K395" s="45" t="n">
        <f aca="false">MAX(0,J395)/$B$15</f>
        <v>1.5761032260876</v>
      </c>
    </row>
    <row r="396" customFormat="false" ht="15" hidden="false" customHeight="false" outlineLevel="0" collapsed="false">
      <c r="A396" s="55" t="n">
        <v>356</v>
      </c>
      <c r="B396" s="22" t="n">
        <f aca="true">NORMINV(RAND(),$B$6,$C$6)</f>
        <v>0.559131206466754</v>
      </c>
      <c r="C396" s="22" t="n">
        <f aca="true">MAX(-0.05,NORMINV(RAND(),$B$7,$C$7))</f>
        <v>0.212820757309555</v>
      </c>
      <c r="D396" s="34" t="n">
        <f aca="true">MAX(0.08,NORMINV(RAND(),$B$8,$C$8))</f>
        <v>0.147541402019713</v>
      </c>
      <c r="E396" s="35" t="n">
        <f aca="true">MEDIAN(0,NORMINV(RAND(),$B$9,$C$9),1)</f>
        <v>0.195510320037549</v>
      </c>
      <c r="F396" s="28" t="n">
        <f aca="false">$B$12*(1+(B396+$B$17)/2)^9</f>
        <v>11101.2829151081</v>
      </c>
      <c r="G396" s="28" t="n">
        <f aca="false">F396*(C396-$B$18+$B$19*E396)</f>
        <v>2248.71635277575</v>
      </c>
      <c r="H396" s="28" t="n">
        <f aca="false">MAX(0,$B$20*G396)/(1+D396)^9</f>
        <v>4561.60260456853</v>
      </c>
      <c r="I396" s="28" t="n">
        <f aca="false">$B$13*((1+$B$8)/(1+D396))^4.5</f>
        <v>595.337537866539</v>
      </c>
      <c r="J396" s="28" t="n">
        <f aca="false">H396+I396-$B$14</f>
        <v>4485.86822462685</v>
      </c>
      <c r="K396" s="45" t="n">
        <f aca="false">MAX(0,J396)/$B$15</f>
        <v>16.0611107219007</v>
      </c>
    </row>
    <row r="397" customFormat="false" ht="15" hidden="false" customHeight="false" outlineLevel="0" collapsed="false">
      <c r="A397" s="55" t="n">
        <v>357</v>
      </c>
      <c r="B397" s="22" t="n">
        <f aca="true">NORMINV(RAND(),$B$6,$C$6)</f>
        <v>0.155431041296025</v>
      </c>
      <c r="C397" s="22" t="n">
        <f aca="true">MAX(-0.05,NORMINV(RAND(),$B$7,$C$7))</f>
        <v>0.149661131002964</v>
      </c>
      <c r="D397" s="34" t="n">
        <f aca="true">MAX(0.08,NORMINV(RAND(),$B$8,$C$8))</f>
        <v>0.137249260985314</v>
      </c>
      <c r="E397" s="35" t="n">
        <f aca="true">MEDIAN(0,NORMINV(RAND(),$B$9,$C$9),1)</f>
        <v>0.0528161448749548</v>
      </c>
      <c r="F397" s="28" t="n">
        <f aca="false">$B$12*(1+(B397+$B$17)/2)^9</f>
        <v>2429.95114415656</v>
      </c>
      <c r="G397" s="28" t="n">
        <f aca="false">F397*(C397-$B$18+$B$19*E397)</f>
        <v>241.657794613514</v>
      </c>
      <c r="H397" s="28" t="n">
        <f aca="false">MAX(0,$B$20*G397)/(1+D397)^9</f>
        <v>531.615797796954</v>
      </c>
      <c r="I397" s="28" t="n">
        <f aca="false">$B$13*((1+$B$8)/(1+D397))^4.5</f>
        <v>619.969632537103</v>
      </c>
      <c r="J397" s="28" t="n">
        <f aca="false">H397+I397-$B$14</f>
        <v>480.513512525839</v>
      </c>
      <c r="K397" s="45" t="n">
        <f aca="false">MAX(0,J397)/$B$15</f>
        <v>1.72042073944088</v>
      </c>
    </row>
    <row r="398" customFormat="false" ht="15" hidden="false" customHeight="false" outlineLevel="0" collapsed="false">
      <c r="A398" s="55" t="n">
        <v>358</v>
      </c>
      <c r="B398" s="22" t="n">
        <f aca="true">NORMINV(RAND(),$B$6,$C$6)</f>
        <v>0.385973564667264</v>
      </c>
      <c r="C398" s="22" t="n">
        <f aca="true">MAX(-0.05,NORMINV(RAND(),$B$7,$C$7))</f>
        <v>0.213296083177548</v>
      </c>
      <c r="D398" s="34" t="n">
        <f aca="true">MAX(0.08,NORMINV(RAND(),$B$8,$C$8))</f>
        <v>0.123579082416186</v>
      </c>
      <c r="E398" s="35" t="n">
        <f aca="true">MEDIAN(0,NORMINV(RAND(),$B$9,$C$9),1)</f>
        <v>0</v>
      </c>
      <c r="F398" s="28" t="n">
        <f aca="false">$B$12*(1+(B398+$B$17)/2)^9</f>
        <v>5968.89467215725</v>
      </c>
      <c r="G398" s="28" t="n">
        <f aca="false">F398*(C398-$B$18+$B$19*E398)</f>
        <v>885.163700780253</v>
      </c>
      <c r="H398" s="28" t="n">
        <f aca="false">MAX(0,$B$20*G398)/(1+D398)^9</f>
        <v>2171.14499337644</v>
      </c>
      <c r="I398" s="28" t="n">
        <f aca="false">$B$13*((1+$B$8)/(1+D398))^4.5</f>
        <v>654.642954057475</v>
      </c>
      <c r="J398" s="28" t="n">
        <f aca="false">H398+I398-$B$14</f>
        <v>2154.71602962569</v>
      </c>
      <c r="K398" s="45" t="n">
        <f aca="false">MAX(0,J398)/$B$15</f>
        <v>7.71470114438128</v>
      </c>
    </row>
    <row r="399" customFormat="false" ht="15" hidden="false" customHeight="false" outlineLevel="0" collapsed="false">
      <c r="A399" s="55" t="n">
        <v>359</v>
      </c>
      <c r="B399" s="22" t="n">
        <f aca="true">NORMINV(RAND(),$B$6,$C$6)</f>
        <v>0.313145034442244</v>
      </c>
      <c r="C399" s="22" t="n">
        <f aca="true">MAX(-0.05,NORMINV(RAND(),$B$7,$C$7))</f>
        <v>0.130279536021323</v>
      </c>
      <c r="D399" s="34" t="n">
        <f aca="true">MAX(0.08,NORMINV(RAND(),$B$8,$C$8))</f>
        <v>0.14211378220246</v>
      </c>
      <c r="E399" s="35" t="n">
        <f aca="true">MEDIAN(0,NORMINV(RAND(),$B$9,$C$9),1)</f>
        <v>0.381191901025654</v>
      </c>
      <c r="F399" s="28" t="n">
        <f aca="false">$B$12*(1+(B399+$B$17)/2)^9</f>
        <v>4536.88318252027</v>
      </c>
      <c r="G399" s="28" t="n">
        <f aca="false">F399*(C399-$B$18+$B$19*E399)</f>
        <v>780.404104159209</v>
      </c>
      <c r="H399" s="28" t="n">
        <f aca="false">MAX(0,$B$20*G399)/(1+D399)^9</f>
        <v>1652.08821741125</v>
      </c>
      <c r="I399" s="28" t="n">
        <f aca="false">$B$13*((1+$B$8)/(1+D399))^4.5</f>
        <v>608.175228092564</v>
      </c>
      <c r="J399" s="28" t="n">
        <f aca="false">H399+I399-$B$14</f>
        <v>1589.19152769559</v>
      </c>
      <c r="K399" s="45" t="n">
        <f aca="false">MAX(0,J399)/$B$15</f>
        <v>5.68990879948296</v>
      </c>
    </row>
    <row r="400" customFormat="false" ht="15" hidden="false" customHeight="false" outlineLevel="0" collapsed="false">
      <c r="A400" s="55" t="n">
        <v>360</v>
      </c>
      <c r="B400" s="22" t="n">
        <f aca="true">NORMINV(RAND(),$B$6,$C$6)</f>
        <v>0.230633759536492</v>
      </c>
      <c r="C400" s="22" t="n">
        <f aca="true">MAX(-0.05,NORMINV(RAND(),$B$7,$C$7))</f>
        <v>0.11380379878134</v>
      </c>
      <c r="D400" s="34" t="n">
        <f aca="true">MAX(0.08,NORMINV(RAND(),$B$8,$C$8))</f>
        <v>0.155215610829549</v>
      </c>
      <c r="E400" s="35" t="n">
        <f aca="true">MEDIAN(0,NORMINV(RAND(),$B$9,$C$9),1)</f>
        <v>0.17407222009052</v>
      </c>
      <c r="F400" s="28" t="n">
        <f aca="false">$B$12*(1+(B400+$B$17)/2)^9</f>
        <v>3290.35800472577</v>
      </c>
      <c r="G400" s="28" t="n">
        <f aca="false">F400*(C400-$B$18+$B$19*E400)</f>
        <v>320.954748358272</v>
      </c>
      <c r="H400" s="28" t="n">
        <f aca="false">MAX(0,$B$20*G400)/(1+D400)^9</f>
        <v>613.160830679028</v>
      </c>
      <c r="I400" s="28" t="n">
        <f aca="false">$B$13*((1+$B$8)/(1+D400))^4.5</f>
        <v>577.746311434541</v>
      </c>
      <c r="J400" s="28" t="n">
        <f aca="false">H400+I400-$B$14</f>
        <v>519.835224305351</v>
      </c>
      <c r="K400" s="45" t="n">
        <f aca="false">MAX(0,J400)/$B$15</f>
        <v>1.8612073909966</v>
      </c>
    </row>
    <row r="401" customFormat="false" ht="15" hidden="false" customHeight="false" outlineLevel="0" collapsed="false">
      <c r="A401" s="55" t="n">
        <v>361</v>
      </c>
      <c r="B401" s="22" t="n">
        <f aca="true">NORMINV(RAND(),$B$6,$C$6)</f>
        <v>0.452920595160073</v>
      </c>
      <c r="C401" s="22" t="n">
        <f aca="true">MAX(-0.05,NORMINV(RAND(),$B$7,$C$7))</f>
        <v>0.172608383909324</v>
      </c>
      <c r="D401" s="34" t="n">
        <f aca="true">MAX(0.08,NORMINV(RAND(),$B$8,$C$8))</f>
        <v>0.136707132293636</v>
      </c>
      <c r="E401" s="35" t="n">
        <f aca="true">MEDIAN(0,NORMINV(RAND(),$B$9,$C$9),1)</f>
        <v>0.137492651712802</v>
      </c>
      <c r="F401" s="28" t="n">
        <f aca="false">$B$12*(1+(B401+$B$17)/2)^9</f>
        <v>7625.97448291349</v>
      </c>
      <c r="G401" s="28" t="n">
        <f aca="false">F401*(C401-$B$18+$B$19*E401)</f>
        <v>1114.20311683405</v>
      </c>
      <c r="H401" s="28" t="n">
        <f aca="false">MAX(0,$B$20*G401)/(1+D401)^9</f>
        <v>2461.64342235828</v>
      </c>
      <c r="I401" s="28" t="n">
        <f aca="false">$B$13*((1+$B$8)/(1+D401))^4.5</f>
        <v>621.301310475224</v>
      </c>
      <c r="J401" s="28" t="n">
        <f aca="false">H401+I401-$B$14</f>
        <v>2411.87281502528</v>
      </c>
      <c r="K401" s="45" t="n">
        <f aca="false">MAX(0,J401)/$B$15</f>
        <v>8.63542003231394</v>
      </c>
    </row>
    <row r="402" customFormat="false" ht="15" hidden="false" customHeight="false" outlineLevel="0" collapsed="false">
      <c r="A402" s="55" t="n">
        <v>362</v>
      </c>
      <c r="B402" s="22" t="n">
        <f aca="true">NORMINV(RAND(),$B$6,$C$6)</f>
        <v>0.269381744116791</v>
      </c>
      <c r="C402" s="22" t="n">
        <f aca="true">MAX(-0.05,NORMINV(RAND(),$B$7,$C$7))</f>
        <v>0.174293754763428</v>
      </c>
      <c r="D402" s="34" t="n">
        <f aca="true">MAX(0.08,NORMINV(RAND(),$B$8,$C$8))</f>
        <v>0.150907489437069</v>
      </c>
      <c r="E402" s="35" t="n">
        <f aca="true">MEDIAN(0,NORMINV(RAND(),$B$9,$C$9),1)</f>
        <v>0.389543708516669</v>
      </c>
      <c r="F402" s="28" t="n">
        <f aca="false">$B$12*(1+(B402+$B$17)/2)^9</f>
        <v>3831.60642883894</v>
      </c>
      <c r="G402" s="28" t="n">
        <f aca="false">F402*(C402-$B$18+$B$19*E402)</f>
        <v>836.692543186041</v>
      </c>
      <c r="H402" s="28" t="n">
        <f aca="false">MAX(0,$B$20*G402)/(1+D402)^9</f>
        <v>1653.10406034226</v>
      </c>
      <c r="I402" s="28" t="n">
        <f aca="false">$B$13*((1+$B$8)/(1+D402))^4.5</f>
        <v>587.542151396798</v>
      </c>
      <c r="J402" s="28" t="n">
        <f aca="false">H402+I402-$B$14</f>
        <v>1569.57429393084</v>
      </c>
      <c r="K402" s="45" t="n">
        <f aca="false">MAX(0,J402)/$B$15</f>
        <v>5.61967165746811</v>
      </c>
    </row>
    <row r="403" customFormat="false" ht="15" hidden="false" customHeight="false" outlineLevel="0" collapsed="false">
      <c r="A403" s="55" t="n">
        <v>363</v>
      </c>
      <c r="B403" s="22" t="n">
        <f aca="true">NORMINV(RAND(),$B$6,$C$6)</f>
        <v>0.472408727095905</v>
      </c>
      <c r="C403" s="22" t="n">
        <f aca="true">MAX(-0.05,NORMINV(RAND(),$B$7,$C$7))</f>
        <v>0.170893851981169</v>
      </c>
      <c r="D403" s="34" t="n">
        <f aca="true">MAX(0.08,NORMINV(RAND(),$B$8,$C$8))</f>
        <v>0.148749014585823</v>
      </c>
      <c r="E403" s="35" t="n">
        <f aca="true">MEDIAN(0,NORMINV(RAND(),$B$9,$C$9),1)</f>
        <v>0.179930461399119</v>
      </c>
      <c r="F403" s="28" t="n">
        <f aca="false">$B$12*(1+(B403+$B$17)/2)^9</f>
        <v>8179.59833363768</v>
      </c>
      <c r="G403" s="28" t="n">
        <f aca="false">F403*(C403-$B$18+$B$19*E403)</f>
        <v>1278.2616678323</v>
      </c>
      <c r="H403" s="28" t="n">
        <f aca="false">MAX(0,$B$20*G403)/(1+D403)^9</f>
        <v>2568.57019596379</v>
      </c>
      <c r="I403" s="28" t="n">
        <f aca="false">$B$13*((1+$B$8)/(1+D403))^4.5</f>
        <v>592.526418688762</v>
      </c>
      <c r="J403" s="28" t="n">
        <f aca="false">H403+I403-$B$14</f>
        <v>2490.02469684433</v>
      </c>
      <c r="K403" s="45" t="n">
        <f aca="false">MAX(0,J403)/$B$15</f>
        <v>8.91523342944624</v>
      </c>
    </row>
    <row r="404" customFormat="false" ht="15" hidden="false" customHeight="false" outlineLevel="0" collapsed="false">
      <c r="A404" s="55" t="n">
        <v>364</v>
      </c>
      <c r="B404" s="22" t="n">
        <f aca="true">NORMINV(RAND(),$B$6,$C$6)</f>
        <v>0.622193763554381</v>
      </c>
      <c r="C404" s="22" t="n">
        <f aca="true">MAX(-0.05,NORMINV(RAND(),$B$7,$C$7))</f>
        <v>0.0369884038752094</v>
      </c>
      <c r="D404" s="34" t="n">
        <f aca="true">MAX(0.08,NORMINV(RAND(),$B$8,$C$8))</f>
        <v>0.157938131093932</v>
      </c>
      <c r="E404" s="35" t="n">
        <f aca="true">MEDIAN(0,NORMINV(RAND(),$B$9,$C$9),1)</f>
        <v>0.811561915415604</v>
      </c>
      <c r="F404" s="28" t="n">
        <f aca="false">$B$12*(1+(B404+$B$17)/2)^9</f>
        <v>13774.5142803648</v>
      </c>
      <c r="G404" s="28" t="n">
        <f aca="false">F404*(C404-$B$18+$B$19*E404)</f>
        <v>2744.23780328515</v>
      </c>
      <c r="H404" s="28" t="n">
        <f aca="false">MAX(0,$B$20*G404)/(1+D404)^9</f>
        <v>5132.76738540622</v>
      </c>
      <c r="I404" s="28" t="n">
        <f aca="false">$B$13*((1+$B$8)/(1+D404))^4.5</f>
        <v>571.658679950757</v>
      </c>
      <c r="J404" s="28" t="n">
        <f aca="false">H404+I404-$B$14</f>
        <v>5033.35414754876</v>
      </c>
      <c r="K404" s="45" t="n">
        <f aca="false">MAX(0,J404)/$B$15</f>
        <v>18.021318107944</v>
      </c>
    </row>
    <row r="405" customFormat="false" ht="15" hidden="false" customHeight="false" outlineLevel="0" collapsed="false">
      <c r="A405" s="55" t="n">
        <v>365</v>
      </c>
      <c r="B405" s="22" t="n">
        <f aca="true">NORMINV(RAND(),$B$6,$C$6)</f>
        <v>0.353206939517697</v>
      </c>
      <c r="C405" s="22" t="n">
        <f aca="true">MAX(-0.05,NORMINV(RAND(),$B$7,$C$7))</f>
        <v>0.0918293166861574</v>
      </c>
      <c r="D405" s="34" t="n">
        <f aca="true">MAX(0.08,NORMINV(RAND(),$B$8,$C$8))</f>
        <v>0.128310263548534</v>
      </c>
      <c r="E405" s="35" t="n">
        <f aca="true">MEDIAN(0,NORMINV(RAND(),$B$9,$C$9),1)</f>
        <v>0</v>
      </c>
      <c r="F405" s="28" t="n">
        <f aca="false">$B$12*(1+(B405+$B$17)/2)^9</f>
        <v>5281.30950368063</v>
      </c>
      <c r="G405" s="28" t="n">
        <f aca="false">F405*(C405-$B$18+$B$19*E405)</f>
        <v>141.693925191861</v>
      </c>
      <c r="H405" s="28" t="n">
        <f aca="false">MAX(0,$B$20*G405)/(1+D405)^9</f>
        <v>334.651228182983</v>
      </c>
      <c r="I405" s="28" t="n">
        <f aca="false">$B$13*((1+$B$8)/(1+D405))^4.5</f>
        <v>642.380690806887</v>
      </c>
      <c r="J405" s="28" t="n">
        <f aca="false">H405+I405-$B$14</f>
        <v>305.960001181651</v>
      </c>
      <c r="K405" s="45" t="n">
        <f aca="false">MAX(0,J405)/$B$15</f>
        <v>1.09545292224007</v>
      </c>
    </row>
    <row r="406" customFormat="false" ht="15" hidden="false" customHeight="false" outlineLevel="0" collapsed="false">
      <c r="A406" s="55" t="n">
        <v>366</v>
      </c>
      <c r="B406" s="22" t="n">
        <f aca="true">NORMINV(RAND(),$B$6,$C$6)</f>
        <v>0.484213305273857</v>
      </c>
      <c r="C406" s="22" t="n">
        <f aca="true">MAX(-0.05,NORMINV(RAND(),$B$7,$C$7))</f>
        <v>0.143377452405193</v>
      </c>
      <c r="D406" s="34" t="n">
        <f aca="true">MAX(0.08,NORMINV(RAND(),$B$8,$C$8))</f>
        <v>0.141734652300578</v>
      </c>
      <c r="E406" s="35" t="n">
        <f aca="true">MEDIAN(0,NORMINV(RAND(),$B$9,$C$9),1)</f>
        <v>0.0777452700896327</v>
      </c>
      <c r="F406" s="28" t="n">
        <f aca="false">$B$12*(1+(B406+$B$17)/2)^9</f>
        <v>8532.05806682461</v>
      </c>
      <c r="G406" s="28" t="n">
        <f aca="false">F406*(C406-$B$18+$B$19*E406)</f>
        <v>854.452579522087</v>
      </c>
      <c r="H406" s="28" t="n">
        <f aca="false">MAX(0,$B$20*G406)/(1+D406)^9</f>
        <v>1814.25932583385</v>
      </c>
      <c r="I406" s="28" t="n">
        <f aca="false">$B$13*((1+$B$8)/(1+D406))^4.5</f>
        <v>609.084547515081</v>
      </c>
      <c r="J406" s="28" t="n">
        <f aca="false">H406+I406-$B$14</f>
        <v>1752.27195554072</v>
      </c>
      <c r="K406" s="45" t="n">
        <f aca="false">MAX(0,J406)/$B$15</f>
        <v>6.27379862348985</v>
      </c>
    </row>
    <row r="407" customFormat="false" ht="15" hidden="false" customHeight="false" outlineLevel="0" collapsed="false">
      <c r="A407" s="55" t="n">
        <v>367</v>
      </c>
      <c r="B407" s="22" t="n">
        <f aca="true">NORMINV(RAND(),$B$6,$C$6)</f>
        <v>0.315149711579442</v>
      </c>
      <c r="C407" s="22" t="n">
        <f aca="true">MAX(-0.05,NORMINV(RAND(),$B$7,$C$7))</f>
        <v>0.0469844198987756</v>
      </c>
      <c r="D407" s="34" t="n">
        <f aca="true">MAX(0.08,NORMINV(RAND(),$B$8,$C$8))</f>
        <v>0.110480917441907</v>
      </c>
      <c r="E407" s="35" t="n">
        <f aca="true">MEDIAN(0,NORMINV(RAND(),$B$9,$C$9),1)</f>
        <v>0.175162966301556</v>
      </c>
      <c r="F407" s="28" t="n">
        <f aca="false">$B$12*(1+(B407+$B$17)/2)^9</f>
        <v>4571.78726243253</v>
      </c>
      <c r="G407" s="28" t="n">
        <f aca="false">F407*(C407-$B$18+$B$19*E407)</f>
        <v>141.862789460348</v>
      </c>
      <c r="H407" s="28" t="n">
        <f aca="false">MAX(0,$B$20*G407)/(1+D407)^9</f>
        <v>386.693289047549</v>
      </c>
      <c r="I407" s="28" t="n">
        <f aca="false">$B$13*((1+$B$8)/(1+D407))^4.5</f>
        <v>690.11418155631</v>
      </c>
      <c r="J407" s="28" t="n">
        <f aca="false">H407+I407-$B$14</f>
        <v>405.735552795639</v>
      </c>
      <c r="K407" s="45" t="n">
        <f aca="false">MAX(0,J407)/$B$15</f>
        <v>1.45268726385836</v>
      </c>
    </row>
    <row r="408" customFormat="false" ht="15" hidden="false" customHeight="false" outlineLevel="0" collapsed="false">
      <c r="A408" s="55" t="n">
        <v>368</v>
      </c>
      <c r="B408" s="22" t="n">
        <f aca="true">NORMINV(RAND(),$B$6,$C$6)</f>
        <v>0.248432584503439</v>
      </c>
      <c r="C408" s="22" t="n">
        <f aca="true">MAX(-0.05,NORMINV(RAND(),$B$7,$C$7))</f>
        <v>0.113285048324476</v>
      </c>
      <c r="D408" s="34" t="n">
        <f aca="true">MAX(0.08,NORMINV(RAND(),$B$8,$C$8))</f>
        <v>0.173535002399607</v>
      </c>
      <c r="E408" s="35" t="n">
        <f aca="true">MEDIAN(0,NORMINV(RAND(),$B$9,$C$9),1)</f>
        <v>0.218939831490939</v>
      </c>
      <c r="F408" s="28" t="n">
        <f aca="false">$B$12*(1+(B408+$B$17)/2)^9</f>
        <v>3529.90034557943</v>
      </c>
      <c r="G408" s="28" t="n">
        <f aca="false">F408*(C408-$B$18+$B$19*E408)</f>
        <v>386.835429082359</v>
      </c>
      <c r="H408" s="28" t="n">
        <f aca="false">MAX(0,$B$20*G408)/(1+D408)^9</f>
        <v>641.44563567654</v>
      </c>
      <c r="I408" s="28" t="n">
        <f aca="false">$B$13*((1+$B$8)/(1+D408))^4.5</f>
        <v>538.255762386579</v>
      </c>
      <c r="J408" s="28" t="n">
        <f aca="false">H408+I408-$B$14</f>
        <v>508.629480254899</v>
      </c>
      <c r="K408" s="45" t="n">
        <f aca="false">MAX(0,J408)/$B$15</f>
        <v>1.82108657448943</v>
      </c>
    </row>
    <row r="409" customFormat="false" ht="15" hidden="false" customHeight="false" outlineLevel="0" collapsed="false">
      <c r="A409" s="55" t="n">
        <v>369</v>
      </c>
      <c r="B409" s="22" t="n">
        <f aca="true">NORMINV(RAND(),$B$6,$C$6)</f>
        <v>0.384879962292702</v>
      </c>
      <c r="C409" s="22" t="n">
        <f aca="true">MAX(-0.05,NORMINV(RAND(),$B$7,$C$7))</f>
        <v>0.167046098297482</v>
      </c>
      <c r="D409" s="34" t="n">
        <f aca="true">MAX(0.08,NORMINV(RAND(),$B$8,$C$8))</f>
        <v>0.138472998368342</v>
      </c>
      <c r="E409" s="35" t="n">
        <f aca="true">MEDIAN(0,NORMINV(RAND(),$B$9,$C$9),1)</f>
        <v>0.139243678380377</v>
      </c>
      <c r="F409" s="28" t="n">
        <f aca="false">$B$12*(1+(B409+$B$17)/2)^9</f>
        <v>5944.72187976535</v>
      </c>
      <c r="G409" s="28" t="n">
        <f aca="false">F409*(C409-$B$18+$B$19*E409)</f>
        <v>838.409856910044</v>
      </c>
      <c r="H409" s="28" t="n">
        <f aca="false">MAX(0,$B$20*G409)/(1+D409)^9</f>
        <v>1826.62670613941</v>
      </c>
      <c r="I409" s="28" t="n">
        <f aca="false">$B$13*((1+$B$8)/(1+D409))^4.5</f>
        <v>616.976462070516</v>
      </c>
      <c r="J409" s="28" t="n">
        <f aca="false">H409+I409-$B$14</f>
        <v>1772.53125040171</v>
      </c>
      <c r="K409" s="45" t="n">
        <f aca="false">MAX(0,J409)/$B$15</f>
        <v>6.34633458790443</v>
      </c>
    </row>
    <row r="410" customFormat="false" ht="15" hidden="false" customHeight="false" outlineLevel="0" collapsed="false">
      <c r="A410" s="55" t="n">
        <v>370</v>
      </c>
      <c r="B410" s="22" t="n">
        <f aca="true">NORMINV(RAND(),$B$6,$C$6)</f>
        <v>0.304754845784217</v>
      </c>
      <c r="C410" s="22" t="n">
        <f aca="true">MAX(-0.05,NORMINV(RAND(),$B$7,$C$7))</f>
        <v>0.170978373925309</v>
      </c>
      <c r="D410" s="34" t="n">
        <f aca="true">MAX(0.08,NORMINV(RAND(),$B$8,$C$8))</f>
        <v>0.143121670660742</v>
      </c>
      <c r="E410" s="35" t="n">
        <f aca="true">MEDIAN(0,NORMINV(RAND(),$B$9,$C$9),1)</f>
        <v>0.544573052777817</v>
      </c>
      <c r="F410" s="28" t="n">
        <f aca="false">$B$12*(1+(B410+$B$17)/2)^9</f>
        <v>4393.35519567801</v>
      </c>
      <c r="G410" s="28" t="n">
        <f aca="false">F410*(C410-$B$18+$B$19*E410)</f>
        <v>1135.50143795161</v>
      </c>
      <c r="H410" s="28" t="n">
        <f aca="false">MAX(0,$B$20*G410)/(1+D410)^9</f>
        <v>2384.80902784555</v>
      </c>
      <c r="I410" s="28" t="n">
        <f aca="false">$B$13*((1+$B$8)/(1+D410))^4.5</f>
        <v>605.765926733116</v>
      </c>
      <c r="J410" s="28" t="n">
        <f aca="false">H410+I410-$B$14</f>
        <v>2319.50303677045</v>
      </c>
      <c r="K410" s="45" t="n">
        <f aca="false">MAX(0,J410)/$B$15</f>
        <v>8.30470116996222</v>
      </c>
    </row>
    <row r="411" customFormat="false" ht="15" hidden="false" customHeight="false" outlineLevel="0" collapsed="false">
      <c r="A411" s="55" t="n">
        <v>371</v>
      </c>
      <c r="B411" s="22" t="n">
        <f aca="true">NORMINV(RAND(),$B$6,$C$6)</f>
        <v>0.42802608050112</v>
      </c>
      <c r="C411" s="22" t="n">
        <f aca="true">MAX(-0.05,NORMINV(RAND(),$B$7,$C$7))</f>
        <v>0.124471313808397</v>
      </c>
      <c r="D411" s="34" t="n">
        <f aca="true">MAX(0.08,NORMINV(RAND(),$B$8,$C$8))</f>
        <v>0.146137777649415</v>
      </c>
      <c r="E411" s="35" t="n">
        <f aca="true">MEDIAN(0,NORMINV(RAND(),$B$9,$C$9),1)</f>
        <v>0.0010824821429119</v>
      </c>
      <c r="F411" s="28" t="n">
        <f aca="false">$B$12*(1+(B411+$B$17)/2)^9</f>
        <v>6967.34058415284</v>
      </c>
      <c r="G411" s="28" t="n">
        <f aca="false">F411*(C411-$B$18+$B$19*E411)</f>
        <v>416.468664384596</v>
      </c>
      <c r="H411" s="28" t="n">
        <f aca="false">MAX(0,$B$20*G411)/(1+D411)^9</f>
        <v>854.179064526516</v>
      </c>
      <c r="I411" s="28" t="n">
        <f aca="false">$B$13*((1+$B$8)/(1+D411))^4.5</f>
        <v>598.625452725721</v>
      </c>
      <c r="J411" s="28" t="n">
        <f aca="false">H411+I411-$B$14</f>
        <v>781.732599444018</v>
      </c>
      <c r="K411" s="45" t="n">
        <f aca="false">MAX(0,J411)/$B$15</f>
        <v>2.79889938934486</v>
      </c>
    </row>
    <row r="412" customFormat="false" ht="15" hidden="false" customHeight="false" outlineLevel="0" collapsed="false">
      <c r="A412" s="55" t="n">
        <v>372</v>
      </c>
      <c r="B412" s="22" t="n">
        <f aca="true">NORMINV(RAND(),$B$6,$C$6)</f>
        <v>0.415308768979457</v>
      </c>
      <c r="C412" s="22" t="n">
        <f aca="true">MAX(-0.05,NORMINV(RAND(),$B$7,$C$7))</f>
        <v>0.13721681439729</v>
      </c>
      <c r="D412" s="34" t="n">
        <f aca="true">MAX(0.08,NORMINV(RAND(),$B$8,$C$8))</f>
        <v>0.0905129778009556</v>
      </c>
      <c r="E412" s="35" t="n">
        <f aca="true">MEDIAN(0,NORMINV(RAND(),$B$9,$C$9),1)</f>
        <v>0.489942651792064</v>
      </c>
      <c r="F412" s="28" t="n">
        <f aca="false">$B$12*(1+(B412+$B$17)/2)^9</f>
        <v>6650.80741094143</v>
      </c>
      <c r="G412" s="28" t="n">
        <f aca="false">F412*(C412-$B$18+$B$19*E412)</f>
        <v>1392.68410584107</v>
      </c>
      <c r="H412" s="28" t="n">
        <f aca="false">MAX(0,$B$20*G412)/(1+D412)^9</f>
        <v>4469.64585879651</v>
      </c>
      <c r="I412" s="28" t="n">
        <f aca="false">$B$13*((1+$B$8)/(1+D412))^4.5</f>
        <v>748.828094098425</v>
      </c>
      <c r="J412" s="28" t="n">
        <f aca="false">H412+I412-$B$14</f>
        <v>4547.40203508671</v>
      </c>
      <c r="K412" s="45" t="n">
        <f aca="false">MAX(0,J412)/$B$15</f>
        <v>16.2814251166728</v>
      </c>
    </row>
    <row r="413" customFormat="false" ht="15" hidden="false" customHeight="false" outlineLevel="0" collapsed="false">
      <c r="A413" s="55" t="n">
        <v>373</v>
      </c>
      <c r="B413" s="22" t="n">
        <f aca="true">NORMINV(RAND(),$B$6,$C$6)</f>
        <v>0.38351039077676</v>
      </c>
      <c r="C413" s="22" t="n">
        <f aca="true">MAX(-0.05,NORMINV(RAND(),$B$7,$C$7))</f>
        <v>0.155384345977844</v>
      </c>
      <c r="D413" s="34" t="n">
        <f aca="true">MAX(0.08,NORMINV(RAND(),$B$8,$C$8))</f>
        <v>0.124858982223964</v>
      </c>
      <c r="E413" s="35" t="n">
        <f aca="true">MEDIAN(0,NORMINV(RAND(),$B$9,$C$9),1)</f>
        <v>0.376990424880714</v>
      </c>
      <c r="F413" s="28" t="n">
        <f aca="false">$B$12*(1+(B413+$B$17)/2)^9</f>
        <v>5914.57186367786</v>
      </c>
      <c r="G413" s="28" t="n">
        <f aca="false">F413*(C413-$B$18+$B$19*E413)</f>
        <v>1158.9110584026</v>
      </c>
      <c r="H413" s="28" t="n">
        <f aca="false">MAX(0,$B$20*G413)/(1+D413)^9</f>
        <v>2813.61986509119</v>
      </c>
      <c r="I413" s="28" t="n">
        <f aca="false">$B$13*((1+$B$8)/(1+D413))^4.5</f>
        <v>651.297692384575</v>
      </c>
      <c r="J413" s="28" t="n">
        <f aca="false">H413+I413-$B$14</f>
        <v>2793.84563966754</v>
      </c>
      <c r="K413" s="45" t="n">
        <f aca="false">MAX(0,J413)/$B$15</f>
        <v>10.0030277109472</v>
      </c>
    </row>
    <row r="414" customFormat="false" ht="15" hidden="false" customHeight="false" outlineLevel="0" collapsed="false">
      <c r="A414" s="55" t="n">
        <v>374</v>
      </c>
      <c r="B414" s="22" t="n">
        <f aca="true">NORMINV(RAND(),$B$6,$C$6)</f>
        <v>0.494816939169182</v>
      </c>
      <c r="C414" s="22" t="n">
        <f aca="true">MAX(-0.05,NORMINV(RAND(),$B$7,$C$7))</f>
        <v>0.205204164881916</v>
      </c>
      <c r="D414" s="34" t="n">
        <f aca="true">MAX(0.08,NORMINV(RAND(),$B$8,$C$8))</f>
        <v>0.160204068480925</v>
      </c>
      <c r="E414" s="35" t="n">
        <f aca="true">MEDIAN(0,NORMINV(RAND(),$B$9,$C$9),1)</f>
        <v>0.444772450343582</v>
      </c>
      <c r="F414" s="28" t="n">
        <f aca="false">$B$12*(1+(B414+$B$17)/2)^9</f>
        <v>8860.10246050538</v>
      </c>
      <c r="G414" s="28" t="n">
        <f aca="false">F414*(C414-$B$18+$B$19*E414)</f>
        <v>2345.62752110654</v>
      </c>
      <c r="H414" s="28" t="n">
        <f aca="false">MAX(0,$B$20*G414)/(1+D414)^9</f>
        <v>4310.69833650584</v>
      </c>
      <c r="I414" s="28" t="n">
        <f aca="false">$B$13*((1+$B$8)/(1+D414))^4.5</f>
        <v>566.651670992949</v>
      </c>
      <c r="J414" s="28" t="n">
        <f aca="false">H414+I414-$B$14</f>
        <v>4206.27808969057</v>
      </c>
      <c r="K414" s="45" t="n">
        <f aca="false">MAX(0,J414)/$B$15</f>
        <v>15.0600719287167</v>
      </c>
    </row>
    <row r="415" customFormat="false" ht="15" hidden="false" customHeight="false" outlineLevel="0" collapsed="false">
      <c r="A415" s="55" t="n">
        <v>375</v>
      </c>
      <c r="B415" s="22" t="n">
        <f aca="true">NORMINV(RAND(),$B$6,$C$6)</f>
        <v>0.407327030838354</v>
      </c>
      <c r="C415" s="22" t="n">
        <f aca="true">MAX(-0.05,NORMINV(RAND(),$B$7,$C$7))</f>
        <v>0.128923942185465</v>
      </c>
      <c r="D415" s="34" t="n">
        <f aca="true">MAX(0.08,NORMINV(RAND(),$B$8,$C$8))</f>
        <v>0.153744160599297</v>
      </c>
      <c r="E415" s="35" t="n">
        <f aca="true">MEDIAN(0,NORMINV(RAND(),$B$9,$C$9),1)</f>
        <v>0</v>
      </c>
      <c r="F415" s="28" t="n">
        <f aca="false">$B$12*(1+(B415+$B$17)/2)^9</f>
        <v>6458.73403974001</v>
      </c>
      <c r="G415" s="28" t="n">
        <f aca="false">F415*(C415-$B$18+$B$19*E415)</f>
        <v>412.867741347634</v>
      </c>
      <c r="H415" s="28" t="n">
        <f aca="false">MAX(0,$B$20*G415)/(1+D415)^9</f>
        <v>797.85385500281</v>
      </c>
      <c r="I415" s="28" t="n">
        <f aca="false">$B$13*((1+$B$8)/(1+D415))^4.5</f>
        <v>581.069500156435</v>
      </c>
      <c r="J415" s="28" t="n">
        <f aca="false">H415+I415-$B$14</f>
        <v>707.851437351026</v>
      </c>
      <c r="K415" s="45" t="n">
        <f aca="false">MAX(0,J415)/$B$15</f>
        <v>2.53437678965638</v>
      </c>
    </row>
    <row r="416" customFormat="false" ht="15" hidden="false" customHeight="false" outlineLevel="0" collapsed="false">
      <c r="A416" s="55" t="n">
        <v>376</v>
      </c>
      <c r="B416" s="22" t="n">
        <f aca="true">NORMINV(RAND(),$B$6,$C$6)</f>
        <v>0.486047258646127</v>
      </c>
      <c r="C416" s="22" t="n">
        <f aca="true">MAX(-0.05,NORMINV(RAND(),$B$7,$C$7))</f>
        <v>0.195693244151533</v>
      </c>
      <c r="D416" s="34" t="n">
        <f aca="true">MAX(0.08,NORMINV(RAND(),$B$8,$C$8))</f>
        <v>0.167811797222088</v>
      </c>
      <c r="E416" s="35" t="n">
        <f aca="true">MEDIAN(0,NORMINV(RAND(),$B$9,$C$9),1)</f>
        <v>0.19311047757768</v>
      </c>
      <c r="F416" s="28" t="n">
        <f aca="false">$B$12*(1+(B416+$B$17)/2)^9</f>
        <v>8588.01075963133</v>
      </c>
      <c r="G416" s="28" t="n">
        <f aca="false">F416*(C416-$B$18+$B$19*E416)</f>
        <v>1586.75674757019</v>
      </c>
      <c r="H416" s="28" t="n">
        <f aca="false">MAX(0,$B$20*G416)/(1+D416)^9</f>
        <v>2749.49332852445</v>
      </c>
      <c r="I416" s="28" t="n">
        <f aca="false">$B$13*((1+$B$8)/(1+D416))^4.5</f>
        <v>550.228447656876</v>
      </c>
      <c r="J416" s="28" t="n">
        <f aca="false">H416+I416-$B$14</f>
        <v>2628.64985837311</v>
      </c>
      <c r="K416" s="45" t="n">
        <f aca="false">MAX(0,J416)/$B$15</f>
        <v>9.41156411877232</v>
      </c>
    </row>
    <row r="417" customFormat="false" ht="15" hidden="false" customHeight="false" outlineLevel="0" collapsed="false">
      <c r="A417" s="55" t="n">
        <v>377</v>
      </c>
      <c r="B417" s="22" t="n">
        <f aca="true">NORMINV(RAND(),$B$6,$C$6)</f>
        <v>0.269448871902124</v>
      </c>
      <c r="C417" s="22" t="n">
        <f aca="true">MAX(-0.05,NORMINV(RAND(),$B$7,$C$7))</f>
        <v>0.161549296189838</v>
      </c>
      <c r="D417" s="34" t="n">
        <f aca="true">MAX(0.08,NORMINV(RAND(),$B$8,$C$8))</f>
        <v>0.17377919348549</v>
      </c>
      <c r="E417" s="35" t="n">
        <f aca="true">MEDIAN(0,NORMINV(RAND(),$B$9,$C$9),1)</f>
        <v>0.13275116800885</v>
      </c>
      <c r="F417" s="28" t="n">
        <f aca="false">$B$12*(1+(B417+$B$17)/2)^9</f>
        <v>3832.60891985516</v>
      </c>
      <c r="G417" s="28" t="n">
        <f aca="false">F417*(C417-$B$18+$B$19*E417)</f>
        <v>512.495020759844</v>
      </c>
      <c r="H417" s="28" t="n">
        <f aca="false">MAX(0,$B$20*G417)/(1+D417)^9</f>
        <v>848.22296829321</v>
      </c>
      <c r="I417" s="28" t="n">
        <f aca="false">$B$13*((1+$B$8)/(1+D417))^4.5</f>
        <v>537.752045526852</v>
      </c>
      <c r="J417" s="28" t="n">
        <f aca="false">H417+I417-$B$14</f>
        <v>714.903096011843</v>
      </c>
      <c r="K417" s="45" t="n">
        <f aca="false">MAX(0,J417)/$B$15</f>
        <v>2.55962440390921</v>
      </c>
    </row>
    <row r="418" customFormat="false" ht="15" hidden="false" customHeight="false" outlineLevel="0" collapsed="false">
      <c r="A418" s="55" t="n">
        <v>378</v>
      </c>
      <c r="B418" s="22" t="n">
        <f aca="true">NORMINV(RAND(),$B$6,$C$6)</f>
        <v>0.256106168179169</v>
      </c>
      <c r="C418" s="22" t="n">
        <f aca="true">MAX(-0.05,NORMINV(RAND(),$B$7,$C$7))</f>
        <v>0.199164133117641</v>
      </c>
      <c r="D418" s="34" t="n">
        <f aca="true">MAX(0.08,NORMINV(RAND(),$B$8,$C$8))</f>
        <v>0.14804094567882</v>
      </c>
      <c r="E418" s="35" t="n">
        <f aca="true">MEDIAN(0,NORMINV(RAND(),$B$9,$C$9),1)</f>
        <v>0.549424945440399</v>
      </c>
      <c r="F418" s="28" t="n">
        <f aca="false">$B$12*(1+(B418+$B$17)/2)^9</f>
        <v>3637.86874330507</v>
      </c>
      <c r="G418" s="28" t="n">
        <f aca="false">F418*(C418-$B$18+$B$19*E418)</f>
        <v>1047.71754036801</v>
      </c>
      <c r="H418" s="28" t="n">
        <f aca="false">MAX(0,$B$20*G418)/(1+D418)^9</f>
        <v>2117.02435805351</v>
      </c>
      <c r="I418" s="28" t="n">
        <f aca="false">$B$13*((1+$B$8)/(1+D418))^4.5</f>
        <v>594.17271162897</v>
      </c>
      <c r="J418" s="28" t="n">
        <f aca="false">H418+I418-$B$14</f>
        <v>2040.12515187426</v>
      </c>
      <c r="K418" s="45" t="n">
        <f aca="false">MAX(0,J418)/$B$15</f>
        <v>7.30442231247498</v>
      </c>
    </row>
    <row r="419" customFormat="false" ht="15" hidden="false" customHeight="false" outlineLevel="0" collapsed="false">
      <c r="A419" s="55" t="n">
        <v>379</v>
      </c>
      <c r="B419" s="22" t="n">
        <f aca="true">NORMINV(RAND(),$B$6,$C$6)</f>
        <v>0.427050939951255</v>
      </c>
      <c r="C419" s="22" t="n">
        <f aca="true">MAX(-0.05,NORMINV(RAND(),$B$7,$C$7))</f>
        <v>0.139075023927532</v>
      </c>
      <c r="D419" s="34" t="n">
        <f aca="true">MAX(0.08,NORMINV(RAND(),$B$8,$C$8))</f>
        <v>0.181930318465293</v>
      </c>
      <c r="E419" s="35" t="n">
        <f aca="true">MEDIAN(0,NORMINV(RAND(),$B$9,$C$9),1)</f>
        <v>0</v>
      </c>
      <c r="F419" s="28" t="n">
        <f aca="false">$B$12*(1+(B419+$B$17)/2)^9</f>
        <v>6942.60394255998</v>
      </c>
      <c r="G419" s="28" t="n">
        <f aca="false">F419*(C419-$B$18+$B$19*E419)</f>
        <v>514.273553164507</v>
      </c>
      <c r="H419" s="28" t="n">
        <f aca="false">MAX(0,$B$20*G419)/(1+D419)^9</f>
        <v>799.770484703947</v>
      </c>
      <c r="I419" s="28" t="n">
        <f aca="false">$B$13*((1+$B$8)/(1+D419))^4.5</f>
        <v>521.263688600001</v>
      </c>
      <c r="J419" s="28" t="n">
        <f aca="false">H419+I419-$B$14</f>
        <v>649.962255495728</v>
      </c>
      <c r="K419" s="45" t="n">
        <f aca="false">MAX(0,J419)/$B$15</f>
        <v>2.32711154849885</v>
      </c>
    </row>
    <row r="420" customFormat="false" ht="15" hidden="false" customHeight="false" outlineLevel="0" collapsed="false">
      <c r="A420" s="55" t="n">
        <v>380</v>
      </c>
      <c r="B420" s="22" t="n">
        <f aca="true">NORMINV(RAND(),$B$6,$C$6)</f>
        <v>0.35635577083668</v>
      </c>
      <c r="C420" s="22" t="n">
        <f aca="true">MAX(-0.05,NORMINV(RAND(),$B$7,$C$7))</f>
        <v>0.152398512586526</v>
      </c>
      <c r="D420" s="34" t="n">
        <f aca="true">MAX(0.08,NORMINV(RAND(),$B$8,$C$8))</f>
        <v>0.167904455642728</v>
      </c>
      <c r="E420" s="35" t="n">
        <f aca="true">MEDIAN(0,NORMINV(RAND(),$B$9,$C$9),1)</f>
        <v>0</v>
      </c>
      <c r="F420" s="28" t="n">
        <f aca="false">$B$12*(1+(B420+$B$17)/2)^9</f>
        <v>5344.17899432505</v>
      </c>
      <c r="G420" s="28" t="n">
        <f aca="false">F420*(C420-$B$18+$B$19*E420)</f>
        <v>467.073295100165</v>
      </c>
      <c r="H420" s="28" t="n">
        <f aca="false">MAX(0,$B$20*G420)/(1+D420)^9</f>
        <v>808.755485735402</v>
      </c>
      <c r="I420" s="28" t="n">
        <f aca="false">$B$13*((1+$B$8)/(1+D420))^4.5</f>
        <v>550.032033478593</v>
      </c>
      <c r="J420" s="28" t="n">
        <f aca="false">H420+I420-$B$14</f>
        <v>687.715601405775</v>
      </c>
      <c r="K420" s="45" t="n">
        <f aca="false">MAX(0,J420)/$B$15</f>
        <v>2.46228285501531</v>
      </c>
    </row>
    <row r="421" customFormat="false" ht="15" hidden="false" customHeight="false" outlineLevel="0" collapsed="false">
      <c r="A421" s="55" t="n">
        <v>381</v>
      </c>
      <c r="B421" s="22" t="n">
        <f aca="true">NORMINV(RAND(),$B$6,$C$6)</f>
        <v>0.460429553345886</v>
      </c>
      <c r="C421" s="22" t="n">
        <f aca="true">MAX(-0.05,NORMINV(RAND(),$B$7,$C$7))</f>
        <v>0.158869311662264</v>
      </c>
      <c r="D421" s="34" t="n">
        <f aca="true">MAX(0.08,NORMINV(RAND(),$B$8,$C$8))</f>
        <v>0.155823282768955</v>
      </c>
      <c r="E421" s="35" t="n">
        <f aca="true">MEDIAN(0,NORMINV(RAND(),$B$9,$C$9),1)</f>
        <v>0.325940960840716</v>
      </c>
      <c r="F421" s="28" t="n">
        <f aca="false">$B$12*(1+(B421+$B$17)/2)^9</f>
        <v>7835.21553909929</v>
      </c>
      <c r="G421" s="28" t="n">
        <f aca="false">F421*(C421-$B$18+$B$19*E421)</f>
        <v>1450.555240119</v>
      </c>
      <c r="H421" s="28" t="n">
        <f aca="false">MAX(0,$B$20*G421)/(1+D421)^9</f>
        <v>2758.09591429831</v>
      </c>
      <c r="I421" s="28" t="n">
        <f aca="false">$B$13*((1+$B$8)/(1+D421))^4.5</f>
        <v>576.380697770646</v>
      </c>
      <c r="J421" s="28" t="n">
        <f aca="false">H421+I421-$B$14</f>
        <v>2663.40469426073</v>
      </c>
      <c r="K421" s="45" t="n">
        <f aca="false">MAX(0,J421)/$B$15</f>
        <v>9.5359996214133</v>
      </c>
    </row>
    <row r="422" customFormat="false" ht="15" hidden="false" customHeight="false" outlineLevel="0" collapsed="false">
      <c r="A422" s="55" t="n">
        <v>382</v>
      </c>
      <c r="B422" s="22" t="n">
        <f aca="true">NORMINV(RAND(),$B$6,$C$6)</f>
        <v>0.447116315317081</v>
      </c>
      <c r="C422" s="22" t="n">
        <f aca="true">MAX(-0.05,NORMINV(RAND(),$B$7,$C$7))</f>
        <v>0.21359228587143</v>
      </c>
      <c r="D422" s="34" t="n">
        <f aca="true">MAX(0.08,NORMINV(RAND(),$B$8,$C$8))</f>
        <v>0.13111702219804</v>
      </c>
      <c r="E422" s="35" t="n">
        <f aca="true">MEDIAN(0,NORMINV(RAND(),$B$9,$C$9),1)</f>
        <v>0.0369578891169541</v>
      </c>
      <c r="F422" s="28" t="n">
        <f aca="false">$B$12*(1+(B422+$B$17)/2)^9</f>
        <v>7467.65432133797</v>
      </c>
      <c r="G422" s="28" t="n">
        <f aca="false">F422*(C422-$B$18+$B$19*E422)</f>
        <v>1186.91267300936</v>
      </c>
      <c r="H422" s="28" t="n">
        <f aca="false">MAX(0,$B$20*G422)/(1+D422)^9</f>
        <v>2741.25201364767</v>
      </c>
      <c r="I422" s="28" t="n">
        <f aca="false">$B$13*((1+$B$8)/(1+D422))^4.5</f>
        <v>635.238747070688</v>
      </c>
      <c r="J422" s="28" t="n">
        <f aca="false">H422+I422-$B$14</f>
        <v>2705.41884291014</v>
      </c>
      <c r="K422" s="45" t="n">
        <f aca="false">MAX(0,J422)/$B$15</f>
        <v>9.68642621879749</v>
      </c>
    </row>
    <row r="423" customFormat="false" ht="15" hidden="false" customHeight="false" outlineLevel="0" collapsed="false">
      <c r="A423" s="55" t="n">
        <v>383</v>
      </c>
      <c r="B423" s="22" t="n">
        <f aca="true">NORMINV(RAND(),$B$6,$C$6)</f>
        <v>0.378314767218796</v>
      </c>
      <c r="C423" s="22" t="n">
        <f aca="true">MAX(-0.05,NORMINV(RAND(),$B$7,$C$7))</f>
        <v>0.156254657492597</v>
      </c>
      <c r="D423" s="34" t="n">
        <f aca="true">MAX(0.08,NORMINV(RAND(),$B$8,$C$8))</f>
        <v>0.135474130289646</v>
      </c>
      <c r="E423" s="35" t="n">
        <f aca="true">MEDIAN(0,NORMINV(RAND(),$B$9,$C$9),1)</f>
        <v>0</v>
      </c>
      <c r="F423" s="28" t="n">
        <f aca="false">$B$12*(1+(B423+$B$17)/2)^9</f>
        <v>5801.42642556525</v>
      </c>
      <c r="G423" s="28" t="n">
        <f aca="false">F423*(C423-$B$18+$B$19*E423)</f>
        <v>529.407181433456</v>
      </c>
      <c r="H423" s="28" t="n">
        <f aca="false">MAX(0,$B$20*G423)/(1+D423)^9</f>
        <v>1181.11632359239</v>
      </c>
      <c r="I423" s="28" t="n">
        <f aca="false">$B$13*((1+$B$8)/(1+D423))^4.5</f>
        <v>624.3430819214</v>
      </c>
      <c r="J423" s="28" t="n">
        <f aca="false">H423+I423-$B$14</f>
        <v>1134.38748770557</v>
      </c>
      <c r="K423" s="45" t="n">
        <f aca="false">MAX(0,J423)/$B$15</f>
        <v>4.06153772898521</v>
      </c>
    </row>
    <row r="424" customFormat="false" ht="15" hidden="false" customHeight="false" outlineLevel="0" collapsed="false">
      <c r="A424" s="55" t="n">
        <v>384</v>
      </c>
      <c r="B424" s="22" t="n">
        <f aca="true">NORMINV(RAND(),$B$6,$C$6)</f>
        <v>0.30173670802911</v>
      </c>
      <c r="C424" s="22" t="n">
        <f aca="true">MAX(-0.05,NORMINV(RAND(),$B$7,$C$7))</f>
        <v>0.153193042852513</v>
      </c>
      <c r="D424" s="34" t="n">
        <f aca="true">MAX(0.08,NORMINV(RAND(),$B$8,$C$8))</f>
        <v>0.11184476540059</v>
      </c>
      <c r="E424" s="35" t="n">
        <f aca="true">MEDIAN(0,NORMINV(RAND(),$B$9,$C$9),1)</f>
        <v>0</v>
      </c>
      <c r="F424" s="28" t="n">
        <f aca="false">$B$12*(1+(B424+$B$17)/2)^9</f>
        <v>4342.72083500723</v>
      </c>
      <c r="G424" s="28" t="n">
        <f aca="false">F424*(C424-$B$18+$B$19*E424)</f>
        <v>382.997764698292</v>
      </c>
      <c r="H424" s="28" t="n">
        <f aca="false">MAX(0,$B$20*G424)/(1+D424)^9</f>
        <v>1032.51620776979</v>
      </c>
      <c r="I424" s="28" t="n">
        <f aca="false">$B$13*((1+$B$8)/(1+D424))^4.5</f>
        <v>686.312962083634</v>
      </c>
      <c r="J424" s="28" t="n">
        <f aca="false">H424+I424-$B$14</f>
        <v>1047.7572520452</v>
      </c>
      <c r="K424" s="45" t="n">
        <f aca="false">MAX(0,J424)/$B$15</f>
        <v>3.75136860739421</v>
      </c>
    </row>
    <row r="425" customFormat="false" ht="15" hidden="false" customHeight="false" outlineLevel="0" collapsed="false">
      <c r="A425" s="55" t="n">
        <v>385</v>
      </c>
      <c r="B425" s="22" t="n">
        <f aca="true">NORMINV(RAND(),$B$6,$C$6)</f>
        <v>0.527563649049528</v>
      </c>
      <c r="C425" s="22" t="n">
        <f aca="true">MAX(-0.05,NORMINV(RAND(),$B$7,$C$7))</f>
        <v>0.111842109246725</v>
      </c>
      <c r="D425" s="34" t="n">
        <f aca="true">MAX(0.08,NORMINV(RAND(),$B$8,$C$8))</f>
        <v>0.162388443358547</v>
      </c>
      <c r="E425" s="35" t="n">
        <f aca="true">MEDIAN(0,NORMINV(RAND(),$B$9,$C$9),1)</f>
        <v>0</v>
      </c>
      <c r="F425" s="28" t="n">
        <f aca="false">$B$12*(1+(B425+$B$17)/2)^9</f>
        <v>9945.12632202754</v>
      </c>
      <c r="G425" s="28" t="n">
        <f aca="false">F425*(C425-$B$18+$B$19*E425)</f>
        <v>465.850693648894</v>
      </c>
      <c r="H425" s="28" t="n">
        <f aca="false">MAX(0,$B$20*G425)/(1+D425)^9</f>
        <v>841.750213261325</v>
      </c>
      <c r="I425" s="28" t="n">
        <f aca="false">$B$13*((1+$B$8)/(1+D425))^4.5</f>
        <v>561.875539932361</v>
      </c>
      <c r="J425" s="28" t="n">
        <f aca="false">H425+I425-$B$14</f>
        <v>732.553835385467</v>
      </c>
      <c r="K425" s="45" t="n">
        <f aca="false">MAX(0,J425)/$B$15</f>
        <v>2.62282074967944</v>
      </c>
    </row>
    <row r="426" customFormat="false" ht="15" hidden="false" customHeight="false" outlineLevel="0" collapsed="false">
      <c r="A426" s="55" t="n">
        <v>386</v>
      </c>
      <c r="B426" s="22" t="n">
        <f aca="true">NORMINV(RAND(),$B$6,$C$6)</f>
        <v>0.55458169582758</v>
      </c>
      <c r="C426" s="22" t="n">
        <f aca="true">MAX(-0.05,NORMINV(RAND(),$B$7,$C$7))</f>
        <v>0.151654229858629</v>
      </c>
      <c r="D426" s="34" t="n">
        <f aca="true">MAX(0.08,NORMINV(RAND(),$B$8,$C$8))</f>
        <v>0.160539201250049</v>
      </c>
      <c r="E426" s="35" t="n">
        <f aca="true">MEDIAN(0,NORMINV(RAND(),$B$9,$C$9),1)</f>
        <v>0.791344427161105</v>
      </c>
      <c r="F426" s="28" t="n">
        <f aca="false">$B$12*(1+(B426+$B$17)/2)^9</f>
        <v>10927.6175595275</v>
      </c>
      <c r="G426" s="28" t="n">
        <f aca="false">F426*(C426-$B$18+$B$19*E426)</f>
        <v>3368.22687601687</v>
      </c>
      <c r="H426" s="28" t="n">
        <f aca="false">MAX(0,$B$20*G426)/(1+D426)^9</f>
        <v>6173.92064781603</v>
      </c>
      <c r="I426" s="28" t="n">
        <f aca="false">$B$13*((1+$B$8)/(1+D426))^4.5</f>
        <v>565.915690518031</v>
      </c>
      <c r="J426" s="28" t="n">
        <f aca="false">H426+I426-$B$14</f>
        <v>6068.76442052584</v>
      </c>
      <c r="K426" s="45" t="n">
        <f aca="false">MAX(0,J426)/$B$15</f>
        <v>21.728479844346</v>
      </c>
    </row>
    <row r="427" customFormat="false" ht="15" hidden="false" customHeight="false" outlineLevel="0" collapsed="false">
      <c r="A427" s="55" t="n">
        <v>387</v>
      </c>
      <c r="B427" s="22" t="n">
        <f aca="true">NORMINV(RAND(),$B$6,$C$6)</f>
        <v>0.13631638289285</v>
      </c>
      <c r="C427" s="22" t="n">
        <f aca="true">MAX(-0.05,NORMINV(RAND(),$B$7,$C$7))</f>
        <v>0.190341260497196</v>
      </c>
      <c r="D427" s="34" t="n">
        <f aca="true">MAX(0.08,NORMINV(RAND(),$B$8,$C$8))</f>
        <v>0.111401690422243</v>
      </c>
      <c r="E427" s="35" t="n">
        <f aca="true">MEDIAN(0,NORMINV(RAND(),$B$9,$C$9),1)</f>
        <v>0.296144097181609</v>
      </c>
      <c r="F427" s="28" t="n">
        <f aca="false">$B$12*(1+(B427+$B$17)/2)^9</f>
        <v>2246.04069246602</v>
      </c>
      <c r="G427" s="28" t="n">
        <f aca="false">F427*(C427-$B$18+$B$19*E427)</f>
        <v>467.764045590666</v>
      </c>
      <c r="H427" s="28" t="n">
        <f aca="false">MAX(0,$B$20*G427)/(1+D427)^9</f>
        <v>1265.56775179387</v>
      </c>
      <c r="I427" s="28" t="n">
        <f aca="false">$B$13*((1+$B$8)/(1+D427))^4.5</f>
        <v>687.545056167185</v>
      </c>
      <c r="J427" s="28" t="n">
        <f aca="false">H427+I427-$B$14</f>
        <v>1282.04089015284</v>
      </c>
      <c r="K427" s="45" t="n">
        <f aca="false">MAX(0,J427)/$B$15</f>
        <v>4.59019294719957</v>
      </c>
    </row>
    <row r="428" customFormat="false" ht="15" hidden="false" customHeight="false" outlineLevel="0" collapsed="false">
      <c r="A428" s="55" t="n">
        <v>388</v>
      </c>
      <c r="B428" s="22" t="n">
        <f aca="true">NORMINV(RAND(),$B$6,$C$6)</f>
        <v>0.352402470089499</v>
      </c>
      <c r="C428" s="22" t="n">
        <f aca="true">MAX(-0.05,NORMINV(RAND(),$B$7,$C$7))</f>
        <v>0.0470024628367444</v>
      </c>
      <c r="D428" s="34" t="n">
        <f aca="true">MAX(0.08,NORMINV(RAND(),$B$8,$C$8))</f>
        <v>0.121208334552821</v>
      </c>
      <c r="E428" s="35" t="n">
        <f aca="true">MEDIAN(0,NORMINV(RAND(),$B$9,$C$9),1)</f>
        <v>0.134526389205737</v>
      </c>
      <c r="F428" s="28" t="n">
        <f aca="false">$B$12*(1+(B428+$B$17)/2)^9</f>
        <v>5265.35330122292</v>
      </c>
      <c r="G428" s="28" t="n">
        <f aca="false">F428*(C428-$B$18+$B$19*E428)</f>
        <v>103.568719185257</v>
      </c>
      <c r="H428" s="28" t="n">
        <f aca="false">MAX(0,$B$20*G428)/(1+D428)^9</f>
        <v>258.910574528859</v>
      </c>
      <c r="I428" s="28" t="n">
        <f aca="false">$B$13*((1+$B$8)/(1+D428))^4.5</f>
        <v>660.895011219197</v>
      </c>
      <c r="J428" s="28" t="n">
        <f aca="false">H428+I428-$B$14</f>
        <v>248.733667939837</v>
      </c>
      <c r="K428" s="45" t="n">
        <f aca="false">MAX(0,J428)/$B$15</f>
        <v>0.89056093068327</v>
      </c>
    </row>
    <row r="429" customFormat="false" ht="15" hidden="false" customHeight="false" outlineLevel="0" collapsed="false">
      <c r="A429" s="55" t="n">
        <v>389</v>
      </c>
      <c r="B429" s="22" t="n">
        <f aca="true">NORMINV(RAND(),$B$6,$C$6)</f>
        <v>0.43543954192086</v>
      </c>
      <c r="C429" s="22" t="n">
        <f aca="true">MAX(-0.05,NORMINV(RAND(),$B$7,$C$7))</f>
        <v>0.289883933952274</v>
      </c>
      <c r="D429" s="34" t="n">
        <f aca="true">MAX(0.08,NORMINV(RAND(),$B$8,$C$8))</f>
        <v>0.123225219632841</v>
      </c>
      <c r="E429" s="35" t="n">
        <f aca="true">MEDIAN(0,NORMINV(RAND(),$B$9,$C$9),1)</f>
        <v>0.00930283647943761</v>
      </c>
      <c r="F429" s="28" t="n">
        <f aca="false">$B$12*(1+(B429+$B$17)/2)^9</f>
        <v>7157.97625924539</v>
      </c>
      <c r="G429" s="28" t="n">
        <f aca="false">F429*(C429-$B$18+$B$19*E429)</f>
        <v>1628.35891546185</v>
      </c>
      <c r="H429" s="28" t="n">
        <f aca="false">MAX(0,$B$20*G429)/(1+D429)^9</f>
        <v>4005.40616416867</v>
      </c>
      <c r="I429" s="28" t="n">
        <f aca="false">$B$13*((1+$B$8)/(1+D429))^4.5</f>
        <v>655.571545096109</v>
      </c>
      <c r="J429" s="28" t="n">
        <f aca="false">H429+I429-$B$14</f>
        <v>3989.90579145656</v>
      </c>
      <c r="K429" s="45" t="n">
        <f aca="false">MAX(0,J429)/$B$15</f>
        <v>14.2853769833747</v>
      </c>
    </row>
    <row r="430" customFormat="false" ht="15" hidden="false" customHeight="false" outlineLevel="0" collapsed="false">
      <c r="A430" s="55" t="n">
        <v>390</v>
      </c>
      <c r="B430" s="22" t="n">
        <f aca="true">NORMINV(RAND(),$B$6,$C$6)</f>
        <v>0.170679619051639</v>
      </c>
      <c r="C430" s="22" t="n">
        <f aca="true">MAX(-0.05,NORMINV(RAND(),$B$7,$C$7))</f>
        <v>0.15245603342267</v>
      </c>
      <c r="D430" s="34" t="n">
        <f aca="true">MAX(0.08,NORMINV(RAND(),$B$8,$C$8))</f>
        <v>0.154358003502942</v>
      </c>
      <c r="E430" s="35" t="n">
        <f aca="true">MEDIAN(0,NORMINV(RAND(),$B$9,$C$9),1)</f>
        <v>0.203730710434169</v>
      </c>
      <c r="F430" s="28" t="n">
        <f aca="false">$B$12*(1+(B430+$B$17)/2)^9</f>
        <v>2586.13745594552</v>
      </c>
      <c r="G430" s="28" t="n">
        <f aca="false">F430*(C430-$B$18+$B$19*E430)</f>
        <v>373.698497713246</v>
      </c>
      <c r="H430" s="28" t="n">
        <f aca="false">MAX(0,$B$20*G430)/(1+D430)^9</f>
        <v>718.711719365649</v>
      </c>
      <c r="I430" s="28" t="n">
        <f aca="false">$B$13*((1+$B$8)/(1+D430))^4.5</f>
        <v>579.680337309778</v>
      </c>
      <c r="J430" s="28" t="n">
        <f aca="false">H430+I430-$B$14</f>
        <v>627.320138867207</v>
      </c>
      <c r="K430" s="45" t="n">
        <f aca="false">MAX(0,J430)/$B$15</f>
        <v>2.24604417782745</v>
      </c>
    </row>
    <row r="431" customFormat="false" ht="15" hidden="false" customHeight="false" outlineLevel="0" collapsed="false">
      <c r="A431" s="55" t="n">
        <v>391</v>
      </c>
      <c r="B431" s="22" t="n">
        <f aca="true">NORMINV(RAND(),$B$6,$C$6)</f>
        <v>0.445280123488729</v>
      </c>
      <c r="C431" s="22" t="n">
        <f aca="true">MAX(-0.05,NORMINV(RAND(),$B$7,$C$7))</f>
        <v>0.0886850427446337</v>
      </c>
      <c r="D431" s="34" t="n">
        <f aca="true">MAX(0.08,NORMINV(RAND(),$B$8,$C$8))</f>
        <v>0.129052772273218</v>
      </c>
      <c r="E431" s="35" t="n">
        <f aca="true">MEDIAN(0,NORMINV(RAND(),$B$9,$C$9),1)</f>
        <v>0.207682051789358</v>
      </c>
      <c r="F431" s="28" t="n">
        <f aca="false">$B$12*(1+(B431+$B$17)/2)^9</f>
        <v>7418.18152492521</v>
      </c>
      <c r="G431" s="28" t="n">
        <f aca="false">F431*(C431-$B$18+$B$19*E431)</f>
        <v>607.074431205171</v>
      </c>
      <c r="H431" s="28" t="n">
        <f aca="false">MAX(0,$B$20*G431)/(1+D431)^9</f>
        <v>1425.3181271656</v>
      </c>
      <c r="I431" s="28" t="n">
        <f aca="false">$B$13*((1+$B$8)/(1+D431))^4.5</f>
        <v>640.481832834171</v>
      </c>
      <c r="J431" s="28" t="n">
        <f aca="false">H431+I431-$B$14</f>
        <v>1394.72804219155</v>
      </c>
      <c r="K431" s="45" t="n">
        <f aca="false">MAX(0,J431)/$B$15</f>
        <v>4.99365571855193</v>
      </c>
    </row>
    <row r="432" customFormat="false" ht="15" hidden="false" customHeight="false" outlineLevel="0" collapsed="false">
      <c r="A432" s="55" t="n">
        <v>392</v>
      </c>
      <c r="B432" s="22" t="n">
        <f aca="true">NORMINV(RAND(),$B$6,$C$6)</f>
        <v>0.379135174867905</v>
      </c>
      <c r="C432" s="22" t="n">
        <f aca="true">MAX(-0.05,NORMINV(RAND(),$B$7,$C$7))</f>
        <v>0.215462921062027</v>
      </c>
      <c r="D432" s="34" t="n">
        <f aca="true">MAX(0.08,NORMINV(RAND(),$B$8,$C$8))</f>
        <v>0.127138652081093</v>
      </c>
      <c r="E432" s="35" t="n">
        <f aca="true">MEDIAN(0,NORMINV(RAND(),$B$9,$C$9),1)</f>
        <v>0</v>
      </c>
      <c r="F432" s="28" t="n">
        <f aca="false">$B$12*(1+(B432+$B$17)/2)^9</f>
        <v>5819.16356464738</v>
      </c>
      <c r="G432" s="28" t="n">
        <f aca="false">F432*(C432-$B$18+$B$19*E432)</f>
        <v>875.56834807456</v>
      </c>
      <c r="H432" s="28" t="n">
        <f aca="false">MAX(0,$B$20*G432)/(1+D432)^9</f>
        <v>2087.33428593049</v>
      </c>
      <c r="I432" s="28" t="n">
        <f aca="false">$B$13*((1+$B$8)/(1+D432))^4.5</f>
        <v>645.39093156131</v>
      </c>
      <c r="J432" s="28" t="n">
        <f aca="false">H432+I432-$B$14</f>
        <v>2061.65329968358</v>
      </c>
      <c r="K432" s="45" t="n">
        <f aca="false">MAX(0,J432)/$B$15</f>
        <v>7.38150125199994</v>
      </c>
    </row>
    <row r="433" customFormat="false" ht="15" hidden="false" customHeight="false" outlineLevel="0" collapsed="false">
      <c r="A433" s="55" t="n">
        <v>393</v>
      </c>
      <c r="B433" s="22" t="n">
        <f aca="true">NORMINV(RAND(),$B$6,$C$6)</f>
        <v>0.10276971101942</v>
      </c>
      <c r="C433" s="22" t="n">
        <f aca="true">MAX(-0.05,NORMINV(RAND(),$B$7,$C$7))</f>
        <v>0.144619201882291</v>
      </c>
      <c r="D433" s="34" t="n">
        <f aca="true">MAX(0.08,NORMINV(RAND(),$B$8,$C$8))</f>
        <v>0.117634978241869</v>
      </c>
      <c r="E433" s="35" t="n">
        <f aca="true">MEDIAN(0,NORMINV(RAND(),$B$9,$C$9),1)</f>
        <v>0</v>
      </c>
      <c r="F433" s="28" t="n">
        <f aca="false">$B$12*(1+(B433+$B$17)/2)^9</f>
        <v>1952.98463863614</v>
      </c>
      <c r="G433" s="28" t="n">
        <f aca="false">F433*(C433-$B$18+$B$19*E433)</f>
        <v>155.495078216584</v>
      </c>
      <c r="H433" s="28" t="n">
        <f aca="false">MAX(0,$B$20*G433)/(1+D433)^9</f>
        <v>400.050501880789</v>
      </c>
      <c r="I433" s="28" t="n">
        <f aca="false">$B$13*((1+$B$8)/(1+D433))^4.5</f>
        <v>670.457060027397</v>
      </c>
      <c r="J433" s="28" t="n">
        <f aca="false">H433+I433-$B$14</f>
        <v>399.435644099967</v>
      </c>
      <c r="K433" s="45" t="n">
        <f aca="false">MAX(0,J433)/$B$15</f>
        <v>1.43013119978506</v>
      </c>
    </row>
    <row r="434" customFormat="false" ht="15" hidden="false" customHeight="false" outlineLevel="0" collapsed="false">
      <c r="A434" s="55" t="n">
        <v>394</v>
      </c>
      <c r="B434" s="22" t="n">
        <f aca="true">NORMINV(RAND(),$B$6,$C$6)</f>
        <v>0.38381191617389</v>
      </c>
      <c r="C434" s="22" t="n">
        <f aca="true">MAX(-0.05,NORMINV(RAND(),$B$7,$C$7))</f>
        <v>0.11341150298701</v>
      </c>
      <c r="D434" s="34" t="n">
        <f aca="true">MAX(0.08,NORMINV(RAND(),$B$8,$C$8))</f>
        <v>0.14337341386376</v>
      </c>
      <c r="E434" s="35" t="n">
        <f aca="true">MEDIAN(0,NORMINV(RAND(),$B$9,$C$9),1)</f>
        <v>0.801282018843244</v>
      </c>
      <c r="F434" s="28" t="n">
        <f aca="false">$B$12*(1+(B434+$B$17)/2)^9</f>
        <v>5921.19800932149</v>
      </c>
      <c r="G434" s="28" t="n">
        <f aca="false">F434*(C434-$B$18+$B$19*E434)</f>
        <v>1615.12795368127</v>
      </c>
      <c r="H434" s="28" t="n">
        <f aca="false">MAX(0,$B$20*G434)/(1+D434)^9</f>
        <v>3385.41697216646</v>
      </c>
      <c r="I434" s="28" t="n">
        <f aca="false">$B$13*((1+$B$8)/(1+D434))^4.5</f>
        <v>605.165970346846</v>
      </c>
      <c r="J434" s="28" t="n">
        <f aca="false">H434+I434-$B$14</f>
        <v>3319.51102470509</v>
      </c>
      <c r="K434" s="45" t="n">
        <f aca="false">MAX(0,J434)/$B$15</f>
        <v>11.885109290029</v>
      </c>
    </row>
    <row r="435" customFormat="false" ht="15" hidden="false" customHeight="false" outlineLevel="0" collapsed="false">
      <c r="A435" s="55" t="n">
        <v>395</v>
      </c>
      <c r="B435" s="22" t="n">
        <f aca="true">NORMINV(RAND(),$B$6,$C$6)</f>
        <v>0.372407249920386</v>
      </c>
      <c r="C435" s="22" t="n">
        <f aca="true">MAX(-0.05,NORMINV(RAND(),$B$7,$C$7))</f>
        <v>0.12471390138979</v>
      </c>
      <c r="D435" s="34" t="n">
        <f aca="true">MAX(0.08,NORMINV(RAND(),$B$8,$C$8))</f>
        <v>0.145330974096149</v>
      </c>
      <c r="E435" s="35" t="n">
        <f aca="true">MEDIAN(0,NORMINV(RAND(),$B$9,$C$9),1)</f>
        <v>0.504125104679215</v>
      </c>
      <c r="F435" s="28" t="n">
        <f aca="false">$B$12*(1+(B435+$B$17)/2)^9</f>
        <v>5675.11887280457</v>
      </c>
      <c r="G435" s="28" t="n">
        <f aca="false">F435*(C435-$B$18+$B$19*E435)</f>
        <v>1139.95505957547</v>
      </c>
      <c r="H435" s="28" t="n">
        <f aca="false">MAX(0,$B$20*G435)/(1+D435)^9</f>
        <v>2352.91759767415</v>
      </c>
      <c r="I435" s="28" t="n">
        <f aca="false">$B$13*((1+$B$8)/(1+D435))^4.5</f>
        <v>600.52539256409</v>
      </c>
      <c r="J435" s="28" t="n">
        <f aca="false">H435+I435-$B$14</f>
        <v>2282.37107243002</v>
      </c>
      <c r="K435" s="45" t="n">
        <f aca="false">MAX(0,J435)/$B$15</f>
        <v>8.17175464529187</v>
      </c>
    </row>
    <row r="436" customFormat="false" ht="15" hidden="false" customHeight="false" outlineLevel="0" collapsed="false">
      <c r="A436" s="55" t="n">
        <v>396</v>
      </c>
      <c r="B436" s="22" t="n">
        <f aca="true">NORMINV(RAND(),$B$6,$C$6)</f>
        <v>0.240719468973182</v>
      </c>
      <c r="C436" s="22" t="n">
        <f aca="true">MAX(-0.05,NORMINV(RAND(),$B$7,$C$7))</f>
        <v>0.107210372800684</v>
      </c>
      <c r="D436" s="34" t="n">
        <f aca="true">MAX(0.08,NORMINV(RAND(),$B$8,$C$8))</f>
        <v>0.124388823177837</v>
      </c>
      <c r="E436" s="35" t="n">
        <f aca="true">MEDIAN(0,NORMINV(RAND(),$B$9,$C$9),1)</f>
        <v>0.117530671408335</v>
      </c>
      <c r="F436" s="28" t="n">
        <f aca="false">$B$12*(1+(B436+$B$17)/2)^9</f>
        <v>3424.25553804887</v>
      </c>
      <c r="G436" s="28" t="n">
        <f aca="false">F436*(C436-$B$18+$B$19*E436)</f>
        <v>257.226517514816</v>
      </c>
      <c r="H436" s="28" t="n">
        <f aca="false">MAX(0,$B$20*G436)/(1+D436)^9</f>
        <v>626.852119748693</v>
      </c>
      <c r="I436" s="28" t="n">
        <f aca="false">$B$13*((1+$B$8)/(1+D436))^4.5</f>
        <v>652.524109271868</v>
      </c>
      <c r="J436" s="28" t="n">
        <f aca="false">H436+I436-$B$14</f>
        <v>608.304311212342</v>
      </c>
      <c r="K436" s="45" t="n">
        <f aca="false">MAX(0,J436)/$B$15</f>
        <v>2.17796029793176</v>
      </c>
    </row>
    <row r="437" customFormat="false" ht="15" hidden="false" customHeight="false" outlineLevel="0" collapsed="false">
      <c r="A437" s="55" t="n">
        <v>397</v>
      </c>
      <c r="B437" s="22" t="n">
        <f aca="true">NORMINV(RAND(),$B$6,$C$6)</f>
        <v>0.639697040843331</v>
      </c>
      <c r="C437" s="22" t="n">
        <f aca="true">MAX(-0.05,NORMINV(RAND(),$B$7,$C$7))</f>
        <v>0.112389297397833</v>
      </c>
      <c r="D437" s="34" t="n">
        <f aca="true">MAX(0.08,NORMINV(RAND(),$B$8,$C$8))</f>
        <v>0.116589764058584</v>
      </c>
      <c r="E437" s="35" t="n">
        <f aca="true">MEDIAN(0,NORMINV(RAND(),$B$9,$C$9),1)</f>
        <v>0.338130651195997</v>
      </c>
      <c r="F437" s="28" t="n">
        <f aca="false">$B$12*(1+(B437+$B$17)/2)^9</f>
        <v>14611.3588868293</v>
      </c>
      <c r="G437" s="28" t="n">
        <f aca="false">F437*(C437-$B$18+$B$19*E437)</f>
        <v>2075.77555434778</v>
      </c>
      <c r="H437" s="28" t="n">
        <f aca="false">MAX(0,$B$20*G437)/(1+D437)^9</f>
        <v>5385.61932309754</v>
      </c>
      <c r="I437" s="28" t="n">
        <f aca="false">$B$13*((1+$B$8)/(1+D437))^4.5</f>
        <v>673.285888009919</v>
      </c>
      <c r="J437" s="28" t="n">
        <f aca="false">H437+I437-$B$14</f>
        <v>5387.83329329924</v>
      </c>
      <c r="K437" s="45" t="n">
        <f aca="false">MAX(0,J437)/$B$15</f>
        <v>19.2904879817374</v>
      </c>
    </row>
    <row r="438" customFormat="false" ht="15" hidden="false" customHeight="false" outlineLevel="0" collapsed="false">
      <c r="A438" s="55" t="n">
        <v>398</v>
      </c>
      <c r="B438" s="22" t="n">
        <f aca="true">NORMINV(RAND(),$B$6,$C$6)</f>
        <v>0.440148873934193</v>
      </c>
      <c r="C438" s="22" t="n">
        <f aca="true">MAX(-0.05,NORMINV(RAND(),$B$7,$C$7))</f>
        <v>0.115691273142249</v>
      </c>
      <c r="D438" s="34" t="n">
        <f aca="true">MAX(0.08,NORMINV(RAND(),$B$8,$C$8))</f>
        <v>0.166762593374806</v>
      </c>
      <c r="E438" s="35" t="n">
        <f aca="true">MEDIAN(0,NORMINV(RAND(),$B$9,$C$9),1)</f>
        <v>0.235891577703555</v>
      </c>
      <c r="F438" s="28" t="n">
        <f aca="false">$B$12*(1+(B438+$B$17)/2)^9</f>
        <v>7281.47049451567</v>
      </c>
      <c r="G438" s="28" t="n">
        <f aca="false">F438*(C438-$B$18+$B$19*E438)</f>
        <v>850.045527341612</v>
      </c>
      <c r="H438" s="28" t="n">
        <f aca="false">MAX(0,$B$20*G438)/(1+D438)^9</f>
        <v>1484.9018646245</v>
      </c>
      <c r="I438" s="28" t="n">
        <f aca="false">$B$13*((1+$B$8)/(1+D438))^4.5</f>
        <v>552.458506613234</v>
      </c>
      <c r="J438" s="28" t="n">
        <f aca="false">H438+I438-$B$14</f>
        <v>1366.28845342951</v>
      </c>
      <c r="K438" s="45" t="n">
        <f aca="false">MAX(0,J438)/$B$15</f>
        <v>4.89183119738458</v>
      </c>
    </row>
    <row r="439" customFormat="false" ht="15" hidden="false" customHeight="false" outlineLevel="0" collapsed="false">
      <c r="A439" s="55" t="n">
        <v>399</v>
      </c>
      <c r="B439" s="22" t="n">
        <f aca="true">NORMINV(RAND(),$B$6,$C$6)</f>
        <v>0.477168070470667</v>
      </c>
      <c r="C439" s="22" t="n">
        <f aca="true">MAX(-0.05,NORMINV(RAND(),$B$7,$C$7))</f>
        <v>0.232802070228293</v>
      </c>
      <c r="D439" s="34" t="n">
        <f aca="true">MAX(0.08,NORMINV(RAND(),$B$8,$C$8))</f>
        <v>0.162100680720975</v>
      </c>
      <c r="E439" s="35" t="n">
        <f aca="true">MEDIAN(0,NORMINV(RAND(),$B$9,$C$9),1)</f>
        <v>0.0417918245607479</v>
      </c>
      <c r="F439" s="28" t="n">
        <f aca="false">$B$12*(1+(B439+$B$17)/2)^9</f>
        <v>8320.11379116993</v>
      </c>
      <c r="G439" s="28" t="n">
        <f aca="false">F439*(C439-$B$18+$B$19*E439)</f>
        <v>1493.49188474137</v>
      </c>
      <c r="H439" s="28" t="n">
        <f aca="false">MAX(0,$B$20*G439)/(1+D439)^9</f>
        <v>2704.62530383773</v>
      </c>
      <c r="I439" s="28" t="n">
        <f aca="false">$B$13*((1+$B$8)/(1+D439))^4.5</f>
        <v>562.501910705809</v>
      </c>
      <c r="J439" s="28" t="n">
        <f aca="false">H439+I439-$B$14</f>
        <v>2596.05529673532</v>
      </c>
      <c r="K439" s="45" t="n">
        <f aca="false">MAX(0,J439)/$B$15</f>
        <v>9.29486321781354</v>
      </c>
    </row>
    <row r="440" customFormat="false" ht="15" hidden="false" customHeight="false" outlineLevel="0" collapsed="false">
      <c r="A440" s="55" t="n">
        <v>400</v>
      </c>
      <c r="B440" s="22" t="n">
        <f aca="true">NORMINV(RAND(),$B$6,$C$6)</f>
        <v>0.312243687372664</v>
      </c>
      <c r="C440" s="22" t="n">
        <f aca="true">MAX(-0.05,NORMINV(RAND(),$B$7,$C$7))</f>
        <v>0.0774075268882059</v>
      </c>
      <c r="D440" s="34" t="n">
        <f aca="true">MAX(0.08,NORMINV(RAND(),$B$8,$C$8))</f>
        <v>0.135869074886791</v>
      </c>
      <c r="E440" s="35" t="n">
        <f aca="true">MEDIAN(0,NORMINV(RAND(),$B$9,$C$9),1)</f>
        <v>0.497253827976032</v>
      </c>
      <c r="F440" s="28" t="n">
        <f aca="false">$B$12*(1+(B440+$B$17)/2)^9</f>
        <v>4521.26688265714</v>
      </c>
      <c r="G440" s="28" t="n">
        <f aca="false">F440*(C440-$B$18+$B$19*E440)</f>
        <v>685.59857453203</v>
      </c>
      <c r="H440" s="28" t="n">
        <f aca="false">MAX(0,$B$20*G440)/(1+D440)^9</f>
        <v>1524.80204352117</v>
      </c>
      <c r="I440" s="28" t="n">
        <f aca="false">$B$13*((1+$B$8)/(1+D440))^4.5</f>
        <v>623.366790538866</v>
      </c>
      <c r="J440" s="28" t="n">
        <f aca="false">H440+I440-$B$14</f>
        <v>1477.09691625181</v>
      </c>
      <c r="K440" s="45" t="n">
        <f aca="false">MAX(0,J440)/$B$15</f>
        <v>5.28856754834162</v>
      </c>
    </row>
    <row r="441" customFormat="false" ht="15" hidden="false" customHeight="false" outlineLevel="0" collapsed="false">
      <c r="A441" s="55" t="n">
        <v>401</v>
      </c>
      <c r="B441" s="22" t="n">
        <f aca="true">NORMINV(RAND(),$B$6,$C$6)</f>
        <v>0.293131823691209</v>
      </c>
      <c r="C441" s="22" t="n">
        <f aca="true">MAX(-0.05,NORMINV(RAND(),$B$7,$C$7))</f>
        <v>0.161695842155856</v>
      </c>
      <c r="D441" s="34" t="n">
        <f aca="true">MAX(0.08,NORMINV(RAND(),$B$8,$C$8))</f>
        <v>0.114139832969439</v>
      </c>
      <c r="E441" s="35" t="n">
        <f aca="true">MEDIAN(0,NORMINV(RAND(),$B$9,$C$9),1)</f>
        <v>0.526025936172275</v>
      </c>
      <c r="F441" s="28" t="n">
        <f aca="false">$B$12*(1+(B441+$B$17)/2)^9</f>
        <v>4201.19495355252</v>
      </c>
      <c r="G441" s="28" t="n">
        <f aca="false">F441*(C441-$B$18+$B$19*E441)</f>
        <v>1025.02058647041</v>
      </c>
      <c r="H441" s="28" t="n">
        <f aca="false">MAX(0,$B$20*G441)/(1+D441)^9</f>
        <v>2712.52228187537</v>
      </c>
      <c r="I441" s="28" t="n">
        <f aca="false">$B$13*((1+$B$8)/(1+D441))^4.5</f>
        <v>679.973903494848</v>
      </c>
      <c r="J441" s="28" t="n">
        <f aca="false">H441+I441-$B$14</f>
        <v>2721.424267562</v>
      </c>
      <c r="K441" s="45" t="n">
        <f aca="false">MAX(0,J441)/$B$15</f>
        <v>9.7437317134336</v>
      </c>
    </row>
    <row r="442" customFormat="false" ht="15" hidden="false" customHeight="false" outlineLevel="0" collapsed="false">
      <c r="A442" s="55" t="n">
        <v>402</v>
      </c>
      <c r="B442" s="22" t="n">
        <f aca="true">NORMINV(RAND(),$B$6,$C$6)</f>
        <v>-0.00292734816175566</v>
      </c>
      <c r="C442" s="22" t="n">
        <f aca="true">MAX(-0.05,NORMINV(RAND(),$B$7,$C$7))</f>
        <v>0.0864038419172098</v>
      </c>
      <c r="D442" s="34" t="n">
        <f aca="true">MAX(0.08,NORMINV(RAND(),$B$8,$C$8))</f>
        <v>0.14825415394998</v>
      </c>
      <c r="E442" s="35" t="n">
        <f aca="true">MEDIAN(0,NORMINV(RAND(),$B$9,$C$9),1)</f>
        <v>0</v>
      </c>
      <c r="F442" s="28" t="n">
        <f aca="false">$B$12*(1+(B442+$B$17)/2)^9</f>
        <v>1238.73384285718</v>
      </c>
      <c r="G442" s="28" t="n">
        <f aca="false">F442*(C442-$B$18+$B$19*E442)</f>
        <v>26.5136633500129</v>
      </c>
      <c r="H442" s="28" t="n">
        <f aca="false">MAX(0,$B$20*G442)/(1+D442)^9</f>
        <v>53.4842057458074</v>
      </c>
      <c r="I442" s="28" t="n">
        <f aca="false">$B$13*((1+$B$8)/(1+D442))^4.5</f>
        <v>593.676404951489</v>
      </c>
      <c r="J442" s="28" t="n">
        <f aca="false">H442+I442-$B$14</f>
        <v>-23.9113071109229</v>
      </c>
      <c r="K442" s="45" t="n">
        <f aca="false">MAX(0,J442)/$B$15</f>
        <v>0</v>
      </c>
    </row>
    <row r="443" customFormat="false" ht="15" hidden="false" customHeight="false" outlineLevel="0" collapsed="false">
      <c r="A443" s="55" t="n">
        <v>403</v>
      </c>
      <c r="B443" s="22" t="n">
        <f aca="true">NORMINV(RAND(),$B$6,$C$6)</f>
        <v>0.211734141838496</v>
      </c>
      <c r="C443" s="22" t="n">
        <f aca="true">MAX(-0.05,NORMINV(RAND(),$B$7,$C$7))</f>
        <v>0.165125716580811</v>
      </c>
      <c r="D443" s="34" t="n">
        <f aca="true">MAX(0.08,NORMINV(RAND(),$B$8,$C$8))</f>
        <v>0.158212223129276</v>
      </c>
      <c r="E443" s="35" t="n">
        <f aca="true">MEDIAN(0,NORMINV(RAND(),$B$9,$C$9),1)</f>
        <v>0.335473674011176</v>
      </c>
      <c r="F443" s="28" t="n">
        <f aca="false">$B$12*(1+(B443+$B$17)/2)^9</f>
        <v>3051.92146472492</v>
      </c>
      <c r="G443" s="28" t="n">
        <f aca="false">F443*(C443-$B$18+$B$19*E443)</f>
        <v>592.250829442097</v>
      </c>
      <c r="H443" s="28" t="n">
        <f aca="false">MAX(0,$B$20*G443)/(1+D443)^9</f>
        <v>1105.37699619429</v>
      </c>
      <c r="I443" s="28" t="n">
        <f aca="false">$B$13*((1+$B$8)/(1+D443))^4.5</f>
        <v>571.050155927857</v>
      </c>
      <c r="J443" s="28" t="n">
        <f aca="false">H443+I443-$B$14</f>
        <v>1005.35523431393</v>
      </c>
      <c r="K443" s="45" t="n">
        <f aca="false">MAX(0,J443)/$B$15</f>
        <v>3.59955329149276</v>
      </c>
    </row>
    <row r="444" customFormat="false" ht="15" hidden="false" customHeight="false" outlineLevel="0" collapsed="false">
      <c r="A444" s="55" t="n">
        <v>404</v>
      </c>
      <c r="B444" s="22" t="n">
        <f aca="true">NORMINV(RAND(),$B$6,$C$6)</f>
        <v>0.376663208695139</v>
      </c>
      <c r="C444" s="22" t="n">
        <f aca="true">MAX(-0.05,NORMINV(RAND(),$B$7,$C$7))</f>
        <v>0.0488065280352349</v>
      </c>
      <c r="D444" s="34" t="n">
        <f aca="true">MAX(0.08,NORMINV(RAND(),$B$8,$C$8))</f>
        <v>0.142943478466148</v>
      </c>
      <c r="E444" s="35" t="n">
        <f aca="true">MEDIAN(0,NORMINV(RAND(),$B$9,$C$9),1)</f>
        <v>0.269227634329146</v>
      </c>
      <c r="F444" s="28" t="n">
        <f aca="false">$B$12*(1+(B444+$B$17)/2)^9</f>
        <v>5765.86555994202</v>
      </c>
      <c r="G444" s="28" t="n">
        <f aca="false">F444*(C444-$B$18+$B$19*E444)</f>
        <v>341.283114180139</v>
      </c>
      <c r="H444" s="28" t="n">
        <f aca="false">MAX(0,$B$20*G444)/(1+D444)^9</f>
        <v>717.77785560972</v>
      </c>
      <c r="I444" s="28" t="n">
        <f aca="false">$B$13*((1+$B$8)/(1+D444))^4.5</f>
        <v>606.191035213115</v>
      </c>
      <c r="J444" s="28" t="n">
        <f aca="false">H444+I444-$B$14</f>
        <v>652.896973014616</v>
      </c>
      <c r="K444" s="45" t="n">
        <f aca="false">MAX(0,J444)/$B$15</f>
        <v>2.33761895100113</v>
      </c>
    </row>
    <row r="445" customFormat="false" ht="15" hidden="false" customHeight="false" outlineLevel="0" collapsed="false">
      <c r="A445" s="55" t="n">
        <v>405</v>
      </c>
      <c r="B445" s="22" t="n">
        <f aca="true">NORMINV(RAND(),$B$6,$C$6)</f>
        <v>0.219135440563105</v>
      </c>
      <c r="C445" s="22" t="n">
        <f aca="true">MAX(-0.05,NORMINV(RAND(),$B$7,$C$7))</f>
        <v>0.112347948482002</v>
      </c>
      <c r="D445" s="34" t="n">
        <f aca="true">MAX(0.08,NORMINV(RAND(),$B$8,$C$8))</f>
        <v>0.136888351433193</v>
      </c>
      <c r="E445" s="35" t="n">
        <f aca="true">MEDIAN(0,NORMINV(RAND(),$B$9,$C$9),1)</f>
        <v>0.332136953984136</v>
      </c>
      <c r="F445" s="28" t="n">
        <f aca="false">$B$12*(1+(B445+$B$17)/2)^9</f>
        <v>3143.40077800451</v>
      </c>
      <c r="G445" s="28" t="n">
        <f aca="false">F445*(C445-$B$18+$B$19*E445)</f>
        <v>441.164654771421</v>
      </c>
      <c r="H445" s="28" t="n">
        <f aca="false">MAX(0,$B$20*G445)/(1+D445)^9</f>
        <v>973.281346334229</v>
      </c>
      <c r="I445" s="28" t="n">
        <f aca="false">$B$13*((1+$B$8)/(1+D445))^4.5</f>
        <v>620.855777468151</v>
      </c>
      <c r="J445" s="28" t="n">
        <f aca="false">H445+I445-$B$14</f>
        <v>923.065205994161</v>
      </c>
      <c r="K445" s="45" t="n">
        <f aca="false">MAX(0,J445)/$B$15</f>
        <v>3.30492375937759</v>
      </c>
    </row>
    <row r="446" customFormat="false" ht="15" hidden="false" customHeight="false" outlineLevel="0" collapsed="false">
      <c r="A446" s="55" t="n">
        <v>406</v>
      </c>
      <c r="B446" s="22" t="n">
        <f aca="true">NORMINV(RAND(),$B$6,$C$6)</f>
        <v>0.30215662820486</v>
      </c>
      <c r="C446" s="22" t="n">
        <f aca="true">MAX(-0.05,NORMINV(RAND(),$B$7,$C$7))</f>
        <v>0.121867208542433</v>
      </c>
      <c r="D446" s="34" t="n">
        <f aca="true">MAX(0.08,NORMINV(RAND(),$B$8,$C$8))</f>
        <v>0.145470182229651</v>
      </c>
      <c r="E446" s="35" t="n">
        <f aca="true">MEDIAN(0,NORMINV(RAND(),$B$9,$C$9),1)</f>
        <v>0</v>
      </c>
      <c r="F446" s="28" t="n">
        <f aca="false">$B$12*(1+(B446+$B$17)/2)^9</f>
        <v>4349.73449371478</v>
      </c>
      <c r="G446" s="28" t="n">
        <f aca="false">F446*(C446-$B$18+$B$19*E446)</f>
        <v>247.357258558293</v>
      </c>
      <c r="H446" s="28" t="n">
        <f aca="false">MAX(0,$B$20*G446)/(1+D446)^9</f>
        <v>509.998151714682</v>
      </c>
      <c r="I446" s="28" t="n">
        <f aca="false">$B$13*((1+$B$8)/(1+D446))^4.5</f>
        <v>600.197046097601</v>
      </c>
      <c r="J446" s="28" t="n">
        <f aca="false">H446+I446-$B$14</f>
        <v>439.123280004063</v>
      </c>
      <c r="K446" s="45" t="n">
        <f aca="false">MAX(0,J446)/$B$15</f>
        <v>1.5722279985824</v>
      </c>
    </row>
    <row r="447" customFormat="false" ht="15" hidden="false" customHeight="false" outlineLevel="0" collapsed="false">
      <c r="A447" s="55" t="n">
        <v>407</v>
      </c>
      <c r="B447" s="22" t="n">
        <f aca="true">NORMINV(RAND(),$B$6,$C$6)</f>
        <v>0.33649931022515</v>
      </c>
      <c r="C447" s="22" t="n">
        <f aca="true">MAX(-0.05,NORMINV(RAND(),$B$7,$C$7))</f>
        <v>0.037683606373196</v>
      </c>
      <c r="D447" s="34" t="n">
        <f aca="true">MAX(0.08,NORMINV(RAND(),$B$8,$C$8))</f>
        <v>0.14814033712887</v>
      </c>
      <c r="E447" s="35" t="n">
        <f aca="true">MEDIAN(0,NORMINV(RAND(),$B$9,$C$9),1)</f>
        <v>0.430579290881363</v>
      </c>
      <c r="F447" s="28" t="n">
        <f aca="false">$B$12*(1+(B447+$B$17)/2)^9</f>
        <v>4958.59423668734</v>
      </c>
      <c r="G447" s="28" t="n">
        <f aca="false">F447*(C447-$B$18+$B$19*E447)</f>
        <v>462.368125251396</v>
      </c>
      <c r="H447" s="28" t="n">
        <f aca="false">MAX(0,$B$20*G447)/(1+D447)^9</f>
        <v>933.536173797081</v>
      </c>
      <c r="I447" s="28" t="n">
        <f aca="false">$B$13*((1+$B$8)/(1+D447))^4.5</f>
        <v>593.941284922451</v>
      </c>
      <c r="J447" s="28" t="n">
        <f aca="false">H447+I447-$B$14</f>
        <v>856.405540911313</v>
      </c>
      <c r="K447" s="45" t="n">
        <f aca="false">MAX(0,J447)/$B$15</f>
        <v>3.06625685968963</v>
      </c>
    </row>
    <row r="448" customFormat="false" ht="15" hidden="false" customHeight="false" outlineLevel="0" collapsed="false">
      <c r="A448" s="55" t="n">
        <v>408</v>
      </c>
      <c r="B448" s="22" t="n">
        <f aca="true">NORMINV(RAND(),$B$6,$C$6)</f>
        <v>0.358368189939815</v>
      </c>
      <c r="C448" s="22" t="n">
        <f aca="true">MAX(-0.05,NORMINV(RAND(),$B$7,$C$7))</f>
        <v>0.130782193359193</v>
      </c>
      <c r="D448" s="34" t="n">
        <f aca="true">MAX(0.08,NORMINV(RAND(),$B$8,$C$8))</f>
        <v>0.135703444805894</v>
      </c>
      <c r="E448" s="35" t="n">
        <f aca="true">MEDIAN(0,NORMINV(RAND(),$B$9,$C$9),1)</f>
        <v>0.414204386412555</v>
      </c>
      <c r="F448" s="28" t="n">
        <f aca="false">$B$12*(1+(B448+$B$17)/2)^9</f>
        <v>5384.70650246066</v>
      </c>
      <c r="G448" s="28" t="n">
        <f aca="false">F448*(C448-$B$18+$B$19*E448)</f>
        <v>978.721139129126</v>
      </c>
      <c r="H448" s="28" t="n">
        <f aca="false">MAX(0,$B$20*G448)/(1+D448)^9</f>
        <v>2179.57852828605</v>
      </c>
      <c r="I448" s="28" t="n">
        <f aca="false">$B$13*((1+$B$8)/(1+D448))^4.5</f>
        <v>623.775995872593</v>
      </c>
      <c r="J448" s="28" t="n">
        <f aca="false">H448+I448-$B$14</f>
        <v>2132.28260635042</v>
      </c>
      <c r="K448" s="45" t="n">
        <f aca="false">MAX(0,J448)/$B$15</f>
        <v>7.63438097511788</v>
      </c>
    </row>
    <row r="449" customFormat="false" ht="15" hidden="false" customHeight="false" outlineLevel="0" collapsed="false">
      <c r="A449" s="55" t="n">
        <v>409</v>
      </c>
      <c r="B449" s="22" t="n">
        <f aca="true">NORMINV(RAND(),$B$6,$C$6)</f>
        <v>0.262846580745187</v>
      </c>
      <c r="C449" s="22" t="n">
        <f aca="true">MAX(-0.05,NORMINV(RAND(),$B$7,$C$7))</f>
        <v>0.0867554305380896</v>
      </c>
      <c r="D449" s="34" t="n">
        <f aca="true">MAX(0.08,NORMINV(RAND(),$B$8,$C$8))</f>
        <v>0.14371887948524</v>
      </c>
      <c r="E449" s="35" t="n">
        <f aca="true">MEDIAN(0,NORMINV(RAND(),$B$9,$C$9),1)</f>
        <v>0</v>
      </c>
      <c r="F449" s="28" t="n">
        <f aca="false">$B$12*(1+(B449+$B$17)/2)^9</f>
        <v>3735.11852812272</v>
      </c>
      <c r="G449" s="28" t="n">
        <f aca="false">F449*(C449-$B$18+$B$19*E449)</f>
        <v>81.2591116901052</v>
      </c>
      <c r="H449" s="28" t="n">
        <f aca="false">MAX(0,$B$20*G449)/(1+D449)^9</f>
        <v>169.862104086892</v>
      </c>
      <c r="I449" s="28" t="n">
        <f aca="false">$B$13*((1+$B$8)/(1+D449))^4.5</f>
        <v>604.34383562766</v>
      </c>
      <c r="J449" s="28" t="n">
        <f aca="false">H449+I449-$B$14</f>
        <v>103.134021906332</v>
      </c>
      <c r="K449" s="45" t="n">
        <f aca="false">MAX(0,J449)/$B$15</f>
        <v>0.369258939872295</v>
      </c>
    </row>
    <row r="450" customFormat="false" ht="15" hidden="false" customHeight="false" outlineLevel="0" collapsed="false">
      <c r="A450" s="55" t="n">
        <v>410</v>
      </c>
      <c r="B450" s="22" t="n">
        <f aca="true">NORMINV(RAND(),$B$6,$C$6)</f>
        <v>0.407901778512026</v>
      </c>
      <c r="C450" s="22" t="n">
        <f aca="true">MAX(-0.05,NORMINV(RAND(),$B$7,$C$7))</f>
        <v>0.222654344681801</v>
      </c>
      <c r="D450" s="34" t="n">
        <f aca="true">MAX(0.08,NORMINV(RAND(),$B$8,$C$8))</f>
        <v>0.130701090056686</v>
      </c>
      <c r="E450" s="35" t="n">
        <f aca="true">MEDIAN(0,NORMINV(RAND(),$B$9,$C$9),1)</f>
        <v>0.0647884072705004</v>
      </c>
      <c r="F450" s="28" t="n">
        <f aca="false">$B$12*(1+(B450+$B$17)/2)^9</f>
        <v>6472.39820572708</v>
      </c>
      <c r="G450" s="28" t="n">
        <f aca="false">F450*(C450-$B$18+$B$19*E450)</f>
        <v>1137.81588151503</v>
      </c>
      <c r="H450" s="28" t="n">
        <f aca="false">MAX(0,$B$20*G450)/(1+D450)^9</f>
        <v>2636.57259511321</v>
      </c>
      <c r="I450" s="28" t="n">
        <f aca="false">$B$13*((1+$B$8)/(1+D450))^4.5</f>
        <v>636.290960245347</v>
      </c>
      <c r="J450" s="28" t="n">
        <f aca="false">H450+I450-$B$14</f>
        <v>2601.79163755033</v>
      </c>
      <c r="K450" s="45" t="n">
        <f aca="false">MAX(0,J450)/$B$15</f>
        <v>9.31540149498866</v>
      </c>
    </row>
    <row r="451" customFormat="false" ht="15" hidden="false" customHeight="false" outlineLevel="0" collapsed="false">
      <c r="A451" s="55" t="n">
        <v>411</v>
      </c>
      <c r="B451" s="22" t="n">
        <f aca="true">NORMINV(RAND(),$B$6,$C$6)</f>
        <v>0.160204127701522</v>
      </c>
      <c r="C451" s="22" t="n">
        <f aca="true">MAX(-0.05,NORMINV(RAND(),$B$7,$C$7))</f>
        <v>0.156537429721897</v>
      </c>
      <c r="D451" s="34" t="n">
        <f aca="true">MAX(0.08,NORMINV(RAND(),$B$8,$C$8))</f>
        <v>0.105325001948991</v>
      </c>
      <c r="E451" s="35" t="n">
        <f aca="true">MEDIAN(0,NORMINV(RAND(),$B$9,$C$9),1)</f>
        <v>0.368128246714742</v>
      </c>
      <c r="F451" s="28" t="n">
        <f aca="false">$B$12*(1+(B451+$B$17)/2)^9</f>
        <v>2477.91334172359</v>
      </c>
      <c r="G451" s="28" t="n">
        <f aca="false">F451*(C451-$B$18+$B$19*E451)</f>
        <v>482.234988694911</v>
      </c>
      <c r="H451" s="28" t="n">
        <f aca="false">MAX(0,$B$20*G451)/(1+D451)^9</f>
        <v>1370.71389246374</v>
      </c>
      <c r="I451" s="28" t="n">
        <f aca="false">$B$13*((1+$B$8)/(1+D451))^4.5</f>
        <v>704.718918632769</v>
      </c>
      <c r="J451" s="28" t="n">
        <f aca="false">H451+I451-$B$14</f>
        <v>1404.36089328828</v>
      </c>
      <c r="K451" s="45" t="n">
        <f aca="false">MAX(0,J451)/$B$15</f>
        <v>5.02814498134008</v>
      </c>
    </row>
    <row r="452" customFormat="false" ht="15" hidden="false" customHeight="false" outlineLevel="0" collapsed="false">
      <c r="A452" s="55" t="n">
        <v>412</v>
      </c>
      <c r="B452" s="22" t="n">
        <f aca="true">NORMINV(RAND(),$B$6,$C$6)</f>
        <v>0.58179548979862</v>
      </c>
      <c r="C452" s="22" t="n">
        <f aca="true">MAX(-0.05,NORMINV(RAND(),$B$7,$C$7))</f>
        <v>0.138270317003117</v>
      </c>
      <c r="D452" s="34" t="n">
        <f aca="true">MAX(0.08,NORMINV(RAND(),$B$8,$C$8))</f>
        <v>0.132596070359946</v>
      </c>
      <c r="E452" s="35" t="n">
        <f aca="true">MEDIAN(0,NORMINV(RAND(),$B$9,$C$9),1)</f>
        <v>0.0878109683843974</v>
      </c>
      <c r="F452" s="28" t="n">
        <f aca="false">$B$12*(1+(B452+$B$17)/2)^9</f>
        <v>12003.5207156719</v>
      </c>
      <c r="G452" s="28" t="n">
        <f aca="false">F452*(C452-$B$18+$B$19*E452)</f>
        <v>1174.63318584905</v>
      </c>
      <c r="H452" s="28" t="n">
        <f aca="false">MAX(0,$B$20*G452)/(1+D452)^9</f>
        <v>2681.17309188259</v>
      </c>
      <c r="I452" s="28" t="n">
        <f aca="false">$B$13*((1+$B$8)/(1+D452))^4.5</f>
        <v>631.51427940644</v>
      </c>
      <c r="J452" s="28" t="n">
        <f aca="false">H452+I452-$B$14</f>
        <v>2641.61545348081</v>
      </c>
      <c r="K452" s="45" t="n">
        <f aca="false">MAX(0,J452)/$B$15</f>
        <v>9.45798586996351</v>
      </c>
    </row>
    <row r="453" customFormat="false" ht="15" hidden="false" customHeight="false" outlineLevel="0" collapsed="false">
      <c r="A453" s="55" t="n">
        <v>413</v>
      </c>
      <c r="B453" s="22" t="n">
        <f aca="true">NORMINV(RAND(),$B$6,$C$6)</f>
        <v>0.374366538920336</v>
      </c>
      <c r="C453" s="22" t="n">
        <f aca="true">MAX(-0.05,NORMINV(RAND(),$B$7,$C$7))</f>
        <v>0.074948167749924</v>
      </c>
      <c r="D453" s="34" t="n">
        <f aca="true">MAX(0.08,NORMINV(RAND(),$B$8,$C$8))</f>
        <v>0.102455474606271</v>
      </c>
      <c r="E453" s="35" t="n">
        <f aca="true">MEDIAN(0,NORMINV(RAND(),$B$9,$C$9),1)</f>
        <v>0.211828015634889</v>
      </c>
      <c r="F453" s="28" t="n">
        <f aca="false">$B$12*(1+(B453+$B$17)/2)^9</f>
        <v>5716.73643294955</v>
      </c>
      <c r="G453" s="28" t="n">
        <f aca="false">F453*(C453-$B$18+$B$19*E453)</f>
        <v>395.941234676909</v>
      </c>
      <c r="H453" s="28" t="n">
        <f aca="false">MAX(0,$B$20*G453)/(1+D453)^9</f>
        <v>1152.07100646088</v>
      </c>
      <c r="I453" s="28" t="n">
        <f aca="false">$B$13*((1+$B$8)/(1+D453))^4.5</f>
        <v>713.010850858835</v>
      </c>
      <c r="J453" s="28" t="n">
        <f aca="false">H453+I453-$B$14</f>
        <v>1194.00993951149</v>
      </c>
      <c r="K453" s="45" t="n">
        <f aca="false">MAX(0,J453)/$B$15</f>
        <v>4.27500873437698</v>
      </c>
    </row>
    <row r="454" customFormat="false" ht="15" hidden="false" customHeight="false" outlineLevel="0" collapsed="false">
      <c r="A454" s="55" t="n">
        <v>414</v>
      </c>
      <c r="B454" s="22" t="n">
        <f aca="true">NORMINV(RAND(),$B$6,$C$6)</f>
        <v>0.168583641620239</v>
      </c>
      <c r="C454" s="22" t="n">
        <f aca="true">MAX(-0.05,NORMINV(RAND(),$B$7,$C$7))</f>
        <v>0.153111113528605</v>
      </c>
      <c r="D454" s="34" t="n">
        <f aca="true">MAX(0.08,NORMINV(RAND(),$B$8,$C$8))</f>
        <v>0.151948662785948</v>
      </c>
      <c r="E454" s="35" t="n">
        <f aca="true">MEDIAN(0,NORMINV(RAND(),$B$9,$C$9),1)</f>
        <v>0</v>
      </c>
      <c r="F454" s="28" t="n">
        <f aca="false">$B$12*(1+(B454+$B$17)/2)^9</f>
        <v>2564.15337137113</v>
      </c>
      <c r="G454" s="28" t="n">
        <f aca="false">F454*(C454-$B$18+$B$19*E454)</f>
        <v>225.930408809636</v>
      </c>
      <c r="H454" s="28" t="n">
        <f aca="false">MAX(0,$B$20*G454)/(1+D454)^9</f>
        <v>442.766346225783</v>
      </c>
      <c r="I454" s="28" t="n">
        <f aca="false">$B$13*((1+$B$8)/(1+D454))^4.5</f>
        <v>585.156238935796</v>
      </c>
      <c r="J454" s="28" t="n">
        <f aca="false">H454+I454-$B$14</f>
        <v>356.85066735336</v>
      </c>
      <c r="K454" s="45" t="n">
        <f aca="false">MAX(0,J454)/$B$15</f>
        <v>1.27766082117207</v>
      </c>
    </row>
    <row r="455" customFormat="false" ht="15" hidden="false" customHeight="false" outlineLevel="0" collapsed="false">
      <c r="A455" s="55" t="n">
        <v>415</v>
      </c>
      <c r="B455" s="22" t="n">
        <f aca="true">NORMINV(RAND(),$B$6,$C$6)</f>
        <v>0.645641564250885</v>
      </c>
      <c r="C455" s="22" t="n">
        <f aca="true">MAX(-0.05,NORMINV(RAND(),$B$7,$C$7))</f>
        <v>0.17279010133893</v>
      </c>
      <c r="D455" s="34" t="n">
        <f aca="true">MAX(0.08,NORMINV(RAND(),$B$8,$C$8))</f>
        <v>0.113095572354817</v>
      </c>
      <c r="E455" s="35" t="n">
        <f aca="true">MEDIAN(0,NORMINV(RAND(),$B$9,$C$9),1)</f>
        <v>0.386139036303975</v>
      </c>
      <c r="F455" s="28" t="n">
        <f aca="false">$B$12*(1+(B455+$B$17)/2)^9</f>
        <v>14905.6797052622</v>
      </c>
      <c r="G455" s="28" t="n">
        <f aca="false">F455*(C455-$B$18+$B$19*E455)</f>
        <v>3218.27086907263</v>
      </c>
      <c r="H455" s="28" t="n">
        <f aca="false">MAX(0,$B$20*G455)/(1+D455)^9</f>
        <v>8588.72182974943</v>
      </c>
      <c r="I455" s="28" t="n">
        <f aca="false">$B$13*((1+$B$8)/(1+D455))^4.5</f>
        <v>682.849276490085</v>
      </c>
      <c r="J455" s="28" t="n">
        <f aca="false">H455+I455-$B$14</f>
        <v>8600.4991884313</v>
      </c>
      <c r="K455" s="45" t="n">
        <f aca="false">MAX(0,J455)/$B$15</f>
        <v>30.7930511580068</v>
      </c>
    </row>
    <row r="456" customFormat="false" ht="15" hidden="false" customHeight="false" outlineLevel="0" collapsed="false">
      <c r="A456" s="55" t="n">
        <v>416</v>
      </c>
      <c r="B456" s="22" t="n">
        <f aca="true">NORMINV(RAND(),$B$6,$C$6)</f>
        <v>-0.0336107669617189</v>
      </c>
      <c r="C456" s="22" t="n">
        <f aca="true">MAX(-0.05,NORMINV(RAND(),$B$7,$C$7))</f>
        <v>0.150539306311998</v>
      </c>
      <c r="D456" s="34" t="n">
        <f aca="true">MAX(0.08,NORMINV(RAND(),$B$8,$C$8))</f>
        <v>0.138843831078916</v>
      </c>
      <c r="E456" s="35" t="n">
        <f aca="true">MEDIAN(0,NORMINV(RAND(),$B$9,$C$9),1)</f>
        <v>0</v>
      </c>
      <c r="F456" s="28" t="n">
        <f aca="false">$B$12*(1+(B456+$B$17)/2)^9</f>
        <v>1080.57778622892</v>
      </c>
      <c r="G456" s="28" t="n">
        <f aca="false">F456*(C456-$B$18+$B$19*E456)</f>
        <v>92.4318742501767</v>
      </c>
      <c r="H456" s="28" t="n">
        <f aca="false">MAX(0,$B$20*G456)/(1+D456)^9</f>
        <v>200.790072537564</v>
      </c>
      <c r="I456" s="28" t="n">
        <f aca="false">$B$13*((1+$B$8)/(1+D456))^4.5</f>
        <v>616.072921848446</v>
      </c>
      <c r="J456" s="28" t="n">
        <f aca="false">H456+I456-$B$14</f>
        <v>145.791076577792</v>
      </c>
      <c r="K456" s="45" t="n">
        <f aca="false">MAX(0,J456)/$B$15</f>
        <v>0.521987384811284</v>
      </c>
    </row>
    <row r="457" customFormat="false" ht="15" hidden="false" customHeight="false" outlineLevel="0" collapsed="false">
      <c r="A457" s="55" t="n">
        <v>417</v>
      </c>
      <c r="B457" s="22" t="n">
        <f aca="true">NORMINV(RAND(),$B$6,$C$6)</f>
        <v>-0.0730131887807574</v>
      </c>
      <c r="C457" s="22" t="n">
        <f aca="true">MAX(-0.05,NORMINV(RAND(),$B$7,$C$7))</f>
        <v>0.108454874564812</v>
      </c>
      <c r="D457" s="34" t="n">
        <f aca="true">MAX(0.08,NORMINV(RAND(),$B$8,$C$8))</f>
        <v>0.135299539139832</v>
      </c>
      <c r="E457" s="35" t="n">
        <f aca="true">MEDIAN(0,NORMINV(RAND(),$B$9,$C$9),1)</f>
        <v>0</v>
      </c>
      <c r="F457" s="28" t="n">
        <f aca="false">$B$12*(1+(B457+$B$17)/2)^9</f>
        <v>903.924941257563</v>
      </c>
      <c r="G457" s="28" t="n">
        <f aca="false">F457*(C457-$B$18+$B$19*E457)</f>
        <v>39.2799449383527</v>
      </c>
      <c r="H457" s="28" t="n">
        <f aca="false">MAX(0,$B$20*G457)/(1+D457)^9</f>
        <v>87.7555831098299</v>
      </c>
      <c r="I457" s="28" t="n">
        <f aca="false">$B$13*((1+$B$8)/(1+D457))^4.5</f>
        <v>624.775261716066</v>
      </c>
      <c r="J457" s="28" t="n">
        <f aca="false">H457+I457-$B$14</f>
        <v>41.4589270176764</v>
      </c>
      <c r="K457" s="45" t="n">
        <f aca="false">MAX(0,J457)/$B$15</f>
        <v>0.148438693224763</v>
      </c>
    </row>
    <row r="458" customFormat="false" ht="15" hidden="false" customHeight="false" outlineLevel="0" collapsed="false">
      <c r="A458" s="55" t="n">
        <v>418</v>
      </c>
      <c r="B458" s="22" t="n">
        <f aca="true">NORMINV(RAND(),$B$6,$C$6)</f>
        <v>0.291957254947564</v>
      </c>
      <c r="C458" s="22" t="n">
        <f aca="true">MAX(-0.05,NORMINV(RAND(),$B$7,$C$7))</f>
        <v>0.159255460706196</v>
      </c>
      <c r="D458" s="34" t="n">
        <f aca="true">MAX(0.08,NORMINV(RAND(),$B$8,$C$8))</f>
        <v>0.103940017096312</v>
      </c>
      <c r="E458" s="35" t="n">
        <f aca="true">MEDIAN(0,NORMINV(RAND(),$B$9,$C$9),1)</f>
        <v>0</v>
      </c>
      <c r="F458" s="28" t="n">
        <f aca="false">$B$12*(1+(B458+$B$17)/2)^9</f>
        <v>4182.19816861715</v>
      </c>
      <c r="G458" s="28" t="n">
        <f aca="false">F458*(C458-$B$18+$B$19*E458)</f>
        <v>394.19501514762</v>
      </c>
      <c r="H458" s="28" t="n">
        <f aca="false">MAX(0,$B$20*G458)/(1+D458)^9</f>
        <v>1133.18255327389</v>
      </c>
      <c r="I458" s="28" t="n">
        <f aca="false">$B$13*((1+$B$8)/(1+D458))^4.5</f>
        <v>708.706241873474</v>
      </c>
      <c r="J458" s="28" t="n">
        <f aca="false">H458+I458-$B$14</f>
        <v>1170.81687733914</v>
      </c>
      <c r="K458" s="45" t="n">
        <f aca="false">MAX(0,J458)/$B$15</f>
        <v>4.1919687695637</v>
      </c>
    </row>
    <row r="459" customFormat="false" ht="15" hidden="false" customHeight="false" outlineLevel="0" collapsed="false">
      <c r="A459" s="55" t="n">
        <v>419</v>
      </c>
      <c r="B459" s="22" t="n">
        <f aca="true">NORMINV(RAND(),$B$6,$C$6)</f>
        <v>0.398948013200235</v>
      </c>
      <c r="C459" s="22" t="n">
        <f aca="true">MAX(-0.05,NORMINV(RAND(),$B$7,$C$7))</f>
        <v>0.160348165636595</v>
      </c>
      <c r="D459" s="34" t="n">
        <f aca="true">MAX(0.08,NORMINV(RAND(),$B$8,$C$8))</f>
        <v>0.143322348981556</v>
      </c>
      <c r="E459" s="35" t="n">
        <f aca="true">MEDIAN(0,NORMINV(RAND(),$B$9,$C$9),1)</f>
        <v>0.523565545728062</v>
      </c>
      <c r="F459" s="28" t="n">
        <f aca="false">$B$12*(1+(B459+$B$17)/2)^9</f>
        <v>6262.42053294289</v>
      </c>
      <c r="G459" s="28" t="n">
        <f aca="false">F459*(C459-$B$18+$B$19*E459)</f>
        <v>1515.17084495553</v>
      </c>
      <c r="H459" s="28" t="n">
        <f aca="false">MAX(0,$B$20*G459)/(1+D459)^9</f>
        <v>3177.17699207169</v>
      </c>
      <c r="I459" s="28" t="n">
        <f aca="false">$B$13*((1+$B$8)/(1+D459))^4.5</f>
        <v>605.287609839215</v>
      </c>
      <c r="J459" s="28" t="n">
        <f aca="false">H459+I459-$B$14</f>
        <v>3111.39268410268</v>
      </c>
      <c r="K459" s="45" t="n">
        <f aca="false">MAX(0,J459)/$B$15</f>
        <v>11.139966645552</v>
      </c>
    </row>
    <row r="460" customFormat="false" ht="15" hidden="false" customHeight="false" outlineLevel="0" collapsed="false">
      <c r="A460" s="55" t="n">
        <v>420</v>
      </c>
      <c r="B460" s="22" t="n">
        <f aca="true">NORMINV(RAND(),$B$6,$C$6)</f>
        <v>0.425718676859469</v>
      </c>
      <c r="C460" s="22" t="n">
        <f aca="true">MAX(-0.05,NORMINV(RAND(),$B$7,$C$7))</f>
        <v>0.172047571473264</v>
      </c>
      <c r="D460" s="34" t="n">
        <f aca="true">MAX(0.08,NORMINV(RAND(),$B$8,$C$8))</f>
        <v>0.111035294644075</v>
      </c>
      <c r="E460" s="35" t="n">
        <f aca="true">MEDIAN(0,NORMINV(RAND(),$B$9,$C$9),1)</f>
        <v>0.0754672934181125</v>
      </c>
      <c r="F460" s="28" t="n">
        <f aca="false">$B$12*(1+(B460+$B$17)/2)^9</f>
        <v>6908.9342746021</v>
      </c>
      <c r="G460" s="28" t="n">
        <f aca="false">F460*(C460-$B$18+$B$19*E460)</f>
        <v>885.576235194749</v>
      </c>
      <c r="H460" s="28" t="n">
        <f aca="false">MAX(0,$B$20*G460)/(1+D460)^9</f>
        <v>2403.1080246658</v>
      </c>
      <c r="I460" s="28" t="n">
        <f aca="false">$B$13*((1+$B$8)/(1+D460))^4.5</f>
        <v>688.565964893675</v>
      </c>
      <c r="J460" s="28" t="n">
        <f aca="false">H460+I460-$B$14</f>
        <v>2420.60207175126</v>
      </c>
      <c r="K460" s="45" t="n">
        <f aca="false">MAX(0,J460)/$B$15</f>
        <v>8.66667408432244</v>
      </c>
    </row>
    <row r="461" customFormat="false" ht="15" hidden="false" customHeight="false" outlineLevel="0" collapsed="false">
      <c r="A461" s="55" t="n">
        <v>421</v>
      </c>
      <c r="B461" s="22" t="n">
        <f aca="true">NORMINV(RAND(),$B$6,$C$6)</f>
        <v>0.0169542296298251</v>
      </c>
      <c r="C461" s="22" t="n">
        <f aca="true">MAX(-0.05,NORMINV(RAND(),$B$7,$C$7))</f>
        <v>0.146711272355656</v>
      </c>
      <c r="D461" s="34" t="n">
        <f aca="true">MAX(0.08,NORMINV(RAND(),$B$8,$C$8))</f>
        <v>0.0972007666791155</v>
      </c>
      <c r="E461" s="35" t="n">
        <f aca="true">MEDIAN(0,NORMINV(RAND(),$B$9,$C$9),1)</f>
        <v>0.316853517444845</v>
      </c>
      <c r="F461" s="28" t="n">
        <f aca="false">$B$12*(1+(B461+$B$17)/2)^9</f>
        <v>1351.88886481686</v>
      </c>
      <c r="G461" s="28" t="n">
        <f aca="false">F461*(C461-$B$18+$B$19*E461)</f>
        <v>230.402766990916</v>
      </c>
      <c r="H461" s="28" t="n">
        <f aca="false">MAX(0,$B$20*G461)/(1+D461)^9</f>
        <v>699.85941401216</v>
      </c>
      <c r="I461" s="28" t="n">
        <f aca="false">$B$13*((1+$B$8)/(1+D461))^4.5</f>
        <v>728.506517211862</v>
      </c>
      <c r="J461" s="28" t="n">
        <f aca="false">H461+I461-$B$14</f>
        <v>757.294013415803</v>
      </c>
      <c r="K461" s="45" t="n">
        <f aca="false">MAX(0,J461)/$B$15</f>
        <v>2.71139997642608</v>
      </c>
    </row>
    <row r="462" customFormat="false" ht="15" hidden="false" customHeight="false" outlineLevel="0" collapsed="false">
      <c r="A462" s="55" t="n">
        <v>422</v>
      </c>
      <c r="B462" s="22" t="n">
        <f aca="true">NORMINV(RAND(),$B$6,$C$6)</f>
        <v>0.587532116732059</v>
      </c>
      <c r="C462" s="22" t="n">
        <f aca="true">MAX(-0.05,NORMINV(RAND(),$B$7,$C$7))</f>
        <v>0.120919454527497</v>
      </c>
      <c r="D462" s="34" t="n">
        <f aca="true">MAX(0.08,NORMINV(RAND(),$B$8,$C$8))</f>
        <v>0.159091432458551</v>
      </c>
      <c r="E462" s="35" t="n">
        <f aca="true">MEDIAN(0,NORMINV(RAND(),$B$9,$C$9),1)</f>
        <v>0.663677961263507</v>
      </c>
      <c r="F462" s="28" t="n">
        <f aca="false">$B$12*(1+(B462+$B$17)/2)^9</f>
        <v>12241.9791848003</v>
      </c>
      <c r="G462" s="28" t="n">
        <f aca="false">F462*(C462-$B$18+$B$19*E462)</f>
        <v>2959.48969876659</v>
      </c>
      <c r="H462" s="28" t="n">
        <f aca="false">MAX(0,$B$20*G462)/(1+D462)^9</f>
        <v>5485.99757463244</v>
      </c>
      <c r="I462" s="28" t="n">
        <f aca="false">$B$13*((1+$B$8)/(1+D462))^4.5</f>
        <v>569.103519504315</v>
      </c>
      <c r="J462" s="28" t="n">
        <f aca="false">H462+I462-$B$14</f>
        <v>5384.02917632853</v>
      </c>
      <c r="K462" s="45" t="n">
        <f aca="false">MAX(0,J462)/$B$15</f>
        <v>19.2768677992429</v>
      </c>
    </row>
    <row r="463" customFormat="false" ht="15" hidden="false" customHeight="false" outlineLevel="0" collapsed="false">
      <c r="A463" s="55" t="n">
        <v>423</v>
      </c>
      <c r="B463" s="22" t="n">
        <f aca="true">NORMINV(RAND(),$B$6,$C$6)</f>
        <v>0.41026151164734</v>
      </c>
      <c r="C463" s="22" t="n">
        <f aca="true">MAX(-0.05,NORMINV(RAND(),$B$7,$C$7))</f>
        <v>0.171562532991804</v>
      </c>
      <c r="D463" s="34" t="n">
        <f aca="true">MAX(0.08,NORMINV(RAND(),$B$8,$C$8))</f>
        <v>0.121880113118702</v>
      </c>
      <c r="E463" s="35" t="n">
        <f aca="true">MEDIAN(0,NORMINV(RAND(),$B$9,$C$9),1)</f>
        <v>0.438623799600483</v>
      </c>
      <c r="F463" s="28" t="n">
        <f aca="false">$B$12*(1+(B463+$B$17)/2)^9</f>
        <v>6528.76869272639</v>
      </c>
      <c r="G463" s="28" t="n">
        <f aca="false">F463*(C463-$B$18+$B$19*E463)</f>
        <v>1497.55066181508</v>
      </c>
      <c r="H463" s="28" t="n">
        <f aca="false">MAX(0,$B$20*G463)/(1+D463)^9</f>
        <v>3723.58709815995</v>
      </c>
      <c r="I463" s="28" t="n">
        <f aca="false">$B$13*((1+$B$8)/(1+D463))^4.5</f>
        <v>659.116037327789</v>
      </c>
      <c r="J463" s="28" t="n">
        <f aca="false">H463+I463-$B$14</f>
        <v>3711.63121767952</v>
      </c>
      <c r="K463" s="45" t="n">
        <f aca="false">MAX(0,J463)/$B$15</f>
        <v>13.2890483984229</v>
      </c>
    </row>
    <row r="464" customFormat="false" ht="15" hidden="false" customHeight="false" outlineLevel="0" collapsed="false">
      <c r="A464" s="55" t="n">
        <v>424</v>
      </c>
      <c r="B464" s="22" t="n">
        <f aca="true">NORMINV(RAND(),$B$6,$C$6)</f>
        <v>0.524952106351341</v>
      </c>
      <c r="C464" s="22" t="n">
        <f aca="true">MAX(-0.05,NORMINV(RAND(),$B$7,$C$7))</f>
        <v>0.221657374550695</v>
      </c>
      <c r="D464" s="34" t="n">
        <f aca="true">MAX(0.08,NORMINV(RAND(),$B$8,$C$8))</f>
        <v>0.127009457511288</v>
      </c>
      <c r="E464" s="35" t="n">
        <f aca="true">MEDIAN(0,NORMINV(RAND(),$B$9,$C$9),1)</f>
        <v>0.566244024035995</v>
      </c>
      <c r="F464" s="28" t="n">
        <f aca="false">$B$12*(1+(B464+$B$17)/2)^9</f>
        <v>9854.45657747485</v>
      </c>
      <c r="G464" s="28" t="n">
        <f aca="false">F464*(C464-$B$18+$B$19*E464)</f>
        <v>3106.18089624389</v>
      </c>
      <c r="H464" s="28" t="n">
        <f aca="false">MAX(0,$B$20*G464)/(1+D464)^9</f>
        <v>7412.70538573227</v>
      </c>
      <c r="I464" s="28" t="n">
        <f aca="false">$B$13*((1+$B$8)/(1+D464))^4.5</f>
        <v>645.723927698803</v>
      </c>
      <c r="J464" s="28" t="n">
        <f aca="false">H464+I464-$B$14</f>
        <v>7387.35739562286</v>
      </c>
      <c r="K464" s="45" t="n">
        <f aca="false">MAX(0,J464)/$B$15</f>
        <v>26.4495431279014</v>
      </c>
    </row>
    <row r="465" customFormat="false" ht="15" hidden="false" customHeight="false" outlineLevel="0" collapsed="false">
      <c r="A465" s="55" t="n">
        <v>425</v>
      </c>
      <c r="B465" s="22" t="n">
        <f aca="true">NORMINV(RAND(),$B$6,$C$6)</f>
        <v>0.460865827386751</v>
      </c>
      <c r="C465" s="22" t="n">
        <f aca="true">MAX(-0.05,NORMINV(RAND(),$B$7,$C$7))</f>
        <v>0.164666178502435</v>
      </c>
      <c r="D465" s="34" t="n">
        <f aca="true">MAX(0.08,NORMINV(RAND(),$B$8,$C$8))</f>
        <v>0.155657097591539</v>
      </c>
      <c r="E465" s="35" t="n">
        <f aca="true">MEDIAN(0,NORMINV(RAND(),$B$9,$C$9),1)</f>
        <v>0</v>
      </c>
      <c r="F465" s="28" t="n">
        <f aca="false">$B$12*(1+(B465+$B$17)/2)^9</f>
        <v>7847.52789969471</v>
      </c>
      <c r="G465" s="28" t="n">
        <f aca="false">F465*(C465-$B$18+$B$19*E465)</f>
        <v>782.133116453814</v>
      </c>
      <c r="H465" s="28" t="n">
        <f aca="false">MAX(0,$B$20*G465)/(1+D465)^9</f>
        <v>1489.07919796273</v>
      </c>
      <c r="I465" s="28" t="n">
        <f aca="false">$B$13*((1+$B$8)/(1+D465))^4.5</f>
        <v>576.753771378476</v>
      </c>
      <c r="J465" s="28" t="n">
        <f aca="false">H465+I465-$B$14</f>
        <v>1394.76105153299</v>
      </c>
      <c r="K465" s="45" t="n">
        <f aca="false">MAX(0,J465)/$B$15</f>
        <v>4.99377390452197</v>
      </c>
    </row>
    <row r="466" customFormat="false" ht="15" hidden="false" customHeight="false" outlineLevel="0" collapsed="false">
      <c r="A466" s="55" t="n">
        <v>426</v>
      </c>
      <c r="B466" s="22" t="n">
        <f aca="true">NORMINV(RAND(),$B$6,$C$6)</f>
        <v>0.191215893078921</v>
      </c>
      <c r="C466" s="22" t="n">
        <f aca="true">MAX(-0.05,NORMINV(RAND(),$B$7,$C$7))</f>
        <v>0.109610195451279</v>
      </c>
      <c r="D466" s="34" t="n">
        <f aca="true">MAX(0.08,NORMINV(RAND(),$B$8,$C$8))</f>
        <v>0.109979731877769</v>
      </c>
      <c r="E466" s="35" t="n">
        <f aca="true">MEDIAN(0,NORMINV(RAND(),$B$9,$C$9),1)</f>
        <v>0</v>
      </c>
      <c r="F466" s="28" t="n">
        <f aca="false">$B$12*(1+(B466+$B$17)/2)^9</f>
        <v>2810.56537129075</v>
      </c>
      <c r="G466" s="28" t="n">
        <f aca="false">F466*(C466-$B$18+$B$19*E466)</f>
        <v>125.379870541877</v>
      </c>
      <c r="H466" s="28" t="n">
        <f aca="false">MAX(0,$B$20*G466)/(1+D466)^9</f>
        <v>343.155069299139</v>
      </c>
      <c r="I466" s="28" t="n">
        <f aca="false">$B$13*((1+$B$8)/(1+D466))^4.5</f>
        <v>691.51751259602</v>
      </c>
      <c r="J466" s="28" t="n">
        <f aca="false">H466+I466-$B$14</f>
        <v>363.600664086939</v>
      </c>
      <c r="K466" s="45" t="n">
        <f aca="false">MAX(0,J466)/$B$15</f>
        <v>1.30182837123859</v>
      </c>
    </row>
    <row r="467" customFormat="false" ht="15" hidden="false" customHeight="false" outlineLevel="0" collapsed="false">
      <c r="A467" s="55" t="n">
        <v>427</v>
      </c>
      <c r="B467" s="22" t="n">
        <f aca="true">NORMINV(RAND(),$B$6,$C$6)</f>
        <v>0.411393927057366</v>
      </c>
      <c r="C467" s="22" t="n">
        <f aca="true">MAX(-0.05,NORMINV(RAND(),$B$7,$C$7))</f>
        <v>0.100597413684837</v>
      </c>
      <c r="D467" s="34" t="n">
        <f aca="true">MAX(0.08,NORMINV(RAND(),$B$8,$C$8))</f>
        <v>0.179993275777824</v>
      </c>
      <c r="E467" s="35" t="n">
        <f aca="true">MEDIAN(0,NORMINV(RAND(),$B$9,$C$9),1)</f>
        <v>0.226805526157862</v>
      </c>
      <c r="F467" s="28" t="n">
        <f aca="false">$B$12*(1+(B467+$B$17)/2)^9</f>
        <v>6555.97503163169</v>
      </c>
      <c r="G467" s="28" t="n">
        <f aca="false">F467*(C467-$B$18+$B$19*E467)</f>
        <v>649.716537936023</v>
      </c>
      <c r="H467" s="28" t="n">
        <f aca="false">MAX(0,$B$20*G467)/(1+D467)^9</f>
        <v>1025.43035463064</v>
      </c>
      <c r="I467" s="28" t="n">
        <f aca="false">$B$13*((1+$B$8)/(1+D467))^4.5</f>
        <v>525.125376568849</v>
      </c>
      <c r="J467" s="28" t="n">
        <f aca="false">H467+I467-$B$14</f>
        <v>879.483813391266</v>
      </c>
      <c r="K467" s="45" t="n">
        <f aca="false">MAX(0,J467)/$B$15</f>
        <v>3.14888583383912</v>
      </c>
    </row>
    <row r="468" customFormat="false" ht="15" hidden="false" customHeight="false" outlineLevel="0" collapsed="false">
      <c r="A468" s="55" t="n">
        <v>428</v>
      </c>
      <c r="B468" s="22" t="n">
        <f aca="true">NORMINV(RAND(),$B$6,$C$6)</f>
        <v>0.356411276621087</v>
      </c>
      <c r="C468" s="22" t="n">
        <f aca="true">MAX(-0.05,NORMINV(RAND(),$B$7,$C$7))</f>
        <v>0.193492127081142</v>
      </c>
      <c r="D468" s="34" t="n">
        <f aca="true">MAX(0.08,NORMINV(RAND(),$B$8,$C$8))</f>
        <v>0.142276678782862</v>
      </c>
      <c r="E468" s="35" t="n">
        <f aca="true">MEDIAN(0,NORMINV(RAND(),$B$9,$C$9),1)</f>
        <v>0.591173759789985</v>
      </c>
      <c r="F468" s="28" t="n">
        <f aca="false">$B$12*(1+(B468+$B$17)/2)^9</f>
        <v>5345.2931623538</v>
      </c>
      <c r="G468" s="28" t="n">
        <f aca="false">F468*(C468-$B$18+$B$19*E468)</f>
        <v>1571.62726397428</v>
      </c>
      <c r="H468" s="28" t="n">
        <f aca="false">MAX(0,$B$20*G468)/(1+D468)^9</f>
        <v>3322.81225035411</v>
      </c>
      <c r="I468" s="28" t="n">
        <f aca="false">$B$13*((1+$B$8)/(1+D468))^4.5</f>
        <v>607.785040447515</v>
      </c>
      <c r="J468" s="28" t="n">
        <f aca="false">H468+I468-$B$14</f>
        <v>3259.5253729934</v>
      </c>
      <c r="K468" s="45" t="n">
        <f aca="false">MAX(0,J468)/$B$15</f>
        <v>11.6703378911329</v>
      </c>
    </row>
    <row r="469" customFormat="false" ht="15" hidden="false" customHeight="false" outlineLevel="0" collapsed="false">
      <c r="A469" s="55" t="n">
        <v>429</v>
      </c>
      <c r="B469" s="22" t="n">
        <f aca="true">NORMINV(RAND(),$B$6,$C$6)</f>
        <v>0.103980914069978</v>
      </c>
      <c r="C469" s="22" t="n">
        <f aca="true">MAX(-0.05,NORMINV(RAND(),$B$7,$C$7))</f>
        <v>0.181504006095148</v>
      </c>
      <c r="D469" s="34" t="n">
        <f aca="true">MAX(0.08,NORMINV(RAND(),$B$8,$C$8))</f>
        <v>0.149513095436914</v>
      </c>
      <c r="E469" s="35" t="n">
        <f aca="true">MEDIAN(0,NORMINV(RAND(),$B$9,$C$9),1)</f>
        <v>0</v>
      </c>
      <c r="F469" s="28" t="n">
        <f aca="false">$B$12*(1+(B469+$B$17)/2)^9</f>
        <v>1962.94247351747</v>
      </c>
      <c r="G469" s="28" t="n">
        <f aca="false">F469*(C469-$B$18+$B$19*E469)</f>
        <v>228.690661899105</v>
      </c>
      <c r="H469" s="28" t="n">
        <f aca="false">MAX(0,$B$20*G469)/(1+D469)^9</f>
        <v>456.794812002197</v>
      </c>
      <c r="I469" s="28" t="n">
        <f aca="false">$B$13*((1+$B$8)/(1+D469))^4.5</f>
        <v>590.756144939721</v>
      </c>
      <c r="J469" s="28" t="n">
        <f aca="false">H469+I469-$B$14</f>
        <v>376.479039133699</v>
      </c>
      <c r="K469" s="45" t="n">
        <f aca="false">MAX(0,J469)/$B$15</f>
        <v>1.34793784150984</v>
      </c>
    </row>
    <row r="470" customFormat="false" ht="15" hidden="false" customHeight="false" outlineLevel="0" collapsed="false">
      <c r="A470" s="55" t="n">
        <v>430</v>
      </c>
      <c r="B470" s="22" t="n">
        <f aca="true">NORMINV(RAND(),$B$6,$C$6)</f>
        <v>0.31420365723383</v>
      </c>
      <c r="C470" s="22" t="n">
        <f aca="true">MAX(-0.05,NORMINV(RAND(),$B$7,$C$7))</f>
        <v>0.129396074335757</v>
      </c>
      <c r="D470" s="34" t="n">
        <f aca="true">MAX(0.08,NORMINV(RAND(),$B$8,$C$8))</f>
        <v>0.137964873699316</v>
      </c>
      <c r="E470" s="35" t="n">
        <f aca="true">MEDIAN(0,NORMINV(RAND(),$B$9,$C$9),1)</f>
        <v>0.143334986936488</v>
      </c>
      <c r="F470" s="28" t="n">
        <f aca="false">$B$12*(1+(B470+$B$17)/2)^9</f>
        <v>4555.28557471332</v>
      </c>
      <c r="G470" s="28" t="n">
        <f aca="false">F470*(C470-$B$18+$B$19*E470)</f>
        <v>476.163412026022</v>
      </c>
      <c r="H470" s="28" t="n">
        <f aca="false">MAX(0,$B$20*G470)/(1+D470)^9</f>
        <v>1041.58412479594</v>
      </c>
      <c r="I470" s="28" t="n">
        <f aca="false">$B$13*((1+$B$8)/(1+D470))^4.5</f>
        <v>618.217148091989</v>
      </c>
      <c r="J470" s="28" t="n">
        <f aca="false">H470+I470-$B$14</f>
        <v>988.729355079705</v>
      </c>
      <c r="K470" s="45" t="n">
        <f aca="false">MAX(0,J470)/$B$15</f>
        <v>3.54002633397675</v>
      </c>
    </row>
    <row r="471" customFormat="false" ht="15" hidden="false" customHeight="false" outlineLevel="0" collapsed="false">
      <c r="A471" s="55" t="n">
        <v>431</v>
      </c>
      <c r="B471" s="22" t="n">
        <f aca="true">NORMINV(RAND(),$B$6,$C$6)</f>
        <v>0.292418770833818</v>
      </c>
      <c r="C471" s="22" t="n">
        <f aca="true">MAX(-0.05,NORMINV(RAND(),$B$7,$C$7))</f>
        <v>0.128224065157244</v>
      </c>
      <c r="D471" s="34" t="n">
        <f aca="true">MAX(0.08,NORMINV(RAND(),$B$8,$C$8))</f>
        <v>0.128165050314247</v>
      </c>
      <c r="E471" s="35" t="n">
        <f aca="true">MEDIAN(0,NORMINV(RAND(),$B$9,$C$9),1)</f>
        <v>0.00801341401776543</v>
      </c>
      <c r="F471" s="28" t="n">
        <f aca="false">$B$12*(1+(B471+$B$17)/2)^9</f>
        <v>4189.65332937234</v>
      </c>
      <c r="G471" s="28" t="n">
        <f aca="false">F471*(C471-$B$18+$B$19*E471)</f>
        <v>274.287474563867</v>
      </c>
      <c r="H471" s="28" t="n">
        <f aca="false">MAX(0,$B$20*G471)/(1+D471)^9</f>
        <v>648.560123128936</v>
      </c>
      <c r="I471" s="28" t="n">
        <f aca="false">$B$13*((1+$B$8)/(1+D471))^4.5</f>
        <v>642.752856532597</v>
      </c>
      <c r="J471" s="28" t="n">
        <f aca="false">H471+I471-$B$14</f>
        <v>620.241061853314</v>
      </c>
      <c r="K471" s="45" t="n">
        <f aca="false">MAX(0,J471)/$B$15</f>
        <v>2.22069839546478</v>
      </c>
    </row>
    <row r="472" customFormat="false" ht="15" hidden="false" customHeight="false" outlineLevel="0" collapsed="false">
      <c r="A472" s="55" t="n">
        <v>432</v>
      </c>
      <c r="B472" s="22" t="n">
        <f aca="true">NORMINV(RAND(),$B$6,$C$6)</f>
        <v>0.307051058010066</v>
      </c>
      <c r="C472" s="22" t="n">
        <f aca="true">MAX(-0.05,NORMINV(RAND(),$B$7,$C$7))</f>
        <v>0.134107085252467</v>
      </c>
      <c r="D472" s="34" t="n">
        <f aca="true">MAX(0.08,NORMINV(RAND(),$B$8,$C$8))</f>
        <v>0.120284394924971</v>
      </c>
      <c r="E472" s="35" t="n">
        <f aca="true">MEDIAN(0,NORMINV(RAND(),$B$9,$C$9),1)</f>
        <v>0.478583360963466</v>
      </c>
      <c r="F472" s="28" t="n">
        <f aca="false">$B$12*(1+(B472+$B$17)/2)^9</f>
        <v>4432.22883288924</v>
      </c>
      <c r="G472" s="28" t="n">
        <f aca="false">F472*(C472-$B$18+$B$19*E472)</f>
        <v>900.231887805845</v>
      </c>
      <c r="H472" s="28" t="n">
        <f aca="false">MAX(0,$B$20*G472)/(1+D472)^9</f>
        <v>2267.24187409434</v>
      </c>
      <c r="I472" s="28" t="n">
        <f aca="false">$B$13*((1+$B$8)/(1+D472))^4.5</f>
        <v>663.351343333476</v>
      </c>
      <c r="J472" s="28" t="n">
        <f aca="false">H472+I472-$B$14</f>
        <v>2259.5212996196</v>
      </c>
      <c r="K472" s="45" t="n">
        <f aca="false">MAX(0,J472)/$B$15</f>
        <v>8.08994378667954</v>
      </c>
    </row>
    <row r="473" customFormat="false" ht="15" hidden="false" customHeight="false" outlineLevel="0" collapsed="false">
      <c r="A473" s="55" t="n">
        <v>433</v>
      </c>
      <c r="B473" s="22" t="n">
        <f aca="true">NORMINV(RAND(),$B$6,$C$6)</f>
        <v>0.439452195164568</v>
      </c>
      <c r="C473" s="22" t="n">
        <f aca="true">MAX(-0.05,NORMINV(RAND(),$B$7,$C$7))</f>
        <v>0.0755223662285751</v>
      </c>
      <c r="D473" s="34" t="n">
        <f aca="true">MAX(0.08,NORMINV(RAND(),$B$8,$C$8))</f>
        <v>0.137738114198757</v>
      </c>
      <c r="E473" s="35" t="n">
        <f aca="true">MEDIAN(0,NORMINV(RAND(),$B$9,$C$9),1)</f>
        <v>0.275299096085483</v>
      </c>
      <c r="F473" s="28" t="n">
        <f aca="false">$B$12*(1+(B473+$B$17)/2)^9</f>
        <v>7263.08274843174</v>
      </c>
      <c r="G473" s="28" t="n">
        <f aca="false">F473*(C473-$B$18+$B$19*E473)</f>
        <v>636.290448949896</v>
      </c>
      <c r="H473" s="28" t="n">
        <f aca="false">MAX(0,$B$20*G473)/(1+D473)^9</f>
        <v>1394.35282096954</v>
      </c>
      <c r="I473" s="28" t="n">
        <f aca="false">$B$13*((1+$B$8)/(1+D473))^4.5</f>
        <v>618.771809846461</v>
      </c>
      <c r="J473" s="28" t="n">
        <f aca="false">H473+I473-$B$14</f>
        <v>1342.05271300778</v>
      </c>
      <c r="K473" s="45" t="n">
        <f aca="false">MAX(0,J473)/$B$15</f>
        <v>4.80505804872102</v>
      </c>
    </row>
    <row r="474" customFormat="false" ht="15" hidden="false" customHeight="false" outlineLevel="0" collapsed="false">
      <c r="A474" s="55" t="n">
        <v>434</v>
      </c>
      <c r="B474" s="22" t="n">
        <f aca="true">NORMINV(RAND(),$B$6,$C$6)</f>
        <v>0.12452465283135</v>
      </c>
      <c r="C474" s="22" t="n">
        <f aca="true">MAX(-0.05,NORMINV(RAND(),$B$7,$C$7))</f>
        <v>0.108114759037658</v>
      </c>
      <c r="D474" s="34" t="n">
        <f aca="true">MAX(0.08,NORMINV(RAND(),$B$8,$C$8))</f>
        <v>0.163589302722527</v>
      </c>
      <c r="E474" s="35" t="n">
        <f aca="true">MEDIAN(0,NORMINV(RAND(),$B$9,$C$9),1)</f>
        <v>0.316483099724137</v>
      </c>
      <c r="F474" s="28" t="n">
        <f aca="false">$B$12*(1+(B474+$B$17)/2)^9</f>
        <v>2138.85905763488</v>
      </c>
      <c r="G474" s="28" t="n">
        <f aca="false">F474*(C474-$B$18+$B$19*E474)</f>
        <v>281.751961326773</v>
      </c>
      <c r="H474" s="28" t="n">
        <f aca="false">MAX(0,$B$20*G474)/(1+D474)^9</f>
        <v>504.391208415987</v>
      </c>
      <c r="I474" s="28" t="n">
        <f aca="false">$B$13*((1+$B$8)/(1+D474))^4.5</f>
        <v>559.270822139653</v>
      </c>
      <c r="J474" s="28" t="n">
        <f aca="false">H474+I474-$B$14</f>
        <v>392.59011274742</v>
      </c>
      <c r="K474" s="45" t="n">
        <f aca="false">MAX(0,J474)/$B$15</f>
        <v>1.40562159952531</v>
      </c>
    </row>
    <row r="475" customFormat="false" ht="15" hidden="false" customHeight="false" outlineLevel="0" collapsed="false">
      <c r="A475" s="55" t="n">
        <v>435</v>
      </c>
      <c r="B475" s="22" t="n">
        <f aca="true">NORMINV(RAND(),$B$6,$C$6)</f>
        <v>0.290068285029462</v>
      </c>
      <c r="C475" s="22" t="n">
        <f aca="true">MAX(-0.05,NORMINV(RAND(),$B$7,$C$7))</f>
        <v>0.162115171744033</v>
      </c>
      <c r="D475" s="34" t="n">
        <f aca="true">MAX(0.08,NORMINV(RAND(),$B$8,$C$8))</f>
        <v>0.152273049958584</v>
      </c>
      <c r="E475" s="35" t="n">
        <f aca="true">MEDIAN(0,NORMINV(RAND(),$B$9,$C$9),1)</f>
        <v>0.241171354305725</v>
      </c>
      <c r="F475" s="28" t="n">
        <f aca="false">$B$12*(1+(B475+$B$17)/2)^9</f>
        <v>4151.80718358876</v>
      </c>
      <c r="G475" s="28" t="n">
        <f aca="false">F475*(C475-$B$18+$B$19*E475)</f>
        <v>683.566616841386</v>
      </c>
      <c r="H475" s="28" t="n">
        <f aca="false">MAX(0,$B$20*G475)/(1+D475)^9</f>
        <v>1336.22700590549</v>
      </c>
      <c r="I475" s="28" t="n">
        <f aca="false">$B$13*((1+$B$8)/(1+D475))^4.5</f>
        <v>584.415306410077</v>
      </c>
      <c r="J475" s="28" t="n">
        <f aca="false">H475+I475-$B$14</f>
        <v>1249.57039450735</v>
      </c>
      <c r="K475" s="45" t="n">
        <f aca="false">MAX(0,J475)/$B$15</f>
        <v>4.47393624957877</v>
      </c>
    </row>
    <row r="476" customFormat="false" ht="15" hidden="false" customHeight="false" outlineLevel="0" collapsed="false">
      <c r="A476" s="55" t="n">
        <v>436</v>
      </c>
      <c r="B476" s="22" t="n">
        <f aca="true">NORMINV(RAND(),$B$6,$C$6)</f>
        <v>0.228834045888053</v>
      </c>
      <c r="C476" s="22" t="n">
        <f aca="true">MAX(-0.05,NORMINV(RAND(),$B$7,$C$7))</f>
        <v>0.299377953721529</v>
      </c>
      <c r="D476" s="34" t="n">
        <f aca="true">MAX(0.08,NORMINV(RAND(),$B$8,$C$8))</f>
        <v>0.110529104745377</v>
      </c>
      <c r="E476" s="35" t="n">
        <f aca="true">MEDIAN(0,NORMINV(RAND(),$B$9,$C$9),1)</f>
        <v>0.172212884343777</v>
      </c>
      <c r="F476" s="28" t="n">
        <f aca="false">$B$12*(1+(B476+$B$17)/2)^9</f>
        <v>3266.96072041105</v>
      </c>
      <c r="G476" s="28" t="n">
        <f aca="false">F476*(C476-$B$18+$B$19*E476)</f>
        <v>923.2351325745</v>
      </c>
      <c r="H476" s="28" t="n">
        <f aca="false">MAX(0,$B$20*G476)/(1+D476)^9</f>
        <v>2515.5957797828</v>
      </c>
      <c r="I476" s="28" t="n">
        <f aca="false">$B$13*((1+$B$8)/(1+D476))^4.5</f>
        <v>689.979439501248</v>
      </c>
      <c r="J476" s="28" t="n">
        <f aca="false">H476+I476-$B$14</f>
        <v>2534.50330147583</v>
      </c>
      <c r="K476" s="45" t="n">
        <f aca="false">MAX(0,J476)/$B$15</f>
        <v>9.07448371455722</v>
      </c>
    </row>
    <row r="477" customFormat="false" ht="15" hidden="false" customHeight="false" outlineLevel="0" collapsed="false">
      <c r="A477" s="55" t="n">
        <v>437</v>
      </c>
      <c r="B477" s="22" t="n">
        <f aca="true">NORMINV(RAND(),$B$6,$C$6)</f>
        <v>0.409950294142847</v>
      </c>
      <c r="C477" s="22" t="n">
        <f aca="true">MAX(-0.05,NORMINV(RAND(),$B$7,$C$7))</f>
        <v>0.0629480156003626</v>
      </c>
      <c r="D477" s="34" t="n">
        <f aca="true">MAX(0.08,NORMINV(RAND(),$B$8,$C$8))</f>
        <v>0.165869116700173</v>
      </c>
      <c r="E477" s="35" t="n">
        <f aca="true">MEDIAN(0,NORMINV(RAND(),$B$9,$C$9),1)</f>
        <v>0.431359156915745</v>
      </c>
      <c r="F477" s="28" t="n">
        <f aca="false">$B$12*(1+(B477+$B$17)/2)^9</f>
        <v>6521.30927835549</v>
      </c>
      <c r="G477" s="28" t="n">
        <f aca="false">F477*(C477-$B$18+$B$19*E477)</f>
        <v>774.265787339113</v>
      </c>
      <c r="H477" s="28" t="n">
        <f aca="false">MAX(0,$B$20*G477)/(1+D477)^9</f>
        <v>1361.88339775477</v>
      </c>
      <c r="I477" s="28" t="n">
        <f aca="false">$B$13*((1+$B$8)/(1+D477))^4.5</f>
        <v>554.366285452515</v>
      </c>
      <c r="J477" s="28" t="n">
        <f aca="false">H477+I477-$B$14</f>
        <v>1245.17776539906</v>
      </c>
      <c r="K477" s="45" t="n">
        <f aca="false">MAX(0,J477)/$B$15</f>
        <v>4.45820897027949</v>
      </c>
    </row>
    <row r="478" customFormat="false" ht="15" hidden="false" customHeight="false" outlineLevel="0" collapsed="false">
      <c r="A478" s="55" t="n">
        <v>438</v>
      </c>
      <c r="B478" s="22" t="n">
        <f aca="true">NORMINV(RAND(),$B$6,$C$6)</f>
        <v>0.439530782682705</v>
      </c>
      <c r="C478" s="22" t="n">
        <f aca="true">MAX(-0.05,NORMINV(RAND(),$B$7,$C$7))</f>
        <v>0.0806069993938371</v>
      </c>
      <c r="D478" s="34" t="n">
        <f aca="true">MAX(0.08,NORMINV(RAND(),$B$8,$C$8))</f>
        <v>0.152538224395203</v>
      </c>
      <c r="E478" s="35" t="n">
        <f aca="true">MEDIAN(0,NORMINV(RAND(),$B$9,$C$9),1)</f>
        <v>0.695978078888279</v>
      </c>
      <c r="F478" s="28" t="n">
        <f aca="false">$B$12*(1+(B478+$B$17)/2)^9</f>
        <v>7265.15487556284</v>
      </c>
      <c r="G478" s="28" t="n">
        <f aca="false">F478*(C478-$B$18+$B$19*E478)</f>
        <v>1529.17605701265</v>
      </c>
      <c r="H478" s="28" t="n">
        <f aca="false">MAX(0,$B$20*G478)/(1+D478)^9</f>
        <v>2983.0290917397</v>
      </c>
      <c r="I478" s="28" t="n">
        <f aca="false">$B$13*((1+$B$8)/(1+D478))^4.5</f>
        <v>583.810473313535</v>
      </c>
      <c r="J478" s="28" t="n">
        <f aca="false">H478+I478-$B$14</f>
        <v>2895.76764724501</v>
      </c>
      <c r="K478" s="45" t="n">
        <f aca="false">MAX(0,J478)/$B$15</f>
        <v>10.3679471795382</v>
      </c>
    </row>
    <row r="479" customFormat="false" ht="15" hidden="false" customHeight="false" outlineLevel="0" collapsed="false">
      <c r="A479" s="55" t="n">
        <v>439</v>
      </c>
      <c r="B479" s="22" t="n">
        <f aca="true">NORMINV(RAND(),$B$6,$C$6)</f>
        <v>0.395828487527863</v>
      </c>
      <c r="C479" s="22" t="n">
        <f aca="true">MAX(-0.05,NORMINV(RAND(),$B$7,$C$7))</f>
        <v>0.113487597962023</v>
      </c>
      <c r="D479" s="34" t="n">
        <f aca="true">MAX(0.08,NORMINV(RAND(),$B$8,$C$8))</f>
        <v>0.131529861397073</v>
      </c>
      <c r="E479" s="35" t="n">
        <f aca="true">MEDIAN(0,NORMINV(RAND(),$B$9,$C$9),1)</f>
        <v>0.488568515726723</v>
      </c>
      <c r="F479" s="28" t="n">
        <f aca="false">$B$12*(1+(B479+$B$17)/2)^9</f>
        <v>6190.69896464608</v>
      </c>
      <c r="G479" s="28" t="n">
        <f aca="false">F479*(C479-$B$18+$B$19*E479)</f>
        <v>1147.05469175274</v>
      </c>
      <c r="H479" s="28" t="n">
        <f aca="false">MAX(0,$B$20*G479)/(1+D479)^9</f>
        <v>2640.51104999093</v>
      </c>
      <c r="I479" s="28" t="n">
        <f aca="false">$B$13*((1+$B$8)/(1+D479))^4.5</f>
        <v>634.196460588465</v>
      </c>
      <c r="J479" s="28" t="n">
        <f aca="false">H479+I479-$B$14</f>
        <v>2603.63559277118</v>
      </c>
      <c r="K479" s="45" t="n">
        <f aca="false">MAX(0,J479)/$B$15</f>
        <v>9.32200355449759</v>
      </c>
    </row>
    <row r="480" customFormat="false" ht="15" hidden="false" customHeight="false" outlineLevel="0" collapsed="false">
      <c r="A480" s="55" t="n">
        <v>440</v>
      </c>
      <c r="B480" s="22" t="n">
        <f aca="true">NORMINV(RAND(),$B$6,$C$6)</f>
        <v>0.347467086319105</v>
      </c>
      <c r="C480" s="22" t="n">
        <f aca="true">MAX(-0.05,NORMINV(RAND(),$B$7,$C$7))</f>
        <v>0.0982475270047425</v>
      </c>
      <c r="D480" s="34" t="n">
        <f aca="true">MAX(0.08,NORMINV(RAND(),$B$8,$C$8))</f>
        <v>0.149659077715973</v>
      </c>
      <c r="E480" s="35" t="n">
        <f aca="true">MEDIAN(0,NORMINV(RAND(),$B$9,$C$9),1)</f>
        <v>0.111173426077948</v>
      </c>
      <c r="F480" s="28" t="n">
        <f aca="false">$B$12*(1+(B480+$B$17)/2)^9</f>
        <v>5168.39712248961</v>
      </c>
      <c r="G480" s="28" t="n">
        <f aca="false">F480*(C480-$B$18+$B$19*E480)</f>
        <v>332.721179224009</v>
      </c>
      <c r="H480" s="28" t="n">
        <f aca="false">MAX(0,$B$20*G480)/(1+D480)^9</f>
        <v>663.829932091203</v>
      </c>
      <c r="I480" s="28" t="n">
        <f aca="false">$B$13*((1+$B$8)/(1+D480))^4.5</f>
        <v>590.418659281412</v>
      </c>
      <c r="J480" s="28" t="n">
        <f aca="false">H480+I480-$B$14</f>
        <v>583.176673564396</v>
      </c>
      <c r="K480" s="45" t="n">
        <f aca="false">MAX(0,J480)/$B$15</f>
        <v>2.08799381870532</v>
      </c>
    </row>
    <row r="481" customFormat="false" ht="15" hidden="false" customHeight="false" outlineLevel="0" collapsed="false">
      <c r="A481" s="55" t="n">
        <v>441</v>
      </c>
      <c r="B481" s="22" t="n">
        <f aca="true">NORMINV(RAND(),$B$6,$C$6)</f>
        <v>0.30837337895133</v>
      </c>
      <c r="C481" s="22" t="n">
        <f aca="true">MAX(-0.05,NORMINV(RAND(),$B$7,$C$7))</f>
        <v>0.196435487622304</v>
      </c>
      <c r="D481" s="34" t="n">
        <f aca="true">MAX(0.08,NORMINV(RAND(),$B$8,$C$8))</f>
        <v>0.147420017029175</v>
      </c>
      <c r="E481" s="35" t="n">
        <f aca="true">MEDIAN(0,NORMINV(RAND(),$B$9,$C$9),1)</f>
        <v>0.0999986861188686</v>
      </c>
      <c r="F481" s="28" t="n">
        <f aca="false">$B$12*(1+(B481+$B$17)/2)^9</f>
        <v>4454.75347641207</v>
      </c>
      <c r="G481" s="28" t="n">
        <f aca="false">F481*(C481-$B$18+$B$19*E481)</f>
        <v>710.244153904283</v>
      </c>
      <c r="H481" s="28" t="n">
        <f aca="false">MAX(0,$B$20*G481)/(1+D481)^9</f>
        <v>1442.12833445313</v>
      </c>
      <c r="I481" s="28" t="n">
        <f aca="false">$B$13*((1+$B$8)/(1+D481))^4.5</f>
        <v>595.621002413292</v>
      </c>
      <c r="J481" s="28" t="n">
        <f aca="false">H481+I481-$B$14</f>
        <v>1366.67741905821</v>
      </c>
      <c r="K481" s="45" t="n">
        <f aca="false">MAX(0,J481)/$B$15</f>
        <v>4.89322384195563</v>
      </c>
    </row>
    <row r="482" customFormat="false" ht="15" hidden="false" customHeight="false" outlineLevel="0" collapsed="false">
      <c r="A482" s="55" t="n">
        <v>442</v>
      </c>
      <c r="B482" s="22" t="n">
        <f aca="true">NORMINV(RAND(),$B$6,$C$6)</f>
        <v>0.447656499453749</v>
      </c>
      <c r="C482" s="22" t="n">
        <f aca="true">MAX(-0.05,NORMINV(RAND(),$B$7,$C$7))</f>
        <v>0.158501145801349</v>
      </c>
      <c r="D482" s="34" t="n">
        <f aca="true">MAX(0.08,NORMINV(RAND(),$B$8,$C$8))</f>
        <v>0.129241324202052</v>
      </c>
      <c r="E482" s="35" t="n">
        <f aca="true">MEDIAN(0,NORMINV(RAND(),$B$9,$C$9),1)</f>
        <v>0.0828097286395574</v>
      </c>
      <c r="F482" s="28" t="n">
        <f aca="false">$B$12*(1+(B482+$B$17)/2)^9</f>
        <v>7482.26430652506</v>
      </c>
      <c r="G482" s="28" t="n">
        <f aca="false">F482*(C482-$B$18+$B$19*E482)</f>
        <v>873.089483361807</v>
      </c>
      <c r="H482" s="28" t="n">
        <f aca="false">MAX(0,$B$20*G482)/(1+D482)^9</f>
        <v>2046.80247490859</v>
      </c>
      <c r="I482" s="28" t="n">
        <f aca="false">$B$13*((1+$B$8)/(1+D482))^4.5</f>
        <v>640.000731408513</v>
      </c>
      <c r="J482" s="28" t="n">
        <f aca="false">H482+I482-$B$14</f>
        <v>2015.73128850888</v>
      </c>
      <c r="K482" s="45" t="n">
        <f aca="false">MAX(0,J482)/$B$15</f>
        <v>7.21708302366231</v>
      </c>
    </row>
    <row r="483" customFormat="false" ht="15" hidden="false" customHeight="false" outlineLevel="0" collapsed="false">
      <c r="A483" s="55" t="n">
        <v>443</v>
      </c>
      <c r="B483" s="22" t="n">
        <f aca="true">NORMINV(RAND(),$B$6,$C$6)</f>
        <v>0.347133872523177</v>
      </c>
      <c r="C483" s="22" t="n">
        <f aca="true">MAX(-0.05,NORMINV(RAND(),$B$7,$C$7))</f>
        <v>0.193680503831054</v>
      </c>
      <c r="D483" s="34" t="n">
        <f aca="true">MAX(0.08,NORMINV(RAND(),$B$8,$C$8))</f>
        <v>0.128360971410381</v>
      </c>
      <c r="E483" s="35" t="n">
        <f aca="true">MEDIAN(0,NORMINV(RAND(),$B$9,$C$9),1)</f>
        <v>0</v>
      </c>
      <c r="F483" s="28" t="n">
        <f aca="false">$B$12*(1+(B483+$B$17)/2)^9</f>
        <v>5161.90866410709</v>
      </c>
      <c r="G483" s="28" t="n">
        <f aca="false">F483*(C483-$B$18+$B$19*E483)</f>
        <v>664.237007627181</v>
      </c>
      <c r="H483" s="28" t="n">
        <f aca="false">MAX(0,$B$20*G483)/(1+D483)^9</f>
        <v>1568.15361686251</v>
      </c>
      <c r="I483" s="28" t="n">
        <f aca="false">$B$13*((1+$B$8)/(1+D483))^4.5</f>
        <v>642.250794118398</v>
      </c>
      <c r="J483" s="28" t="n">
        <f aca="false">H483+I483-$B$14</f>
        <v>1539.33249317269</v>
      </c>
      <c r="K483" s="45" t="n">
        <f aca="false">MAX(0,J483)/$B$15</f>
        <v>5.51139453337876</v>
      </c>
    </row>
    <row r="484" customFormat="false" ht="15" hidden="false" customHeight="false" outlineLevel="0" collapsed="false">
      <c r="A484" s="55" t="n">
        <v>444</v>
      </c>
      <c r="B484" s="22" t="n">
        <f aca="true">NORMINV(RAND(),$B$6,$C$6)</f>
        <v>0.358349925639263</v>
      </c>
      <c r="C484" s="22" t="n">
        <f aca="true">MAX(-0.05,NORMINV(RAND(),$B$7,$C$7))</f>
        <v>0.0793645847955826</v>
      </c>
      <c r="D484" s="34" t="n">
        <f aca="true">MAX(0.08,NORMINV(RAND(),$B$8,$C$8))</f>
        <v>0.148207031348913</v>
      </c>
      <c r="E484" s="35" t="n">
        <f aca="true">MEDIAN(0,NORMINV(RAND(),$B$9,$C$9),1)</f>
        <v>0.182239165340488</v>
      </c>
      <c r="F484" s="28" t="n">
        <f aca="false">$B$12*(1+(B484+$B$17)/2)^9</f>
        <v>5384.33745815649</v>
      </c>
      <c r="G484" s="28" t="n">
        <f aca="false">F484*(C484-$B$18+$B$19*E484)</f>
        <v>352.090177985791</v>
      </c>
      <c r="H484" s="28" t="n">
        <f aca="false">MAX(0,$B$20*G484)/(1+D484)^9</f>
        <v>710.509896593515</v>
      </c>
      <c r="I484" s="28" t="n">
        <f aca="false">$B$13*((1+$B$8)/(1+D484))^4.5</f>
        <v>593.786053413923</v>
      </c>
      <c r="J484" s="28" t="n">
        <f aca="false">H484+I484-$B$14</f>
        <v>633.224032199219</v>
      </c>
      <c r="K484" s="45" t="n">
        <f aca="false">MAX(0,J484)/$B$15</f>
        <v>2.267182356603</v>
      </c>
    </row>
    <row r="485" customFormat="false" ht="15" hidden="false" customHeight="false" outlineLevel="0" collapsed="false">
      <c r="A485" s="55" t="n">
        <v>445</v>
      </c>
      <c r="B485" s="22" t="n">
        <f aca="true">NORMINV(RAND(),$B$6,$C$6)</f>
        <v>0.320244956481016</v>
      </c>
      <c r="C485" s="22" t="n">
        <f aca="true">MAX(-0.05,NORMINV(RAND(),$B$7,$C$7))</f>
        <v>0.148377832885082</v>
      </c>
      <c r="D485" s="34" t="n">
        <f aca="true">MAX(0.08,NORMINV(RAND(),$B$8,$C$8))</f>
        <v>0.16664208989609</v>
      </c>
      <c r="E485" s="35" t="n">
        <f aca="true">MEDIAN(0,NORMINV(RAND(),$B$9,$C$9),1)</f>
        <v>0.58540864662704</v>
      </c>
      <c r="F485" s="28" t="n">
        <f aca="false">$B$12*(1+(B485+$B$17)/2)^9</f>
        <v>4661.57893528163</v>
      </c>
      <c r="G485" s="28" t="n">
        <f aca="false">F485*(C485-$B$18+$B$19*E485)</f>
        <v>1152.77236182807</v>
      </c>
      <c r="H485" s="28" t="n">
        <f aca="false">MAX(0,$B$20*G485)/(1+D485)^9</f>
        <v>2015.59294059325</v>
      </c>
      <c r="I485" s="28" t="n">
        <f aca="false">$B$13*((1+$B$8)/(1+D485))^4.5</f>
        <v>552.715340677796</v>
      </c>
      <c r="J485" s="28" t="n">
        <f aca="false">H485+I485-$B$14</f>
        <v>1897.23636346283</v>
      </c>
      <c r="K485" s="45" t="n">
        <f aca="false">MAX(0,J485)/$B$15</f>
        <v>6.79282622077633</v>
      </c>
    </row>
    <row r="486" customFormat="false" ht="15" hidden="false" customHeight="false" outlineLevel="0" collapsed="false">
      <c r="A486" s="55" t="n">
        <v>446</v>
      </c>
      <c r="B486" s="22" t="n">
        <f aca="true">NORMINV(RAND(),$B$6,$C$6)</f>
        <v>0.50576059592974</v>
      </c>
      <c r="C486" s="22" t="n">
        <f aca="true">MAX(-0.05,NORMINV(RAND(),$B$7,$C$7))</f>
        <v>0.161727328072303</v>
      </c>
      <c r="D486" s="34" t="n">
        <f aca="true">MAX(0.08,NORMINV(RAND(),$B$8,$C$8))</f>
        <v>0.168440561994489</v>
      </c>
      <c r="E486" s="35" t="n">
        <f aca="true">MEDIAN(0,NORMINV(RAND(),$B$9,$C$9),1)</f>
        <v>0.483299943936468</v>
      </c>
      <c r="F486" s="28" t="n">
        <f aca="false">$B$12*(1+(B486+$B$17)/2)^9</f>
        <v>9210.37639500487</v>
      </c>
      <c r="G486" s="28" t="n">
        <f aca="false">F486*(C486-$B$18+$B$19*E486)</f>
        <v>2137.27992992413</v>
      </c>
      <c r="H486" s="28" t="n">
        <f aca="false">MAX(0,$B$20*G486)/(1+D486)^9</f>
        <v>3685.52891729036</v>
      </c>
      <c r="I486" s="28" t="n">
        <f aca="false">$B$13*((1+$B$8)/(1+D486))^4.5</f>
        <v>548.897294152285</v>
      </c>
      <c r="J486" s="28" t="n">
        <f aca="false">H486+I486-$B$14</f>
        <v>3563.35429363442</v>
      </c>
      <c r="K486" s="45" t="n">
        <f aca="false">MAX(0,J486)/$B$15</f>
        <v>12.7581607362493</v>
      </c>
    </row>
    <row r="487" customFormat="false" ht="15" hidden="false" customHeight="false" outlineLevel="0" collapsed="false">
      <c r="A487" s="55" t="n">
        <v>447</v>
      </c>
      <c r="B487" s="22" t="n">
        <f aca="true">NORMINV(RAND(),$B$6,$C$6)</f>
        <v>0.128380743582754</v>
      </c>
      <c r="C487" s="22" t="n">
        <f aca="true">MAX(-0.05,NORMINV(RAND(),$B$7,$C$7))</f>
        <v>0.21804596793141</v>
      </c>
      <c r="D487" s="34" t="n">
        <f aca="true">MAX(0.08,NORMINV(RAND(),$B$8,$C$8))</f>
        <v>0.15260732461794</v>
      </c>
      <c r="E487" s="35" t="n">
        <f aca="true">MEDIAN(0,NORMINV(RAND(),$B$9,$C$9),1)</f>
        <v>0.479539630891786</v>
      </c>
      <c r="F487" s="28" t="n">
        <f aca="false">$B$12*(1+(B487+$B$17)/2)^9</f>
        <v>2173.39775815977</v>
      </c>
      <c r="G487" s="28" t="n">
        <f aca="false">F487*(C487-$B$18+$B$19*E487)</f>
        <v>624.454264041629</v>
      </c>
      <c r="H487" s="28" t="n">
        <f aca="false">MAX(0,$B$20*G487)/(1+D487)^9</f>
        <v>1217.4925136991</v>
      </c>
      <c r="I487" s="28" t="n">
        <f aca="false">$B$13*((1+$B$8)/(1+D487))^4.5</f>
        <v>583.65298914431</v>
      </c>
      <c r="J487" s="28" t="n">
        <f aca="false">H487+I487-$B$14</f>
        <v>1130.07358503519</v>
      </c>
      <c r="K487" s="45" t="n">
        <f aca="false">MAX(0,J487)/$B$15</f>
        <v>4.04609232021194</v>
      </c>
    </row>
    <row r="488" customFormat="false" ht="15" hidden="false" customHeight="false" outlineLevel="0" collapsed="false">
      <c r="A488" s="55" t="n">
        <v>448</v>
      </c>
      <c r="B488" s="22" t="n">
        <f aca="true">NORMINV(RAND(),$B$6,$C$6)</f>
        <v>0.483307539505938</v>
      </c>
      <c r="C488" s="22" t="n">
        <f aca="true">MAX(-0.05,NORMINV(RAND(),$B$7,$C$7))</f>
        <v>0.0938204687996563</v>
      </c>
      <c r="D488" s="34" t="n">
        <f aca="true">MAX(0.08,NORMINV(RAND(),$B$8,$C$8))</f>
        <v>0.15005250394441</v>
      </c>
      <c r="E488" s="35" t="n">
        <f aca="true">MEDIAN(0,NORMINV(RAND(),$B$9,$C$9),1)</f>
        <v>0.457469425950963</v>
      </c>
      <c r="F488" s="28" t="n">
        <f aca="false">$B$12*(1+(B488+$B$17)/2)^9</f>
        <v>8504.54348701092</v>
      </c>
      <c r="G488" s="28" t="n">
        <f aca="false">F488*(C488-$B$18+$B$19*E488)</f>
        <v>1334.46414577653</v>
      </c>
      <c r="H488" s="28" t="n">
        <f aca="false">MAX(0,$B$20*G488)/(1+D488)^9</f>
        <v>2654.27513601295</v>
      </c>
      <c r="I488" s="28" t="n">
        <f aca="false">$B$13*((1+$B$8)/(1+D488))^4.5</f>
        <v>589.510298805485</v>
      </c>
      <c r="J488" s="28" t="n">
        <f aca="false">H488+I488-$B$14</f>
        <v>2572.71351701022</v>
      </c>
      <c r="K488" s="45" t="n">
        <f aca="false">MAX(0,J488)/$B$15</f>
        <v>9.21129078772008</v>
      </c>
    </row>
    <row r="489" customFormat="false" ht="15" hidden="false" customHeight="false" outlineLevel="0" collapsed="false">
      <c r="A489" s="55" t="n">
        <v>449</v>
      </c>
      <c r="B489" s="22" t="n">
        <f aca="true">NORMINV(RAND(),$B$6,$C$6)</f>
        <v>0.385502714528999</v>
      </c>
      <c r="C489" s="22" t="n">
        <f aca="true">MAX(-0.05,NORMINV(RAND(),$B$7,$C$7))</f>
        <v>0.158595863205273</v>
      </c>
      <c r="D489" s="34" t="n">
        <f aca="true">MAX(0.08,NORMINV(RAND(),$B$8,$C$8))</f>
        <v>0.15165686947622</v>
      </c>
      <c r="E489" s="35" t="n">
        <f aca="true">MEDIAN(0,NORMINV(RAND(),$B$9,$C$9),1)</f>
        <v>0.606405357712812</v>
      </c>
      <c r="F489" s="28" t="n">
        <f aca="false">$B$12*(1+(B489+$B$17)/2)^9</f>
        <v>5958.47639466005</v>
      </c>
      <c r="G489" s="28" t="n">
        <f aca="false">F489*(C489-$B$18+$B$19*E489)</f>
        <v>1569.39930421406</v>
      </c>
      <c r="H489" s="28" t="n">
        <f aca="false">MAX(0,$B$20*G489)/(1+D489)^9</f>
        <v>3082.64542477813</v>
      </c>
      <c r="I489" s="28" t="n">
        <f aca="false">$B$13*((1+$B$8)/(1+D489))^4.5</f>
        <v>585.823704927984</v>
      </c>
      <c r="J489" s="28" t="n">
        <f aca="false">H489+I489-$B$14</f>
        <v>2997.3972118979</v>
      </c>
      <c r="K489" s="45" t="n">
        <f aca="false">MAX(0,J489)/$B$15</f>
        <v>10.7318195914712</v>
      </c>
    </row>
    <row r="490" customFormat="false" ht="15" hidden="false" customHeight="false" outlineLevel="0" collapsed="false">
      <c r="A490" s="55" t="n">
        <v>450</v>
      </c>
      <c r="B490" s="22" t="n">
        <f aca="true">NORMINV(RAND(),$B$6,$C$6)</f>
        <v>0.0136876758425392</v>
      </c>
      <c r="C490" s="22" t="n">
        <f aca="true">MAX(-0.05,NORMINV(RAND(),$B$7,$C$7))</f>
        <v>0.0801101086754341</v>
      </c>
      <c r="D490" s="34" t="n">
        <f aca="true">MAX(0.08,NORMINV(RAND(),$B$8,$C$8))</f>
        <v>0.133764500937067</v>
      </c>
      <c r="E490" s="35" t="n">
        <f aca="true">MEDIAN(0,NORMINV(RAND(),$B$9,$C$9),1)</f>
        <v>0.822404008528716</v>
      </c>
      <c r="F490" s="28" t="n">
        <f aca="false">$B$12*(1+(B490+$B$17)/2)^9</f>
        <v>1332.68929854363</v>
      </c>
      <c r="G490" s="28" t="n">
        <f aca="false">F490*(C490-$B$18+$B$19*E490)</f>
        <v>327.019606080351</v>
      </c>
      <c r="H490" s="28" t="n">
        <f aca="false">MAX(0,$B$20*G490)/(1+D490)^9</f>
        <v>739.547610519111</v>
      </c>
      <c r="I490" s="28" t="n">
        <f aca="false">$B$13*((1+$B$8)/(1+D490))^4.5</f>
        <v>628.590851014078</v>
      </c>
      <c r="J490" s="28" t="n">
        <f aca="false">H490+I490-$B$14</f>
        <v>697.066543724969</v>
      </c>
      <c r="K490" s="45" t="n">
        <f aca="false">MAX(0,J490)/$B$15</f>
        <v>2.49576277738979</v>
      </c>
    </row>
    <row r="491" customFormat="false" ht="15" hidden="false" customHeight="false" outlineLevel="0" collapsed="false">
      <c r="A491" s="55" t="n">
        <v>451</v>
      </c>
      <c r="B491" s="22" t="n">
        <f aca="true">NORMINV(RAND(),$B$6,$C$6)</f>
        <v>0.427014131085381</v>
      </c>
      <c r="C491" s="22" t="n">
        <f aca="true">MAX(-0.05,NORMINV(RAND(),$B$7,$C$7))</f>
        <v>0.175417663591847</v>
      </c>
      <c r="D491" s="34" t="n">
        <f aca="true">MAX(0.08,NORMINV(RAND(),$B$8,$C$8))</f>
        <v>0.17023583191394</v>
      </c>
      <c r="E491" s="35" t="n">
        <f aca="true">MEDIAN(0,NORMINV(RAND(),$B$9,$C$9),1)</f>
        <v>0</v>
      </c>
      <c r="F491" s="28" t="n">
        <f aca="false">$B$12*(1+(B491+$B$17)/2)^9</f>
        <v>6941.67173354023</v>
      </c>
      <c r="G491" s="28" t="n">
        <f aca="false">F491*(C491-$B$18+$B$19*E491)</f>
        <v>766.483174239079</v>
      </c>
      <c r="H491" s="28" t="n">
        <f aca="false">MAX(0,$B$20*G491)/(1+D491)^9</f>
        <v>1303.58735594725</v>
      </c>
      <c r="I491" s="28" t="n">
        <f aca="false">$B$13*((1+$B$8)/(1+D491))^4.5</f>
        <v>545.118145762105</v>
      </c>
      <c r="J491" s="28" t="n">
        <f aca="false">H491+I491-$B$14</f>
        <v>1177.63358390114</v>
      </c>
      <c r="K491" s="45" t="n">
        <f aca="false">MAX(0,J491)/$B$15</f>
        <v>4.21637516613369</v>
      </c>
    </row>
    <row r="492" customFormat="false" ht="15" hidden="false" customHeight="false" outlineLevel="0" collapsed="false">
      <c r="A492" s="55" t="n">
        <v>452</v>
      </c>
      <c r="B492" s="22" t="n">
        <f aca="true">NORMINV(RAND(),$B$6,$C$6)</f>
        <v>0.438466079961351</v>
      </c>
      <c r="C492" s="22" t="n">
        <f aca="true">MAX(-0.05,NORMINV(RAND(),$B$7,$C$7))</f>
        <v>0.145153607464627</v>
      </c>
      <c r="D492" s="34" t="n">
        <f aca="true">MAX(0.08,NORMINV(RAND(),$B$8,$C$8))</f>
        <v>0.117509079519783</v>
      </c>
      <c r="E492" s="35" t="n">
        <f aca="true">MEDIAN(0,NORMINV(RAND(),$B$9,$C$9),1)</f>
        <v>0.428656000544981</v>
      </c>
      <c r="F492" s="28" t="n">
        <f aca="false">$B$12*(1+(B492+$B$17)/2)^9</f>
        <v>7237.12633955547</v>
      </c>
      <c r="G492" s="28" t="n">
        <f aca="false">F492*(C492-$B$18+$B$19*E492)</f>
        <v>1448.70832079536</v>
      </c>
      <c r="H492" s="28" t="n">
        <f aca="false">MAX(0,$B$20*G492)/(1+D492)^9</f>
        <v>3730.95019182501</v>
      </c>
      <c r="I492" s="28" t="n">
        <f aca="false">$B$13*((1+$B$8)/(1+D492))^4.5</f>
        <v>670.797029065649</v>
      </c>
      <c r="J492" s="28" t="n">
        <f aca="false">H492+I492-$B$14</f>
        <v>3730.67530308244</v>
      </c>
      <c r="K492" s="45" t="n">
        <f aca="false">MAX(0,J492)/$B$15</f>
        <v>13.357233451781</v>
      </c>
    </row>
    <row r="493" customFormat="false" ht="15" hidden="false" customHeight="false" outlineLevel="0" collapsed="false">
      <c r="A493" s="55" t="n">
        <v>453</v>
      </c>
      <c r="B493" s="22" t="n">
        <f aca="true">NORMINV(RAND(),$B$6,$C$6)</f>
        <v>0.357464152324403</v>
      </c>
      <c r="C493" s="22" t="n">
        <f aca="true">MAX(-0.05,NORMINV(RAND(),$B$7,$C$7))</f>
        <v>0.105250725040098</v>
      </c>
      <c r="D493" s="34" t="n">
        <f aca="true">MAX(0.08,NORMINV(RAND(),$B$8,$C$8))</f>
        <v>0.144071923434598</v>
      </c>
      <c r="E493" s="35" t="n">
        <f aca="true">MEDIAN(0,NORMINV(RAND(),$B$9,$C$9),1)</f>
        <v>0.0933137677561277</v>
      </c>
      <c r="F493" s="28" t="n">
        <f aca="false">$B$12*(1+(B493+$B$17)/2)^9</f>
        <v>5366.46668596642</v>
      </c>
      <c r="G493" s="28" t="n">
        <f aca="false">F493*(C493-$B$18+$B$19*E493)</f>
        <v>356.218438295156</v>
      </c>
      <c r="H493" s="28" t="n">
        <f aca="false">MAX(0,$B$20*G493)/(1+D493)^9</f>
        <v>742.565017430188</v>
      </c>
      <c r="I493" s="28" t="n">
        <f aca="false">$B$13*((1+$B$8)/(1+D493))^4.5</f>
        <v>603.505075991389</v>
      </c>
      <c r="J493" s="28" t="n">
        <f aca="false">H493+I493-$B$14</f>
        <v>674.998175613357</v>
      </c>
      <c r="K493" s="45" t="n">
        <f aca="false">MAX(0,J493)/$B$15</f>
        <v>2.4167496441581</v>
      </c>
    </row>
    <row r="494" customFormat="false" ht="15" hidden="false" customHeight="false" outlineLevel="0" collapsed="false">
      <c r="A494" s="55" t="n">
        <v>454</v>
      </c>
      <c r="B494" s="22" t="n">
        <f aca="true">NORMINV(RAND(),$B$6,$C$6)</f>
        <v>0.663391686364154</v>
      </c>
      <c r="C494" s="22" t="n">
        <f aca="true">MAX(-0.05,NORMINV(RAND(),$B$7,$C$7))</f>
        <v>0.104452455830134</v>
      </c>
      <c r="D494" s="34" t="n">
        <f aca="true">MAX(0.08,NORMINV(RAND(),$B$8,$C$8))</f>
        <v>0.166308719407761</v>
      </c>
      <c r="E494" s="35" t="n">
        <f aca="true">MEDIAN(0,NORMINV(RAND(),$B$9,$C$9),1)</f>
        <v>0.199868887300736</v>
      </c>
      <c r="F494" s="28" t="n">
        <f aca="false">$B$12*(1+(B494+$B$17)/2)^9</f>
        <v>15816.1255251427</v>
      </c>
      <c r="G494" s="28" t="n">
        <f aca="false">F494*(C494-$B$18+$B$19*E494)</f>
        <v>1509.10738851787</v>
      </c>
      <c r="H494" s="28" t="n">
        <f aca="false">MAX(0,$B$20*G494)/(1+D494)^9</f>
        <v>2645.43127336407</v>
      </c>
      <c r="I494" s="28" t="n">
        <f aca="false">$B$13*((1+$B$8)/(1+D494))^4.5</f>
        <v>553.426627719385</v>
      </c>
      <c r="J494" s="28" t="n">
        <f aca="false">H494+I494-$B$14</f>
        <v>2527.78598327524</v>
      </c>
      <c r="K494" s="45" t="n">
        <f aca="false">MAX(0,J494)/$B$15</f>
        <v>9.05043316604096</v>
      </c>
    </row>
    <row r="495" customFormat="false" ht="15" hidden="false" customHeight="false" outlineLevel="0" collapsed="false">
      <c r="A495" s="55" t="n">
        <v>455</v>
      </c>
      <c r="B495" s="22" t="n">
        <f aca="true">NORMINV(RAND(),$B$6,$C$6)</f>
        <v>0.677606381714631</v>
      </c>
      <c r="C495" s="22" t="n">
        <f aca="true">MAX(-0.05,NORMINV(RAND(),$B$7,$C$7))</f>
        <v>0.141343054998823</v>
      </c>
      <c r="D495" s="34" t="n">
        <f aca="true">MAX(0.08,NORMINV(RAND(),$B$8,$C$8))</f>
        <v>0.172830861958977</v>
      </c>
      <c r="E495" s="35" t="n">
        <f aca="true">MEDIAN(0,NORMINV(RAND(),$B$9,$C$9),1)</f>
        <v>0.643018810395803</v>
      </c>
      <c r="F495" s="28" t="n">
        <f aca="false">$B$12*(1+(B495+$B$17)/2)^9</f>
        <v>16580.526668613</v>
      </c>
      <c r="G495" s="28" t="n">
        <f aca="false">F495*(C495-$B$18+$B$19*E495)</f>
        <v>4251.05340894384</v>
      </c>
      <c r="H495" s="28" t="n">
        <f aca="false">MAX(0,$B$20*G495)/(1+D495)^9</f>
        <v>7087.2235504534</v>
      </c>
      <c r="I495" s="28" t="n">
        <f aca="false">$B$13*((1+$B$8)/(1+D495))^4.5</f>
        <v>539.711494249994</v>
      </c>
      <c r="J495" s="28" t="n">
        <f aca="false">H495+I495-$B$14</f>
        <v>6955.86312689518</v>
      </c>
      <c r="K495" s="45" t="n">
        <f aca="false">MAX(0,J495)/$B$15</f>
        <v>24.9046298850526</v>
      </c>
    </row>
    <row r="496" customFormat="false" ht="15" hidden="false" customHeight="false" outlineLevel="0" collapsed="false">
      <c r="A496" s="55" t="n">
        <v>456</v>
      </c>
      <c r="B496" s="22" t="n">
        <f aca="true">NORMINV(RAND(),$B$6,$C$6)</f>
        <v>0.420191226245115</v>
      </c>
      <c r="C496" s="22" t="n">
        <f aca="true">MAX(-0.05,NORMINV(RAND(),$B$7,$C$7))</f>
        <v>0.121343505565202</v>
      </c>
      <c r="D496" s="34" t="n">
        <f aca="true">MAX(0.08,NORMINV(RAND(),$B$8,$C$8))</f>
        <v>0.140396051644662</v>
      </c>
      <c r="E496" s="35" t="n">
        <f aca="true">MEDIAN(0,NORMINV(RAND(),$B$9,$C$9),1)</f>
        <v>0.268646569677855</v>
      </c>
      <c r="F496" s="28" t="n">
        <f aca="false">$B$12*(1+(B496+$B$17)/2)^9</f>
        <v>6770.78660276026</v>
      </c>
      <c r="G496" s="28" t="n">
        <f aca="false">F496*(C496-$B$18+$B$19*E496)</f>
        <v>890.795459192064</v>
      </c>
      <c r="H496" s="28" t="n">
        <f aca="false">MAX(0,$B$20*G496)/(1+D496)^9</f>
        <v>1911.50170444535</v>
      </c>
      <c r="I496" s="28" t="n">
        <f aca="false">$B$13*((1+$B$8)/(1+D496))^4.5</f>
        <v>612.308417275059</v>
      </c>
      <c r="J496" s="28" t="n">
        <f aca="false">H496+I496-$B$14</f>
        <v>1852.73820391219</v>
      </c>
      <c r="K496" s="45" t="n">
        <f aca="false">MAX(0,J496)/$B$15</f>
        <v>6.63350592163333</v>
      </c>
    </row>
    <row r="497" customFormat="false" ht="15" hidden="false" customHeight="false" outlineLevel="0" collapsed="false">
      <c r="A497" s="55" t="n">
        <v>457</v>
      </c>
      <c r="B497" s="22" t="n">
        <f aca="true">NORMINV(RAND(),$B$6,$C$6)</f>
        <v>0.331918632375587</v>
      </c>
      <c r="C497" s="22" t="n">
        <f aca="true">MAX(-0.05,NORMINV(RAND(),$B$7,$C$7))</f>
        <v>0.133331630066504</v>
      </c>
      <c r="D497" s="34" t="n">
        <f aca="true">MAX(0.08,NORMINV(RAND(),$B$8,$C$8))</f>
        <v>0.136437697846958</v>
      </c>
      <c r="E497" s="35" t="n">
        <f aca="true">MEDIAN(0,NORMINV(RAND(),$B$9,$C$9),1)</f>
        <v>0.275311939509973</v>
      </c>
      <c r="F497" s="28" t="n">
        <f aca="false">$B$12*(1+(B497+$B$17)/2)^9</f>
        <v>4873.23571147157</v>
      </c>
      <c r="G497" s="28" t="n">
        <f aca="false">F497*(C497-$B$18+$B$19*E497)</f>
        <v>708.660932979213</v>
      </c>
      <c r="H497" s="28" t="n">
        <f aca="false">MAX(0,$B$20*G497)/(1+D497)^9</f>
        <v>1569.01048768603</v>
      </c>
      <c r="I497" s="28" t="n">
        <f aca="false">$B$13*((1+$B$8)/(1+D497))^4.5</f>
        <v>621.964446250688</v>
      </c>
      <c r="J497" s="28" t="n">
        <f aca="false">H497+I497-$B$14</f>
        <v>1519.90301612849</v>
      </c>
      <c r="K497" s="45" t="n">
        <f aca="false">MAX(0,J497)/$B$15</f>
        <v>5.44182963168097</v>
      </c>
    </row>
    <row r="498" customFormat="false" ht="15" hidden="false" customHeight="false" outlineLevel="0" collapsed="false">
      <c r="A498" s="55" t="n">
        <v>458</v>
      </c>
      <c r="B498" s="22" t="n">
        <f aca="true">NORMINV(RAND(),$B$6,$C$6)</f>
        <v>0.316574714592601</v>
      </c>
      <c r="C498" s="22" t="n">
        <f aca="true">MAX(-0.05,NORMINV(RAND(),$B$7,$C$7))</f>
        <v>0.12875837019372</v>
      </c>
      <c r="D498" s="34" t="n">
        <f aca="true">MAX(0.08,NORMINV(RAND(),$B$8,$C$8))</f>
        <v>0.155499154017503</v>
      </c>
      <c r="E498" s="35" t="n">
        <f aca="true">MEDIAN(0,NORMINV(RAND(),$B$9,$C$9),1)</f>
        <v>0.624431278954212</v>
      </c>
      <c r="F498" s="28" t="n">
        <f aca="false">$B$12*(1+(B498+$B$17)/2)^9</f>
        <v>4596.74338395589</v>
      </c>
      <c r="G498" s="28" t="n">
        <f aca="false">F498*(C498-$B$18+$B$19*E498)</f>
        <v>1096.7789644348</v>
      </c>
      <c r="H498" s="28" t="n">
        <f aca="false">MAX(0,$B$20*G498)/(1+D498)^9</f>
        <v>2090.69396541836</v>
      </c>
      <c r="I498" s="28" t="n">
        <f aca="false">$B$13*((1+$B$8)/(1+D498))^4.5</f>
        <v>577.108616771443</v>
      </c>
      <c r="J498" s="28" t="n">
        <f aca="false">H498+I498-$B$14</f>
        <v>1996.73066438158</v>
      </c>
      <c r="K498" s="45" t="n">
        <f aca="false">MAX(0,J498)/$B$15</f>
        <v>7.14905357816534</v>
      </c>
    </row>
    <row r="499" customFormat="false" ht="15" hidden="false" customHeight="false" outlineLevel="0" collapsed="false">
      <c r="A499" s="55" t="n">
        <v>459</v>
      </c>
      <c r="B499" s="22" t="n">
        <f aca="true">NORMINV(RAND(),$B$6,$C$6)</f>
        <v>0.503922982166928</v>
      </c>
      <c r="C499" s="22" t="n">
        <f aca="true">MAX(-0.05,NORMINV(RAND(),$B$7,$C$7))</f>
        <v>0.101182084000269</v>
      </c>
      <c r="D499" s="34" t="n">
        <f aca="true">MAX(0.08,NORMINV(RAND(),$B$8,$C$8))</f>
        <v>0.155077194562634</v>
      </c>
      <c r="E499" s="35" t="n">
        <f aca="true">MEDIAN(0,NORMINV(RAND(),$B$9,$C$9),1)</f>
        <v>0.1950722924479</v>
      </c>
      <c r="F499" s="28" t="n">
        <f aca="false">$B$12*(1+(B499+$B$17)/2)^9</f>
        <v>9150.71369370116</v>
      </c>
      <c r="G499" s="28" t="n">
        <f aca="false">F499*(C499-$B$18+$B$19*E499)</f>
        <v>830.906086902021</v>
      </c>
      <c r="H499" s="28" t="n">
        <f aca="false">MAX(0,$B$20*G499)/(1+D499)^9</f>
        <v>1589.09878659268</v>
      </c>
      <c r="I499" s="28" t="n">
        <f aca="false">$B$13*((1+$B$8)/(1+D499))^4.5</f>
        <v>578.057925385202</v>
      </c>
      <c r="J499" s="28" t="n">
        <f aca="false">H499+I499-$B$14</f>
        <v>1496.08479416967</v>
      </c>
      <c r="K499" s="45" t="n">
        <f aca="false">MAX(0,J499)/$B$15</f>
        <v>5.35655135757131</v>
      </c>
    </row>
    <row r="500" customFormat="false" ht="15" hidden="false" customHeight="false" outlineLevel="0" collapsed="false">
      <c r="A500" s="55" t="n">
        <v>460</v>
      </c>
      <c r="B500" s="22" t="n">
        <f aca="true">NORMINV(RAND(),$B$6,$C$6)</f>
        <v>0.199904545850737</v>
      </c>
      <c r="C500" s="22" t="n">
        <f aca="true">MAX(-0.05,NORMINV(RAND(),$B$7,$C$7))</f>
        <v>0.140552475049971</v>
      </c>
      <c r="D500" s="34" t="n">
        <f aca="true">MAX(0.08,NORMINV(RAND(),$B$8,$C$8))</f>
        <v>0.128010277103308</v>
      </c>
      <c r="E500" s="35" t="n">
        <f aca="true">MEDIAN(0,NORMINV(RAND(),$B$9,$C$9),1)</f>
        <v>0.144580956049586</v>
      </c>
      <c r="F500" s="28" t="n">
        <f aca="false">$B$12*(1+(B500+$B$17)/2)^9</f>
        <v>2910.61617462208</v>
      </c>
      <c r="G500" s="28" t="n">
        <f aca="false">F500*(C500-$B$18+$B$19*E500)</f>
        <v>337.733763294845</v>
      </c>
      <c r="H500" s="28" t="n">
        <f aca="false">MAX(0,$B$20*G500)/(1+D500)^9</f>
        <v>799.567275835124</v>
      </c>
      <c r="I500" s="28" t="n">
        <f aca="false">$B$13*((1+$B$8)/(1+D500))^4.5</f>
        <v>643.149813606602</v>
      </c>
      <c r="J500" s="28" t="n">
        <f aca="false">H500+I500-$B$14</f>
        <v>771.645171633507</v>
      </c>
      <c r="K500" s="45" t="n">
        <f aca="false">MAX(0,J500)/$B$15</f>
        <v>2.76278256940031</v>
      </c>
    </row>
    <row r="501" customFormat="false" ht="15" hidden="false" customHeight="false" outlineLevel="0" collapsed="false">
      <c r="A501" s="55" t="n">
        <v>461</v>
      </c>
      <c r="B501" s="22" t="n">
        <f aca="true">NORMINV(RAND(),$B$6,$C$6)</f>
        <v>0.558577567214485</v>
      </c>
      <c r="C501" s="22" t="n">
        <f aca="true">MAX(-0.05,NORMINV(RAND(),$B$7,$C$7))</f>
        <v>0.176072666670125</v>
      </c>
      <c r="D501" s="34" t="n">
        <f aca="true">MAX(0.08,NORMINV(RAND(),$B$8,$C$8))</f>
        <v>0.149057263337083</v>
      </c>
      <c r="E501" s="35" t="n">
        <f aca="true">MEDIAN(0,NORMINV(RAND(),$B$9,$C$9),1)</f>
        <v>0.555226751786971</v>
      </c>
      <c r="F501" s="28" t="n">
        <f aca="false">$B$12*(1+(B501+$B$17)/2)^9</f>
        <v>11080.0189455858</v>
      </c>
      <c r="G501" s="28" t="n">
        <f aca="false">F501*(C501-$B$18+$B$19*E501)</f>
        <v>2953.2256711325</v>
      </c>
      <c r="H501" s="28" t="n">
        <f aca="false">MAX(0,$B$20*G501)/(1+D501)^9</f>
        <v>5919.97161048719</v>
      </c>
      <c r="I501" s="28" t="n">
        <f aca="false">$B$13*((1+$B$8)/(1+D501))^4.5</f>
        <v>591.811468145642</v>
      </c>
      <c r="J501" s="28" t="n">
        <f aca="false">H501+I501-$B$14</f>
        <v>5840.71116082461</v>
      </c>
      <c r="K501" s="45" t="n">
        <f aca="false">MAX(0,J501)/$B$15</f>
        <v>20.9119626237902</v>
      </c>
    </row>
    <row r="502" customFormat="false" ht="15" hidden="false" customHeight="false" outlineLevel="0" collapsed="false">
      <c r="A502" s="55" t="n">
        <v>462</v>
      </c>
      <c r="B502" s="22" t="n">
        <f aca="true">NORMINV(RAND(),$B$6,$C$6)</f>
        <v>0.310778785330963</v>
      </c>
      <c r="C502" s="22" t="n">
        <f aca="true">MAX(-0.05,NORMINV(RAND(),$B$7,$C$7))</f>
        <v>0.104567083501329</v>
      </c>
      <c r="D502" s="34" t="n">
        <f aca="true">MAX(0.08,NORMINV(RAND(),$B$8,$C$8))</f>
        <v>0.174862352820102</v>
      </c>
      <c r="E502" s="35" t="n">
        <f aca="true">MEDIAN(0,NORMINV(RAND(),$B$9,$C$9),1)</f>
        <v>0.353366958479332</v>
      </c>
      <c r="F502" s="28" t="n">
        <f aca="false">$B$12*(1+(B502+$B$17)/2)^9</f>
        <v>4495.98861596252</v>
      </c>
      <c r="G502" s="28" t="n">
        <f aca="false">F502*(C502-$B$18+$B$19*E502)</f>
        <v>622.738627311319</v>
      </c>
      <c r="H502" s="28" t="n">
        <f aca="false">MAX(0,$B$20*G502)/(1+D502)^9</f>
        <v>1022.16488483448</v>
      </c>
      <c r="I502" s="28" t="n">
        <f aca="false">$B$13*((1+$B$8)/(1+D502))^4.5</f>
        <v>535.524640351816</v>
      </c>
      <c r="J502" s="28" t="n">
        <f aca="false">H502+I502-$B$14</f>
        <v>886.617607378078</v>
      </c>
      <c r="K502" s="45" t="n">
        <f aca="false">MAX(0,J502)/$B$15</f>
        <v>3.17442752373103</v>
      </c>
    </row>
    <row r="503" customFormat="false" ht="15" hidden="false" customHeight="false" outlineLevel="0" collapsed="false">
      <c r="A503" s="55" t="n">
        <v>463</v>
      </c>
      <c r="B503" s="22" t="n">
        <f aca="true">NORMINV(RAND(),$B$6,$C$6)</f>
        <v>0.321491002756936</v>
      </c>
      <c r="C503" s="22" t="n">
        <f aca="true">MAX(-0.05,NORMINV(RAND(),$B$7,$C$7))</f>
        <v>0.111100188306731</v>
      </c>
      <c r="D503" s="34" t="n">
        <f aca="true">MAX(0.08,NORMINV(RAND(),$B$8,$C$8))</f>
        <v>0.138900479504774</v>
      </c>
      <c r="E503" s="35" t="n">
        <f aca="true">MEDIAN(0,NORMINV(RAND(),$B$9,$C$9),1)</f>
        <v>0.198964926716526</v>
      </c>
      <c r="F503" s="28" t="n">
        <f aca="false">$B$12*(1+(B503+$B$17)/2)^9</f>
        <v>4683.77468998161</v>
      </c>
      <c r="G503" s="28" t="n">
        <f aca="false">F503*(C503-$B$18+$B$19*E503)</f>
        <v>476.856823820146</v>
      </c>
      <c r="H503" s="28" t="n">
        <f aca="false">MAX(0,$B$20*G503)/(1+D503)^9</f>
        <v>1035.41406373671</v>
      </c>
      <c r="I503" s="28" t="n">
        <f aca="false">$B$13*((1+$B$8)/(1+D503))^4.5</f>
        <v>615.935039426911</v>
      </c>
      <c r="J503" s="28" t="n">
        <f aca="false">H503+I503-$B$14</f>
        <v>980.277185355397</v>
      </c>
      <c r="K503" s="45" t="n">
        <f aca="false">MAX(0,J503)/$B$15</f>
        <v>3.50976435859433</v>
      </c>
    </row>
    <row r="504" customFormat="false" ht="15" hidden="false" customHeight="false" outlineLevel="0" collapsed="false">
      <c r="A504" s="55" t="n">
        <v>464</v>
      </c>
      <c r="B504" s="22" t="n">
        <f aca="true">NORMINV(RAND(),$B$6,$C$6)</f>
        <v>0.590577305828527</v>
      </c>
      <c r="C504" s="22" t="n">
        <f aca="true">MAX(-0.05,NORMINV(RAND(),$B$7,$C$7))</f>
        <v>0.0439976916516622</v>
      </c>
      <c r="D504" s="34" t="n">
        <f aca="true">MAX(0.08,NORMINV(RAND(),$B$8,$C$8))</f>
        <v>0.134941502608738</v>
      </c>
      <c r="E504" s="35" t="n">
        <f aca="true">MEDIAN(0,NORMINV(RAND(),$B$9,$C$9),1)</f>
        <v>0</v>
      </c>
      <c r="F504" s="28" t="n">
        <f aca="false">$B$12*(1+(B504+$B$17)/2)^9</f>
        <v>12370.2637672567</v>
      </c>
      <c r="G504" s="28" t="n">
        <f aca="false">F504*(C504-$B$18+$B$19*E504)</f>
        <v>-259.804093990195</v>
      </c>
      <c r="H504" s="28" t="n">
        <f aca="false">MAX(0,$B$20*G504)/(1+D504)^9</f>
        <v>0</v>
      </c>
      <c r="I504" s="28" t="n">
        <f aca="false">$B$13*((1+$B$8)/(1+D504))^4.5</f>
        <v>625.662683240981</v>
      </c>
      <c r="J504" s="28" t="n">
        <f aca="false">H504+I504-$B$14</f>
        <v>-45.4092345672386</v>
      </c>
      <c r="K504" s="45" t="n">
        <f aca="false">MAX(0,J504)/$B$15</f>
        <v>0</v>
      </c>
    </row>
    <row r="505" customFormat="false" ht="15" hidden="false" customHeight="false" outlineLevel="0" collapsed="false">
      <c r="A505" s="55" t="n">
        <v>465</v>
      </c>
      <c r="B505" s="22" t="n">
        <f aca="true">NORMINV(RAND(),$B$6,$C$6)</f>
        <v>0.22654391115979</v>
      </c>
      <c r="C505" s="22" t="n">
        <f aca="true">MAX(-0.05,NORMINV(RAND(),$B$7,$C$7))</f>
        <v>0.186002703583603</v>
      </c>
      <c r="D505" s="34" t="n">
        <f aca="true">MAX(0.08,NORMINV(RAND(),$B$8,$C$8))</f>
        <v>0.132093339757073</v>
      </c>
      <c r="E505" s="35" t="n">
        <f aca="true">MEDIAN(0,NORMINV(RAND(),$B$9,$C$9),1)</f>
        <v>0.209025947891533</v>
      </c>
      <c r="F505" s="28" t="n">
        <f aca="false">$B$12*(1+(B505+$B$17)/2)^9</f>
        <v>3237.40157812777</v>
      </c>
      <c r="G505" s="28" t="n">
        <f aca="false">F505*(C505-$B$18+$B$19*E505)</f>
        <v>581.210604939919</v>
      </c>
      <c r="H505" s="28" t="n">
        <f aca="false">MAX(0,$B$20*G505)/(1+D505)^9</f>
        <v>1331.96082397147</v>
      </c>
      <c r="I505" s="28" t="n">
        <f aca="false">$B$13*((1+$B$8)/(1+D505))^4.5</f>
        <v>632.777229738406</v>
      </c>
      <c r="J505" s="28" t="n">
        <f aca="false">H505+I505-$B$14</f>
        <v>1293.66613590166</v>
      </c>
      <c r="K505" s="45" t="n">
        <f aca="false">MAX(0,J505)/$B$15</f>
        <v>4.63181573899626</v>
      </c>
    </row>
    <row r="506" customFormat="false" ht="15" hidden="false" customHeight="false" outlineLevel="0" collapsed="false">
      <c r="A506" s="55" t="n">
        <v>466</v>
      </c>
      <c r="B506" s="22" t="n">
        <f aca="true">NORMINV(RAND(),$B$6,$C$6)</f>
        <v>0.140228610374125</v>
      </c>
      <c r="C506" s="22" t="n">
        <f aca="true">MAX(-0.05,NORMINV(RAND(),$B$7,$C$7))</f>
        <v>0.202605745890024</v>
      </c>
      <c r="D506" s="34" t="n">
        <f aca="true">MAX(0.08,NORMINV(RAND(),$B$8,$C$8))</f>
        <v>0.110898011720034</v>
      </c>
      <c r="E506" s="35" t="n">
        <f aca="true">MEDIAN(0,NORMINV(RAND(),$B$9,$C$9),1)</f>
        <v>0.540636053671584</v>
      </c>
      <c r="F506" s="28" t="n">
        <f aca="false">$B$12*(1+(B506+$B$17)/2)^9</f>
        <v>2282.64118079189</v>
      </c>
      <c r="G506" s="28" t="n">
        <f aca="false">F506*(C506-$B$18+$B$19*E506)</f>
        <v>659.646415862994</v>
      </c>
      <c r="H506" s="28" t="n">
        <f aca="false">MAX(0,$B$20*G506)/(1+D506)^9</f>
        <v>1792.01459255972</v>
      </c>
      <c r="I506" s="28" t="n">
        <f aca="false">$B$13*((1+$B$8)/(1+D506))^4.5</f>
        <v>688.948960964219</v>
      </c>
      <c r="J506" s="28" t="n">
        <f aca="false">H506+I506-$B$14</f>
        <v>1809.89163571572</v>
      </c>
      <c r="K506" s="45" t="n">
        <f aca="false">MAX(0,J506)/$B$15</f>
        <v>6.48009894635058</v>
      </c>
    </row>
    <row r="507" customFormat="false" ht="15" hidden="false" customHeight="false" outlineLevel="0" collapsed="false">
      <c r="A507" s="55" t="n">
        <v>467</v>
      </c>
      <c r="B507" s="22" t="n">
        <f aca="true">NORMINV(RAND(),$B$6,$C$6)</f>
        <v>0.14726940593138</v>
      </c>
      <c r="C507" s="22" t="n">
        <f aca="true">MAX(-0.05,NORMINV(RAND(),$B$7,$C$7))</f>
        <v>0.197475306188214</v>
      </c>
      <c r="D507" s="34" t="n">
        <f aca="true">MAX(0.08,NORMINV(RAND(),$B$8,$C$8))</f>
        <v>0.102519484980235</v>
      </c>
      <c r="E507" s="35" t="n">
        <f aca="true">MEDIAN(0,NORMINV(RAND(),$B$9,$C$9),1)</f>
        <v>0.0434704264627093</v>
      </c>
      <c r="F507" s="28" t="n">
        <f aca="false">$B$12*(1+(B507+$B$17)/2)^9</f>
        <v>2349.8483930656</v>
      </c>
      <c r="G507" s="28" t="n">
        <f aca="false">F507*(C507-$B$18+$B$19*E507)</f>
        <v>339.898580662644</v>
      </c>
      <c r="H507" s="28" t="n">
        <f aca="false">MAX(0,$B$20*G507)/(1+D507)^9</f>
        <v>988.486924881482</v>
      </c>
      <c r="I507" s="28" t="n">
        <f aca="false">$B$13*((1+$B$8)/(1+D507))^4.5</f>
        <v>712.82458699033</v>
      </c>
      <c r="J507" s="28" t="n">
        <f aca="false">H507+I507-$B$14</f>
        <v>1030.23959406359</v>
      </c>
      <c r="K507" s="45" t="n">
        <f aca="false">MAX(0,J507)/$B$15</f>
        <v>3.68864874351448</v>
      </c>
    </row>
    <row r="508" customFormat="false" ht="15" hidden="false" customHeight="false" outlineLevel="0" collapsed="false">
      <c r="A508" s="55" t="n">
        <v>468</v>
      </c>
      <c r="B508" s="22" t="n">
        <f aca="true">NORMINV(RAND(),$B$6,$C$6)</f>
        <v>0.321677628504012</v>
      </c>
      <c r="C508" s="22" t="n">
        <f aca="true">MAX(-0.05,NORMINV(RAND(),$B$7,$C$7))</f>
        <v>0.161687853284406</v>
      </c>
      <c r="D508" s="34" t="n">
        <f aca="true">MAX(0.08,NORMINV(RAND(),$B$8,$C$8))</f>
        <v>0.163964394818389</v>
      </c>
      <c r="E508" s="35" t="n">
        <f aca="true">MEDIAN(0,NORMINV(RAND(),$B$9,$C$9),1)</f>
        <v>0</v>
      </c>
      <c r="F508" s="28" t="n">
        <f aca="false">$B$12*(1+(B508+$B$17)/2)^9</f>
        <v>4687.10712016582</v>
      </c>
      <c r="G508" s="28" t="n">
        <f aca="false">F508*(C508-$B$18+$B$19*E508)</f>
        <v>453.186325562888</v>
      </c>
      <c r="H508" s="28" t="n">
        <f aca="false">MAX(0,$B$20*G508)/(1+D508)^9</f>
        <v>808.942357442132</v>
      </c>
      <c r="I508" s="28" t="n">
        <f aca="false">$B$13*((1+$B$8)/(1+D508))^4.5</f>
        <v>558.460256907011</v>
      </c>
      <c r="J508" s="28" t="n">
        <f aca="false">H508+I508-$B$14</f>
        <v>696.330696540924</v>
      </c>
      <c r="K508" s="45" t="n">
        <f aca="false">MAX(0,J508)/$B$15</f>
        <v>2.49312816520202</v>
      </c>
    </row>
    <row r="509" customFormat="false" ht="15" hidden="false" customHeight="false" outlineLevel="0" collapsed="false">
      <c r="A509" s="55" t="n">
        <v>469</v>
      </c>
      <c r="B509" s="22" t="n">
        <f aca="true">NORMINV(RAND(),$B$6,$C$6)</f>
        <v>0.508018745313904</v>
      </c>
      <c r="C509" s="22" t="n">
        <f aca="true">MAX(-0.05,NORMINV(RAND(),$B$7,$C$7))</f>
        <v>0.104318247163598</v>
      </c>
      <c r="D509" s="34" t="n">
        <f aca="true">MAX(0.08,NORMINV(RAND(),$B$8,$C$8))</f>
        <v>0.113039003068277</v>
      </c>
      <c r="E509" s="35" t="n">
        <f aca="true">MEDIAN(0,NORMINV(RAND(),$B$9,$C$9),1)</f>
        <v>0.140067931342551</v>
      </c>
      <c r="F509" s="28" t="n">
        <f aca="false">$B$12*(1+(B509+$B$17)/2)^9</f>
        <v>9284.16620110932</v>
      </c>
      <c r="G509" s="28" t="n">
        <f aca="false">F509*(C509-$B$18+$B$19*E509)</f>
        <v>729.153048531483</v>
      </c>
      <c r="H509" s="28" t="n">
        <f aca="false">MAX(0,$B$20*G509)/(1+D509)^9</f>
        <v>1946.80874188875</v>
      </c>
      <c r="I509" s="28" t="n">
        <f aca="false">$B$13*((1+$B$8)/(1+D509))^4.5</f>
        <v>683.005464004188</v>
      </c>
      <c r="J509" s="28" t="n">
        <f aca="false">H509+I509-$B$14</f>
        <v>1958.74228808472</v>
      </c>
      <c r="K509" s="45" t="n">
        <f aca="false">MAX(0,J509)/$B$15</f>
        <v>7.01304077366529</v>
      </c>
    </row>
    <row r="510" customFormat="false" ht="15" hidden="false" customHeight="false" outlineLevel="0" collapsed="false">
      <c r="A510" s="55" t="n">
        <v>470</v>
      </c>
      <c r="B510" s="22" t="n">
        <f aca="true">NORMINV(RAND(),$B$6,$C$6)</f>
        <v>0.255871020883791</v>
      </c>
      <c r="C510" s="22" t="n">
        <f aca="true">MAX(-0.05,NORMINV(RAND(),$B$7,$C$7))</f>
        <v>0.0908806985974617</v>
      </c>
      <c r="D510" s="34" t="n">
        <f aca="true">MAX(0.08,NORMINV(RAND(),$B$8,$C$8))</f>
        <v>0.166261838950699</v>
      </c>
      <c r="E510" s="35" t="n">
        <f aca="true">MEDIAN(0,NORMINV(RAND(),$B$9,$C$9),1)</f>
        <v>0.23446765774185</v>
      </c>
      <c r="F510" s="28" t="n">
        <f aca="false">$B$12*(1+(B510+$B$17)/2)^9</f>
        <v>3634.51708561653</v>
      </c>
      <c r="G510" s="28" t="n">
        <f aca="false">F510*(C510-$B$18+$B$19*E510)</f>
        <v>332.673319504594</v>
      </c>
      <c r="H510" s="28" t="n">
        <f aca="false">MAX(0,$B$20*G510)/(1+D510)^9</f>
        <v>583.379848397893</v>
      </c>
      <c r="I510" s="28" t="n">
        <f aca="false">$B$13*((1+$B$8)/(1+D510))^4.5</f>
        <v>553.526742658387</v>
      </c>
      <c r="J510" s="28" t="n">
        <f aca="false">H510+I510-$B$14</f>
        <v>465.834673248061</v>
      </c>
      <c r="K510" s="45" t="n">
        <f aca="false">MAX(0,J510)/$B$15</f>
        <v>1.66786492390999</v>
      </c>
    </row>
    <row r="511" customFormat="false" ht="15" hidden="false" customHeight="false" outlineLevel="0" collapsed="false">
      <c r="A511" s="55" t="n">
        <v>471</v>
      </c>
      <c r="B511" s="22" t="n">
        <f aca="true">NORMINV(RAND(),$B$6,$C$6)</f>
        <v>0.610704801781732</v>
      </c>
      <c r="C511" s="22" t="n">
        <f aca="true">MAX(-0.05,NORMINV(RAND(),$B$7,$C$7))</f>
        <v>0.148010959322765</v>
      </c>
      <c r="D511" s="34" t="n">
        <f aca="true">MAX(0.08,NORMINV(RAND(),$B$8,$C$8))</f>
        <v>0.163917059537496</v>
      </c>
      <c r="E511" s="35" t="n">
        <f aca="true">MEDIAN(0,NORMINV(RAND(),$B$9,$C$9),1)</f>
        <v>0.141510171834582</v>
      </c>
      <c r="F511" s="28" t="n">
        <f aca="false">$B$12*(1+(B511+$B$17)/2)^9</f>
        <v>13248.6498255923</v>
      </c>
      <c r="G511" s="28" t="n">
        <f aca="false">F511*(C511-$B$18+$B$19*E511)</f>
        <v>1624.73237150461</v>
      </c>
      <c r="H511" s="28" t="n">
        <f aca="false">MAX(0,$B$20*G511)/(1+D511)^9</f>
        <v>2901.22606336302</v>
      </c>
      <c r="I511" s="28" t="n">
        <f aca="false">$B$13*((1+$B$8)/(1+D511))^4.5</f>
        <v>558.562468138156</v>
      </c>
      <c r="J511" s="28" t="n">
        <f aca="false">H511+I511-$B$14</f>
        <v>2788.71661369296</v>
      </c>
      <c r="K511" s="45" t="n">
        <f aca="false">MAX(0,J511)/$B$15</f>
        <v>9.98466385138905</v>
      </c>
    </row>
    <row r="512" customFormat="false" ht="15" hidden="false" customHeight="false" outlineLevel="0" collapsed="false">
      <c r="A512" s="55" t="n">
        <v>472</v>
      </c>
      <c r="B512" s="22" t="n">
        <f aca="true">NORMINV(RAND(),$B$6,$C$6)</f>
        <v>0.18687907461336</v>
      </c>
      <c r="C512" s="22" t="n">
        <f aca="true">MAX(-0.05,NORMINV(RAND(),$B$7,$C$7))</f>
        <v>0.0848536255071007</v>
      </c>
      <c r="D512" s="34" t="n">
        <f aca="true">MAX(0.08,NORMINV(RAND(),$B$8,$C$8))</f>
        <v>0.152067539256897</v>
      </c>
      <c r="E512" s="35" t="n">
        <f aca="true">MEDIAN(0,NORMINV(RAND(),$B$9,$C$9),1)</f>
        <v>0.0278573031945925</v>
      </c>
      <c r="F512" s="28" t="n">
        <f aca="false">$B$12*(1+(B512+$B$17)/2)^9</f>
        <v>2761.77978964208</v>
      </c>
      <c r="G512" s="28" t="n">
        <f aca="false">F512*(C512-$B$18+$B$19*E512)</f>
        <v>76.3733480245252</v>
      </c>
      <c r="H512" s="28" t="n">
        <f aca="false">MAX(0,$B$20*G512)/(1+D512)^9</f>
        <v>149.533469058938</v>
      </c>
      <c r="I512" s="28" t="n">
        <f aca="false">$B$13*((1+$B$8)/(1+D512))^4.5</f>
        <v>584.884580062832</v>
      </c>
      <c r="J512" s="28" t="n">
        <f aca="false">H512+I512-$B$14</f>
        <v>63.34613131355</v>
      </c>
      <c r="K512" s="45" t="n">
        <f aca="false">MAX(0,J512)/$B$15</f>
        <v>0.226803191240781</v>
      </c>
    </row>
    <row r="513" customFormat="false" ht="15" hidden="false" customHeight="false" outlineLevel="0" collapsed="false">
      <c r="A513" s="55" t="n">
        <v>473</v>
      </c>
      <c r="B513" s="22" t="n">
        <f aca="true">NORMINV(RAND(),$B$6,$C$6)</f>
        <v>0.312273532200433</v>
      </c>
      <c r="C513" s="22" t="n">
        <f aca="true">MAX(-0.05,NORMINV(RAND(),$B$7,$C$7))</f>
        <v>0.107406519992434</v>
      </c>
      <c r="D513" s="34" t="n">
        <f aca="true">MAX(0.08,NORMINV(RAND(),$B$8,$C$8))</f>
        <v>0.13326872673511</v>
      </c>
      <c r="E513" s="35" t="n">
        <f aca="true">MEDIAN(0,NORMINV(RAND(),$B$9,$C$9),1)</f>
        <v>0</v>
      </c>
      <c r="F513" s="28" t="n">
        <f aca="false">$B$12*(1+(B513+$B$17)/2)^9</f>
        <v>4521.78319375397</v>
      </c>
      <c r="G513" s="28" t="n">
        <f aca="false">F513*(C513-$B$18+$B$19*E513)</f>
        <v>191.753089407382</v>
      </c>
      <c r="H513" s="28" t="n">
        <f aca="false">MAX(0,$B$20*G513)/(1+D513)^9</f>
        <v>435.355736198964</v>
      </c>
      <c r="I513" s="28" t="n">
        <f aca="false">$B$13*((1+$B$8)/(1+D513))^4.5</f>
        <v>629.829259927631</v>
      </c>
      <c r="J513" s="28" t="n">
        <f aca="false">H513+I513-$B$14</f>
        <v>394.113078318376</v>
      </c>
      <c r="K513" s="45" t="n">
        <f aca="false">MAX(0,J513)/$B$15</f>
        <v>1.41107439426558</v>
      </c>
    </row>
    <row r="514" customFormat="false" ht="15" hidden="false" customHeight="false" outlineLevel="0" collapsed="false">
      <c r="A514" s="55" t="n">
        <v>474</v>
      </c>
      <c r="B514" s="22" t="n">
        <f aca="true">NORMINV(RAND(),$B$6,$C$6)</f>
        <v>0.343463526026166</v>
      </c>
      <c r="C514" s="22" t="n">
        <f aca="true">MAX(-0.05,NORMINV(RAND(),$B$7,$C$7))</f>
        <v>0.197723531002625</v>
      </c>
      <c r="D514" s="34" t="n">
        <f aca="true">MAX(0.08,NORMINV(RAND(),$B$8,$C$8))</f>
        <v>0.136126991129474</v>
      </c>
      <c r="E514" s="35" t="n">
        <f aca="true">MEDIAN(0,NORMINV(RAND(),$B$9,$C$9),1)</f>
        <v>0.276780894567977</v>
      </c>
      <c r="F514" s="28" t="n">
        <f aca="false">$B$12*(1+(B514+$B$17)/2)^9</f>
        <v>5090.91599850313</v>
      </c>
      <c r="G514" s="28" t="n">
        <f aca="false">F514*(C514-$B$18+$B$19*E514)</f>
        <v>1070.22346694521</v>
      </c>
      <c r="H514" s="28" t="n">
        <f aca="false">MAX(0,$B$20*G514)/(1+D514)^9</f>
        <v>2375.36641403571</v>
      </c>
      <c r="I514" s="28" t="n">
        <f aca="false">$B$13*((1+$B$8)/(1+D514))^4.5</f>
        <v>622.730236239198</v>
      </c>
      <c r="J514" s="28" t="n">
        <f aca="false">H514+I514-$B$14</f>
        <v>2327.02473246669</v>
      </c>
      <c r="K514" s="45" t="n">
        <f aca="false">MAX(0,J514)/$B$15</f>
        <v>8.33163169519043</v>
      </c>
    </row>
    <row r="515" customFormat="false" ht="15" hidden="false" customHeight="false" outlineLevel="0" collapsed="false">
      <c r="A515" s="55" t="n">
        <v>475</v>
      </c>
      <c r="B515" s="22" t="n">
        <f aca="true">NORMINV(RAND(),$B$6,$C$6)</f>
        <v>0.192200261833304</v>
      </c>
      <c r="C515" s="22" t="n">
        <f aca="true">MAX(-0.05,NORMINV(RAND(),$B$7,$C$7))</f>
        <v>0.129363185755665</v>
      </c>
      <c r="D515" s="34" t="n">
        <f aca="true">MAX(0.08,NORMINV(RAND(),$B$8,$C$8))</f>
        <v>0.125464885118707</v>
      </c>
      <c r="E515" s="35" t="n">
        <f aca="true">MEDIAN(0,NORMINV(RAND(),$B$9,$C$9),1)</f>
        <v>0.538546587517791</v>
      </c>
      <c r="F515" s="28" t="n">
        <f aca="false">$B$12*(1+(B515+$B$17)/2)^9</f>
        <v>2821.74478291757</v>
      </c>
      <c r="G515" s="28" t="n">
        <f aca="false">F515*(C515-$B$18+$B$19*E515)</f>
        <v>607.115970250191</v>
      </c>
      <c r="H515" s="28" t="n">
        <f aca="false">MAX(0,$B$20*G515)/(1+D515)^9</f>
        <v>1466.83800058406</v>
      </c>
      <c r="I515" s="28" t="n">
        <f aca="false">$B$13*((1+$B$8)/(1+D515))^4.5</f>
        <v>649.721337627324</v>
      </c>
      <c r="J515" s="28" t="n">
        <f aca="false">H515+I515-$B$14</f>
        <v>1445.48742040316</v>
      </c>
      <c r="K515" s="45" t="n">
        <f aca="false">MAX(0,J515)/$B$15</f>
        <v>5.17539355676034</v>
      </c>
    </row>
    <row r="516" customFormat="false" ht="15" hidden="false" customHeight="false" outlineLevel="0" collapsed="false">
      <c r="A516" s="55" t="n">
        <v>476</v>
      </c>
      <c r="B516" s="22" t="n">
        <f aca="true">NORMINV(RAND(),$B$6,$C$6)</f>
        <v>0.407894090877213</v>
      </c>
      <c r="C516" s="22" t="n">
        <f aca="true">MAX(-0.05,NORMINV(RAND(),$B$7,$C$7))</f>
        <v>0.0431877524504255</v>
      </c>
      <c r="D516" s="34" t="n">
        <f aca="true">MAX(0.08,NORMINV(RAND(),$B$8,$C$8))</f>
        <v>0.152980362135537</v>
      </c>
      <c r="E516" s="35" t="n">
        <f aca="true">MEDIAN(0,NORMINV(RAND(),$B$9,$C$9),1)</f>
        <v>0.545341330533602</v>
      </c>
      <c r="F516" s="28" t="n">
        <f aca="false">$B$12*(1+(B516+$B$17)/2)^9</f>
        <v>6472.21526894323</v>
      </c>
      <c r="G516" s="28" t="n">
        <f aca="false">F516*(C516-$B$18+$B$19*E516)</f>
        <v>847.105054513985</v>
      </c>
      <c r="H516" s="28" t="n">
        <f aca="false">MAX(0,$B$20*G516)/(1+D516)^9</f>
        <v>1646.78961679524</v>
      </c>
      <c r="I516" s="28" t="n">
        <f aca="false">$B$13*((1+$B$8)/(1+D516))^4.5</f>
        <v>582.803707124391</v>
      </c>
      <c r="J516" s="28" t="n">
        <f aca="false">H516+I516-$B$14</f>
        <v>1558.52140611141</v>
      </c>
      <c r="K516" s="45" t="n">
        <f aca="false">MAX(0,J516)/$B$15</f>
        <v>5.58009812428002</v>
      </c>
    </row>
    <row r="517" customFormat="false" ht="15" hidden="false" customHeight="false" outlineLevel="0" collapsed="false">
      <c r="A517" s="55" t="n">
        <v>477</v>
      </c>
      <c r="B517" s="22" t="n">
        <f aca="true">NORMINV(RAND(),$B$6,$C$6)</f>
        <v>0.607042334548066</v>
      </c>
      <c r="C517" s="22" t="n">
        <f aca="true">MAX(-0.05,NORMINV(RAND(),$B$7,$C$7))</f>
        <v>0.0914224969642536</v>
      </c>
      <c r="D517" s="34" t="n">
        <f aca="true">MAX(0.08,NORMINV(RAND(),$B$8,$C$8))</f>
        <v>0.123990944863295</v>
      </c>
      <c r="E517" s="35" t="n">
        <f aca="true">MEDIAN(0,NORMINV(RAND(),$B$9,$C$9),1)</f>
        <v>0.583622466829999</v>
      </c>
      <c r="F517" s="28" t="n">
        <f aca="false">$B$12*(1+(B517+$B$17)/2)^9</f>
        <v>13084.8070220577</v>
      </c>
      <c r="G517" s="28" t="n">
        <f aca="false">F517*(C517-$B$18+$B$19*E517)</f>
        <v>2483.97773243636</v>
      </c>
      <c r="H517" s="28" t="n">
        <f aca="false">MAX(0,$B$20*G517)/(1+D517)^9</f>
        <v>6072.68041292735</v>
      </c>
      <c r="I517" s="28" t="n">
        <f aca="false">$B$13*((1+$B$8)/(1+D517))^4.5</f>
        <v>653.564186445297</v>
      </c>
      <c r="J517" s="28" t="n">
        <f aca="false">H517+I517-$B$14</f>
        <v>6055.17268156443</v>
      </c>
      <c r="K517" s="45" t="n">
        <f aca="false">MAX(0,J517)/$B$15</f>
        <v>21.6798162605243</v>
      </c>
    </row>
    <row r="518" customFormat="false" ht="15" hidden="false" customHeight="false" outlineLevel="0" collapsed="false">
      <c r="A518" s="55" t="n">
        <v>478</v>
      </c>
      <c r="B518" s="22" t="n">
        <f aca="true">NORMINV(RAND(),$B$6,$C$6)</f>
        <v>0.251485729448393</v>
      </c>
      <c r="C518" s="22" t="n">
        <f aca="true">MAX(-0.05,NORMINV(RAND(),$B$7,$C$7))</f>
        <v>0.124861456851597</v>
      </c>
      <c r="D518" s="34" t="n">
        <f aca="true">MAX(0.08,NORMINV(RAND(),$B$8,$C$8))</f>
        <v>0.146987624746066</v>
      </c>
      <c r="E518" s="35" t="n">
        <f aca="true">MEDIAN(0,NORMINV(RAND(),$B$9,$C$9),1)</f>
        <v>0.208401477617649</v>
      </c>
      <c r="F518" s="28" t="n">
        <f aca="false">$B$12*(1+(B518+$B$17)/2)^9</f>
        <v>3572.51244808538</v>
      </c>
      <c r="G518" s="28" t="n">
        <f aca="false">F518*(C518-$B$18+$B$19*E518)</f>
        <v>422.32052419962</v>
      </c>
      <c r="H518" s="28" t="n">
        <f aca="false">MAX(0,$B$20*G518)/(1+D518)^9</f>
        <v>860.422262052981</v>
      </c>
      <c r="I518" s="28" t="n">
        <f aca="false">$B$13*((1+$B$8)/(1+D518))^4.5</f>
        <v>596.632088713571</v>
      </c>
      <c r="J518" s="28" t="n">
        <f aca="false">H518+I518-$B$14</f>
        <v>785.982432958333</v>
      </c>
      <c r="K518" s="45" t="n">
        <f aca="false">MAX(0,J518)/$B$15</f>
        <v>2.81411540622389</v>
      </c>
    </row>
    <row r="519" customFormat="false" ht="15" hidden="false" customHeight="false" outlineLevel="0" collapsed="false">
      <c r="A519" s="55" t="n">
        <v>479</v>
      </c>
      <c r="B519" s="22" t="n">
        <f aca="true">NORMINV(RAND(),$B$6,$C$6)</f>
        <v>0.501113909576734</v>
      </c>
      <c r="C519" s="22" t="n">
        <f aca="true">MAX(-0.05,NORMINV(RAND(),$B$7,$C$7))</f>
        <v>0.0670329254957803</v>
      </c>
      <c r="D519" s="34" t="n">
        <f aca="true">MAX(0.08,NORMINV(RAND(),$B$8,$C$8))</f>
        <v>0.178429676958169</v>
      </c>
      <c r="E519" s="35" t="n">
        <f aca="true">MEDIAN(0,NORMINV(RAND(),$B$9,$C$9),1)</f>
        <v>0.658835956088895</v>
      </c>
      <c r="F519" s="28" t="n">
        <f aca="false">$B$12*(1+(B519+$B$17)/2)^9</f>
        <v>9060.17401567008</v>
      </c>
      <c r="G519" s="28" t="n">
        <f aca="false">F519*(C519-$B$18+$B$19*E519)</f>
        <v>1689.78581353747</v>
      </c>
      <c r="H519" s="28" t="n">
        <f aca="false">MAX(0,$B$20*G519)/(1+D519)^9</f>
        <v>2698.96132014094</v>
      </c>
      <c r="I519" s="28" t="n">
        <f aca="false">$B$13*((1+$B$8)/(1+D519))^4.5</f>
        <v>528.268095579568</v>
      </c>
      <c r="J519" s="28" t="n">
        <f aca="false">H519+I519-$B$14</f>
        <v>2556.15749791229</v>
      </c>
      <c r="K519" s="45" t="n">
        <f aca="false">MAX(0,J519)/$B$15</f>
        <v>9.15201395600535</v>
      </c>
    </row>
    <row r="520" customFormat="false" ht="15" hidden="false" customHeight="false" outlineLevel="0" collapsed="false">
      <c r="A520" s="55" t="n">
        <v>480</v>
      </c>
      <c r="B520" s="22" t="n">
        <f aca="true">NORMINV(RAND(),$B$6,$C$6)</f>
        <v>0.324400147615696</v>
      </c>
      <c r="C520" s="22" t="n">
        <f aca="true">MAX(-0.05,NORMINV(RAND(),$B$7,$C$7))</f>
        <v>0.163854543128218</v>
      </c>
      <c r="D520" s="34" t="n">
        <f aca="true">MAX(0.08,NORMINV(RAND(),$B$8,$C$8))</f>
        <v>0.149562756741481</v>
      </c>
      <c r="E520" s="35" t="n">
        <f aca="true">MEDIAN(0,NORMINV(RAND(),$B$9,$C$9),1)</f>
        <v>0.031674270131303</v>
      </c>
      <c r="F520" s="28" t="n">
        <f aca="false">$B$12*(1+(B520+$B$17)/2)^9</f>
        <v>4735.96122725848</v>
      </c>
      <c r="G520" s="28" t="n">
        <f aca="false">F520*(C520-$B$18+$B$19*E520)</f>
        <v>510.173555661789</v>
      </c>
      <c r="H520" s="28" t="n">
        <f aca="false">MAX(0,$B$20*G520)/(1+D520)^9</f>
        <v>1018.64255873672</v>
      </c>
      <c r="I520" s="28" t="n">
        <f aca="false">$B$13*((1+$B$8)/(1+D520))^4.5</f>
        <v>590.64131017961</v>
      </c>
      <c r="J520" s="28" t="n">
        <f aca="false">H520+I520-$B$14</f>
        <v>938.211951108108</v>
      </c>
      <c r="K520" s="45" t="n">
        <f aca="false">MAX(0,J520)/$B$15</f>
        <v>3.3591548553817</v>
      </c>
    </row>
    <row r="521" customFormat="false" ht="15" hidden="false" customHeight="false" outlineLevel="0" collapsed="false">
      <c r="A521" s="55" t="n">
        <v>481</v>
      </c>
      <c r="B521" s="22" t="n">
        <f aca="true">NORMINV(RAND(),$B$6,$C$6)</f>
        <v>0.33942868819917</v>
      </c>
      <c r="C521" s="22" t="n">
        <f aca="true">MAX(-0.05,NORMINV(RAND(),$B$7,$C$7))</f>
        <v>0.233675573556461</v>
      </c>
      <c r="D521" s="34" t="n">
        <f aca="true">MAX(0.08,NORMINV(RAND(),$B$8,$C$8))</f>
        <v>0.125489256447433</v>
      </c>
      <c r="E521" s="35" t="n">
        <f aca="true">MEDIAN(0,NORMINV(RAND(),$B$9,$C$9),1)</f>
        <v>0.821326954099915</v>
      </c>
      <c r="F521" s="28" t="n">
        <f aca="false">$B$12*(1+(B521+$B$17)/2)^9</f>
        <v>5013.8758871113</v>
      </c>
      <c r="G521" s="28" t="n">
        <f aca="false">F521*(C521-$B$18+$B$19*E521)</f>
        <v>1998.76718596633</v>
      </c>
      <c r="H521" s="28" t="n">
        <f aca="false">MAX(0,$B$20*G521)/(1+D521)^9</f>
        <v>4828.23130378396</v>
      </c>
      <c r="I521" s="28" t="n">
        <f aca="false">$B$13*((1+$B$8)/(1+D521))^4.5</f>
        <v>649.658029270715</v>
      </c>
      <c r="J521" s="28" t="n">
        <f aca="false">H521+I521-$B$14</f>
        <v>4806.81741524646</v>
      </c>
      <c r="K521" s="45" t="n">
        <f aca="false">MAX(0,J521)/$B$15</f>
        <v>17.2102306310292</v>
      </c>
    </row>
    <row r="522" customFormat="false" ht="15" hidden="false" customHeight="false" outlineLevel="0" collapsed="false">
      <c r="A522" s="55" t="n">
        <v>482</v>
      </c>
      <c r="B522" s="22" t="n">
        <f aca="true">NORMINV(RAND(),$B$6,$C$6)</f>
        <v>0.355234300978932</v>
      </c>
      <c r="C522" s="22" t="n">
        <f aca="true">MAX(-0.05,NORMINV(RAND(),$B$7,$C$7))</f>
        <v>0.198674278863874</v>
      </c>
      <c r="D522" s="34" t="n">
        <f aca="true">MAX(0.08,NORMINV(RAND(),$B$8,$C$8))</f>
        <v>0.114162673294636</v>
      </c>
      <c r="E522" s="35" t="n">
        <f aca="true">MEDIAN(0,NORMINV(RAND(),$B$9,$C$9),1)</f>
        <v>0.0107671904088323</v>
      </c>
      <c r="F522" s="28" t="n">
        <f aca="false">$B$12*(1+(B522+$B$17)/2)^9</f>
        <v>5321.71189730755</v>
      </c>
      <c r="G522" s="28" t="n">
        <f aca="false">F522*(C522-$B$18+$B$19*E522)</f>
        <v>727.419968077678</v>
      </c>
      <c r="H522" s="28" t="n">
        <f aca="false">MAX(0,$B$20*G522)/(1+D522)^9</f>
        <v>1924.6236445147</v>
      </c>
      <c r="I522" s="28" t="n">
        <f aca="false">$B$13*((1+$B$8)/(1+D522))^4.5</f>
        <v>679.911178178943</v>
      </c>
      <c r="J522" s="28" t="n">
        <f aca="false">H522+I522-$B$14</f>
        <v>1933.46290488543</v>
      </c>
      <c r="K522" s="45" t="n">
        <f aca="false">MAX(0,J522)/$B$15</f>
        <v>6.92253098777453</v>
      </c>
    </row>
    <row r="523" customFormat="false" ht="15" hidden="false" customHeight="false" outlineLevel="0" collapsed="false">
      <c r="A523" s="55" t="n">
        <v>483</v>
      </c>
      <c r="B523" s="22" t="n">
        <f aca="true">NORMINV(RAND(),$B$6,$C$6)</f>
        <v>0.205330671358336</v>
      </c>
      <c r="C523" s="22" t="n">
        <f aca="true">MAX(-0.05,NORMINV(RAND(),$B$7,$C$7))</f>
        <v>0.106351720198534</v>
      </c>
      <c r="D523" s="34" t="n">
        <f aca="true">MAX(0.08,NORMINV(RAND(),$B$8,$C$8))</f>
        <v>0.12752020495565</v>
      </c>
      <c r="E523" s="35" t="n">
        <f aca="true">MEDIAN(0,NORMINV(RAND(),$B$9,$C$9),1)</f>
        <v>0</v>
      </c>
      <c r="F523" s="28" t="n">
        <f aca="false">$B$12*(1+(B523+$B$17)/2)^9</f>
        <v>2974.69277137977</v>
      </c>
      <c r="G523" s="28" t="n">
        <f aca="false">F523*(C523-$B$18+$B$19*E523)</f>
        <v>123.008663158699</v>
      </c>
      <c r="H523" s="28" t="n">
        <f aca="false">MAX(0,$B$20*G523)/(1+D523)^9</f>
        <v>292.357837470843</v>
      </c>
      <c r="I523" s="28" t="n">
        <f aca="false">$B$13*((1+$B$8)/(1+D523))^4.5</f>
        <v>644.408712005851</v>
      </c>
      <c r="J523" s="28" t="n">
        <f aca="false">H523+I523-$B$14</f>
        <v>265.694631668475</v>
      </c>
      <c r="K523" s="45" t="n">
        <f aca="false">MAX(0,J523)/$B$15</f>
        <v>0.951287617860633</v>
      </c>
    </row>
    <row r="524" customFormat="false" ht="15" hidden="false" customHeight="false" outlineLevel="0" collapsed="false">
      <c r="A524" s="55" t="n">
        <v>484</v>
      </c>
      <c r="B524" s="22" t="n">
        <f aca="true">NORMINV(RAND(),$B$6,$C$6)</f>
        <v>0.302566200913723</v>
      </c>
      <c r="C524" s="22" t="n">
        <f aca="true">MAX(-0.05,NORMINV(RAND(),$B$7,$C$7))</f>
        <v>0.186102519778154</v>
      </c>
      <c r="D524" s="34" t="n">
        <f aca="true">MAX(0.08,NORMINV(RAND(),$B$8,$C$8))</f>
        <v>0.146907900526006</v>
      </c>
      <c r="E524" s="35" t="n">
        <f aca="true">MEDIAN(0,NORMINV(RAND(),$B$9,$C$9),1)</f>
        <v>0.0254655774417349</v>
      </c>
      <c r="F524" s="28" t="n">
        <f aca="false">$B$12*(1+(B524+$B$17)/2)^9</f>
        <v>4356.58502307323</v>
      </c>
      <c r="G524" s="28" t="n">
        <f aca="false">F524*(C524-$B$18+$B$19*E524)</f>
        <v>558.657450842175</v>
      </c>
      <c r="H524" s="28" t="n">
        <f aca="false">MAX(0,$B$20*G524)/(1+D524)^9</f>
        <v>1138.90299679003</v>
      </c>
      <c r="I524" s="28" t="n">
        <f aca="false">$B$13*((1+$B$8)/(1+D524))^4.5</f>
        <v>596.818741159868</v>
      </c>
      <c r="J524" s="28" t="n">
        <f aca="false">H524+I524-$B$14</f>
        <v>1064.64982014168</v>
      </c>
      <c r="K524" s="45" t="n">
        <f aca="false">MAX(0,J524)/$B$15</f>
        <v>3.8118504122509</v>
      </c>
    </row>
    <row r="525" customFormat="false" ht="15" hidden="false" customHeight="false" outlineLevel="0" collapsed="false">
      <c r="A525" s="55" t="n">
        <v>485</v>
      </c>
      <c r="B525" s="22" t="n">
        <f aca="true">NORMINV(RAND(),$B$6,$C$6)</f>
        <v>0.387195403113212</v>
      </c>
      <c r="C525" s="22" t="n">
        <f aca="true">MAX(-0.05,NORMINV(RAND(),$B$7,$C$7))</f>
        <v>0.135707811598603</v>
      </c>
      <c r="D525" s="34" t="n">
        <f aca="true">MAX(0.08,NORMINV(RAND(),$B$8,$C$8))</f>
        <v>0.119124479437884</v>
      </c>
      <c r="E525" s="35" t="n">
        <f aca="true">MEDIAN(0,NORMINV(RAND(),$B$9,$C$9),1)</f>
        <v>0.218535985716014</v>
      </c>
      <c r="F525" s="28" t="n">
        <f aca="false">$B$12*(1+(B525+$B$17)/2)^9</f>
        <v>5996.00527789431</v>
      </c>
      <c r="G525" s="28" t="n">
        <f aca="false">F525*(C525-$B$18+$B$19*E525)</f>
        <v>790.860430187235</v>
      </c>
      <c r="H525" s="28" t="n">
        <f aca="false">MAX(0,$B$20*G525)/(1+D525)^9</f>
        <v>2010.44560510881</v>
      </c>
      <c r="I525" s="28" t="n">
        <f aca="false">$B$13*((1+$B$8)/(1+D525))^4.5</f>
        <v>666.450844195116</v>
      </c>
      <c r="J525" s="28" t="n">
        <f aca="false">H525+I525-$B$14</f>
        <v>2005.82453149571</v>
      </c>
      <c r="K525" s="45" t="n">
        <f aca="false">MAX(0,J525)/$B$15</f>
        <v>7.18161307374045</v>
      </c>
    </row>
    <row r="526" customFormat="false" ht="15" hidden="false" customHeight="false" outlineLevel="0" collapsed="false">
      <c r="A526" s="55" t="n">
        <v>486</v>
      </c>
      <c r="B526" s="22" t="n">
        <f aca="true">NORMINV(RAND(),$B$6,$C$6)</f>
        <v>0.229518020902501</v>
      </c>
      <c r="C526" s="22" t="n">
        <f aca="true">MAX(-0.05,NORMINV(RAND(),$B$7,$C$7))</f>
        <v>0.137201568762467</v>
      </c>
      <c r="D526" s="34" t="n">
        <f aca="true">MAX(0.08,NORMINV(RAND(),$B$8,$C$8))</f>
        <v>0.137065125544009</v>
      </c>
      <c r="E526" s="35" t="n">
        <f aca="true">MEDIAN(0,NORMINV(RAND(),$B$9,$C$9),1)</f>
        <v>0.313080883608804</v>
      </c>
      <c r="F526" s="28" t="n">
        <f aca="false">$B$12*(1+(B526+$B$17)/2)^9</f>
        <v>3275.83529779555</v>
      </c>
      <c r="G526" s="28" t="n">
        <f aca="false">F526*(C526-$B$18+$B$19*E526)</f>
        <v>523.68884219371</v>
      </c>
      <c r="H526" s="28" t="n">
        <f aca="false">MAX(0,$B$20*G526)/(1+D526)^9</f>
        <v>1153.72765761389</v>
      </c>
      <c r="I526" s="28" t="n">
        <f aca="false">$B$13*((1+$B$8)/(1+D526))^4.5</f>
        <v>620.421548886917</v>
      </c>
      <c r="J526" s="28" t="n">
        <f aca="false">H526+I526-$B$14</f>
        <v>1103.07728869259</v>
      </c>
      <c r="K526" s="45" t="n">
        <f aca="false">MAX(0,J526)/$B$15</f>
        <v>3.94943533366483</v>
      </c>
    </row>
    <row r="527" customFormat="false" ht="15" hidden="false" customHeight="false" outlineLevel="0" collapsed="false">
      <c r="A527" s="55" t="n">
        <v>487</v>
      </c>
      <c r="B527" s="22" t="n">
        <f aca="true">NORMINV(RAND(),$B$6,$C$6)</f>
        <v>0.603612495305914</v>
      </c>
      <c r="C527" s="22" t="n">
        <f aca="true">MAX(-0.05,NORMINV(RAND(),$B$7,$C$7))</f>
        <v>0.162737787298391</v>
      </c>
      <c r="D527" s="34" t="n">
        <f aca="true">MAX(0.08,NORMINV(RAND(),$B$8,$C$8))</f>
        <v>0.145703205226792</v>
      </c>
      <c r="E527" s="35" t="n">
        <f aca="true">MEDIAN(0,NORMINV(RAND(),$B$9,$C$9),1)</f>
        <v>0.146578456264731</v>
      </c>
      <c r="F527" s="28" t="n">
        <f aca="false">$B$12*(1+(B527+$B$17)/2)^9</f>
        <v>12933.0066701829</v>
      </c>
      <c r="G527" s="28" t="n">
        <f aca="false">F527*(C527-$B$18+$B$19*E527)</f>
        <v>1794.83949778053</v>
      </c>
      <c r="H527" s="28" t="n">
        <f aca="false">MAX(0,$B$20*G527)/(1+D527)^9</f>
        <v>3693.80959838347</v>
      </c>
      <c r="I527" s="28" t="n">
        <f aca="false">$B$13*((1+$B$8)/(1+D527))^4.5</f>
        <v>599.647911959425</v>
      </c>
      <c r="J527" s="28" t="n">
        <f aca="false">H527+I527-$B$14</f>
        <v>3622.38559253468</v>
      </c>
      <c r="K527" s="45" t="n">
        <f aca="false">MAX(0,J527)/$B$15</f>
        <v>12.9695151898843</v>
      </c>
    </row>
    <row r="528" customFormat="false" ht="15" hidden="false" customHeight="false" outlineLevel="0" collapsed="false">
      <c r="A528" s="55" t="n">
        <v>488</v>
      </c>
      <c r="B528" s="22" t="n">
        <f aca="true">NORMINV(RAND(),$B$6,$C$6)</f>
        <v>0.215659581700807</v>
      </c>
      <c r="C528" s="22" t="n">
        <f aca="true">MAX(-0.05,NORMINV(RAND(),$B$7,$C$7))</f>
        <v>0.263052055741402</v>
      </c>
      <c r="D528" s="34" t="n">
        <f aca="true">MAX(0.08,NORMINV(RAND(),$B$8,$C$8))</f>
        <v>0.109906196074924</v>
      </c>
      <c r="E528" s="35" t="n">
        <f aca="true">MEDIAN(0,NORMINV(RAND(),$B$9,$C$9),1)</f>
        <v>0.321741710963433</v>
      </c>
      <c r="F528" s="28" t="n">
        <f aca="false">$B$12*(1+(B528+$B$17)/2)^9</f>
        <v>3100.14035928573</v>
      </c>
      <c r="G528" s="28" t="n">
        <f aca="false">F528*(C528-$B$18+$B$19*E528)</f>
        <v>893.273621001975</v>
      </c>
      <c r="H528" s="28" t="n">
        <f aca="false">MAX(0,$B$20*G528)/(1+D528)^9</f>
        <v>2446.27944659887</v>
      </c>
      <c r="I528" s="28" t="n">
        <f aca="false">$B$13*((1+$B$8)/(1+D528))^4.5</f>
        <v>691.723707825484</v>
      </c>
      <c r="J528" s="28" t="n">
        <f aca="false">H528+I528-$B$14</f>
        <v>2466.93123661614</v>
      </c>
      <c r="K528" s="45" t="n">
        <f aca="false">MAX(0,J528)/$B$15</f>
        <v>8.83255007739397</v>
      </c>
    </row>
    <row r="529" customFormat="false" ht="15" hidden="false" customHeight="false" outlineLevel="0" collapsed="false">
      <c r="A529" s="55" t="n">
        <v>489</v>
      </c>
      <c r="B529" s="22" t="n">
        <f aca="true">NORMINV(RAND(),$B$6,$C$6)</f>
        <v>0.208771333644594</v>
      </c>
      <c r="C529" s="22" t="n">
        <f aca="true">MAX(-0.05,NORMINV(RAND(),$B$7,$C$7))</f>
        <v>0.173733670883801</v>
      </c>
      <c r="D529" s="34" t="n">
        <f aca="true">MAX(0.08,NORMINV(RAND(),$B$8,$C$8))</f>
        <v>0.159539305119118</v>
      </c>
      <c r="E529" s="35" t="n">
        <f aca="true">MEDIAN(0,NORMINV(RAND(),$B$9,$C$9),1)</f>
        <v>0.0450369383549484</v>
      </c>
      <c r="F529" s="28" t="n">
        <f aca="false">$B$12*(1+(B529+$B$17)/2)^9</f>
        <v>3015.96992199063</v>
      </c>
      <c r="G529" s="28" t="n">
        <f aca="false">F529*(C529-$B$18+$B$19*E529)</f>
        <v>365.969895301152</v>
      </c>
      <c r="H529" s="28" t="n">
        <f aca="false">MAX(0,$B$20*G529)/(1+D529)^9</f>
        <v>676.042704601688</v>
      </c>
      <c r="I529" s="28" t="n">
        <f aca="false">$B$13*((1+$B$8)/(1+D529))^4.5</f>
        <v>568.115013521339</v>
      </c>
      <c r="J529" s="28" t="n">
        <f aca="false">H529+I529-$B$14</f>
        <v>573.085800314808</v>
      </c>
      <c r="K529" s="45" t="n">
        <f aca="false">MAX(0,J529)/$B$15</f>
        <v>2.05186466278127</v>
      </c>
    </row>
    <row r="530" customFormat="false" ht="15" hidden="false" customHeight="false" outlineLevel="0" collapsed="false">
      <c r="A530" s="55" t="n">
        <v>490</v>
      </c>
      <c r="B530" s="22" t="n">
        <f aca="true">NORMINV(RAND(),$B$6,$C$6)</f>
        <v>0.23088422764462</v>
      </c>
      <c r="C530" s="22" t="n">
        <f aca="true">MAX(-0.05,NORMINV(RAND(),$B$7,$C$7))</f>
        <v>0.0674968660684828</v>
      </c>
      <c r="D530" s="34" t="n">
        <f aca="true">MAX(0.08,NORMINV(RAND(),$B$8,$C$8))</f>
        <v>0.143612525829693</v>
      </c>
      <c r="E530" s="35" t="n">
        <f aca="true">MEDIAN(0,NORMINV(RAND(),$B$9,$C$9),1)</f>
        <v>0.107851219271933</v>
      </c>
      <c r="F530" s="28" t="n">
        <f aca="false">$B$12*(1+(B530+$B$17)/2)^9</f>
        <v>3293.62600917214</v>
      </c>
      <c r="G530" s="28" t="n">
        <f aca="false">F530*(C530-$B$18+$B$19*E530)</f>
        <v>107.685785680765</v>
      </c>
      <c r="H530" s="28" t="n">
        <f aca="false">MAX(0,$B$20*G530)/(1+D530)^9</f>
        <v>225.292269391433</v>
      </c>
      <c r="I530" s="28" t="n">
        <f aca="false">$B$13*((1+$B$8)/(1+D530))^4.5</f>
        <v>604.596789194938</v>
      </c>
      <c r="J530" s="28" t="n">
        <f aca="false">H530+I530-$B$14</f>
        <v>158.817140778152</v>
      </c>
      <c r="K530" s="45" t="n">
        <f aca="false">MAX(0,J530)/$B$15</f>
        <v>0.568625638303443</v>
      </c>
    </row>
    <row r="531" customFormat="false" ht="15" hidden="false" customHeight="false" outlineLevel="0" collapsed="false">
      <c r="A531" s="55" t="n">
        <v>491</v>
      </c>
      <c r="B531" s="22" t="n">
        <f aca="true">NORMINV(RAND(),$B$6,$C$6)</f>
        <v>0.290544625293124</v>
      </c>
      <c r="C531" s="22" t="n">
        <f aca="true">MAX(-0.05,NORMINV(RAND(),$B$7,$C$7))</f>
        <v>0.218373454381641</v>
      </c>
      <c r="D531" s="34" t="n">
        <f aca="true">MAX(0.08,NORMINV(RAND(),$B$8,$C$8))</f>
        <v>0.179898328607496</v>
      </c>
      <c r="E531" s="35" t="n">
        <f aca="true">MEDIAN(0,NORMINV(RAND(),$B$9,$C$9),1)</f>
        <v>0.231910267553604</v>
      </c>
      <c r="F531" s="28" t="n">
        <f aca="false">$B$12*(1+(B531+$B$17)/2)^9</f>
        <v>4159.45228918278</v>
      </c>
      <c r="G531" s="28" t="n">
        <f aca="false">F531*(C531-$B$18+$B$19*E531)</f>
        <v>908.043080040619</v>
      </c>
      <c r="H531" s="28" t="n">
        <f aca="false">MAX(0,$B$20*G531)/(1+D531)^9</f>
        <v>1434.1785401486</v>
      </c>
      <c r="I531" s="28" t="n">
        <f aca="false">$B$13*((1+$B$8)/(1+D531))^4.5</f>
        <v>525.315560630749</v>
      </c>
      <c r="J531" s="28" t="n">
        <f aca="false">H531+I531-$B$14</f>
        <v>1288.42218297113</v>
      </c>
      <c r="K531" s="45" t="n">
        <f aca="false">MAX(0,J531)/$B$15</f>
        <v>4.61304039731875</v>
      </c>
    </row>
    <row r="532" customFormat="false" ht="15" hidden="false" customHeight="false" outlineLevel="0" collapsed="false">
      <c r="A532" s="55" t="n">
        <v>492</v>
      </c>
      <c r="B532" s="22" t="n">
        <f aca="true">NORMINV(RAND(),$B$6,$C$6)</f>
        <v>0.712432063005298</v>
      </c>
      <c r="C532" s="22" t="n">
        <f aca="true">MAX(-0.05,NORMINV(RAND(),$B$7,$C$7))</f>
        <v>0.0186386769213783</v>
      </c>
      <c r="D532" s="34" t="n">
        <f aca="true">MAX(0.08,NORMINV(RAND(),$B$8,$C$8))</f>
        <v>0.150292584318862</v>
      </c>
      <c r="E532" s="35" t="n">
        <f aca="true">MEDIAN(0,NORMINV(RAND(),$B$9,$C$9),1)</f>
        <v>0.427176061373654</v>
      </c>
      <c r="F532" s="28" t="n">
        <f aca="false">$B$12*(1+(B532+$B$17)/2)^9</f>
        <v>18593.8281471387</v>
      </c>
      <c r="G532" s="28" t="n">
        <f aca="false">F532*(C532-$B$18+$B$19*E532)</f>
        <v>1361.96024265305</v>
      </c>
      <c r="H532" s="28" t="n">
        <f aca="false">MAX(0,$B$20*G532)/(1+D532)^9</f>
        <v>2703.88110042742</v>
      </c>
      <c r="I532" s="28" t="n">
        <f aca="false">$B$13*((1+$B$8)/(1+D532))^4.5</f>
        <v>588.956829393486</v>
      </c>
      <c r="J532" s="28" t="n">
        <f aca="false">H532+I532-$B$14</f>
        <v>2621.76601201268</v>
      </c>
      <c r="K532" s="45" t="n">
        <f aca="false">MAX(0,J532)/$B$15</f>
        <v>9.38691733624305</v>
      </c>
    </row>
    <row r="533" customFormat="false" ht="15" hidden="false" customHeight="false" outlineLevel="0" collapsed="false">
      <c r="A533" s="55" t="n">
        <v>493</v>
      </c>
      <c r="B533" s="22" t="n">
        <f aca="true">NORMINV(RAND(),$B$6,$C$6)</f>
        <v>0.50570806214272</v>
      </c>
      <c r="C533" s="22" t="n">
        <f aca="true">MAX(-0.05,NORMINV(RAND(),$B$7,$C$7))</f>
        <v>0.173020347810401</v>
      </c>
      <c r="D533" s="34" t="n">
        <f aca="true">MAX(0.08,NORMINV(RAND(),$B$8,$C$8))</f>
        <v>0.125777820625567</v>
      </c>
      <c r="E533" s="35" t="n">
        <f aca="true">MEDIAN(0,NORMINV(RAND(),$B$9,$C$9),1)</f>
        <v>0.456663143597225</v>
      </c>
      <c r="F533" s="28" t="n">
        <f aca="false">$B$12*(1+(B533+$B$17)/2)^9</f>
        <v>9208.66596546157</v>
      </c>
      <c r="G533" s="28" t="n">
        <f aca="false">F533*(C533-$B$18+$B$19*E533)</f>
        <v>2172.19563793381</v>
      </c>
      <c r="H533" s="28" t="n">
        <f aca="false">MAX(0,$B$20*G533)/(1+D533)^9</f>
        <v>5235.07349827932</v>
      </c>
      <c r="I533" s="28" t="n">
        <f aca="false">$B$13*((1+$B$8)/(1+D533))^4.5</f>
        <v>648.909011294103</v>
      </c>
      <c r="J533" s="28" t="n">
        <f aca="false">H533+I533-$B$14</f>
        <v>5212.9105917652</v>
      </c>
      <c r="K533" s="45" t="n">
        <f aca="false">MAX(0,J533)/$B$15</f>
        <v>18.6641983235417</v>
      </c>
    </row>
    <row r="534" customFormat="false" ht="15" hidden="false" customHeight="false" outlineLevel="0" collapsed="false">
      <c r="A534" s="55" t="n">
        <v>494</v>
      </c>
      <c r="B534" s="22" t="n">
        <f aca="true">NORMINV(RAND(),$B$6,$C$6)</f>
        <v>0.356848105136771</v>
      </c>
      <c r="C534" s="22" t="n">
        <f aca="true">MAX(-0.05,NORMINV(RAND(),$B$7,$C$7))</f>
        <v>0.144814258669379</v>
      </c>
      <c r="D534" s="34" t="n">
        <f aca="true">MAX(0.08,NORMINV(RAND(),$B$8,$C$8))</f>
        <v>0.225643847572463</v>
      </c>
      <c r="E534" s="35" t="n">
        <f aca="true">MEDIAN(0,NORMINV(RAND(),$B$9,$C$9),1)</f>
        <v>0.479711466147245</v>
      </c>
      <c r="F534" s="28" t="n">
        <f aca="false">$B$12*(1+(B534+$B$17)/2)^9</f>
        <v>5354.06883358471</v>
      </c>
      <c r="G534" s="28" t="n">
        <f aca="false">F534*(C534-$B$18+$B$19*E534)</f>
        <v>1146.4853336208</v>
      </c>
      <c r="H534" s="28" t="n">
        <f aca="false">MAX(0,$B$20*G534)/(1+D534)^9</f>
        <v>1285.84297891427</v>
      </c>
      <c r="I534" s="28" t="n">
        <f aca="false">$B$13*((1+$B$8)/(1+D534))^4.5</f>
        <v>442.671537832911</v>
      </c>
      <c r="J534" s="28" t="n">
        <f aca="false">H534+I534-$B$14</f>
        <v>1057.44259893896</v>
      </c>
      <c r="K534" s="45" t="n">
        <f aca="false">MAX(0,J534)/$B$15</f>
        <v>3.78604582505894</v>
      </c>
    </row>
    <row r="535" customFormat="false" ht="15" hidden="false" customHeight="false" outlineLevel="0" collapsed="false">
      <c r="A535" s="55" t="n">
        <v>495</v>
      </c>
      <c r="B535" s="22" t="n">
        <f aca="true">NORMINV(RAND(),$B$6,$C$6)</f>
        <v>0.174469890231029</v>
      </c>
      <c r="C535" s="22" t="n">
        <f aca="true">MAX(-0.05,NORMINV(RAND(),$B$7,$C$7))</f>
        <v>0.194441966117329</v>
      </c>
      <c r="D535" s="34" t="n">
        <f aca="true">MAX(0.08,NORMINV(RAND(),$B$8,$C$8))</f>
        <v>0.120270178191576</v>
      </c>
      <c r="E535" s="35" t="n">
        <f aca="true">MEDIAN(0,NORMINV(RAND(),$B$9,$C$9),1)</f>
        <v>0.332677821627311</v>
      </c>
      <c r="F535" s="28" t="n">
        <f aca="false">$B$12*(1+(B535+$B$17)/2)^9</f>
        <v>2626.31826960369</v>
      </c>
      <c r="G535" s="28" t="n">
        <f aca="false">F535*(C535-$B$18+$B$19*E535)</f>
        <v>584.596795900256</v>
      </c>
      <c r="H535" s="28" t="n">
        <f aca="false">MAX(0,$B$20*G535)/(1+D535)^9</f>
        <v>1472.48030493829</v>
      </c>
      <c r="I535" s="28" t="n">
        <f aca="false">$B$13*((1+$B$8)/(1+D535))^4.5</f>
        <v>663.389226198425</v>
      </c>
      <c r="J535" s="28" t="n">
        <f aca="false">H535+I535-$B$14</f>
        <v>1464.7976133285</v>
      </c>
      <c r="K535" s="45" t="n">
        <f aca="false">MAX(0,J535)/$B$15</f>
        <v>5.24453137604189</v>
      </c>
    </row>
    <row r="536" customFormat="false" ht="15" hidden="false" customHeight="false" outlineLevel="0" collapsed="false">
      <c r="A536" s="55" t="n">
        <v>496</v>
      </c>
      <c r="B536" s="22" t="n">
        <f aca="true">NORMINV(RAND(),$B$6,$C$6)</f>
        <v>0.4913457726876</v>
      </c>
      <c r="C536" s="22" t="n">
        <f aca="true">MAX(-0.05,NORMINV(RAND(),$B$7,$C$7))</f>
        <v>0.196217496566931</v>
      </c>
      <c r="D536" s="34" t="n">
        <f aca="true">MAX(0.08,NORMINV(RAND(),$B$8,$C$8))</f>
        <v>0.139368469083771</v>
      </c>
      <c r="E536" s="35" t="n">
        <f aca="true">MEDIAN(0,NORMINV(RAND(),$B$9,$C$9),1)</f>
        <v>0.444208617144251</v>
      </c>
      <c r="F536" s="28" t="n">
        <f aca="false">$B$12*(1+(B536+$B$17)/2)^9</f>
        <v>8751.50184136074</v>
      </c>
      <c r="G536" s="28" t="n">
        <f aca="false">F536*(C536-$B$18+$B$19*E536)</f>
        <v>2236.84807147239</v>
      </c>
      <c r="H536" s="28" t="n">
        <f aca="false">MAX(0,$B$20*G536)/(1+D536)^9</f>
        <v>4839.01265637103</v>
      </c>
      <c r="I536" s="28" t="n">
        <f aca="false">$B$13*((1+$B$8)/(1+D536))^4.5</f>
        <v>614.797393194075</v>
      </c>
      <c r="J536" s="28" t="n">
        <f aca="false">H536+I536-$B$14</f>
        <v>4782.73813175688</v>
      </c>
      <c r="K536" s="45" t="n">
        <f aca="false">MAX(0,J536)/$B$15</f>
        <v>17.1240176575613</v>
      </c>
    </row>
    <row r="537" customFormat="false" ht="15" hidden="false" customHeight="false" outlineLevel="0" collapsed="false">
      <c r="A537" s="55" t="n">
        <v>497</v>
      </c>
      <c r="B537" s="22" t="n">
        <f aca="true">NORMINV(RAND(),$B$6,$C$6)</f>
        <v>0.304780392413904</v>
      </c>
      <c r="C537" s="22" t="n">
        <f aca="true">MAX(-0.05,NORMINV(RAND(),$B$7,$C$7))</f>
        <v>0.14700739505282</v>
      </c>
      <c r="D537" s="34" t="n">
        <f aca="true">MAX(0.08,NORMINV(RAND(),$B$8,$C$8))</f>
        <v>0.15372924209059</v>
      </c>
      <c r="E537" s="35" t="n">
        <f aca="true">MEDIAN(0,NORMINV(RAND(),$B$9,$C$9),1)</f>
        <v>0.202026080021133</v>
      </c>
      <c r="F537" s="28" t="n">
        <f aca="false">$B$12*(1+(B537+$B$17)/2)^9</f>
        <v>4393.78601376086</v>
      </c>
      <c r="G537" s="28" t="n">
        <f aca="false">F537*(C537-$B$18+$B$19*E537)</f>
        <v>608.867567555342</v>
      </c>
      <c r="H537" s="28" t="n">
        <f aca="false">MAX(0,$B$20*G537)/(1+D537)^9</f>
        <v>1176.75425879262</v>
      </c>
      <c r="I537" s="28" t="n">
        <f aca="false">$B$13*((1+$B$8)/(1+D537))^4.5</f>
        <v>581.10331223998</v>
      </c>
      <c r="J537" s="28" t="n">
        <f aca="false">H537+I537-$B$14</f>
        <v>1086.78565322438</v>
      </c>
      <c r="K537" s="45" t="n">
        <f aca="false">MAX(0,J537)/$B$15</f>
        <v>3.89110509568342</v>
      </c>
    </row>
    <row r="538" customFormat="false" ht="15" hidden="false" customHeight="false" outlineLevel="0" collapsed="false">
      <c r="A538" s="55" t="n">
        <v>498</v>
      </c>
      <c r="B538" s="22" t="n">
        <f aca="true">NORMINV(RAND(),$B$6,$C$6)</f>
        <v>0.454219897559621</v>
      </c>
      <c r="C538" s="22" t="n">
        <f aca="true">MAX(-0.05,NORMINV(RAND(),$B$7,$C$7))</f>
        <v>0.15080549421514</v>
      </c>
      <c r="D538" s="34" t="n">
        <f aca="true">MAX(0.08,NORMINV(RAND(),$B$8,$C$8))</f>
        <v>0.143898804730947</v>
      </c>
      <c r="E538" s="35" t="n">
        <f aca="true">MEDIAN(0,NORMINV(RAND(),$B$9,$C$9),1)</f>
        <v>0.428428360698802</v>
      </c>
      <c r="F538" s="28" t="n">
        <f aca="false">$B$12*(1+(B538+$B$17)/2)^9</f>
        <v>7661.82085603843</v>
      </c>
      <c r="G538" s="28" t="n">
        <f aca="false">F538*(C538-$B$18+$B$19*E538)</f>
        <v>1576.53790294996</v>
      </c>
      <c r="H538" s="28" t="n">
        <f aca="false">MAX(0,$B$20*G538)/(1+D538)^9</f>
        <v>3290.89480979451</v>
      </c>
      <c r="I538" s="28" t="n">
        <f aca="false">$B$13*((1+$B$8)/(1+D538))^4.5</f>
        <v>603.916192434114</v>
      </c>
      <c r="J538" s="28" t="n">
        <f aca="false">H538+I538-$B$14</f>
        <v>3223.73908442041</v>
      </c>
      <c r="K538" s="45" t="n">
        <f aca="false">MAX(0,J538)/$B$15</f>
        <v>11.5422093964211</v>
      </c>
    </row>
    <row r="539" customFormat="false" ht="15" hidden="false" customHeight="false" outlineLevel="0" collapsed="false">
      <c r="A539" s="55" t="n">
        <v>499</v>
      </c>
      <c r="B539" s="22" t="n">
        <f aca="true">NORMINV(RAND(),$B$6,$C$6)</f>
        <v>0.47952864747895</v>
      </c>
      <c r="C539" s="22" t="n">
        <f aca="true">MAX(-0.05,NORMINV(RAND(),$B$7,$C$7))</f>
        <v>0.0903501790997413</v>
      </c>
      <c r="D539" s="34" t="n">
        <f aca="true">MAX(0.08,NORMINV(RAND(),$B$8,$C$8))</f>
        <v>0.176198123436072</v>
      </c>
      <c r="E539" s="35" t="n">
        <f aca="true">MEDIAN(0,NORMINV(RAND(),$B$9,$C$9),1)</f>
        <v>0.0588043618505568</v>
      </c>
      <c r="F539" s="28" t="n">
        <f aca="false">$B$12*(1+(B539+$B$17)/2)^9</f>
        <v>8390.60051933454</v>
      </c>
      <c r="G539" s="28" t="n">
        <f aca="false">F539*(C539-$B$18+$B$19*E539)</f>
        <v>350.85632046259</v>
      </c>
      <c r="H539" s="28" t="n">
        <f aca="false">MAX(0,$B$20*G539)/(1+D539)^9</f>
        <v>570.036946381122</v>
      </c>
      <c r="I539" s="28" t="n">
        <f aca="false">$B$13*((1+$B$8)/(1+D539))^4.5</f>
        <v>532.793272397935</v>
      </c>
      <c r="J539" s="28" t="n">
        <f aca="false">H539+I539-$B$14</f>
        <v>431.758300970837</v>
      </c>
      <c r="K539" s="45" t="n">
        <f aca="false">MAX(0,J539)/$B$15</f>
        <v>1.54585857848492</v>
      </c>
    </row>
    <row r="540" customFormat="false" ht="15" hidden="false" customHeight="false" outlineLevel="0" collapsed="false">
      <c r="A540" s="55" t="n">
        <v>500</v>
      </c>
      <c r="B540" s="22" t="n">
        <f aca="true">NORMINV(RAND(),$B$6,$C$6)</f>
        <v>0.572612371549368</v>
      </c>
      <c r="C540" s="22" t="n">
        <f aca="true">MAX(-0.05,NORMINV(RAND(),$B$7,$C$7))</f>
        <v>0.155879321888144</v>
      </c>
      <c r="D540" s="34" t="n">
        <f aca="true">MAX(0.08,NORMINV(RAND(),$B$8,$C$8))</f>
        <v>0.145126980594492</v>
      </c>
      <c r="E540" s="35" t="n">
        <f aca="true">MEDIAN(0,NORMINV(RAND(),$B$9,$C$9),1)</f>
        <v>0.200294792871662</v>
      </c>
      <c r="F540" s="28" t="n">
        <f aca="false">$B$12*(1+(B540+$B$17)/2)^9</f>
        <v>11630.3865549631</v>
      </c>
      <c r="G540" s="28" t="n">
        <f aca="false">F540*(C540-$B$18+$B$19*E540)</f>
        <v>1709.22328590427</v>
      </c>
      <c r="H540" s="28" t="n">
        <f aca="false">MAX(0,$B$20*G540)/(1+D540)^9</f>
        <v>3533.57257178647</v>
      </c>
      <c r="I540" s="28" t="n">
        <f aca="false">$B$13*((1+$B$8)/(1+D540))^4.5</f>
        <v>601.00694320333</v>
      </c>
      <c r="J540" s="28" t="n">
        <f aca="false">H540+I540-$B$14</f>
        <v>3463.50759718158</v>
      </c>
      <c r="K540" s="45" t="n">
        <f aca="false">MAX(0,J540)/$B$15</f>
        <v>12.400671669107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0"/>
    <col collapsed="false" customWidth="true" hidden="false" outlineLevel="0" max="5" min="4" style="0" width="9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472</v>
      </c>
    </row>
    <row r="2" customFormat="false" ht="15" hidden="false" customHeight="false" outlineLevel="0" collapsed="false">
      <c r="A2" s="11" t="str">
        <f aca="false">CONCATENATE("Current price: $",TEXT(Assumptions!B49,"0.00"),"   ·   Scenario: ",CHOOSE(Assumptions!B4,"BASE","BULL","BEAR"),"   ·   Probability-weighted value: $",TEXT(Monte_Carlo!C38,"0.00"))</f>
        <v>Current price: $6.81   ·   Scenario: BASE   ·   Probability-weighted value: $7.74</v>
      </c>
    </row>
    <row r="4" customFormat="false" ht="15" hidden="false" customHeight="false" outlineLevel="0" collapsed="false">
      <c r="A4" s="12" t="s">
        <v>473</v>
      </c>
      <c r="B4" s="12" t="s">
        <v>355</v>
      </c>
      <c r="C4" s="12" t="s">
        <v>356</v>
      </c>
      <c r="D4" s="12" t="s">
        <v>474</v>
      </c>
      <c r="E4" s="12" t="s">
        <v>475</v>
      </c>
      <c r="F4" s="12" t="s">
        <v>476</v>
      </c>
    </row>
    <row r="5" customFormat="false" ht="15" hidden="false" customHeight="false" outlineLevel="0" collapsed="false">
      <c r="A5" s="3" t="s">
        <v>477</v>
      </c>
      <c r="B5" s="56" t="n">
        <v>3</v>
      </c>
      <c r="C5" s="56" t="n">
        <v>12</v>
      </c>
      <c r="D5" s="57" t="n">
        <f aca="false">MIN(B5,C5)</f>
        <v>3</v>
      </c>
      <c r="E5" s="57" t="n">
        <f aca="false">ABS(C5-B5)</f>
        <v>9</v>
      </c>
      <c r="F5" s="41" t="n">
        <f aca="false">(B5+C5)/2</f>
        <v>7.5</v>
      </c>
    </row>
    <row r="6" customFormat="false" ht="15" hidden="false" customHeight="false" outlineLevel="0" collapsed="false">
      <c r="A6" s="3" t="s">
        <v>478</v>
      </c>
      <c r="B6" s="56" t="n">
        <v>7</v>
      </c>
      <c r="C6" s="56" t="n">
        <v>13</v>
      </c>
      <c r="D6" s="57" t="n">
        <f aca="false">MIN(B6,C6)</f>
        <v>7</v>
      </c>
      <c r="E6" s="57" t="n">
        <f aca="false">ABS(C6-B6)</f>
        <v>6</v>
      </c>
      <c r="F6" s="41" t="n">
        <f aca="false">(B6+C6)/2</f>
        <v>10</v>
      </c>
    </row>
    <row r="7" customFormat="false" ht="15" hidden="false" customHeight="false" outlineLevel="0" collapsed="false">
      <c r="A7" s="3" t="s">
        <v>479</v>
      </c>
      <c r="B7" s="54" t="n">
        <f aca="false">MAX(0,SUMPRODUCT(DCF!$B$10:$J$10,(1+(WACC!$B$20+0.02))^-DCF!$B$11:$J$11)+MAX(0,DCF!$J$10)*(1+0.015)/((WACC!$B$20+0.02)-0.015)/(1+(WACC!$B$20+0.02))^9-DCF!$B$31)/DCF!$B$32</f>
        <v>0.390679186849659</v>
      </c>
      <c r="C7" s="54" t="n">
        <f aca="false">MAX(0,SUMPRODUCT(DCF!$B$10:$J$10,(1+(WACC!$B$20-0.02))^-DCF!$B$11:$J$11)+MAX(0,DCF!$J$10)*(1+0.025)/((WACC!$B$20-0.02)-0.025)/(1+(WACC!$B$20-0.02))^9-DCF!$B$31)/DCF!$B$32</f>
        <v>1.45625100669053</v>
      </c>
      <c r="D7" s="57" t="n">
        <f aca="false">MIN(B7,C7)</f>
        <v>0.390679186849659</v>
      </c>
      <c r="E7" s="57" t="n">
        <f aca="false">ABS(C7-B7)</f>
        <v>1.06557181984087</v>
      </c>
      <c r="F7" s="41" t="n">
        <f aca="false">(B7+C7)/2</f>
        <v>0.923465096770093</v>
      </c>
    </row>
    <row r="8" customFormat="false" ht="15" hidden="false" customHeight="false" outlineLevel="0" collapsed="false">
      <c r="A8" s="3" t="s">
        <v>480</v>
      </c>
      <c r="B8" s="54" t="n">
        <f aca="false">MAX(0,SUMPRODUCT(DCF!$B$10:$J$10,(1+(WACC!$B$20+0.02))^-DCF!$B$11:$J$11)+MAX(0,5.5*Model_3S!$L$25)/(1+(WACC!$B$20+0.02))^9-DCF!$B$31)/DCF!$B$32</f>
        <v>1.55800640267381</v>
      </c>
      <c r="C8" s="54" t="n">
        <f aca="false">MAX(0,SUMPRODUCT(DCF!$B$10:$J$10,(1+(WACC!$B$20-0.02))^-DCF!$B$11:$J$11)+MAX(0,8.5*Model_3S!$L$25)/(1+(WACC!$B$20-0.02))^9-DCF!$B$31)/DCF!$B$32</f>
        <v>3.95031029513521</v>
      </c>
      <c r="D8" s="57" t="n">
        <f aca="false">MIN(B8,C8)</f>
        <v>1.55800640267381</v>
      </c>
      <c r="E8" s="57" t="n">
        <f aca="false">ABS(C8-B8)</f>
        <v>2.39230389246141</v>
      </c>
      <c r="F8" s="41" t="n">
        <f aca="false">(B8+C8)/2</f>
        <v>2.75415834890451</v>
      </c>
    </row>
    <row r="9" customFormat="false" ht="15" hidden="false" customHeight="false" outlineLevel="0" collapsed="false">
      <c r="A9" s="3" t="s">
        <v>481</v>
      </c>
      <c r="B9" s="54" t="n">
        <f aca="false">Comps!E15</f>
        <v>0.604826645871038</v>
      </c>
      <c r="C9" s="54" t="n">
        <f aca="false">Comps!F15</f>
        <v>5.11610484135976</v>
      </c>
      <c r="D9" s="57" t="n">
        <f aca="false">MIN(B9,C9)</f>
        <v>0.604826645871038</v>
      </c>
      <c r="E9" s="57" t="n">
        <f aca="false">ABS(C9-B9)</f>
        <v>4.51127819548872</v>
      </c>
      <c r="F9" s="41" t="n">
        <f aca="false">(B9+C9)/2</f>
        <v>2.8604657436154</v>
      </c>
    </row>
    <row r="10" customFormat="false" ht="15" hidden="false" customHeight="false" outlineLevel="0" collapsed="false">
      <c r="A10" s="3" t="s">
        <v>482</v>
      </c>
      <c r="B10" s="54" t="n">
        <f aca="false">Comps!E16</f>
        <v>6.84185141971973</v>
      </c>
      <c r="C10" s="54" t="n">
        <f aca="false">Comps!F16</f>
        <v>12.3885775622244</v>
      </c>
      <c r="D10" s="57" t="n">
        <f aca="false">MIN(B10,C10)</f>
        <v>6.84185141971973</v>
      </c>
      <c r="E10" s="57" t="n">
        <f aca="false">ABS(C10-B10)</f>
        <v>5.5467261425047</v>
      </c>
      <c r="F10" s="41" t="n">
        <f aca="false">(B10+C10)/2</f>
        <v>9.61521449097208</v>
      </c>
    </row>
    <row r="11" customFormat="false" ht="15" hidden="false" customHeight="false" outlineLevel="0" collapsed="false">
      <c r="A11" s="3" t="s">
        <v>483</v>
      </c>
      <c r="B11" s="54" t="n">
        <f aca="false">Precedents!B18</f>
        <v>0</v>
      </c>
      <c r="C11" s="54" t="n">
        <f aca="false">Precedents!C18</f>
        <v>1.89376327315353</v>
      </c>
      <c r="D11" s="57" t="n">
        <f aca="false">MIN(B11,C11)</f>
        <v>0</v>
      </c>
      <c r="E11" s="57" t="n">
        <f aca="false">ABS(C11-B11)</f>
        <v>1.89376327315353</v>
      </c>
      <c r="F11" s="41" t="n">
        <f aca="false">(B11+C11)/2</f>
        <v>0.946881636576765</v>
      </c>
    </row>
    <row r="12" customFormat="false" ht="15" hidden="false" customHeight="false" outlineLevel="0" collapsed="false">
      <c r="A12" s="3" t="s">
        <v>484</v>
      </c>
      <c r="B12" s="54" t="n">
        <f aca="false">LBO!D49</f>
        <v>0</v>
      </c>
      <c r="C12" s="54" t="n">
        <f aca="false">LBO!D47</f>
        <v>0.121230708553033</v>
      </c>
      <c r="D12" s="57" t="n">
        <f aca="false">MIN(B12,C12)</f>
        <v>0</v>
      </c>
      <c r="E12" s="57" t="n">
        <f aca="false">ABS(C12-B12)</f>
        <v>0.121230708553033</v>
      </c>
      <c r="F12" s="41" t="n">
        <f aca="false">(B12+C12)/2</f>
        <v>0.0606153542765167</v>
      </c>
    </row>
    <row r="13" customFormat="false" ht="15" hidden="false" customHeight="false" outlineLevel="0" collapsed="false">
      <c r="A13" s="3" t="s">
        <v>485</v>
      </c>
      <c r="B13" s="54" t="n">
        <f aca="false">Monte_Carlo!B27</f>
        <v>2.7557877506292</v>
      </c>
      <c r="C13" s="54" t="n">
        <f aca="false">Monte_Carlo!B28</f>
        <v>9.30363198200604</v>
      </c>
      <c r="D13" s="57" t="n">
        <f aca="false">MIN(B13,C13)</f>
        <v>2.7557877506292</v>
      </c>
      <c r="E13" s="57" t="n">
        <f aca="false">ABS(C13-B13)</f>
        <v>6.54784423137684</v>
      </c>
      <c r="F13" s="41" t="n">
        <f aca="false">(B13+C13)/2</f>
        <v>6.02970986631762</v>
      </c>
    </row>
    <row r="14" customFormat="false" ht="15" hidden="false" customHeight="false" outlineLevel="0" collapsed="false">
      <c r="A14" s="3" t="s">
        <v>486</v>
      </c>
      <c r="B14" s="54" t="n">
        <f aca="false">Assumptions!B49-0.15</f>
        <v>6.66</v>
      </c>
      <c r="C14" s="54" t="n">
        <f aca="false">Assumptions!B49+0.15</f>
        <v>6.96</v>
      </c>
      <c r="D14" s="57" t="n">
        <f aca="false">MIN(B14,C14)</f>
        <v>6.66</v>
      </c>
      <c r="E14" s="57" t="n">
        <f aca="false">ABS(C14-B14)</f>
        <v>0.300000000000001</v>
      </c>
      <c r="F14" s="41" t="n">
        <f aca="false">(B14+C14)/2</f>
        <v>6.81</v>
      </c>
    </row>
    <row r="16" customFormat="false" ht="15" hidden="false" customHeight="false" outlineLevel="0" collapsed="false">
      <c r="A16" s="15" t="s">
        <v>487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2026-08-03T18:15:10Z</dcterms:created>
  <dc:creator>openpyxl</dc:creator>
  <dc:description/>
  <dc:language>en-US</dc:language>
  <cp:lastModifiedBy/>
  <dcterms:modified xsi:type="dcterms:W3CDTF">2026-08-03T18:15:21Z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