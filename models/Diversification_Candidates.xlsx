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Add_To_Current" sheetId="2" state="visible" r:id="rId4"/>
    <sheet name="LLY_DCF" sheetId="3" state="visible" r:id="rId5"/>
    <sheet name="V_DCF" sheetId="4" state="visible" r:id="rId6"/>
    <sheet name="COST_DCF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<sst xmlns="http://schemas.openxmlformats.org/spreadsheetml/2006/main" count="176" uniqueCount="100">
  <si>
    <t xml:space="preserve">DIVERSIFICATION CANDIDATES — TOP PICK PER SECTOR THAT FIXES YOUR AI CONCENTRATION</t>
  </si>
  <si>
    <t xml:space="preserve">Your account is ~95% AI-correlated. These three sit OUTSIDE that cluster. Each has its own scenario-DCF sheet. Prices 7/22-24/2026.</t>
  </si>
  <si>
    <t xml:space="preserve">Sector (your gap)</t>
  </si>
  <si>
    <t xml:space="preserve">Top pick</t>
  </si>
  <si>
    <t xml:space="preserve">Price</t>
  </si>
  <si>
    <t xml:space="preserve">Weighted value</t>
  </si>
  <si>
    <t xml:space="preserve">Weighted upside</t>
  </si>
  <si>
    <t xml:space="preserve">AI correlation</t>
  </si>
  <si>
    <t xml:space="preserve">Why this one</t>
  </si>
  <si>
    <t xml:space="preserve">Healthcare</t>
  </si>
  <si>
    <t xml:space="preserve">LLY</t>
  </si>
  <si>
    <t xml:space="preserve">Very low</t>
  </si>
  <si>
    <t xml:space="preserve">GLP-1 growth juggernaut; aging-demographic tailwind independent of AI capex. Premium price — buy for growth+de-correlation, not cheapness.</t>
  </si>
  <si>
    <t xml:space="preserve">Payments / Financials</t>
  </si>
  <si>
    <t xml:space="preserve">V</t>
  </si>
  <si>
    <t xml:space="preserve">Low</t>
  </si>
  <si>
    <t xml:space="preserve">The duopoly toll-booth you already understand from EDA — ~67% margins, grows with global commerce, different cycle entirely.</t>
  </si>
  <si>
    <t xml:space="preserve">Consumer defensive</t>
  </si>
  <si>
    <t xml:space="preserve">COST</t>
  </si>
  <si>
    <t xml:space="preserve">Membership moat, recession-resilient compounder. Chronically 'expensive' on DCF; the return is durability, not a discount.</t>
  </si>
  <si>
    <t xml:space="preserve">HOW TO USE THIS</t>
  </si>
  <si>
    <t xml:space="preserve">These are DIVERSIFIERS, not cheap-stock bets. Unlike SNPS (+19% because it's fear-discounted), premium compounders like LLY/V/COST usually read 'fairly-to-richly valued' on a DCF — you buy them to de-correlate a 95%-AI book and add a second growth engine, accepting a full-ish price for quality. The weighted-upside numbers will be modest by design.</t>
  </si>
  <si>
    <t xml:space="preserve">Fund them with NEW money, not by selling SNPS/VST. A clean way in: carve one lane out of your weekly $100 (e.g. add $20/wk to a healthcare or payments name), or route a future contribution bump. Start with ONE — probably V (fits your duopoly instinct) or LLY (biggest de-correlation) — not all three at once.</t>
  </si>
  <si>
    <t xml:space="preserve">The single highest-impact diversifier is still a broad index (VTI total-market or VXUS ex-US) — it fixes concentration AND the missing sectors in one ticket, and it's the honest answer to the BND question from before. A single stock diversifies the SECTOR; an index diversifies the SINGLE-STOCK RISK too.</t>
  </si>
  <si>
    <t xml:space="preserve">On your CURRENT holdings (see 'Add_To_Current' tab): the only strong add is SNPS, already covered by your DCA. So new capital is better spent widening the base than deepening the AI bet.</t>
  </si>
  <si>
    <t xml:space="preserve">WHAT TO ADD TO — YOUR 7 CURRENT HOLDINGS, RANKED BY ADD-PRIORITY  (from the full models)</t>
  </si>
  <si>
    <t xml:space="preserve">Priority</t>
  </si>
  <si>
    <t xml:space="preserve">Holding</t>
  </si>
  <si>
    <t xml:space="preserve">Current weight</t>
  </si>
  <si>
    <t xml:space="preserve">Weighted value vs price</t>
  </si>
  <si>
    <t xml:space="preserve">Verdict</t>
  </si>
  <si>
    <t xml:space="preserve">Why</t>
  </si>
  <si>
    <t xml:space="preserve">ADD</t>
  </si>
  <si>
    <t xml:space="preserve">SNPS</t>
  </si>
  <si>
    <t xml:space="preserve">KEEP ADDING</t>
  </si>
  <si>
    <t xml:space="preserve">Best risk/reward you own — EDA duopoly at a fear discount, +19% weighted, near 52-wk low. Your $40/wk DCA already funds this. This is your #1 add, full stop.</t>
  </si>
  <si>
    <t xml:space="preserve">HOLD</t>
  </si>
  <si>
    <t xml:space="preserve">VST</t>
  </si>
  <si>
    <t xml:space="preserve">KEEP DCA, DON'T CHASE</t>
  </si>
  <si>
    <t xml:space="preserve">Re-rated $155→$166, now ~fair vs ~$180 model. Still your diversifier — keep the $40/wk, but it's accumulate-not-pounce.</t>
  </si>
  <si>
    <t xml:space="preserve">META</t>
  </si>
  <si>
    <t xml:space="preserve">SMALL DCA OK</t>
  </si>
  <si>
    <t xml:space="preserve">~Fair value; best AI-bust floor (net cash + ads). Your $20/wk is fine. Not a conviction add at this price.</t>
  </si>
  <si>
    <t xml:space="preserve">WATCH</t>
  </si>
  <si>
    <t xml:space="preserve">NOW</t>
  </si>
  <si>
    <t xml:space="preserve">HOLD, DON'T ADD YET</t>
  </si>
  <si>
    <t xml:space="preserve">Screens +50-73% cheap AND near lows — tempting — but the bear case (agents eating seat-based SaaS) is STRUCTURAL. Solid Q2 says hold; wait 2 quarters of seat/renewal data before adding to a 15% position.</t>
  </si>
  <si>
    <t xml:space="preserve">TRIM</t>
  </si>
  <si>
    <t xml:space="preserve">GOOGL</t>
  </si>
  <si>
    <t xml:space="preserve">DON'T ADD — TRIM CANDIDATE</t>
  </si>
  <si>
    <t xml:space="preserve">Quality, but 26% of the account and part of the 53% block. Adding deepens concentration. Trim toward 25% at the annual check, don't add.</t>
  </si>
  <si>
    <t xml:space="preserve">NVDA</t>
  </si>
  <si>
    <t xml:space="preserve">Highest-variance name at 27%. You're already maximally exposed. This is a trim-if-&gt;30% name, never an add.</t>
  </si>
  <si>
    <t xml:space="preserve">CASH</t>
  </si>
  <si>
    <t xml:space="preserve">SPAXX</t>
  </si>
  <si>
    <t xml:space="preserve">EARMARKED</t>
  </si>
  <si>
    <t xml:space="preserve">Dry powder for the Nov/Dec SpaceX window. Leave it.</t>
  </si>
  <si>
    <t xml:space="preserve">Bottom line on adds: your ONLY strong add among current holdings is SNPS — which your DCA already covers. NOW is a 'watch, not add'. Everything else is hold or trim. That's WHY the real opportunity is new-sector diversification (next sheets), not piling more into a 95%-AI book.</t>
  </si>
  <si>
    <t xml:space="preserve">Eli Lilly (LLY) — SCENARIO DCF  ($mm except per share)</t>
  </si>
  <si>
    <t xml:space="preserve">Rev35 = rev26×(1+avg(g27,g35))^9; FCF = EBITDA×0.79 − capex; interim = avg(FCF26,FCF35)×9-yr annuity; TV = avg(exit-multiple, Gordon), PV@9y; equity = EV + net cash. Same engine as the ranking/stress-test files.</t>
  </si>
  <si>
    <t xml:space="preserve">MARKET &amp; COMPANY INPUTS</t>
  </si>
  <si>
    <t xml:space="preserve">Current share price</t>
  </si>
  <si>
    <t xml:space="preserve">Diluted shares (mm)</t>
  </si>
  <si>
    <t xml:space="preserve">Net cash / (net debt) ($mm)</t>
  </si>
  <si>
    <t xml:space="preserve">FY2026E revenue ($mm)</t>
  </si>
  <si>
    <t xml:space="preserve">Beta</t>
  </si>
  <si>
    <t xml:space="preserve">Risk-free (10Y, 7/17/26)</t>
  </si>
  <si>
    <t xml:space="preserve">Equity risk premium</t>
  </si>
  <si>
    <t xml:space="preserve">Capex % of terminal revenue</t>
  </si>
  <si>
    <t xml:space="preserve">Cash tax rate</t>
  </si>
  <si>
    <t xml:space="preserve">Terminal growth g</t>
  </si>
  <si>
    <t xml:space="preserve">WACC (CAPM)</t>
  </si>
  <si>
    <t xml:space="preserve">SCENARIOS</t>
  </si>
  <si>
    <t xml:space="preserve">Base</t>
  </si>
  <si>
    <t xml:space="preserve">Bull</t>
  </si>
  <si>
    <t xml:space="preserve">Bear</t>
  </si>
  <si>
    <t xml:space="preserve">FY2027 rev growth</t>
  </si>
  <si>
    <t xml:space="preserve">FY2035 rev growth</t>
  </si>
  <si>
    <t xml:space="preserve">Terminal EBITDA margin</t>
  </si>
  <si>
    <t xml:space="preserve">Exit EV/EBITDA</t>
  </si>
  <si>
    <t xml:space="preserve">Probability weight</t>
  </si>
  <si>
    <t xml:space="preserve">VALUATION (per scenario)</t>
  </si>
  <si>
    <t xml:space="preserve">FY2035 revenue</t>
  </si>
  <si>
    <t xml:space="preserve">FY2035 EBITDA</t>
  </si>
  <si>
    <t xml:space="preserve">FY2035 FCF</t>
  </si>
  <si>
    <t xml:space="preserve">FY2026 FCF (approx)</t>
  </si>
  <si>
    <t xml:space="preserve">PV interim FCF</t>
  </si>
  <si>
    <t xml:space="preserve">PV TV — exit mult</t>
  </si>
  <si>
    <t xml:space="preserve">PV TV — Gordon</t>
  </si>
  <si>
    <t xml:space="preserve">Enterprise value</t>
  </si>
  <si>
    <t xml:space="preserve">Equity value</t>
  </si>
  <si>
    <t xml:space="preserve">Value per share</t>
  </si>
  <si>
    <t xml:space="preserve">Upside vs price</t>
  </si>
  <si>
    <t xml:space="preserve">PROB-WEIGHTED VALUE / SHARE</t>
  </si>
  <si>
    <t xml:space="preserve">Weighted upside / (downside)</t>
  </si>
  <si>
    <t xml:space="preserve">HEALTHCARE. Q1-26 rev $19.8B (+56%); FY26 guide RAISED to $82-85B rev / $35.50-37 non-GAAP EPS. GLP-1 (Zepbound/Mounjaro) + oral orforglipron. Price $1,166 = ~32x fwd EPS — priced for continued dominance. Bear = patent cliff ~2030s + Novo/competition + obesity-drug pricing pressure. Net debt ~$25B(e), capex elevated on capacity buildout. Sources: investor.lilly.com Q1-26; companiesmarketcap.</t>
  </si>
  <si>
    <t xml:space="preserve">Visa (V) — SCENARIO DCF  ($mm except per share)</t>
  </si>
  <si>
    <t xml:space="preserve">PAYMENTS. The EDA-style duopoly (V+MA) — toll booth on global commerce, ~67% operating margin. FY25 rev $40B (+11%); FY26E ~$44B; reports FQ3 7/28/26. Bear = interchange/regulation + stablecoin/real-time-rails disruption of card networks. Net debt ~$5B(e). Price $351. Sources: stockanalysis/companiesmarketcap 7/2026.</t>
  </si>
  <si>
    <t xml:space="preserve">Costco (COST) — SCENARIO DCF  ($mm except per share)</t>
  </si>
  <si>
    <t xml:space="preserve">CONSUMER DEFENSIVE. Membership moat, recession-resilient, ~9% comp-sales growth. FY25 rev $275B, TTM $286B; Q2-26 EPS $4.58 (+14%). THIN margins (~5% EBITDA) but durable; ALWAYS trades premium (~22x EV/EBITDA) — the DCF will read 'richly valued', which is the point: you buy COST for compounding + de-correlation, not cheapness. Net cash ~$5B. Price ~$925 (mkt cap $411B). Sources: investor.costco.com Q2-26; gurufocus.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</si>
</sst>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\$#,##0.00"/>
    <numFmt numFmtId="166" formatCode="0.0%;\(0.0%\);\-"/>
    <numFmt numFmtId="167" formatCode="0%"/>
    <numFmt numFmtId="168" formatCode="#,##0;\(#,##0\);\-"/>
    <numFmt numFmtId="169" formatCode="\$#,##0;&quot;($&quot;#,##0\);\-"/>
    <numFmt numFmtId="170" formatCode="0.00"/>
    <numFmt numFmtId="171" formatCode="0.00%;\(0.00%\);\-"/>
    <numFmt numFmtId="172" formatCode="0.0\x"/>
  </numFmts>
  <fonts count="2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0"/>
      <color rgb="FF008000"/>
      <name val="Arial"/>
      <family val="0"/>
      <charset val="1"/>
    </font>
    <font>
      <sz val="10"/>
      <color rgb="FF000000"/>
      <name val="Arial"/>
      <family val="0"/>
      <charset val="1"/>
    </font>
    <font>
      <i val="true"/>
      <sz val="8"/>
      <color rgb="FF808080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2E7D32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9"/>
      <color rgb="FF000000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b val="true"/>
      <sz val="10"/>
      <color rgb="FFBF8F00"/>
      <name val="Arial"/>
      <family val="0"/>
      <charset val="1"/>
    </font>
    <font>
      <b val="true"/>
      <sz val="10"/>
      <color rgb="FFC00000"/>
      <name val="Arial"/>
      <family val="0"/>
      <charset val="1"/>
    </font>
    <font>
      <b val="true"/>
      <sz val="10"/>
      <color rgb="FF808080"/>
      <name val="Arial"/>
      <family val="0"/>
      <charset val="1"/>
    </font>
    <font>
      <i val="true"/>
      <sz val="8"/>
      <color rgb="FF595959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2F2"/>
        <bgColor rgb="FFD9D9D9"/>
      </patternFill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9E2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BF8F00"/>
      <rgbColor rgb="FFFF6600"/>
      <rgbColor rgb="FF595959"/>
      <rgbColor rgb="FF878787"/>
      <rgbColor rgb="FF1F3864"/>
      <rgbColor rgb="FF2E7D32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Weighted upside/(downside) — diversification candidates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"upside"</c:f>
              <c:strCache>
                <c:ptCount val="1"/>
                <c:pt idx="0">
                  <c:v>upside</c:v>
                </c:pt>
              </c:strCache>
            </c:strRef>
          </c:tx>
          <c:spPr>
            <a:solidFill>
              <a:srgbClr val="1f3864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Summary!$B$5:$B$7</c:f>
              <c:strCache>
                <c:ptCount val="3"/>
                <c:pt idx="0">
                  <c:v>LLY</c:v>
                </c:pt>
                <c:pt idx="1">
                  <c:v>V</c:v>
                </c:pt>
                <c:pt idx="2">
                  <c:v>COST</c:v>
                </c:pt>
              </c:strCache>
            </c:strRef>
          </c:cat>
          <c:val>
            <c:numRef>
              <c:f>Summary!$E$5:$E$7</c:f>
              <c:numCache>
                <c:formatCode>0.0%;\(0.0%\);\-</c:formatCode>
                <c:ptCount val="3"/>
                <c:pt idx="0">
                  <c:v>-0.107254473393094</c:v>
                </c:pt>
                <c:pt idx="1">
                  <c:v>-0.0441066748842431</c:v>
                </c:pt>
                <c:pt idx="2">
                  <c:v>-0.536154691746374</c:v>
                </c:pt>
              </c:numCache>
            </c:numRef>
          </c:val>
        </c:ser>
        <c:gapWidth val="50"/>
        <c:overlap val="0"/>
        <c:axId val="60274309"/>
        <c:axId val="58861023"/>
      </c:barChart>
      <c:catAx>
        <c:axId val="6027430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8861023"/>
        <c:crosses val="autoZero"/>
        <c:auto val="1"/>
        <c:lblAlgn val="ctr"/>
        <c:lblOffset val="100"/>
        <c:noMultiLvlLbl val="0"/>
      </c:catAx>
      <c:valAx>
        <c:axId val="5886102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027430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13</xdr:row>
      <xdr:rowOff>160920</xdr:rowOff>
    </xdr:from>
    <xdr:to>
      <xdr:col>4</xdr:col>
      <xdr:colOff>599040</xdr:colOff>
      <xdr:row>28</xdr:row>
      <xdr:rowOff>182880</xdr:rowOff>
    </xdr:to>
    <xdr:graphicFrame>
      <xdr:nvGraphicFramePr>
        <xdr:cNvPr id="0" name="Chart 1"/>
        <xdr:cNvGraphicFramePr/>
      </xdr:nvGraphicFramePr>
      <xdr:xfrm>
        <a:off x="0" y="5143680"/>
        <a:ext cx="539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8"/>
    <col collapsed="false" customWidth="true" hidden="false" outlineLevel="0" max="3" min="3" style="0" width="11"/>
    <col collapsed="false" customWidth="true" hidden="false" outlineLevel="0" max="6" min="4" style="0" width="13"/>
    <col collapsed="false" customWidth="true" hidden="false" outlineLevel="0" max="7" min="7" style="0" width="8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customFormat="false" ht="42" hidden="false" customHeight="true" outlineLevel="0" collapsed="false">
      <c r="A5" s="4" t="s">
        <v>9</v>
      </c>
      <c r="B5" s="4" t="s">
        <v>10</v>
      </c>
      <c r="C5" s="5" t="n">
        <f aca="false">LLY_DCF!B5</f>
        <v>1165.98</v>
      </c>
      <c r="D5" s="5" t="n">
        <f aca="false">LLY_DCF!B38</f>
        <v>1040.92342911312</v>
      </c>
      <c r="E5" s="6" t="n">
        <f aca="false">LLY_DCF!B39</f>
        <v>-0.107254473393094</v>
      </c>
      <c r="F5" s="7" t="s">
        <v>11</v>
      </c>
      <c r="G5" s="8" t="s">
        <v>12</v>
      </c>
    </row>
    <row r="6" customFormat="false" ht="42" hidden="false" customHeight="true" outlineLevel="0" collapsed="false">
      <c r="A6" s="4" t="s">
        <v>13</v>
      </c>
      <c r="B6" s="4" t="s">
        <v>14</v>
      </c>
      <c r="C6" s="5" t="n">
        <f aca="false">V_DCF!B5</f>
        <v>350.94</v>
      </c>
      <c r="D6" s="5" t="n">
        <f aca="false">V_DCF!B38</f>
        <v>335.461203516124</v>
      </c>
      <c r="E6" s="6" t="n">
        <f aca="false">V_DCF!B39</f>
        <v>-0.0441066748842431</v>
      </c>
      <c r="F6" s="7" t="s">
        <v>15</v>
      </c>
      <c r="G6" s="8" t="s">
        <v>16</v>
      </c>
    </row>
    <row r="7" customFormat="false" ht="42" hidden="false" customHeight="true" outlineLevel="0" collapsed="false">
      <c r="A7" s="4" t="s">
        <v>17</v>
      </c>
      <c r="B7" s="4" t="s">
        <v>18</v>
      </c>
      <c r="C7" s="5" t="n">
        <f aca="false">COST_DCF!B5</f>
        <v>925</v>
      </c>
      <c r="D7" s="5" t="n">
        <f aca="false">COST_DCF!B38</f>
        <v>429.056910134604</v>
      </c>
      <c r="E7" s="6" t="n">
        <f aca="false">COST_DCF!B39</f>
        <v>-0.536154691746374</v>
      </c>
      <c r="F7" s="7" t="s">
        <v>11</v>
      </c>
      <c r="G7" s="8" t="s">
        <v>19</v>
      </c>
    </row>
    <row r="9" customFormat="false" ht="15" hidden="false" customHeight="false" outlineLevel="0" collapsed="false">
      <c r="A9" s="9" t="s">
        <v>20</v>
      </c>
    </row>
    <row r="10" customFormat="false" ht="43.5" hidden="false" customHeight="true" outlineLevel="0" collapsed="false">
      <c r="A10" s="10" t="s">
        <v>21</v>
      </c>
    </row>
    <row r="11" customFormat="false" ht="43.5" hidden="false" customHeight="true" outlineLevel="0" collapsed="false">
      <c r="A11" s="10" t="s">
        <v>22</v>
      </c>
    </row>
    <row r="12" customFormat="false" ht="43.5" hidden="false" customHeight="true" outlineLevel="0" collapsed="false">
      <c r="A12" s="10" t="s">
        <v>23</v>
      </c>
    </row>
    <row r="13" customFormat="false" ht="43.5" hidden="false" customHeight="true" outlineLevel="0" collapsed="false">
      <c r="A13" s="10" t="s">
        <v>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9"/>
    <col collapsed="false" customWidth="true" hidden="false" outlineLevel="0" max="3" min="3" style="0" width="12"/>
    <col collapsed="false" customWidth="true" hidden="false" outlineLevel="0" max="4" min="4" style="0" width="16"/>
    <col collapsed="false" customWidth="true" hidden="false" outlineLevel="0" max="5" min="5" style="0" width="24"/>
    <col collapsed="false" customWidth="true" hidden="false" outlineLevel="0" max="6" min="6" style="0" width="86"/>
  </cols>
  <sheetData>
    <row r="1" customFormat="false" ht="17.35" hidden="false" customHeight="false" outlineLevel="0" collapsed="false">
      <c r="A1" s="1" t="s">
        <v>25</v>
      </c>
    </row>
    <row r="4" customFormat="false" ht="15" hidden="false" customHeight="false" outlineLevel="0" collapsed="false">
      <c r="A4" s="3" t="s">
        <v>26</v>
      </c>
      <c r="B4" s="3" t="s">
        <v>27</v>
      </c>
      <c r="C4" s="3" t="s">
        <v>28</v>
      </c>
      <c r="D4" s="3" t="s">
        <v>29</v>
      </c>
      <c r="E4" s="3" t="s">
        <v>30</v>
      </c>
      <c r="F4" s="3" t="s">
        <v>31</v>
      </c>
    </row>
    <row r="5" customFormat="false" ht="42" hidden="false" customHeight="true" outlineLevel="0" collapsed="false">
      <c r="A5" s="11" t="s">
        <v>32</v>
      </c>
      <c r="B5" s="4" t="s">
        <v>33</v>
      </c>
      <c r="C5" s="12" t="n">
        <v>0.11</v>
      </c>
      <c r="D5" s="12" t="n">
        <v>0.19</v>
      </c>
      <c r="E5" s="13" t="s">
        <v>34</v>
      </c>
      <c r="F5" s="8" t="s">
        <v>35</v>
      </c>
    </row>
    <row r="6" customFormat="false" ht="42" hidden="false" customHeight="true" outlineLevel="0" collapsed="false">
      <c r="A6" s="14" t="s">
        <v>36</v>
      </c>
      <c r="B6" s="4" t="s">
        <v>37</v>
      </c>
      <c r="C6" s="12" t="n">
        <v>0.06</v>
      </c>
      <c r="D6" s="12" t="n">
        <v>0.1</v>
      </c>
      <c r="E6" s="13" t="s">
        <v>38</v>
      </c>
      <c r="F6" s="8" t="s">
        <v>39</v>
      </c>
    </row>
    <row r="7" customFormat="false" ht="42" hidden="false" customHeight="true" outlineLevel="0" collapsed="false">
      <c r="A7" s="14" t="s">
        <v>36</v>
      </c>
      <c r="B7" s="4" t="s">
        <v>40</v>
      </c>
      <c r="C7" s="12" t="n">
        <v>0.1</v>
      </c>
      <c r="D7" s="12" t="n">
        <v>0.05</v>
      </c>
      <c r="E7" s="13" t="s">
        <v>41</v>
      </c>
      <c r="F7" s="8" t="s">
        <v>42</v>
      </c>
    </row>
    <row r="8" customFormat="false" ht="42" hidden="false" customHeight="true" outlineLevel="0" collapsed="false">
      <c r="A8" s="15" t="s">
        <v>43</v>
      </c>
      <c r="B8" s="4" t="s">
        <v>44</v>
      </c>
      <c r="C8" s="12" t="n">
        <v>0.15</v>
      </c>
      <c r="D8" s="12" t="n">
        <v>0.5</v>
      </c>
      <c r="E8" s="13" t="s">
        <v>45</v>
      </c>
      <c r="F8" s="8" t="s">
        <v>46</v>
      </c>
    </row>
    <row r="9" customFormat="false" ht="42" hidden="false" customHeight="true" outlineLevel="0" collapsed="false">
      <c r="A9" s="16" t="s">
        <v>47</v>
      </c>
      <c r="B9" s="4" t="s">
        <v>48</v>
      </c>
      <c r="C9" s="12" t="n">
        <v>0.26</v>
      </c>
      <c r="D9" s="12" t="n">
        <v>0.09</v>
      </c>
      <c r="E9" s="13" t="s">
        <v>49</v>
      </c>
      <c r="F9" s="8" t="s">
        <v>50</v>
      </c>
    </row>
    <row r="10" customFormat="false" ht="42" hidden="false" customHeight="true" outlineLevel="0" collapsed="false">
      <c r="A10" s="16" t="s">
        <v>47</v>
      </c>
      <c r="B10" s="4" t="s">
        <v>51</v>
      </c>
      <c r="C10" s="12" t="n">
        <v>0.27</v>
      </c>
      <c r="D10" s="12" t="n">
        <v>0.11</v>
      </c>
      <c r="E10" s="13" t="s">
        <v>49</v>
      </c>
      <c r="F10" s="8" t="s">
        <v>52</v>
      </c>
    </row>
    <row r="11" customFormat="false" ht="42" hidden="false" customHeight="true" outlineLevel="0" collapsed="false">
      <c r="A11" s="17" t="s">
        <v>53</v>
      </c>
      <c r="B11" s="4" t="s">
        <v>54</v>
      </c>
      <c r="C11" s="12" t="n">
        <v>0.05</v>
      </c>
      <c r="E11" s="13" t="s">
        <v>55</v>
      </c>
      <c r="F11" s="8" t="s">
        <v>56</v>
      </c>
    </row>
    <row r="13" customFormat="false" ht="15" hidden="false" customHeight="false" outlineLevel="0" collapsed="false">
      <c r="A13" s="8" t="s">
        <v>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4" min="2" style="0" width="13"/>
  </cols>
  <sheetData>
    <row r="1" customFormat="false" ht="17.35" hidden="false" customHeight="false" outlineLevel="0" collapsed="false">
      <c r="A1" s="1" t="s">
        <v>58</v>
      </c>
    </row>
    <row r="2" customFormat="false" ht="15" hidden="false" customHeight="false" outlineLevel="0" collapsed="false">
      <c r="A2" s="18" t="s">
        <v>59</v>
      </c>
    </row>
    <row r="4" customFormat="false" ht="15" hidden="false" customHeight="false" outlineLevel="0" collapsed="false">
      <c r="A4" s="9" t="s">
        <v>60</v>
      </c>
    </row>
    <row r="5" customFormat="false" ht="15" hidden="false" customHeight="false" outlineLevel="0" collapsed="false">
      <c r="A5" s="7" t="s">
        <v>61</v>
      </c>
      <c r="B5" s="19" t="n">
        <v>1165.98</v>
      </c>
    </row>
    <row r="6" customFormat="false" ht="15" hidden="false" customHeight="false" outlineLevel="0" collapsed="false">
      <c r="A6" s="7" t="s">
        <v>62</v>
      </c>
      <c r="B6" s="20" t="n">
        <v>941.74</v>
      </c>
    </row>
    <row r="7" customFormat="false" ht="15" hidden="false" customHeight="false" outlineLevel="0" collapsed="false">
      <c r="A7" s="7" t="s">
        <v>63</v>
      </c>
      <c r="B7" s="21" t="n">
        <v>-25000</v>
      </c>
    </row>
    <row r="8" customFormat="false" ht="15" hidden="false" customHeight="false" outlineLevel="0" collapsed="false">
      <c r="A8" s="7" t="s">
        <v>64</v>
      </c>
      <c r="B8" s="21" t="n">
        <v>83500</v>
      </c>
    </row>
    <row r="9" customFormat="false" ht="15" hidden="false" customHeight="false" outlineLevel="0" collapsed="false">
      <c r="A9" s="7" t="s">
        <v>65</v>
      </c>
      <c r="B9" s="22" t="n">
        <v>0.5</v>
      </c>
    </row>
    <row r="10" customFormat="false" ht="15" hidden="false" customHeight="false" outlineLevel="0" collapsed="false">
      <c r="A10" s="7" t="s">
        <v>66</v>
      </c>
      <c r="B10" s="23" t="n">
        <v>0.0455</v>
      </c>
    </row>
    <row r="11" customFormat="false" ht="15" hidden="false" customHeight="false" outlineLevel="0" collapsed="false">
      <c r="A11" s="7" t="s">
        <v>67</v>
      </c>
      <c r="B11" s="23" t="n">
        <v>0.0475</v>
      </c>
    </row>
    <row r="12" customFormat="false" ht="15" hidden="false" customHeight="false" outlineLevel="0" collapsed="false">
      <c r="A12" s="7" t="s">
        <v>68</v>
      </c>
      <c r="B12" s="24" t="n">
        <v>0.08</v>
      </c>
    </row>
    <row r="13" customFormat="false" ht="15" hidden="false" customHeight="false" outlineLevel="0" collapsed="false">
      <c r="A13" s="7" t="s">
        <v>69</v>
      </c>
      <c r="B13" s="24" t="n">
        <v>0.21</v>
      </c>
    </row>
    <row r="14" customFormat="false" ht="15" hidden="false" customHeight="false" outlineLevel="0" collapsed="false">
      <c r="A14" s="7" t="s">
        <v>70</v>
      </c>
      <c r="B14" s="24" t="n">
        <v>0.03</v>
      </c>
    </row>
    <row r="15" customFormat="false" ht="15" hidden="false" customHeight="false" outlineLevel="0" collapsed="false">
      <c r="A15" s="4" t="s">
        <v>71</v>
      </c>
      <c r="B15" s="25" t="n">
        <f aca="false">B10+B9*B11</f>
        <v>0.06925</v>
      </c>
    </row>
    <row r="17" customFormat="false" ht="15" hidden="false" customHeight="false" outlineLevel="0" collapsed="false">
      <c r="A17" s="9" t="s">
        <v>72</v>
      </c>
    </row>
    <row r="18" customFormat="false" ht="15" hidden="false" customHeight="false" outlineLevel="0" collapsed="false">
      <c r="A18" s="3"/>
      <c r="B18" s="3" t="s">
        <v>73</v>
      </c>
      <c r="C18" s="3" t="s">
        <v>74</v>
      </c>
      <c r="D18" s="3" t="s">
        <v>75</v>
      </c>
    </row>
    <row r="19" customFormat="false" ht="15" hidden="false" customHeight="false" outlineLevel="0" collapsed="false">
      <c r="A19" s="7" t="s">
        <v>76</v>
      </c>
      <c r="B19" s="24" t="n">
        <v>0.16</v>
      </c>
      <c r="C19" s="24" t="n">
        <v>0.22</v>
      </c>
      <c r="D19" s="24" t="n">
        <v>0.08</v>
      </c>
    </row>
    <row r="20" customFormat="false" ht="15" hidden="false" customHeight="false" outlineLevel="0" collapsed="false">
      <c r="A20" s="7" t="s">
        <v>77</v>
      </c>
      <c r="B20" s="24" t="n">
        <v>0.05</v>
      </c>
      <c r="C20" s="24" t="n">
        <v>0.08</v>
      </c>
      <c r="D20" s="24" t="n">
        <v>0</v>
      </c>
    </row>
    <row r="21" customFormat="false" ht="15" hidden="false" customHeight="false" outlineLevel="0" collapsed="false">
      <c r="A21" s="7" t="s">
        <v>78</v>
      </c>
      <c r="B21" s="24" t="n">
        <v>0.42</v>
      </c>
      <c r="C21" s="24" t="n">
        <v>0.45</v>
      </c>
      <c r="D21" s="24" t="n">
        <v>0.35</v>
      </c>
    </row>
    <row r="22" customFormat="false" ht="15" hidden="false" customHeight="false" outlineLevel="0" collapsed="false">
      <c r="A22" s="7" t="s">
        <v>79</v>
      </c>
      <c r="B22" s="26" t="n">
        <v>16</v>
      </c>
      <c r="C22" s="26" t="n">
        <v>19</v>
      </c>
      <c r="D22" s="26" t="n">
        <v>12</v>
      </c>
    </row>
    <row r="23" customFormat="false" ht="15" hidden="false" customHeight="false" outlineLevel="0" collapsed="false">
      <c r="A23" s="7" t="s">
        <v>80</v>
      </c>
      <c r="B23" s="24" t="n">
        <v>0.45</v>
      </c>
      <c r="C23" s="24" t="n">
        <v>0.3</v>
      </c>
      <c r="D23" s="24" t="n">
        <v>0.25</v>
      </c>
    </row>
    <row r="25" customFormat="false" ht="15" hidden="false" customHeight="false" outlineLevel="0" collapsed="false">
      <c r="A25" s="9" t="s">
        <v>81</v>
      </c>
    </row>
    <row r="26" customFormat="false" ht="15" hidden="false" customHeight="false" outlineLevel="0" collapsed="false">
      <c r="A26" s="7" t="s">
        <v>82</v>
      </c>
      <c r="B26" s="27" t="n">
        <f aca="false">$B$8*(1+(B19+B20)/2)^9</f>
        <v>205091.17709664</v>
      </c>
      <c r="C26" s="27" t="n">
        <f aca="false">$B$8*(1+(C19+C20)/2)^9</f>
        <v>293742.670375313</v>
      </c>
      <c r="D26" s="27" t="n">
        <f aca="false">$B$8*(1+(D19+D20)/2)^9</f>
        <v>118846.536337194</v>
      </c>
    </row>
    <row r="27" customFormat="false" ht="15" hidden="false" customHeight="false" outlineLevel="0" collapsed="false">
      <c r="A27" s="7" t="s">
        <v>83</v>
      </c>
      <c r="B27" s="27" t="n">
        <f aca="false">B26*B21</f>
        <v>86138.2943805886</v>
      </c>
      <c r="C27" s="27" t="n">
        <f aca="false">C26*C21</f>
        <v>132184.201668891</v>
      </c>
      <c r="D27" s="27" t="n">
        <f aca="false">D26*D21</f>
        <v>41596.2877180179</v>
      </c>
    </row>
    <row r="28" customFormat="false" ht="15" hidden="false" customHeight="false" outlineLevel="0" collapsed="false">
      <c r="A28" s="7" t="s">
        <v>84</v>
      </c>
      <c r="B28" s="27" t="n">
        <f aca="false">B27*(1-$B$13)-B26*$B$12</f>
        <v>51641.9583929339</v>
      </c>
      <c r="C28" s="27" t="n">
        <f aca="false">C27*(1-$B$13)-C26*$B$12</f>
        <v>80926.1056883988</v>
      </c>
      <c r="D28" s="27" t="n">
        <f aca="false">D27*(1-$B$13)-D26*$B$12</f>
        <v>23353.3443902586</v>
      </c>
    </row>
    <row r="29" customFormat="false" ht="15" hidden="false" customHeight="false" outlineLevel="0" collapsed="false">
      <c r="A29" s="7" t="s">
        <v>85</v>
      </c>
      <c r="B29" s="27" t="n">
        <f aca="false">$B$8*B21*0.67*(1-$B$13)-$B$8*$B$12</f>
        <v>11882.551</v>
      </c>
      <c r="C29" s="27" t="n">
        <f aca="false">$B$8*C21*0.67*(1-$B$13)-$B$8*$B$12</f>
        <v>13208.4475</v>
      </c>
      <c r="D29" s="27" t="n">
        <f aca="false">$B$8*D21*0.67*(1-$B$13)-$B$8*$B$12</f>
        <v>8788.7925</v>
      </c>
    </row>
    <row r="30" customFormat="false" ht="15" hidden="false" customHeight="false" outlineLevel="0" collapsed="false">
      <c r="A30" s="7" t="s">
        <v>86</v>
      </c>
      <c r="B30" s="27" t="n">
        <f aca="false">AVERAGE(B28:B29)*(1-(1+$B$15)^-9)/$B$15</f>
        <v>207600.317960163</v>
      </c>
      <c r="C30" s="27" t="n">
        <f aca="false">AVERAGE(C28:C29)*(1-(1+$B$15)^-9)/$B$15</f>
        <v>307635.011426366</v>
      </c>
      <c r="D30" s="27" t="n">
        <f aca="false">AVERAGE(D28:D29)*(1-(1+$B$15)^-9)/$B$15</f>
        <v>105041.627272749</v>
      </c>
    </row>
    <row r="31" customFormat="false" ht="15" hidden="false" customHeight="false" outlineLevel="0" collapsed="false">
      <c r="A31" s="7" t="s">
        <v>87</v>
      </c>
      <c r="B31" s="27" t="n">
        <f aca="false">B22*B27/(1+$B$15)^9</f>
        <v>754402.155079556</v>
      </c>
      <c r="C31" s="27" t="n">
        <f aca="false">C22*C27/(1+$B$15)^9</f>
        <v>1374737.63784999</v>
      </c>
      <c r="D31" s="27" t="n">
        <f aca="false">D22*D27/(1+$B$15)^9</f>
        <v>273226.292586543</v>
      </c>
    </row>
    <row r="32" customFormat="false" ht="15" hidden="false" customHeight="false" outlineLevel="0" collapsed="false">
      <c r="A32" s="7" t="s">
        <v>88</v>
      </c>
      <c r="B32" s="27" t="n">
        <f aca="false">B28*(1+$B$14)/($B$15-$B$14)/(1+$B$15)^9</f>
        <v>741800.183987349</v>
      </c>
      <c r="C32" s="27" t="n">
        <f aca="false">C28*(1+$B$14)/($B$15-$B$14)/(1+$B$15)^9</f>
        <v>1162446.234751</v>
      </c>
      <c r="D32" s="27" t="n">
        <f aca="false">D28*(1+$B$14)/($B$15-$B$14)/(1+$B$15)^9</f>
        <v>335454.264410393</v>
      </c>
    </row>
    <row r="33" customFormat="false" ht="15" hidden="false" customHeight="false" outlineLevel="0" collapsed="false">
      <c r="A33" s="7" t="s">
        <v>89</v>
      </c>
      <c r="B33" s="27" t="n">
        <f aca="false">B30+AVERAGE(B31:B32)</f>
        <v>955701.487493615</v>
      </c>
      <c r="C33" s="27" t="n">
        <f aca="false">C30+AVERAGE(C31:C32)</f>
        <v>1576226.94772686</v>
      </c>
      <c r="D33" s="27" t="n">
        <f aca="false">D30+AVERAGE(D31:D32)</f>
        <v>409381.905771217</v>
      </c>
    </row>
    <row r="34" customFormat="false" ht="15" hidden="false" customHeight="false" outlineLevel="0" collapsed="false">
      <c r="A34" s="7" t="s">
        <v>90</v>
      </c>
      <c r="B34" s="27" t="n">
        <f aca="false">B33+$B$7</f>
        <v>930701.487493615</v>
      </c>
      <c r="C34" s="27" t="n">
        <f aca="false">C33+$B$7</f>
        <v>1551226.94772686</v>
      </c>
      <c r="D34" s="27" t="n">
        <f aca="false">D33+$B$7</f>
        <v>384381.905771217</v>
      </c>
    </row>
    <row r="35" customFormat="false" ht="15" hidden="false" customHeight="false" outlineLevel="0" collapsed="false">
      <c r="A35" s="4" t="s">
        <v>91</v>
      </c>
      <c r="B35" s="28" t="n">
        <f aca="false">MAX(0,B34)/$B$6</f>
        <v>988.278598651024</v>
      </c>
      <c r="C35" s="28" t="n">
        <f aca="false">MAX(0,C34)/$B$6</f>
        <v>1647.19237552494</v>
      </c>
      <c r="D35" s="28" t="n">
        <f aca="false">MAX(0,D34)/$B$6</f>
        <v>408.161388250703</v>
      </c>
    </row>
    <row r="36" customFormat="false" ht="15" hidden="false" customHeight="false" outlineLevel="0" collapsed="false">
      <c r="A36" s="4" t="s">
        <v>92</v>
      </c>
      <c r="B36" s="29" t="n">
        <f aca="false">B35/$B$5-1</f>
        <v>-0.152405188209897</v>
      </c>
      <c r="C36" s="29" t="n">
        <f aca="false">C35/$B$5-1</f>
        <v>0.412710660152785</v>
      </c>
      <c r="D36" s="29" t="n">
        <f aca="false">D35/$B$5-1</f>
        <v>-0.649941346977905</v>
      </c>
    </row>
    <row r="38" customFormat="false" ht="15" hidden="false" customHeight="false" outlineLevel="0" collapsed="false">
      <c r="A38" s="4" t="s">
        <v>93</v>
      </c>
      <c r="B38" s="30" t="n">
        <f aca="false">SUMPRODUCT(B23:D23,B35:D35)</f>
        <v>1040.92342911312</v>
      </c>
    </row>
    <row r="39" customFormat="false" ht="15" hidden="false" customHeight="false" outlineLevel="0" collapsed="false">
      <c r="A39" s="4" t="s">
        <v>94</v>
      </c>
      <c r="B39" s="29" t="n">
        <f aca="false">B38/B5-1</f>
        <v>-0.107254473393094</v>
      </c>
    </row>
    <row r="41" customFormat="false" ht="15" hidden="false" customHeight="false" outlineLevel="0" collapsed="false">
      <c r="A41" s="8" t="s">
        <v>95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4" min="2" style="0" width="13"/>
  </cols>
  <sheetData>
    <row r="1" customFormat="false" ht="17.35" hidden="false" customHeight="false" outlineLevel="0" collapsed="false">
      <c r="A1" s="1" t="s">
        <v>96</v>
      </c>
    </row>
    <row r="2" customFormat="false" ht="15" hidden="false" customHeight="false" outlineLevel="0" collapsed="false">
      <c r="A2" s="18" t="s">
        <v>59</v>
      </c>
    </row>
    <row r="4" customFormat="false" ht="15" hidden="false" customHeight="false" outlineLevel="0" collapsed="false">
      <c r="A4" s="9" t="s">
        <v>60</v>
      </c>
    </row>
    <row r="5" customFormat="false" ht="15" hidden="false" customHeight="false" outlineLevel="0" collapsed="false">
      <c r="A5" s="7" t="s">
        <v>61</v>
      </c>
      <c r="B5" s="19" t="n">
        <v>350.94</v>
      </c>
    </row>
    <row r="6" customFormat="false" ht="15" hidden="false" customHeight="false" outlineLevel="0" collapsed="false">
      <c r="A6" s="7" t="s">
        <v>62</v>
      </c>
      <c r="B6" s="20" t="n">
        <v>1880</v>
      </c>
    </row>
    <row r="7" customFormat="false" ht="15" hidden="false" customHeight="false" outlineLevel="0" collapsed="false">
      <c r="A7" s="7" t="s">
        <v>63</v>
      </c>
      <c r="B7" s="21" t="n">
        <v>-5000</v>
      </c>
    </row>
    <row r="8" customFormat="false" ht="15" hidden="false" customHeight="false" outlineLevel="0" collapsed="false">
      <c r="A8" s="7" t="s">
        <v>64</v>
      </c>
      <c r="B8" s="21" t="n">
        <v>44000</v>
      </c>
    </row>
    <row r="9" customFormat="false" ht="15" hidden="false" customHeight="false" outlineLevel="0" collapsed="false">
      <c r="A9" s="7" t="s">
        <v>65</v>
      </c>
      <c r="B9" s="22" t="n">
        <v>0.95</v>
      </c>
    </row>
    <row r="10" customFormat="false" ht="15" hidden="false" customHeight="false" outlineLevel="0" collapsed="false">
      <c r="A10" s="7" t="s">
        <v>66</v>
      </c>
      <c r="B10" s="23" t="n">
        <v>0.0455</v>
      </c>
    </row>
    <row r="11" customFormat="false" ht="15" hidden="false" customHeight="false" outlineLevel="0" collapsed="false">
      <c r="A11" s="7" t="s">
        <v>67</v>
      </c>
      <c r="B11" s="23" t="n">
        <v>0.0475</v>
      </c>
    </row>
    <row r="12" customFormat="false" ht="15" hidden="false" customHeight="false" outlineLevel="0" collapsed="false">
      <c r="A12" s="7" t="s">
        <v>68</v>
      </c>
      <c r="B12" s="24" t="n">
        <v>0.04</v>
      </c>
    </row>
    <row r="13" customFormat="false" ht="15" hidden="false" customHeight="false" outlineLevel="0" collapsed="false">
      <c r="A13" s="7" t="s">
        <v>69</v>
      </c>
      <c r="B13" s="24" t="n">
        <v>0.21</v>
      </c>
    </row>
    <row r="14" customFormat="false" ht="15" hidden="false" customHeight="false" outlineLevel="0" collapsed="false">
      <c r="A14" s="7" t="s">
        <v>70</v>
      </c>
      <c r="B14" s="24" t="n">
        <v>0.03</v>
      </c>
    </row>
    <row r="15" customFormat="false" ht="15" hidden="false" customHeight="false" outlineLevel="0" collapsed="false">
      <c r="A15" s="4" t="s">
        <v>71</v>
      </c>
      <c r="B15" s="25" t="n">
        <f aca="false">B10+B9*B11</f>
        <v>0.090625</v>
      </c>
    </row>
    <row r="17" customFormat="false" ht="15" hidden="false" customHeight="false" outlineLevel="0" collapsed="false">
      <c r="A17" s="9" t="s">
        <v>72</v>
      </c>
    </row>
    <row r="18" customFormat="false" ht="15" hidden="false" customHeight="false" outlineLevel="0" collapsed="false">
      <c r="A18" s="3"/>
      <c r="B18" s="3" t="s">
        <v>73</v>
      </c>
      <c r="C18" s="3" t="s">
        <v>74</v>
      </c>
      <c r="D18" s="3" t="s">
        <v>75</v>
      </c>
    </row>
    <row r="19" customFormat="false" ht="15" hidden="false" customHeight="false" outlineLevel="0" collapsed="false">
      <c r="A19" s="7" t="s">
        <v>76</v>
      </c>
      <c r="B19" s="24" t="n">
        <v>0.1</v>
      </c>
      <c r="C19" s="24" t="n">
        <v>0.13</v>
      </c>
      <c r="D19" s="24" t="n">
        <v>0.06</v>
      </c>
    </row>
    <row r="20" customFormat="false" ht="15" hidden="false" customHeight="false" outlineLevel="0" collapsed="false">
      <c r="A20" s="7" t="s">
        <v>77</v>
      </c>
      <c r="B20" s="24" t="n">
        <v>0.07</v>
      </c>
      <c r="C20" s="24" t="n">
        <v>0.09</v>
      </c>
      <c r="D20" s="24" t="n">
        <v>0.03</v>
      </c>
    </row>
    <row r="21" customFormat="false" ht="15" hidden="false" customHeight="false" outlineLevel="0" collapsed="false">
      <c r="A21" s="7" t="s">
        <v>78</v>
      </c>
      <c r="B21" s="24" t="n">
        <v>0.7</v>
      </c>
      <c r="C21" s="24" t="n">
        <v>0.72</v>
      </c>
      <c r="D21" s="24" t="n">
        <v>0.66</v>
      </c>
    </row>
    <row r="22" customFormat="false" ht="15" hidden="false" customHeight="false" outlineLevel="0" collapsed="false">
      <c r="A22" s="7" t="s">
        <v>79</v>
      </c>
      <c r="B22" s="26" t="n">
        <v>18</v>
      </c>
      <c r="C22" s="26" t="n">
        <v>21</v>
      </c>
      <c r="D22" s="26" t="n">
        <v>13</v>
      </c>
    </row>
    <row r="23" customFormat="false" ht="15" hidden="false" customHeight="false" outlineLevel="0" collapsed="false">
      <c r="A23" s="7" t="s">
        <v>80</v>
      </c>
      <c r="B23" s="24" t="n">
        <v>0.55</v>
      </c>
      <c r="C23" s="24" t="n">
        <v>0.25</v>
      </c>
      <c r="D23" s="24" t="n">
        <v>0.2</v>
      </c>
    </row>
    <row r="25" customFormat="false" ht="15" hidden="false" customHeight="false" outlineLevel="0" collapsed="false">
      <c r="A25" s="9" t="s">
        <v>81</v>
      </c>
    </row>
    <row r="26" customFormat="false" ht="15" hidden="false" customHeight="false" outlineLevel="0" collapsed="false">
      <c r="A26" s="7" t="s">
        <v>82</v>
      </c>
      <c r="B26" s="27" t="n">
        <f aca="false">$B$8*(1+(B19+B20)/2)^9</f>
        <v>91689.6511007991</v>
      </c>
      <c r="C26" s="27" t="n">
        <f aca="false">$B$8*(1+(C19+C20)/2)^9</f>
        <v>112553.624673006</v>
      </c>
      <c r="D26" s="27" t="n">
        <f aca="false">$B$8*(1+(D19+D20)/2)^9</f>
        <v>65388.1861782272</v>
      </c>
    </row>
    <row r="27" customFormat="false" ht="15" hidden="false" customHeight="false" outlineLevel="0" collapsed="false">
      <c r="A27" s="7" t="s">
        <v>83</v>
      </c>
      <c r="B27" s="27" t="n">
        <f aca="false">B26*B21</f>
        <v>64182.7557705594</v>
      </c>
      <c r="C27" s="27" t="n">
        <f aca="false">C26*C21</f>
        <v>81038.6097645644</v>
      </c>
      <c r="D27" s="27" t="n">
        <f aca="false">D26*D21</f>
        <v>43156.20287763</v>
      </c>
    </row>
    <row r="28" customFormat="false" ht="15" hidden="false" customHeight="false" outlineLevel="0" collapsed="false">
      <c r="A28" s="7" t="s">
        <v>84</v>
      </c>
      <c r="B28" s="27" t="n">
        <f aca="false">B27*(1-$B$13)-B26*$B$12</f>
        <v>47036.79101471</v>
      </c>
      <c r="C28" s="27" t="n">
        <f aca="false">C27*(1-$B$13)-C26*$B$12</f>
        <v>59518.3567270856</v>
      </c>
      <c r="D28" s="27" t="n">
        <f aca="false">D27*(1-$B$13)-D26*$B$12</f>
        <v>31477.8728261986</v>
      </c>
    </row>
    <row r="29" customFormat="false" ht="15" hidden="false" customHeight="false" outlineLevel="0" collapsed="false">
      <c r="A29" s="7" t="s">
        <v>85</v>
      </c>
      <c r="B29" s="27" t="n">
        <f aca="false">$B$8*B21*0.67*(1-$B$13)-$B$8*$B$12</f>
        <v>14542.44</v>
      </c>
      <c r="C29" s="27" t="n">
        <f aca="false">$B$8*C21*0.67*(1-$B$13)-$B$8*$B$12</f>
        <v>15008.224</v>
      </c>
      <c r="D29" s="27" t="n">
        <f aca="false">$B$8*D21*0.67*(1-$B$13)-$B$8*$B$12</f>
        <v>13610.872</v>
      </c>
    </row>
    <row r="30" customFormat="false" ht="15" hidden="false" customHeight="false" outlineLevel="0" collapsed="false">
      <c r="A30" s="7" t="s">
        <v>86</v>
      </c>
      <c r="B30" s="27" t="n">
        <f aca="false">AVERAGE(B28:B29)*(1-(1+$B$15)^-9)/$B$15</f>
        <v>184123.25410757</v>
      </c>
      <c r="C30" s="27" t="n">
        <f aca="false">AVERAGE(C28:C29)*(1-(1+$B$15)^-9)/$B$15</f>
        <v>222836.114301323</v>
      </c>
      <c r="D30" s="27" t="n">
        <f aca="false">AVERAGE(D28:D29)*(1-(1+$B$15)^-9)/$B$15</f>
        <v>134816.337979966</v>
      </c>
    </row>
    <row r="31" customFormat="false" ht="15" hidden="false" customHeight="false" outlineLevel="0" collapsed="false">
      <c r="A31" s="7" t="s">
        <v>87</v>
      </c>
      <c r="B31" s="27" t="n">
        <f aca="false">B22*B27/(1+$B$15)^9</f>
        <v>529190.242112319</v>
      </c>
      <c r="C31" s="27" t="n">
        <f aca="false">C22*C27/(1+$B$15)^9</f>
        <v>779528.932780176</v>
      </c>
      <c r="D31" s="27" t="n">
        <f aca="false">D22*D27/(1+$B$15)^9</f>
        <v>256984.86150005</v>
      </c>
    </row>
    <row r="32" customFormat="false" ht="15" hidden="false" customHeight="false" outlineLevel="0" collapsed="false">
      <c r="A32" s="7" t="s">
        <v>88</v>
      </c>
      <c r="B32" s="27" t="n">
        <f aca="false">B28*(1+$B$14)/($B$15-$B$14)/(1+$B$15)^9</f>
        <v>366053.126532127</v>
      </c>
      <c r="C32" s="27" t="n">
        <f aca="false">C28*(1+$B$14)/($B$15-$B$14)/(1+$B$15)^9</f>
        <v>463188.072485443</v>
      </c>
      <c r="D32" s="27" t="n">
        <f aca="false">D28*(1+$B$14)/($B$15-$B$14)/(1+$B$15)^9</f>
        <v>244969.384943951</v>
      </c>
    </row>
    <row r="33" customFormat="false" ht="15" hidden="false" customHeight="false" outlineLevel="0" collapsed="false">
      <c r="A33" s="7" t="s">
        <v>89</v>
      </c>
      <c r="B33" s="27" t="n">
        <f aca="false">B30+AVERAGE(B31:B32)</f>
        <v>631744.938429793</v>
      </c>
      <c r="C33" s="27" t="n">
        <f aca="false">C30+AVERAGE(C31:C32)</f>
        <v>844194.616934133</v>
      </c>
      <c r="D33" s="27" t="n">
        <f aca="false">D30+AVERAGE(D31:D32)</f>
        <v>385793.461201967</v>
      </c>
    </row>
    <row r="34" customFormat="false" ht="15" hidden="false" customHeight="false" outlineLevel="0" collapsed="false">
      <c r="A34" s="7" t="s">
        <v>90</v>
      </c>
      <c r="B34" s="27" t="n">
        <f aca="false">B33+$B$7</f>
        <v>626744.938429793</v>
      </c>
      <c r="C34" s="27" t="n">
        <f aca="false">C33+$B$7</f>
        <v>839194.616934133</v>
      </c>
      <c r="D34" s="27" t="n">
        <f aca="false">D33+$B$7</f>
        <v>380793.461201967</v>
      </c>
    </row>
    <row r="35" customFormat="false" ht="15" hidden="false" customHeight="false" outlineLevel="0" collapsed="false">
      <c r="A35" s="4" t="s">
        <v>91</v>
      </c>
      <c r="B35" s="28" t="n">
        <f aca="false">MAX(0,B34)/$B$6</f>
        <v>333.37496724989</v>
      </c>
      <c r="C35" s="28" t="n">
        <f aca="false">MAX(0,C34)/$B$6</f>
        <v>446.380115390496</v>
      </c>
      <c r="D35" s="28" t="n">
        <f aca="false">MAX(0,D34)/$B$6</f>
        <v>202.549713405301</v>
      </c>
    </row>
    <row r="36" customFormat="false" ht="15" hidden="false" customHeight="false" outlineLevel="0" collapsed="false">
      <c r="A36" s="4" t="s">
        <v>92</v>
      </c>
      <c r="B36" s="29" t="n">
        <f aca="false">B35/$B$5-1</f>
        <v>-0.0500513841400532</v>
      </c>
      <c r="C36" s="29" t="n">
        <f aca="false">C35/$B$5-1</f>
        <v>0.271955648801779</v>
      </c>
      <c r="D36" s="29" t="n">
        <f aca="false">D35/$B$5-1</f>
        <v>-0.422836629038293</v>
      </c>
    </row>
    <row r="38" customFormat="false" ht="15" hidden="false" customHeight="false" outlineLevel="0" collapsed="false">
      <c r="A38" s="4" t="s">
        <v>93</v>
      </c>
      <c r="B38" s="30" t="n">
        <f aca="false">SUMPRODUCT(B23:D23,B35:D35)</f>
        <v>335.461203516124</v>
      </c>
    </row>
    <row r="39" customFormat="false" ht="15" hidden="false" customHeight="false" outlineLevel="0" collapsed="false">
      <c r="A39" s="4" t="s">
        <v>94</v>
      </c>
      <c r="B39" s="29" t="n">
        <f aca="false">B38/B5-1</f>
        <v>-0.0441066748842431</v>
      </c>
    </row>
    <row r="41" customFormat="false" ht="15" hidden="false" customHeight="false" outlineLevel="0" collapsed="false">
      <c r="A41" s="8" t="s">
        <v>97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4" min="2" style="0" width="13"/>
  </cols>
  <sheetData>
    <row r="1" customFormat="false" ht="17.35" hidden="false" customHeight="false" outlineLevel="0" collapsed="false">
      <c r="A1" s="1" t="s">
        <v>98</v>
      </c>
    </row>
    <row r="2" customFormat="false" ht="15" hidden="false" customHeight="false" outlineLevel="0" collapsed="false">
      <c r="A2" s="18" t="s">
        <v>59</v>
      </c>
    </row>
    <row r="4" customFormat="false" ht="15" hidden="false" customHeight="false" outlineLevel="0" collapsed="false">
      <c r="A4" s="9" t="s">
        <v>60</v>
      </c>
    </row>
    <row r="5" customFormat="false" ht="15" hidden="false" customHeight="false" outlineLevel="0" collapsed="false">
      <c r="A5" s="7" t="s">
        <v>61</v>
      </c>
      <c r="B5" s="19" t="n">
        <v>925</v>
      </c>
    </row>
    <row r="6" customFormat="false" ht="15" hidden="false" customHeight="false" outlineLevel="0" collapsed="false">
      <c r="A6" s="7" t="s">
        <v>62</v>
      </c>
      <c r="B6" s="20" t="n">
        <v>443</v>
      </c>
    </row>
    <row r="7" customFormat="false" ht="15" hidden="false" customHeight="false" outlineLevel="0" collapsed="false">
      <c r="A7" s="7" t="s">
        <v>63</v>
      </c>
      <c r="B7" s="21" t="n">
        <v>5000</v>
      </c>
    </row>
    <row r="8" customFormat="false" ht="15" hidden="false" customHeight="false" outlineLevel="0" collapsed="false">
      <c r="A8" s="7" t="s">
        <v>64</v>
      </c>
      <c r="B8" s="21" t="n">
        <v>295000</v>
      </c>
    </row>
    <row r="9" customFormat="false" ht="15" hidden="false" customHeight="false" outlineLevel="0" collapsed="false">
      <c r="A9" s="7" t="s">
        <v>65</v>
      </c>
      <c r="B9" s="22" t="n">
        <v>0.8</v>
      </c>
    </row>
    <row r="10" customFormat="false" ht="15" hidden="false" customHeight="false" outlineLevel="0" collapsed="false">
      <c r="A10" s="7" t="s">
        <v>66</v>
      </c>
      <c r="B10" s="23" t="n">
        <v>0.0455</v>
      </c>
    </row>
    <row r="11" customFormat="false" ht="15" hidden="false" customHeight="false" outlineLevel="0" collapsed="false">
      <c r="A11" s="7" t="s">
        <v>67</v>
      </c>
      <c r="B11" s="23" t="n">
        <v>0.0475</v>
      </c>
    </row>
    <row r="12" customFormat="false" ht="15" hidden="false" customHeight="false" outlineLevel="0" collapsed="false">
      <c r="A12" s="7" t="s">
        <v>68</v>
      </c>
      <c r="B12" s="24" t="n">
        <v>0.025</v>
      </c>
    </row>
    <row r="13" customFormat="false" ht="15" hidden="false" customHeight="false" outlineLevel="0" collapsed="false">
      <c r="A13" s="7" t="s">
        <v>69</v>
      </c>
      <c r="B13" s="24" t="n">
        <v>0.21</v>
      </c>
    </row>
    <row r="14" customFormat="false" ht="15" hidden="false" customHeight="false" outlineLevel="0" collapsed="false">
      <c r="A14" s="7" t="s">
        <v>70</v>
      </c>
      <c r="B14" s="24" t="n">
        <v>0.03</v>
      </c>
    </row>
    <row r="15" customFormat="false" ht="15" hidden="false" customHeight="false" outlineLevel="0" collapsed="false">
      <c r="A15" s="4" t="s">
        <v>71</v>
      </c>
      <c r="B15" s="25" t="n">
        <f aca="false">B10+B9*B11</f>
        <v>0.0835</v>
      </c>
    </row>
    <row r="17" customFormat="false" ht="15" hidden="false" customHeight="false" outlineLevel="0" collapsed="false">
      <c r="A17" s="9" t="s">
        <v>72</v>
      </c>
    </row>
    <row r="18" customFormat="false" ht="15" hidden="false" customHeight="false" outlineLevel="0" collapsed="false">
      <c r="A18" s="3"/>
      <c r="B18" s="3" t="s">
        <v>73</v>
      </c>
      <c r="C18" s="3" t="s">
        <v>74</v>
      </c>
      <c r="D18" s="3" t="s">
        <v>75</v>
      </c>
    </row>
    <row r="19" customFormat="false" ht="15" hidden="false" customHeight="false" outlineLevel="0" collapsed="false">
      <c r="A19" s="7" t="s">
        <v>76</v>
      </c>
      <c r="B19" s="24" t="n">
        <v>0.08</v>
      </c>
      <c r="C19" s="24" t="n">
        <v>0.1</v>
      </c>
      <c r="D19" s="24" t="n">
        <v>0.05</v>
      </c>
    </row>
    <row r="20" customFormat="false" ht="15" hidden="false" customHeight="false" outlineLevel="0" collapsed="false">
      <c r="A20" s="7" t="s">
        <v>77</v>
      </c>
      <c r="B20" s="24" t="n">
        <v>0.04</v>
      </c>
      <c r="C20" s="24" t="n">
        <v>0.05</v>
      </c>
      <c r="D20" s="24" t="n">
        <v>0.02</v>
      </c>
    </row>
    <row r="21" customFormat="false" ht="15" hidden="false" customHeight="false" outlineLevel="0" collapsed="false">
      <c r="A21" s="7" t="s">
        <v>78</v>
      </c>
      <c r="B21" s="24" t="n">
        <v>0.05</v>
      </c>
      <c r="C21" s="24" t="n">
        <v>0.055</v>
      </c>
      <c r="D21" s="24" t="n">
        <v>0.045</v>
      </c>
    </row>
    <row r="22" customFormat="false" ht="15" hidden="false" customHeight="false" outlineLevel="0" collapsed="false">
      <c r="A22" s="7" t="s">
        <v>79</v>
      </c>
      <c r="B22" s="26" t="n">
        <v>22</v>
      </c>
      <c r="C22" s="26" t="n">
        <v>25</v>
      </c>
      <c r="D22" s="26" t="n">
        <v>16</v>
      </c>
    </row>
    <row r="23" customFormat="false" ht="15" hidden="false" customHeight="false" outlineLevel="0" collapsed="false">
      <c r="A23" s="7" t="s">
        <v>80</v>
      </c>
      <c r="B23" s="24" t="n">
        <v>0.55</v>
      </c>
      <c r="C23" s="24" t="n">
        <v>0.2</v>
      </c>
      <c r="D23" s="24" t="n">
        <v>0.25</v>
      </c>
    </row>
    <row r="25" customFormat="false" ht="15" hidden="false" customHeight="false" outlineLevel="0" collapsed="false">
      <c r="A25" s="9" t="s">
        <v>81</v>
      </c>
    </row>
    <row r="26" customFormat="false" ht="15" hidden="false" customHeight="false" outlineLevel="0" collapsed="false">
      <c r="A26" s="7" t="s">
        <v>82</v>
      </c>
      <c r="B26" s="27" t="n">
        <f aca="false">$B$8*(1+(B19+B20)/2)^9</f>
        <v>498396.292905794</v>
      </c>
      <c r="C26" s="27" t="n">
        <f aca="false">$B$8*(1+(C19+C20)/2)^9</f>
        <v>565585.405431246</v>
      </c>
      <c r="D26" s="27" t="n">
        <f aca="false">$B$8*(1+(D19+D20)/2)^9</f>
        <v>402054.719210851</v>
      </c>
    </row>
    <row r="27" customFormat="false" ht="15" hidden="false" customHeight="false" outlineLevel="0" collapsed="false">
      <c r="A27" s="7" t="s">
        <v>83</v>
      </c>
      <c r="B27" s="27" t="n">
        <f aca="false">B26*B21</f>
        <v>24919.8146452897</v>
      </c>
      <c r="C27" s="27" t="n">
        <f aca="false">C26*C21</f>
        <v>31107.1972987185</v>
      </c>
      <c r="D27" s="27" t="n">
        <f aca="false">D26*D21</f>
        <v>18092.4623644883</v>
      </c>
    </row>
    <row r="28" customFormat="false" ht="15" hidden="false" customHeight="false" outlineLevel="0" collapsed="false">
      <c r="A28" s="7" t="s">
        <v>84</v>
      </c>
      <c r="B28" s="27" t="n">
        <f aca="false">B27*(1-$B$13)-B26*$B$12</f>
        <v>7226.74624713402</v>
      </c>
      <c r="C28" s="27" t="n">
        <f aca="false">C27*(1-$B$13)-C26*$B$12</f>
        <v>10435.0507302065</v>
      </c>
      <c r="D28" s="27" t="n">
        <f aca="false">D27*(1-$B$13)-D26*$B$12</f>
        <v>4241.67728767448</v>
      </c>
    </row>
    <row r="29" customFormat="false" ht="15" hidden="false" customHeight="false" outlineLevel="0" collapsed="false">
      <c r="A29" s="7" t="s">
        <v>85</v>
      </c>
      <c r="B29" s="27" t="n">
        <f aca="false">$B$8*B21*0.67*(1-$B$13)-$B$8*$B$12</f>
        <v>432.175</v>
      </c>
      <c r="C29" s="27" t="n">
        <f aca="false">$B$8*C21*0.67*(1-$B$13)-$B$8*$B$12</f>
        <v>1212.8925</v>
      </c>
      <c r="D29" s="27" t="n">
        <f aca="false">$B$8*D21*0.67*(1-$B$13)-$B$8*$B$12</f>
        <v>-348.5425</v>
      </c>
    </row>
    <row r="30" customFormat="false" ht="15" hidden="false" customHeight="false" outlineLevel="0" collapsed="false">
      <c r="A30" s="7" t="s">
        <v>86</v>
      </c>
      <c r="B30" s="27" t="n">
        <f aca="false">AVERAGE(B28:B29)*(1-(1+$B$15)^-9)/$B$15</f>
        <v>23577.9197306601</v>
      </c>
      <c r="C30" s="27" t="n">
        <f aca="false">AVERAGE(C28:C29)*(1-(1+$B$15)^-9)/$B$15</f>
        <v>35858.0877968765</v>
      </c>
      <c r="D30" s="27" t="n">
        <f aca="false">AVERAGE(D28:D29)*(1-(1+$B$15)^-9)/$B$15</f>
        <v>11984.9802031556</v>
      </c>
    </row>
    <row r="31" customFormat="false" ht="15" hidden="false" customHeight="false" outlineLevel="0" collapsed="false">
      <c r="A31" s="7" t="s">
        <v>87</v>
      </c>
      <c r="B31" s="27" t="n">
        <f aca="false">B22*B27/(1+$B$15)^9</f>
        <v>266383.455114467</v>
      </c>
      <c r="C31" s="27" t="n">
        <f aca="false">C22*C27/(1+$B$15)^9</f>
        <v>377868.466834609</v>
      </c>
      <c r="D31" s="27" t="n">
        <f aca="false">D22*D27/(1+$B$15)^9</f>
        <v>140655.726954121</v>
      </c>
    </row>
    <row r="32" customFormat="false" ht="15" hidden="false" customHeight="false" outlineLevel="0" collapsed="false">
      <c r="A32" s="7" t="s">
        <v>88</v>
      </c>
      <c r="B32" s="27" t="n">
        <f aca="false">B28*(1+$B$14)/($B$15-$B$14)/(1+$B$15)^9</f>
        <v>67603.005983595</v>
      </c>
      <c r="C32" s="27" t="n">
        <f aca="false">C28*(1+$B$14)/($B$15-$B$14)/(1+$B$15)^9</f>
        <v>97615.2714969106</v>
      </c>
      <c r="D32" s="27" t="n">
        <f aca="false">D28*(1+$B$14)/($B$15-$B$14)/(1+$B$15)^9</f>
        <v>39679.0097857464</v>
      </c>
    </row>
    <row r="33" customFormat="false" ht="15" hidden="false" customHeight="false" outlineLevel="0" collapsed="false">
      <c r="A33" s="7" t="s">
        <v>89</v>
      </c>
      <c r="B33" s="27" t="n">
        <f aca="false">B30+AVERAGE(B31:B32)</f>
        <v>190571.150279691</v>
      </c>
      <c r="C33" s="27" t="n">
        <f aca="false">C30+AVERAGE(C31:C32)</f>
        <v>273599.956962636</v>
      </c>
      <c r="D33" s="27" t="n">
        <f aca="false">D30+AVERAGE(D31:D32)</f>
        <v>102152.348573089</v>
      </c>
    </row>
    <row r="34" customFormat="false" ht="15" hidden="false" customHeight="false" outlineLevel="0" collapsed="false">
      <c r="A34" s="7" t="s">
        <v>90</v>
      </c>
      <c r="B34" s="27" t="n">
        <f aca="false">B33+$B$7</f>
        <v>195571.150279691</v>
      </c>
      <c r="C34" s="27" t="n">
        <f aca="false">C33+$B$7</f>
        <v>278599.956962636</v>
      </c>
      <c r="D34" s="27" t="n">
        <f aca="false">D33+$B$7</f>
        <v>107152.348573089</v>
      </c>
    </row>
    <row r="35" customFormat="false" ht="15" hidden="false" customHeight="false" outlineLevel="0" collapsed="false">
      <c r="A35" s="4" t="s">
        <v>91</v>
      </c>
      <c r="B35" s="28" t="n">
        <f aca="false">MAX(0,B34)/$B$6</f>
        <v>441.469865191176</v>
      </c>
      <c r="C35" s="28" t="n">
        <f aca="false">MAX(0,C34)/$B$6</f>
        <v>628.893808042068</v>
      </c>
      <c r="D35" s="28" t="n">
        <f aca="false">MAX(0,D34)/$B$6</f>
        <v>241.878890684174</v>
      </c>
    </row>
    <row r="36" customFormat="false" ht="15" hidden="false" customHeight="false" outlineLevel="0" collapsed="false">
      <c r="A36" s="4" t="s">
        <v>92</v>
      </c>
      <c r="B36" s="29" t="n">
        <f aca="false">B35/$B$5-1</f>
        <v>-0.522735280874404</v>
      </c>
      <c r="C36" s="29" t="n">
        <f aca="false">C35/$B$5-1</f>
        <v>-0.320114802116683</v>
      </c>
      <c r="D36" s="29" t="n">
        <f aca="false">D35/$B$5-1</f>
        <v>-0.73850930736846</v>
      </c>
    </row>
    <row r="38" customFormat="false" ht="15" hidden="false" customHeight="false" outlineLevel="0" collapsed="false">
      <c r="A38" s="4" t="s">
        <v>93</v>
      </c>
      <c r="B38" s="30" t="n">
        <f aca="false">SUMPRODUCT(B23:D23,B35:D35)</f>
        <v>429.056910134604</v>
      </c>
    </row>
    <row r="39" customFormat="false" ht="15" hidden="false" customHeight="false" outlineLevel="0" collapsed="false">
      <c r="A39" s="4" t="s">
        <v>94</v>
      </c>
      <c r="B39" s="29" t="n">
        <f aca="false">B38/B5-1</f>
        <v>-0.536154691746374</v>
      </c>
    </row>
    <row r="41" customFormat="false" ht="15" hidden="false" customHeight="false" outlineLevel="0" collapsed="false">
      <c r="A41" s="8" t="s">
        <v>99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2026-07-24T03:22:48Z</dcterms:created>
  <dc:creator>openpyxl</dc:creator>
  <dc:description/>
  <dc:language>en-US</dc:language>
  <cp:lastModifiedBy/>
  <dcterms:modified xsi:type="dcterms:W3CDTF">2026-07-24T03:22:51Z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